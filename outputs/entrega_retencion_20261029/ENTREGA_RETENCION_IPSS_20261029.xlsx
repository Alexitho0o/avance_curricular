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a7100c3aa413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_LEEME" sheetId="1" ns1:id="R19b99cc8a2714919"/>
    <sheet name="1_Retencion_1er_anio" sheetId="2" ns1:id="Rbd89130af0d34302"/>
    <sheet name="2_Intertrimestral_2026" sheetId="3" ns1:id="R709c6abe3f7a4622"/>
    <sheet name="3_Paridad_SIES_2027" sheetId="4" ns1:id="R39c4a439f930494e"/>
    <sheet name="4_Brecha_MU_2026" sheetId="5" ns1:id="Rb1f3d4151b614df0"/>
    <sheet name="5_Fuentes" sheetId="6" ns1:id="Rc5befd315f6c4f6d"/>
  </sheets>
  <definedNames>
    <definedName name="_xlnm.Print_Area" localSheetId="0">'0_LEEME'!$A$1:$B$33</definedName>
    <definedName name="_xlnm.Print_Area" localSheetId="1">'1_Retencion_1er_anio'!A1:Q14</definedName>
    <definedName name="_xlnm.Print_Area" localSheetId="2">'2_Intertrimestral_2026'!$A$1:$H$20</definedName>
    <definedName name="_xlnm.Print_Area" localSheetId="3">'3_Paridad_SIES_2027'!$A$1:$H$262</definedName>
    <definedName name="_xlnm.Print_Area" localSheetId="4">'4_Brecha_MU_2026'!$A$1:$I$34</definedName>
    <definedName name="_xlnm.Print_Area" localSheetId="5">'5_Fuentes'!$A$1:$F$29</definedName>
  </definedNames>
  <calcPr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5">
    <numFmt numFmtId="200" formatCode="0"/>
    <numFmt numFmtId="201" formatCode="[&gt;=1000000]#&quot;.&quot;000&quot;.&quot;000;[&gt;=1000]#&quot;.&quot;000;0"/>
    <numFmt numFmtId="202" formatCode="0.0%"/>
    <numFmt numFmtId="203" formatCode="+0.00;-0.00;0.00"/>
    <numFmt numFmtId="204" formatCode="0;-0;0"/>
  </numFmts>
  <fonts count="7">
    <font>
      <sz val="11"/>
      <name val="Carlito"/>
    </font>
    <font>
      <sz val="11"/>
      <color rgb="FF3A3A3A"/>
      <name val="Arial"/>
    </font>
    <font>
      <b/>
      <sz val="16"/>
      <color rgb="FF102B42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1"/>
      <color rgb="FF102B42"/>
      <name val="Arial"/>
    </font>
    <font>
      <b/>
      <sz val="11"/>
      <color rgb="FF102B42"/>
      <name val="Arial"/>
    </font>
  </fonts>
  <fills count="6">
    <fill>
      <patternFill patternType="none"/>
    </fill>
    <fill>
      <patternFill patternType="gray125"/>
    </fill>
    <fill>
      <patternFill patternType="solid">
        <fgColor rgb="FF102B42"/>
      </patternFill>
    </fill>
    <fill>
      <patternFill patternType="solid">
        <fgColor rgb="FF0E427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indent="1"/>
    </xf>
    <xf numFmtId="0" fontId="1" fillId="0" borderId="0" xfId="0" applyNumberFormat="1" applyFont="1" applyFill="1" applyBorder="1" applyAlignment="1">
      <alignment horizontal="left" indent="1"/>
    </xf>
    <xf numFmtId="0" fontId="1" fillId="0" borderId="0" xfId="0" applyNumberFormat="1" applyFont="1" applyFill="1" applyBorder="1" applyAlignment="1">
      <alignment vertical="center" horizontal="left" indent="1"/>
    </xf>
    <xf numFmtId="0" fontId="2" fillId="0" borderId="0" xfId="0" applyNumberFormat="1" applyFont="1" applyFill="1" applyBorder="1" applyAlignment="1">
      <alignment vertical="center" horizontal="left" indent="1"/>
    </xf>
    <xf numFmtId="0" fontId="1" fillId="2" borderId="0" xfId="0" applyNumberFormat="1" applyFont="1" applyFill="1" applyBorder="1" applyAlignment="1">
      <alignment vertical="center" horizontal="left" indent="1"/>
    </xf>
    <xf numFmtId="0" fontId="3" fillId="2" borderId="0" xfId="0" applyNumberFormat="1" applyFont="1" applyFill="1" applyBorder="1" applyAlignment="1">
      <alignment vertical="center" horizontal="left" indent="1"/>
    </xf>
    <xf numFmtId="0" fontId="1" fillId="0" borderId="0" xfId="0" applyNumberFormat="1" applyFont="1" applyFill="1" applyBorder="1" applyAlignment="1">
      <alignment vertical="center" wrapText="1" horizontal="left" indent="1"/>
    </xf>
    <xf numFmtId="0" fontId="1" fillId="3" borderId="0" xfId="0" applyNumberFormat="1" applyFont="1" applyFill="1" applyBorder="1" applyAlignment="1">
      <alignment vertical="center" wrapText="1" horizontal="left" indent="1"/>
    </xf>
    <xf numFmtId="0" fontId="4" fillId="3" borderId="0" xfId="0" applyNumberFormat="1" applyFont="1" applyFill="1" applyBorder="1" applyAlignment="1">
      <alignment vertical="center" wrapText="1" horizontal="left" indent="1"/>
    </xf>
    <xf numFmtId="0" fontId="4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vertical="center" wrapText="1" horizontal="left" inden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center" wrapText="1" horizontal="left" indent="1"/>
    </xf>
    <xf numFmtId="0" fontId="1" fillId="4" borderId="0" xfId="0" applyNumberFormat="1" applyFont="1" applyFill="1" applyBorder="1" applyAlignment="1">
      <alignment horizontal="right" vertical="center" wrapText="1" indent="1"/>
    </xf>
    <xf numFmtId="0" fontId="1" fillId="0" borderId="0" xfId="0" applyNumberFormat="1" applyFont="1" applyFill="1" applyBorder="1" applyAlignment="1">
      <alignment horizontal="right" vertical="center" wrapText="1" indent="1"/>
    </xf>
    <xf numFmtId="200" fontId="1" fillId="4" borderId="0" xfId="0" applyNumberFormat="1" applyFont="1" applyFill="1" applyBorder="1" applyAlignment="1">
      <alignment horizontal="right" vertical="center" wrapText="1" indent="1"/>
    </xf>
    <xf numFmtId="200" fontId="1" fillId="0" borderId="0" xfId="0" applyNumberFormat="1" applyFont="1" applyFill="1" applyBorder="1" applyAlignment="1">
      <alignment horizontal="right" vertical="center" wrapText="1" indent="1"/>
    </xf>
    <xf numFmtId="201" fontId="1" fillId="4" borderId="0" xfId="0" applyNumberFormat="1" applyFont="1" applyFill="1" applyBorder="1" applyAlignment="1">
      <alignment horizontal="right" vertical="center" wrapText="1" indent="1"/>
    </xf>
    <xf numFmtId="201" fontId="1" fillId="0" borderId="0" xfId="0" applyNumberFormat="1" applyFont="1" applyFill="1" applyBorder="1" applyAlignment="1">
      <alignment horizontal="right" vertical="center" wrapText="1" indent="1"/>
    </xf>
    <xf numFmtId="202" fontId="1" fillId="4" borderId="0" xfId="0" applyNumberFormat="1" applyFont="1" applyFill="1" applyBorder="1" applyAlignment="1">
      <alignment vertical="center" wrapText="1" horizontal="right" indent="1"/>
    </xf>
    <xf numFmtId="202" fontId="1" fillId="0" borderId="0" xfId="0" applyNumberFormat="1" applyFont="1" applyFill="1" applyBorder="1" applyAlignment="1">
      <alignment vertical="center" wrapText="1" horizontal="right" indent="1"/>
    </xf>
    <xf numFmtId="202" fontId="1" fillId="4" borderId="0" xfId="0" applyNumberFormat="1" applyFont="1" applyFill="1" applyBorder="1" applyAlignment="1">
      <alignment horizontal="right" vertical="center" wrapText="1" indent="1"/>
    </xf>
    <xf numFmtId="202" fontId="1" fillId="0" borderId="0" xfId="0" applyNumberFormat="1" applyFont="1" applyFill="1" applyBorder="1" applyAlignment="1">
      <alignment horizontal="right" vertical="center" wrapText="1" indent="1"/>
    </xf>
    <xf numFmtId="203" fontId="1" fillId="4" borderId="0" xfId="0" applyNumberFormat="1" applyFont="1" applyFill="1" applyBorder="1" applyAlignment="1">
      <alignment vertical="center" wrapText="1" horizontal="right" indent="1"/>
    </xf>
    <xf numFmtId="203" fontId="1" fillId="0" borderId="0" xfId="0" applyNumberFormat="1" applyFont="1" applyFill="1" applyBorder="1" applyAlignment="1">
      <alignment vertical="center" wrapText="1" horizontal="right" indent="1"/>
    </xf>
    <xf numFmtId="0" fontId="5" fillId="0" borderId="0" xfId="0" applyNumberFormat="1" applyFont="1" applyFill="1" applyBorder="1" applyAlignment="1">
      <alignment horizontal="center" vertical="center" wrapText="1"/>
    </xf>
    <xf numFmtId="200" fontId="1" fillId="4" borderId="0" xfId="0" applyNumberFormat="1" applyFont="1" applyFill="1" applyBorder="1" applyAlignment="1">
      <alignment horizontal="center" vertical="center" wrapText="1"/>
    </xf>
    <xf numFmtId="201" fontId="1" fillId="4" borderId="0" xfId="0" applyNumberFormat="1" applyFont="1" applyFill="1" applyBorder="1" applyAlignment="1">
      <alignment horizontal="center" vertical="center" wrapText="1"/>
    </xf>
    <xf numFmtId="202" fontId="1" fillId="4" borderId="0" xfId="0" applyNumberFormat="1" applyFont="1" applyFill="1" applyBorder="1" applyAlignment="1">
      <alignment horizontal="center" vertical="center" wrapText="1"/>
    </xf>
    <xf numFmtId="203" fontId="1" fillId="4" borderId="0" xfId="0" applyNumberFormat="1" applyFont="1" applyFill="1" applyBorder="1" applyAlignment="1">
      <alignment horizontal="center" vertical="center" wrapText="1"/>
    </xf>
    <xf numFmtId="200" fontId="1" fillId="0" borderId="0" xfId="0" applyNumberFormat="1" applyFont="1" applyFill="1" applyBorder="1" applyAlignment="1">
      <alignment horizontal="center" vertical="center" wrapText="1"/>
    </xf>
    <xf numFmtId="201" fontId="1" fillId="0" borderId="0" xfId="0" applyNumberFormat="1" applyFont="1" applyFill="1" applyBorder="1" applyAlignment="1">
      <alignment horizontal="center" vertical="center" wrapText="1"/>
    </xf>
    <xf numFmtId="202" fontId="1" fillId="0" borderId="0" xfId="0" applyNumberFormat="1" applyFont="1" applyFill="1" applyBorder="1" applyAlignment="1">
      <alignment horizontal="center" vertical="center" wrapText="1"/>
    </xf>
    <xf numFmtId="203" fontId="1" fillId="0" borderId="0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vertical="center" wrapText="1" horizontal="left" indent="1"/>
    </xf>
    <xf numFmtId="0" fontId="6" fillId="5" borderId="0" xfId="0" applyNumberFormat="1" applyFont="1" applyFill="1" applyBorder="1" applyAlignment="1">
      <alignment vertical="center" wrapText="1" horizontal="left" indent="1"/>
    </xf>
    <xf numFmtId="201" fontId="1" fillId="4" borderId="0" xfId="0" applyNumberFormat="1" applyFont="1" applyFill="1" applyBorder="1" applyAlignment="1">
      <alignment vertical="center" wrapText="1" horizontal="right" indent="1"/>
    </xf>
    <xf numFmtId="201" fontId="1" fillId="0" borderId="0" xfId="0" applyNumberFormat="1" applyFont="1" applyFill="1" applyBorder="1" applyAlignment="1">
      <alignment vertical="center" wrapText="1" horizontal="right" indent="1"/>
    </xf>
    <xf numFmtId="0" fontId="6" fillId="5" borderId="0" xfId="0" applyNumberFormat="1" applyFont="1" applyFill="1" applyBorder="1" applyAlignment="1">
      <alignment horizontal="center" vertical="center" wrapText="1"/>
    </xf>
    <xf numFmtId="204" fontId="1" fillId="0" borderId="0" xfId="0" applyNumberFormat="1" applyFont="1" applyFill="1" applyBorder="1" applyAlignment="1">
      <alignment horizontal="right" vertical="center" wrapText="1" indent="1"/>
    </xf>
    <xf numFmtId="204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92221f5944fca" /><Relationship Type="http://schemas.openxmlformats.org/officeDocument/2006/relationships/theme" Target="/xl/theme/theme1.xml" Id="R296dd3b287cd4358" /><Relationship Type="http://schemas.openxmlformats.org/officeDocument/2006/relationships/sharedStrings" Target="/xl/sharedStrings.xml" Id="R9adad53f092b496c" /><Relationship Type="http://schemas.openxmlformats.org/officeDocument/2006/relationships/worksheet" Target="/xl/worksheets/sheet1.xml" Id="R19b99cc8a2714919" /><Relationship Type="http://schemas.openxmlformats.org/officeDocument/2006/relationships/worksheet" Target="/xl/worksheets/sheet2.xml" Id="Rbd89130af0d34302" /><Relationship Type="http://schemas.openxmlformats.org/officeDocument/2006/relationships/worksheet" Target="/xl/worksheets/sheet3.xml" Id="R709c6abe3f7a4622" /><Relationship Type="http://schemas.openxmlformats.org/officeDocument/2006/relationships/worksheet" Target="/xl/worksheets/sheet4.xml" Id="R39c4a439f930494e" /><Relationship Type="http://schemas.openxmlformats.org/officeDocument/2006/relationships/worksheet" Target="/xl/worksheets/sheet5.xml" Id="Rb1f3d4151b614df0" /><Relationship Type="http://schemas.openxmlformats.org/officeDocument/2006/relationships/worksheet" Target="/xl/worksheets/sheet6.xml" Id="Rc5befd315f6c4f6d" /></Relationships>
</file>

<file path=xl/tables/table1.xml><?xml version="1.0" encoding="utf-8"?>
<x:table xmlns:x="http://schemas.openxmlformats.org/spreadsheetml/2006/main" id="1" name="H003_0_0" displayName="H003_0_0" ref="A6:B17" headerRowCount="1" totalsRowCount="0" totalsRowShown="0">
  <x:autoFilter ref="A6:B17"/>
  <x:tableColumns count="2">
    <x:tableColumn id="1" name="Tema"/>
    <x:tableColumn id="2" name="Alc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003_0_1" displayName="H003_0_1" ref="A20:B25" headerRowCount="1" totalsRowCount="0" totalsRowShown="0">
  <x:autoFilter ref="A20:B25"/>
  <x:tableColumns count="2">
    <x:tableColumn id="1" name="Clase"/>
    <x:tableColumn id="2" name="Signific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003_0_2" displayName="H003_0_2" ref="A28:B32" headerRowCount="1" totalsRowCount="0" totalsRowShown="0">
  <x:autoFilter ref="A28:B32"/>
  <x:tableColumns count="2">
    <x:tableColumn id="1" name="Tema"/>
    <x:tableColumn id="2" name="Pendiente y forma de cier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003_1_0" displayName="H003_1_0" ref="A6:H10" headerRowCount="1" totalsRowCount="0" totalsRowShown="0">
  <x:autoFilter ref="A6:H10"/>
  <x:tableColumns count="8">
    <x:tableColumn id="1" name="Cohorte"/>
    <x:tableColumn id="2" name="Retenidos H001"/>
    <x:tableColumn id="3" name="Casos H001"/>
    <x:tableColumn id="4" name="Tasa H001"/>
    <x:tableColumn id="5" name="Tasa SIES publicada"/>
    <x:tableColumn id="6" name="Diferencia (pp)"/>
    <x:tableColumn id="7" name="Lectura"/>
    <x:tableColumn id="8" name="Cl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003_1_1" displayName="H003_1_1" ref="J6:Q9" headerRowCount="1" totalsRowCount="0" totalsRowShown="0">
  <x:autoFilter ref="J6:Q9"/>
  <x:tableColumns count="8">
    <x:tableColumn id="1" name="Sector IPSS"/>
    <x:tableColumn id="2" name="Ret. H001"/>
    <x:tableColumn id="3" name="Casos H001"/>
    <x:tableColumn id="4" name="Tasa H001"/>
    <x:tableColumn id="5" name="Ret. SIES"/>
    <x:tableColumn id="6" name="Casos SIES"/>
    <x:tableColumn id="7" name="Tasa SIES"/>
    <x:tableColumn id="8" name="Diferencia (pp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003_2_0" displayName="H003_2_0" ref="A6:H14" headerRowCount="1" totalsRowCount="0" totalsRowShown="0">
  <x:autoFilter ref="A6:H14"/>
  <x:tableColumns count="8">
    <x:tableColumn id="1" name="Medida"/>
    <x:tableColumn id="2" name="Evidencia"/>
    <x:tableColumn id="3" name="Numerador"/>
    <x:tableColumn id="4" name="Denominador"/>
    <x:tableColumn id="5" name="Tasa"/>
    <x:tableColumn id="6" name="Unidad"/>
    <x:tableColumn id="7" name="Clase"/>
    <x:tableColumn id="8" name="Lími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003_3_0" displayName="H003_3_0" ref="A6:C15" headerRowCount="1" totalsRowCount="0" totalsRowShown="0">
  <x:autoFilter ref="A6:C15"/>
  <x:tableColumns count="3">
    <x:tableColumn id="1" name="Estado"/>
    <x:tableColumn id="2" name="Códigos 2026"/>
    <x:tableColumn id="3" name="Códigos 2027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003_3_1" displayName="H003_3_1" ref="A20:H181" headerRowCount="1" totalsRowCount="0" totalsRowShown="0">
  <x:autoFilter ref="A20:H181"/>
  <x:tableColumns count="8">
    <x:tableColumn id="1" name="Código SIES"/>
    <x:tableColumn id="2" name="Carrera SIES"/>
    <x:tableColumn id="3" name="Plan UMAS / candidatos"/>
    <x:tableColumn id="4" name="Estado"/>
    <x:tableColumn id="5" name="Versión para nuevos"/>
    <x:tableColumn id="6" name="Vigencia 2027"/>
    <x:tableColumn id="7" name="Clase"/>
    <x:tableColumn id="8" name="CODCARP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003_3_2" displayName="H003_3_2" ref="A187:D221" headerRowCount="1" totalsRowCount="0" totalsRowShown="0">
  <x:autoFilter ref="A187:D221"/>
  <x:tableColumns count="4">
    <x:tableColumn id="1" name="Familia"/>
    <x:tableColumn id="2" name="Plan UMAS"/>
    <x:tableColumn id="3" name="Motivo"/>
    <x:tableColumn id="4" name="Unida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003_3_3" displayName="H003_3_3" ref="A224:D261" headerRowCount="1" totalsRowCount="0" totalsRowShown="0">
  <x:autoFilter ref="A224:D261"/>
  <x:tableColumns count="4">
    <x:tableColumn id="1" name="Código SIES"/>
    <x:tableColumn id="2" name="Carrera SIES"/>
    <x:tableColumn id="3" name="Forma de cierre"/>
    <x:tableColumn id="4" name="Cla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003_4_0" displayName="H003_4_0" ref="A6:I11" headerRowCount="1" totalsRowCount="0" totalsRowShown="0">
  <x:autoFilter ref="A6:I11"/>
  <x:tableColumns count="9">
    <x:tableColumn id="1" name="Año"/>
    <x:tableColumn id="2" name="Filas base MU"/>
    <x:tableColumn id="3" name="Pregrado MU"/>
    <x:tableColumn id="4" name="Nivel no acreditado"/>
    <x:tableColumn id="5" name="VIG 1 pregrado"/>
    <x:tableColumn id="6" name="VIG 0 pregrado"/>
    <x:tableColumn id="7" name="SIES pregrado"/>
    <x:tableColumn id="8" name="SIES − VIG 1"/>
    <x:tableColumn id="9" name="Control bas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003_4_1" displayName="H003_4_1" ref="A16:E21" headerRowCount="1" totalsRowCount="0" totalsRowShown="0">
  <x:autoFilter ref="A16:E21"/>
  <x:tableColumns count="5">
    <x:tableColumn id="1" name="Año"/>
    <x:tableColumn id="2" name="SIES pregrado"/>
    <x:tableColumn id="3" name="SIES postítulo"/>
    <x:tableColumn id="4" name="SIES institucional"/>
    <x:tableColumn id="5" name="Control tota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003_4_2" displayName="H003_4_2" ref="A24:D29" headerRowCount="1" totalsRowCount="0" totalsRowShown="0">
  <x:autoFilter ref="A24:D29"/>
  <x:tableColumns count="4">
    <x:tableColumn id="1" name="Concepto"/>
    <x:tableColumn id="2" name="Registros"/>
    <x:tableColumn id="3" name="Referencia"/>
    <x:tableColumn id="4" name="Clas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003_5_0" displayName="H003_5_0" ref="A6:F25" headerRowCount="1" totalsRowCount="0" totalsRowShown="0">
  <x:autoFilter ref="A6:F25"/>
  <x:tableColumns count="6">
    <x:tableColumn id="1" name="ID"/>
    <x:tableColumn id="2" name="Ruta"/>
    <x:tableColumn id="3" name="SHA-256"/>
    <x:tableColumn id="4" name="Fecha verificación"/>
    <x:tableColumn id="5" name="Clase"/>
    <x:tableColumn id="6" name="Commit / 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24426599684ae9" /><Relationship Type="http://schemas.openxmlformats.org/officeDocument/2006/relationships/table" Target="/xl/tables/table2.xml" Id="R47fd4b1387c64a3a" /><Relationship Type="http://schemas.openxmlformats.org/officeDocument/2006/relationships/table" Target="/xl/tables/table3.xml" Id="R5b545ce442db4f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72e247ed291247e4" /><Relationship Type="http://schemas.openxmlformats.org/officeDocument/2006/relationships/table" Target="/xl/tables/table5.xml" Id="R89ff157bfd61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11f16086fea24a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6575717e583b4325" /><Relationship Type="http://schemas.openxmlformats.org/officeDocument/2006/relationships/table" Target="/xl/tables/table8.xml" Id="Rd95f256a83c9409b" /><Relationship Type="http://schemas.openxmlformats.org/officeDocument/2006/relationships/table" Target="/xl/tables/table9.xml" Id="Raf70b51cbe9c458a" /><Relationship Type="http://schemas.openxmlformats.org/officeDocument/2006/relationships/table" Target="/xl/tables/table10.xml" Id="R0214ffceae6f43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1.xml" Id="R908ef407cd324810" /><Relationship Type="http://schemas.openxmlformats.org/officeDocument/2006/relationships/table" Target="/xl/tables/table12.xml" Id="Rdf323e1270b24579" /><Relationship Type="http://schemas.openxmlformats.org/officeDocument/2006/relationships/table" Target="/xl/tables/table13.xml" Id="Rb6c30bc209f14b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4.xml" Id="R68bbdce929fe4b1a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9" hidden="0" customWidth="1"/>
    <col min="2" max="2" width="110" hidden="0" customWidth="1"/>
  </cols>
  <sheetData>
    <row r="1" ht="23" customHeight="1">
      <c r="A1" s="15"/>
      <c r="B1" s="15"/>
    </row>
    <row r="2" ht="32" customHeight="1">
      <c r="A2" s="16" t="str">
        <v>IPSS · Retención y conciliaciones</v>
      </c>
      <c r="B2" s="16"/>
    </row>
    <row r="3" ht="23" customHeight="1">
      <c r="A3" s="15"/>
      <c r="B3" s="15"/>
    </row>
    <row r="4" ht="23" customHeight="1">
      <c r="A4" s="15"/>
      <c r="B4" s="15"/>
    </row>
    <row r="5" ht="29" customHeight="1">
      <c r="A5" s="17" t="str">
        <v>Alcance y lectura</v>
      </c>
      <c r="B5" s="17" t="str">
        <v>Alcance y lectura</v>
      </c>
    </row>
    <row r="6" ht="45" customHeight="1">
      <c r="A6" s="9" t="str">
        <v>Tema</v>
      </c>
      <c r="B6" s="9" t="str">
        <v>Alcance</v>
      </c>
    </row>
    <row r="7" ht="40" customHeight="1">
      <c r="A7" s="14" t="str">
        <v>Entrega</v>
      </c>
      <c r="B7" s="14" t="str">
        <v>Preparada el 29-10-2026 para entrega el 31-10-2026. Solo agregados; sin bases individuales.</v>
      </c>
    </row>
    <row r="8" ht="40" customHeight="1">
      <c r="A8" s="15" t="str">
        <v>Retención anual</v>
      </c>
      <c r="B8" s="15" t="str">
        <v>Cohortes 2022–2025, observadas en el año siguiente. H001 interno; tasas publicadas SIES como referencia externa.</v>
      </c>
    </row>
    <row r="9" ht="40" customHeight="1">
      <c r="A9" s="14" t="str">
        <v>Intertrimestral</v>
      </c>
      <c r="B9" s="14" t="str">
        <v>Año académico 2026. Foto T3 al 22-10-2026, período en curso. Borrador interno; no tasa oficial SIES.</v>
      </c>
    </row>
    <row r="10" ht="40" customHeight="1">
      <c r="A10" s="15" t="str">
        <v>Paridad de códigos</v>
      </c>
      <c r="B10" s="15" t="str">
        <v>Catálogo 2026–2027, regla interna activa H002l. Oferta 2027 V06 preparada (C); no acredita aceptación PES.</v>
      </c>
    </row>
    <row r="11" ht="40" customHeight="1">
      <c r="A11" s="14" t="str">
        <v>Cuadratura MU</v>
      </c>
      <c r="B11" s="14" t="str">
        <v>Matrículas informadas 2022–2026. La brecha 2026 está cerrada documentalmente, con causa E.</v>
      </c>
    </row>
    <row r="12" ht="40" customHeight="1">
      <c r="A12" s="15" t="str">
        <v>Unidades</v>
      </c>
      <c r="B12" s="15" t="str">
        <v>Persona por cohorte en H001. Personas o matrículas según cada fila intertrimestral. Códigos y opciones en H002; no son estudiantes.</v>
      </c>
    </row>
    <row r="13" ht="40" customHeight="1">
      <c r="A13" s="14" t="str">
        <v>Fórmulas</v>
      </c>
      <c r="B13" s="14" t="str">
        <v>Tasas = numerador / denominador; diferencia = (tasa interna − tasa SIES) × 100. No promediar porcentajes ni sumar unidades distintas.</v>
      </c>
    </row>
    <row r="14" ht="40" customHeight="1">
      <c r="A14" s="15" t="str">
        <v>Fuentes y commits</v>
      </c>
      <c r="B14" s="15" t="str">
        <v>Rutas, SHA-256 y commits en 5_Fuentes. Los insumos se verifican antes de cada generación.</v>
      </c>
    </row>
    <row r="15" ht="40" customHeight="1">
      <c r="A15" s="14" t="str">
        <v>Corte de fuentes</v>
      </c>
      <c r="B15" s="14" t="str">
        <v>Se conservan los cortes de cada fuente, no una fecha de corte institucional común. Consulta el bloque correspondiente.</v>
      </c>
    </row>
    <row r="16" ht="40" customHeight="1">
      <c r="A16" s="15" t="str">
        <v>Formato y marca</v>
      </c>
      <c r="B16" s="15" t="str">
        <v>Paleta IPSS oficial. Arial sustituye a Montserrat/Gotham no instaladas. Porcentajes verificados en es-CL; el visor puede aplicar su configuración regional.</v>
      </c>
    </row>
    <row r="17" ht="40" customHeight="1">
      <c r="A17" s="14" t="str">
        <v>Cambios protegidos</v>
      </c>
      <c r="B17" s="14" t="str">
        <v>No se modifican fuentes, bases, denominadores, tasas ni reglas. No hay carga a SIES/PES ni commit/push.</v>
      </c>
    </row>
    <row r="18" ht="23" customHeight="1">
      <c r="A18" s="15"/>
      <c r="B18" s="15"/>
    </row>
    <row r="19" ht="29" customHeight="1">
      <c r="A19" s="17" t="str">
        <v>Clases de respaldo</v>
      </c>
      <c r="B19" s="17" t="str">
        <v>Clases de respaldo</v>
      </c>
    </row>
    <row r="20" ht="45" customHeight="1">
      <c r="A20" s="9" t="str">
        <v>Clase</v>
      </c>
      <c r="B20" s="9" t="str">
        <v>Significado</v>
      </c>
    </row>
    <row r="21" ht="27" customHeight="1">
      <c r="A21" s="14" t="str">
        <v>A</v>
      </c>
      <c r="B21" s="14" t="str">
        <v>Regla oficial respaldada por manual, instructivo o comunicación oficial.</v>
      </c>
    </row>
    <row r="22" ht="27" customHeight="1">
      <c r="A22" s="15" t="str">
        <v>B</v>
      </c>
      <c r="B22" s="15" t="str">
        <v>Dato observado en una fuente identificada; no constituye una regla.</v>
      </c>
    </row>
    <row r="23" ht="27" customHeight="1">
      <c r="A23" s="14" t="str">
        <v>C</v>
      </c>
      <c r="B23" s="14" t="str">
        <v>Cálculo, implementación o inferencia técnica con alcance declarado.</v>
      </c>
    </row>
    <row r="24" ht="27" customHeight="1">
      <c r="A24" s="15" t="str">
        <v>D</v>
      </c>
      <c r="B24" s="15" t="str">
        <v>Decisión interna aprobada; no sustituye una norma oficial.</v>
      </c>
    </row>
    <row r="25" ht="27" customHeight="1">
      <c r="A25" s="14" t="str">
        <v>E</v>
      </c>
      <c r="B25" s="14" t="str">
        <v>Causa no acreditada, límite o pendiente expresamente conservado.</v>
      </c>
    </row>
    <row r="26" ht="23" customHeight="1">
      <c r="A26" s="15"/>
      <c r="B26" s="15"/>
    </row>
    <row r="27" ht="29" customHeight="1">
      <c r="A27" s="17" t="str">
        <v>Pendientes visibles</v>
      </c>
      <c r="B27" s="17" t="str">
        <v>Pendientes visibles</v>
      </c>
    </row>
    <row r="28" ht="45" customHeight="1">
      <c r="A28" s="9" t="str">
        <v>Tema</v>
      </c>
      <c r="B28" s="9" t="str">
        <v>Pendiente y forma de cierre</v>
      </c>
    </row>
    <row r="29" ht="40" customHeight="1">
      <c r="A29" s="14" t="str">
        <v>H001</v>
      </c>
      <c r="B29" s="14" t="str">
        <v>Brechas 2022 y 2024 cerradas E: la investigación no acreditó su causa. No se ajustan tasas para igualar SIES.</v>
      </c>
    </row>
    <row r="30" ht="40" customHeight="1">
      <c r="A30" s="15" t="str">
        <v>Intertrimestral</v>
      </c>
      <c r="B30" s="15" t="str">
        <v>Paridad desde fuentes crudas, proxies y desgloses pendientes; cinco personas con matrícula duplicada no están en V24.</v>
      </c>
    </row>
    <row r="31" ht="40" customHeight="1">
      <c r="A31" s="14" t="str">
        <v>Paridad 2027</v>
      </c>
      <c r="B31" s="14" t="str">
        <v>34 opciones de revisión y 37 códigos nuevos; hay solapamiento. Resolver con evidencia y MU 2027; oferta aceptada antes de carga.</v>
      </c>
    </row>
    <row r="32" ht="40" customHeight="1">
      <c r="A32" s="15" t="str">
        <v>MU 2026</v>
      </c>
      <c r="B32" s="15" t="str">
        <v>Reabrir únicamente con fuente individual SIES de MU 2026, por ejemplo precarga AC 2027 cuando exista.</v>
      </c>
    </row>
    <row r="33" ht="23" customHeight="1">
      <c r="A33" s="15"/>
      <c r="B33" s="15"/>
    </row>
  </sheetData>
  <mergeCells>
    <mergeCell ref="A2:B2"/>
    <mergeCell ref="A5:B5"/>
    <mergeCell ref="A19:B19"/>
    <mergeCell ref="A27:B27"/>
  </mergeCells>
  <printOptions headings="0" gridLines="0"/>
  <pageMargins left="0.25" right="0.25" top="0.35" bottom="0.35" header="0.1" footer="0.1"/>
  <pageSetup paperSize="8" orientation="landscape" fitToWidth="1" fitToHeight="0"/>
  <tableParts count="3">
    <tablePart ns1:id="Rbb24426599684ae9"/>
    <tablePart ns1:id="R47fd4b1387c64a3a"/>
    <tablePart ns1:id="R5b545ce442db4f41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2" hidden="0" customWidth="1"/>
    <col min="2" max="2" width="16" hidden="0" customWidth="1"/>
    <col min="3" max="3" width="16" hidden="0" customWidth="1"/>
    <col min="4" max="4" width="17" hidden="0" customWidth="1"/>
    <col min="5" max="5" width="17" hidden="0" customWidth="1"/>
    <col min="6" max="6" width="19" hidden="0" customWidth="1"/>
    <col min="7" max="7" width="58" hidden="0" customWidth="1"/>
    <col min="8" max="8" width="20" hidden="0" customWidth="1"/>
    <col min="9" max="9" width="4" hidden="0" customWidth="1"/>
    <col min="10" max="10" width="34" hidden="0" customWidth="1"/>
    <col min="11" max="11" width="15" hidden="0" customWidth="1"/>
    <col min="12" max="12" width="16" hidden="0" customWidth="1"/>
    <col min="13" max="13" width="17" hidden="0" customWidth="1"/>
    <col min="14" max="14" width="15" hidden="0" customWidth="1"/>
    <col min="15" max="15" width="16" hidden="0" customWidth="1"/>
    <col min="16" max="16" width="17" hidden="0" customWidth="1"/>
    <col min="17" max="17" width="20" hidden="0" customWidth="1"/>
  </cols>
  <sheetData>
    <row r="1" ht="23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32" customHeight="1">
      <c r="A2" s="16" t="str">
        <v>Retención de 1er año · cohortes 2022–2025</v>
      </c>
      <c r="B2" s="16"/>
      <c r="C2" s="16"/>
      <c r="D2" s="16"/>
      <c r="E2" s="16"/>
      <c r="F2" s="16"/>
      <c r="G2" s="16"/>
      <c r="H2" s="16"/>
      <c r="I2" s="15"/>
      <c r="J2" s="15"/>
      <c r="K2" s="15"/>
      <c r="L2" s="15"/>
      <c r="M2" s="15"/>
      <c r="N2" s="15"/>
      <c r="O2" s="15"/>
      <c r="P2" s="15"/>
      <c r="Q2" s="15"/>
    </row>
    <row r="3" ht="23" customHeight="1">
      <c r="A3" s="31" t="str">
        <v>Indicador interno alineado a la definición SIES; la tasa oficial es la publicada por SIES. Unidad: personas por cohorte.</v>
      </c>
      <c r="B3" s="31" t="str">
        <v>Indicador interno alineado a la definición SIES; la tasa oficial es la publicada por SIES. Unidad: personas por cohorte.</v>
      </c>
      <c r="C3" s="31" t="str">
        <v>Indicador interno alineado a la definición SIES; la tasa oficial es la publicada por SIES. Unidad: personas por cohorte.</v>
      </c>
      <c r="D3" s="31" t="str">
        <v>Indicador interno alineado a la definición SIES; la tasa oficial es la publicada por SIES. Unidad: personas por cohorte.</v>
      </c>
      <c r="E3" s="31" t="str">
        <v>Indicador interno alineado a la definición SIES; la tasa oficial es la publicada por SIES. Unidad: personas por cohorte.</v>
      </c>
      <c r="F3" s="31" t="str">
        <v>Indicador interno alineado a la definición SIES; la tasa oficial es la publicada por SIES. Unidad: personas por cohorte.</v>
      </c>
      <c r="G3" s="31" t="str">
        <v>Indicador interno alineado a la definición SIES; la tasa oficial es la publicada por SIES. Unidad: personas por cohorte.</v>
      </c>
      <c r="H3" s="31" t="str">
        <v>Indicador interno alineado a la definición SIES; la tasa oficial es la publicada por SIES. Unidad: personas por cohorte.</v>
      </c>
      <c r="I3" s="15"/>
      <c r="J3" s="15"/>
      <c r="K3" s="15"/>
      <c r="L3" s="15"/>
      <c r="M3" s="15"/>
      <c r="N3" s="15"/>
      <c r="O3" s="15"/>
      <c r="P3" s="15"/>
      <c r="Q3" s="15"/>
    </row>
    <row r="4" ht="23" customHeight="1">
      <c r="A4" s="31" t="str">
        <v>Indicador interno alineado a la definición SIES; la tasa oficial es la publicada por SIES. Unidad: personas por cohorte.</v>
      </c>
      <c r="B4" s="31" t="str">
        <v>Indicador interno alineado a la definición SIES; la tasa oficial es la publicada por SIES. Unidad: personas por cohorte.</v>
      </c>
      <c r="C4" s="31" t="str">
        <v>Indicador interno alineado a la definición SIES; la tasa oficial es la publicada por SIES. Unidad: personas por cohorte.</v>
      </c>
      <c r="D4" s="31" t="str">
        <v>Indicador interno alineado a la definición SIES; la tasa oficial es la publicada por SIES. Unidad: personas por cohorte.</v>
      </c>
      <c r="E4" s="31" t="str">
        <v>Indicador interno alineado a la definición SIES; la tasa oficial es la publicada por SIES. Unidad: personas por cohorte.</v>
      </c>
      <c r="F4" s="31" t="str">
        <v>Indicador interno alineado a la definición SIES; la tasa oficial es la publicada por SIES. Unidad: personas por cohorte.</v>
      </c>
      <c r="G4" s="31" t="str">
        <v>Indicador interno alineado a la definición SIES; la tasa oficial es la publicada por SIES. Unidad: personas por cohorte.</v>
      </c>
      <c r="H4" s="31" t="str">
        <v>Indicador interno alineado a la definición SIES; la tasa oficial es la publicada por SIES. Unidad: personas por cohorte.</v>
      </c>
      <c r="I4" s="15"/>
      <c r="J4" s="15"/>
      <c r="K4" s="15"/>
      <c r="L4" s="15"/>
      <c r="M4" s="15"/>
      <c r="N4" s="15"/>
      <c r="O4" s="15"/>
      <c r="P4" s="15"/>
      <c r="Q4" s="15"/>
    </row>
    <row r="5" ht="29" customHeight="1">
      <c r="A5" s="17" t="str">
        <v>Comparación institucional</v>
      </c>
      <c r="B5" s="17" t="str">
        <v>Comparación institucional</v>
      </c>
      <c r="C5" s="17" t="str">
        <v>Comparación institucional</v>
      </c>
      <c r="D5" s="17" t="str">
        <v>Comparación institucional</v>
      </c>
      <c r="E5" s="17" t="str">
        <v>Comparación institucional</v>
      </c>
      <c r="F5" s="17" t="str">
        <v>Comparación institucional</v>
      </c>
      <c r="G5" s="17" t="str">
        <v>Comparación institucional</v>
      </c>
      <c r="H5" s="17" t="str">
        <v>Comparación institucional</v>
      </c>
      <c r="I5" s="15"/>
      <c r="J5" s="17" t="str">
        <v>2025 · sectores IPSS (taxonomía institucional)</v>
      </c>
      <c r="K5" s="17" t="str">
        <v>2025 · sectores IPSS (taxonomía institucional)</v>
      </c>
      <c r="L5" s="17" t="str">
        <v>2025 · sectores IPSS (taxonomía institucional)</v>
      </c>
      <c r="M5" s="17" t="str">
        <v>2025 · sectores IPSS (taxonomía institucional)</v>
      </c>
      <c r="N5" s="17" t="str">
        <v>2025 · sectores IPSS (taxonomía institucional)</v>
      </c>
      <c r="O5" s="17" t="str">
        <v>2025 · sectores IPSS (taxonomía institucional)</v>
      </c>
      <c r="P5" s="17" t="str">
        <v>2025 · sectores IPSS (taxonomía institucional)</v>
      </c>
      <c r="Q5" s="17" t="str">
        <v>2025 · sectores IPSS (taxonomía institucional)</v>
      </c>
    </row>
    <row r="6" ht="45" customHeight="1">
      <c r="A6" s="9" t="str">
        <v>Cohorte</v>
      </c>
      <c r="B6" s="9" t="str">
        <v>Retenidos H001</v>
      </c>
      <c r="C6" s="9" t="str">
        <v>Casos H001</v>
      </c>
      <c r="D6" s="9" t="str">
        <v>Tasa H001</v>
      </c>
      <c r="E6" s="9" t="str">
        <v>Tasa SIES publicada</v>
      </c>
      <c r="F6" s="9" t="str">
        <v>Diferencia (pp)</v>
      </c>
      <c r="G6" s="9" t="str">
        <v>Lectura</v>
      </c>
      <c r="H6" s="9" t="str">
        <v>Clase</v>
      </c>
      <c r="I6" s="15"/>
      <c r="J6" s="9" t="str">
        <v>Sector IPSS</v>
      </c>
      <c r="K6" s="9" t="str">
        <v>Ret. H001</v>
      </c>
      <c r="L6" s="9" t="str">
        <v>Casos H001</v>
      </c>
      <c r="M6" s="9" t="str">
        <v>Tasa H001</v>
      </c>
      <c r="N6" s="9" t="str">
        <v>Ret. SIES</v>
      </c>
      <c r="O6" s="9" t="str">
        <v>Casos SIES</v>
      </c>
      <c r="P6" s="9" t="str">
        <v>Tasa SIES</v>
      </c>
      <c r="Q6" s="9" t="str">
        <v>Diferencia (pp)</v>
      </c>
    </row>
    <row r="7" ht="40" customHeight="1">
      <c r="A7" s="32" t="n">
        <v>2022</v>
      </c>
      <c r="B7" s="33" t="n">
        <v>224</v>
      </c>
      <c r="C7" s="33" t="n">
        <v>305</v>
      </c>
      <c r="D7" s="34" t="n">
        <f>B7/C7</f>
        <v>0.734426229508197</v>
      </c>
      <c r="E7" s="34" t="n">
        <v>0.6895161290322581</v>
      </c>
      <c r="F7" s="35" t="n">
        <f>(D7-E7)*100</f>
        <v>4.49101004759386</v>
      </c>
      <c r="G7" s="14" t="str">
        <v>E cerrada: +4,49 pp; causa no establecida tras revisar reglas y cobertura.</v>
      </c>
      <c r="H7" s="14" t="str">
        <v>C/D; B SIES; E</v>
      </c>
      <c r="I7" s="15"/>
      <c r="J7" s="14" t="str">
        <v>Administración y Comercio</v>
      </c>
      <c r="K7" s="33" t="n">
        <v>252</v>
      </c>
      <c r="L7" s="33" t="n">
        <v>477</v>
      </c>
      <c r="M7" s="34" t="n">
        <f>K7/L7</f>
        <v>0.528301886792453</v>
      </c>
      <c r="N7" s="33" t="n">
        <v>256</v>
      </c>
      <c r="O7" s="33" t="n">
        <v>481</v>
      </c>
      <c r="P7" s="34" t="n">
        <f>N7/O7</f>
        <v>0.532224532224532</v>
      </c>
      <c r="Q7" s="35" t="n">
        <f>(M7-P7)*100</f>
        <v>-0.392264543207943</v>
      </c>
    </row>
    <row r="8" ht="40" customHeight="1">
      <c r="A8" s="36" t="n">
        <v>2023</v>
      </c>
      <c r="B8" s="37" t="n">
        <v>258</v>
      </c>
      <c r="C8" s="37" t="n">
        <v>366</v>
      </c>
      <c r="D8" s="38" t="n">
        <f>B8/C8</f>
        <v>0.704918032786885</v>
      </c>
      <c r="E8" s="38" t="n">
        <v>0.7057220708446866</v>
      </c>
      <c r="F8" s="39" t="n">
        <f>(D8-E8)*100</f>
        <v>-0.0804038057801382</v>
      </c>
      <c r="G8" s="15" t="str">
        <v>C: próxima a SIES; no idéntica (−0,08 pp).</v>
      </c>
      <c r="H8" s="15" t="str">
        <v>C/D; B SIES; E</v>
      </c>
      <c r="I8" s="15"/>
      <c r="J8" s="15" t="str">
        <v>Salud</v>
      </c>
      <c r="K8" s="37" t="n">
        <v>35</v>
      </c>
      <c r="L8" s="37" t="n">
        <v>75</v>
      </c>
      <c r="M8" s="38" t="n">
        <f>K8/L8</f>
        <v>0.466666666666667</v>
      </c>
      <c r="N8" s="37" t="n">
        <v>35</v>
      </c>
      <c r="O8" s="37" t="n">
        <v>75</v>
      </c>
      <c r="P8" s="38" t="n">
        <f>N8/O8</f>
        <v>0.466666666666667</v>
      </c>
      <c r="Q8" s="39" t="n">
        <f>(M8-P8)*100</f>
        <v>0</v>
      </c>
    </row>
    <row r="9" ht="40" customHeight="1">
      <c r="A9" s="32" t="n">
        <v>2024</v>
      </c>
      <c r="B9" s="33" t="n">
        <v>326</v>
      </c>
      <c r="C9" s="33" t="n">
        <v>558</v>
      </c>
      <c r="D9" s="34" t="n">
        <f>B9/C9</f>
        <v>0.584229390681004</v>
      </c>
      <c r="E9" s="34" t="n">
        <v>0.675</v>
      </c>
      <c r="F9" s="35" t="n">
        <f>(D9-E9)*100</f>
        <v>-9.07706093189965</v>
      </c>
      <c r="G9" s="14" t="str">
        <v>E cerrada: −9,08 pp; 180 ausentes en RAW 2025, sin causa oficial demostrada.</v>
      </c>
      <c r="H9" s="14" t="str">
        <v>C/D; B SIES; E</v>
      </c>
      <c r="I9" s="15"/>
      <c r="J9" s="14" t="str">
        <v>Tecnologías</v>
      </c>
      <c r="K9" s="33" t="n">
        <v>381</v>
      </c>
      <c r="L9" s="33" t="n">
        <v>598</v>
      </c>
      <c r="M9" s="34" t="n">
        <f>K9/L9</f>
        <v>0.637123745819398</v>
      </c>
      <c r="N9" s="33" t="n">
        <v>386</v>
      </c>
      <c r="O9" s="33" t="n">
        <v>607</v>
      </c>
      <c r="P9" s="34" t="n">
        <f>N9/O9</f>
        <v>0.635914332784185</v>
      </c>
      <c r="Q9" s="35" t="n">
        <f>(M9-P9)*100</f>
        <v>0.120941303521349</v>
      </c>
    </row>
    <row r="10" ht="40" customHeight="1">
      <c r="A10" s="36" t="n">
        <v>2025</v>
      </c>
      <c r="B10" s="37" t="n">
        <v>668</v>
      </c>
      <c r="C10" s="37" t="n">
        <v>1150</v>
      </c>
      <c r="D10" s="38" t="n">
        <f>B10/C10</f>
        <v>0.580869565217391</v>
      </c>
      <c r="E10" s="38" t="n">
        <v>0.5821152192605331</v>
      </c>
      <c r="F10" s="39" t="n">
        <f>(D10-E10)*100</f>
        <v>-0.124565404314181</v>
      </c>
      <c r="G10" s="15" t="str">
        <v>C/E: próxima a SIES (−0,12 pp); 13 casos y 9 retenidos menos; causa individual E.</v>
      </c>
      <c r="H10" s="15" t="str">
        <v>C/D; B SIES; E</v>
      </c>
      <c r="I10" s="15"/>
      <c r="J10" s="15"/>
      <c r="K10" s="15"/>
      <c r="L10" s="15"/>
      <c r="M10" s="15"/>
      <c r="N10" s="15"/>
      <c r="O10" s="15"/>
      <c r="P10" s="15"/>
      <c r="Q10" s="15"/>
    </row>
    <row r="11" ht="23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ht="24" customHeight="1">
      <c r="A12" s="31" t="str">
        <v>C: agregación por sector con mapeo IPSS aprobado. No son áreas SIES/CINE-F. Los 92 «no considerar» SIES están fuera de los 1.163 casos.</v>
      </c>
      <c r="B12" s="31" t="str">
        <v>C: agregación por sector con mapeo IPSS aprobado. No son áreas SIES/CINE-F. Los 92 «no considerar» SIES están fuera de los 1.163 casos.</v>
      </c>
      <c r="C12" s="31" t="str">
        <v>C: agregación por sector con mapeo IPSS aprobado. No son áreas SIES/CINE-F. Los 92 «no considerar» SIES están fuera de los 1.163 casos.</v>
      </c>
      <c r="D12" s="31" t="str">
        <v>C: agregación por sector con mapeo IPSS aprobado. No son áreas SIES/CINE-F. Los 92 «no considerar» SIES están fuera de los 1.163 casos.</v>
      </c>
      <c r="E12" s="31" t="str">
        <v>C: agregación por sector con mapeo IPSS aprobado. No son áreas SIES/CINE-F. Los 92 «no considerar» SIES están fuera de los 1.163 casos.</v>
      </c>
      <c r="F12" s="31" t="str">
        <v>C: agregación por sector con mapeo IPSS aprobado. No son áreas SIES/CINE-F. Los 92 «no considerar» SIES están fuera de los 1.163 casos.</v>
      </c>
      <c r="G12" s="31" t="str">
        <v>C: agregación por sector con mapeo IPSS aprobado. No son áreas SIES/CINE-F. Los 92 «no considerar» SIES están fuera de los 1.163 casos.</v>
      </c>
      <c r="H12" s="31" t="str">
        <v>C: agregación por sector con mapeo IPSS aprobado. No son áreas SIES/CINE-F. Los 92 «no considerar» SIES están fuera de los 1.163 casos.</v>
      </c>
      <c r="I12" s="31" t="str">
        <v>C: agregación por sector con mapeo IPSS aprobado. No son áreas SIES/CINE-F. Los 92 «no considerar» SIES están fuera de los 1.163 casos.</v>
      </c>
      <c r="J12" s="31" t="str">
        <v>C: agregación por sector con mapeo IPSS aprobado. No son áreas SIES/CINE-F. Los 92 «no considerar» SIES están fuera de los 1.163 casos.</v>
      </c>
      <c r="K12" s="31" t="str">
        <v>C: agregación por sector con mapeo IPSS aprobado. No son áreas SIES/CINE-F. Los 92 «no considerar» SIES están fuera de los 1.163 casos.</v>
      </c>
      <c r="L12" s="31" t="str">
        <v>C: agregación por sector con mapeo IPSS aprobado. No son áreas SIES/CINE-F. Los 92 «no considerar» SIES están fuera de los 1.163 casos.</v>
      </c>
      <c r="M12" s="31" t="str">
        <v>C: agregación por sector con mapeo IPSS aprobado. No son áreas SIES/CINE-F. Los 92 «no considerar» SIES están fuera de los 1.163 casos.</v>
      </c>
      <c r="N12" s="31" t="str">
        <v>C: agregación por sector con mapeo IPSS aprobado. No son áreas SIES/CINE-F. Los 92 «no considerar» SIES están fuera de los 1.163 casos.</v>
      </c>
      <c r="O12" s="31" t="str">
        <v>C: agregación por sector con mapeo IPSS aprobado. No son áreas SIES/CINE-F. Los 92 «no considerar» SIES están fuera de los 1.163 casos.</v>
      </c>
      <c r="P12" s="31" t="str">
        <v>C: agregación por sector con mapeo IPSS aprobado. No son áreas SIES/CINE-F. Los 92 «no considerar» SIES están fuera de los 1.163 casos.</v>
      </c>
      <c r="Q12" s="31" t="str">
        <v>C: agregación por sector con mapeo IPSS aprobado. No son áreas SIES/CINE-F. Los 92 «no considerar» SIES están fuera de los 1.163 casos.</v>
      </c>
    </row>
    <row r="13" ht="24" customHeight="1">
      <c r="A13" s="31" t="str">
        <v>E cerrada, 2022/2024: las reglas y la cobertura ya se investigaron; no hay granular oficial comparable que permita acreditar la causa. No se reabre la conciliación.</v>
      </c>
      <c r="B13" s="31" t="str">
        <v>E cerrada, 2022/2024: las reglas y la cobertura ya se investigaron; no hay granular oficial comparable que permita acreditar la causa. No se reabre la conciliación.</v>
      </c>
      <c r="C13" s="31" t="str">
        <v>E cerrada, 2022/2024: las reglas y la cobertura ya se investigaron; no hay granular oficial comparable que permita acreditar la causa. No se reabre la conciliación.</v>
      </c>
      <c r="D13" s="31" t="str">
        <v>E cerrada, 2022/2024: las reglas y la cobertura ya se investigaron; no hay granular oficial comparable que permita acreditar la causa. No se reabre la conciliación.</v>
      </c>
      <c r="E13" s="31" t="str">
        <v>E cerrada, 2022/2024: las reglas y la cobertura ya se investigaron; no hay granular oficial comparable que permita acreditar la causa. No se reabre la conciliación.</v>
      </c>
      <c r="F13" s="31" t="str">
        <v>E cerrada, 2022/2024: las reglas y la cobertura ya se investigaron; no hay granular oficial comparable que permita acreditar la causa. No se reabre la conciliación.</v>
      </c>
      <c r="G13" s="31" t="str">
        <v>E cerrada, 2022/2024: las reglas y la cobertura ya se investigaron; no hay granular oficial comparable que permita acreditar la causa. No se reabre la conciliación.</v>
      </c>
      <c r="H13" s="31" t="str">
        <v>E cerrada, 2022/2024: las reglas y la cobertura ya se investigaron; no hay granular oficial comparable que permita acreditar la causa. No se reabre la conciliación.</v>
      </c>
      <c r="I13" s="31" t="str">
        <v>E cerrada, 2022/2024: las reglas y la cobertura ya se investigaron; no hay granular oficial comparable que permita acreditar la causa. No se reabre la conciliación.</v>
      </c>
      <c r="J13" s="31" t="str">
        <v>E cerrada, 2022/2024: las reglas y la cobertura ya se investigaron; no hay granular oficial comparable que permita acreditar la causa. No se reabre la conciliación.</v>
      </c>
      <c r="K13" s="31" t="str">
        <v>E cerrada, 2022/2024: las reglas y la cobertura ya se investigaron; no hay granular oficial comparable que permita acreditar la causa. No se reabre la conciliación.</v>
      </c>
      <c r="L13" s="31" t="str">
        <v>E cerrada, 2022/2024: las reglas y la cobertura ya se investigaron; no hay granular oficial comparable que permita acreditar la causa. No se reabre la conciliación.</v>
      </c>
      <c r="M13" s="31" t="str">
        <v>E cerrada, 2022/2024: las reglas y la cobertura ya se investigaron; no hay granular oficial comparable que permita acreditar la causa. No se reabre la conciliación.</v>
      </c>
      <c r="N13" s="31" t="str">
        <v>E cerrada, 2022/2024: las reglas y la cobertura ya se investigaron; no hay granular oficial comparable que permita acreditar la causa. No se reabre la conciliación.</v>
      </c>
      <c r="O13" s="31" t="str">
        <v>E cerrada, 2022/2024: las reglas y la cobertura ya se investigaron; no hay granular oficial comparable que permita acreditar la causa. No se reabre la conciliación.</v>
      </c>
      <c r="P13" s="31" t="str">
        <v>E cerrada, 2022/2024: las reglas y la cobertura ya se investigaron; no hay granular oficial comparable que permita acreditar la causa. No se reabre la conciliación.</v>
      </c>
      <c r="Q13" s="31" t="str">
        <v>E cerrada, 2022/2024: las reglas y la cobertura ya se investigaron; no hay granular oficial comparable que permita acreditar la causa. No se reabre la conciliación.</v>
      </c>
    </row>
    <row r="14" ht="24" customHeight="1">
      <c r="A14" s="31" t="str">
        <v>En 2025 los sectores suman los totales de cada fuente. Las tasas institucionales se obtienen de conteos, nunca del promedio de tasas sectoriales.</v>
      </c>
      <c r="B14" s="31" t="str">
        <v>En 2025 los sectores suman los totales de cada fuente. Las tasas institucionales se obtienen de conteos, nunca del promedio de tasas sectoriales.</v>
      </c>
      <c r="C14" s="31" t="str">
        <v>En 2025 los sectores suman los totales de cada fuente. Las tasas institucionales se obtienen de conteos, nunca del promedio de tasas sectoriales.</v>
      </c>
      <c r="D14" s="31" t="str">
        <v>En 2025 los sectores suman los totales de cada fuente. Las tasas institucionales se obtienen de conteos, nunca del promedio de tasas sectoriales.</v>
      </c>
      <c r="E14" s="31" t="str">
        <v>En 2025 los sectores suman los totales de cada fuente. Las tasas institucionales se obtienen de conteos, nunca del promedio de tasas sectoriales.</v>
      </c>
      <c r="F14" s="31" t="str">
        <v>En 2025 los sectores suman los totales de cada fuente. Las tasas institucionales se obtienen de conteos, nunca del promedio de tasas sectoriales.</v>
      </c>
      <c r="G14" s="31" t="str">
        <v>En 2025 los sectores suman los totales de cada fuente. Las tasas institucionales se obtienen de conteos, nunca del promedio de tasas sectoriales.</v>
      </c>
      <c r="H14" s="31" t="str">
        <v>En 2025 los sectores suman los totales de cada fuente. Las tasas institucionales se obtienen de conteos, nunca del promedio de tasas sectoriales.</v>
      </c>
      <c r="I14" s="31" t="str">
        <v>En 2025 los sectores suman los totales de cada fuente. Las tasas institucionales se obtienen de conteos, nunca del promedio de tasas sectoriales.</v>
      </c>
      <c r="J14" s="31" t="str">
        <v>En 2025 los sectores suman los totales de cada fuente. Las tasas institucionales se obtienen de conteos, nunca del promedio de tasas sectoriales.</v>
      </c>
      <c r="K14" s="31" t="str">
        <v>En 2025 los sectores suman los totales de cada fuente. Las tasas institucionales se obtienen de conteos, nunca del promedio de tasas sectoriales.</v>
      </c>
      <c r="L14" s="31" t="str">
        <v>En 2025 los sectores suman los totales de cada fuente. Las tasas institucionales se obtienen de conteos, nunca del promedio de tasas sectoriales.</v>
      </c>
      <c r="M14" s="31" t="str">
        <v>En 2025 los sectores suman los totales de cada fuente. Las tasas institucionales se obtienen de conteos, nunca del promedio de tasas sectoriales.</v>
      </c>
      <c r="N14" s="31" t="str">
        <v>En 2025 los sectores suman los totales de cada fuente. Las tasas institucionales se obtienen de conteos, nunca del promedio de tasas sectoriales.</v>
      </c>
      <c r="O14" s="31" t="str">
        <v>En 2025 los sectores suman los totales de cada fuente. Las tasas institucionales se obtienen de conteos, nunca del promedio de tasas sectoriales.</v>
      </c>
      <c r="P14" s="31" t="str">
        <v>En 2025 los sectores suman los totales de cada fuente. Las tasas institucionales se obtienen de conteos, nunca del promedio de tasas sectoriales.</v>
      </c>
      <c r="Q14" s="31" t="str">
        <v>En 2025 los sectores suman los totales de cada fuente. Las tasas institucionales se obtienen de conteos, nunca del promedio de tasas sectoriales.</v>
      </c>
    </row>
    <row r="15" ht="23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ht="23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mergeCells>
    <mergeCell ref="A2:H2"/>
    <mergeCell ref="A3:H4"/>
    <mergeCell ref="A12:Q12"/>
    <mergeCell ref="A13:Q13"/>
    <mergeCell ref="A14:Q14"/>
    <mergeCell ref="A5:H5"/>
    <mergeCell ref="J5:Q5"/>
  </mergeCells>
  <printOptions headings="0" gridLines="0"/>
  <pageMargins left="0.25" right="0.25" top="0.35" bottom="0.35" header="0.1" footer="0.1"/>
  <pageSetup paperSize="8" orientation="landscape" fitToWidth="1" fitToHeight="0"/>
  <tableParts count="2">
    <tablePart ns1:id="R72e247ed291247e4"/>
    <tablePart ns1:id="R89ff157bfd614ac4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30" hidden="0" customWidth="1"/>
    <col min="2" max="2" width="21" hidden="0" customWidth="1"/>
    <col min="3" max="3" width="17" hidden="0" customWidth="1"/>
    <col min="4" max="4" width="17" hidden="0" customWidth="1"/>
    <col min="5" max="5" width="16" hidden="0" customWidth="1"/>
    <col min="6" max="6" width="18" hidden="0" customWidth="1"/>
    <col min="7" max="7" width="13" hidden="0" customWidth="1"/>
    <col min="8" max="8" width="56" hidden="0" customWidth="1"/>
  </cols>
  <sheetData>
    <row r="1" ht="23" customHeight="1">
      <c r="A1" s="15"/>
      <c r="B1" s="15"/>
      <c r="C1" s="15"/>
      <c r="D1" s="15"/>
      <c r="E1" s="15"/>
      <c r="F1" s="15"/>
      <c r="G1" s="15"/>
      <c r="H1" s="15"/>
    </row>
    <row r="2" ht="32" customHeight="1">
      <c r="A2" s="16" t="str">
        <v>Seguimiento T1 a T2/T3 · 2026</v>
      </c>
      <c r="B2" s="16"/>
      <c r="C2" s="16"/>
      <c r="D2" s="16"/>
      <c r="E2" s="16"/>
      <c r="F2" s="16"/>
      <c r="G2" s="16"/>
      <c r="H2" s="16"/>
    </row>
    <row r="3" ht="23" customHeight="1">
      <c r="A3" s="44" t="str">
        <v>BORRADOR · indicador interno · no oficial · paridad con fuentes crudas pendiente</v>
      </c>
      <c r="B3" s="44" t="str">
        <v>BORRADOR · indicador interno · no oficial · paridad con fuentes crudas pendiente</v>
      </c>
      <c r="C3" s="44" t="str">
        <v>BORRADOR · indicador interno · no oficial · paridad con fuentes crudas pendiente</v>
      </c>
      <c r="D3" s="44" t="str">
        <v>BORRADOR · indicador interno · no oficial · paridad con fuentes crudas pendiente</v>
      </c>
      <c r="E3" s="44" t="str">
        <v>BORRADOR · indicador interno · no oficial · paridad con fuentes crudas pendiente</v>
      </c>
      <c r="F3" s="44" t="str">
        <v>BORRADOR · indicador interno · no oficial · paridad con fuentes crudas pendiente</v>
      </c>
      <c r="G3" s="44" t="str">
        <v>BORRADOR · indicador interno · no oficial · paridad con fuentes crudas pendiente</v>
      </c>
      <c r="H3" s="44" t="str">
        <v>BORRADOR · indicador interno · no oficial · paridad con fuentes crudas pendiente</v>
      </c>
    </row>
    <row r="4" ht="23" customHeight="1">
      <c r="A4" s="44" t="str">
        <v>BORRADOR · indicador interno · no oficial · paridad con fuentes crudas pendiente</v>
      </c>
      <c r="B4" s="44" t="str">
        <v>BORRADOR · indicador interno · no oficial · paridad con fuentes crudas pendiente</v>
      </c>
      <c r="C4" s="44" t="str">
        <v>BORRADOR · indicador interno · no oficial · paridad con fuentes crudas pendiente</v>
      </c>
      <c r="D4" s="44" t="str">
        <v>BORRADOR · indicador interno · no oficial · paridad con fuentes crudas pendiente</v>
      </c>
      <c r="E4" s="44" t="str">
        <v>BORRADOR · indicador interno · no oficial · paridad con fuentes crudas pendiente</v>
      </c>
      <c r="F4" s="44" t="str">
        <v>BORRADOR · indicador interno · no oficial · paridad con fuentes crudas pendiente</v>
      </c>
      <c r="G4" s="44" t="str">
        <v>BORRADOR · indicador interno · no oficial · paridad con fuentes crudas pendiente</v>
      </c>
      <c r="H4" s="44" t="str">
        <v>BORRADOR · indicador interno · no oficial · paridad con fuentes crudas pendiente</v>
      </c>
    </row>
    <row r="5" ht="29" customHeight="1">
      <c r="A5" s="17" t="str">
        <v>Medidas documentadas en la regla vigente (borrador)</v>
      </c>
      <c r="B5" s="17" t="str">
        <v>Medidas documentadas en la regla vigente (borrador)</v>
      </c>
      <c r="C5" s="17" t="str">
        <v>Medidas documentadas en la regla vigente (borrador)</v>
      </c>
      <c r="D5" s="17" t="str">
        <v>Medidas documentadas en la regla vigente (borrador)</v>
      </c>
      <c r="E5" s="17" t="str">
        <v>Medidas documentadas en la regla vigente (borrador)</v>
      </c>
      <c r="F5" s="17" t="str">
        <v>Medidas documentadas en la regla vigente (borrador)</v>
      </c>
      <c r="G5" s="17" t="str">
        <v>Medidas documentadas en la regla vigente (borrador)</v>
      </c>
      <c r="H5" s="17" t="str">
        <v>Medidas documentadas en la regla vigente (borrador)</v>
      </c>
    </row>
    <row r="6" ht="45" customHeight="1">
      <c r="A6" s="9" t="str">
        <v>Medida</v>
      </c>
      <c r="B6" s="9" t="str">
        <v>Evidencia</v>
      </c>
      <c r="C6" s="9" t="str">
        <v>Numerador</v>
      </c>
      <c r="D6" s="9" t="str">
        <v>Denominador</v>
      </c>
      <c r="E6" s="9" t="str">
        <v>Tasa</v>
      </c>
      <c r="F6" s="9" t="str">
        <v>Unidad</v>
      </c>
      <c r="G6" s="9" t="str">
        <v>Clase</v>
      </c>
      <c r="H6" s="9" t="str">
        <v>Límite</v>
      </c>
    </row>
    <row r="7" ht="40" customHeight="1">
      <c r="A7" s="14" t="str">
        <v>T1 → T2</v>
      </c>
      <c r="B7" s="14" t="str">
        <v>Proxy actividad</v>
      </c>
      <c r="C7" s="33" t="n">
        <v>1042</v>
      </c>
      <c r="D7" s="33" t="n">
        <v>1471</v>
      </c>
      <c r="E7" s="34" t="n">
        <f>C7/D7</f>
        <v>0.708361658735554</v>
      </c>
      <c r="F7" s="14" t="str">
        <v>Personas</v>
      </c>
      <c r="G7" s="14" t="str">
        <v>C/E</v>
      </c>
      <c r="H7" s="14" t="str">
        <v>Estado del extracto PROMEDIOS; no acredita foto de matrícula.</v>
      </c>
    </row>
    <row r="8" ht="40" customHeight="1">
      <c r="A8" s="15" t="str">
        <v>T1 → T3</v>
      </c>
      <c r="B8" s="15" t="str">
        <v>Foto T3</v>
      </c>
      <c r="C8" s="37" t="n">
        <v>1360</v>
      </c>
      <c r="D8" s="37" t="n">
        <v>1467</v>
      </c>
      <c r="E8" s="38" t="n">
        <f>C8/D8</f>
        <v>0.92706203135651</v>
      </c>
      <c r="F8" s="15" t="str">
        <v>Personas</v>
      </c>
      <c r="G8" s="15" t="str">
        <v>B/C/D</v>
      </c>
      <c r="H8" s="15" t="str">
        <v>1.471 originales menos 4 NO APLICA. T3 en curso al 22-10-2026.</v>
      </c>
    </row>
    <row r="9" ht="40" customHeight="1">
      <c r="A9" s="14" t="str">
        <v>Ingreso T2 → T2</v>
      </c>
      <c r="B9" s="14" t="str">
        <v>Renuncias agregadas</v>
      </c>
      <c r="C9" s="33" t="n">
        <v>462</v>
      </c>
      <c r="D9" s="33" t="n">
        <v>528</v>
      </c>
      <c r="E9" s="34" t="n">
        <f>C9/D9</f>
        <v>0.875</v>
      </c>
      <c r="F9" s="14" t="str">
        <v>Matrículas</v>
      </c>
      <c r="G9" s="14" t="str">
        <v>B/C/E</v>
      </c>
      <c r="H9" s="14" t="str">
        <v>528 matrículas y 527 personas; no dividir por personas.</v>
      </c>
    </row>
    <row r="10" ht="40" customHeight="1">
      <c r="A10" s="15" t="str">
        <v>Ingreso T2 → T3</v>
      </c>
      <c r="B10" s="15" t="str">
        <v>Foto T3</v>
      </c>
      <c r="C10" s="37" t="n">
        <v>467</v>
      </c>
      <c r="D10" s="37" t="n">
        <v>527</v>
      </c>
      <c r="E10" s="38" t="n">
        <f>C10/D10</f>
        <v>0.886148007590133</v>
      </c>
      <c r="F10" s="15" t="str">
        <v>Personas</v>
      </c>
      <c r="G10" s="15" t="str">
        <v>B/C/E</v>
      </c>
      <c r="H10" s="15" t="str">
        <v>Denominador de personas de la foto; no confundir con la tasa T2.</v>
      </c>
    </row>
    <row r="11" ht="27" customHeight="1">
      <c r="A11" s="14" t="str">
        <v>Ingreso T3 → T3</v>
      </c>
      <c r="B11" s="14" t="str">
        <v>Foto T3</v>
      </c>
      <c r="C11" s="33" t="n">
        <v>480</v>
      </c>
      <c r="D11" s="33" t="n">
        <v>545</v>
      </c>
      <c r="E11" s="34" t="n">
        <f>C11/D11</f>
        <v>0.880733944954129</v>
      </c>
      <c r="F11" s="14" t="str">
        <v>Personas</v>
      </c>
      <c r="G11" s="14" t="str">
        <v>B/C/E</v>
      </c>
      <c r="H11" s="14" t="str">
        <v>Ingreso T3; T2 no aplica. Foto en curso.</v>
      </c>
    </row>
    <row r="12" ht="40" customHeight="1">
      <c r="A12" s="15" t="str">
        <v>Total único → T3</v>
      </c>
      <c r="B12" s="15" t="str">
        <v>Foto T3</v>
      </c>
      <c r="C12" s="37" t="n">
        <v>2290</v>
      </c>
      <c r="D12" s="37" t="n">
        <v>2519</v>
      </c>
      <c r="E12" s="38" t="n">
        <f>C12/D12</f>
        <v>0.909090909090909</v>
      </c>
      <c r="F12" s="15" t="str">
        <v>Personas</v>
      </c>
      <c r="G12" s="15" t="str">
        <v>C/D/E</v>
      </c>
      <c r="H12" s="15" t="str">
        <v>2.523 originales menos 4 NO APLICA; deduplicación anual.</v>
      </c>
    </row>
    <row r="13" ht="40" customHeight="1">
      <c r="A13" s="14" t="str">
        <v>Total único → T2</v>
      </c>
      <c r="B13" s="14" t="str">
        <v>Sin foto completa</v>
      </c>
      <c r="C13" s="33"/>
      <c r="D13" s="33"/>
      <c r="E13" s="34"/>
      <c r="F13" s="14" t="str">
        <v>Personas</v>
      </c>
      <c r="G13" s="14" t="str">
        <v>E</v>
      </c>
      <c r="H13" s="14" t="str">
        <v>No calcular tasa; no equivale a cero.</v>
      </c>
    </row>
    <row r="14" ht="40" customHeight="1">
      <c r="A14" s="15" t="str">
        <v>Ingreso T3 → T2</v>
      </c>
      <c r="B14" s="15" t="str">
        <v>No aplica</v>
      </c>
      <c r="C14" s="37"/>
      <c r="D14" s="37"/>
      <c r="E14" s="38"/>
      <c r="F14" s="15" t="str">
        <v>Personas</v>
      </c>
      <c r="G14" s="15" t="str">
        <v>C/E</v>
      </c>
      <c r="H14" s="15" t="str">
        <v>No pertenece al seguimiento previo a su ingreso.</v>
      </c>
    </row>
    <row r="15" ht="23" customHeight="1">
      <c r="A15" s="15"/>
      <c r="B15" s="15"/>
      <c r="C15" s="15"/>
      <c r="D15" s="15"/>
      <c r="E15" s="15"/>
      <c r="F15" s="15"/>
      <c r="G15" s="15"/>
      <c r="H15" s="15"/>
    </row>
    <row r="16" ht="24" customHeight="1">
      <c r="A16" s="31" t="str">
        <v>No sumar estas filas: grupos y totales se solapan. Las matrículas T2 no se agregan a las personas. «Sin foto completa» y «No aplica» no son ceros.</v>
      </c>
      <c r="B16" s="31" t="str">
        <v>No sumar estas filas: grupos y totales se solapan. Las matrículas T2 no se agregan a las personas. «Sin foto completa» y «No aplica» no son ceros.</v>
      </c>
      <c r="C16" s="31" t="str">
        <v>No sumar estas filas: grupos y totales se solapan. Las matrículas T2 no se agregan a las personas. «Sin foto completa» y «No aplica» no son ceros.</v>
      </c>
      <c r="D16" s="31" t="str">
        <v>No sumar estas filas: grupos y totales se solapan. Las matrículas T2 no se agregan a las personas. «Sin foto completa» y «No aplica» no son ceros.</v>
      </c>
      <c r="E16" s="31" t="str">
        <v>No sumar estas filas: grupos y totales se solapan. Las matrículas T2 no se agregan a las personas. «Sin foto completa» y «No aplica» no son ceros.</v>
      </c>
      <c r="F16" s="31" t="str">
        <v>No sumar estas filas: grupos y totales se solapan. Las matrículas T2 no se agregan a las personas. «Sin foto completa» y «No aplica» no son ceros.</v>
      </c>
      <c r="G16" s="31" t="str">
        <v>No sumar estas filas: grupos y totales se solapan. Las matrículas T2 no se agregan a las personas. «Sin foto completa» y «No aplica» no son ceros.</v>
      </c>
      <c r="H16" s="31" t="str">
        <v>No sumar estas filas: grupos y totales se solapan. Las matrículas T2 no se agregan a las personas. «Sin foto completa» y «No aplica» no son ceros.</v>
      </c>
    </row>
    <row r="17" ht="40" customHeight="1">
      <c r="A17" s="31" t="str">
        <v>E: cinco personas con dos matrículas vigentes están en la construcción desde fuentes y no en V24; la causa de exclusión sigue pendiente. Se conserva V24.</v>
      </c>
      <c r="B17" s="31" t="str">
        <v>E: cinco personas con dos matrículas vigentes están en la construcción desde fuentes y no en V24; la causa de exclusión sigue pendiente. Se conserva V24.</v>
      </c>
      <c r="C17" s="31" t="str">
        <v>E: cinco personas con dos matrículas vigentes están en la construcción desde fuentes y no en V24; la causa de exclusión sigue pendiente. Se conserva V24.</v>
      </c>
      <c r="D17" s="31" t="str">
        <v>E: cinco personas con dos matrículas vigentes están en la construcción desde fuentes y no en V24; la causa de exclusión sigue pendiente. Se conserva V24.</v>
      </c>
      <c r="E17" s="31" t="str">
        <v>E: cinco personas con dos matrículas vigentes están en la construcción desde fuentes y no en V24; la causa de exclusión sigue pendiente. Se conserva V24.</v>
      </c>
      <c r="F17" s="31" t="str">
        <v>E: cinco personas con dos matrículas vigentes están en la construcción desde fuentes y no en V24; la causa de exclusión sigue pendiente. Se conserva V24.</v>
      </c>
      <c r="G17" s="31" t="str">
        <v>E: cinco personas con dos matrículas vigentes están en la construcción desde fuentes y no en V24; la causa de exclusión sigue pendiente. Se conserva V24.</v>
      </c>
      <c r="H17" s="31" t="str">
        <v>E: cinco personas con dos matrículas vigentes están en la construcción desde fuentes y no en V24; la causa de exclusión sigue pendiente. Se conserva V24.</v>
      </c>
    </row>
    <row r="18" ht="40" customHeight="1">
      <c r="A18" s="31" t="str">
        <v>E: faltan la paridad completa de proxies y desgloses sector/tipo y la auditoría integral de exclusión de diplomados en V24. No se activa el indicador.</v>
      </c>
      <c r="B18" s="31" t="str">
        <v>E: faltan la paridad completa de proxies y desgloses sector/tipo y la auditoría integral de exclusión de diplomados en V24. No se activa el indicador.</v>
      </c>
      <c r="C18" s="31" t="str">
        <v>E: faltan la paridad completa de proxies y desgloses sector/tipo y la auditoría integral de exclusión de diplomados en V24. No se activa el indicador.</v>
      </c>
      <c r="D18" s="31" t="str">
        <v>E: faltan la paridad completa de proxies y desgloses sector/tipo y la auditoría integral de exclusión de diplomados en V24. No se activa el indicador.</v>
      </c>
      <c r="E18" s="31" t="str">
        <v>E: faltan la paridad completa de proxies y desgloses sector/tipo y la auditoría integral de exclusión de diplomados en V24. No se activa el indicador.</v>
      </c>
      <c r="F18" s="31" t="str">
        <v>E: faltan la paridad completa de proxies y desgloses sector/tipo y la auditoría integral de exclusión de diplomados en V24. No se activa el indicador.</v>
      </c>
      <c r="G18" s="31" t="str">
        <v>E: faltan la paridad completa de proxies y desgloses sector/tipo y la auditoría integral de exclusión de diplomados en V24. No se activa el indicador.</v>
      </c>
      <c r="H18" s="31" t="str">
        <v>E: faltan la paridad completa de proxies y desgloses sector/tipo y la auditoría integral de exclusión de diplomados en V24. No se activa el indicador.</v>
      </c>
    </row>
    <row r="19" ht="23" customHeight="1">
      <c r="A19" s="15"/>
      <c r="B19" s="15"/>
      <c r="C19" s="15"/>
      <c r="D19" s="15"/>
      <c r="E19" s="15"/>
      <c r="F19" s="15"/>
      <c r="G19" s="15"/>
      <c r="H19" s="15"/>
    </row>
    <row r="20" ht="23" customHeight="1">
      <c r="A20" s="15"/>
      <c r="B20" s="15"/>
      <c r="C20" s="15"/>
      <c r="D20" s="15"/>
      <c r="E20" s="15"/>
      <c r="F20" s="15"/>
      <c r="G20" s="15"/>
      <c r="H20" s="15"/>
    </row>
  </sheetData>
  <mergeCells>
    <mergeCell ref="A2:H2"/>
    <mergeCell ref="A3:H4"/>
    <mergeCell ref="A16:H16"/>
    <mergeCell ref="A17:H17"/>
    <mergeCell ref="A18:H18"/>
    <mergeCell ref="A5:H5"/>
  </mergeCells>
  <printOptions headings="0" gridLines="0"/>
  <pageMargins left="0.25" right="0.25" top="0.35" bottom="0.35" header="0.1" footer="0.1"/>
  <pageSetup paperSize="8" orientation="landscape" fitToWidth="1" fitToHeight="0"/>
  <tableParts count="1">
    <tablePart ns1:id="R11f16086fea24a7a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ySplit="20" topLeftCell="A21" activePane="bottomLeft" state="frozen"/>
    </sheetView>
  </sheetViews>
  <sheetFormatPr defaultRowHeight="15"/>
  <cols>
    <col min="1" max="1" width="52" hidden="0" customWidth="1"/>
    <col min="2" max="2" width="36" hidden="0" customWidth="1"/>
    <col min="3" max="3" width="44" hidden="0" customWidth="1"/>
    <col min="4" max="4" width="44" hidden="0" customWidth="1"/>
    <col min="5" max="5" width="20" hidden="0" customWidth="1"/>
    <col min="6" max="6" width="16" hidden="0" customWidth="1"/>
    <col min="7" max="7" width="14" hidden="0" customWidth="1"/>
    <col min="8" max="8" width="20" hidden="0" customWidth="1"/>
  </cols>
  <sheetData>
    <row r="1" ht="10" customHeight="1">
      <c r="A1" s="15"/>
      <c r="B1" s="15"/>
      <c r="C1" s="15"/>
      <c r="D1" s="15"/>
      <c r="E1" s="15"/>
      <c r="F1" s="15"/>
      <c r="G1" s="15"/>
      <c r="H1" s="15"/>
    </row>
    <row r="2" ht="32" customHeight="1">
      <c r="A2" s="16" t="str">
        <v>Paridad de códigos · catálogo 2027</v>
      </c>
      <c r="B2" s="16"/>
      <c r="C2" s="16"/>
      <c r="D2" s="16"/>
      <c r="E2" s="16"/>
      <c r="F2" s="16"/>
      <c r="G2" s="16"/>
      <c r="H2" s="16"/>
    </row>
    <row r="3" ht="17" customHeight="1">
      <c r="A3" s="31" t="str">
        <v>Catálogo agregado, no asignación de personas ni archivo de carga. Oferta V06 preparada (C); regla interna activa (D).</v>
      </c>
      <c r="B3" s="31" t="str">
        <v>Catálogo agregado, no asignación de personas ni archivo de carga. Oferta V06 preparada (C); regla interna activa (D).</v>
      </c>
      <c r="C3" s="31" t="str">
        <v>Catálogo agregado, no asignación de personas ni archivo de carga. Oferta V06 preparada (C); regla interna activa (D).</v>
      </c>
      <c r="D3" s="31" t="str">
        <v>Catálogo agregado, no asignación de personas ni archivo de carga. Oferta V06 preparada (C); regla interna activa (D).</v>
      </c>
      <c r="E3" s="31" t="str">
        <v>Catálogo agregado, no asignación de personas ni archivo de carga. Oferta V06 preparada (C); regla interna activa (D).</v>
      </c>
      <c r="F3" s="31" t="str">
        <v>Catálogo agregado, no asignación de personas ni archivo de carga. Oferta V06 preparada (C); regla interna activa (D).</v>
      </c>
      <c r="G3" s="31" t="str">
        <v>Catálogo agregado, no asignación de personas ni archivo de carga. Oferta V06 preparada (C); regla interna activa (D).</v>
      </c>
      <c r="H3" s="31" t="str">
        <v>Catálogo agregado, no asignación de personas ni archivo de carga. Oferta V06 preparada (C); regla interna activa (D).</v>
      </c>
    </row>
    <row r="4" ht="17" customHeight="1">
      <c r="A4" s="31" t="str">
        <v>Catálogo agregado, no asignación de personas ni archivo de carga. Oferta V06 preparada (C); regla interna activa (D).</v>
      </c>
      <c r="B4" s="31" t="str">
        <v>Catálogo agregado, no asignación de personas ni archivo de carga. Oferta V06 preparada (C); regla interna activa (D).</v>
      </c>
      <c r="C4" s="31" t="str">
        <v>Catálogo agregado, no asignación de personas ni archivo de carga. Oferta V06 preparada (C); regla interna activa (D).</v>
      </c>
      <c r="D4" s="31" t="str">
        <v>Catálogo agregado, no asignación de personas ni archivo de carga. Oferta V06 preparada (C); regla interna activa (D).</v>
      </c>
      <c r="E4" s="31" t="str">
        <v>Catálogo agregado, no asignación de personas ni archivo de carga. Oferta V06 preparada (C); regla interna activa (D).</v>
      </c>
      <c r="F4" s="31" t="str">
        <v>Catálogo agregado, no asignación de personas ni archivo de carga. Oferta V06 preparada (C); regla interna activa (D).</v>
      </c>
      <c r="G4" s="31" t="str">
        <v>Catálogo agregado, no asignación de personas ni archivo de carga. Oferta V06 preparada (C); regla interna activa (D).</v>
      </c>
      <c r="H4" s="31" t="str">
        <v>Catálogo agregado, no asignación de personas ni archivo de carga. Oferta V06 preparada (C); regla interna activa (D).</v>
      </c>
    </row>
    <row r="5" ht="29" customHeight="1">
      <c r="A5" s="17" t="str">
        <v>Resumen por estado · unidad: códigos por año</v>
      </c>
      <c r="B5" s="17" t="str">
        <v>Resumen por estado · unidad: códigos por año</v>
      </c>
      <c r="C5" s="17" t="str">
        <v>Resumen por estado · unidad: códigos por año</v>
      </c>
      <c r="D5" s="15"/>
      <c r="E5" s="15"/>
      <c r="F5" s="15"/>
      <c r="G5" s="15"/>
      <c r="H5" s="15"/>
    </row>
    <row r="6" ht="30" customHeight="1">
      <c r="A6" s="9" t="str">
        <v>Estado</v>
      </c>
      <c r="B6" s="9" t="str">
        <v>Códigos 2026</v>
      </c>
      <c r="C6" s="9" t="str">
        <v>Códigos 2027</v>
      </c>
      <c r="D6" s="15"/>
      <c r="E6" s="15"/>
      <c r="F6" s="15"/>
      <c r="G6" s="15"/>
      <c r="H6" s="15"/>
    </row>
    <row r="7" ht="22" customHeight="1">
      <c r="A7" s="14" t="str">
        <v>APROBADA_D_2027</v>
      </c>
      <c r="B7" s="33" t="n">
        <v>0</v>
      </c>
      <c r="C7" s="33" t="n">
        <v>13</v>
      </c>
      <c r="D7" s="15"/>
      <c r="E7" s="15"/>
      <c r="F7" s="15"/>
      <c r="G7" s="15"/>
      <c r="H7" s="15"/>
    </row>
    <row r="8" ht="22" customHeight="1">
      <c r="A8" s="15" t="str">
        <v>CONTINUA</v>
      </c>
      <c r="B8" s="37" t="n">
        <v>53</v>
      </c>
      <c r="C8" s="37" t="n">
        <v>53</v>
      </c>
      <c r="D8" s="15"/>
      <c r="E8" s="15"/>
      <c r="F8" s="15"/>
      <c r="G8" s="15"/>
      <c r="H8" s="15"/>
    </row>
    <row r="9" ht="22" customHeight="1">
      <c r="A9" s="14" t="str">
        <v>FUERA_ALCANCE</v>
      </c>
      <c r="B9" s="33" t="n">
        <v>11</v>
      </c>
      <c r="C9" s="33" t="n">
        <v>21</v>
      </c>
      <c r="D9" s="15"/>
      <c r="E9" s="15"/>
      <c r="F9" s="15"/>
      <c r="G9" s="15"/>
      <c r="H9" s="15"/>
    </row>
    <row r="10" ht="22" customHeight="1">
      <c r="A10" s="15" t="str">
        <v>HISTORICO_SIN_MATRICULA_RECIENTE</v>
      </c>
      <c r="B10" s="37" t="n">
        <v>0</v>
      </c>
      <c r="C10" s="37" t="n">
        <v>6</v>
      </c>
      <c r="D10" s="15"/>
      <c r="E10" s="15"/>
      <c r="F10" s="15"/>
      <c r="G10" s="15"/>
      <c r="H10" s="15"/>
    </row>
    <row r="11" ht="22" customHeight="1">
      <c r="A11" s="14" t="str">
        <v>NUEVO_2027_SIN_PLAN_E</v>
      </c>
      <c r="B11" s="33" t="n">
        <v>0</v>
      </c>
      <c r="C11" s="33" t="n">
        <v>37</v>
      </c>
      <c r="D11" s="15"/>
      <c r="E11" s="15"/>
      <c r="F11" s="15"/>
      <c r="G11" s="15"/>
      <c r="H11" s="15"/>
    </row>
    <row r="12" ht="22" customHeight="1">
      <c r="A12" s="15" t="str">
        <v>SIN_OFERTA_2027</v>
      </c>
      <c r="B12" s="37" t="n">
        <v>4</v>
      </c>
      <c r="C12" s="37" t="n">
        <v>0</v>
      </c>
      <c r="D12" s="15"/>
      <c r="E12" s="15"/>
      <c r="F12" s="15"/>
      <c r="G12" s="15"/>
      <c r="H12" s="15"/>
    </row>
    <row r="13" ht="22" customHeight="1">
      <c r="A13" s="14" t="str">
        <v>VERSION_MULTIPLE_E</v>
      </c>
      <c r="B13" s="33" t="n">
        <v>14</v>
      </c>
      <c r="C13" s="33" t="n">
        <v>0</v>
      </c>
      <c r="D13" s="15"/>
      <c r="E13" s="15"/>
      <c r="F13" s="15"/>
      <c r="G13" s="15"/>
      <c r="H13" s="15"/>
    </row>
    <row r="14" ht="22" customHeight="1">
      <c r="A14" s="15" t="str">
        <v>VERSION_MULTIPLE_RESUELTA</v>
      </c>
      <c r="B14" s="37" t="n">
        <v>24</v>
      </c>
      <c r="C14" s="37" t="n">
        <v>31</v>
      </c>
      <c r="D14" s="15"/>
      <c r="E14" s="15"/>
      <c r="F14" s="15"/>
      <c r="G14" s="15"/>
      <c r="H14" s="15"/>
    </row>
    <row r="15" ht="22" customHeight="1">
      <c r="A15" s="14" t="str">
        <v>TOTAL</v>
      </c>
      <c r="B15" s="33" t="n">
        <f>SUM(B7:B14)</f>
        <v>106</v>
      </c>
      <c r="C15" s="33" t="n">
        <f>SUM(C7:C14)</f>
        <v>161</v>
      </c>
      <c r="D15" s="15"/>
      <c r="E15" s="15"/>
      <c r="F15" s="15"/>
      <c r="G15" s="15"/>
      <c r="H15" s="15"/>
    </row>
    <row r="16" ht="9" customHeight="1">
      <c r="A16" s="15"/>
      <c r="B16" s="15"/>
      <c r="C16" s="15"/>
      <c r="D16" s="15"/>
      <c r="E16" s="15"/>
      <c r="F16" s="15"/>
      <c r="G16" s="15"/>
      <c r="H16" s="15"/>
    </row>
    <row r="17" ht="20" customHeight="1">
      <c r="A17" s="31" t="str">
        <v>ANTIGUO: conserva el código MU 2026. Revisión solo si falta código, no existe en oferta 2027 o tiene VIGENCIA 3; tipo E queda informativo.</v>
      </c>
      <c r="B17" s="31" t="str">
        <v>ANTIGUO: conserva el código MU 2026. Revisión solo si falta código, no existe en oferta 2027 o tiene VIGENCIA 3; tipo E queda informativo.</v>
      </c>
      <c r="C17" s="31" t="str">
        <v>ANTIGUO: conserva el código MU 2026. Revisión solo si falta código, no existe en oferta 2027 o tiene VIGENCIA 3; tipo E queda informativo.</v>
      </c>
      <c r="D17" s="31" t="str">
        <v>ANTIGUO: conserva el código MU 2026. Revisión solo si falta código, no existe en oferta 2027 o tiene VIGENCIA 3; tipo E queda informativo.</v>
      </c>
      <c r="E17" s="31" t="str">
        <v>ANTIGUO: conserva el código MU 2026. Revisión solo si falta código, no existe en oferta 2027 o tiene VIGENCIA 3; tipo E queda informativo.</v>
      </c>
      <c r="F17" s="31" t="str">
        <v>ANTIGUO: conserva el código MU 2026. Revisión solo si falta código, no existe en oferta 2027 o tiene VIGENCIA 3; tipo E queda informativo.</v>
      </c>
      <c r="G17" s="31" t="str">
        <v>ANTIGUO: conserva el código MU 2026. Revisión solo si falta código, no existe en oferta 2027 o tiene VIGENCIA 3; tipo E queda informativo.</v>
      </c>
      <c r="H17" s="31" t="str">
        <v>ANTIGUO: conserva el código MU 2026. Revisión solo si falta código, no existe en oferta 2027 o tiene VIGENCIA 3; tipo E queda informativo.</v>
      </c>
    </row>
    <row r="18" ht="20" customHeight="1">
      <c r="A18" s="15"/>
      <c r="B18" s="15"/>
      <c r="C18" s="15"/>
      <c r="D18" s="15"/>
      <c r="E18" s="15"/>
      <c r="F18" s="15"/>
      <c r="G18" s="15"/>
      <c r="H18" s="15"/>
    </row>
    <row r="19" ht="29" customHeight="1">
      <c r="A19" s="17" t="str">
        <v>Tabla completa 2027 · resueltos, pendientes y fuera de alcance</v>
      </c>
      <c r="B19" s="17" t="str">
        <v>Tabla completa 2027 · resueltos, pendientes y fuera de alcance</v>
      </c>
      <c r="C19" s="17" t="str">
        <v>Tabla completa 2027 · resueltos, pendientes y fuera de alcance</v>
      </c>
      <c r="D19" s="17" t="str">
        <v>Tabla completa 2027 · resueltos, pendientes y fuera de alcance</v>
      </c>
      <c r="E19" s="17" t="str">
        <v>Tabla completa 2027 · resueltos, pendientes y fuera de alcance</v>
      </c>
      <c r="F19" s="17" t="str">
        <v>Tabla completa 2027 · resueltos, pendientes y fuera de alcance</v>
      </c>
      <c r="G19" s="17" t="str">
        <v>Tabla completa 2027 · resueltos, pendientes y fuera de alcance</v>
      </c>
      <c r="H19" s="17" t="str">
        <v>Tabla completa 2027 · resueltos, pendientes y fuera de alcance</v>
      </c>
    </row>
    <row r="20" ht="45" customHeight="1">
      <c r="A20" s="9" t="str">
        <v>Código SIES</v>
      </c>
      <c r="B20" s="9" t="str">
        <v>Carrera SIES</v>
      </c>
      <c r="C20" s="9" t="str">
        <v>Plan UMAS / candidatos</v>
      </c>
      <c r="D20" s="9" t="str">
        <v>Estado</v>
      </c>
      <c r="E20" s="9" t="str">
        <v>Versión para nuevos</v>
      </c>
      <c r="F20" s="9" t="str">
        <v>Vigencia 2027</v>
      </c>
      <c r="G20" s="9" t="str">
        <v>Clase</v>
      </c>
      <c r="H20" s="9" t="str">
        <v>CODCARPR</v>
      </c>
    </row>
    <row r="21" ht="40" customHeight="1">
      <c r="A21" s="14" t="str">
        <v>I162S2C10J1V1</v>
      </c>
      <c r="B21" s="14" t="str">
        <v>TECNICO EN PREVENCION DE RIESGOS</v>
      </c>
      <c r="C21" s="14" t="str">
        <v>TPRRE20131</v>
      </c>
      <c r="D21" s="14" t="str">
        <v>APROBADA_D_2027</v>
      </c>
      <c r="E21" s="14" t="str">
        <v>no</v>
      </c>
      <c r="F21" s="14" t="str">
        <v>2</v>
      </c>
      <c r="G21" s="14" t="str">
        <v>D</v>
      </c>
      <c r="H21" s="14" t="str">
        <v>TPRRE</v>
      </c>
    </row>
    <row r="22" ht="40" customHeight="1">
      <c r="A22" s="15" t="str">
        <v>I162S2C10J2V1</v>
      </c>
      <c r="B22" s="15" t="str">
        <v>TECNICO EN PREVENCION DE RIESGOS</v>
      </c>
      <c r="C22" s="15" t="str">
        <v>TPRRE20131</v>
      </c>
      <c r="D22" s="15" t="str">
        <v>APROBADA_D_2027</v>
      </c>
      <c r="E22" s="15" t="str">
        <v>no</v>
      </c>
      <c r="F22" s="15" t="str">
        <v>2</v>
      </c>
      <c r="G22" s="15" t="str">
        <v>D</v>
      </c>
      <c r="H22" s="15" t="str">
        <v>TPRRE</v>
      </c>
    </row>
    <row r="23" ht="40" customHeight="1">
      <c r="A23" s="14" t="str">
        <v>I162S2C10J4V1</v>
      </c>
      <c r="B23" s="14" t="str">
        <v>TECNICO EN PREVENCION DE RIESGOS</v>
      </c>
      <c r="C23" s="14" t="str">
        <v>TPRE20261</v>
      </c>
      <c r="D23" s="14" t="str">
        <v>CONTINUA</v>
      </c>
      <c r="E23" s="14" t="str">
        <v>sí</v>
      </c>
      <c r="F23" s="14" t="str">
        <v>1</v>
      </c>
      <c r="G23" s="14" t="str">
        <v>C</v>
      </c>
      <c r="H23" s="14" t="str">
        <v>TPRE</v>
      </c>
    </row>
    <row r="24" ht="27" customHeight="1">
      <c r="A24" s="15" t="str">
        <v>I162S2C111J4V1</v>
      </c>
      <c r="B24" s="15" t="str">
        <v>INGENIERIA EN FINANZAS</v>
      </c>
      <c r="C24" s="15" t="str">
        <v>IFIN20261</v>
      </c>
      <c r="D24" s="15" t="str">
        <v>VERSION_MULTIPLE_RESUELTA</v>
      </c>
      <c r="E24" s="15" t="str">
        <v>sí</v>
      </c>
      <c r="F24" s="15" t="str">
        <v>1</v>
      </c>
      <c r="G24" s="15" t="str">
        <v>C</v>
      </c>
      <c r="H24" s="15" t="str">
        <v>IFIN</v>
      </c>
    </row>
    <row r="25" ht="27" customHeight="1">
      <c r="A25" s="14" t="str">
        <v>I162S2C111J4V2</v>
      </c>
      <c r="B25" s="14" t="str">
        <v>INGENIERIA EN FINANZAS</v>
      </c>
      <c r="C25" s="14" t="str">
        <v>CIFIN20261; IFIN20261</v>
      </c>
      <c r="D25" s="14" t="str">
        <v>VERSION_MULTIPLE_RESUELTA</v>
      </c>
      <c r="E25" s="14" t="str">
        <v>sí</v>
      </c>
      <c r="F25" s="14" t="str">
        <v>1</v>
      </c>
      <c r="G25" s="14" t="str">
        <v>C</v>
      </c>
      <c r="H25" s="14" t="str">
        <v>CIFIN; IFIN</v>
      </c>
    </row>
    <row r="26" ht="40" customHeight="1">
      <c r="A26" s="15" t="str">
        <v>I162S2C112J4V1</v>
      </c>
      <c r="B26" s="15" t="str">
        <v>INGENIERIA EN MARKETING DIGITAL</v>
      </c>
      <c r="C26" s="15" t="str">
        <v>IMDI20261</v>
      </c>
      <c r="D26" s="15" t="str">
        <v>VERSION_MULTIPLE_RESUELTA</v>
      </c>
      <c r="E26" s="15" t="str">
        <v>sí</v>
      </c>
      <c r="F26" s="15" t="str">
        <v>1</v>
      </c>
      <c r="G26" s="15" t="str">
        <v>C</v>
      </c>
      <c r="H26" s="15" t="str">
        <v>IMDI</v>
      </c>
    </row>
    <row r="27" ht="40" customHeight="1">
      <c r="A27" s="14" t="str">
        <v>I162S2C112J4V2</v>
      </c>
      <c r="B27" s="14" t="str">
        <v>INGENIERIA EN MARKETING DIGITAL</v>
      </c>
      <c r="C27" s="14" t="str">
        <v>CIMDI20261; IMDI20261</v>
      </c>
      <c r="D27" s="14" t="str">
        <v>VERSION_MULTIPLE_RESUELTA</v>
      </c>
      <c r="E27" s="14" t="str">
        <v>sí</v>
      </c>
      <c r="F27" s="14" t="str">
        <v>1</v>
      </c>
      <c r="G27" s="14" t="str">
        <v>C</v>
      </c>
      <c r="H27" s="14" t="str">
        <v>CIMDI; IMDI</v>
      </c>
    </row>
    <row r="28" ht="40" customHeight="1">
      <c r="A28" s="15" t="str">
        <v>I162S2C113J4V1</v>
      </c>
      <c r="B28" s="15" t="str">
        <v>INGENIERIA EN RECURSOS HUMANOS</v>
      </c>
      <c r="C28" s="15" t="str">
        <v>IRHU20261</v>
      </c>
      <c r="D28" s="15" t="str">
        <v>VERSION_MULTIPLE_RESUELTA</v>
      </c>
      <c r="E28" s="15" t="str">
        <v>sí</v>
      </c>
      <c r="F28" s="15" t="str">
        <v>1</v>
      </c>
      <c r="G28" s="15" t="str">
        <v>C</v>
      </c>
      <c r="H28" s="15" t="str">
        <v>IRHU</v>
      </c>
    </row>
    <row r="29" ht="40" customHeight="1">
      <c r="A29" s="14" t="str">
        <v>I162S2C113J4V2</v>
      </c>
      <c r="B29" s="14" t="str">
        <v>INGENIERIA EN RECURSOS HUMANOS</v>
      </c>
      <c r="C29" s="14" t="str">
        <v>CIRHU20261; IRHU20261</v>
      </c>
      <c r="D29" s="14" t="str">
        <v>VERSION_MULTIPLE_RESUELTA</v>
      </c>
      <c r="E29" s="14" t="str">
        <v>sí</v>
      </c>
      <c r="F29" s="14" t="str">
        <v>1</v>
      </c>
      <c r="G29" s="14" t="str">
        <v>C</v>
      </c>
      <c r="H29" s="14" t="str">
        <v>CIRHU; IRHU</v>
      </c>
    </row>
    <row r="30" ht="40" customHeight="1">
      <c r="A30" s="15" t="str">
        <v>I162S2C114J1V1</v>
      </c>
      <c r="B30" s="15" t="str">
        <v>TECNICO EN ENFERMERIA E INSTRUMENTACION QUIRURGICA</v>
      </c>
      <c r="C30" s="15" t="str">
        <v>TEIQ20261</v>
      </c>
      <c r="D30" s="15" t="str">
        <v>APROBADA_D_2027</v>
      </c>
      <c r="E30" s="15" t="str">
        <v>sí</v>
      </c>
      <c r="F30" s="15" t="str">
        <v>1</v>
      </c>
      <c r="G30" s="15" t="str">
        <v>D</v>
      </c>
      <c r="H30" s="15" t="str">
        <v>TEIQ</v>
      </c>
    </row>
    <row r="31" ht="40" customHeight="1">
      <c r="A31" s="14" t="str">
        <v>I162S2C114J2V1</v>
      </c>
      <c r="B31" s="14" t="str">
        <v>TECNICO EN ENFERMERIA E INSTRUMENTACION QUIRURGICA</v>
      </c>
      <c r="C31" s="14" t="str">
        <v>TEIQ20261</v>
      </c>
      <c r="D31" s="14" t="str">
        <v>CONTINUA</v>
      </c>
      <c r="E31" s="14" t="str">
        <v>sí</v>
      </c>
      <c r="F31" s="14" t="str">
        <v>1</v>
      </c>
      <c r="G31" s="14" t="str">
        <v>C</v>
      </c>
      <c r="H31" s="14" t="str">
        <v>COTEIQ; TEIQ</v>
      </c>
    </row>
    <row r="32" ht="27" customHeight="1">
      <c r="A32" s="15" t="str">
        <v>I162S2C115J2V1</v>
      </c>
      <c r="B32" s="15" t="str">
        <v>TECNICO EN FARMACIA</v>
      </c>
      <c r="C32" s="15" t="str">
        <v>TFAR20261</v>
      </c>
      <c r="D32" s="15" t="str">
        <v>CONTINUA</v>
      </c>
      <c r="E32" s="15" t="str">
        <v>sí</v>
      </c>
      <c r="F32" s="15" t="str">
        <v>1</v>
      </c>
      <c r="G32" s="15" t="str">
        <v>C</v>
      </c>
      <c r="H32" s="15" t="str">
        <v>COTFAR; TFAR</v>
      </c>
    </row>
    <row r="33" ht="27" customHeight="1">
      <c r="A33" s="14" t="str">
        <v>I162S2C116J4V1</v>
      </c>
      <c r="B33" s="14" t="str">
        <v>TECNICO EN FINANZAS</v>
      </c>
      <c r="C33" s="14" t="str">
        <v>TFIN20261</v>
      </c>
      <c r="D33" s="14" t="str">
        <v>CONTINUA</v>
      </c>
      <c r="E33" s="14" t="str">
        <v>sí</v>
      </c>
      <c r="F33" s="14" t="str">
        <v>1</v>
      </c>
      <c r="G33" s="14" t="str">
        <v>C</v>
      </c>
      <c r="H33" s="14" t="str">
        <v>TFIN</v>
      </c>
    </row>
    <row r="34" ht="40" customHeight="1">
      <c r="A34" s="15" t="str">
        <v>I162S2C117J4V1</v>
      </c>
      <c r="B34" s="15" t="str">
        <v>TECNICO EN INFRAESTRUCTURA CLOUD</v>
      </c>
      <c r="C34" s="15" t="str">
        <v>TICL20261</v>
      </c>
      <c r="D34" s="15" t="str">
        <v>CONTINUA</v>
      </c>
      <c r="E34" s="15" t="str">
        <v>sí</v>
      </c>
      <c r="F34" s="15" t="str">
        <v>1</v>
      </c>
      <c r="G34" s="15" t="str">
        <v>C</v>
      </c>
      <c r="H34" s="15" t="str">
        <v>TICL</v>
      </c>
    </row>
    <row r="35" ht="40" customHeight="1">
      <c r="A35" s="14" t="str">
        <v>I162S2C118J4V1</v>
      </c>
      <c r="B35" s="14" t="str">
        <v>TECNICO EN MARKETING DIGITAL</v>
      </c>
      <c r="C35" s="14" t="str">
        <v>TMDI20261</v>
      </c>
      <c r="D35" s="14" t="str">
        <v>CONTINUA</v>
      </c>
      <c r="E35" s="14" t="str">
        <v>sí</v>
      </c>
      <c r="F35" s="14" t="str">
        <v>1</v>
      </c>
      <c r="G35" s="14" t="str">
        <v>C</v>
      </c>
      <c r="H35" s="14" t="str">
        <v>TMDI</v>
      </c>
    </row>
    <row r="36" ht="40" customHeight="1">
      <c r="A36" s="15" t="str">
        <v>I162S2C119J4V1</v>
      </c>
      <c r="B36" s="15" t="str">
        <v>TECNICO EN RECURSOS HUMANOS</v>
      </c>
      <c r="C36" s="15" t="str">
        <v>TRHU20261</v>
      </c>
      <c r="D36" s="15" t="str">
        <v>CONTINUA</v>
      </c>
      <c r="E36" s="15" t="str">
        <v>sí</v>
      </c>
      <c r="F36" s="15" t="str">
        <v>1</v>
      </c>
      <c r="G36" s="15" t="str">
        <v>C</v>
      </c>
      <c r="H36" s="15" t="str">
        <v>TRHU</v>
      </c>
    </row>
    <row r="37" ht="40" customHeight="1">
      <c r="A37" s="14" t="str">
        <v>I162S2C11J1V1</v>
      </c>
      <c r="B37" s="14" t="str">
        <v>TECNICO EN AUTOMATIZACION Y CONTROL INDUSTRIAL</v>
      </c>
      <c r="C37" s="14" t="str">
        <v>TMIRE20131; TMIRE20151; TMIRE20171; TMIRE2020; TMIRE20211</v>
      </c>
      <c r="D37" s="14" t="str">
        <v>APROBADA_D_2027</v>
      </c>
      <c r="E37" s="14" t="str">
        <v>no</v>
      </c>
      <c r="F37" s="14" t="str">
        <v>2</v>
      </c>
      <c r="G37" s="14" t="str">
        <v>D</v>
      </c>
      <c r="H37" s="14" t="str">
        <v>TMIRE</v>
      </c>
    </row>
    <row r="38" ht="55" customHeight="1">
      <c r="A38" s="15" t="str">
        <v>I162S2C11J2V1</v>
      </c>
      <c r="B38" s="15" t="str">
        <v>TECNICO EN AUTOMATIZACION Y CONTROL INDUSTRIAL</v>
      </c>
      <c r="C38" s="15" t="str">
        <v>TACI20241; TMIRE20131; TMIRE20151; TMIRE20171; TMIRE2020; TMIRE20211</v>
      </c>
      <c r="D38" s="15" t="str">
        <v>CONTINUA</v>
      </c>
      <c r="E38" s="15" t="str">
        <v>no</v>
      </c>
      <c r="F38" s="15" t="str">
        <v>2</v>
      </c>
      <c r="G38" s="15" t="str">
        <v>C</v>
      </c>
      <c r="H38" s="15" t="str">
        <v>TACI; TMIRE</v>
      </c>
    </row>
    <row r="39" ht="40" customHeight="1">
      <c r="A39" s="14" t="str">
        <v>I162S2C124J4V1</v>
      </c>
      <c r="B39" s="14" t="str">
        <v>INGENIERIA EN PREVENCION DE RIESGOS</v>
      </c>
      <c r="C39" s="14" t="str">
        <v>IPRE20261</v>
      </c>
      <c r="D39" s="14" t="str">
        <v>VERSION_MULTIPLE_RESUELTA</v>
      </c>
      <c r="E39" s="14" t="str">
        <v>sí</v>
      </c>
      <c r="F39" s="14" t="str">
        <v>1</v>
      </c>
      <c r="G39" s="14" t="str">
        <v>C</v>
      </c>
      <c r="H39" s="14" t="str">
        <v>IPRE</v>
      </c>
    </row>
    <row r="40" ht="40" customHeight="1">
      <c r="A40" s="15" t="str">
        <v>I162S2C124J4V2</v>
      </c>
      <c r="B40" s="15" t="str">
        <v>INGENIERIA EN PREVENCION DE RIESGOS</v>
      </c>
      <c r="C40" s="15" t="str">
        <v>CIPRE20261; IPRE20261</v>
      </c>
      <c r="D40" s="15" t="str">
        <v>VERSION_MULTIPLE_RESUELTA</v>
      </c>
      <c r="E40" s="15" t="str">
        <v>sí</v>
      </c>
      <c r="F40" s="15" t="str">
        <v>1</v>
      </c>
      <c r="G40" s="15" t="str">
        <v>C</v>
      </c>
      <c r="H40" s="15" t="str">
        <v>CIPRE; IPRE</v>
      </c>
    </row>
    <row r="41" ht="40" customHeight="1">
      <c r="A41" s="14" t="str">
        <v>I162S2C125J4V1</v>
      </c>
      <c r="B41" s="14" t="str">
        <v>INGENIERIA EN SEGURIDAD PRIVADA</v>
      </c>
      <c r="C41" s="14" t="str">
        <v>ISEP20261</v>
      </c>
      <c r="D41" s="14" t="str">
        <v>VERSION_MULTIPLE_RESUELTA</v>
      </c>
      <c r="E41" s="14" t="str">
        <v>sí</v>
      </c>
      <c r="F41" s="14" t="str">
        <v>1</v>
      </c>
      <c r="G41" s="14" t="str">
        <v>C</v>
      </c>
      <c r="H41" s="14" t="str">
        <v>ISEP</v>
      </c>
    </row>
    <row r="42" ht="40" customHeight="1">
      <c r="A42" s="15" t="str">
        <v>I162S2C125J4V2</v>
      </c>
      <c r="B42" s="15" t="str">
        <v>INGENIERIA EN SEGURIDAD PRIVADA</v>
      </c>
      <c r="C42" s="15" t="str">
        <v>CISEP20261; ISEP20261</v>
      </c>
      <c r="D42" s="15" t="str">
        <v>VERSION_MULTIPLE_RESUELTA</v>
      </c>
      <c r="E42" s="15" t="str">
        <v>sí</v>
      </c>
      <c r="F42" s="15" t="str">
        <v>1</v>
      </c>
      <c r="G42" s="15" t="str">
        <v>C</v>
      </c>
      <c r="H42" s="15" t="str">
        <v>CISEP; ISEP</v>
      </c>
    </row>
    <row r="43" ht="70" customHeight="1">
      <c r="A43" s="14" t="str">
        <v>I162S2C1J1V1</v>
      </c>
      <c r="B43" s="14" t="str">
        <v>INGENIERIA EN INFORMATICA</v>
      </c>
      <c r="C43" s="14" t="str">
        <v>IECIRE20081; IECIRE20101; IECIRE20121; IECIRE20151; IECIRE20191; IECIRE2020; IECIRE20211; IINF20241</v>
      </c>
      <c r="D43" s="14" t="str">
        <v>CONTINUA</v>
      </c>
      <c r="E43" s="14" t="str">
        <v>no</v>
      </c>
      <c r="F43" s="14" t="str">
        <v>2</v>
      </c>
      <c r="G43" s="14" t="str">
        <v>C</v>
      </c>
      <c r="H43" s="14" t="str">
        <v>IECIRE; IINF</v>
      </c>
    </row>
    <row r="44" ht="27" customHeight="1">
      <c r="A44" s="15" t="str">
        <v>I162S2C1J1V2</v>
      </c>
      <c r="B44" s="15" t="str">
        <v>INGENIERIA EN INFORMATICA</v>
      </c>
      <c r="C44" s="15" t="str">
        <v>IINF20241</v>
      </c>
      <c r="D44" s="15" t="str">
        <v>CONTINUA</v>
      </c>
      <c r="E44" s="15" t="str">
        <v>no</v>
      </c>
      <c r="F44" s="15" t="str">
        <v>2</v>
      </c>
      <c r="G44" s="15" t="str">
        <v>C</v>
      </c>
      <c r="H44" s="15" t="str">
        <v>IINF</v>
      </c>
    </row>
    <row r="45" ht="115" customHeight="1">
      <c r="A45" s="14" t="str">
        <v>I162S2C1J2V1</v>
      </c>
      <c r="B45" s="14" t="str">
        <v>INGENIERIA EN INFORMATICA</v>
      </c>
      <c r="C45" s="14" t="str">
        <v>IECIRE20081; IECIRE20101; IECIRE20121; IECIRE20151; IECIRE20191; IECIRE2020; IECIRE20211; IINF20241; NECIRE20091; NECIRE20101; NECIRE20121; NECIRE20151; NICIRE20091; NICIRE20101; NICIRE20121; NICIRE20151; NINFRE</v>
      </c>
      <c r="D45" s="14" t="str">
        <v>CONTINUA</v>
      </c>
      <c r="E45" s="14" t="str">
        <v>no</v>
      </c>
      <c r="F45" s="14" t="str">
        <v>2</v>
      </c>
      <c r="G45" s="14" t="str">
        <v>C</v>
      </c>
      <c r="H45" s="14" t="str">
        <v>IECIRE; IINF; NECIRE; NICIRE; NINFRE</v>
      </c>
    </row>
    <row r="46" ht="70" customHeight="1">
      <c r="A46" s="15" t="str">
        <v>I162S2C1J2V2</v>
      </c>
      <c r="B46" s="15" t="str">
        <v>INGENIERIA EN INFORMATICA</v>
      </c>
      <c r="C46" s="15" t="str">
        <v>IINF20241; NECIRE20091; NECIRE20101; NECIRE20121; NECIRE20151; NICIRE20091; NICIRE20101; NICIRE20121; NICIRE20151; NINFRE</v>
      </c>
      <c r="D46" s="15" t="str">
        <v>CONTINUA</v>
      </c>
      <c r="E46" s="15" t="str">
        <v>no</v>
      </c>
      <c r="F46" s="15" t="str">
        <v>2</v>
      </c>
      <c r="G46" s="15" t="str">
        <v>C</v>
      </c>
      <c r="H46" s="15" t="str">
        <v>IINF; NECIRE; NICIRE; NINFRE</v>
      </c>
    </row>
    <row r="47" ht="70" customHeight="1">
      <c r="A47" s="14" t="str">
        <v>I162S2C1J2V3</v>
      </c>
      <c r="B47" s="14" t="str">
        <v>INGENIERIA EN INFORMATICA</v>
      </c>
      <c r="C47" s="14" t="str">
        <v>IINF20241; NECIRE20091; NECIRE20101; NECIRE20121; NECIRE20151; NICIRE20091; NICIRE20101; NICIRE20121; NICIRE20151; NINFRE</v>
      </c>
      <c r="D47" s="14" t="str">
        <v>CONTINUA</v>
      </c>
      <c r="E47" s="14" t="str">
        <v>no</v>
      </c>
      <c r="F47" s="14" t="str">
        <v>2</v>
      </c>
      <c r="G47" s="14" t="str">
        <v>C</v>
      </c>
      <c r="H47" s="14" t="str">
        <v>IINF; NECIRE; NICIRE; NINFRE</v>
      </c>
    </row>
    <row r="48" ht="115" customHeight="1">
      <c r="A48" s="15" t="str">
        <v>I162S2C1J2V4</v>
      </c>
      <c r="B48" s="15" t="str">
        <v>INGENIERIA EN INFORMATICA</v>
      </c>
      <c r="C48" s="15" t="str">
        <v>IECIRE20081; IECIRE20101; IECIRE20121; IECIRE20151; IECIRE20191; IECIRE2020; IECIRE20211; IINF20241; NECIRE20091; NECIRE20101; NECIRE20121; NECIRE20151; NICIRE20091; NICIRE20101; NICIRE20121; NICIRE20151; NINFRE</v>
      </c>
      <c r="D48" s="15" t="str">
        <v>CONTINUA</v>
      </c>
      <c r="E48" s="15" t="str">
        <v>no</v>
      </c>
      <c r="F48" s="15" t="str">
        <v>2</v>
      </c>
      <c r="G48" s="15" t="str">
        <v>C</v>
      </c>
      <c r="H48" s="15" t="str">
        <v>IECIRE; IINF; NECIRE; NICIRE; NINFRE</v>
      </c>
    </row>
    <row r="49" ht="55" customHeight="1">
      <c r="A49" s="14" t="str">
        <v>I162S2C1J4V2</v>
      </c>
      <c r="B49" s="14" t="str">
        <v>INGENIERIA EN INFORMATICA</v>
      </c>
      <c r="C49" s="14" t="str">
        <v>CIINF20241; IECIREOL; IECIREOL20191; IECIREOL20201; IECIREOL20211; IINF20241; NINFREOL2019</v>
      </c>
      <c r="D49" s="14" t="str">
        <v>APROBADA_D_2027</v>
      </c>
      <c r="E49" s="14" t="str">
        <v>sí</v>
      </c>
      <c r="F49" s="14" t="str">
        <v>1</v>
      </c>
      <c r="G49" s="14" t="str">
        <v>D</v>
      </c>
      <c r="H49" s="14" t="str">
        <v>CIINF; IECIREOL; IINF; NINFREOL</v>
      </c>
    </row>
    <row r="50" ht="40" customHeight="1">
      <c r="A50" s="15" t="str">
        <v>I162S2C1J4V3</v>
      </c>
      <c r="B50" s="15" t="str">
        <v>INGENIERIA EN INFORMATICA</v>
      </c>
      <c r="C50" s="15" t="str">
        <v>CIINF20241; NINFREOL2019</v>
      </c>
      <c r="D50" s="15" t="str">
        <v>VERSION_MULTIPLE_RESUELTA</v>
      </c>
      <c r="E50" s="15" t="str">
        <v>sí</v>
      </c>
      <c r="F50" s="15" t="str">
        <v>1</v>
      </c>
      <c r="G50" s="15" t="str">
        <v>C/D</v>
      </c>
      <c r="H50" s="15" t="str">
        <v>CIINF; NINFREOL</v>
      </c>
    </row>
    <row r="51" ht="55" customHeight="1">
      <c r="A51" s="14" t="str">
        <v>I162S2C22J1V1</v>
      </c>
      <c r="B51" s="14" t="str">
        <v>INGENIERIA EN AUTOMATIZACION Y CONTROL INDUSTRIAL</v>
      </c>
      <c r="C51" s="14" t="str">
        <v>IACI20241; IEMORE20141; IEMORE20151; IEMORE20171; IEMORE20201; IEMORE20211</v>
      </c>
      <c r="D51" s="14" t="str">
        <v>APROBADA_D_2027</v>
      </c>
      <c r="E51" s="14" t="str">
        <v>no</v>
      </c>
      <c r="F51" s="14" t="str">
        <v>2</v>
      </c>
      <c r="G51" s="14" t="str">
        <v>D</v>
      </c>
      <c r="H51" s="14" t="str">
        <v>IACI; IEMORE</v>
      </c>
    </row>
    <row r="52" ht="55" customHeight="1">
      <c r="A52" s="15" t="str">
        <v>I162S2C22J2V1</v>
      </c>
      <c r="B52" s="15" t="str">
        <v>INGENIERIA EN AUTOMATIZACION Y CONTROL INDUSTRIAL</v>
      </c>
      <c r="C52" s="15" t="str">
        <v>IACI20241; IEMORE20141; IEMORE20151; IEMORE20171; IEMORE20201; IEMORE20211; NAUTRE; NAUTRE2020</v>
      </c>
      <c r="D52" s="15" t="str">
        <v>CONTINUA</v>
      </c>
      <c r="E52" s="15" t="str">
        <v>no</v>
      </c>
      <c r="F52" s="15" t="str">
        <v>2</v>
      </c>
      <c r="G52" s="15" t="str">
        <v>C</v>
      </c>
      <c r="H52" s="15" t="str">
        <v>IACI; IEMORE; NAUTRE</v>
      </c>
    </row>
    <row r="53" ht="55" customHeight="1">
      <c r="A53" s="14" t="str">
        <v>I162S2C22J2V2</v>
      </c>
      <c r="B53" s="14" t="str">
        <v>INGENIERIA EN AUTOMATIZACION Y CONTROL INDUSTRIAL</v>
      </c>
      <c r="C53" s="14" t="str">
        <v>IACI20241; IEMORE20141; IEMORE20151; IEMORE20171; IEMORE20201; IEMORE20211; NAUTRE; NAUTRE2020</v>
      </c>
      <c r="D53" s="14" t="str">
        <v>CONTINUA</v>
      </c>
      <c r="E53" s="14" t="str">
        <v>no</v>
      </c>
      <c r="F53" s="14" t="str">
        <v>2</v>
      </c>
      <c r="G53" s="14" t="str">
        <v>C</v>
      </c>
      <c r="H53" s="14" t="str">
        <v>IACI; IEMORE; NAUTRE</v>
      </c>
    </row>
    <row r="54" ht="40" customHeight="1">
      <c r="A54" s="15" t="str">
        <v>I162S2C22J4V1</v>
      </c>
      <c r="B54" s="15" t="str">
        <v>INGENIERIA EN AUTOMATIZACION Y CONTROL INDUSTRIAL</v>
      </c>
      <c r="C54" s="15" t="str">
        <v>CIIND20251; IACI20241</v>
      </c>
      <c r="D54" s="15" t="str">
        <v>CONTINUA</v>
      </c>
      <c r="E54" s="15" t="str">
        <v>no</v>
      </c>
      <c r="F54" s="15" t="str">
        <v>2</v>
      </c>
      <c r="G54" s="15" t="str">
        <v>C</v>
      </c>
      <c r="H54" s="15" t="str">
        <v>CIIND; IACI</v>
      </c>
    </row>
    <row r="55" ht="40" customHeight="1">
      <c r="A55" s="14" t="str">
        <v>I162S2C22J4V2</v>
      </c>
      <c r="B55" s="14" t="str">
        <v>INGENIERIA EN AUTOMATIZACION Y CONTROL INDUSTRIAL</v>
      </c>
      <c r="C55" s="14" t="str">
        <v>CIACI20241; CIIND20251; IACI20241</v>
      </c>
      <c r="D55" s="14" t="str">
        <v>CONTINUA</v>
      </c>
      <c r="E55" s="14" t="str">
        <v>no</v>
      </c>
      <c r="F55" s="14" t="str">
        <v>2</v>
      </c>
      <c r="G55" s="14" t="str">
        <v>C</v>
      </c>
      <c r="H55" s="14" t="str">
        <v>CIACI; CIIND; IACI</v>
      </c>
    </row>
    <row r="56" ht="55" customHeight="1">
      <c r="A56" s="15" t="str">
        <v>I162S2C2J1V1</v>
      </c>
      <c r="B56" s="15" t="str">
        <v>TECNICO EN PROGRAMACION COMPUTACIONAL</v>
      </c>
      <c r="C56" s="15" t="str">
        <v>TPCRE20081; TPCRE20101; TPCRE20121; TPCRE20121V2; TPCRE20151; TPCRE20191</v>
      </c>
      <c r="D56" s="15" t="str">
        <v>CONTINUA</v>
      </c>
      <c r="E56" s="15" t="str">
        <v>no</v>
      </c>
      <c r="F56" s="15" t="str">
        <v>2</v>
      </c>
      <c r="G56" s="15" t="str">
        <v>C</v>
      </c>
      <c r="H56" s="15" t="str">
        <v>TPCRE</v>
      </c>
    </row>
    <row r="57" ht="55" customHeight="1">
      <c r="A57" s="14" t="str">
        <v>I162S2C2J1V2</v>
      </c>
      <c r="B57" s="14" t="str">
        <v>TECNICO EN PROGRAMACION COMPUTACIONAL</v>
      </c>
      <c r="C57" s="14" t="str">
        <v>TPCRE20081; TPCRE20101; TPCRE20121; TPCRE20121V2; TPCRE20151; TPCRE20191</v>
      </c>
      <c r="D57" s="14" t="str">
        <v>CONTINUA</v>
      </c>
      <c r="E57" s="14" t="str">
        <v>no</v>
      </c>
      <c r="F57" s="14" t="str">
        <v>2</v>
      </c>
      <c r="G57" s="14" t="str">
        <v>C</v>
      </c>
      <c r="H57" s="14" t="str">
        <v>TPCRE</v>
      </c>
    </row>
    <row r="58" ht="55" customHeight="1">
      <c r="A58" s="15" t="str">
        <v>I162S2C2J2V1</v>
      </c>
      <c r="B58" s="15" t="str">
        <v>TECNICO EN PROGRAMACION COMPUTACIONAL</v>
      </c>
      <c r="C58" s="15" t="str">
        <v>TPCRE20081; TPCRE20101; TPCRE20121; TPCRE20121V2; TPCRE20151; TPCRE20191</v>
      </c>
      <c r="D58" s="15" t="str">
        <v>CONTINUA</v>
      </c>
      <c r="E58" s="15" t="str">
        <v>no</v>
      </c>
      <c r="F58" s="15" t="str">
        <v>2</v>
      </c>
      <c r="G58" s="15" t="str">
        <v>C</v>
      </c>
      <c r="H58" s="15" t="str">
        <v>TPCRE</v>
      </c>
    </row>
    <row r="59" ht="55" customHeight="1">
      <c r="A59" s="14" t="str">
        <v>I162S2C2J2V2</v>
      </c>
      <c r="B59" s="14" t="str">
        <v>TECNICO EN PROGRAMACION COMPUTACIONAL</v>
      </c>
      <c r="C59" s="14" t="str">
        <v>TPCRE20081; TPCRE20101; TPCRE20121; TPCRE20121V2; TPCRE20151; TPCRE20191</v>
      </c>
      <c r="D59" s="14" t="str">
        <v>CONTINUA</v>
      </c>
      <c r="E59" s="14" t="str">
        <v>no</v>
      </c>
      <c r="F59" s="14" t="str">
        <v>2</v>
      </c>
      <c r="G59" s="14" t="str">
        <v>C</v>
      </c>
      <c r="H59" s="14" t="str">
        <v>TPCRE</v>
      </c>
    </row>
    <row r="60" ht="55" customHeight="1">
      <c r="A60" s="15" t="str">
        <v>I162S2C2J4V1</v>
      </c>
      <c r="B60" s="15" t="str">
        <v>TECNICO EN PROGRAMACION COMPUTACIONAL</v>
      </c>
      <c r="C60" s="15" t="str">
        <v>TPCRE20081; TPCRE20101; TPCRE20121; TPCRE20121V2; TPCRE20151; TPCRE20191; TPCREOL; TPCREOL20191</v>
      </c>
      <c r="D60" s="15" t="str">
        <v>CONTINUA</v>
      </c>
      <c r="E60" s="15" t="str">
        <v>no</v>
      </c>
      <c r="F60" s="15" t="str">
        <v>2</v>
      </c>
      <c r="G60" s="15" t="str">
        <v>C</v>
      </c>
      <c r="H60" s="15" t="str">
        <v>TPCRE; TPCREOL</v>
      </c>
    </row>
    <row r="61" ht="55" customHeight="1">
      <c r="A61" s="14" t="str">
        <v>I162S2C2J4V2</v>
      </c>
      <c r="B61" s="14" t="str">
        <v>TECNICO EN PROGRAMACION COMPUTACIONAL</v>
      </c>
      <c r="C61" s="14" t="str">
        <v>TPCRE20081; TPCRE20101; TPCRE20121; TPCRE20121V2; TPCRE20151; TPCRE20191; TPCREOL; TPCREOL20191</v>
      </c>
      <c r="D61" s="14" t="str">
        <v>CONTINUA</v>
      </c>
      <c r="E61" s="14" t="str">
        <v>no</v>
      </c>
      <c r="F61" s="14" t="str">
        <v>2</v>
      </c>
      <c r="G61" s="14" t="str">
        <v>C</v>
      </c>
      <c r="H61" s="14" t="str">
        <v>TPCRE; TPCREOL</v>
      </c>
    </row>
    <row r="62" ht="85" customHeight="1">
      <c r="A62" s="15" t="str">
        <v>I162S2C3J1V1</v>
      </c>
      <c r="B62" s="15" t="str">
        <v>INGENIERIA EN CONECTIVIDAD Y REDES</v>
      </c>
      <c r="C62" s="15" t="str">
        <v>IETMRE20091; IETMRE20101; IETMRE20121; IETMRE20161; IETMRE20191; IETMRE20211; NETMRE20091; NETMRE20101; NETMRE20121; NITMRE20091; NITMRE20101; NITMRE20121</v>
      </c>
      <c r="D62" s="15" t="str">
        <v>CONTINUA</v>
      </c>
      <c r="E62" s="15" t="str">
        <v>no</v>
      </c>
      <c r="F62" s="15" t="str">
        <v>2</v>
      </c>
      <c r="G62" s="15" t="str">
        <v>C</v>
      </c>
      <c r="H62" s="15" t="str">
        <v>IETMRE; NETMRE; NITMRE</v>
      </c>
    </row>
    <row r="63" ht="100" customHeight="1">
      <c r="A63" s="14" t="str">
        <v>I162S2C3J1V2</v>
      </c>
      <c r="B63" s="14" t="str">
        <v>INGENIERIA EN CONECTIVIDAD Y REDES</v>
      </c>
      <c r="C63" s="14" t="str">
        <v>ICRE20241; IETMRE20091; IETMRE20101; IETMRE20121; IETMRE20161; IETMRE20191; IETMRE20211; NETMRE20091; NETMRE20101; NETMRE20121; NITMRE20091; NITMRE20101; NITMRE20121</v>
      </c>
      <c r="D63" s="14" t="str">
        <v>CONTINUA</v>
      </c>
      <c r="E63" s="14" t="str">
        <v>no</v>
      </c>
      <c r="F63" s="14" t="str">
        <v>2</v>
      </c>
      <c r="G63" s="14" t="str">
        <v>C</v>
      </c>
      <c r="H63" s="14" t="str">
        <v>ICRE; IETMRE; NETMRE; NITMRE</v>
      </c>
    </row>
    <row r="64" ht="55" customHeight="1">
      <c r="A64" s="15" t="str">
        <v>I162S2C3J2V1</v>
      </c>
      <c r="B64" s="15" t="str">
        <v>INGENIERIA EN CONECTIVIDAD Y REDES</v>
      </c>
      <c r="C64" s="15" t="str">
        <v>ICRE20241; NCONRE; NETMRE20091; NETMRE20101; NETMRE20121; NITMRE20091; NITMRE20101; NITMRE20121</v>
      </c>
      <c r="D64" s="15" t="str">
        <v>CONTINUA</v>
      </c>
      <c r="E64" s="15" t="str">
        <v>no</v>
      </c>
      <c r="F64" s="15" t="str">
        <v>2</v>
      </c>
      <c r="G64" s="15" t="str">
        <v>C</v>
      </c>
      <c r="H64" s="15" t="str">
        <v>ICRE; NCONRE; NETMRE; NITMRE</v>
      </c>
    </row>
    <row r="65" ht="70" customHeight="1">
      <c r="A65" s="14" t="str">
        <v>I162S2C3J2V3</v>
      </c>
      <c r="B65" s="14" t="str">
        <v>INGENIERIA EN CONECTIVIDAD Y REDES</v>
      </c>
      <c r="C65" s="14" t="str">
        <v>CICRE20241; ICRE20241; IETMRE20091; IETMRE20101; IETMRE20121; IETMRE20161; IETMRE20191; IETMRE20211; NCONRE</v>
      </c>
      <c r="D65" s="14" t="str">
        <v>CONTINUA</v>
      </c>
      <c r="E65" s="14" t="str">
        <v>no</v>
      </c>
      <c r="F65" s="14" t="str">
        <v>2</v>
      </c>
      <c r="G65" s="14" t="str">
        <v>C</v>
      </c>
      <c r="H65" s="14" t="str">
        <v>CICRE; ICRE; IETMRE; NCONRE</v>
      </c>
    </row>
    <row r="66" ht="55" customHeight="1">
      <c r="A66" s="15" t="str">
        <v>I162S2C3J2V4</v>
      </c>
      <c r="B66" s="15" t="str">
        <v>INGENIERIA EN CONECTIVIDAD Y REDES</v>
      </c>
      <c r="C66" s="15" t="str">
        <v>ICRE20241; NCONRE; NETMRE20091; NETMRE20101; NETMRE20121; NITMRE20091; NITMRE20101; NITMRE20121</v>
      </c>
      <c r="D66" s="15" t="str">
        <v>CONTINUA</v>
      </c>
      <c r="E66" s="15" t="str">
        <v>no</v>
      </c>
      <c r="F66" s="15" t="str">
        <v>2</v>
      </c>
      <c r="G66" s="15" t="str">
        <v>C</v>
      </c>
      <c r="H66" s="15" t="str">
        <v>ICRE; NCONRE; NETMRE; NITMRE</v>
      </c>
    </row>
    <row r="67" ht="130" customHeight="1">
      <c r="A67" s="14" t="str">
        <v>I162S2C3J4V2</v>
      </c>
      <c r="B67" s="14" t="str">
        <v>INGENIERIA EN CONECTIVIDAD Y REDES</v>
      </c>
      <c r="C67" s="14" t="str">
        <v>CICRE20241; ICRE20241; IECIREOL; IECIREOL20191; IECIREOL20201; IECIREOL20211; IETMRE20091; IETMRE20101; IETMRE20121; IETMRE20161; IETMRE20191; IETMRE20211; IETMREOL; IETMREOL20191; IETMREOL20211; NCONRE; NCONREOL2019; NETMRE20091; NETMRE20101; NETMRE20121</v>
      </c>
      <c r="D67" s="14" t="str">
        <v>VERSION_MULTIPLE_RESUELTA</v>
      </c>
      <c r="E67" s="14" t="str">
        <v>sí</v>
      </c>
      <c r="F67" s="14" t="str">
        <v>1</v>
      </c>
      <c r="G67" s="14" t="str">
        <v>C/D</v>
      </c>
      <c r="H67" s="14" t="str">
        <v>CICRE; ICRE; IECIREOL; IETMRE; IETMREOL; NCONRE; NCONREOL; NETMRE</v>
      </c>
    </row>
    <row r="68" ht="100" customHeight="1">
      <c r="A68" s="15" t="str">
        <v>I162S2C3J4V3</v>
      </c>
      <c r="B68" s="15" t="str">
        <v>INGENIERIA EN CONECTIVIDAD Y REDES</v>
      </c>
      <c r="C68" s="15" t="str">
        <v>CICRE20241; IECIREOL; IECIREOL20191; IECIREOL20201; IECIREOL20211; IETMRE20091; IETMRE20101; IETMRE20121; IETMRE20161; IETMRE20191; IETMRE20211; NCONRE; NCONREOL2019</v>
      </c>
      <c r="D68" s="15" t="str">
        <v>VERSION_MULTIPLE_RESUELTA</v>
      </c>
      <c r="E68" s="15" t="str">
        <v>sí</v>
      </c>
      <c r="F68" s="15" t="str">
        <v>1</v>
      </c>
      <c r="G68" s="15" t="str">
        <v>C/D</v>
      </c>
      <c r="H68" s="15" t="str">
        <v>CICRE; IECIREOL; IETMRE; NCONRE; NCONREOL</v>
      </c>
    </row>
    <row r="69" ht="40" customHeight="1">
      <c r="A69" s="14" t="str">
        <v>I162S2C46J1V1</v>
      </c>
      <c r="B69" s="14" t="str">
        <v>INGENIERIA EN CIBERSEGURIDAD</v>
      </c>
      <c r="C69" s="14" t="str">
        <v>ICIB20241; IECSRE20191; IECSRE20211</v>
      </c>
      <c r="D69" s="14" t="str">
        <v>CONTINUA</v>
      </c>
      <c r="E69" s="14" t="str">
        <v>no</v>
      </c>
      <c r="F69" s="14" t="str">
        <v>2</v>
      </c>
      <c r="G69" s="14" t="str">
        <v>C</v>
      </c>
      <c r="H69" s="14" t="str">
        <v>ICIB; IECSRE</v>
      </c>
    </row>
    <row r="70" ht="40" customHeight="1">
      <c r="A70" s="15" t="str">
        <v>I162S2C46J2V1</v>
      </c>
      <c r="B70" s="15" t="str">
        <v>INGENIERIA EN CIBERSEGURIDAD</v>
      </c>
      <c r="C70" s="15" t="str">
        <v>ICIB20241; NICCRE20191; NICCRE2020; NTCCRE20191; NTCCRE2020</v>
      </c>
      <c r="D70" s="15" t="str">
        <v>VERSION_MULTIPLE_RESUELTA</v>
      </c>
      <c r="E70" s="15" t="str">
        <v>sí</v>
      </c>
      <c r="F70" s="15" t="str">
        <v>1</v>
      </c>
      <c r="G70" s="15" t="str">
        <v>C</v>
      </c>
      <c r="H70" s="15" t="str">
        <v>ICIB; NICCRE; NTCCRE</v>
      </c>
    </row>
    <row r="71" ht="40" customHeight="1">
      <c r="A71" s="14" t="str">
        <v>I162S2C46J2V3</v>
      </c>
      <c r="B71" s="14" t="str">
        <v>INGENIERIA EN CIBERSEGURIDAD</v>
      </c>
      <c r="C71" s="14" t="str">
        <v>CICIB20241</v>
      </c>
      <c r="D71" s="14" t="str">
        <v>APROBADA_D_2027</v>
      </c>
      <c r="E71" s="14" t="str">
        <v>no</v>
      </c>
      <c r="F71" s="14" t="str">
        <v>2</v>
      </c>
      <c r="G71" s="14" t="str">
        <v>D</v>
      </c>
      <c r="H71" s="14" t="str">
        <v>CICIB</v>
      </c>
    </row>
    <row r="72" ht="40" customHeight="1">
      <c r="A72" s="15" t="str">
        <v>I162S2C46J4V1</v>
      </c>
      <c r="B72" s="15" t="str">
        <v>INGENIERIA EN CIBERSEGURIDAD</v>
      </c>
      <c r="C72" s="15" t="str">
        <v>CICIB20241</v>
      </c>
      <c r="D72" s="15" t="str">
        <v>VERSION_MULTIPLE_RESUELTA</v>
      </c>
      <c r="E72" s="15" t="str">
        <v>sí</v>
      </c>
      <c r="F72" s="15" t="str">
        <v>1</v>
      </c>
      <c r="G72" s="15" t="str">
        <v>C</v>
      </c>
      <c r="H72" s="15" t="str">
        <v>CICIB</v>
      </c>
    </row>
    <row r="73" ht="55" customHeight="1">
      <c r="A73" s="14" t="str">
        <v>I162S2C46J4V3</v>
      </c>
      <c r="B73" s="14" t="str">
        <v>INGENIERIA EN CIBERSEGURIDAD</v>
      </c>
      <c r="C73" s="14" t="str">
        <v>ICIB20241; IECSREOL20211; NICCREOL2020; NTCCREOL2020</v>
      </c>
      <c r="D73" s="14" t="str">
        <v>VERSION_MULTIPLE_RESUELTA</v>
      </c>
      <c r="E73" s="14" t="str">
        <v>sí</v>
      </c>
      <c r="F73" s="14" t="str">
        <v>1</v>
      </c>
      <c r="G73" s="14" t="str">
        <v>C</v>
      </c>
      <c r="H73" s="14" t="str">
        <v>ICIB; IECSREOL; NICCREOL; NTCCREOL</v>
      </c>
    </row>
    <row r="74" ht="55" customHeight="1">
      <c r="A74" s="15" t="str">
        <v>I162S2C47J1V1</v>
      </c>
      <c r="B74" s="15" t="str">
        <v>TECNICO EN CIBERSEGURIDAD</v>
      </c>
      <c r="C74" s="15" t="str">
        <v>TCIB20241; TCSRE20191; TCSRE20211; TCSREOL2020; TCSREOL20211; TCSREOL20231</v>
      </c>
      <c r="D74" s="15" t="str">
        <v>CONTINUA</v>
      </c>
      <c r="E74" s="15" t="str">
        <v>no</v>
      </c>
      <c r="F74" s="15" t="str">
        <v>2</v>
      </c>
      <c r="G74" s="15" t="str">
        <v>C</v>
      </c>
      <c r="H74" s="15" t="str">
        <v>TCIB; TCSRE; TCSREOL</v>
      </c>
    </row>
    <row r="75" ht="40" customHeight="1">
      <c r="A75" s="14" t="str">
        <v>I162S2C47J2V1</v>
      </c>
      <c r="B75" s="14" t="str">
        <v>TECNICO EN CIBERSEGURIDAD</v>
      </c>
      <c r="C75" s="14" t="str">
        <v>TCIB20241; TCSRE20191; TCSRE20211</v>
      </c>
      <c r="D75" s="14" t="str">
        <v>CONTINUA</v>
      </c>
      <c r="E75" s="14" t="str">
        <v>no</v>
      </c>
      <c r="F75" s="14" t="str">
        <v>2</v>
      </c>
      <c r="G75" s="14" t="str">
        <v>C</v>
      </c>
      <c r="H75" s="14" t="str">
        <v>TCIB; TCSRE</v>
      </c>
    </row>
    <row r="76" ht="40" customHeight="1">
      <c r="A76" s="15" t="str">
        <v>I162S2C47J4V1</v>
      </c>
      <c r="B76" s="15" t="str">
        <v>TECNICO EN CIBERSEGURIDAD</v>
      </c>
      <c r="C76" s="15" t="str">
        <v>TCIB20241; TCSREOL2020; TCSREOL20211; TCSREOL20231</v>
      </c>
      <c r="D76" s="15" t="str">
        <v>VERSION_MULTIPLE_RESUELTA</v>
      </c>
      <c r="E76" s="15" t="str">
        <v>sí</v>
      </c>
      <c r="F76" s="15" t="str">
        <v>1</v>
      </c>
      <c r="G76" s="15" t="str">
        <v>C</v>
      </c>
      <c r="H76" s="15" t="str">
        <v>TCIB; TCSREOL</v>
      </c>
    </row>
    <row r="77" ht="40" customHeight="1">
      <c r="A77" s="14" t="str">
        <v>I162S2C48J4V1</v>
      </c>
      <c r="B77" s="14" t="str">
        <v>TECNICO EN CONTROL INDUSTRIAL</v>
      </c>
      <c r="C77" s="14" t="str">
        <v>TCIREOL20191; TCIREOL20211</v>
      </c>
      <c r="D77" s="14" t="str">
        <v>APROBADA_D_2027</v>
      </c>
      <c r="E77" s="14" t="str">
        <v>no</v>
      </c>
      <c r="F77" s="14" t="str">
        <v>2</v>
      </c>
      <c r="G77" s="14" t="str">
        <v>D</v>
      </c>
      <c r="H77" s="14" t="str">
        <v>TCIOL</v>
      </c>
    </row>
    <row r="78" ht="40" customHeight="1">
      <c r="A78" s="15" t="str">
        <v>I162S2C57J1V1</v>
      </c>
      <c r="B78" s="15" t="str">
        <v>TECNICO EN PROGRAMACION Y ANALISIS DE SISTEMAS</v>
      </c>
      <c r="C78" s="15" t="str">
        <v>TPARE2020; TPARE20211; TPAS20241</v>
      </c>
      <c r="D78" s="15" t="str">
        <v>CONTINUA</v>
      </c>
      <c r="E78" s="15" t="str">
        <v>no</v>
      </c>
      <c r="F78" s="15" t="str">
        <v>2</v>
      </c>
      <c r="G78" s="15" t="str">
        <v>C</v>
      </c>
      <c r="H78" s="15" t="str">
        <v>TPARE; TPAS</v>
      </c>
    </row>
    <row r="79" ht="40" customHeight="1">
      <c r="A79" s="14" t="str">
        <v>I162S2C57J2V1</v>
      </c>
      <c r="B79" s="14" t="str">
        <v>TECNICO EN PROGRAMACION Y ANALISIS DE SISTEMAS</v>
      </c>
      <c r="C79" s="14" t="str">
        <v>TPARE2020; TPARE20211; TPAS20241</v>
      </c>
      <c r="D79" s="14" t="str">
        <v>CONTINUA</v>
      </c>
      <c r="E79" s="14" t="str">
        <v>no</v>
      </c>
      <c r="F79" s="14" t="str">
        <v>2</v>
      </c>
      <c r="G79" s="14" t="str">
        <v>C</v>
      </c>
      <c r="H79" s="14" t="str">
        <v>TPARE; TPAS</v>
      </c>
    </row>
    <row r="80" ht="40" customHeight="1">
      <c r="A80" s="15" t="str">
        <v>I162S2C57J4V1</v>
      </c>
      <c r="B80" s="15" t="str">
        <v>TECNICO EN PROGRAMACION Y ANALISIS DE SISTEMAS</v>
      </c>
      <c r="C80" s="15" t="str">
        <v>TPAREOL2020; TPAREOL20211; TPAREOL20231; TPAS20241</v>
      </c>
      <c r="D80" s="15" t="str">
        <v>VERSION_MULTIPLE_RESUELTA</v>
      </c>
      <c r="E80" s="15" t="str">
        <v>sí</v>
      </c>
      <c r="F80" s="15" t="str">
        <v>1</v>
      </c>
      <c r="G80" s="15" t="str">
        <v>C</v>
      </c>
      <c r="H80" s="15" t="str">
        <v>TPAREOL; TPAS</v>
      </c>
    </row>
    <row r="81" ht="55" customHeight="1">
      <c r="A81" s="14" t="str">
        <v>I162S2C6J1V1</v>
      </c>
      <c r="B81" s="14" t="str">
        <v>TECNICO EN CONECTIVIDAD Y REDES</v>
      </c>
      <c r="C81" s="14" t="str">
        <v>TCRE20241; TTMRE20091; TTMRE20101; TTMRE20121; TTMRE20121V2; TTMRE20161; TTMRE20191; TTMRE20211</v>
      </c>
      <c r="D81" s="14" t="str">
        <v>CONTINUA</v>
      </c>
      <c r="E81" s="14" t="str">
        <v>no</v>
      </c>
      <c r="F81" s="14" t="str">
        <v>2</v>
      </c>
      <c r="G81" s="14" t="str">
        <v>C</v>
      </c>
      <c r="H81" s="14" t="str">
        <v>TCRE; TTMRE</v>
      </c>
    </row>
    <row r="82" ht="55" customHeight="1">
      <c r="A82" s="15" t="str">
        <v>I162S2C6J1V2</v>
      </c>
      <c r="B82" s="15" t="str">
        <v>TECNICO EN CONECTIVIDAD Y REDES</v>
      </c>
      <c r="C82" s="15" t="str">
        <v>TCRE20241; TTMRE20091; TTMRE20101; TTMRE20121; TTMRE20121V2; TTMRE20161; TTMRE20191; TTMRE20211</v>
      </c>
      <c r="D82" s="15" t="str">
        <v>CONTINUA</v>
      </c>
      <c r="E82" s="15" t="str">
        <v>no</v>
      </c>
      <c r="F82" s="15" t="str">
        <v>2</v>
      </c>
      <c r="G82" s="15" t="str">
        <v>C</v>
      </c>
      <c r="H82" s="15" t="str">
        <v>TCRE; TTMRE</v>
      </c>
    </row>
    <row r="83" ht="55" customHeight="1">
      <c r="A83" s="14" t="str">
        <v>I162S2C6J2V1</v>
      </c>
      <c r="B83" s="14" t="str">
        <v>TECNICO EN CONECTIVIDAD Y REDES</v>
      </c>
      <c r="C83" s="14" t="str">
        <v>TCRE20241; TTMRE20091; TTMRE20101; TTMRE20121; TTMRE20121V2; TTMRE20161; TTMRE20191; TTMRE20211</v>
      </c>
      <c r="D83" s="14" t="str">
        <v>CONTINUA</v>
      </c>
      <c r="E83" s="14" t="str">
        <v>no</v>
      </c>
      <c r="F83" s="14" t="str">
        <v>2</v>
      </c>
      <c r="G83" s="14" t="str">
        <v>C</v>
      </c>
      <c r="H83" s="14" t="str">
        <v>TCRE; TTMRE</v>
      </c>
    </row>
    <row r="84" ht="55" customHeight="1">
      <c r="A84" s="15" t="str">
        <v>I162S2C6J2V2</v>
      </c>
      <c r="B84" s="15" t="str">
        <v>TECNICO EN CONECTIVIDAD Y REDES</v>
      </c>
      <c r="C84" s="15" t="str">
        <v>TCRE20241; TTMRE20091; TTMRE20101; TTMRE20121; TTMRE20121V2; TTMRE20161; TTMRE20191; TTMRE20211</v>
      </c>
      <c r="D84" s="15" t="str">
        <v>CONTINUA</v>
      </c>
      <c r="E84" s="15" t="str">
        <v>no</v>
      </c>
      <c r="F84" s="15" t="str">
        <v>2</v>
      </c>
      <c r="G84" s="15" t="str">
        <v>C</v>
      </c>
      <c r="H84" s="15" t="str">
        <v>TCRE; TTMRE</v>
      </c>
    </row>
    <row r="85" ht="40" customHeight="1">
      <c r="A85" s="14" t="str">
        <v>I162S2C6J4V2</v>
      </c>
      <c r="B85" s="14" t="str">
        <v>TECNICO EN CONECTIVIDAD Y REDES</v>
      </c>
      <c r="C85" s="14" t="str">
        <v>TCRE20241; TTMREOL; TTMREOL20191; TTMREOL20211; TTMREOL20231</v>
      </c>
      <c r="D85" s="14" t="str">
        <v>VERSION_MULTIPLE_RESUELTA</v>
      </c>
      <c r="E85" s="14" t="str">
        <v>sí</v>
      </c>
      <c r="F85" s="14" t="str">
        <v>1</v>
      </c>
      <c r="G85" s="14" t="str">
        <v>C</v>
      </c>
      <c r="H85" s="14" t="str">
        <v>TCRE; TTMREOL</v>
      </c>
    </row>
    <row r="86" ht="40" customHeight="1">
      <c r="A86" s="15" t="str">
        <v>I162S2C76J1V1</v>
      </c>
      <c r="B86" s="15" t="str">
        <v>INGENIERIA EN ADMINISTRACION DE EMPRESAS</v>
      </c>
      <c r="C86" s="15" t="str">
        <v>IADM20241</v>
      </c>
      <c r="D86" s="15" t="str">
        <v>CONTINUA</v>
      </c>
      <c r="E86" s="15" t="str">
        <v>no</v>
      </c>
      <c r="F86" s="15" t="str">
        <v>2</v>
      </c>
      <c r="G86" s="15" t="str">
        <v>C</v>
      </c>
      <c r="H86" s="15" t="str">
        <v>IADM</v>
      </c>
    </row>
    <row r="87" ht="40" customHeight="1">
      <c r="A87" s="14" t="str">
        <v>I162S2C76J2V1</v>
      </c>
      <c r="B87" s="14" t="str">
        <v>INGENIERIA EN ADMINISTRACION DE EMPRESAS</v>
      </c>
      <c r="C87" s="14" t="str">
        <v>IADM20241</v>
      </c>
      <c r="D87" s="14" t="str">
        <v>CONTINUA</v>
      </c>
      <c r="E87" s="14" t="str">
        <v>sí</v>
      </c>
      <c r="F87" s="14" t="str">
        <v>1</v>
      </c>
      <c r="G87" s="14" t="str">
        <v>C</v>
      </c>
      <c r="H87" s="14" t="str">
        <v>IADM</v>
      </c>
    </row>
    <row r="88" ht="40" customHeight="1">
      <c r="A88" s="15" t="str">
        <v>I162S2C76J4V1</v>
      </c>
      <c r="B88" s="15" t="str">
        <v>INGENIERIA EN ADMINISTRACION DE EMPRESAS</v>
      </c>
      <c r="C88" s="15" t="str">
        <v>CIADM20241; IADM20241</v>
      </c>
      <c r="D88" s="15" t="str">
        <v>VERSION_MULTIPLE_RESUELTA</v>
      </c>
      <c r="E88" s="15" t="str">
        <v>sí</v>
      </c>
      <c r="F88" s="15" t="str">
        <v>1</v>
      </c>
      <c r="G88" s="15" t="str">
        <v>C/D</v>
      </c>
      <c r="H88" s="15" t="str">
        <v>CIADM; IADM</v>
      </c>
    </row>
    <row r="89" ht="40" customHeight="1">
      <c r="A89" s="14" t="str">
        <v>I162S2C76J4V2</v>
      </c>
      <c r="B89" s="14" t="str">
        <v>INGENIERIA EN ADMINISTRACION DE EMPRESAS</v>
      </c>
      <c r="C89" s="14" t="str">
        <v>CIADM20241; IADM20241</v>
      </c>
      <c r="D89" s="14" t="str">
        <v>APROBADA_D_2027</v>
      </c>
      <c r="E89" s="14" t="str">
        <v>sí</v>
      </c>
      <c r="F89" s="14" t="str">
        <v>1</v>
      </c>
      <c r="G89" s="14" t="str">
        <v>D</v>
      </c>
      <c r="H89" s="14" t="str">
        <v>CIADM; IADM</v>
      </c>
    </row>
    <row r="90" ht="27" customHeight="1">
      <c r="A90" s="15" t="str">
        <v>I162S2C77J1V1</v>
      </c>
      <c r="B90" s="15" t="str">
        <v>INGENIERIA EN LOGISTICA</v>
      </c>
      <c r="C90" s="15" t="str">
        <v>ILOG20241</v>
      </c>
      <c r="D90" s="15" t="str">
        <v>CONTINUA</v>
      </c>
      <c r="E90" s="15" t="str">
        <v>no</v>
      </c>
      <c r="F90" s="15" t="str">
        <v>2</v>
      </c>
      <c r="G90" s="15" t="str">
        <v>C</v>
      </c>
      <c r="H90" s="15" t="str">
        <v>ILOG</v>
      </c>
    </row>
    <row r="91" ht="27" customHeight="1">
      <c r="A91" s="14" t="str">
        <v>I162S2C77J2V1</v>
      </c>
      <c r="B91" s="14" t="str">
        <v>INGENIERIA EN LOGISTICA</v>
      </c>
      <c r="C91" s="14" t="str">
        <v>ILOG20241</v>
      </c>
      <c r="D91" s="14" t="str">
        <v>CONTINUA</v>
      </c>
      <c r="E91" s="14" t="str">
        <v>no</v>
      </c>
      <c r="F91" s="14" t="str">
        <v>2</v>
      </c>
      <c r="G91" s="14" t="str">
        <v>C</v>
      </c>
      <c r="H91" s="14" t="str">
        <v>ILOG</v>
      </c>
    </row>
    <row r="92" ht="27" customHeight="1">
      <c r="A92" s="15" t="str">
        <v>I162S2C77J4V1</v>
      </c>
      <c r="B92" s="15" t="str">
        <v>INGENIERIA EN LOGISTICA</v>
      </c>
      <c r="C92" s="15" t="str">
        <v>CILOG20241; ILOG20241</v>
      </c>
      <c r="D92" s="15" t="str">
        <v>VERSION_MULTIPLE_RESUELTA</v>
      </c>
      <c r="E92" s="15" t="str">
        <v>sí</v>
      </c>
      <c r="F92" s="15" t="str">
        <v>1</v>
      </c>
      <c r="G92" s="15" t="str">
        <v>C</v>
      </c>
      <c r="H92" s="15" t="str">
        <v>CILOG; ILOG</v>
      </c>
    </row>
    <row r="93" ht="27" customHeight="1">
      <c r="A93" s="14" t="str">
        <v>I162S2C77J4V2</v>
      </c>
      <c r="B93" s="14" t="str">
        <v>INGENIERIA EN LOGISTICA</v>
      </c>
      <c r="C93" s="14" t="str">
        <v>CILOG20241</v>
      </c>
      <c r="D93" s="14" t="str">
        <v>VERSION_MULTIPLE_RESUELTA</v>
      </c>
      <c r="E93" s="14" t="str">
        <v>sí</v>
      </c>
      <c r="F93" s="14" t="str">
        <v>1</v>
      </c>
      <c r="G93" s="14" t="str">
        <v>C</v>
      </c>
      <c r="H93" s="14" t="str">
        <v>CILOG</v>
      </c>
    </row>
    <row r="94" ht="40" customHeight="1">
      <c r="A94" s="15" t="str">
        <v>I162S2C78J1V1</v>
      </c>
      <c r="B94" s="15" t="str">
        <v>TECNICO EN ADMINISTRACION DE EMPRESAS</v>
      </c>
      <c r="C94" s="15" t="str">
        <v>TAMD20241</v>
      </c>
      <c r="D94" s="15" t="str">
        <v>CONTINUA</v>
      </c>
      <c r="E94" s="15" t="str">
        <v>no</v>
      </c>
      <c r="F94" s="15" t="str">
        <v>2</v>
      </c>
      <c r="G94" s="15" t="str">
        <v>C</v>
      </c>
      <c r="H94" s="15" t="str">
        <v>TAMD</v>
      </c>
    </row>
    <row r="95" ht="40" customHeight="1">
      <c r="A95" s="14" t="str">
        <v>I162S2C78J2V1</v>
      </c>
      <c r="B95" s="14" t="str">
        <v>TECNICO EN ADMINISTRACION DE EMPRESAS</v>
      </c>
      <c r="C95" s="14" t="str">
        <v>TAMD20241</v>
      </c>
      <c r="D95" s="14" t="str">
        <v>APROBADA_D_2027</v>
      </c>
      <c r="E95" s="14" t="str">
        <v>no</v>
      </c>
      <c r="F95" s="14" t="str">
        <v>2</v>
      </c>
      <c r="G95" s="14" t="str">
        <v>D</v>
      </c>
      <c r="H95" s="14" t="str">
        <v>TAMD</v>
      </c>
    </row>
    <row r="96" ht="40" customHeight="1">
      <c r="A96" s="15" t="str">
        <v>I162S2C78J4V1</v>
      </c>
      <c r="B96" s="15" t="str">
        <v>TECNICO EN ADMINISTRACION DE EMPRESAS</v>
      </c>
      <c r="C96" s="15" t="str">
        <v>TAMD20241</v>
      </c>
      <c r="D96" s="15" t="str">
        <v>VERSION_MULTIPLE_RESUELTA</v>
      </c>
      <c r="E96" s="15" t="str">
        <v>sí</v>
      </c>
      <c r="F96" s="15" t="str">
        <v>1</v>
      </c>
      <c r="G96" s="15" t="str">
        <v>C</v>
      </c>
      <c r="H96" s="15" t="str">
        <v>TAMD</v>
      </c>
    </row>
    <row r="97" ht="27" customHeight="1">
      <c r="A97" s="14" t="str">
        <v>I162S2C79J1V1</v>
      </c>
      <c r="B97" s="14" t="str">
        <v>TECNICO EN LOGISTICA</v>
      </c>
      <c r="C97" s="14" t="str">
        <v>TLOG20241</v>
      </c>
      <c r="D97" s="14" t="str">
        <v>CONTINUA</v>
      </c>
      <c r="E97" s="14" t="str">
        <v>no</v>
      </c>
      <c r="F97" s="14" t="str">
        <v>2</v>
      </c>
      <c r="G97" s="14" t="str">
        <v>C</v>
      </c>
      <c r="H97" s="14" t="str">
        <v>TLOG</v>
      </c>
    </row>
    <row r="98" ht="27" customHeight="1">
      <c r="A98" s="15" t="str">
        <v>I162S2C79J2V1</v>
      </c>
      <c r="B98" s="15" t="str">
        <v>TECNICO EN LOGISTICA</v>
      </c>
      <c r="C98" s="15" t="str">
        <v>TLOG20241</v>
      </c>
      <c r="D98" s="15" t="str">
        <v>CONTINUA</v>
      </c>
      <c r="E98" s="15" t="str">
        <v>no</v>
      </c>
      <c r="F98" s="15" t="str">
        <v>2</v>
      </c>
      <c r="G98" s="15" t="str">
        <v>C</v>
      </c>
      <c r="H98" s="15" t="str">
        <v>TLOG</v>
      </c>
    </row>
    <row r="99" ht="27" customHeight="1">
      <c r="A99" s="14" t="str">
        <v>I162S2C79J4V1</v>
      </c>
      <c r="B99" s="14" t="str">
        <v>TECNICO EN LOGISTICA</v>
      </c>
      <c r="C99" s="14" t="str">
        <v>TLOG20241</v>
      </c>
      <c r="D99" s="14" t="str">
        <v>VERSION_MULTIPLE_RESUELTA</v>
      </c>
      <c r="E99" s="14" t="str">
        <v>sí</v>
      </c>
      <c r="F99" s="14" t="str">
        <v>1</v>
      </c>
      <c r="G99" s="14" t="str">
        <v>C</v>
      </c>
      <c r="H99" s="14" t="str">
        <v>TLOG</v>
      </c>
    </row>
    <row r="100" ht="27" customHeight="1">
      <c r="A100" s="15" t="str">
        <v>I162S2C83J4V1</v>
      </c>
      <c r="B100" s="15" t="str">
        <v>ADMINISTRACION PUBLICA</v>
      </c>
      <c r="C100" s="15" t="str">
        <v>ADMP20251</v>
      </c>
      <c r="D100" s="15" t="str">
        <v>APROBADA_D_2027</v>
      </c>
      <c r="E100" s="15" t="str">
        <v>sí</v>
      </c>
      <c r="F100" s="15" t="str">
        <v>1</v>
      </c>
      <c r="G100" s="15" t="str">
        <v>D</v>
      </c>
      <c r="H100" s="15" t="str">
        <v>ADMP</v>
      </c>
    </row>
    <row r="101" ht="27" customHeight="1">
      <c r="A101" s="14" t="str">
        <v>I162S2C83J4V2</v>
      </c>
      <c r="B101" s="14" t="str">
        <v>ADMINISTRACION PUBLICA</v>
      </c>
      <c r="C101" s="14" t="str">
        <v>CADMP20251</v>
      </c>
      <c r="D101" s="14" t="str">
        <v>APROBADA_D_2027</v>
      </c>
      <c r="E101" s="14" t="str">
        <v>sí</v>
      </c>
      <c r="F101" s="14" t="str">
        <v>1</v>
      </c>
      <c r="G101" s="14" t="str">
        <v>D</v>
      </c>
      <c r="H101" s="14" t="str">
        <v>CADMP</v>
      </c>
    </row>
    <row r="102" ht="40" customHeight="1">
      <c r="A102" s="15" t="str">
        <v>I162S2C84J4V1</v>
      </c>
      <c r="B102" s="15" t="str">
        <v>TECNICO EN ADMINISTRACION PUBLICA</v>
      </c>
      <c r="C102" s="15" t="str">
        <v>TADP20251</v>
      </c>
      <c r="D102" s="15" t="str">
        <v>CONTINUA</v>
      </c>
      <c r="E102" s="15" t="str">
        <v>sí</v>
      </c>
      <c r="F102" s="15" t="str">
        <v>1</v>
      </c>
      <c r="G102" s="15" t="str">
        <v>C</v>
      </c>
      <c r="H102" s="15" t="str">
        <v>TADP</v>
      </c>
    </row>
    <row r="103" ht="27" customHeight="1">
      <c r="A103" s="14" t="str">
        <v>I162S2C85J4V1</v>
      </c>
      <c r="B103" s="14" t="str">
        <v>CONTABILIDAD GENERAL</v>
      </c>
      <c r="C103" s="14" t="str">
        <v>CONG20251</v>
      </c>
      <c r="D103" s="14" t="str">
        <v>CONTINUA</v>
      </c>
      <c r="E103" s="14" t="str">
        <v>sí</v>
      </c>
      <c r="F103" s="14" t="str">
        <v>1</v>
      </c>
      <c r="G103" s="14" t="str">
        <v>C</v>
      </c>
      <c r="H103" s="14" t="str">
        <v>CONG</v>
      </c>
    </row>
    <row r="104" ht="27" customHeight="1">
      <c r="A104" s="15" t="str">
        <v>I162S2C86J4V1</v>
      </c>
      <c r="B104" s="15" t="str">
        <v>AUDITORIA</v>
      </c>
      <c r="C104" s="15" t="str">
        <v>AUDT20251</v>
      </c>
      <c r="D104" s="15" t="str">
        <v>VERSION_MULTIPLE_RESUELTA</v>
      </c>
      <c r="E104" s="15" t="str">
        <v>sí</v>
      </c>
      <c r="F104" s="15" t="str">
        <v>1</v>
      </c>
      <c r="G104" s="15" t="str">
        <v>C</v>
      </c>
      <c r="H104" s="15" t="str">
        <v>AUDT</v>
      </c>
    </row>
    <row r="105" ht="27" customHeight="1">
      <c r="A105" s="14" t="str">
        <v>I162S2C86J4V2</v>
      </c>
      <c r="B105" s="14" t="str">
        <v>AUDITORIA</v>
      </c>
      <c r="C105" s="14" t="str">
        <v>AUDT20251; CAUDT20251</v>
      </c>
      <c r="D105" s="14" t="str">
        <v>VERSION_MULTIPLE_RESUELTA</v>
      </c>
      <c r="E105" s="14" t="str">
        <v>sí</v>
      </c>
      <c r="F105" s="14" t="str">
        <v>1</v>
      </c>
      <c r="G105" s="14" t="str">
        <v>C</v>
      </c>
      <c r="H105" s="14" t="str">
        <v>AUDT; CAUDT</v>
      </c>
    </row>
    <row r="106" ht="27" customHeight="1">
      <c r="A106" s="15" t="str">
        <v>I162S2C87J4V1</v>
      </c>
      <c r="B106" s="15" t="str">
        <v>INGENIERIA INDUSTRIAL</v>
      </c>
      <c r="C106" s="15" t="str">
        <v>IIND20251</v>
      </c>
      <c r="D106" s="15" t="str">
        <v>VERSION_MULTIPLE_RESUELTA</v>
      </c>
      <c r="E106" s="15" t="str">
        <v>E</v>
      </c>
      <c r="F106" s="15" t="str">
        <v>1</v>
      </c>
      <c r="G106" s="15" t="str">
        <v>C/D</v>
      </c>
      <c r="H106" s="15" t="str">
        <v>IIND</v>
      </c>
    </row>
    <row r="107" ht="27" customHeight="1">
      <c r="A107" s="14" t="str">
        <v>I162S2C87J4V2</v>
      </c>
      <c r="B107" s="14" t="str">
        <v>INGENIERIA INDUSTRIAL</v>
      </c>
      <c r="C107" s="14" t="str">
        <v>IIND20251</v>
      </c>
      <c r="D107" s="14" t="str">
        <v>APROBADA_D_2027</v>
      </c>
      <c r="E107" s="14" t="str">
        <v>sí</v>
      </c>
      <c r="F107" s="14" t="str">
        <v>1</v>
      </c>
      <c r="G107" s="14" t="str">
        <v>D</v>
      </c>
      <c r="H107" s="14" t="str">
        <v>IIND</v>
      </c>
    </row>
    <row r="108" ht="40" customHeight="1">
      <c r="A108" s="15" t="str">
        <v>I162S2C88J4V1</v>
      </c>
      <c r="B108" s="15" t="str">
        <v>INGENIERIA EN CIENCIA DE DATOS</v>
      </c>
      <c r="C108" s="15" t="str">
        <v>ICDA20251</v>
      </c>
      <c r="D108" s="15" t="str">
        <v>VERSION_MULTIPLE_RESUELTA</v>
      </c>
      <c r="E108" s="15" t="str">
        <v>sí</v>
      </c>
      <c r="F108" s="15" t="str">
        <v>1</v>
      </c>
      <c r="G108" s="15" t="str">
        <v>C</v>
      </c>
      <c r="H108" s="15" t="str">
        <v>ICDA</v>
      </c>
    </row>
    <row r="109" ht="40" customHeight="1">
      <c r="A109" s="14" t="str">
        <v>I162S2C88J4V2</v>
      </c>
      <c r="B109" s="14" t="str">
        <v>INGENIERIA EN CIENCIA DE DATOS</v>
      </c>
      <c r="C109" s="14" t="str">
        <v>CICDA20251; ICDA20251</v>
      </c>
      <c r="D109" s="14" t="str">
        <v>VERSION_MULTIPLE_RESUELTA</v>
      </c>
      <c r="E109" s="14" t="str">
        <v>sí</v>
      </c>
      <c r="F109" s="14" t="str">
        <v>1</v>
      </c>
      <c r="G109" s="14" t="str">
        <v>C</v>
      </c>
      <c r="H109" s="14" t="str">
        <v>CICDA; ICDA</v>
      </c>
    </row>
    <row r="110" ht="40" customHeight="1">
      <c r="A110" s="15" t="str">
        <v>I162S2C89J4V1</v>
      </c>
      <c r="B110" s="15" t="str">
        <v>TECNICO EN CIENCIA DE DATOS</v>
      </c>
      <c r="C110" s="15" t="str">
        <v>TCDA20251</v>
      </c>
      <c r="D110" s="15" t="str">
        <v>CONTINUA</v>
      </c>
      <c r="E110" s="15" t="str">
        <v>sí</v>
      </c>
      <c r="F110" s="15" t="str">
        <v>1</v>
      </c>
      <c r="G110" s="15" t="str">
        <v>C</v>
      </c>
      <c r="H110" s="15" t="str">
        <v>TCDA</v>
      </c>
    </row>
    <row r="111" ht="27" customHeight="1">
      <c r="A111" s="14" t="str">
        <v>I162S2C90J2V1</v>
      </c>
      <c r="B111" s="14" t="str">
        <v>NATUROPATIA</v>
      </c>
      <c r="C111" s="14" t="str">
        <v>CNATP20251; NATP20251</v>
      </c>
      <c r="D111" s="14" t="str">
        <v>VERSION_MULTIPLE_RESUELTA</v>
      </c>
      <c r="E111" s="14" t="str">
        <v>no</v>
      </c>
      <c r="F111" s="14" t="str">
        <v>2</v>
      </c>
      <c r="G111" s="14" t="str">
        <v>C/D</v>
      </c>
      <c r="H111" s="14" t="str">
        <v>CNATP; NATP</v>
      </c>
    </row>
    <row r="112" ht="27" customHeight="1">
      <c r="A112" s="15" t="str">
        <v>I162S2C90J2V2</v>
      </c>
      <c r="B112" s="15" t="str">
        <v>NATUROPATIA</v>
      </c>
      <c r="C112" s="15" t="str">
        <v>CNATP20251; NATP20251</v>
      </c>
      <c r="D112" s="15" t="str">
        <v>VERSION_MULTIPLE_RESUELTA</v>
      </c>
      <c r="E112" s="15" t="str">
        <v>sí</v>
      </c>
      <c r="F112" s="15" t="str">
        <v>1</v>
      </c>
      <c r="G112" s="15" t="str">
        <v>C/D</v>
      </c>
      <c r="H112" s="15" t="str">
        <v>CNATP; NATP</v>
      </c>
    </row>
    <row r="113" ht="27" customHeight="1">
      <c r="A113" s="14" t="str">
        <v>I162S2C91J1V1</v>
      </c>
      <c r="B113" s="14" t="str">
        <v>TECNICO EN ENFERMERIA</v>
      </c>
      <c r="C113" s="14" t="str">
        <v>TENS20251</v>
      </c>
      <c r="D113" s="14" t="str">
        <v>CONTINUA</v>
      </c>
      <c r="E113" s="14" t="str">
        <v>sí</v>
      </c>
      <c r="F113" s="14" t="str">
        <v>1</v>
      </c>
      <c r="G113" s="14" t="str">
        <v>C</v>
      </c>
      <c r="H113" s="14" t="str">
        <v>COTENS; TENS</v>
      </c>
    </row>
    <row r="114" ht="27" customHeight="1">
      <c r="A114" s="15" t="str">
        <v>I162S2C91J2V1</v>
      </c>
      <c r="B114" s="15" t="str">
        <v>TECNICO EN ENFERMERIA</v>
      </c>
      <c r="C114" s="15" t="str">
        <v>TENS20251</v>
      </c>
      <c r="D114" s="15" t="str">
        <v>CONTINUA</v>
      </c>
      <c r="E114" s="15" t="str">
        <v>sí</v>
      </c>
      <c r="F114" s="15" t="str">
        <v>1</v>
      </c>
      <c r="G114" s="15" t="str">
        <v>C</v>
      </c>
      <c r="H114" s="15" t="str">
        <v>COTENS; TENS</v>
      </c>
    </row>
    <row r="115" ht="40" customHeight="1">
      <c r="A115" s="14" t="str">
        <v>I162S3C114J2V1</v>
      </c>
      <c r="B115" s="14" t="str">
        <v>TECNICO EN ENFERMERIA E INSTRUMENTACION QUIRURGICA</v>
      </c>
      <c r="C115" s="14" t="str">
        <v>COTEIQ20261</v>
      </c>
      <c r="D115" s="14" t="str">
        <v>CONTINUA</v>
      </c>
      <c r="E115" s="14" t="str">
        <v>sí</v>
      </c>
      <c r="F115" s="14" t="str">
        <v>1</v>
      </c>
      <c r="G115" s="14" t="str">
        <v>C</v>
      </c>
      <c r="H115" s="14" t="str">
        <v>COTEIQ</v>
      </c>
    </row>
    <row r="116" ht="27" customHeight="1">
      <c r="A116" s="15" t="str">
        <v>I162S3C115J2V1</v>
      </c>
      <c r="B116" s="15" t="str">
        <v>TECNICO EN FARMACIA</v>
      </c>
      <c r="C116" s="15" t="str">
        <v>COTFAR20261</v>
      </c>
      <c r="D116" s="15" t="str">
        <v>CONTINUA</v>
      </c>
      <c r="E116" s="15" t="str">
        <v>sí</v>
      </c>
      <c r="F116" s="15" t="str">
        <v>1</v>
      </c>
      <c r="G116" s="15" t="str">
        <v>C</v>
      </c>
      <c r="H116" s="15" t="str">
        <v>COTFAR</v>
      </c>
    </row>
    <row r="117" ht="27" customHeight="1">
      <c r="A117" s="14" t="str">
        <v>I162S3C91J2V1</v>
      </c>
      <c r="B117" s="14" t="str">
        <v>TECNICO EN ENFERMERIA</v>
      </c>
      <c r="C117" s="14" t="str">
        <v>COTENS20261</v>
      </c>
      <c r="D117" s="14" t="str">
        <v>CONTINUA</v>
      </c>
      <c r="E117" s="14" t="str">
        <v>sí</v>
      </c>
      <c r="F117" s="14" t="str">
        <v>1</v>
      </c>
      <c r="G117" s="14" t="str">
        <v>C</v>
      </c>
      <c r="H117" s="14" t="str">
        <v>COTENS</v>
      </c>
    </row>
    <row r="118" ht="27" customHeight="1">
      <c r="A118" s="15" t="str">
        <v>I162S2C115J3V1</v>
      </c>
      <c r="B118" s="15" t="str">
        <v>TECNICO EN FARMACIA</v>
      </c>
      <c r="C118" s="15" t="str">
        <v>E: sin plan</v>
      </c>
      <c r="D118" s="15" t="str">
        <v>NUEVO_2027_SIN_PLAN_E</v>
      </c>
      <c r="E118" s="15" t="str">
        <v>E</v>
      </c>
      <c r="F118" s="15" t="str">
        <v>1</v>
      </c>
      <c r="G118" s="15" t="str">
        <v>C/E</v>
      </c>
      <c r="H118" s="15" t="str"/>
    </row>
    <row r="119" ht="40" customHeight="1">
      <c r="A119" s="14" t="str">
        <v>I162S2C11J4V1</v>
      </c>
      <c r="B119" s="14" t="str">
        <v>TECNICO EN AUTOMATIZACION Y CONTROL INDUSTRIAL</v>
      </c>
      <c r="C119" s="14" t="str">
        <v>E: sin plan</v>
      </c>
      <c r="D119" s="14" t="str">
        <v>NUEVO_2027_SIN_PLAN_E</v>
      </c>
      <c r="E119" s="14" t="str">
        <v>no</v>
      </c>
      <c r="F119" s="14" t="str">
        <v>2</v>
      </c>
      <c r="G119" s="14" t="str">
        <v>C/E</v>
      </c>
      <c r="H119" s="14" t="str"/>
    </row>
    <row r="120" ht="40" customHeight="1">
      <c r="A120" s="15" t="str">
        <v>I162S2C130J4V1</v>
      </c>
      <c r="B120" s="15" t="str">
        <v>INGENIERIA EN ARQUITECTURA CLOUD</v>
      </c>
      <c r="C120" s="15" t="str">
        <v>E: sin plan</v>
      </c>
      <c r="D120" s="15" t="str">
        <v>NUEVO_2027_SIN_PLAN_E</v>
      </c>
      <c r="E120" s="15" t="str">
        <v>E</v>
      </c>
      <c r="F120" s="15" t="str">
        <v>1</v>
      </c>
      <c r="G120" s="15" t="str">
        <v>C/E</v>
      </c>
      <c r="H120" s="15" t="str"/>
    </row>
    <row r="121" ht="40" customHeight="1">
      <c r="A121" s="14" t="str">
        <v>I162S2C130J4V2</v>
      </c>
      <c r="B121" s="14" t="str">
        <v>INGENIERIA EN ARQUITECTURA CLOUD</v>
      </c>
      <c r="C121" s="14" t="str">
        <v>E: sin plan</v>
      </c>
      <c r="D121" s="14" t="str">
        <v>NUEVO_2027_SIN_PLAN_E</v>
      </c>
      <c r="E121" s="14" t="str">
        <v>E</v>
      </c>
      <c r="F121" s="14" t="str">
        <v>1</v>
      </c>
      <c r="G121" s="14" t="str">
        <v>C/E</v>
      </c>
      <c r="H121" s="14" t="str"/>
    </row>
    <row r="122" ht="40" customHeight="1">
      <c r="A122" s="15" t="str">
        <v>I162S2C131J4V1</v>
      </c>
      <c r="B122" s="15" t="str">
        <v>INGENIERIA EN COMERCIO EXTERIOR</v>
      </c>
      <c r="C122" s="15" t="str">
        <v>E: sin plan</v>
      </c>
      <c r="D122" s="15" t="str">
        <v>NUEVO_2027_SIN_PLAN_E</v>
      </c>
      <c r="E122" s="15" t="str">
        <v>E</v>
      </c>
      <c r="F122" s="15" t="str">
        <v>1</v>
      </c>
      <c r="G122" s="15" t="str">
        <v>C/E</v>
      </c>
      <c r="H122" s="15" t="str">
        <v>ICEX</v>
      </c>
    </row>
    <row r="123" ht="27" customHeight="1">
      <c r="A123" s="14" t="str">
        <v>I162S2C132J3V1</v>
      </c>
      <c r="B123" s="14" t="str">
        <v>INGENIERIA EN CONSTRUCCION</v>
      </c>
      <c r="C123" s="14" t="str">
        <v>E: sin plan</v>
      </c>
      <c r="D123" s="14" t="str">
        <v>NUEVO_2027_SIN_PLAN_E</v>
      </c>
      <c r="E123" s="14" t="str">
        <v>E</v>
      </c>
      <c r="F123" s="14" t="str">
        <v>1</v>
      </c>
      <c r="G123" s="14" t="str">
        <v>C/E</v>
      </c>
      <c r="H123" s="14" t="str"/>
    </row>
    <row r="124" ht="27" customHeight="1">
      <c r="A124" s="15" t="str">
        <v>I162S2C133J3V1</v>
      </c>
      <c r="B124" s="15" t="str">
        <v>INGENIERIA EN ELECTRICIDAD</v>
      </c>
      <c r="C124" s="15" t="str">
        <v>E: sin plan</v>
      </c>
      <c r="D124" s="15" t="str">
        <v>NUEVO_2027_SIN_PLAN_E</v>
      </c>
      <c r="E124" s="15" t="str">
        <v>E</v>
      </c>
      <c r="F124" s="15" t="str">
        <v>1</v>
      </c>
      <c r="G124" s="15" t="str">
        <v>C/E</v>
      </c>
      <c r="H124" s="15" t="str"/>
    </row>
    <row r="125" ht="40" customHeight="1">
      <c r="A125" s="14" t="str">
        <v>I162S2C134J4V1</v>
      </c>
      <c r="B125" s="14" t="str">
        <v>INGENIERIA EN INTELIGENCIA ARTIFICIAL</v>
      </c>
      <c r="C125" s="14" t="str">
        <v>E: sin plan</v>
      </c>
      <c r="D125" s="14" t="str">
        <v>NUEVO_2027_SIN_PLAN_E</v>
      </c>
      <c r="E125" s="14" t="str">
        <v>E</v>
      </c>
      <c r="F125" s="14" t="str">
        <v>1</v>
      </c>
      <c r="G125" s="14" t="str">
        <v>C/E</v>
      </c>
      <c r="H125" s="14" t="str">
        <v>IIART</v>
      </c>
    </row>
    <row r="126" ht="40" customHeight="1">
      <c r="A126" s="15" t="str">
        <v>I162S2C135J4V1</v>
      </c>
      <c r="B126" s="15" t="str">
        <v>INGENIERIA EN OPERACIONES MINERAS</v>
      </c>
      <c r="C126" s="15" t="str">
        <v>E: sin plan</v>
      </c>
      <c r="D126" s="15" t="str">
        <v>NUEVO_2027_SIN_PLAN_E</v>
      </c>
      <c r="E126" s="15" t="str">
        <v>E</v>
      </c>
      <c r="F126" s="15" t="str">
        <v>1</v>
      </c>
      <c r="G126" s="15" t="str">
        <v>C/E</v>
      </c>
      <c r="H126" s="15" t="str">
        <v>IOPMI</v>
      </c>
    </row>
    <row r="127" ht="40" customHeight="1">
      <c r="A127" s="14" t="str">
        <v>I162S2C136J4V1</v>
      </c>
      <c r="B127" s="14" t="str">
        <v>TECNICO EN COMERCIO EXTERIOR</v>
      </c>
      <c r="C127" s="14" t="str">
        <v>E: sin plan</v>
      </c>
      <c r="D127" s="14" t="str">
        <v>NUEVO_2027_SIN_PLAN_E</v>
      </c>
      <c r="E127" s="14" t="str">
        <v>E</v>
      </c>
      <c r="F127" s="14" t="str">
        <v>1</v>
      </c>
      <c r="G127" s="14" t="str">
        <v>C/E</v>
      </c>
      <c r="H127" s="14" t="str"/>
    </row>
    <row r="128" ht="27" customHeight="1">
      <c r="A128" s="15" t="str">
        <v>I162S2C137J3V1</v>
      </c>
      <c r="B128" s="15" t="str">
        <v>TECNICO EN CONSTRUCCION</v>
      </c>
      <c r="C128" s="15" t="str">
        <v>E: sin plan</v>
      </c>
      <c r="D128" s="15" t="str">
        <v>NUEVO_2027_SIN_PLAN_E</v>
      </c>
      <c r="E128" s="15" t="str">
        <v>E</v>
      </c>
      <c r="F128" s="15" t="str">
        <v>1</v>
      </c>
      <c r="G128" s="15" t="str">
        <v>C/E</v>
      </c>
      <c r="H128" s="15" t="str"/>
    </row>
    <row r="129" ht="27" customHeight="1">
      <c r="A129" s="14" t="str">
        <v>I162S2C138J3V1</v>
      </c>
      <c r="B129" s="14" t="str">
        <v>TECNICO EN ELECTRICIDAD</v>
      </c>
      <c r="C129" s="14" t="str">
        <v>E: sin plan</v>
      </c>
      <c r="D129" s="14" t="str">
        <v>NUEVO_2027_SIN_PLAN_E</v>
      </c>
      <c r="E129" s="14" t="str">
        <v>E</v>
      </c>
      <c r="F129" s="14" t="str">
        <v>1</v>
      </c>
      <c r="G129" s="14" t="str">
        <v>C/E</v>
      </c>
      <c r="H129" s="14" t="str"/>
    </row>
    <row r="130" ht="27" customHeight="1">
      <c r="A130" s="15" t="str">
        <v>I162S2C139J3V1</v>
      </c>
      <c r="B130" s="15" t="str">
        <v>TECNICO EN IMAGENOLOGIA</v>
      </c>
      <c r="C130" s="15" t="str">
        <v>E: sin plan</v>
      </c>
      <c r="D130" s="15" t="str">
        <v>NUEVO_2027_SIN_PLAN_E</v>
      </c>
      <c r="E130" s="15" t="str">
        <v>E</v>
      </c>
      <c r="F130" s="15" t="str">
        <v>1</v>
      </c>
      <c r="G130" s="15" t="str">
        <v>C/E</v>
      </c>
      <c r="H130" s="15" t="str"/>
    </row>
    <row r="131" ht="40" customHeight="1">
      <c r="A131" s="14" t="str">
        <v>I162S2C140J4V1</v>
      </c>
      <c r="B131" s="14" t="str">
        <v>TECNICO EN INTELIGENCIA ARTIFICIAL</v>
      </c>
      <c r="C131" s="14" t="str">
        <v>E: sin plan</v>
      </c>
      <c r="D131" s="14" t="str">
        <v>NUEVO_2027_SIN_PLAN_E</v>
      </c>
      <c r="E131" s="14" t="str">
        <v>E</v>
      </c>
      <c r="F131" s="14" t="str">
        <v>1</v>
      </c>
      <c r="G131" s="14" t="str">
        <v>C/E</v>
      </c>
      <c r="H131" s="14" t="str">
        <v>TIART</v>
      </c>
    </row>
    <row r="132" ht="40" customHeight="1">
      <c r="A132" s="15" t="str">
        <v>I162S2C142J4V1</v>
      </c>
      <c r="B132" s="15" t="str">
        <v>TECNICO EN OPERACIONES MINERAS</v>
      </c>
      <c r="C132" s="15" t="str">
        <v>E: sin plan</v>
      </c>
      <c r="D132" s="15" t="str">
        <v>NUEVO_2027_SIN_PLAN_E</v>
      </c>
      <c r="E132" s="15" t="str">
        <v>E</v>
      </c>
      <c r="F132" s="15" t="str">
        <v>1</v>
      </c>
      <c r="G132" s="15" t="str">
        <v>C/E</v>
      </c>
      <c r="H132" s="15" t="str">
        <v>TOPMI</v>
      </c>
    </row>
    <row r="133" ht="55" customHeight="1">
      <c r="A133" s="14" t="str">
        <v>I162S2C143J3V1</v>
      </c>
      <c r="B133" s="14" t="str">
        <v>TECNICO VETERINARIO EN CLINICA DE ANIMALES DE COMPAÑIA</v>
      </c>
      <c r="C133" s="14" t="str">
        <v>E: sin plan</v>
      </c>
      <c r="D133" s="14" t="str">
        <v>NUEVO_2027_SIN_PLAN_E</v>
      </c>
      <c r="E133" s="14" t="str">
        <v>E</v>
      </c>
      <c r="F133" s="14" t="str">
        <v>1</v>
      </c>
      <c r="G133" s="14" t="str">
        <v>C/E</v>
      </c>
      <c r="H133" s="14" t="str"/>
    </row>
    <row r="134" ht="40" customHeight="1">
      <c r="A134" s="15" t="str">
        <v>I162S2C35J1V1</v>
      </c>
      <c r="B134" s="15" t="str">
        <v>TECNICO EN ANALISIS DE SISTEMAS</v>
      </c>
      <c r="C134" s="15" t="str">
        <v>E: sin plan</v>
      </c>
      <c r="D134" s="15" t="str">
        <v>HISTORICO_SIN_MATRICULA_RECIENTE</v>
      </c>
      <c r="E134" s="15" t="str">
        <v>no</v>
      </c>
      <c r="F134" s="15" t="str">
        <v>2</v>
      </c>
      <c r="G134" s="15" t="str">
        <v>D</v>
      </c>
      <c r="H134" s="15" t="str"/>
    </row>
    <row r="135" ht="40" customHeight="1">
      <c r="A135" s="14" t="str">
        <v>I162S2C35J1V2</v>
      </c>
      <c r="B135" s="14" t="str">
        <v>TECNICO EN ANALISIS DE SISTEMAS</v>
      </c>
      <c r="C135" s="14" t="str">
        <v>E: sin plan</v>
      </c>
      <c r="D135" s="14" t="str">
        <v>HISTORICO_SIN_MATRICULA_RECIENTE</v>
      </c>
      <c r="E135" s="14" t="str">
        <v>no</v>
      </c>
      <c r="F135" s="14" t="str">
        <v>2</v>
      </c>
      <c r="G135" s="14" t="str">
        <v>D</v>
      </c>
      <c r="H135" s="14" t="str"/>
    </row>
    <row r="136" ht="40" customHeight="1">
      <c r="A136" s="15" t="str">
        <v>I162S2C35J2V1</v>
      </c>
      <c r="B136" s="15" t="str">
        <v>TECNICO EN ANALISIS DE SISTEMAS</v>
      </c>
      <c r="C136" s="15" t="str">
        <v>E: sin plan</v>
      </c>
      <c r="D136" s="15" t="str">
        <v>HISTORICO_SIN_MATRICULA_RECIENTE</v>
      </c>
      <c r="E136" s="15" t="str">
        <v>no</v>
      </c>
      <c r="F136" s="15" t="str">
        <v>2</v>
      </c>
      <c r="G136" s="15" t="str">
        <v>D</v>
      </c>
      <c r="H136" s="15" t="str"/>
    </row>
    <row r="137" ht="40" customHeight="1">
      <c r="A137" s="14" t="str">
        <v>I162S2C35J2V2</v>
      </c>
      <c r="B137" s="14" t="str">
        <v>TECNICO EN ANALISIS DE SISTEMAS</v>
      </c>
      <c r="C137" s="14" t="str">
        <v>E: sin plan</v>
      </c>
      <c r="D137" s="14" t="str">
        <v>HISTORICO_SIN_MATRICULA_RECIENTE</v>
      </c>
      <c r="E137" s="14" t="str">
        <v>no</v>
      </c>
      <c r="F137" s="14" t="str">
        <v>2</v>
      </c>
      <c r="G137" s="14" t="str">
        <v>D</v>
      </c>
      <c r="H137" s="14" t="str"/>
    </row>
    <row r="138" ht="40" customHeight="1">
      <c r="A138" s="15" t="str">
        <v>I162S2C35J4V1</v>
      </c>
      <c r="B138" s="15" t="str">
        <v>TECNICO EN ANALISIS DE SISTEMAS</v>
      </c>
      <c r="C138" s="15" t="str">
        <v>E: sin plan</v>
      </c>
      <c r="D138" s="15" t="str">
        <v>HISTORICO_SIN_MATRICULA_RECIENTE</v>
      </c>
      <c r="E138" s="15" t="str">
        <v>no</v>
      </c>
      <c r="F138" s="15" t="str">
        <v>2</v>
      </c>
      <c r="G138" s="15" t="str">
        <v>D</v>
      </c>
      <c r="H138" s="15" t="str"/>
    </row>
    <row r="139" ht="40" customHeight="1">
      <c r="A139" s="14" t="str">
        <v>I162S2C35J4V2</v>
      </c>
      <c r="B139" s="14" t="str">
        <v>TECNICO EN ANALISIS DE SISTEMAS</v>
      </c>
      <c r="C139" s="14" t="str">
        <v>E: sin plan</v>
      </c>
      <c r="D139" s="14" t="str">
        <v>HISTORICO_SIN_MATRICULA_RECIENTE</v>
      </c>
      <c r="E139" s="14" t="str">
        <v>no</v>
      </c>
      <c r="F139" s="14" t="str">
        <v>2</v>
      </c>
      <c r="G139" s="14" t="str">
        <v>D</v>
      </c>
      <c r="H139" s="14" t="str"/>
    </row>
    <row r="140" ht="27" customHeight="1">
      <c r="A140" s="15" t="str">
        <v>I162S2C47J4V2</v>
      </c>
      <c r="B140" s="15" t="str">
        <v>TECNICO EN CIBERSEGURIDAD</v>
      </c>
      <c r="C140" s="15" t="str">
        <v>E: sin plan</v>
      </c>
      <c r="D140" s="15" t="str">
        <v>NUEVO_2027_SIN_PLAN_E</v>
      </c>
      <c r="E140" s="15" t="str">
        <v>E</v>
      </c>
      <c r="F140" s="15" t="str">
        <v>1</v>
      </c>
      <c r="G140" s="15" t="str">
        <v>C/E</v>
      </c>
      <c r="H140" s="15" t="str"/>
    </row>
    <row r="141" ht="40" customHeight="1">
      <c r="A141" s="14" t="str">
        <v>I162S2C57J4V2</v>
      </c>
      <c r="B141" s="14" t="str">
        <v>TECNICO EN PROGRAMACION Y ANALISIS DE SISTEMAS</v>
      </c>
      <c r="C141" s="14" t="str">
        <v>E: sin plan</v>
      </c>
      <c r="D141" s="14" t="str">
        <v>NUEVO_2027_SIN_PLAN_E</v>
      </c>
      <c r="E141" s="14" t="str">
        <v>E</v>
      </c>
      <c r="F141" s="14" t="str">
        <v>1</v>
      </c>
      <c r="G141" s="14" t="str">
        <v>C/E</v>
      </c>
      <c r="H141" s="14" t="str"/>
    </row>
    <row r="142" ht="40" customHeight="1">
      <c r="A142" s="15" t="str">
        <v>I162S2C6J4V3</v>
      </c>
      <c r="B142" s="15" t="str">
        <v>TECNICO EN CONECTIVIDAD Y REDES</v>
      </c>
      <c r="C142" s="15" t="str">
        <v>E: sin plan</v>
      </c>
      <c r="D142" s="15" t="str">
        <v>NUEVO_2027_SIN_PLAN_E</v>
      </c>
      <c r="E142" s="15" t="str">
        <v>E</v>
      </c>
      <c r="F142" s="15" t="str">
        <v>1</v>
      </c>
      <c r="G142" s="15" t="str">
        <v>C/E</v>
      </c>
      <c r="H142" s="15" t="str"/>
    </row>
    <row r="143" ht="40" customHeight="1">
      <c r="A143" s="14" t="str">
        <v>I162S2C78J2V2</v>
      </c>
      <c r="B143" s="14" t="str">
        <v>TECNICO EN ADMINISTRACION DE EMPRESAS</v>
      </c>
      <c r="C143" s="14" t="str">
        <v>E: sin plan</v>
      </c>
      <c r="D143" s="14" t="str">
        <v>NUEVO_2027_SIN_PLAN_E</v>
      </c>
      <c r="E143" s="14" t="str">
        <v>E</v>
      </c>
      <c r="F143" s="14" t="str">
        <v>1</v>
      </c>
      <c r="G143" s="14" t="str">
        <v>C/E</v>
      </c>
      <c r="H143" s="14" t="str"/>
    </row>
    <row r="144" ht="40" customHeight="1">
      <c r="A144" s="15" t="str">
        <v>I162S2C78J4V2</v>
      </c>
      <c r="B144" s="15" t="str">
        <v>TECNICO EN ADMINISTRACION DE EMPRESAS</v>
      </c>
      <c r="C144" s="15" t="str">
        <v>E: sin plan</v>
      </c>
      <c r="D144" s="15" t="str">
        <v>NUEVO_2027_SIN_PLAN_E</v>
      </c>
      <c r="E144" s="15" t="str">
        <v>E</v>
      </c>
      <c r="F144" s="15" t="str">
        <v>1</v>
      </c>
      <c r="G144" s="15" t="str">
        <v>C/E</v>
      </c>
      <c r="H144" s="15" t="str"/>
    </row>
    <row r="145" ht="27" customHeight="1">
      <c r="A145" s="14" t="str">
        <v>I162S2C79J4V2</v>
      </c>
      <c r="B145" s="14" t="str">
        <v>TECNICO EN LOGISTICA</v>
      </c>
      <c r="C145" s="14" t="str">
        <v>E: sin plan</v>
      </c>
      <c r="D145" s="14" t="str">
        <v>NUEVO_2027_SIN_PLAN_E</v>
      </c>
      <c r="E145" s="14" t="str">
        <v>E</v>
      </c>
      <c r="F145" s="14" t="str">
        <v>1</v>
      </c>
      <c r="G145" s="14" t="str">
        <v>C/E</v>
      </c>
      <c r="H145" s="14" t="str"/>
    </row>
    <row r="146" ht="27" customHeight="1">
      <c r="A146" s="15" t="str">
        <v>I162S2C91J3V1</v>
      </c>
      <c r="B146" s="15" t="str">
        <v>TECNICO EN ENFERMERIA</v>
      </c>
      <c r="C146" s="15" t="str">
        <v>E: sin plan</v>
      </c>
      <c r="D146" s="15" t="str">
        <v>NUEVO_2027_SIN_PLAN_E</v>
      </c>
      <c r="E146" s="15" t="str">
        <v>E</v>
      </c>
      <c r="F146" s="15" t="str">
        <v>1</v>
      </c>
      <c r="G146" s="15" t="str">
        <v>C/E</v>
      </c>
      <c r="H146" s="15" t="str"/>
    </row>
    <row r="147" ht="27" customHeight="1">
      <c r="A147" s="14" t="str">
        <v>I162S3C115J3V1</v>
      </c>
      <c r="B147" s="14" t="str">
        <v>TECNICO EN FARMACIA</v>
      </c>
      <c r="C147" s="14" t="str">
        <v>E: sin plan</v>
      </c>
      <c r="D147" s="14" t="str">
        <v>NUEVO_2027_SIN_PLAN_E</v>
      </c>
      <c r="E147" s="14" t="str">
        <v>E</v>
      </c>
      <c r="F147" s="14" t="str">
        <v>1</v>
      </c>
      <c r="G147" s="14" t="str">
        <v>C/E</v>
      </c>
      <c r="H147" s="14" t="str"/>
    </row>
    <row r="148" ht="27" customHeight="1">
      <c r="A148" s="15" t="str">
        <v>I162S3C132J3V1</v>
      </c>
      <c r="B148" s="15" t="str">
        <v>INGENIERIA EN CONSTRUCCION</v>
      </c>
      <c r="C148" s="15" t="str">
        <v>E: sin plan</v>
      </c>
      <c r="D148" s="15" t="str">
        <v>NUEVO_2027_SIN_PLAN_E</v>
      </c>
      <c r="E148" s="15" t="str">
        <v>E</v>
      </c>
      <c r="F148" s="15" t="str">
        <v>1</v>
      </c>
      <c r="G148" s="15" t="str">
        <v>C/E</v>
      </c>
      <c r="H148" s="15" t="str"/>
    </row>
    <row r="149" ht="27" customHeight="1">
      <c r="A149" s="14" t="str">
        <v>I162S3C133J3V1</v>
      </c>
      <c r="B149" s="14" t="str">
        <v>INGENIERIA EN ELECTRICIDAD</v>
      </c>
      <c r="C149" s="14" t="str">
        <v>E: sin plan</v>
      </c>
      <c r="D149" s="14" t="str">
        <v>NUEVO_2027_SIN_PLAN_E</v>
      </c>
      <c r="E149" s="14" t="str">
        <v>E</v>
      </c>
      <c r="F149" s="14" t="str">
        <v>1</v>
      </c>
      <c r="G149" s="14" t="str">
        <v>C/E</v>
      </c>
      <c r="H149" s="14" t="str"/>
    </row>
    <row r="150" ht="27" customHeight="1">
      <c r="A150" s="15" t="str">
        <v>I162S3C137J3V1</v>
      </c>
      <c r="B150" s="15" t="str">
        <v>TECNICO EN CONSTRUCCION</v>
      </c>
      <c r="C150" s="15" t="str">
        <v>E: sin plan</v>
      </c>
      <c r="D150" s="15" t="str">
        <v>NUEVO_2027_SIN_PLAN_E</v>
      </c>
      <c r="E150" s="15" t="str">
        <v>E</v>
      </c>
      <c r="F150" s="15" t="str">
        <v>1</v>
      </c>
      <c r="G150" s="15" t="str">
        <v>C/E</v>
      </c>
      <c r="H150" s="15" t="str"/>
    </row>
    <row r="151" ht="27" customHeight="1">
      <c r="A151" s="14" t="str">
        <v>I162S3C138J3V1</v>
      </c>
      <c r="B151" s="14" t="str">
        <v>TECNICO EN ELECTRICIDAD</v>
      </c>
      <c r="C151" s="14" t="str">
        <v>E: sin plan</v>
      </c>
      <c r="D151" s="14" t="str">
        <v>NUEVO_2027_SIN_PLAN_E</v>
      </c>
      <c r="E151" s="14" t="str">
        <v>E</v>
      </c>
      <c r="F151" s="14" t="str">
        <v>1</v>
      </c>
      <c r="G151" s="14" t="str">
        <v>C/E</v>
      </c>
      <c r="H151" s="14" t="str"/>
    </row>
    <row r="152" ht="27" customHeight="1">
      <c r="A152" s="15" t="str">
        <v>I162S3C139J3V1</v>
      </c>
      <c r="B152" s="15" t="str">
        <v>TECNICO EN IMAGENOLOGIA</v>
      </c>
      <c r="C152" s="15" t="str">
        <v>E: sin plan</v>
      </c>
      <c r="D152" s="15" t="str">
        <v>NUEVO_2027_SIN_PLAN_E</v>
      </c>
      <c r="E152" s="15" t="str">
        <v>E</v>
      </c>
      <c r="F152" s="15" t="str">
        <v>1</v>
      </c>
      <c r="G152" s="15" t="str">
        <v>C/E</v>
      </c>
      <c r="H152" s="15" t="str"/>
    </row>
    <row r="153" ht="27" customHeight="1">
      <c r="A153" s="14" t="str">
        <v>I162S3C141J3V1</v>
      </c>
      <c r="B153" s="14" t="str">
        <v>TECNICO EN ODONTOLOGIA</v>
      </c>
      <c r="C153" s="14" t="str">
        <v>E: sin plan</v>
      </c>
      <c r="D153" s="14" t="str">
        <v>NUEVO_2027_SIN_PLAN_E</v>
      </c>
      <c r="E153" s="14" t="str">
        <v>E</v>
      </c>
      <c r="F153" s="14" t="str">
        <v>1</v>
      </c>
      <c r="G153" s="14" t="str">
        <v>C/E</v>
      </c>
      <c r="H153" s="14" t="str"/>
    </row>
    <row r="154" ht="55" customHeight="1">
      <c r="A154" s="15" t="str">
        <v>I162S3C143J3V1</v>
      </c>
      <c r="B154" s="15" t="str">
        <v>TECNICO VETERINARIO EN CLINICA DE ANIMALES DE COMPAÑIA</v>
      </c>
      <c r="C154" s="15" t="str">
        <v>E: sin plan</v>
      </c>
      <c r="D154" s="15" t="str">
        <v>NUEVO_2027_SIN_PLAN_E</v>
      </c>
      <c r="E154" s="15" t="str">
        <v>E</v>
      </c>
      <c r="F154" s="15" t="str">
        <v>1</v>
      </c>
      <c r="G154" s="15" t="str">
        <v>C/E</v>
      </c>
      <c r="H154" s="15" t="str"/>
    </row>
    <row r="155" ht="27" customHeight="1">
      <c r="A155" s="14" t="str">
        <v>I162S3C91J1V1</v>
      </c>
      <c r="B155" s="14" t="str">
        <v>TECNICO EN ENFERMERIA</v>
      </c>
      <c r="C155" s="14" t="str">
        <v>E: sin plan</v>
      </c>
      <c r="D155" s="14" t="str">
        <v>NUEVO_2027_SIN_PLAN_E</v>
      </c>
      <c r="E155" s="14" t="str">
        <v>E</v>
      </c>
      <c r="F155" s="14" t="str">
        <v>1</v>
      </c>
      <c r="G155" s="14" t="str">
        <v>C/E</v>
      </c>
      <c r="H155" s="14" t="str"/>
    </row>
    <row r="156" ht="27" customHeight="1">
      <c r="A156" s="15" t="str">
        <v>I162S3C91J3V1</v>
      </c>
      <c r="B156" s="15" t="str">
        <v>TECNICO EN ENFERMERIA</v>
      </c>
      <c r="C156" s="15" t="str">
        <v>E: sin plan</v>
      </c>
      <c r="D156" s="15" t="str">
        <v>NUEVO_2027_SIN_PLAN_E</v>
      </c>
      <c r="E156" s="15" t="str">
        <v>E</v>
      </c>
      <c r="F156" s="15" t="str">
        <v>1</v>
      </c>
      <c r="G156" s="15" t="str">
        <v>C/E</v>
      </c>
      <c r="H156" s="15" t="str"/>
    </row>
    <row r="157" ht="40" customHeight="1">
      <c r="A157" s="14" t="str">
        <v>I162S4C114J2V1</v>
      </c>
      <c r="B157" s="14" t="str">
        <v>TECNICO EN ENFERMERIA E INSTRUMENTACION QUIRURGICA</v>
      </c>
      <c r="C157" s="14" t="str">
        <v>E: sin plan</v>
      </c>
      <c r="D157" s="14" t="str">
        <v>NUEVO_2027_SIN_PLAN_E</v>
      </c>
      <c r="E157" s="14" t="str">
        <v>E</v>
      </c>
      <c r="F157" s="14" t="str">
        <v>1</v>
      </c>
      <c r="G157" s="14" t="str">
        <v>C/E</v>
      </c>
      <c r="H157" s="14" t="str">
        <v>PMTEIQ</v>
      </c>
    </row>
    <row r="158" ht="27" customHeight="1">
      <c r="A158" s="15" t="str">
        <v>I162S4C115J2V1</v>
      </c>
      <c r="B158" s="15" t="str">
        <v>TECNICO EN FARMACIA</v>
      </c>
      <c r="C158" s="15" t="str">
        <v>E: sin plan</v>
      </c>
      <c r="D158" s="15" t="str">
        <v>NUEVO_2027_SIN_PLAN_E</v>
      </c>
      <c r="E158" s="15" t="str">
        <v>E</v>
      </c>
      <c r="F158" s="15" t="str">
        <v>1</v>
      </c>
      <c r="G158" s="15" t="str">
        <v>C/E</v>
      </c>
      <c r="H158" s="15" t="str">
        <v>PMTFAR</v>
      </c>
    </row>
    <row r="159" ht="27" customHeight="1">
      <c r="A159" s="14" t="str">
        <v>I162S4C115J3V1</v>
      </c>
      <c r="B159" s="14" t="str">
        <v>TECNICO EN FARMACIA</v>
      </c>
      <c r="C159" s="14" t="str">
        <v>E: sin plan</v>
      </c>
      <c r="D159" s="14" t="str">
        <v>NUEVO_2027_SIN_PLAN_E</v>
      </c>
      <c r="E159" s="14" t="str">
        <v>E</v>
      </c>
      <c r="F159" s="14" t="str">
        <v>1</v>
      </c>
      <c r="G159" s="14" t="str">
        <v>C/E</v>
      </c>
      <c r="H159" s="14" t="str"/>
    </row>
    <row r="160" ht="27" customHeight="1">
      <c r="A160" s="15" t="str">
        <v>I162S4C91J2V1</v>
      </c>
      <c r="B160" s="15" t="str">
        <v>TECNICO EN ENFERMERIA</v>
      </c>
      <c r="C160" s="15" t="str">
        <v>E: sin plan</v>
      </c>
      <c r="D160" s="15" t="str">
        <v>NUEVO_2027_SIN_PLAN_E</v>
      </c>
      <c r="E160" s="15" t="str">
        <v>E</v>
      </c>
      <c r="F160" s="15" t="str">
        <v>1</v>
      </c>
      <c r="G160" s="15" t="str">
        <v>C/E</v>
      </c>
      <c r="H160" s="15" t="str">
        <v>PMTENS</v>
      </c>
    </row>
    <row r="161" ht="40" customHeight="1">
      <c r="A161" s="14" t="str">
        <v>I162S2C101J4V1</v>
      </c>
      <c r="B161" s="14" t="str">
        <v>DIPLOMADO EN SALUD FAMILIAR CON ENFOQUE COMUNITARIO</v>
      </c>
      <c r="C161" s="14" t="str">
        <v>DSFA20251</v>
      </c>
      <c r="D161" s="14" t="str">
        <v>FUERA_ALCANCE</v>
      </c>
      <c r="E161" s="14" t="str">
        <v>no</v>
      </c>
      <c r="F161" s="14" t="str">
        <v>3</v>
      </c>
      <c r="G161" s="14" t="str">
        <v>C/D</v>
      </c>
      <c r="H161" s="14" t="str">
        <v>DSFA</v>
      </c>
    </row>
    <row r="162" ht="40" customHeight="1">
      <c r="A162" s="15" t="str">
        <v>I162S2C102J4V1</v>
      </c>
      <c r="B162" s="15" t="str">
        <v>DIPLOMADO SALUD CON FOCO EN MIGRACION</v>
      </c>
      <c r="C162" s="15" t="str">
        <v>E: sin plan</v>
      </c>
      <c r="D162" s="15" t="str">
        <v>FUERA_ALCANCE</v>
      </c>
      <c r="E162" s="15" t="str">
        <v>no</v>
      </c>
      <c r="F162" s="15" t="str">
        <v>3</v>
      </c>
      <c r="G162" s="15" t="str">
        <v>C/D</v>
      </c>
      <c r="H162" s="15" t="str"/>
    </row>
    <row r="163" ht="70" customHeight="1">
      <c r="A163" s="14" t="str">
        <v>I162S2C103J4V1</v>
      </c>
      <c r="B163" s="14" t="str">
        <v>DIPLOMADO ABORDAJE INTEGRAL DE LA VIOLENCIA DE GENERO EN ATENCION PRIMARIA DE SALUD</v>
      </c>
      <c r="C163" s="14" t="str">
        <v>E: sin plan</v>
      </c>
      <c r="D163" s="14" t="str">
        <v>FUERA_ALCANCE</v>
      </c>
      <c r="E163" s="14" t="str">
        <v>no</v>
      </c>
      <c r="F163" s="14" t="str">
        <v>3</v>
      </c>
      <c r="G163" s="14" t="str">
        <v>C/D</v>
      </c>
      <c r="H163" s="14" t="str"/>
    </row>
    <row r="164" ht="40" customHeight="1">
      <c r="A164" s="15" t="str">
        <v>I162S2C104J4V1</v>
      </c>
      <c r="B164" s="15" t="str">
        <v>DIPLOMADO EN INNOVACION PARA LA DOCENCIA</v>
      </c>
      <c r="C164" s="15" t="str">
        <v>E: sin plan</v>
      </c>
      <c r="D164" s="15" t="str">
        <v>FUERA_ALCANCE</v>
      </c>
      <c r="E164" s="15" t="str">
        <v>no</v>
      </c>
      <c r="F164" s="15" t="str">
        <v>3</v>
      </c>
      <c r="G164" s="15" t="str">
        <v>C/D</v>
      </c>
      <c r="H164" s="15" t="str"/>
    </row>
    <row r="165" ht="40" customHeight="1">
      <c r="A165" s="14" t="str">
        <v>I162S2C105J4V1</v>
      </c>
      <c r="B165" s="14" t="str">
        <v>DIPLOMADO EN HUMANIZACION EN SALUD</v>
      </c>
      <c r="C165" s="14" t="str">
        <v>E: sin plan</v>
      </c>
      <c r="D165" s="14" t="str">
        <v>FUERA_ALCANCE</v>
      </c>
      <c r="E165" s="14" t="str">
        <v>no</v>
      </c>
      <c r="F165" s="14" t="str">
        <v>3</v>
      </c>
      <c r="G165" s="14" t="str">
        <v>C/D</v>
      </c>
      <c r="H165" s="14" t="str"/>
    </row>
    <row r="166" ht="55" customHeight="1">
      <c r="A166" s="15" t="str">
        <v>I162S2C40J2V1</v>
      </c>
      <c r="B166" s="15" t="str">
        <v>DIPLOMADO EN DOCENCIA EN EDUCACION SUPERIOR TECNICO PROFESIONAL</v>
      </c>
      <c r="C166" s="15" t="str">
        <v>E: sin plan</v>
      </c>
      <c r="D166" s="15" t="str">
        <v>FUERA_ALCANCE</v>
      </c>
      <c r="E166" s="15" t="str">
        <v>no</v>
      </c>
      <c r="F166" s="15" t="str">
        <v>3</v>
      </c>
      <c r="G166" s="15" t="str">
        <v>C/D</v>
      </c>
      <c r="H166" s="15" t="str"/>
    </row>
    <row r="167" ht="40" customHeight="1">
      <c r="A167" s="14" t="str">
        <v>I162S2C53J3V1</v>
      </c>
      <c r="B167" s="14" t="str">
        <v>DIPLOMADO EN CIBERSEGURIDAD APLICADA</v>
      </c>
      <c r="C167" s="14" t="str">
        <v>DCBS20251</v>
      </c>
      <c r="D167" s="14" t="str">
        <v>FUERA_ALCANCE</v>
      </c>
      <c r="E167" s="14" t="str">
        <v>no</v>
      </c>
      <c r="F167" s="14" t="str">
        <v>1</v>
      </c>
      <c r="G167" s="14" t="str">
        <v>C/D</v>
      </c>
      <c r="H167" s="14" t="str">
        <v>DCBS</v>
      </c>
    </row>
    <row r="168" ht="40" customHeight="1">
      <c r="A168" s="15" t="str">
        <v>I162S2C63J4V1</v>
      </c>
      <c r="B168" s="15" t="str">
        <v>DIPLOMADO EN ARQUITECTURA CLOUD</v>
      </c>
      <c r="C168" s="15" t="str">
        <v>DACD20251</v>
      </c>
      <c r="D168" s="15" t="str">
        <v>FUERA_ALCANCE</v>
      </c>
      <c r="E168" s="15" t="str">
        <v>no</v>
      </c>
      <c r="F168" s="15" t="str">
        <v>3</v>
      </c>
      <c r="G168" s="15" t="str">
        <v>C/D</v>
      </c>
      <c r="H168" s="15" t="str">
        <v>DACD</v>
      </c>
    </row>
    <row r="169" ht="27" customHeight="1">
      <c r="A169" s="14" t="str">
        <v>I162S2C64J4V1</v>
      </c>
      <c r="B169" s="14" t="str">
        <v>DIPLOMADO EN BACKEND</v>
      </c>
      <c r="C169" s="14" t="str">
        <v>E: sin plan</v>
      </c>
      <c r="D169" s="14" t="str">
        <v>FUERA_ALCANCE</v>
      </c>
      <c r="E169" s="14" t="str">
        <v>no</v>
      </c>
      <c r="F169" s="14" t="str">
        <v>3</v>
      </c>
      <c r="G169" s="14" t="str">
        <v>C/D</v>
      </c>
      <c r="H169" s="14" t="str"/>
    </row>
    <row r="170" ht="27" customHeight="1">
      <c r="A170" s="15" t="str">
        <v>I162S2C65J4V1</v>
      </c>
      <c r="B170" s="15" t="str">
        <v>DIPLOMADO EN FRONTEND</v>
      </c>
      <c r="C170" s="15" t="str">
        <v>E: sin plan</v>
      </c>
      <c r="D170" s="15" t="str">
        <v>FUERA_ALCANCE</v>
      </c>
      <c r="E170" s="15" t="str">
        <v>no</v>
      </c>
      <c r="F170" s="15" t="str">
        <v>3</v>
      </c>
      <c r="G170" s="15" t="str">
        <v>C/D</v>
      </c>
      <c r="H170" s="15" t="str"/>
    </row>
    <row r="171" ht="27" customHeight="1">
      <c r="A171" s="14" t="str">
        <v>I162S2C66J4V1</v>
      </c>
      <c r="B171" s="14" t="str">
        <v>DIPLOMADO EN FULLSTACK</v>
      </c>
      <c r="C171" s="14" t="str">
        <v>DFSK20251</v>
      </c>
      <c r="D171" s="14" t="str">
        <v>FUERA_ALCANCE</v>
      </c>
      <c r="E171" s="14" t="str">
        <v>no</v>
      </c>
      <c r="F171" s="14" t="str">
        <v>1</v>
      </c>
      <c r="G171" s="14" t="str">
        <v>C/D</v>
      </c>
      <c r="H171" s="14" t="str">
        <v>DFSK</v>
      </c>
    </row>
    <row r="172" ht="40" customHeight="1">
      <c r="A172" s="15" t="str">
        <v>I162S2C67J4V1</v>
      </c>
      <c r="B172" s="15" t="str">
        <v>DIPLOMADO EN QUALITY ASSURANCE</v>
      </c>
      <c r="C172" s="15" t="str">
        <v>DQAS</v>
      </c>
      <c r="D172" s="15" t="str">
        <v>FUERA_ALCANCE</v>
      </c>
      <c r="E172" s="15" t="str">
        <v>no</v>
      </c>
      <c r="F172" s="15" t="str">
        <v>3</v>
      </c>
      <c r="G172" s="15" t="str">
        <v>C/D</v>
      </c>
      <c r="H172" s="15" t="str">
        <v>DQAS</v>
      </c>
    </row>
    <row r="173" ht="40" customHeight="1">
      <c r="A173" s="14" t="str">
        <v>I162S2C68J4V1</v>
      </c>
      <c r="B173" s="14" t="str">
        <v>DIPLOMADO EN SEGURIDAD OFENSIVA</v>
      </c>
      <c r="C173" s="14" t="str">
        <v>DSOF20251</v>
      </c>
      <c r="D173" s="14" t="str">
        <v>FUERA_ALCANCE</v>
      </c>
      <c r="E173" s="14" t="str">
        <v>no</v>
      </c>
      <c r="F173" s="14" t="str">
        <v>1</v>
      </c>
      <c r="G173" s="14" t="str">
        <v>C/D</v>
      </c>
      <c r="H173" s="14" t="str">
        <v>DSOF</v>
      </c>
    </row>
    <row r="174" ht="40" customHeight="1">
      <c r="A174" s="15" t="str">
        <v>I162S2C69J4V1</v>
      </c>
      <c r="B174" s="15" t="str">
        <v>DIPLOMADO INFRAESTRUCTURA CLOUD</v>
      </c>
      <c r="C174" s="15" t="str">
        <v>DICD</v>
      </c>
      <c r="D174" s="15" t="str">
        <v>FUERA_ALCANCE</v>
      </c>
      <c r="E174" s="15" t="str">
        <v>no</v>
      </c>
      <c r="F174" s="15" t="str">
        <v>1</v>
      </c>
      <c r="G174" s="15" t="str">
        <v>C/D</v>
      </c>
      <c r="H174" s="15" t="str">
        <v>DICD</v>
      </c>
    </row>
    <row r="175" ht="40" customHeight="1">
      <c r="A175" s="14" t="str">
        <v>I162S2C70J4V1</v>
      </c>
      <c r="B175" s="14" t="str">
        <v>DIPLOMADO REDES INDUSTRIALES</v>
      </c>
      <c r="C175" s="14" t="str">
        <v>DRID</v>
      </c>
      <c r="D175" s="14" t="str">
        <v>FUERA_ALCANCE</v>
      </c>
      <c r="E175" s="14" t="str">
        <v>no</v>
      </c>
      <c r="F175" s="14" t="str">
        <v>1</v>
      </c>
      <c r="G175" s="14" t="str">
        <v>C/D</v>
      </c>
      <c r="H175" s="14" t="str">
        <v>DRID</v>
      </c>
    </row>
    <row r="176" ht="40" customHeight="1">
      <c r="A176" s="15" t="str">
        <v>I162S2C71J4V1</v>
      </c>
      <c r="B176" s="15" t="str">
        <v>DIPLOMADO SEGURIDAD EN ARQUITECTURA DE REDES</v>
      </c>
      <c r="C176" s="15" t="str">
        <v>E: sin plan</v>
      </c>
      <c r="D176" s="15" t="str">
        <v>FUERA_ALCANCE</v>
      </c>
      <c r="E176" s="15" t="str">
        <v>no</v>
      </c>
      <c r="F176" s="15" t="str">
        <v>3</v>
      </c>
      <c r="G176" s="15" t="str">
        <v>C/D</v>
      </c>
      <c r="H176" s="15" t="str"/>
    </row>
    <row r="177" ht="40" customHeight="1">
      <c r="A177" s="14" t="str">
        <v>I162S2C95J4V1</v>
      </c>
      <c r="B177" s="14" t="str">
        <v>DIPLOMADO EN INTELIGENCIA ARTIFICIAL</v>
      </c>
      <c r="C177" s="14" t="str">
        <v>DIAR20251</v>
      </c>
      <c r="D177" s="14" t="str">
        <v>FUERA_ALCANCE</v>
      </c>
      <c r="E177" s="14" t="str">
        <v>no</v>
      </c>
      <c r="F177" s="14" t="str">
        <v>3</v>
      </c>
      <c r="G177" s="14" t="str">
        <v>C/D</v>
      </c>
      <c r="H177" s="14" t="str">
        <v>DIAR</v>
      </c>
    </row>
    <row r="178" ht="40" customHeight="1">
      <c r="A178" s="15" t="str">
        <v>I162S2C96J4V1</v>
      </c>
      <c r="B178" s="15" t="str">
        <v>DIPLOMADO EN GOBERNANZA DE DATOS</v>
      </c>
      <c r="C178" s="15" t="str">
        <v>DGDA</v>
      </c>
      <c r="D178" s="15" t="str">
        <v>FUERA_ALCANCE</v>
      </c>
      <c r="E178" s="15" t="str">
        <v>no</v>
      </c>
      <c r="F178" s="15" t="str">
        <v>1</v>
      </c>
      <c r="G178" s="15" t="str">
        <v>C/D</v>
      </c>
      <c r="H178" s="15" t="str">
        <v>DGDA</v>
      </c>
    </row>
    <row r="179" ht="55" customHeight="1">
      <c r="A179" s="14" t="str">
        <v>I162S2C97J4V1</v>
      </c>
      <c r="B179" s="14" t="str">
        <v>DIPLOMADO EN SUPPLY CHAIN MANAGEMENT Y MINERIA DE REQUERIMIENTOS</v>
      </c>
      <c r="C179" s="14" t="str">
        <v>DDSC20251; DSCM20251</v>
      </c>
      <c r="D179" s="14" t="str">
        <v>FUERA_ALCANCE</v>
      </c>
      <c r="E179" s="14" t="str">
        <v>no</v>
      </c>
      <c r="F179" s="14" t="str">
        <v>3</v>
      </c>
      <c r="G179" s="14" t="str">
        <v>C/D</v>
      </c>
      <c r="H179" s="14" t="str">
        <v>DDSC; DSCM</v>
      </c>
    </row>
    <row r="180" ht="55" customHeight="1">
      <c r="A180" s="15" t="str">
        <v>I162S2C98J4V1</v>
      </c>
      <c r="B180" s="15" t="str">
        <v>DIPLOMADO EN HABILIDADES DIRECTIVAS PARA PROFESIONALES STEM</v>
      </c>
      <c r="C180" s="15" t="str">
        <v>E: sin plan</v>
      </c>
      <c r="D180" s="15" t="str">
        <v>FUERA_ALCANCE</v>
      </c>
      <c r="E180" s="15" t="str">
        <v>no</v>
      </c>
      <c r="F180" s="15" t="str">
        <v>3</v>
      </c>
      <c r="G180" s="15" t="str">
        <v>C/D</v>
      </c>
      <c r="H180" s="15" t="str"/>
    </row>
    <row r="181" ht="40" customHeight="1">
      <c r="A181" s="14" t="str">
        <v>I162S2C99J4V1</v>
      </c>
      <c r="B181" s="14" t="str">
        <v>DIPLOMADO EN GESTION PUBLICA LOCAL</v>
      </c>
      <c r="C181" s="14" t="str">
        <v>E: sin plan</v>
      </c>
      <c r="D181" s="14" t="str">
        <v>FUERA_ALCANCE</v>
      </c>
      <c r="E181" s="14" t="str">
        <v>no</v>
      </c>
      <c r="F181" s="14" t="str">
        <v>1</v>
      </c>
      <c r="G181" s="14" t="str">
        <v>C/D</v>
      </c>
      <c r="H181" s="14" t="str"/>
    </row>
    <row r="182" ht="23" customHeight="1">
      <c r="A182" s="15"/>
      <c r="B182" s="15"/>
      <c r="C182" s="15"/>
      <c r="D182" s="15"/>
      <c r="E182" s="15"/>
      <c r="F182" s="15"/>
      <c r="G182" s="15"/>
      <c r="H182" s="15"/>
    </row>
    <row r="183" ht="24" customHeight="1">
      <c r="A183" s="31" t="str">
        <v>NUEVO: única versión VIGENCIA 1 de su familia y tipo de plan UMAS; sin admisión queda informativo. No se elige versión por nombre.</v>
      </c>
      <c r="B183" s="31" t="str">
        <v>NUEVO: única versión VIGENCIA 1 de su familia y tipo de plan UMAS; sin admisión queda informativo. No se elige versión por nombre.</v>
      </c>
      <c r="C183" s="31" t="str">
        <v>NUEVO: única versión VIGENCIA 1 de su familia y tipo de plan UMAS; sin admisión queda informativo. No se elige versión por nombre.</v>
      </c>
      <c r="D183" s="31" t="str">
        <v>NUEVO: única versión VIGENCIA 1 de su familia y tipo de plan UMAS; sin admisión queda informativo. No se elige versión por nombre.</v>
      </c>
      <c r="E183" s="31" t="str">
        <v>NUEVO: única versión VIGENCIA 1 de su familia y tipo de plan UMAS; sin admisión queda informativo. No se elige versión por nombre.</v>
      </c>
      <c r="F183" s="31" t="str">
        <v>NUEVO: única versión VIGENCIA 1 de su familia y tipo de plan UMAS; sin admisión queda informativo. No se elige versión por nombre.</v>
      </c>
      <c r="G183" s="31" t="str">
        <v>NUEVO: única versión VIGENCIA 1 de su familia y tipo de plan UMAS; sin admisión queda informativo. No se elige versión por nombre.</v>
      </c>
      <c r="H183" s="31" t="str">
        <v>NUEVO: única versión VIGENCIA 1 de su familia y tipo de plan UMAS; sin admisión queda informativo. No se elige versión por nombre.</v>
      </c>
    </row>
    <row r="184" ht="24" customHeight="1">
      <c r="A184" s="31" t="str">
        <v>REVISIÓN: tipo desconocido con admisión, incompatibilidad o varias versiones vigentes. Los 37 códigos nuevos se cierran con la MU 2027; no sumar a 34 opciones.</v>
      </c>
      <c r="B184" s="31" t="str">
        <v>REVISIÓN: tipo desconocido con admisión, incompatibilidad o varias versiones vigentes. Los 37 códigos nuevos se cierran con la MU 2027; no sumar a 34 opciones.</v>
      </c>
      <c r="C184" s="31" t="str">
        <v>REVISIÓN: tipo desconocido con admisión, incompatibilidad o varias versiones vigentes. Los 37 códigos nuevos se cierran con la MU 2027; no sumar a 34 opciones.</v>
      </c>
      <c r="D184" s="31" t="str">
        <v>REVISIÓN: tipo desconocido con admisión, incompatibilidad o varias versiones vigentes. Los 37 códigos nuevos se cierran con la MU 2027; no sumar a 34 opciones.</v>
      </c>
      <c r="E184" s="31" t="str">
        <v>REVISIÓN: tipo desconocido con admisión, incompatibilidad o varias versiones vigentes. Los 37 códigos nuevos se cierran con la MU 2027; no sumar a 34 opciones.</v>
      </c>
      <c r="F184" s="31" t="str">
        <v>REVISIÓN: tipo desconocido con admisión, incompatibilidad o varias versiones vigentes. Los 37 códigos nuevos se cierran con la MU 2027; no sumar a 34 opciones.</v>
      </c>
      <c r="G184" s="31" t="str">
        <v>REVISIÓN: tipo desconocido con admisión, incompatibilidad o varias versiones vigentes. Los 37 códigos nuevos se cierran con la MU 2027; no sumar a 34 opciones.</v>
      </c>
      <c r="H184" s="31" t="str">
        <v>REVISIÓN: tipo desconocido con admisión, incompatibilidad o varias versiones vigentes. Los 37 códigos nuevos se cierran con la MU 2027; no sumar a 34 opciones.</v>
      </c>
    </row>
    <row r="185" ht="23" customHeight="1">
      <c r="A185" s="15"/>
      <c r="B185" s="15"/>
      <c r="C185" s="15"/>
      <c r="D185" s="15"/>
      <c r="E185" s="15"/>
      <c r="F185" s="15"/>
      <c r="G185" s="15"/>
      <c r="H185" s="15"/>
    </row>
    <row r="186" ht="29" customHeight="1">
      <c r="A186" s="17" t="str">
        <v>Revisión real · 34 opciones de catálogo (no personas)</v>
      </c>
      <c r="B186" s="17" t="str">
        <v>Revisión real · 34 opciones de catálogo (no personas)</v>
      </c>
      <c r="C186" s="17" t="str">
        <v>Revisión real · 34 opciones de catálogo (no personas)</v>
      </c>
      <c r="D186" s="17" t="str">
        <v>Revisión real · 34 opciones de catálogo (no personas)</v>
      </c>
      <c r="E186" s="15"/>
      <c r="F186" s="15"/>
      <c r="G186" s="15"/>
      <c r="H186" s="15"/>
    </row>
    <row r="187" ht="45" customHeight="1">
      <c r="A187" s="9" t="str">
        <v>Familia</v>
      </c>
      <c r="B187" s="9" t="str">
        <v>Plan UMAS</v>
      </c>
      <c r="C187" s="9" t="str">
        <v>Motivo</v>
      </c>
      <c r="D187" s="9" t="str">
        <v>Unidad</v>
      </c>
      <c r="E187" s="15"/>
      <c r="F187" s="15"/>
      <c r="G187" s="15"/>
      <c r="H187" s="15"/>
    </row>
    <row r="188" ht="27" customHeight="1">
      <c r="A188" s="14" t="str">
        <v>I162S2C1J4</v>
      </c>
      <c r="B188" s="14" t="str">
        <v>IECIREOL</v>
      </c>
      <c r="C188" s="14" t="str">
        <v>NUEVO_TIPO_E_CON_ADMISION</v>
      </c>
      <c r="D188" s="14" t="str">
        <v>Opción plan–familia</v>
      </c>
      <c r="E188" s="15"/>
      <c r="F188" s="15"/>
      <c r="G188" s="15"/>
      <c r="H188" s="15"/>
    </row>
    <row r="189" ht="27" customHeight="1">
      <c r="A189" s="15" t="str">
        <v>I162S2C1J4</v>
      </c>
      <c r="B189" s="15" t="str">
        <v>IECIREOL20191</v>
      </c>
      <c r="C189" s="15" t="str">
        <v>NUEVO_TIPO_E_CON_ADMISION</v>
      </c>
      <c r="D189" s="15" t="str">
        <v>Opción plan–familia</v>
      </c>
      <c r="E189" s="15"/>
      <c r="F189" s="15"/>
      <c r="G189" s="15"/>
      <c r="H189" s="15"/>
    </row>
    <row r="190" ht="27" customHeight="1">
      <c r="A190" s="14" t="str">
        <v>I162S2C1J4</v>
      </c>
      <c r="B190" s="14" t="str">
        <v>IECIREOL20201</v>
      </c>
      <c r="C190" s="14" t="str">
        <v>NUEVO_TIPO_E_CON_ADMISION</v>
      </c>
      <c r="D190" s="14" t="str">
        <v>Opción plan–familia</v>
      </c>
      <c r="E190" s="15"/>
      <c r="F190" s="15"/>
      <c r="G190" s="15"/>
      <c r="H190" s="15"/>
    </row>
    <row r="191" ht="27" customHeight="1">
      <c r="A191" s="15" t="str">
        <v>I162S2C1J4</v>
      </c>
      <c r="B191" s="15" t="str">
        <v>IECIREOL20211</v>
      </c>
      <c r="C191" s="15" t="str">
        <v>NUEVO_TIPO_E_CON_ADMISION</v>
      </c>
      <c r="D191" s="15" t="str">
        <v>Opción plan–familia</v>
      </c>
      <c r="E191" s="15"/>
      <c r="F191" s="15"/>
      <c r="G191" s="15"/>
      <c r="H191" s="15"/>
    </row>
    <row r="192" ht="27" customHeight="1">
      <c r="A192" s="14" t="str">
        <v>I162S2C1J4</v>
      </c>
      <c r="B192" s="14" t="str">
        <v>NINFREOL2019</v>
      </c>
      <c r="C192" s="14" t="str">
        <v>NUEVO_TIPO_E_CON_ADMISION</v>
      </c>
      <c r="D192" s="14" t="str">
        <v>Opción plan–familia</v>
      </c>
      <c r="E192" s="15"/>
      <c r="F192" s="15"/>
      <c r="G192" s="15"/>
      <c r="H192" s="15"/>
    </row>
    <row r="193" ht="27" customHeight="1">
      <c r="A193" s="15" t="str">
        <v>I162S2C3J4</v>
      </c>
      <c r="B193" s="15" t="str">
        <v>IECIREOL</v>
      </c>
      <c r="C193" s="15" t="str">
        <v>NUEVO_TIPO_E_CON_ADMISION</v>
      </c>
      <c r="D193" s="15" t="str">
        <v>Opción plan–familia</v>
      </c>
      <c r="E193" s="15"/>
      <c r="F193" s="15"/>
      <c r="G193" s="15"/>
      <c r="H193" s="15"/>
    </row>
    <row r="194" ht="27" customHeight="1">
      <c r="A194" s="14" t="str">
        <v>I162S2C3J4</v>
      </c>
      <c r="B194" s="14" t="str">
        <v>IECIREOL20191</v>
      </c>
      <c r="C194" s="14" t="str">
        <v>NUEVO_TIPO_E_CON_ADMISION</v>
      </c>
      <c r="D194" s="14" t="str">
        <v>Opción plan–familia</v>
      </c>
      <c r="E194" s="15"/>
      <c r="F194" s="15"/>
      <c r="G194" s="15"/>
      <c r="H194" s="15"/>
    </row>
    <row r="195" ht="27" customHeight="1">
      <c r="A195" s="15" t="str">
        <v>I162S2C3J4</v>
      </c>
      <c r="B195" s="15" t="str">
        <v>IECIREOL20201</v>
      </c>
      <c r="C195" s="15" t="str">
        <v>NUEVO_TIPO_E_CON_ADMISION</v>
      </c>
      <c r="D195" s="15" t="str">
        <v>Opción plan–familia</v>
      </c>
      <c r="E195" s="15"/>
      <c r="F195" s="15"/>
      <c r="G195" s="15"/>
      <c r="H195" s="15"/>
    </row>
    <row r="196" ht="27" customHeight="1">
      <c r="A196" s="14" t="str">
        <v>I162S2C3J4</v>
      </c>
      <c r="B196" s="14" t="str">
        <v>IECIREOL20211</v>
      </c>
      <c r="C196" s="14" t="str">
        <v>NUEVO_TIPO_E_CON_ADMISION</v>
      </c>
      <c r="D196" s="14" t="str">
        <v>Opción plan–familia</v>
      </c>
      <c r="E196" s="15"/>
      <c r="F196" s="15"/>
      <c r="G196" s="15"/>
      <c r="H196" s="15"/>
    </row>
    <row r="197" ht="27" customHeight="1">
      <c r="A197" s="15" t="str">
        <v>I162S2C3J4</v>
      </c>
      <c r="B197" s="15" t="str">
        <v>NCONRE</v>
      </c>
      <c r="C197" s="15" t="str">
        <v>NUEVO_TIPO_E_CON_ADMISION</v>
      </c>
      <c r="D197" s="15" t="str">
        <v>Opción plan–familia</v>
      </c>
      <c r="E197" s="15"/>
      <c r="F197" s="15"/>
      <c r="G197" s="15"/>
      <c r="H197" s="15"/>
    </row>
    <row r="198" ht="27" customHeight="1">
      <c r="A198" s="14" t="str">
        <v>I162S2C3J4</v>
      </c>
      <c r="B198" s="14" t="str">
        <v>NCONREOL2019</v>
      </c>
      <c r="C198" s="14" t="str">
        <v>NUEVO_TIPO_E_CON_ADMISION</v>
      </c>
      <c r="D198" s="14" t="str">
        <v>Opción plan–familia</v>
      </c>
      <c r="E198" s="15"/>
      <c r="F198" s="15"/>
      <c r="G198" s="15"/>
      <c r="H198" s="15"/>
    </row>
    <row r="199" ht="27" customHeight="1">
      <c r="A199" s="15" t="str">
        <v>I162S2C3J4</v>
      </c>
      <c r="B199" s="15" t="str">
        <v>NETMRE20121</v>
      </c>
      <c r="C199" s="15" t="str">
        <v>NUEVO_TIPO_E_CON_ADMISION</v>
      </c>
      <c r="D199" s="15" t="str">
        <v>Opción plan–familia</v>
      </c>
      <c r="E199" s="15"/>
      <c r="F199" s="15"/>
      <c r="G199" s="15"/>
      <c r="H199" s="15"/>
    </row>
    <row r="200" ht="40" customHeight="1">
      <c r="A200" s="14" t="str">
        <v>I162S2C46J2</v>
      </c>
      <c r="B200" s="14" t="str">
        <v>CICIB20241</v>
      </c>
      <c r="C200" s="14" t="str">
        <v>REVISION_REAL_TIPO_SIN_VERSION_EN_FAMILIA_CON_ADMISION</v>
      </c>
      <c r="D200" s="14" t="str">
        <v>Opción plan–familia</v>
      </c>
      <c r="E200" s="15"/>
      <c r="F200" s="15"/>
      <c r="G200" s="15"/>
      <c r="H200" s="15"/>
    </row>
    <row r="201" ht="27" customHeight="1">
      <c r="A201" s="15" t="str">
        <v>I162S2C46J2</v>
      </c>
      <c r="B201" s="15" t="str">
        <v>NICCRE20191</v>
      </c>
      <c r="C201" s="15" t="str">
        <v>NUEVO_TIPO_E_CON_ADMISION</v>
      </c>
      <c r="D201" s="15" t="str">
        <v>Opción plan–familia</v>
      </c>
      <c r="E201" s="15"/>
      <c r="F201" s="15"/>
      <c r="G201" s="15"/>
      <c r="H201" s="15"/>
    </row>
    <row r="202" ht="27" customHeight="1">
      <c r="A202" s="14" t="str">
        <v>I162S2C46J2</v>
      </c>
      <c r="B202" s="14" t="str">
        <v>NICCRE2020</v>
      </c>
      <c r="C202" s="14" t="str">
        <v>NUEVO_TIPO_E_CON_ADMISION</v>
      </c>
      <c r="D202" s="14" t="str">
        <v>Opción plan–familia</v>
      </c>
      <c r="E202" s="15"/>
      <c r="F202" s="15"/>
      <c r="G202" s="15"/>
      <c r="H202" s="15"/>
    </row>
    <row r="203" ht="27" customHeight="1">
      <c r="A203" s="15" t="str">
        <v>I162S2C46J2</v>
      </c>
      <c r="B203" s="15" t="str">
        <v>NTCCRE20191</v>
      </c>
      <c r="C203" s="15" t="str">
        <v>NUEVO_TIPO_E_CON_ADMISION</v>
      </c>
      <c r="D203" s="15" t="str">
        <v>Opción plan–familia</v>
      </c>
      <c r="E203" s="15"/>
      <c r="F203" s="15"/>
      <c r="G203" s="15"/>
      <c r="H203" s="15"/>
    </row>
    <row r="204" ht="27" customHeight="1">
      <c r="A204" s="14" t="str">
        <v>I162S2C46J2</v>
      </c>
      <c r="B204" s="14" t="str">
        <v>NTCCRE2020</v>
      </c>
      <c r="C204" s="14" t="str">
        <v>NUEVO_TIPO_E_CON_ADMISION</v>
      </c>
      <c r="D204" s="14" t="str">
        <v>Opción plan–familia</v>
      </c>
      <c r="E204" s="15"/>
      <c r="F204" s="15"/>
      <c r="G204" s="15"/>
      <c r="H204" s="15"/>
    </row>
    <row r="205" ht="40" customHeight="1">
      <c r="A205" s="15" t="str">
        <v>I162S2C47J4</v>
      </c>
      <c r="B205" s="15" t="str">
        <v>TCIB20241</v>
      </c>
      <c r="C205" s="15" t="str">
        <v>VARIAS_VERSIONES_VIGENTES_MISMO_TIPO</v>
      </c>
      <c r="D205" s="15" t="str">
        <v>Opción plan–familia</v>
      </c>
      <c r="E205" s="15"/>
      <c r="F205" s="15"/>
      <c r="G205" s="15"/>
      <c r="H205" s="15"/>
    </row>
    <row r="206" ht="40" customHeight="1">
      <c r="A206" s="14" t="str">
        <v>I162S2C47J4</v>
      </c>
      <c r="B206" s="14" t="str">
        <v>TCSREOL2020</v>
      </c>
      <c r="C206" s="14" t="str">
        <v>VARIAS_VERSIONES_VIGENTES_MISMO_TIPO</v>
      </c>
      <c r="D206" s="14" t="str">
        <v>Opción plan–familia</v>
      </c>
      <c r="E206" s="15"/>
      <c r="F206" s="15"/>
      <c r="G206" s="15"/>
      <c r="H206" s="15"/>
    </row>
    <row r="207" ht="40" customHeight="1">
      <c r="A207" s="15" t="str">
        <v>I162S2C47J4</v>
      </c>
      <c r="B207" s="15" t="str">
        <v>TCSREOL20211</v>
      </c>
      <c r="C207" s="15" t="str">
        <v>VARIAS_VERSIONES_VIGENTES_MISMO_TIPO</v>
      </c>
      <c r="D207" s="15" t="str">
        <v>Opción plan–familia</v>
      </c>
      <c r="E207" s="15"/>
      <c r="F207" s="15"/>
      <c r="G207" s="15"/>
      <c r="H207" s="15"/>
    </row>
    <row r="208" ht="40" customHeight="1">
      <c r="A208" s="14" t="str">
        <v>I162S2C47J4</v>
      </c>
      <c r="B208" s="14" t="str">
        <v>TCSREOL20231</v>
      </c>
      <c r="C208" s="14" t="str">
        <v>VARIAS_VERSIONES_VIGENTES_MISMO_TIPO</v>
      </c>
      <c r="D208" s="14" t="str">
        <v>Opción plan–familia</v>
      </c>
      <c r="E208" s="15"/>
      <c r="F208" s="15"/>
      <c r="G208" s="15"/>
      <c r="H208" s="15"/>
    </row>
    <row r="209" ht="40" customHeight="1">
      <c r="A209" s="15" t="str">
        <v>I162S2C57J4</v>
      </c>
      <c r="B209" s="15" t="str">
        <v>TPAREOL2020</v>
      </c>
      <c r="C209" s="15" t="str">
        <v>VARIAS_VERSIONES_VIGENTES_MISMO_TIPO</v>
      </c>
      <c r="D209" s="15" t="str">
        <v>Opción plan–familia</v>
      </c>
      <c r="E209" s="15"/>
      <c r="F209" s="15"/>
      <c r="G209" s="15"/>
      <c r="H209" s="15"/>
    </row>
    <row r="210" ht="40" customHeight="1">
      <c r="A210" s="14" t="str">
        <v>I162S2C57J4</v>
      </c>
      <c r="B210" s="14" t="str">
        <v>TPAREOL20211</v>
      </c>
      <c r="C210" s="14" t="str">
        <v>VARIAS_VERSIONES_VIGENTES_MISMO_TIPO</v>
      </c>
      <c r="D210" s="14" t="str">
        <v>Opción plan–familia</v>
      </c>
      <c r="E210" s="15"/>
      <c r="F210" s="15"/>
      <c r="G210" s="15"/>
      <c r="H210" s="15"/>
    </row>
    <row r="211" ht="40" customHeight="1">
      <c r="A211" s="15" t="str">
        <v>I162S2C57J4</v>
      </c>
      <c r="B211" s="15" t="str">
        <v>TPAREOL20231</v>
      </c>
      <c r="C211" s="15" t="str">
        <v>VARIAS_VERSIONES_VIGENTES_MISMO_TIPO</v>
      </c>
      <c r="D211" s="15" t="str">
        <v>Opción plan–familia</v>
      </c>
      <c r="E211" s="15"/>
      <c r="F211" s="15"/>
      <c r="G211" s="15"/>
      <c r="H211" s="15"/>
    </row>
    <row r="212" ht="40" customHeight="1">
      <c r="A212" s="14" t="str">
        <v>I162S2C57J4</v>
      </c>
      <c r="B212" s="14" t="str">
        <v>TPAS20241</v>
      </c>
      <c r="C212" s="14" t="str">
        <v>VARIAS_VERSIONES_VIGENTES_MISMO_TIPO</v>
      </c>
      <c r="D212" s="14" t="str">
        <v>Opción plan–familia</v>
      </c>
      <c r="E212" s="15"/>
      <c r="F212" s="15"/>
      <c r="G212" s="15"/>
      <c r="H212" s="15"/>
    </row>
    <row r="213" ht="40" customHeight="1">
      <c r="A213" s="15" t="str">
        <v>I162S2C6J4</v>
      </c>
      <c r="B213" s="15" t="str">
        <v>TCRE20241</v>
      </c>
      <c r="C213" s="15" t="str">
        <v>VARIAS_VERSIONES_VIGENTES_MISMO_TIPO</v>
      </c>
      <c r="D213" s="15" t="str">
        <v>Opción plan–familia</v>
      </c>
      <c r="E213" s="15"/>
      <c r="F213" s="15"/>
      <c r="G213" s="15"/>
      <c r="H213" s="15"/>
    </row>
    <row r="214" ht="40" customHeight="1">
      <c r="A214" s="14" t="str">
        <v>I162S2C6J4</v>
      </c>
      <c r="B214" s="14" t="str">
        <v>TTMREOL</v>
      </c>
      <c r="C214" s="14" t="str">
        <v>VARIAS_VERSIONES_VIGENTES_MISMO_TIPO</v>
      </c>
      <c r="D214" s="14" t="str">
        <v>Opción plan–familia</v>
      </c>
      <c r="E214" s="15"/>
      <c r="F214" s="15"/>
      <c r="G214" s="15"/>
      <c r="H214" s="15"/>
    </row>
    <row r="215" ht="40" customHeight="1">
      <c r="A215" s="15" t="str">
        <v>I162S2C6J4</v>
      </c>
      <c r="B215" s="15" t="str">
        <v>TTMREOL20191</v>
      </c>
      <c r="C215" s="15" t="str">
        <v>VARIAS_VERSIONES_VIGENTES_MISMO_TIPO</v>
      </c>
      <c r="D215" s="15" t="str">
        <v>Opción plan–familia</v>
      </c>
      <c r="E215" s="15"/>
      <c r="F215" s="15"/>
      <c r="G215" s="15"/>
      <c r="H215" s="15"/>
    </row>
    <row r="216" ht="40" customHeight="1">
      <c r="A216" s="14" t="str">
        <v>I162S2C6J4</v>
      </c>
      <c r="B216" s="14" t="str">
        <v>TTMREOL20211</v>
      </c>
      <c r="C216" s="14" t="str">
        <v>VARIAS_VERSIONES_VIGENTES_MISMO_TIPO</v>
      </c>
      <c r="D216" s="14" t="str">
        <v>Opción plan–familia</v>
      </c>
      <c r="E216" s="15"/>
      <c r="F216" s="15"/>
      <c r="G216" s="15"/>
      <c r="H216" s="15"/>
    </row>
    <row r="217" ht="40" customHeight="1">
      <c r="A217" s="15" t="str">
        <v>I162S2C6J4</v>
      </c>
      <c r="B217" s="15" t="str">
        <v>TTMREOL20231</v>
      </c>
      <c r="C217" s="15" t="str">
        <v>VARIAS_VERSIONES_VIGENTES_MISMO_TIPO</v>
      </c>
      <c r="D217" s="15" t="str">
        <v>Opción plan–familia</v>
      </c>
      <c r="E217" s="15"/>
      <c r="F217" s="15"/>
      <c r="G217" s="15"/>
      <c r="H217" s="15"/>
    </row>
    <row r="218" ht="27" customHeight="1">
      <c r="A218" s="14" t="str">
        <v>I162S2C78J2</v>
      </c>
      <c r="B218" s="14" t="str">
        <v>TAMD20241</v>
      </c>
      <c r="C218" s="14" t="str">
        <v>CODIGO_NUEVO_SIN_PLAN</v>
      </c>
      <c r="D218" s="14" t="str">
        <v>Opción plan–familia</v>
      </c>
      <c r="E218" s="15"/>
      <c r="F218" s="15"/>
      <c r="G218" s="15"/>
      <c r="H218" s="15"/>
    </row>
    <row r="219" ht="40" customHeight="1">
      <c r="A219" s="15" t="str">
        <v>I162S2C78J4</v>
      </c>
      <c r="B219" s="15" t="str">
        <v>TAMD20241</v>
      </c>
      <c r="C219" s="15" t="str">
        <v>VARIAS_VERSIONES_VIGENTES_MISMO_TIPO</v>
      </c>
      <c r="D219" s="15" t="str">
        <v>Opción plan–familia</v>
      </c>
      <c r="E219" s="15"/>
      <c r="F219" s="15"/>
      <c r="G219" s="15"/>
      <c r="H219" s="15"/>
    </row>
    <row r="220" ht="40" customHeight="1">
      <c r="A220" s="14" t="str">
        <v>I162S2C79J4</v>
      </c>
      <c r="B220" s="14" t="str">
        <v>TLOG20241</v>
      </c>
      <c r="C220" s="14" t="str">
        <v>VARIAS_VERSIONES_VIGENTES_MISMO_TIPO</v>
      </c>
      <c r="D220" s="14" t="str">
        <v>Opción plan–familia</v>
      </c>
      <c r="E220" s="15"/>
      <c r="F220" s="15"/>
      <c r="G220" s="15"/>
      <c r="H220" s="15"/>
    </row>
    <row r="221" ht="27" customHeight="1">
      <c r="A221" s="15" t="str">
        <v>I162S2C90J2</v>
      </c>
      <c r="B221" s="15" t="str">
        <v>CNATP20251</v>
      </c>
      <c r="C221" s="15" t="str">
        <v>NUEVO_TIPO_E_CON_ADMISION</v>
      </c>
      <c r="D221" s="15" t="str">
        <v>Opción plan–familia</v>
      </c>
      <c r="E221" s="15"/>
      <c r="F221" s="15"/>
      <c r="G221" s="15"/>
      <c r="H221" s="15"/>
    </row>
    <row r="222" ht="23" customHeight="1">
      <c r="A222" s="15"/>
      <c r="B222" s="15"/>
      <c r="C222" s="15"/>
      <c r="D222" s="15"/>
      <c r="E222" s="15"/>
      <c r="F222" s="15"/>
      <c r="G222" s="15"/>
      <c r="H222" s="15"/>
    </row>
    <row r="223" ht="29" customHeight="1">
      <c r="A223" s="17" t="str">
        <v>37 códigos nuevos · cierre cuando exista MU 2027</v>
      </c>
      <c r="B223" s="17" t="str">
        <v>37 códigos nuevos · cierre cuando exista MU 2027</v>
      </c>
      <c r="C223" s="17" t="str">
        <v>37 códigos nuevos · cierre cuando exista MU 2027</v>
      </c>
      <c r="D223" s="17" t="str">
        <v>37 códigos nuevos · cierre cuando exista MU 2027</v>
      </c>
      <c r="E223" s="15"/>
      <c r="F223" s="15"/>
      <c r="G223" s="15"/>
      <c r="H223" s="15"/>
    </row>
    <row r="224" ht="45" customHeight="1">
      <c r="A224" s="9" t="str">
        <v>Código SIES</v>
      </c>
      <c r="B224" s="9" t="str">
        <v>Carrera SIES</v>
      </c>
      <c r="C224" s="9" t="str">
        <v>Forma de cierre</v>
      </c>
      <c r="D224" s="9" t="str">
        <v>Clase</v>
      </c>
      <c r="E224" s="15"/>
      <c r="F224" s="15"/>
      <c r="G224" s="15"/>
      <c r="H224" s="15"/>
    </row>
    <row r="225" ht="40" customHeight="1">
      <c r="A225" s="14" t="str">
        <v>I162S2C115J3V1</v>
      </c>
      <c r="B225" s="14" t="str">
        <v>TECNICO EN FARMACIA</v>
      </c>
      <c r="C225" s="14" t="str">
        <v>MU 2027: cuadratura por código y total</v>
      </c>
      <c r="D225" s="14" t="str">
        <v>D/E</v>
      </c>
      <c r="E225" s="15"/>
      <c r="F225" s="15"/>
      <c r="G225" s="15"/>
      <c r="H225" s="15"/>
    </row>
    <row r="226" ht="40" customHeight="1">
      <c r="A226" s="15" t="str">
        <v>I162S2C11J4V1</v>
      </c>
      <c r="B226" s="15" t="str">
        <v>TECNICO EN AUTOMATIZACION Y CONTROL INDUSTRIAL</v>
      </c>
      <c r="C226" s="15" t="str">
        <v>MU 2027: cuadratura por código y total</v>
      </c>
      <c r="D226" s="15" t="str">
        <v>D/E</v>
      </c>
      <c r="E226" s="15"/>
      <c r="F226" s="15"/>
      <c r="G226" s="15"/>
      <c r="H226" s="15"/>
    </row>
    <row r="227" ht="40" customHeight="1">
      <c r="A227" s="14" t="str">
        <v>I162S2C130J4V1</v>
      </c>
      <c r="B227" s="14" t="str">
        <v>INGENIERIA EN ARQUITECTURA CLOUD</v>
      </c>
      <c r="C227" s="14" t="str">
        <v>MU 2027: cuadratura por código y total</v>
      </c>
      <c r="D227" s="14" t="str">
        <v>D/E</v>
      </c>
      <c r="E227" s="15"/>
      <c r="F227" s="15"/>
      <c r="G227" s="15"/>
      <c r="H227" s="15"/>
    </row>
    <row r="228" ht="40" customHeight="1">
      <c r="A228" s="15" t="str">
        <v>I162S2C130J4V2</v>
      </c>
      <c r="B228" s="15" t="str">
        <v>INGENIERIA EN ARQUITECTURA CLOUD</v>
      </c>
      <c r="C228" s="15" t="str">
        <v>MU 2027: cuadratura por código y total</v>
      </c>
      <c r="D228" s="15" t="str">
        <v>D/E</v>
      </c>
      <c r="E228" s="15"/>
      <c r="F228" s="15"/>
      <c r="G228" s="15"/>
      <c r="H228" s="15"/>
    </row>
    <row r="229" ht="40" customHeight="1">
      <c r="A229" s="14" t="str">
        <v>I162S2C131J4V1</v>
      </c>
      <c r="B229" s="14" t="str">
        <v>INGENIERIA EN COMERCIO EXTERIOR</v>
      </c>
      <c r="C229" s="14" t="str">
        <v>MU 2027: cuadratura por código y total</v>
      </c>
      <c r="D229" s="14" t="str">
        <v>D/E</v>
      </c>
      <c r="E229" s="15"/>
      <c r="F229" s="15"/>
      <c r="G229" s="15"/>
      <c r="H229" s="15"/>
    </row>
    <row r="230" ht="40" customHeight="1">
      <c r="A230" s="15" t="str">
        <v>I162S2C132J3V1</v>
      </c>
      <c r="B230" s="15" t="str">
        <v>INGENIERIA EN CONSTRUCCION</v>
      </c>
      <c r="C230" s="15" t="str">
        <v>MU 2027: cuadratura por código y total</v>
      </c>
      <c r="D230" s="15" t="str">
        <v>D/E</v>
      </c>
      <c r="E230" s="15"/>
      <c r="F230" s="15"/>
      <c r="G230" s="15"/>
      <c r="H230" s="15"/>
    </row>
    <row r="231" ht="40" customHeight="1">
      <c r="A231" s="14" t="str">
        <v>I162S2C133J3V1</v>
      </c>
      <c r="B231" s="14" t="str">
        <v>INGENIERIA EN ELECTRICIDAD</v>
      </c>
      <c r="C231" s="14" t="str">
        <v>MU 2027: cuadratura por código y total</v>
      </c>
      <c r="D231" s="14" t="str">
        <v>D/E</v>
      </c>
      <c r="E231" s="15"/>
      <c r="F231" s="15"/>
      <c r="G231" s="15"/>
      <c r="H231" s="15"/>
    </row>
    <row r="232" ht="40" customHeight="1">
      <c r="A232" s="15" t="str">
        <v>I162S2C134J4V1</v>
      </c>
      <c r="B232" s="15" t="str">
        <v>INGENIERIA EN INTELIGENCIA ARTIFICIAL</v>
      </c>
      <c r="C232" s="15" t="str">
        <v>MU 2027: cuadratura por código y total</v>
      </c>
      <c r="D232" s="15" t="str">
        <v>D/E</v>
      </c>
      <c r="E232" s="15"/>
      <c r="F232" s="15"/>
      <c r="G232" s="15"/>
      <c r="H232" s="15"/>
    </row>
    <row r="233" ht="40" customHeight="1">
      <c r="A233" s="14" t="str">
        <v>I162S2C135J4V1</v>
      </c>
      <c r="B233" s="14" t="str">
        <v>INGENIERIA EN OPERACIONES MINERAS</v>
      </c>
      <c r="C233" s="14" t="str">
        <v>MU 2027: cuadratura por código y total</v>
      </c>
      <c r="D233" s="14" t="str">
        <v>D/E</v>
      </c>
      <c r="E233" s="15"/>
      <c r="F233" s="15"/>
      <c r="G233" s="15"/>
      <c r="H233" s="15"/>
    </row>
    <row r="234" ht="40" customHeight="1">
      <c r="A234" s="15" t="str">
        <v>I162S2C136J4V1</v>
      </c>
      <c r="B234" s="15" t="str">
        <v>TECNICO EN COMERCIO EXTERIOR</v>
      </c>
      <c r="C234" s="15" t="str">
        <v>MU 2027: cuadratura por código y total</v>
      </c>
      <c r="D234" s="15" t="str">
        <v>D/E</v>
      </c>
      <c r="E234" s="15"/>
      <c r="F234" s="15"/>
      <c r="G234" s="15"/>
      <c r="H234" s="15"/>
    </row>
    <row r="235" ht="40" customHeight="1">
      <c r="A235" s="14" t="str">
        <v>I162S2C137J3V1</v>
      </c>
      <c r="B235" s="14" t="str">
        <v>TECNICO EN CONSTRUCCION</v>
      </c>
      <c r="C235" s="14" t="str">
        <v>MU 2027: cuadratura por código y total</v>
      </c>
      <c r="D235" s="14" t="str">
        <v>D/E</v>
      </c>
      <c r="E235" s="15"/>
      <c r="F235" s="15"/>
      <c r="G235" s="15"/>
      <c r="H235" s="15"/>
    </row>
    <row r="236" ht="40" customHeight="1">
      <c r="A236" s="15" t="str">
        <v>I162S2C138J3V1</v>
      </c>
      <c r="B236" s="15" t="str">
        <v>TECNICO EN ELECTRICIDAD</v>
      </c>
      <c r="C236" s="15" t="str">
        <v>MU 2027: cuadratura por código y total</v>
      </c>
      <c r="D236" s="15" t="str">
        <v>D/E</v>
      </c>
      <c r="E236" s="15"/>
      <c r="F236" s="15"/>
      <c r="G236" s="15"/>
      <c r="H236" s="15"/>
    </row>
    <row r="237" ht="40" customHeight="1">
      <c r="A237" s="14" t="str">
        <v>I162S2C139J3V1</v>
      </c>
      <c r="B237" s="14" t="str">
        <v>TECNICO EN IMAGENOLOGIA</v>
      </c>
      <c r="C237" s="14" t="str">
        <v>MU 2027: cuadratura por código y total</v>
      </c>
      <c r="D237" s="14" t="str">
        <v>D/E</v>
      </c>
      <c r="E237" s="15"/>
      <c r="F237" s="15"/>
      <c r="G237" s="15"/>
      <c r="H237" s="15"/>
    </row>
    <row r="238" ht="40" customHeight="1">
      <c r="A238" s="15" t="str">
        <v>I162S2C140J4V1</v>
      </c>
      <c r="B238" s="15" t="str">
        <v>TECNICO EN INTELIGENCIA ARTIFICIAL</v>
      </c>
      <c r="C238" s="15" t="str">
        <v>MU 2027: cuadratura por código y total</v>
      </c>
      <c r="D238" s="15" t="str">
        <v>D/E</v>
      </c>
      <c r="E238" s="15"/>
      <c r="F238" s="15"/>
      <c r="G238" s="15"/>
      <c r="H238" s="15"/>
    </row>
    <row r="239" ht="40" customHeight="1">
      <c r="A239" s="14" t="str">
        <v>I162S2C142J4V1</v>
      </c>
      <c r="B239" s="14" t="str">
        <v>TECNICO EN OPERACIONES MINERAS</v>
      </c>
      <c r="C239" s="14" t="str">
        <v>MU 2027: cuadratura por código y total</v>
      </c>
      <c r="D239" s="14" t="str">
        <v>D/E</v>
      </c>
      <c r="E239" s="15"/>
      <c r="F239" s="15"/>
      <c r="G239" s="15"/>
      <c r="H239" s="15"/>
    </row>
    <row r="240" ht="55" customHeight="1">
      <c r="A240" s="15" t="str">
        <v>I162S2C143J3V1</v>
      </c>
      <c r="B240" s="15" t="str">
        <v>TECNICO VETERINARIO EN CLINICA DE ANIMALES DE COMPAÑIA</v>
      </c>
      <c r="C240" s="15" t="str">
        <v>MU 2027: cuadratura por código y total</v>
      </c>
      <c r="D240" s="15" t="str">
        <v>D/E</v>
      </c>
      <c r="E240" s="15"/>
      <c r="F240" s="15"/>
      <c r="G240" s="15"/>
      <c r="H240" s="15"/>
    </row>
    <row r="241" ht="40" customHeight="1">
      <c r="A241" s="14" t="str">
        <v>I162S2C47J4V2</v>
      </c>
      <c r="B241" s="14" t="str">
        <v>TECNICO EN CIBERSEGURIDAD</v>
      </c>
      <c r="C241" s="14" t="str">
        <v>MU 2027: cuadratura por código y total</v>
      </c>
      <c r="D241" s="14" t="str">
        <v>D/E</v>
      </c>
      <c r="E241" s="15"/>
      <c r="F241" s="15"/>
      <c r="G241" s="15"/>
      <c r="H241" s="15"/>
    </row>
    <row r="242" ht="40" customHeight="1">
      <c r="A242" s="15" t="str">
        <v>I162S2C57J4V2</v>
      </c>
      <c r="B242" s="15" t="str">
        <v>TECNICO EN PROGRAMACION Y ANALISIS DE SISTEMAS</v>
      </c>
      <c r="C242" s="15" t="str">
        <v>MU 2027: cuadratura por código y total</v>
      </c>
      <c r="D242" s="15" t="str">
        <v>D/E</v>
      </c>
      <c r="E242" s="15"/>
      <c r="F242" s="15"/>
      <c r="G242" s="15"/>
      <c r="H242" s="15"/>
    </row>
    <row r="243" ht="40" customHeight="1">
      <c r="A243" s="14" t="str">
        <v>I162S2C6J4V3</v>
      </c>
      <c r="B243" s="14" t="str">
        <v>TECNICO EN CONECTIVIDAD Y REDES</v>
      </c>
      <c r="C243" s="14" t="str">
        <v>MU 2027: cuadratura por código y total</v>
      </c>
      <c r="D243" s="14" t="str">
        <v>D/E</v>
      </c>
      <c r="E243" s="15"/>
      <c r="F243" s="15"/>
      <c r="G243" s="15"/>
      <c r="H243" s="15"/>
    </row>
    <row r="244" ht="40" customHeight="1">
      <c r="A244" s="15" t="str">
        <v>I162S2C78J2V2</v>
      </c>
      <c r="B244" s="15" t="str">
        <v>TECNICO EN ADMINISTRACION DE EMPRESAS</v>
      </c>
      <c r="C244" s="15" t="str">
        <v>MU 2027: cuadratura por código y total</v>
      </c>
      <c r="D244" s="15" t="str">
        <v>D/E</v>
      </c>
      <c r="E244" s="15"/>
      <c r="F244" s="15"/>
      <c r="G244" s="15"/>
      <c r="H244" s="15"/>
    </row>
    <row r="245" ht="40" customHeight="1">
      <c r="A245" s="14" t="str">
        <v>I162S2C78J4V2</v>
      </c>
      <c r="B245" s="14" t="str">
        <v>TECNICO EN ADMINISTRACION DE EMPRESAS</v>
      </c>
      <c r="C245" s="14" t="str">
        <v>MU 2027: cuadratura por código y total</v>
      </c>
      <c r="D245" s="14" t="str">
        <v>D/E</v>
      </c>
      <c r="E245" s="15"/>
      <c r="F245" s="15"/>
      <c r="G245" s="15"/>
      <c r="H245" s="15"/>
    </row>
    <row r="246" ht="40" customHeight="1">
      <c r="A246" s="15" t="str">
        <v>I162S2C79J4V2</v>
      </c>
      <c r="B246" s="15" t="str">
        <v>TECNICO EN LOGISTICA</v>
      </c>
      <c r="C246" s="15" t="str">
        <v>MU 2027: cuadratura por código y total</v>
      </c>
      <c r="D246" s="15" t="str">
        <v>D/E</v>
      </c>
      <c r="E246" s="15"/>
      <c r="F246" s="15"/>
      <c r="G246" s="15"/>
      <c r="H246" s="15"/>
    </row>
    <row r="247" ht="40" customHeight="1">
      <c r="A247" s="14" t="str">
        <v>I162S2C91J3V1</v>
      </c>
      <c r="B247" s="14" t="str">
        <v>TECNICO EN ENFERMERIA</v>
      </c>
      <c r="C247" s="14" t="str">
        <v>MU 2027: cuadratura por código y total</v>
      </c>
      <c r="D247" s="14" t="str">
        <v>D/E</v>
      </c>
      <c r="E247" s="15"/>
      <c r="F247" s="15"/>
      <c r="G247" s="15"/>
      <c r="H247" s="15"/>
    </row>
    <row r="248" ht="40" customHeight="1">
      <c r="A248" s="15" t="str">
        <v>I162S3C115J3V1</v>
      </c>
      <c r="B248" s="15" t="str">
        <v>TECNICO EN FARMACIA</v>
      </c>
      <c r="C248" s="15" t="str">
        <v>MU 2027: cuadratura por código y total</v>
      </c>
      <c r="D248" s="15" t="str">
        <v>D/E</v>
      </c>
      <c r="E248" s="15"/>
      <c r="F248" s="15"/>
      <c r="G248" s="15"/>
      <c r="H248" s="15"/>
    </row>
    <row r="249" ht="40" customHeight="1">
      <c r="A249" s="14" t="str">
        <v>I162S3C132J3V1</v>
      </c>
      <c r="B249" s="14" t="str">
        <v>INGENIERIA EN CONSTRUCCION</v>
      </c>
      <c r="C249" s="14" t="str">
        <v>MU 2027: cuadratura por código y total</v>
      </c>
      <c r="D249" s="14" t="str">
        <v>D/E</v>
      </c>
      <c r="E249" s="15"/>
      <c r="F249" s="15"/>
      <c r="G249" s="15"/>
      <c r="H249" s="15"/>
    </row>
    <row r="250" ht="40" customHeight="1">
      <c r="A250" s="15" t="str">
        <v>I162S3C133J3V1</v>
      </c>
      <c r="B250" s="15" t="str">
        <v>INGENIERIA EN ELECTRICIDAD</v>
      </c>
      <c r="C250" s="15" t="str">
        <v>MU 2027: cuadratura por código y total</v>
      </c>
      <c r="D250" s="15" t="str">
        <v>D/E</v>
      </c>
      <c r="E250" s="15"/>
      <c r="F250" s="15"/>
      <c r="G250" s="15"/>
      <c r="H250" s="15"/>
    </row>
    <row r="251" ht="40" customHeight="1">
      <c r="A251" s="14" t="str">
        <v>I162S3C137J3V1</v>
      </c>
      <c r="B251" s="14" t="str">
        <v>TECNICO EN CONSTRUCCION</v>
      </c>
      <c r="C251" s="14" t="str">
        <v>MU 2027: cuadratura por código y total</v>
      </c>
      <c r="D251" s="14" t="str">
        <v>D/E</v>
      </c>
      <c r="E251" s="15"/>
      <c r="F251" s="15"/>
      <c r="G251" s="15"/>
      <c r="H251" s="15"/>
    </row>
    <row r="252" ht="40" customHeight="1">
      <c r="A252" s="15" t="str">
        <v>I162S3C138J3V1</v>
      </c>
      <c r="B252" s="15" t="str">
        <v>TECNICO EN ELECTRICIDAD</v>
      </c>
      <c r="C252" s="15" t="str">
        <v>MU 2027: cuadratura por código y total</v>
      </c>
      <c r="D252" s="15" t="str">
        <v>D/E</v>
      </c>
      <c r="E252" s="15"/>
      <c r="F252" s="15"/>
      <c r="G252" s="15"/>
      <c r="H252" s="15"/>
    </row>
    <row r="253" ht="40" customHeight="1">
      <c r="A253" s="14" t="str">
        <v>I162S3C139J3V1</v>
      </c>
      <c r="B253" s="14" t="str">
        <v>TECNICO EN IMAGENOLOGIA</v>
      </c>
      <c r="C253" s="14" t="str">
        <v>MU 2027: cuadratura por código y total</v>
      </c>
      <c r="D253" s="14" t="str">
        <v>D/E</v>
      </c>
      <c r="E253" s="15"/>
      <c r="F253" s="15"/>
      <c r="G253" s="15"/>
      <c r="H253" s="15"/>
    </row>
    <row r="254" ht="40" customHeight="1">
      <c r="A254" s="15" t="str">
        <v>I162S3C141J3V1</v>
      </c>
      <c r="B254" s="15" t="str">
        <v>TECNICO EN ODONTOLOGIA</v>
      </c>
      <c r="C254" s="15" t="str">
        <v>MU 2027: cuadratura por código y total</v>
      </c>
      <c r="D254" s="15" t="str">
        <v>D/E</v>
      </c>
      <c r="E254" s="15"/>
      <c r="F254" s="15"/>
      <c r="G254" s="15"/>
      <c r="H254" s="15"/>
    </row>
    <row r="255" ht="55" customHeight="1">
      <c r="A255" s="14" t="str">
        <v>I162S3C143J3V1</v>
      </c>
      <c r="B255" s="14" t="str">
        <v>TECNICO VETERINARIO EN CLINICA DE ANIMALES DE COMPAÑIA</v>
      </c>
      <c r="C255" s="14" t="str">
        <v>MU 2027: cuadratura por código y total</v>
      </c>
      <c r="D255" s="14" t="str">
        <v>D/E</v>
      </c>
      <c r="E255" s="15"/>
      <c r="F255" s="15"/>
      <c r="G255" s="15"/>
      <c r="H255" s="15"/>
    </row>
    <row r="256" ht="40" customHeight="1">
      <c r="A256" s="15" t="str">
        <v>I162S3C91J1V1</v>
      </c>
      <c r="B256" s="15" t="str">
        <v>TECNICO EN ENFERMERIA</v>
      </c>
      <c r="C256" s="15" t="str">
        <v>MU 2027: cuadratura por código y total</v>
      </c>
      <c r="D256" s="15" t="str">
        <v>D/E</v>
      </c>
      <c r="E256" s="15"/>
      <c r="F256" s="15"/>
      <c r="G256" s="15"/>
      <c r="H256" s="15"/>
    </row>
    <row r="257" ht="40" customHeight="1">
      <c r="A257" s="14" t="str">
        <v>I162S3C91J3V1</v>
      </c>
      <c r="B257" s="14" t="str">
        <v>TECNICO EN ENFERMERIA</v>
      </c>
      <c r="C257" s="14" t="str">
        <v>MU 2027: cuadratura por código y total</v>
      </c>
      <c r="D257" s="14" t="str">
        <v>D/E</v>
      </c>
      <c r="E257" s="15"/>
      <c r="F257" s="15"/>
      <c r="G257" s="15"/>
      <c r="H257" s="15"/>
    </row>
    <row r="258" ht="40" customHeight="1">
      <c r="A258" s="15" t="str">
        <v>I162S4C114J2V1</v>
      </c>
      <c r="B258" s="15" t="str">
        <v>TECNICO EN ENFERMERIA E INSTRUMENTACION QUIRURGICA</v>
      </c>
      <c r="C258" s="15" t="str">
        <v>MU 2027: cuadratura por código y total</v>
      </c>
      <c r="D258" s="15" t="str">
        <v>D/E</v>
      </c>
      <c r="E258" s="15"/>
      <c r="F258" s="15"/>
      <c r="G258" s="15"/>
      <c r="H258" s="15"/>
    </row>
    <row r="259" ht="40" customHeight="1">
      <c r="A259" s="14" t="str">
        <v>I162S4C115J2V1</v>
      </c>
      <c r="B259" s="14" t="str">
        <v>TECNICO EN FARMACIA</v>
      </c>
      <c r="C259" s="14" t="str">
        <v>MU 2027: cuadratura por código y total</v>
      </c>
      <c r="D259" s="14" t="str">
        <v>D/E</v>
      </c>
      <c r="E259" s="15"/>
      <c r="F259" s="15"/>
      <c r="G259" s="15"/>
      <c r="H259" s="15"/>
    </row>
    <row r="260" ht="40" customHeight="1">
      <c r="A260" s="15" t="str">
        <v>I162S4C115J3V1</v>
      </c>
      <c r="B260" s="15" t="str">
        <v>TECNICO EN FARMACIA</v>
      </c>
      <c r="C260" s="15" t="str">
        <v>MU 2027: cuadratura por código y total</v>
      </c>
      <c r="D260" s="15" t="str">
        <v>D/E</v>
      </c>
      <c r="E260" s="15"/>
      <c r="F260" s="15"/>
      <c r="G260" s="15"/>
      <c r="H260" s="15"/>
    </row>
    <row r="261" ht="40" customHeight="1">
      <c r="A261" s="14" t="str">
        <v>I162S4C91J2V1</v>
      </c>
      <c r="B261" s="14" t="str">
        <v>TECNICO EN ENFERMERIA</v>
      </c>
      <c r="C261" s="14" t="str">
        <v>MU 2027: cuadratura por código y total</v>
      </c>
      <c r="D261" s="14" t="str">
        <v>D/E</v>
      </c>
      <c r="E261" s="15"/>
      <c r="F261" s="15"/>
      <c r="G261" s="15"/>
      <c r="H261" s="15"/>
    </row>
    <row r="262" ht="23" customHeight="1">
      <c r="A262" s="15"/>
      <c r="B262" s="15"/>
      <c r="C262" s="15"/>
      <c r="D262" s="15"/>
      <c r="E262" s="15"/>
      <c r="F262" s="15"/>
      <c r="G262" s="15"/>
      <c r="H262" s="15"/>
    </row>
  </sheetData>
  <mergeCells>
    <mergeCell ref="A2:H2"/>
    <mergeCell ref="A3:H4"/>
    <mergeCell ref="A17:H17"/>
    <mergeCell ref="A183:H183"/>
    <mergeCell ref="A184:H184"/>
    <mergeCell ref="A5:C5"/>
    <mergeCell ref="A19:H19"/>
    <mergeCell ref="A186:D186"/>
    <mergeCell ref="A223:D223"/>
  </mergeCells>
  <printOptions headings="0" gridLines="0"/>
  <pageMargins left="0.25" right="0.25" top="0.35" bottom="0.35" header="0.1" footer="0.1"/>
  <pageSetup paperSize="8" orientation="landscape" fitToWidth="1" fitToHeight="0"/>
  <tableParts count="4">
    <tablePart ns1:id="R6575717e583b4325"/>
    <tablePart ns1:id="Rd95f256a83c9409b"/>
    <tablePart ns1:id="Raf70b51cbe9c458a"/>
    <tablePart ns1:id="R0214ffceae6f43e4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6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6" hidden="0" customWidth="1"/>
    <col min="8" max="8" width="17" hidden="0" customWidth="1"/>
    <col min="9" max="9" width="18" hidden="0" customWidth="1"/>
  </cols>
  <sheetData>
    <row r="1" ht="23" customHeight="1">
      <c r="A1" s="15"/>
      <c r="B1" s="15"/>
      <c r="C1" s="15"/>
      <c r="D1" s="15"/>
      <c r="E1" s="15"/>
      <c r="F1" s="15"/>
      <c r="G1" s="15"/>
      <c r="H1" s="15"/>
      <c r="I1" s="15"/>
    </row>
    <row r="2" ht="32" customHeight="1">
      <c r="A2" s="16" t="str">
        <v>Cuadratura MU · matrículas 2022–2026</v>
      </c>
      <c r="B2" s="16"/>
      <c r="C2" s="16"/>
      <c r="D2" s="16"/>
      <c r="E2" s="16"/>
      <c r="F2" s="16"/>
      <c r="G2" s="16"/>
      <c r="H2" s="16"/>
      <c r="I2" s="16"/>
    </row>
    <row r="3" ht="23" customHeight="1">
      <c r="A3" s="31" t="str">
        <v>Brecha 2026: CERRADA_DOCUMENTADA, causa E. Decisión D: no continuar con las fuentes disponibles.</v>
      </c>
      <c r="B3" s="31" t="str">
        <v>Brecha 2026: CERRADA_DOCUMENTADA, causa E. Decisión D: no continuar con las fuentes disponibles.</v>
      </c>
      <c r="C3" s="31" t="str">
        <v>Brecha 2026: CERRADA_DOCUMENTADA, causa E. Decisión D: no continuar con las fuentes disponibles.</v>
      </c>
      <c r="D3" s="31" t="str">
        <v>Brecha 2026: CERRADA_DOCUMENTADA, causa E. Decisión D: no continuar con las fuentes disponibles.</v>
      </c>
      <c r="E3" s="31" t="str">
        <v>Brecha 2026: CERRADA_DOCUMENTADA, causa E. Decisión D: no continuar con las fuentes disponibles.</v>
      </c>
      <c r="F3" s="31" t="str">
        <v>Brecha 2026: CERRADA_DOCUMENTADA, causa E. Decisión D: no continuar con las fuentes disponibles.</v>
      </c>
      <c r="G3" s="31" t="str">
        <v>Brecha 2026: CERRADA_DOCUMENTADA, causa E. Decisión D: no continuar con las fuentes disponibles.</v>
      </c>
      <c r="H3" s="31" t="str">
        <v>Brecha 2026: CERRADA_DOCUMENTADA, causa E. Decisión D: no continuar con las fuentes disponibles.</v>
      </c>
      <c r="I3" s="31" t="str">
        <v>Brecha 2026: CERRADA_DOCUMENTADA, causa E. Decisión D: no continuar con las fuentes disponibles.</v>
      </c>
    </row>
    <row r="4" ht="23" customHeight="1">
      <c r="A4" s="31" t="str">
        <v>Brecha 2026: CERRADA_DOCUMENTADA, causa E. Decisión D: no continuar con las fuentes disponibles.</v>
      </c>
      <c r="B4" s="31" t="str">
        <v>Brecha 2026: CERRADA_DOCUMENTADA, causa E. Decisión D: no continuar con las fuentes disponibles.</v>
      </c>
      <c r="C4" s="31" t="str">
        <v>Brecha 2026: CERRADA_DOCUMENTADA, causa E. Decisión D: no continuar con las fuentes disponibles.</v>
      </c>
      <c r="D4" s="31" t="str">
        <v>Brecha 2026: CERRADA_DOCUMENTADA, causa E. Decisión D: no continuar con las fuentes disponibles.</v>
      </c>
      <c r="E4" s="31" t="str">
        <v>Brecha 2026: CERRADA_DOCUMENTADA, causa E. Decisión D: no continuar con las fuentes disponibles.</v>
      </c>
      <c r="F4" s="31" t="str">
        <v>Brecha 2026: CERRADA_DOCUMENTADA, causa E. Decisión D: no continuar con las fuentes disponibles.</v>
      </c>
      <c r="G4" s="31" t="str">
        <v>Brecha 2026: CERRADA_DOCUMENTADA, causa E. Decisión D: no continuar con las fuentes disponibles.</v>
      </c>
      <c r="H4" s="31" t="str">
        <v>Brecha 2026: CERRADA_DOCUMENTADA, causa E. Decisión D: no continuar con las fuentes disponibles.</v>
      </c>
      <c r="I4" s="31" t="str">
        <v>Brecha 2026: CERRADA_DOCUMENTADA, causa E. Decisión D: no continuar con las fuentes disponibles.</v>
      </c>
    </row>
    <row r="5" ht="29" customHeight="1">
      <c r="A5" s="17" t="str">
        <v>Pregrado · publicado menos VIG 1</v>
      </c>
      <c r="B5" s="17" t="str">
        <v>Pregrado · publicado menos VIG 1</v>
      </c>
      <c r="C5" s="17" t="str">
        <v>Pregrado · publicado menos VIG 1</v>
      </c>
      <c r="D5" s="17" t="str">
        <v>Pregrado · publicado menos VIG 1</v>
      </c>
      <c r="E5" s="17" t="str">
        <v>Pregrado · publicado menos VIG 1</v>
      </c>
      <c r="F5" s="17" t="str">
        <v>Pregrado · publicado menos VIG 1</v>
      </c>
      <c r="G5" s="17" t="str">
        <v>Pregrado · publicado menos VIG 1</v>
      </c>
      <c r="H5" s="17" t="str">
        <v>Pregrado · publicado menos VIG 1</v>
      </c>
      <c r="I5" s="17" t="str">
        <v>Pregrado · publicado menos VIG 1</v>
      </c>
    </row>
    <row r="6" ht="45" customHeight="1">
      <c r="A6" s="9" t="str">
        <v>Año</v>
      </c>
      <c r="B6" s="9" t="str">
        <v>Filas base MU</v>
      </c>
      <c r="C6" s="9" t="str">
        <v>Pregrado MU</v>
      </c>
      <c r="D6" s="9" t="str">
        <v>Nivel no acreditado</v>
      </c>
      <c r="E6" s="9" t="str">
        <v>VIG 1 pregrado</v>
      </c>
      <c r="F6" s="9" t="str">
        <v>VIG 0 pregrado</v>
      </c>
      <c r="G6" s="9" t="str">
        <v>SIES pregrado</v>
      </c>
      <c r="H6" s="9" t="str">
        <v>SIES − VIG 1</v>
      </c>
      <c r="I6" s="9" t="str">
        <v>Control base</v>
      </c>
    </row>
    <row r="7" ht="27" customHeight="1">
      <c r="A7" s="32" t="n">
        <v>2022</v>
      </c>
      <c r="B7" s="33" t="n">
        <v>1038</v>
      </c>
      <c r="C7" s="33" t="n">
        <v>1036</v>
      </c>
      <c r="D7" s="33" t="n">
        <v>2</v>
      </c>
      <c r="E7" s="33" t="n">
        <v>1033</v>
      </c>
      <c r="F7" s="33" t="n">
        <v>3</v>
      </c>
      <c r="G7" s="33" t="n">
        <v>1033</v>
      </c>
      <c r="H7" s="33" t="n">
        <f>G7-E7</f>
        <v>0</v>
      </c>
      <c r="I7" s="33" t="n">
        <f>C7+D7-B7</f>
        <v>0</v>
      </c>
    </row>
    <row r="8" ht="27" customHeight="1">
      <c r="A8" s="36" t="n">
        <v>2023</v>
      </c>
      <c r="B8" s="37" t="n">
        <v>1145</v>
      </c>
      <c r="C8" s="37" t="n">
        <v>1145</v>
      </c>
      <c r="D8" s="37" t="n">
        <v>0</v>
      </c>
      <c r="E8" s="37" t="n">
        <v>1142</v>
      </c>
      <c r="F8" s="37" t="n">
        <v>3</v>
      </c>
      <c r="G8" s="37" t="n">
        <v>1142</v>
      </c>
      <c r="H8" s="37" t="n">
        <f>G8-E8</f>
        <v>0</v>
      </c>
      <c r="I8" s="37" t="n">
        <f>C8+D8-B8</f>
        <v>0</v>
      </c>
    </row>
    <row r="9" ht="27" customHeight="1">
      <c r="A9" s="32" t="n">
        <v>2024</v>
      </c>
      <c r="B9" s="33" t="n">
        <v>1541</v>
      </c>
      <c r="C9" s="33" t="n">
        <v>1535</v>
      </c>
      <c r="D9" s="33" t="n">
        <v>6</v>
      </c>
      <c r="E9" s="33" t="n">
        <v>1455</v>
      </c>
      <c r="F9" s="33" t="n">
        <v>80</v>
      </c>
      <c r="G9" s="33" t="n">
        <v>1455</v>
      </c>
      <c r="H9" s="33" t="n">
        <f>G9-E9</f>
        <v>0</v>
      </c>
      <c r="I9" s="33" t="n">
        <f>C9+D9-B9</f>
        <v>0</v>
      </c>
    </row>
    <row r="10" ht="27" customHeight="1">
      <c r="A10" s="36" t="n">
        <v>2025</v>
      </c>
      <c r="B10" s="37" t="n">
        <v>2371</v>
      </c>
      <c r="C10" s="37" t="n">
        <v>2371</v>
      </c>
      <c r="D10" s="37" t="n">
        <v>0</v>
      </c>
      <c r="E10" s="37" t="n">
        <v>2298</v>
      </c>
      <c r="F10" s="37" t="n">
        <v>73</v>
      </c>
      <c r="G10" s="37" t="n">
        <v>2371</v>
      </c>
      <c r="H10" s="37" t="n">
        <f>G10-E10</f>
        <v>73</v>
      </c>
      <c r="I10" s="37" t="n">
        <f>C10+D10-B10</f>
        <v>0</v>
      </c>
    </row>
    <row r="11" ht="27" customHeight="1">
      <c r="A11" s="32" t="n">
        <v>2026</v>
      </c>
      <c r="B11" s="33" t="n">
        <v>4105</v>
      </c>
      <c r="C11" s="33" t="n">
        <v>4105</v>
      </c>
      <c r="D11" s="33" t="n">
        <v>0</v>
      </c>
      <c r="E11" s="33" t="n">
        <v>3145</v>
      </c>
      <c r="F11" s="33" t="n">
        <v>960</v>
      </c>
      <c r="G11" s="33" t="n">
        <v>3371</v>
      </c>
      <c r="H11" s="33" t="n">
        <f>G11-E11</f>
        <v>226</v>
      </c>
      <c r="I11" s="33" t="n">
        <f>C11+D11-B11</f>
        <v>0</v>
      </c>
    </row>
    <row r="12" ht="23" customHeight="1">
      <c r="A12" s="15"/>
      <c r="B12" s="15"/>
      <c r="C12" s="15"/>
      <c r="D12" s="15"/>
      <c r="E12" s="15"/>
      <c r="F12" s="15"/>
      <c r="G12" s="15"/>
      <c r="H12" s="15"/>
      <c r="I12" s="15"/>
    </row>
    <row r="13" ht="40" customHeight="1">
      <c r="A13" s="31" t="str">
        <v>2025 cuadra contra VIG 1 + VIG 0 = 2.371: la precarga AC 2026 registra las 73 VIG 0. La causa normativa permanece E; no cambia la regla VIG.</v>
      </c>
      <c r="B13" s="31" t="str">
        <v>2025 cuadra contra VIG 1 + VIG 0 = 2.371: la precarga AC 2026 registra las 73 VIG 0. La causa normativa permanece E; no cambia la regla VIG.</v>
      </c>
      <c r="C13" s="31" t="str">
        <v>2025 cuadra contra VIG 1 + VIG 0 = 2.371: la precarga AC 2026 registra las 73 VIG 0. La causa normativa permanece E; no cambia la regla VIG.</v>
      </c>
      <c r="D13" s="31" t="str">
        <v>2025 cuadra contra VIG 1 + VIG 0 = 2.371: la precarga AC 2026 registra las 73 VIG 0. La causa normativa permanece E; no cambia la regla VIG.</v>
      </c>
      <c r="E13" s="31" t="str">
        <v>2025 cuadra contra VIG 1 + VIG 0 = 2.371: la precarga AC 2026 registra las 73 VIG 0. La causa normativa permanece E; no cambia la regla VIG.</v>
      </c>
      <c r="F13" s="31" t="str">
        <v>2025 cuadra contra VIG 1 + VIG 0 = 2.371: la precarga AC 2026 registra las 73 VIG 0. La causa normativa permanece E; no cambia la regla VIG.</v>
      </c>
      <c r="G13" s="31" t="str">
        <v>2025 cuadra contra VIG 1 + VIG 0 = 2.371: la precarga AC 2026 registra las 73 VIG 0. La causa normativa permanece E; no cambia la regla VIG.</v>
      </c>
      <c r="H13" s="31" t="str">
        <v>2025 cuadra contra VIG 1 + VIG 0 = 2.371: la precarga AC 2026 registra las 73 VIG 0. La causa normativa permanece E; no cambia la regla VIG.</v>
      </c>
      <c r="I13" s="31" t="str">
        <v>2025 cuadra contra VIG 1 + VIG 0 = 2.371: la precarga AC 2026 registra las 73 VIG 0. La causa normativa permanece E; no cambia la regla VIG.</v>
      </c>
    </row>
    <row r="14" ht="23" customHeight="1">
      <c r="A14" s="15"/>
      <c r="B14" s="15"/>
      <c r="C14" s="15"/>
      <c r="D14" s="15"/>
      <c r="E14" s="15"/>
      <c r="F14" s="15"/>
      <c r="G14" s="15"/>
      <c r="H14" s="15"/>
      <c r="I14" s="15"/>
    </row>
    <row r="15" ht="29" customHeight="1">
      <c r="A15" s="17" t="str">
        <v>Total institucional publicado · nivel separado</v>
      </c>
      <c r="B15" s="17" t="str">
        <v>Total institucional publicado · nivel separado</v>
      </c>
      <c r="C15" s="17" t="str">
        <v>Total institucional publicado · nivel separado</v>
      </c>
      <c r="D15" s="17" t="str">
        <v>Total institucional publicado · nivel separado</v>
      </c>
      <c r="E15" s="17" t="str">
        <v>Total institucional publicado · nivel separado</v>
      </c>
      <c r="F15" s="15"/>
      <c r="G15" s="15"/>
      <c r="H15" s="15"/>
      <c r="I15" s="15"/>
    </row>
    <row r="16" ht="45" customHeight="1">
      <c r="A16" s="9" t="str">
        <v>Año</v>
      </c>
      <c r="B16" s="9" t="str">
        <v>SIES pregrado</v>
      </c>
      <c r="C16" s="9" t="str">
        <v>SIES postítulo</v>
      </c>
      <c r="D16" s="9" t="str">
        <v>SIES institucional</v>
      </c>
      <c r="E16" s="9" t="str">
        <v>Control total</v>
      </c>
      <c r="F16" s="15"/>
      <c r="G16" s="15"/>
      <c r="H16" s="15"/>
      <c r="I16" s="15"/>
    </row>
    <row r="17" ht="27" customHeight="1">
      <c r="A17" s="32" t="n">
        <v>2022</v>
      </c>
      <c r="B17" s="33" t="n">
        <v>1033</v>
      </c>
      <c r="C17" s="33" t="n">
        <v>0</v>
      </c>
      <c r="D17" s="33" t="n">
        <v>1033</v>
      </c>
      <c r="E17" s="33" t="n">
        <f>B17+C17-D17</f>
        <v>0</v>
      </c>
      <c r="F17" s="15"/>
      <c r="G17" s="15"/>
      <c r="H17" s="15"/>
      <c r="I17" s="15"/>
    </row>
    <row r="18" ht="27" customHeight="1">
      <c r="A18" s="36" t="n">
        <v>2023</v>
      </c>
      <c r="B18" s="37" t="n">
        <v>1142</v>
      </c>
      <c r="C18" s="37" t="n">
        <v>19</v>
      </c>
      <c r="D18" s="37" t="n">
        <v>1161</v>
      </c>
      <c r="E18" s="37" t="n">
        <f>B18+C18-D18</f>
        <v>0</v>
      </c>
      <c r="F18" s="15"/>
      <c r="G18" s="15"/>
      <c r="H18" s="15"/>
      <c r="I18" s="15"/>
    </row>
    <row r="19" ht="27" customHeight="1">
      <c r="A19" s="32" t="n">
        <v>2024</v>
      </c>
      <c r="B19" s="33" t="n">
        <v>1455</v>
      </c>
      <c r="C19" s="33" t="n">
        <v>13</v>
      </c>
      <c r="D19" s="33" t="n">
        <v>1468</v>
      </c>
      <c r="E19" s="33" t="n">
        <f>B19+C19-D19</f>
        <v>0</v>
      </c>
      <c r="F19" s="15"/>
      <c r="G19" s="15"/>
      <c r="H19" s="15"/>
      <c r="I19" s="15"/>
    </row>
    <row r="20" ht="27" customHeight="1">
      <c r="A20" s="36" t="n">
        <v>2025</v>
      </c>
      <c r="B20" s="37" t="n">
        <v>2371</v>
      </c>
      <c r="C20" s="37" t="n">
        <v>151</v>
      </c>
      <c r="D20" s="37" t="n">
        <v>2522</v>
      </c>
      <c r="E20" s="37" t="n">
        <f>B20+C20-D20</f>
        <v>0</v>
      </c>
      <c r="F20" s="15"/>
      <c r="G20" s="15"/>
      <c r="H20" s="15"/>
      <c r="I20" s="15"/>
    </row>
    <row r="21" ht="27" customHeight="1">
      <c r="A21" s="32" t="n">
        <v>2026</v>
      </c>
      <c r="B21" s="33" t="n">
        <v>3371</v>
      </c>
      <c r="C21" s="33" t="n">
        <v>54</v>
      </c>
      <c r="D21" s="33" t="n">
        <v>3425</v>
      </c>
      <c r="E21" s="33" t="n">
        <f>B21+C21-D21</f>
        <v>0</v>
      </c>
      <c r="F21" s="15"/>
      <c r="G21" s="15"/>
      <c r="H21" s="15"/>
      <c r="I21" s="15"/>
    </row>
    <row r="22" ht="23" customHeight="1">
      <c r="A22" s="15"/>
      <c r="B22" s="15"/>
      <c r="C22" s="15"/>
      <c r="D22" s="15"/>
      <c r="E22" s="15"/>
      <c r="F22" s="15"/>
      <c r="G22" s="15"/>
      <c r="H22" s="15"/>
      <c r="I22" s="15"/>
    </row>
    <row r="23" ht="29" customHeight="1">
      <c r="A23" s="17" t="str">
        <v>2026 · detalle del cierre</v>
      </c>
      <c r="B23" s="17" t="str">
        <v>2026 · detalle del cierre</v>
      </c>
      <c r="C23" s="17" t="str">
        <v>2026 · detalle del cierre</v>
      </c>
      <c r="D23" s="17" t="str">
        <v>2026 · detalle del cierre</v>
      </c>
      <c r="E23" s="15"/>
      <c r="F23" s="15"/>
      <c r="G23" s="15"/>
      <c r="H23" s="15"/>
      <c r="I23" s="15"/>
    </row>
    <row r="24" ht="45" customHeight="1">
      <c r="A24" s="9" t="str">
        <v>Concepto</v>
      </c>
      <c r="B24" s="9" t="str">
        <v>Registros</v>
      </c>
      <c r="C24" s="9" t="str">
        <v>Referencia</v>
      </c>
      <c r="D24" s="9" t="str">
        <v>Clase</v>
      </c>
      <c r="E24" s="15"/>
      <c r="F24" s="15"/>
      <c r="G24" s="15"/>
      <c r="H24" s="15"/>
      <c r="I24" s="15"/>
    </row>
    <row r="25" ht="27" customHeight="1">
      <c r="A25" s="14" t="str">
        <v>Brecha positiva</v>
      </c>
      <c r="B25" s="33" t="n">
        <v>228</v>
      </c>
      <c r="C25" s="14" t="str">
        <v>46 códigos</v>
      </c>
      <c r="D25" s="14" t="str">
        <v>B/C</v>
      </c>
      <c r="E25" s="15"/>
      <c r="F25" s="15"/>
      <c r="G25" s="15"/>
      <c r="H25" s="15"/>
      <c r="I25" s="15"/>
    </row>
    <row r="26" ht="27" customHeight="1">
      <c r="A26" s="15" t="str">
        <v>Brecha negativa</v>
      </c>
      <c r="B26" s="46" t="n">
        <v>-2</v>
      </c>
      <c r="C26" s="15" t="str">
        <v>2 códigos</v>
      </c>
      <c r="D26" s="15" t="str">
        <v>B/C</v>
      </c>
      <c r="E26" s="15"/>
      <c r="F26" s="15"/>
      <c r="G26" s="15"/>
      <c r="H26" s="15"/>
      <c r="I26" s="15"/>
    </row>
    <row r="27" ht="70" customHeight="1">
      <c r="A27" s="14" t="str">
        <v>Brecha neta</v>
      </c>
      <c r="B27" s="33" t="n">
        <f>H11</f>
        <v>226</v>
      </c>
      <c r="C27" s="14" t="str">
        <v>Publicado pregrado − VIG 1 (enlaza H11)</v>
      </c>
      <c r="D27" s="14" t="str">
        <v>B/C</v>
      </c>
      <c r="E27" s="15"/>
      <c r="F27" s="15"/>
      <c r="G27" s="15"/>
      <c r="H27" s="15"/>
      <c r="I27" s="15"/>
    </row>
    <row r="28" ht="70" customHeight="1">
      <c r="A28" s="15" t="str">
        <v>Postítulo registro MRUN</v>
      </c>
      <c r="B28" s="37" t="n">
        <v>54</v>
      </c>
      <c r="C28" s="15" t="str">
        <v>Agregado; no contiene identificadores</v>
      </c>
      <c r="D28" s="15" t="str">
        <v>B</v>
      </c>
      <c r="E28" s="15"/>
      <c r="F28" s="15"/>
      <c r="G28" s="15"/>
      <c r="H28" s="15"/>
      <c r="I28" s="15"/>
    </row>
    <row r="29" ht="70" customHeight="1">
      <c r="A29" s="14" t="str">
        <v>Postítulo publicado</v>
      </c>
      <c r="B29" s="33" t="n">
        <v>54</v>
      </c>
      <c r="C29" s="14" t="str">
        <v>Control frente al registro anterior</v>
      </c>
      <c r="D29" s="14" t="str">
        <v>B</v>
      </c>
      <c r="E29" s="15"/>
      <c r="F29" s="15"/>
      <c r="G29" s="15"/>
      <c r="H29" s="15"/>
      <c r="I29" s="15"/>
    </row>
    <row r="30" ht="23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ht="40" customHeight="1">
      <c r="A31" s="31" t="str">
        <v>Reapertura (D): solo con fuente individual SIES de MU 2026, por ejemplo precarga AC 2027 cuando exista; verificar origen, proceso, año y hash.</v>
      </c>
      <c r="B31" s="31" t="str">
        <v>Reapertura (D): solo con fuente individual SIES de MU 2026, por ejemplo precarga AC 2027 cuando exista; verificar origen, proceso, año y hash.</v>
      </c>
      <c r="C31" s="31" t="str">
        <v>Reapertura (D): solo con fuente individual SIES de MU 2026, por ejemplo precarga AC 2027 cuando exista; verificar origen, proceso, año y hash.</v>
      </c>
      <c r="D31" s="31" t="str">
        <v>Reapertura (D): solo con fuente individual SIES de MU 2026, por ejemplo precarga AC 2027 cuando exista; verificar origen, proceso, año y hash.</v>
      </c>
      <c r="E31" s="31" t="str">
        <v>Reapertura (D): solo con fuente individual SIES de MU 2026, por ejemplo precarga AC 2027 cuando exista; verificar origen, proceso, año y hash.</v>
      </c>
      <c r="F31" s="31" t="str">
        <v>Reapertura (D): solo con fuente individual SIES de MU 2026, por ejemplo precarga AC 2027 cuando exista; verificar origen, proceso, año y hash.</v>
      </c>
      <c r="G31" s="31" t="str">
        <v>Reapertura (D): solo con fuente individual SIES de MU 2026, por ejemplo precarga AC 2027 cuando exista; verificar origen, proceso, año y hash.</v>
      </c>
      <c r="H31" s="31" t="str">
        <v>Reapertura (D): solo con fuente individual SIES de MU 2026, por ejemplo precarga AC 2027 cuando exista; verificar origen, proceso, año y hash.</v>
      </c>
      <c r="I31" s="31" t="str">
        <v>Reapertura (D): solo con fuente individual SIES de MU 2026, por ejemplo precarga AC 2027 cuando exista; verificar origen, proceso, año y hash.</v>
      </c>
    </row>
    <row r="32" ht="40" customHeight="1">
      <c r="A32" s="31" t="str">
        <v>Cierre documental no significa causa resuelta. La compatibilidad observada con VIG 0 no identifica qué matrículas registró SIES.</v>
      </c>
      <c r="B32" s="31" t="str">
        <v>Cierre documental no significa causa resuelta. La compatibilidad observada con VIG 0 no identifica qué matrículas registró SIES.</v>
      </c>
      <c r="C32" s="31" t="str">
        <v>Cierre documental no significa causa resuelta. La compatibilidad observada con VIG 0 no identifica qué matrículas registró SIES.</v>
      </c>
      <c r="D32" s="31" t="str">
        <v>Cierre documental no significa causa resuelta. La compatibilidad observada con VIG 0 no identifica qué matrículas registró SIES.</v>
      </c>
      <c r="E32" s="31" t="str">
        <v>Cierre documental no significa causa resuelta. La compatibilidad observada con VIG 0 no identifica qué matrículas registró SIES.</v>
      </c>
      <c r="F32" s="31" t="str">
        <v>Cierre documental no significa causa resuelta. La compatibilidad observada con VIG 0 no identifica qué matrículas registró SIES.</v>
      </c>
      <c r="G32" s="31" t="str">
        <v>Cierre documental no significa causa resuelta. La compatibilidad observada con VIG 0 no identifica qué matrículas registró SIES.</v>
      </c>
      <c r="H32" s="31" t="str">
        <v>Cierre documental no significa causa resuelta. La compatibilidad observada con VIG 0 no identifica qué matrículas registró SIES.</v>
      </c>
      <c r="I32" s="31" t="str">
        <v>Cierre documental no significa causa resuelta. La compatibilidad observada con VIG 0 no identifica qué matrículas registró SIES.</v>
      </c>
    </row>
    <row r="33" ht="23" customHeight="1">
      <c r="A33" s="15"/>
      <c r="B33" s="15"/>
      <c r="C33" s="15"/>
      <c r="D33" s="15"/>
      <c r="E33" s="15"/>
      <c r="F33" s="15"/>
      <c r="G33" s="15"/>
      <c r="H33" s="15"/>
      <c r="I33" s="15"/>
    </row>
    <row r="34" ht="23" customHeight="1">
      <c r="A34" s="15"/>
      <c r="B34" s="15"/>
      <c r="C34" s="15"/>
      <c r="D34" s="15"/>
      <c r="E34" s="15"/>
      <c r="F34" s="15"/>
      <c r="G34" s="15"/>
      <c r="H34" s="15"/>
      <c r="I34" s="15"/>
    </row>
  </sheetData>
  <mergeCells>
    <mergeCell ref="A2:I2"/>
    <mergeCell ref="A3:I4"/>
    <mergeCell ref="A13:I13"/>
    <mergeCell ref="A31:I31"/>
    <mergeCell ref="A32:I32"/>
    <mergeCell ref="A5:I5"/>
    <mergeCell ref="A15:E15"/>
    <mergeCell ref="A23:D23"/>
  </mergeCells>
  <printOptions headings="0" gridLines="0"/>
  <pageMargins left="0.25" right="0.25" top="0.35" bottom="0.35" header="0.1" footer="0.1"/>
  <pageSetup paperSize="8" orientation="landscape" fitToWidth="1" fitToHeight="0"/>
  <tableParts count="3">
    <tablePart ns1:id="R908ef407cd324810"/>
    <tablePart ns1:id="Rdf323e1270b24579"/>
    <tablePart ns1:id="Rb6c30bc209f14b32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102B42"/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4" hidden="0" customWidth="1"/>
    <col min="2" max="2" width="94" hidden="0" customWidth="1"/>
    <col min="3" max="3" width="66" hidden="0" customWidth="1"/>
    <col min="4" max="4" width="18" hidden="0" customWidth="1"/>
    <col min="5" max="5" width="20" hidden="0" customWidth="1"/>
    <col min="6" max="6" width="44" hidden="0" customWidth="1"/>
  </cols>
  <sheetData>
    <row r="1" ht="23" customHeight="1">
      <c r="A1" s="15"/>
      <c r="B1" s="15"/>
      <c r="C1" s="15"/>
      <c r="D1" s="15"/>
      <c r="E1" s="15"/>
      <c r="F1" s="15"/>
    </row>
    <row r="2" ht="32" customHeight="1">
      <c r="A2" s="16" t="str">
        <v>Fuentes fijadas y trazabilidad</v>
      </c>
      <c r="B2" s="16"/>
      <c r="C2" s="16"/>
      <c r="D2" s="16"/>
      <c r="E2" s="16"/>
      <c r="F2" s="16"/>
    </row>
    <row r="3" ht="23" customHeight="1">
      <c r="A3" s="31" t="str">
        <v>Fecha = verificación de la huella (29-10-2026), no corte de matrícula. Cada bloque indica su referencia temporal. Las rutas son solo metadatos.</v>
      </c>
      <c r="B3" s="31" t="str">
        <v>Fecha = verificación de la huella (29-10-2026), no corte de matrícula. Cada bloque indica su referencia temporal. Las rutas son solo metadatos.</v>
      </c>
      <c r="C3" s="31" t="str">
        <v>Fecha = verificación de la huella (29-10-2026), no corte de matrícula. Cada bloque indica su referencia temporal. Las rutas son solo metadatos.</v>
      </c>
      <c r="D3" s="31" t="str">
        <v>Fecha = verificación de la huella (29-10-2026), no corte de matrícula. Cada bloque indica su referencia temporal. Las rutas son solo metadatos.</v>
      </c>
      <c r="E3" s="31" t="str">
        <v>Fecha = verificación de la huella (29-10-2026), no corte de matrícula. Cada bloque indica su referencia temporal. Las rutas son solo metadatos.</v>
      </c>
      <c r="F3" s="31" t="str">
        <v>Fecha = verificación de la huella (29-10-2026), no corte de matrícula. Cada bloque indica su referencia temporal. Las rutas son solo metadatos.</v>
      </c>
    </row>
    <row r="4" ht="23" customHeight="1">
      <c r="A4" s="31" t="str">
        <v>Fecha = verificación de la huella (29-10-2026), no corte de matrícula. Cada bloque indica su referencia temporal. Las rutas son solo metadatos.</v>
      </c>
      <c r="B4" s="31" t="str">
        <v>Fecha = verificación de la huella (29-10-2026), no corte de matrícula. Cada bloque indica su referencia temporal. Las rutas son solo metadatos.</v>
      </c>
      <c r="C4" s="31" t="str">
        <v>Fecha = verificación de la huella (29-10-2026), no corte de matrícula. Cada bloque indica su referencia temporal. Las rutas son solo metadatos.</v>
      </c>
      <c r="D4" s="31" t="str">
        <v>Fecha = verificación de la huella (29-10-2026), no corte de matrícula. Cada bloque indica su referencia temporal. Las rutas son solo metadatos.</v>
      </c>
      <c r="E4" s="31" t="str">
        <v>Fecha = verificación de la huella (29-10-2026), no corte de matrícula. Cada bloque indica su referencia temporal. Las rutas son solo metadatos.</v>
      </c>
      <c r="F4" s="31" t="str">
        <v>Fecha = verificación de la huella (29-10-2026), no corte de matrícula. Cada bloque indica su referencia temporal. Las rutas son solo metadatos.</v>
      </c>
    </row>
    <row r="5" ht="29" customHeight="1">
      <c r="A5" s="17" t="str">
        <v>Entradas verificadas antes de escribir el libro</v>
      </c>
      <c r="B5" s="17" t="str">
        <v>Entradas verificadas antes de escribir el libro</v>
      </c>
      <c r="C5" s="17" t="str">
        <v>Entradas verificadas antes de escribir el libro</v>
      </c>
      <c r="D5" s="17" t="str">
        <v>Entradas verificadas antes de escribir el libro</v>
      </c>
      <c r="E5" s="17" t="str">
        <v>Entradas verificadas antes de escribir el libro</v>
      </c>
      <c r="F5" s="17" t="str">
        <v>Entradas verificadas antes de escribir el libro</v>
      </c>
    </row>
    <row r="6" ht="45" customHeight="1">
      <c r="A6" s="9" t="str">
        <v>ID</v>
      </c>
      <c r="B6" s="9" t="str">
        <v>Ruta</v>
      </c>
      <c r="C6" s="9" t="str">
        <v>SHA-256</v>
      </c>
      <c r="D6" s="9" t="str">
        <v>Fecha verificación</v>
      </c>
      <c r="E6" s="9" t="str">
        <v>Clase</v>
      </c>
      <c r="F6" s="9" t="str">
        <v>Commit / origen</v>
      </c>
    </row>
    <row r="7" ht="40" customHeight="1">
      <c r="A7" s="14" t="str">
        <v>H001</v>
      </c>
      <c r="B7" s="14" t="str">
        <v>/Users/alexi/Documents/GitHub/avance_curricular/outputs/retencion_primer_anio_h001_activo_20261028/RETENCION_PRIMER_ANIO_AGREGADO.json</v>
      </c>
      <c r="C7" s="14" t="str">
        <v>ad40ada98ec2f30fbd788afc5dc4c1afd620d8ab624ab41d114049f882e258c5</v>
      </c>
      <c r="D7" s="14" t="str">
        <v>2026-10-29</v>
      </c>
      <c r="E7" s="14" t="str">
        <v>B/C/D</v>
      </c>
      <c r="F7" s="14" t="str">
        <v>47519076159145468ebfca20dcafce87e74d3534</v>
      </c>
    </row>
    <row r="8" ht="40" customHeight="1">
      <c r="A8" s="15" t="str">
        <v>H001_CIERRE</v>
      </c>
      <c r="B8" s="15" t="str">
        <v>/Users/alexi/Documents/GitHub/avance_curricular/manifests/milestones/H001-RETENCION-IPSS162/README.md</v>
      </c>
      <c r="C8" s="15" t="str">
        <v>6f1184f40f91d2c0df73fed2296cd11323aa108ce1cb30474bb000b8bdef7c48</v>
      </c>
      <c r="D8" s="15" t="str">
        <v>2026-10-29</v>
      </c>
      <c r="E8" s="15" t="str">
        <v>B/C/D/E</v>
      </c>
      <c r="F8" s="15" t="str">
        <v>55e3b709afb9483f0ecdd2d166f67229a454a5ef</v>
      </c>
    </row>
    <row r="9" ht="40" customHeight="1">
      <c r="A9" s="14" t="str">
        <v>H001_BASE</v>
      </c>
      <c r="B9" s="14" t="str">
        <v>/Users/alexi/Documents/GitHub/avance_curricular/outputs/retencion_h001_base_20261028/INFORME.md</v>
      </c>
      <c r="C9" s="14" t="str">
        <v>637b953628eae93529db13ed057e14945bcc3e582e69562fecc4659d2d68a3dd</v>
      </c>
      <c r="D9" s="14" t="str">
        <v>2026-10-29</v>
      </c>
      <c r="E9" s="14" t="str">
        <v>B/C/E</v>
      </c>
      <c r="F9" s="14" t="str">
        <v>ad5baf116fd097ab39f47d2223a352c566662453</v>
      </c>
    </row>
    <row r="10" ht="40" customHeight="1">
      <c r="A10" s="15" t="str">
        <v>SECTORES</v>
      </c>
      <c r="B10" s="15" t="str">
        <v>/Users/alexi/Documents/GitHub/avance_curricular/analisis_desercion_ipss/reglas/MAPEO_SECTOR_IPSS_H001.json</v>
      </c>
      <c r="C10" s="15" t="str">
        <v>d88abac17453a023753a367657b1a8b3dd8353d250bb0e03e8aa0a356746f8c1</v>
      </c>
      <c r="D10" s="15" t="str">
        <v>2026-10-29</v>
      </c>
      <c r="E10" s="15" t="str">
        <v>B/C</v>
      </c>
      <c r="F10" s="15" t="str">
        <v>47519076159145468ebfca20dcafce87e74d3534</v>
      </c>
    </row>
    <row r="11" ht="55" customHeight="1">
      <c r="A11" s="14" t="str">
        <v>SIES_GRANULAR</v>
      </c>
      <c r="B11" s="14" t="str">
        <v>/Users/alexi/Documents/GitHub/avance_curricular/procesos/caracterizacion/gobernanza/sies/RETENCION/RETENCION_SIES_IPSS_162_GRANULAR_2025_CORREO_20260909.tsv</v>
      </c>
      <c r="C11" s="14" t="str">
        <v>1e1e4872c8aa54ba97c1c4749d1fa509e13a4c11f498e933c9efddbb92b24c61</v>
      </c>
      <c r="D11" s="14" t="str">
        <v>2026-10-29</v>
      </c>
      <c r="E11" s="14" t="str">
        <v>B</v>
      </c>
      <c r="F11" s="14" t="str">
        <v>55e3b709afb9483f0ecdd2d166f67229a454a5ef</v>
      </c>
    </row>
    <row r="12" ht="40" customHeight="1">
      <c r="A12" s="15" t="str">
        <v>INTER</v>
      </c>
      <c r="B12" s="15" t="str">
        <v>/Users/alexi/Documents/GitHub/avance_curricular/data/reglas_negocio/indicador_intertrimestral/REGLA.json</v>
      </c>
      <c r="C12" s="15" t="str">
        <v>1428eda2858f0b2f5918c568607aa339c7c20eea21af83e1db3e30d09c68ab53</v>
      </c>
      <c r="D12" s="15" t="str">
        <v>2026-10-29</v>
      </c>
      <c r="E12" s="15" t="str">
        <v>C/D/E</v>
      </c>
      <c r="F12" s="15" t="str">
        <v>edc4b8c487861b6b9c686e9315d54d6249e88788</v>
      </c>
    </row>
    <row r="13" ht="40" customHeight="1">
      <c r="A13" s="14" t="str">
        <v>INTER_MD</v>
      </c>
      <c r="B13" s="14" t="str">
        <v>/Users/alexi/Documents/GitHub/avance_curricular/data/reglas_negocio/indicador_intertrimestral/REGLA.md</v>
      </c>
      <c r="C13" s="14" t="str">
        <v>d347cfe0226bc25c8a11de64644832b7112d74f1645dd8b184a41fcea47ba29b</v>
      </c>
      <c r="D13" s="14" t="str">
        <v>2026-10-29</v>
      </c>
      <c r="E13" s="14" t="str">
        <v>C/D/E</v>
      </c>
      <c r="F13" s="14" t="str">
        <v>edc4b8c487861b6b9c686e9315d54d6249e88788</v>
      </c>
    </row>
    <row r="14" ht="40" customHeight="1">
      <c r="A14" s="15" t="str">
        <v>H002</v>
      </c>
      <c r="B14" s="15" t="str">
        <v>/Users/alexi/Documents/GitHub/avance_curricular/data/paridad_codigo_sies/20261029/TABLA_PARIDAD_2026_2027.json</v>
      </c>
      <c r="C14" s="15" t="str">
        <v>0ed5e17b1a452c85ab25b08ef0e65cdfc7258fd920d0f4dd40c60c9c4eb71063</v>
      </c>
      <c r="D14" s="15" t="str">
        <v>2026-10-29</v>
      </c>
      <c r="E14" s="15" t="str">
        <v>B/C/D/E</v>
      </c>
      <c r="F14" s="15" t="str">
        <v>82cb49c8b1136214a989676d914766d829e4c4dc</v>
      </c>
    </row>
    <row r="15" ht="40" customHeight="1">
      <c r="A15" s="14" t="str">
        <v>CODIGOS_REGLA</v>
      </c>
      <c r="B15" s="14" t="str">
        <v>/Users/alexi/Documents/GitHub/avance_curricular/data/reglas_negocio/mu2027/REGLA_CODIGO_SIES_MU2027.json</v>
      </c>
      <c r="C15" s="14" t="str">
        <v>197fe68f1a7a24ab6a7ed844e4cefbdcf8774d655acc33ad49886aaadc8b90f2</v>
      </c>
      <c r="D15" s="14" t="str">
        <v>2026-10-29</v>
      </c>
      <c r="E15" s="14" t="str">
        <v>D</v>
      </c>
      <c r="F15" s="14" t="str">
        <v>75ed9501afe66c941709809ade79c7015827e3cb</v>
      </c>
    </row>
    <row r="16" ht="40" customHeight="1">
      <c r="A16" s="15" t="str">
        <v>REVISION</v>
      </c>
      <c r="B16" s="15" t="str">
        <v>/Users/alexi/Documents/GitHub/avance_curricular/outputs/depuracion_codigo_mu2027_20261029/LISTA_REVISION_MANUAL_MU2027_v2.json</v>
      </c>
      <c r="C16" s="15" t="str">
        <v>6add2daaaed871ad438f0d74146a1af988c2f5f0fafa01f82337b1aa716f8dab</v>
      </c>
      <c r="D16" s="15" t="str">
        <v>2026-10-29</v>
      </c>
      <c r="E16" s="15" t="str">
        <v>C/D/E</v>
      </c>
      <c r="F16" s="15" t="str">
        <v>75ed9501afe66c941709809ade79c7015827e3cb</v>
      </c>
    </row>
    <row r="17" ht="40" customHeight="1">
      <c r="A17" s="14" t="str">
        <v>H002_CIERRE</v>
      </c>
      <c r="B17" s="14" t="str">
        <v>/Users/alexi/Documents/GitHub/avance_curricular/manifests/milestones/H002-PARIDAD-CODIGO-SIES-2027/CIERRE_H002L.json</v>
      </c>
      <c r="C17" s="14" t="str">
        <v>a4a704a6a399a4230f693e9763c87283ff4063337f40244c17b1ef07cdf90e46</v>
      </c>
      <c r="D17" s="14" t="str">
        <v>2026-10-29</v>
      </c>
      <c r="E17" s="14" t="str">
        <v>D/E</v>
      </c>
      <c r="F17" s="14" t="str">
        <v>75ed9501afe66c941709809ade79c7015827e3cb</v>
      </c>
    </row>
    <row r="18" ht="40" customHeight="1">
      <c r="A18" s="15" t="str">
        <v>MATRIZ</v>
      </c>
      <c r="B18" s="15" t="str">
        <v>/Users/alexi/Documents/GitHub/avance_curricular/outputs/matriz_cuadratura_totales_20261028/MATRIZ_CUADRATURA_TOTALES_2022_2026.json</v>
      </c>
      <c r="C18" s="15" t="str">
        <v>4d4d69f51dac6919907efff2779eb78f9e3777d64f65c333be5030ec1c50436e</v>
      </c>
      <c r="D18" s="15" t="str">
        <v>2026-10-29</v>
      </c>
      <c r="E18" s="15" t="str">
        <v>B/C/D/E</v>
      </c>
      <c r="F18" s="15" t="str">
        <v>7807542b2b819521b7bd620239110686830ec406</v>
      </c>
    </row>
    <row r="19" ht="40" customHeight="1">
      <c r="A19" s="14" t="str">
        <v>BRECHA</v>
      </c>
      <c r="B19" s="14" t="str">
        <v>/Users/alexi/Documents/GitHub/avance_curricular/outputs/matriz_cuadratura_totales_20261028/CIERRE_BRECHA_MU2026.json</v>
      </c>
      <c r="C19" s="14" t="str">
        <v>89a0cbe196810b7c98abc663f4218665026155c5f1e100fdfbf1e5e9c783d99a</v>
      </c>
      <c r="D19" s="14" t="str">
        <v>2026-10-29</v>
      </c>
      <c r="E19" s="14" t="str">
        <v>B/C/D/E</v>
      </c>
      <c r="F19" s="14" t="str">
        <v>7807542b2b819521b7bd620239110686830ec406</v>
      </c>
    </row>
    <row r="20" ht="40" customHeight="1">
      <c r="A20" s="15" t="str">
        <v>V24</v>
      </c>
      <c r="B20" s="15" t="str">
        <v>/Users/alexi/Desktop/RETENCION_IPSS_SEGUIMIENTO_T1_T2_T3_20261025_V24.xlsx</v>
      </c>
      <c r="C20" s="15" t="str">
        <v>bfeba67628107f460cad69c5db119a6245782142bd5b65ab435b0cd116bca2db</v>
      </c>
      <c r="D20" s="15" t="str">
        <v>2026-10-29</v>
      </c>
      <c r="E20" s="15" t="str">
        <v>B/C</v>
      </c>
      <c r="F20" s="15" t="str">
        <v>Fuente externa; hash fijado</v>
      </c>
    </row>
    <row r="21" ht="40" customHeight="1">
      <c r="A21" s="14" t="str">
        <v>V24_COPIA_RECALCULADA</v>
      </c>
      <c r="B21" s="14" t="str">
        <v>/Users/alexi/.local/share/ipss/fase_h_regla_intertrimestral_20261027/V24_QA_COPIA.xlsx</v>
      </c>
      <c r="C21" s="14" t="str">
        <v>1e28d5955d874e7d86ec0ca87ab6a2cc478515c0dbd604f4fc86f60fa491c481</v>
      </c>
      <c r="D21" s="14" t="str">
        <v>2026-10-29</v>
      </c>
      <c r="E21" s="14" t="str">
        <v>B/C</v>
      </c>
      <c r="F21" s="14" t="str">
        <v>Fuente externa; hash fijado</v>
      </c>
    </row>
    <row r="22" ht="40" customHeight="1">
      <c r="A22" s="15" t="str">
        <v>BASES_V16</v>
      </c>
      <c r="B22" s="15" t="str">
        <v>/Users/alexi/Documents/GitHub/avance_curricular/docs/ESPECIFICACION_BASES_TASAS_2026_V16_20261023.md</v>
      </c>
      <c r="C22" s="15" t="str">
        <v>f90d19bef2d61e1880b3a0aa49833aa9152e1b2a95dacb61370246347ffd6012</v>
      </c>
      <c r="D22" s="15" t="str">
        <v>2026-10-29</v>
      </c>
      <c r="E22" s="15" t="str">
        <v>D/C</v>
      </c>
      <c r="F22" s="15" t="str">
        <v>e390385a58289ea54a70938102ae640f0aba2dc5</v>
      </c>
    </row>
    <row r="23" ht="40" customHeight="1">
      <c r="A23" s="14" t="str">
        <v>MARCA</v>
      </c>
      <c r="B23" s="14" t="str">
        <v>/Users/alexi/Documents/GitHub/CARACTERIZACIÓN/gobernanza/marca/paleta_ipss_2026.json</v>
      </c>
      <c r="C23" s="14" t="str">
        <v>eaf142973cb8b28b4919cd156612587b0d811f94c3e3c41a4f480a1ef4828c26</v>
      </c>
      <c r="D23" s="14" t="str">
        <v>2026-10-29</v>
      </c>
      <c r="E23" s="14" t="str">
        <v>A</v>
      </c>
      <c r="F23" s="14" t="str">
        <v>Fuente externa; hash fijado</v>
      </c>
    </row>
    <row r="24" ht="55" customHeight="1">
      <c r="A24" s="15" t="str">
        <v>SIES_TASAS</v>
      </c>
      <c r="B24" s="15" t="str">
        <v>/Users/alexi/Library/CloudStorage/OneDrive-InstitutoProfesionalSanSebastián/0 BASES DE DATOS/RETENCION/Informe_Retencion_SIES_2026_270702026.xlsx</v>
      </c>
      <c r="C24" s="15" t="str">
        <v>03897a1604aa656f9ff60e232eda739e29f4912123e5d7127d6551a37957a8a1</v>
      </c>
      <c r="D24" s="15" t="str">
        <v>2026-10-29</v>
      </c>
      <c r="E24" s="15" t="str">
        <v>B</v>
      </c>
      <c r="F24" s="15" t="str">
        <v>Fuente externa; hash fijado</v>
      </c>
    </row>
    <row r="25" ht="55" customHeight="1">
      <c r="A25" s="14" t="str">
        <v>MANUAL_MARCA</v>
      </c>
      <c r="B25" s="14" t="str">
        <v>/Users/alexi/Library/CloudStorage/OneDrive-InstitutoProfesionalSanSebastián/Portal de Colaboradores - Recursos Gráficos/Manual de Marca IP San Sebastián.pdf</v>
      </c>
      <c r="C25" s="14" t="str">
        <v>78b3ec0c8b1a55276ee00d961bf8e6800757de8ac5b3903c15ae93294d513a47</v>
      </c>
      <c r="D25" s="14" t="str">
        <v>2026-10-29</v>
      </c>
      <c r="E25" s="14" t="str">
        <v>A</v>
      </c>
      <c r="F25" s="14" t="str">
        <v>Manual oficial, páginas 10–11</v>
      </c>
    </row>
    <row r="26" ht="23" customHeight="1">
      <c r="A26" s="15"/>
      <c r="B26" s="15"/>
      <c r="C26" s="15"/>
      <c r="D26" s="15"/>
      <c r="E26" s="15"/>
      <c r="F26" s="15"/>
    </row>
    <row r="27" ht="24" customHeight="1">
      <c r="A27" s="31" t="str">
        <v>H001 activo: commit 4751907; cierre de brecha: 7807542; cierre H002l: 75ed950. Se conservan los hashes completos en la tabla.</v>
      </c>
      <c r="B27" s="31" t="str">
        <v>H001 activo: commit 4751907; cierre de brecha: 7807542; cierre H002l: 75ed950. Se conservan los hashes completos en la tabla.</v>
      </c>
      <c r="C27" s="31" t="str">
        <v>H001 activo: commit 4751907; cierre de brecha: 7807542; cierre H002l: 75ed950. Se conservan los hashes completos en la tabla.</v>
      </c>
      <c r="D27" s="31" t="str">
        <v>H001 activo: commit 4751907; cierre de brecha: 7807542; cierre H002l: 75ed950. Se conservan los hashes completos en la tabla.</v>
      </c>
      <c r="E27" s="31" t="str">
        <v>H001 activo: commit 4751907; cierre de brecha: 7807542; cierre H002l: 75ed950. Se conservan los hashes completos en la tabla.</v>
      </c>
      <c r="F27" s="31" t="str">
        <v>H001 activo: commit 4751907; cierre de brecha: 7807542; cierre H002l: 75ed950. Se conservan los hashes completos en la tabla.</v>
      </c>
    </row>
    <row r="28" ht="23" customHeight="1">
      <c r="A28" s="15"/>
      <c r="B28" s="15"/>
      <c r="C28" s="15"/>
      <c r="D28" s="15"/>
      <c r="E28" s="15"/>
      <c r="F28" s="15"/>
    </row>
    <row r="29" ht="23" customHeight="1">
      <c r="A29" s="15"/>
      <c r="B29" s="15"/>
      <c r="C29" s="15"/>
      <c r="D29" s="15"/>
      <c r="E29" s="15"/>
      <c r="F29" s="15"/>
    </row>
  </sheetData>
  <mergeCells>
    <mergeCell ref="A2:F2"/>
    <mergeCell ref="A3:F4"/>
    <mergeCell ref="A27:F27"/>
    <mergeCell ref="A5:F5"/>
  </mergeCells>
  <printOptions headings="0" gridLines="0"/>
  <pageMargins left="0.25" right="0.25" top="0.35" bottom="0.35" header="0.1" footer="0.1"/>
  <pageSetup paperSize="8" orientation="landscape" fitToWidth="1" fitToHeight="0"/>
  <tableParts count="1">
    <tablePart ns1:id="R68bbdce929fe4b1a"/>
  </tableParts>
</worksheet>
</file>