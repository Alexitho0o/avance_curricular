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xl/tables/table31.xml" ContentType="application/vnd.openxmlformats-officedocument.spreadsheetml.table+xml"/>
  <Override PartName="/xl/tables/table19.xml" ContentType="application/vnd.openxmlformats-officedocument.spreadsheetml.table+xml"/>
  <Override PartName="/xl/tables/table8.xml" ContentType="application/vnd.openxmlformats-officedocument.spreadsheetml.table+xml"/>
  <Override PartName="/xl/tables/table18.xml" ContentType="application/vnd.openxmlformats-officedocument.spreadsheetml.table+xml"/>
  <Override PartName="/xl/tables/table33.xml" ContentType="application/vnd.openxmlformats-officedocument.spreadsheetml.table+xml"/>
  <Override PartName="/xl/tables/table24.xml" ContentType="application/vnd.openxmlformats-officedocument.spreadsheetml.table+xml"/>
  <Override PartName="/xl/tables/table6.xml" ContentType="application/vnd.openxmlformats-officedocument.spreadsheetml.table+xml"/>
  <Override PartName="/xl/tables/table26.xml" ContentType="application/vnd.openxmlformats-officedocument.spreadsheetml.table+xml"/>
  <Override PartName="/xl/tables/table4.xml" ContentType="application/vnd.openxmlformats-officedocument.spreadsheetml.table+xml"/>
  <Override PartName="/xl/tables/table17.xml" ContentType="application/vnd.openxmlformats-officedocument.spreadsheetml.table+xml"/>
  <Override PartName="/xl/tables/table28.xml" ContentType="application/vnd.openxmlformats-officedocument.spreadsheetml.table+xml"/>
  <Override PartName="/xl/tables/table3.xml" ContentType="application/vnd.openxmlformats-officedocument.spreadsheetml.table+xml"/>
  <Override PartName="/xl/tables/table9.xml" ContentType="application/vnd.openxmlformats-officedocument.spreadsheetml.table+xml"/>
  <Override PartName="/xl/tables/table22.xml" ContentType="application/vnd.openxmlformats-officedocument.spreadsheetml.table+xml"/>
  <Override PartName="/xl/tables/table20.xml" ContentType="application/vnd.openxmlformats-officedocument.spreadsheetml.table+xml"/>
  <Override PartName="/xl/tables/table25.xml" ContentType="application/vnd.openxmlformats-officedocument.spreadsheetml.table+xml"/>
  <Override PartName="/xl/tables/table21.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16.xml" ContentType="application/vnd.openxmlformats-officedocument.spreadsheetml.table+xml"/>
  <Override PartName="/xl/tables/table30.xml" ContentType="application/vnd.openxmlformats-officedocument.spreadsheetml.table+xml"/>
  <Override PartName="/xl/tables/table7.xml" ContentType="application/vnd.openxmlformats-officedocument.spreadsheetml.table+xml"/>
  <Override PartName="/xl/tables/table13.xml" ContentType="application/vnd.openxmlformats-officedocument.spreadsheetml.table+xml"/>
  <Override PartName="/xl/tables/table2.xml" ContentType="application/vnd.openxmlformats-officedocument.spreadsheetml.table+xml"/>
  <Override PartName="/xl/tables/table29.xml" ContentType="application/vnd.openxmlformats-officedocument.spreadsheetml.table+xml"/>
  <Override PartName="/xl/tables/table15.xml" ContentType="application/vnd.openxmlformats-officedocument.spreadsheetml.table+xml"/>
  <Override PartName="/xl/tables/table14.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32.xml" ContentType="application/vnd.openxmlformats-officedocument.spreadsheetml.table+xml"/>
  <Override PartName="/xl/tables/table27.xml" ContentType="application/vnd.openxmlformats-officedocument.spreadsheetml.table+xml"/>
  <Override PartName="/xl/tables/table23.xml" ContentType="application/vnd.openxmlformats-officedocument.spreadsheetml.table+xml"/>
  <Override PartName="/xl/tables/table1.xml" ContentType="application/vnd.openxmlformats-officedocument.spreadsheetml.table+xml"/>
  <Override PartName="/xl/worksheets/sheet14.xml" ContentType="application/vnd.openxmlformats-officedocument.spreadsheetml.worksheet+xml"/>
  <Override PartName="/xl/worksheets/sheet2.xml" ContentType="application/vnd.openxmlformats-officedocument.spreadsheetml.worksheet+xml"/>
  <Override PartName="/xl/worksheets/sheet25.xml" ContentType="application/vnd.openxmlformats-officedocument.spreadsheetml.worksheet+xml"/>
  <Override PartName="/xl/worksheets/sheet15.xml" ContentType="application/vnd.openxmlformats-officedocument.spreadsheetml.worksheet+xml"/>
  <Override PartName="/xl/worksheets/sheet17.xml" ContentType="application/vnd.openxmlformats-officedocument.spreadsheetml.worksheet+xml"/>
  <Override PartName="/xl/worksheets/sheet26.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1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29.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27.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24.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22.xml" ContentType="application/vnd.openxmlformats-officedocument.spreadsheetml.worksheet+xml"/>
  <Override PartName="/xl/worksheets/sheet28.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4.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2.xml" ContentType="application/vnd.openxmlformats-officedocument.drawing+xml"/>
  <Override PartName="/xl/drawings/drawing14.xml" ContentType="application/vnd.openxmlformats-officedocument.drawing+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chart7.xml" ContentType="application/vnd.openxmlformats-officedocument.drawingml.chart+xml"/>
  <Override PartName="/xl/charts/colors3.xml" ContentType="application/vnd.ms-office.chartcolorstyle+xml"/>
  <Override PartName="/xl/charts/chart2.xml" ContentType="application/vnd.openxmlformats-officedocument.drawingml.chart+xml"/>
  <Override PartName="/xl/charts/chart8.xml" ContentType="application/vnd.openxmlformats-officedocument.drawingml.chart+xml"/>
  <Override PartName="/xl/charts/colors9.xml" ContentType="application/vnd.ms-office.chartcolorstyle+xml"/>
  <Override PartName="/xl/charts/colors1.xml" ContentType="application/vnd.ms-office.chartcolorstyle+xml"/>
  <Override PartName="/xl/charts/colors10.xml" ContentType="application/vnd.ms-office.chartcolorstyle+xml"/>
  <Override PartName="/xl/charts/style4.xml" ContentType="application/vnd.ms-office.chartstyle+xml"/>
  <Override PartName="/xl/charts/colors4.xml" ContentType="application/vnd.ms-office.chartcolorstyle+xml"/>
  <Override PartName="/xl/charts/style3.xml" ContentType="application/vnd.ms-office.chartstyle+xml"/>
  <Override PartName="/xl/charts/style10.xml" ContentType="application/vnd.ms-office.chartstyle+xml"/>
  <Override PartName="/xl/charts/chart4.xml" ContentType="application/vnd.openxmlformats-officedocument.drawingml.chart+xml"/>
  <Override PartName="/xl/charts/style5.xml" ContentType="application/vnd.ms-office.chartstyle+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colors7.xml" ContentType="application/vnd.ms-office.chartcolorstyle+xml"/>
  <Override PartName="/xl/charts/chart11.xml" ContentType="application/vnd.openxmlformats-officedocument.drawingml.chart+xml"/>
  <Override PartName="/xl/charts/style7.xml" ContentType="application/vnd.ms-office.chartstyle+xml"/>
  <Override PartName="/xl/charts/chart6.xml" ContentType="application/vnd.openxmlformats-officedocument.drawingml.chart+xml"/>
  <Override PartName="/xl/charts/style12.xml" ContentType="application/vnd.ms-office.chartstyle+xml"/>
  <Override PartName="/xl/charts/style8.xml" ContentType="application/vnd.ms-office.chartstyle+xml"/>
  <Override PartName="/xl/charts/chart9.xml" ContentType="application/vnd.openxmlformats-officedocument.drawingml.chart+xml"/>
  <Override PartName="/xl/charts/colors8.xml" ContentType="application/vnd.ms-office.chartcolorstyle+xml"/>
  <Override PartName="/xl/charts/colors11.xml" ContentType="application/vnd.ms-office.chartcolorstyle+xml"/>
  <Override PartName="/xl/charts/colors13.xml" ContentType="application/vnd.ms-office.chartcolorstyle+xml"/>
  <Override PartName="/xl/charts/chart10.xml" ContentType="application/vnd.openxmlformats-officedocument.drawingml.chart+xml"/>
  <Override PartName="/xl/charts/style11.xml" ContentType="application/vnd.ms-office.chartstyle+xml"/>
  <Override PartName="/xl/charts/style13.xml" ContentType="application/vnd.ms-office.chartstyle+xml"/>
  <Override PartName="/xl/charts/chart3.xml" ContentType="application/vnd.openxmlformats-officedocument.drawingml.chart+xml"/>
  <Override PartName="/xl/charts/style1.xml" ContentType="application/vnd.ms-office.chartstyle+xml"/>
  <Override PartName="/xl/charts/chart13.xml" ContentType="application/vnd.openxmlformats-officedocument.drawingml.chart+xml"/>
  <Override PartName="/xl/charts/chart12.xml" ContentType="application/vnd.openxmlformats-officedocument.drawingml.chart+xml"/>
  <Override PartName="/xl/charts/colors5.xml" ContentType="application/vnd.ms-office.chartcolorstyle+xml"/>
  <Override PartName="/xl/charts/colors12.xml" ContentType="application/vnd.ms-office.chartcolorstyle+xml"/>
  <Override PartName="/xl/charts/style9.xml" ContentType="application/vnd.ms-office.chart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ables/table34.xml" ContentType="application/vnd.openxmlformats-officedocument.spreadsheetml.table+xml"/>
  <Override PartName="/xl/worksheets/sheet54.xml" ContentType="application/vnd.openxmlformats-officedocument.spreadsheetml.worksheet+xml"/>
  <Override PartName="/xl/tables/table35.xml" ContentType="application/vnd.openxmlformats-officedocument.spreadsheetml.table+xml"/>
  <Override PartName="/xl/worksheets/sheet55.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4"/>
  </bookViews>
  <sheets>
    <sheet name="Portada" sheetId="1" state="visible" r:id="rId3"/>
    <sheet name="1_Que_es_Retencion" sheetId="2" state="visible" r:id="rId4"/>
    <sheet name="2_Origen_Datos" sheetId="3" state="visible" r:id="rId5"/>
    <sheet name="3_Como_se_Cruza" sheetId="4" state="visible" r:id="rId6"/>
    <sheet name="4_Resultados_Sector" sheetId="5" state="visible" r:id="rId7"/>
    <sheet name="5_Evolucion" sheetId="6" state="visible" r:id="rId8"/>
    <sheet name="6_Limitaciones" sheetId="7" state="visible" r:id="rId9"/>
    <sheet name="7_Glosario" sheetId="8" state="visible" r:id="rId10"/>
    <sheet name="8_Mapeo_Sector_IPSS" sheetId="9" state="visible" r:id="rId11"/>
    <sheet name="9_Base_Analitica_Detalle" sheetId="10" state="visible" r:id="rId12"/>
    <sheet name="10_SIES_2025_Granular" sheetId="11" state="visible" r:id="rId13"/>
    <sheet name="11_BASE_RETENCION_MU_RAW" sheetId="12" state="visible" r:id="rId14"/>
    <sheet name="12_Desglose_Jornada_Edad_Sexo" sheetId="13" state="visible" r:id="rId15"/>
    <sheet name="13_Granular_Codigo_Unico" sheetId="14" state="visible" r:id="rId16"/>
    <sheet name="14_Vistas_Ejecutivas" sheetId="15" state="visible" r:id="rId17"/>
    <sheet name="15_Tablas_Ejecutivas" sheetId="16" state="visible" r:id="rId18"/>
    <sheet name="16_Comparacion_Nacional_SIES" sheetId="17" state="visible" r:id="rId19"/>
    <sheet name="17_Fuentes_Comparacion_SIES" sheetId="18" state="visible" r:id="rId20"/>
    <sheet name="18_Foto_Intertrimestral" sheetId="19" state="visible" r:id="rId21"/>
    <sheet name="19_Foto_Carrera" sheetId="20" state="visible" r:id="rId22"/>
    <sheet name="20_Foto_BBDD" sheetId="21" state="visible" r:id="rId23"/>
    <sheet name="21_Foto_Reglas_VIG" sheetId="22" state="visible" r:id="rId24"/>
    <sheet name="22_Foto_DICC_Carrera" sheetId="23" state="visible" r:id="rId25"/>
    <sheet name="23_Foto_Renuncias_T2_2026" sheetId="24" state="visible" r:id="rId26"/>
    <sheet name="24_Foto_Corte_T3_2025" sheetId="25" state="visible" r:id="rId27"/>
    <sheet name="25_Foto_Corte_T3_2026" sheetId="26" state="visible" r:id="rId28"/>
    <sheet name="26_Avance_Curricular_Resumen" sheetId="27" state="visible" r:id="rId29"/>
    <sheet name="27_Guia_Hojas" sheetId="28" state="visible" r:id="rId30"/>
    <sheet name="28_QA_Matematica" sheetId="29" state="visible" r:id="rId31"/>
    <sheet name="29_Actualizacion_Provisional" sheetId="30" r:id="rIdProvisional30"/>
    <sheet name="30_Puente_63_Dimensiones" sheetId="31" r:id="rIdProvisional31"/>
    <sheet name="31_Comparacion_Historica" sheetId="32" r:id="rIdProvisional32"/>
    <sheet name="32_Fuentes_y_Exclusiones" sheetId="33" r:id="rIdProvisional33"/>
    <sheet name="33_Ejecucion_y_Pendientes" sheetId="34" r:id="rIdProvisional34"/>
    <sheet name="34_Contexto_V3" sheetId="35" r:id="rIdProvisional35"/>
    <sheet name="35_Correccion_Metodologica" sheetId="36" r:id="rIdProvisional36"/>
    <sheet name="36_Cobertura_SIES_V5" sheetId="37" r:id="rIdProvisional37"/>
    <sheet name="37_Inventario_Cobertura" sheetId="38" r:id="rIdProvisional38"/>
    <sheet name="38_Contraste_63_V6" sheetId="39" r:id="rIdProvisional39"/>
    <sheet name="39_Dimensiones_Contraste" sheetId="40" r:id="rIdProvisional40"/>
    <sheet name="41_Conciliacion_Individual" sheetId="41" r:id="rIdProvisional41"/>
    <sheet name="42_Casos_Carrera_Ano_Jornada" sheetId="42" r:id="rIdProvisional42"/>
    <sheet name="43_Cruce_Historico_Pendientes" sheetId="43" r:id="rIdProvisional43"/>
    <sheet name="44_Perfiles_Por_Carrera" sheetId="44" r:id="rIdProvisional44"/>
    <sheet name="45_Validacion_Separada" sheetId="45" r:id="rIdProvisional45"/>
    <sheet name="46_Validacion_Por_Carrera" sheetId="46" r:id="rIdProvisional46"/>
    <sheet name="47_Cohorte_Original" sheetId="47" r:id="rIdProvisional47"/>
    <sheet name="48_Prueba_Retrospectiva" sheetId="48" r:id="rIdProvisional48"/>
    <sheet name="49_Reproduccion_V10" sheetId="49" r:id="rIdAudit49"/>
    <sheet name="50_Prueba_Personas" sheetId="50" r:id="rIdAudit50"/>
    <sheet name="51_Evidencias_Releidas" sheetId="51" r:id="rIdAudit51"/>
    <sheet name="52_Codigos_SIES_Revision" sheetId="52" r:id="rIdDictionary52"/>
    <sheet name="53_Codigos_T1_Confirmados" sheetId="53" r:id="rIdDictionary53"/>
    <sheet name="54_Contextos_y_Pendientes" sheetId="54" r:id="rIdDictionary54"/>
    <sheet name="55_Pendientes_entrega" sheetId="55" r:id="rIdEntregaV17"/>
  </sheets>
  <definedNames>
    <definedName function="false" hidden="true" localSheetId="13" name="_xlnm._FilterDatabase" vbProcedure="false">'13_Granular_Codigo_Unico'!$B$7:$L$43</definedName>
    <definedName function="false" hidden="true" localSheetId="16" name="_xlnm._FilterDatabase" vbProcedure="false">'16_Comparacion_Nacional_SIES'!$B$81:$J$104</definedName>
    <definedName function="false" hidden="true" localSheetId="17" name="_xlnm._FilterDatabase" vbProcedure="false">'17_Fuentes_Comparacion_SIES'!$A$157:$I$328</definedName>
    <definedName function="false" hidden="true" localSheetId="19" name="_xlnm._FilterDatabase" vbProcedure="false">'19_Foto_Carrera'!$B$5:$L$110</definedName>
    <definedName function="false" hidden="true" localSheetId="20" name="_xlnm._FilterDatabase" vbProcedure="false">'20_Foto_BBDD'!$B$5:$V$4478</definedName>
    <definedName function="false" hidden="true" localSheetId="24" name="_xlnm._FilterDatabase" vbProcedure="false">'24_Foto_Corte_T3_2025'!$B$5:$R$3086</definedName>
    <definedName function="false" hidden="true" localSheetId="25" name="_xlnm._FilterDatabase" vbProcedure="false">'25_Foto_Corte_T3_2026'!$B$5:$R$15190</definedName>
    <definedName function="false" hidden="true" localSheetId="26" name="_xlnm._FilterDatabase" vbProcedure="false">'26_Avance_Curricular_Resumen'!$A$4:$H$1855</definedName>
    <definedName function="false" hidden="true" localSheetId="27" name="_xlnm._FilterDatabase" vbProcedure="false">'27_Guia_Hojas'!$A$4:$G$32</definedName>
    <definedName function="false" hidden="true" localSheetId="28" name="_xlnm._FilterDatabase" vbProcedure="false">'28_QA_Matematica'!$A$4:$H$16</definedName>
    <definedName function="false" hidden="true" localSheetId="9" name="_xlnm._FilterDatabase" vbProcedure="false">'9_Base_Analitica_Detalle'!$B$6:$X$2385</definedName>
    <definedName function="false" hidden="false" name="Lista_Genericas_IPSS" vbProcedure="false">'16_Comparacion_Nacional_SIES'!$B$45:$B$59</definedName>
    <definedName function="false" hidden="false" name="Lista_IP_SIES" vbProcedure="false">'17_Fuentes_Comparacion_SIES'!$B$8:$B$30</definedName>
    <definedName function="false" hidden="false" name="RET_N1_CAT" vbProcedure="false">OFFSET('14_Vistas_Ejecutivas'!$CN$7,0,0,MAX(1,COUNTIF('14_Vistas_Ejecutivas'!$BR$40:$BR$43,"&gt;0")),1)</definedName>
    <definedName function="false" hidden="false" name="RET_N1_VAL" vbProcedure="false">OFFSET('14_Vistas_Ejecutivas'!$CO$7,0,0,MAX(1,COUNTIF('14_Vistas_Ejecutivas'!$BR$40:$BR$43,"&gt;0")),1)</definedName>
    <definedName function="false" hidden="false" name="RET_N2_CAT" vbProcedure="false">OFFSET('14_Vistas_Ejecutivas'!$CQ$7,0,0,MAX(1,COUNTIF('14_Vistas_Ejecutivas'!$H$7:$H$9,"&gt;0")),1)</definedName>
    <definedName function="false" hidden="false" name="RET_N2_VAL" vbProcedure="false">OFFSET('14_Vistas_Ejecutivas'!$CR$7,0,0,MAX(1,COUNTIF('14_Vistas_Ejecutivas'!$H$7:$H$9,"&gt;0")),1)</definedName>
    <definedName function="false" hidden="false" name="RET_N4_CAT" vbProcedure="false">OFFSET('14_Vistas_Ejecutivas'!$CT$7,0,0,MAX(1,COUNTIF('14_Vistas_Ejecutivas'!$BR$40:$BR$43,"&gt;0")),1)</definedName>
    <definedName function="false" hidden="false" name="RET_N4_DIS" vbProcedure="false">OFFSET('14_Vistas_Ejecutivas'!$CV$7,0,0,MAX(1,COUNTIF('14_Vistas_Ejecutivas'!$BR$40:$BR$43,"&gt;0")),1)</definedName>
    <definedName function="false" hidden="false" name="RET_N4_PRE" vbProcedure="false">OFFSET('14_Vistas_Ejecutivas'!$CU$7,0,0,MAX(1,COUNTIF('14_Vistas_Ejecutivas'!$BR$40:$BR$43,"&gt;0")),1)</definedName>
    <definedName function="false" hidden="false" name="RET_N5_CAT" vbProcedure="false">OFFSET('14_Vistas_Ejecutivas'!$R$7,0,0,MAX(1,COUNTIF('14_Vistas_Ejecutivas'!$T$7:$T$23,"&gt;0")),1)</definedName>
    <definedName function="false" hidden="false" name="RET_N5_VAL" vbProcedure="false">OFFSET('14_Vistas_Ejecutivas'!$V$7,0,0,MAX(1,COUNTIF('14_Vistas_Ejecutivas'!$T$7:$T$23,"&gt;0")),1)</definedName>
    <definedName function="false" hidden="false" name="RET_N6_CAT" vbProcedure="false">OFFSET('14_Vistas_Ejecutivas'!$AY$7,0,0,MAX(1,COUNTIF('14_Vistas_Ejecutivas'!$Z$7:$Z$33,"&gt;0")),1)</definedName>
    <definedName function="false" hidden="false" name="RET_N6_VAL" vbProcedure="false">OFFSET('14_Vistas_Ejecutivas'!$AZ$7,0,0,MAX(1,COUNTIF('14_Vistas_Ejecutivas'!$Z$7:$Z$33,"&gt;0")),1)</definedName>
    <definedName function="false" hidden="false" name="RET_N7E_CAT" vbProcedure="false">OFFSET('14_Vistas_Ejecutivas'!$BH$7,0,0,MAX(1,COUNTIF('14_Vistas_Ejecutivas'!$AO$7:$AO$11,"&gt;0")),1)</definedName>
    <definedName function="false" hidden="false" name="RET_N7E_VAL" vbProcedure="false">OFFSET('14_Vistas_Ejecutivas'!$BI$7,0,0,MAX(1,COUNTIF('14_Vistas_Ejecutivas'!$AO$7:$AO$11,"&gt;0")),1)</definedName>
    <definedName function="false" hidden="false" name="RET_N7J_CAT" vbProcedure="false">OFFSET('14_Vistas_Ejecutivas'!$BB$7,0,0,MAX(1,COUNTIF('14_Vistas_Ejecutivas'!$AE$7:$AE$9,"&gt;0")),1)</definedName>
    <definedName function="false" hidden="false" name="RET_N7J_VAL" vbProcedure="false">OFFSET('14_Vistas_Ejecutivas'!$BC$7,0,0,MAX(1,COUNTIF('14_Vistas_Ejecutivas'!$AE$7:$AE$9,"&gt;0")),1)</definedName>
    <definedName function="false" hidden="false" name="RET_N7S_CAT" vbProcedure="false">OFFSET('14_Vistas_Ejecutivas'!$BE$7,0,0,MAX(1,COUNTIF('14_Vistas_Ejecutivas'!$AJ$7:$AJ$9,"&gt;0")),1)</definedName>
    <definedName function="false" hidden="false" name="RET_N7S_VAL" vbProcedure="false">OFFSET('14_Vistas_Ejecutivas'!$BF$7,0,0,MAX(1,COUNTIF('14_Vistas_Ejecutivas'!$AJ$7:$AJ$9,"&gt;0")),1)</definedName>
  </definedNames>
  <calcPr iterateCount="100" refMode="A1" iterate="false" iterateDelta="0.0001"/>
  <extLst>
    <ext xmlns:loext="http://schemas.libreoffice.org/" uri="{7626C862-2A13-11E5-B345-FEFF819CDC9F}">
      <loext:extCalcPr stringRefSyntax="ExcelA1"/>
    </ext>
  </extLst>
</workbook>
</file>

<file path=xl/styles.xml><?xml version="1.0" encoding="utf-8"?>
<styleSheet xmlns="http://schemas.openxmlformats.org/spreadsheetml/2006/main">
  <numFmts count="31">
    <numFmt numFmtId="164" formatCode="General"/>
    <numFmt numFmtId="165" formatCode="[=1]0%;0.0%"/>
    <numFmt numFmtId="166" formatCode="0.0"/>
    <numFmt numFmtId="167" formatCode="#,##0"/>
    <numFmt numFmtId="168" formatCode="0.00\ %"/>
    <numFmt numFmtId="169" formatCode="0.0%"/>
    <numFmt numFmtId="170" formatCode="0.00&quot; pp&quot;;[RED]\-0.00&quot; pp&quot;"/>
    <numFmt numFmtId="171" formatCode="0"/>
    <numFmt numFmtId="172" formatCode="0.00%"/>
    <numFmt numFmtId="173" formatCode="0.00"/>
    <numFmt numFmtId="174" formatCode="0.0000"/>
    <numFmt numFmtId="175" formatCode="0.00%"/>
    <numFmt numFmtId="176" formatCode="0.00"/>
    <numFmt numFmtId="177" formatCode="0.00%"/>
    <numFmt numFmtId="178" formatCode="0.00"/>
    <numFmt numFmtId="179" formatCode="0.00%"/>
    <numFmt numFmtId="180" formatCode="0.00"/>
    <numFmt numFmtId="181" formatCode="0.00%"/>
    <numFmt numFmtId="182" formatCode="0.00"/>
    <numFmt numFmtId="183" formatCode="0.00%"/>
    <numFmt numFmtId="184" formatCode="0.00"/>
    <numFmt numFmtId="185" formatCode="0.00%"/>
    <numFmt numFmtId="186" formatCode="0.00%"/>
    <numFmt numFmtId="187" formatCode="0.00%"/>
    <numFmt numFmtId="188" formatCode="0.00%"/>
    <numFmt numFmtId="189" formatCode="#,##0;[Red](#,##0);0"/>
    <numFmt numFmtId="190" formatCode="0.00%;[Red](0.00%);0.00%"/>
    <numFmt numFmtId="191" formatCode="0.00&quot; pp&quot;;[Red](0.00&quot; pp&quot;);0.00&quot; pp&quot;"/>
    <numFmt numFmtId="192" formatCode="#,##0"/>
    <numFmt numFmtId="193" formatCode="#,##0"/>
    <numFmt numFmtId="194" formatCode="0.00%"/>
  </numFmts>
  <fonts count="138">
    <font>
      <sz val="11"/>
      <color theme="1"/>
      <name val="Calibri"/>
      <family val="2"/>
      <charset val="1"/>
    </font>
    <font>
      <sz val="10"/>
      <name val="Arial"/>
      <family val="0"/>
    </font>
    <font>
      <sz val="10"/>
      <name val="Arial"/>
      <family val="0"/>
    </font>
    <font>
      <sz val="10"/>
      <name val="Arial"/>
      <family val="0"/>
    </font>
    <font>
      <u val="single"/>
      <sz val="9"/>
      <color rgb="FF0077B6"/>
      <name val="Calibri"/>
      <family val="2"/>
      <charset val="1"/>
    </font>
    <font>
      <b val="true"/>
      <sz val="22"/>
      <color rgb="FF102B42"/>
      <name val="Calibri"/>
      <family val="2"/>
      <charset val="1"/>
    </font>
    <font>
      <sz val="11"/>
      <color rgb="FF000000"/>
      <name val="Calibri"/>
      <family val="2"/>
      <charset val="1"/>
    </font>
    <font>
      <i val="true"/>
      <sz val="13"/>
      <color rgb="FF44546A"/>
      <name val="Calibri"/>
      <family val="2"/>
      <charset val="1"/>
    </font>
    <font>
      <b val="true"/>
      <sz val="10"/>
      <color rgb="FF102B42"/>
      <name val="Cambria"/>
      <family val="1"/>
      <charset val="1"/>
    </font>
    <font>
      <sz val="11"/>
      <color rgb="FF262626"/>
      <name val="Calibri"/>
      <family val="2"/>
      <charset val="1"/>
    </font>
    <font>
      <b val="true"/>
      <sz val="12"/>
      <color rgb="FF102B42"/>
      <name val="Calibri"/>
      <family val="2"/>
      <charset val="1"/>
    </font>
    <font>
      <u val="single"/>
      <sz val="11"/>
      <color rgb="FF0563C1"/>
      <name val="Cambria"/>
      <family val="1"/>
      <charset val="1"/>
    </font>
    <font>
      <i val="true"/>
      <sz val="9"/>
      <color rgb="FF7F7F7F"/>
      <name val="Calibri"/>
      <family val="2"/>
      <charset val="1"/>
    </font>
    <font>
      <b val="true"/>
      <sz val="16"/>
      <color rgb="FFFFFFFF"/>
      <name val="Calibri"/>
      <family val="2"/>
      <charset val="1"/>
    </font>
    <font>
      <i val="true"/>
      <sz val="13"/>
      <color rgb="FF102B42"/>
      <name val="Cambria"/>
      <family val="1"/>
      <charset val="1"/>
    </font>
    <font>
      <b val="true"/>
      <sz val="11"/>
      <color rgb="FFFFFFFF"/>
      <name val="Calibri"/>
      <family val="2"/>
      <charset val="1"/>
    </font>
    <font>
      <b val="true"/>
      <sz val="9"/>
      <color rgb="FFFFFFFF"/>
      <name val="Calibri"/>
      <family val="2"/>
      <charset val="1"/>
    </font>
    <font>
      <sz val="9"/>
      <color rgb="FF3A3A3A"/>
      <name val="Calibri"/>
      <family val="2"/>
      <charset val="1"/>
    </font>
    <font>
      <i val="true"/>
      <sz val="8"/>
      <color rgb="FF3A3A3A"/>
      <name val="Calibri"/>
      <family val="2"/>
      <charset val="1"/>
    </font>
    <font>
      <b val="true"/>
      <sz val="18"/>
      <color rgb="FF000000"/>
      <name val="Calibri"/>
      <family val="2"/>
    </font>
    <font>
      <sz val="10"/>
      <color rgb="FF000000"/>
      <name val="Calibri"/>
      <family val="2"/>
    </font>
    <font>
      <b val="true"/>
      <sz val="10"/>
      <color rgb="FFFFFFFF"/>
      <name val="Calibri"/>
      <family val="2"/>
      <charset val="1"/>
    </font>
    <font>
      <b val="true"/>
      <sz val="10"/>
      <name val="Cambria"/>
      <family val="1"/>
      <charset val="1"/>
    </font>
    <font>
      <b val="true"/>
      <sz val="10"/>
      <color rgb="FFFFFFFF"/>
      <name val="Cambria"/>
      <family val="1"/>
      <charset val="1"/>
    </font>
    <font>
      <u val="single"/>
      <sz val="9"/>
      <color rgb="FF0563C1"/>
      <name val="Cambria"/>
      <family val="1"/>
      <charset val="1"/>
    </font>
    <font>
      <i val="true"/>
      <sz val="9"/>
      <color rgb="FF7F7F7F"/>
      <name val="Cambria"/>
      <family val="1"/>
      <charset val="1"/>
    </font>
    <font>
      <b val="true"/>
      <sz val="14"/>
      <color rgb="FFFFFFFF"/>
      <name val="Cambria"/>
      <family val="1"/>
      <charset val="1"/>
    </font>
    <font>
      <i val="true"/>
      <sz val="9"/>
      <color rgb="FF8B0000"/>
      <name val="Cambria"/>
      <family val="1"/>
      <charset val="1"/>
    </font>
    <font>
      <i val="true"/>
      <sz val="9"/>
      <color rgb="FF808080"/>
      <name val="Calibri"/>
      <family val="2"/>
      <charset val="1"/>
    </font>
    <font>
      <sz val="10"/>
      <color rgb="FF102B42"/>
      <name val="Calibri"/>
      <family val="2"/>
      <charset val="1"/>
    </font>
    <font>
      <b val="true"/>
      <sz val="11"/>
      <name val="Cambria"/>
      <family val="1"/>
      <charset val="1"/>
    </font>
    <font>
      <b val="true"/>
      <sz val="10"/>
      <color rgb="FF102B42"/>
      <name val="Calibri"/>
      <family val="2"/>
      <charset val="1"/>
    </font>
    <font>
      <b val="true"/>
      <sz val="16"/>
      <color rgb="FFFFFFFF"/>
      <name val="Cambria"/>
      <family val="1"/>
      <charset val="1"/>
    </font>
    <font>
      <sz val="9"/>
      <color rgb="FF7F7F7F"/>
      <name val="Cambria"/>
      <family val="1"/>
      <charset val="1"/>
    </font>
    <font>
      <b val="true"/>
      <sz val="12"/>
      <color rgb="FF102B42"/>
      <name val="Cambria"/>
      <family val="1"/>
      <charset val="1"/>
    </font>
    <font>
      <b val="true"/>
      <sz val="11"/>
      <color rgb="FFFFFFFF"/>
      <name val="Cambria"/>
      <family val="1"/>
      <charset val="1"/>
    </font>
    <font>
      <i val="true"/>
      <sz val="11"/>
      <color rgb="FF7F7F7F"/>
      <name val="Cambria"/>
      <family val="1"/>
      <charset val="1"/>
    </font>
    <font>
      <sz val="10"/>
      <color rgb="FF102B42"/>
      <name val="Cambria"/>
      <family val="1"/>
      <charset val="1"/>
    </font>
    <font>
      <b val="true"/>
      <sz val="9"/>
      <color rgb="FF000000"/>
      <name val="Calibri"/>
      <family val="2"/>
      <charset val="1"/>
    </font>
    <font>
      <b val="true"/>
      <sz val="11"/>
      <color rgb="FF000000"/>
      <name val="Calibri"/>
      <family val="2"/>
      <charset val="1"/>
    </font>
    <font>
      <i val="true"/>
      <sz val="7"/>
      <color theme="0"/>
      <name val="Calibri"/>
      <family val="2"/>
      <charset val="1"/>
    </font>
    <font>
      <b val="true"/>
      <sz val="9"/>
      <color rgb="FF3A3A3A"/>
      <name val="Calibri"/>
      <family val="2"/>
      <charset val="1"/>
    </font>
    <font>
      <sz val="8"/>
      <color rgb="FF3A3A3A"/>
      <name val="Calibri"/>
      <family val="2"/>
      <charset val="1"/>
    </font>
    <font>
      <i val="true"/>
      <sz val="10"/>
      <color rgb="FF102B42"/>
      <name val="Calibri"/>
      <family val="2"/>
      <charset val="1"/>
    </font>
    <font>
      <sz val="10"/>
      <color rgb="FF000000"/>
      <name val="Arial"/>
      <family val="2"/>
    </font>
    <font>
      <b val="true"/>
      <sz val="13"/>
      <color rgb="FF102B42"/>
      <name val="Calibri"/>
      <family val="2"/>
      <charset val="1"/>
    </font>
    <font>
      <i val="true"/>
      <sz val="9"/>
      <color rgb="FF3A3A3A"/>
      <name val="Calibri"/>
      <family val="2"/>
      <charset val="1"/>
    </font>
    <font>
      <sz val="10"/>
      <color rgb="FF263746"/>
      <name val="Calibri"/>
      <family val="2"/>
      <charset val="1"/>
    </font>
    <font>
      <b val="true"/>
      <sz val="10"/>
      <color rgb="FF0E4273"/>
      <name val="Calibri"/>
      <family val="2"/>
      <charset val="1"/>
    </font>
    <font>
      <sz val="9"/>
      <color rgb="FF263746"/>
      <name val="Calibri"/>
      <family val="2"/>
      <charset val="1"/>
    </font>
    <font>
      <i val="true"/>
      <sz val="9"/>
      <color rgb="FF263746"/>
      <name val="Calibri"/>
      <family val="2"/>
      <charset val="1"/>
    </font>
    <font>
      <b val="true"/>
      <sz val="10"/>
      <color rgb="FF000000"/>
      <name val="Calibri"/>
      <family val="2"/>
    </font>
    <font>
      <u val="single"/>
      <sz val="9"/>
      <color rgb="FF0077B6"/>
      <name val="Calibri"/>
      <family val="0"/>
      <charset val="1"/>
    </font>
    <font>
      <b val="true"/>
      <sz val="14"/>
      <color rgb="FF102B42"/>
      <name val="Calibri"/>
      <family val="0"/>
      <charset val="1"/>
    </font>
    <font>
      <i val="true"/>
      <sz val="9"/>
      <color rgb="FF595959"/>
      <name val="Calibri"/>
      <family val="0"/>
      <charset val="1"/>
    </font>
    <font>
      <b val="true"/>
      <sz val="11"/>
      <color rgb="FFFFFFFF"/>
      <name val="Calibri"/>
      <family val="0"/>
      <charset val="1"/>
    </font>
    <font>
      <b val="true"/>
      <sz val="9"/>
      <color rgb="FFFFFFFF"/>
      <name val="Calibri"/>
      <family val="0"/>
      <charset val="1"/>
    </font>
    <font>
      <sz val="9"/>
      <color rgb="FF3A3A3A"/>
      <name val="Calibri"/>
      <family val="0"/>
      <charset val="1"/>
    </font>
    <font>
      <b val="true"/>
      <sz val="9"/>
      <color rgb="FF3A3A3A"/>
      <name val="Calibri"/>
      <family val="0"/>
      <charset val="1"/>
    </font>
    <font>
      <b val="true"/>
      <sz val="14"/>
      <color rgb="FFFFFFFF"/>
      <name val="Cambria"/>
      <family val="0"/>
      <charset val="1"/>
    </font>
    <font>
      <b val="true"/>
      <sz val="11"/>
      <color rgb="FFFFFFFF"/>
      <name val="Cambria"/>
      <family val="0"/>
      <charset val="1"/>
    </font>
    <font>
      <sz val="11"/>
      <name val="Carlito"/>
    </font>
    <font>
      <sz val="11"/>
      <name val="Arial"/>
    </font>
    <font>
      <sz val="11"/>
      <color rgb="FFFFFFFF"/>
      <name val="Arial"/>
    </font>
    <font>
      <b/>
      <sz val="11"/>
      <color rgb="FFFFFFFF"/>
      <name val="Arial"/>
    </font>
    <font>
      <b/>
      <sz val="11"/>
      <name val="Arial"/>
    </font>
    <font>
      <sz val="11"/>
      <name val="Carlito"/>
    </font>
    <font>
      <sz val="11"/>
      <name val="Arial"/>
    </font>
    <font>
      <sz val="11"/>
      <color rgb="FFFFFFFF"/>
      <name val="Arial"/>
    </font>
    <font>
      <b/>
      <sz val="11"/>
      <color rgb="FFFFFFFF"/>
      <name val="Arial"/>
    </font>
    <font>
      <b/>
      <sz val="11"/>
      <name val="Arial"/>
    </font>
    <font>
      <sz val="11"/>
      <name val="Carlito"/>
    </font>
    <font>
      <sz val="11"/>
      <name val="Arial"/>
    </font>
    <font>
      <sz val="11"/>
      <color rgb="FFFFFFFF"/>
      <name val="Arial"/>
    </font>
    <font>
      <b/>
      <sz val="11"/>
      <color rgb="FFFFFFFF"/>
      <name val="Arial"/>
    </font>
    <font>
      <b/>
      <sz val="11"/>
      <name val="Arial"/>
    </font>
    <font>
      <sz val="11"/>
      <name val="Carlito"/>
    </font>
    <font>
      <sz val="11"/>
      <name val="Arial"/>
    </font>
    <font>
      <sz val="11"/>
      <color rgb="FFFFFFFF"/>
      <name val="Arial"/>
    </font>
    <font>
      <b/>
      <sz val="11"/>
      <color rgb="FFFFFFFF"/>
      <name val="Arial"/>
    </font>
    <font>
      <b/>
      <sz val="11"/>
      <name val="Arial"/>
    </font>
    <font>
      <sz val="11"/>
      <name val="Carlito"/>
    </font>
    <font>
      <sz val="11"/>
      <name val="Arial"/>
    </font>
    <font>
      <sz val="11"/>
      <color rgb="FFFFFFFF"/>
      <name val="Arial"/>
    </font>
    <font>
      <b/>
      <sz val="11"/>
      <color rgb="FFFFFFFF"/>
      <name val="Arial"/>
    </font>
    <font>
      <b/>
      <sz val="11"/>
      <name val="Arial"/>
    </font>
    <font>
      <sz val="11"/>
      <name val="Carlito"/>
    </font>
    <font>
      <sz val="11"/>
      <name val="Arial"/>
    </font>
    <font>
      <sz val="11"/>
      <color rgb="FFFFFFFF"/>
      <name val="Arial"/>
    </font>
    <font>
      <b/>
      <sz val="11"/>
      <color rgb="FFFFFFFF"/>
      <name val="Arial"/>
    </font>
    <font>
      <b/>
      <sz val="11"/>
      <name val="Arial"/>
    </font>
    <font>
      <sz val="11"/>
      <name val="Carlito"/>
    </font>
    <font>
      <sz val="11"/>
      <name val="Arial"/>
    </font>
    <font>
      <sz val="11"/>
      <color rgb="FFFFFFFF"/>
      <name val="Arial"/>
    </font>
    <font>
      <b/>
      <sz val="11"/>
      <color rgb="FFFFFFFF"/>
      <name val="Arial"/>
    </font>
    <font>
      <b/>
      <sz val="11"/>
      <name val="Arial"/>
    </font>
    <font>
      <sz val="11"/>
      <name val="Carlito"/>
    </font>
    <font>
      <sz val="11"/>
      <name val="Arial"/>
    </font>
    <font>
      <sz val="11"/>
      <color rgb="FFFFFFFF"/>
      <name val="Arial"/>
    </font>
    <font>
      <b/>
      <sz val="11"/>
      <color rgb="FFFFFFFF"/>
      <name val="Arial"/>
    </font>
    <font>
      <b/>
      <sz val="11"/>
      <name val="Arial"/>
    </font>
    <font>
      <sz val="11"/>
      <name val="Carlito"/>
    </font>
    <font>
      <sz val="11"/>
      <name val="Arial"/>
    </font>
    <font>
      <sz val="11"/>
      <color rgb="FFFFFFFF"/>
      <name val="Arial"/>
    </font>
    <font>
      <b/>
      <sz val="11"/>
      <color rgb="FFFFFFFF"/>
      <name val="Arial"/>
    </font>
    <font>
      <b/>
      <sz val="11"/>
      <name val="Arial"/>
    </font>
    <font>
      <sz val="11"/>
      <name val="Carlito"/>
    </font>
    <font>
      <sz val="11"/>
      <name val="Arial"/>
    </font>
    <font>
      <sz val="11"/>
      <color rgb="FFFFFFFF"/>
      <name val="Arial"/>
    </font>
    <font>
      <b/>
      <sz val="11"/>
      <color rgb="FFFFFFFF"/>
      <name val="Arial"/>
    </font>
    <font>
      <b/>
      <sz val="11"/>
      <name val="Arial"/>
    </font>
    <font>
      <sz val="11"/>
      <name val="Carlito"/>
    </font>
    <font>
      <sz val="11"/>
      <name val="Arial"/>
    </font>
    <font>
      <sz val="11"/>
      <color rgb="FF3A3A3A"/>
      <name val="Arial"/>
    </font>
    <font>
      <sz val="11"/>
      <color rgb="FFFFFFFF"/>
      <name val="Arial"/>
    </font>
    <font>
      <b/>
      <sz val="11"/>
      <color rgb="FFFFFFFF"/>
      <name val="Arial"/>
    </font>
    <font>
      <sz val="11"/>
      <name val="Carlito"/>
    </font>
    <font>
      <sz val="11"/>
      <name val="Arial"/>
    </font>
    <font>
      <sz val="10"/>
      <name val="Arial"/>
    </font>
    <font>
      <sz val="10"/>
      <color rgb="FF263B49"/>
      <name val="Arial"/>
    </font>
    <font>
      <sz val="11"/>
      <color rgb="FFFFFFFF"/>
      <name val="Carlito"/>
    </font>
    <font>
      <b/>
      <sz val="11"/>
      <color rgb="FFFFFFFF"/>
      <name val="Carlito"/>
    </font>
    <font>
      <b/>
      <sz val="12"/>
      <color rgb="FFFFFFFF"/>
      <name val="Carlito"/>
    </font>
    <font>
      <sz val="10"/>
      <color rgb="FFFFFFFF"/>
      <name val="Arial"/>
    </font>
    <font>
      <b/>
      <sz val="10"/>
      <color rgb="FFFFFFFF"/>
      <name val="Arial"/>
    </font>
    <font>
      <b/>
      <sz val="10"/>
      <color rgb="FF263B49"/>
      <name val="Arial"/>
    </font>
    <font>
      <sz val="11"/>
      <name val="Carlito"/>
    </font>
    <font>
      <sz val="11"/>
      <name val="Arial"/>
    </font>
    <font>
      <sz val="10"/>
      <name val="Arial"/>
    </font>
    <font>
      <sz val="10"/>
      <color rgb="FF263B49"/>
      <name val="Arial"/>
    </font>
    <font>
      <sz val="10"/>
      <color rgb="FFFFFFFF"/>
      <name val="Arial"/>
    </font>
    <font>
      <b/>
      <sz val="10"/>
      <color rgb="FFFFFFFF"/>
      <name val="Arial"/>
    </font>
    <font>
      <b/>
      <sz val="12"/>
      <color rgb="FFFFFFFF"/>
      <name val="Arial"/>
    </font>
    <font>
      <sz val="11"/>
      <name val="Carlito"/>
    </font>
    <font>
      <sz val="11"/>
      <name val="Calibri"/>
    </font>
    <font>
      <sz val="11"/>
      <color rgb="FFFFFFFF"/>
      <name val="Calibri"/>
    </font>
    <font>
      <sz val="16"/>
      <color rgb="FFFFFFFF"/>
      <name val="Calibri"/>
    </font>
    <font>
      <b/>
      <sz val="11"/>
      <color rgb="FFFFFFFF"/>
      <name val="Calibri"/>
    </font>
  </fonts>
  <fills count="84">
    <fill>
      <patternFill patternType="none"/>
    </fill>
    <fill>
      <patternFill patternType="gray125"/>
    </fill>
    <fill>
      <patternFill patternType="solid">
        <fgColor rgb="FFF2F2F2"/>
        <bgColor rgb="FFF3F5F7"/>
      </patternFill>
    </fill>
    <fill>
      <patternFill patternType="solid">
        <fgColor rgb="FF102B42"/>
        <bgColor rgb="FF123B5D"/>
      </patternFill>
    </fill>
    <fill>
      <patternFill patternType="solid">
        <fgColor rgb="FF0E4273"/>
        <bgColor rgb="FF123B5D"/>
      </patternFill>
    </fill>
    <fill>
      <patternFill patternType="solid">
        <fgColor rgb="FFFFFFFF"/>
        <bgColor rgb="FFF3F5F7"/>
      </patternFill>
    </fill>
    <fill>
      <patternFill patternType="solid">
        <fgColor rgb="FF44546A"/>
        <bgColor rgb="FF595959"/>
      </patternFill>
    </fill>
    <fill>
      <patternFill patternType="solid">
        <fgColor rgb="FF028090"/>
        <bgColor rgb="FF0077B6"/>
      </patternFill>
    </fill>
    <fill>
      <patternFill patternType="solid">
        <fgColor rgb="FFB85042"/>
        <bgColor rgb="FFFF6600"/>
      </patternFill>
    </fill>
    <fill>
      <patternFill patternType="solid">
        <fgColor rgb="FFFDEAEA"/>
        <bgColor rgb="FFF2F2F2"/>
      </patternFill>
    </fill>
    <fill>
      <patternFill patternType="solid">
        <fgColor rgb="FF8B0000"/>
        <bgColor rgb="FF9C0006"/>
      </patternFill>
    </fill>
    <fill>
      <patternFill patternType="solid">
        <fgColor rgb="FFCADCFC"/>
        <bgColor rgb="FFD5DEE8"/>
      </patternFill>
    </fill>
    <fill>
      <patternFill patternType="solid">
        <fgColor rgb="FFF9A826"/>
        <bgColor rgb="FFD9A441"/>
      </patternFill>
    </fill>
    <fill>
      <patternFill patternType="solid">
        <fgColor rgb="FFEAF1F7"/>
        <bgColor rgb="FFF2F2F2"/>
      </patternFill>
    </fill>
    <fill>
      <patternFill patternType="solid">
        <fgColor rgb="FFF3F5F7"/>
        <bgColor rgb="FFF2F2F2"/>
      </patternFill>
    </fill>
    <fill>
      <patternFill patternType="solid">
        <fgColor rgb="FFE2EFDA"/>
        <bgColor rgb="FFEAF1F7"/>
      </patternFill>
    </fill>
    <fill>
      <patternFill patternType="solid">
        <fgColor rgb="FF123B5D"/>
        <bgColor rgb="FF0E4273"/>
      </patternFill>
    </fill>
    <fill>
      <patternFill patternType="solid">
        <fgColor rgb="FF1F4E78"/>
        <bgColor rgb="FF0E4273"/>
      </patternFill>
    </fill>
    <fill>
      <patternFill patternType="solid">
        <fgColor rgb="FFFFF2CC"/>
        <bgColor rgb="FFFDEAEA"/>
      </patternFill>
    </fill>
    <fill>
      <patternFill patternType="none"/>
    </fill>
    <fill>
      <patternFill patternType="gray125"/>
    </fill>
    <fill>
      <patternFill patternType="solid">
        <fgColor rgb="FF17365D"/>
      </patternFill>
    </fill>
    <fill>
      <patternFill patternType="solid">
        <fgColor rgb="FFDCE6F1"/>
      </patternFill>
    </fill>
    <fill>
      <patternFill patternType="none"/>
    </fill>
    <fill>
      <patternFill patternType="gray125"/>
    </fill>
    <fill>
      <patternFill patternType="solid">
        <fgColor rgb="FF17365D"/>
      </patternFill>
    </fill>
    <fill>
      <patternFill patternType="solid">
        <fgColor rgb="FFDCE6F1"/>
      </patternFill>
    </fill>
    <fill>
      <patternFill patternType="none"/>
    </fill>
    <fill>
      <patternFill patternType="gray125"/>
    </fill>
    <fill>
      <patternFill patternType="solid">
        <fgColor rgb="FF17365D"/>
      </patternFill>
    </fill>
    <fill>
      <patternFill patternType="solid">
        <fgColor rgb="FFDCE6F1"/>
      </patternFill>
    </fill>
    <fill>
      <patternFill patternType="none"/>
    </fill>
    <fill>
      <patternFill patternType="gray125"/>
    </fill>
    <fill>
      <patternFill patternType="solid">
        <fgColor rgb="FF17365D"/>
      </patternFill>
    </fill>
    <fill>
      <patternFill patternType="solid">
        <fgColor rgb="FFDCE6F1"/>
      </patternFill>
    </fill>
    <fill>
      <patternFill patternType="none"/>
    </fill>
    <fill>
      <patternFill patternType="gray125"/>
    </fill>
    <fill>
      <patternFill patternType="solid">
        <fgColor rgb="FF17365D"/>
      </patternFill>
    </fill>
    <fill>
      <patternFill patternType="solid">
        <fgColor rgb="FFDCE6F1"/>
      </patternFill>
    </fill>
    <fill>
      <patternFill patternType="none"/>
    </fill>
    <fill>
      <patternFill patternType="gray125"/>
    </fill>
    <fill>
      <patternFill patternType="solid">
        <fgColor rgb="FF17365D"/>
      </patternFill>
    </fill>
    <fill>
      <patternFill patternType="solid">
        <fgColor rgb="FFDCE6F1"/>
      </patternFill>
    </fill>
    <fill>
      <patternFill patternType="none"/>
    </fill>
    <fill>
      <patternFill patternType="gray125"/>
    </fill>
    <fill>
      <patternFill patternType="solid">
        <fgColor rgb="FF17365D"/>
      </patternFill>
    </fill>
    <fill>
      <patternFill patternType="solid">
        <fgColor rgb="FFDCE6F1"/>
      </patternFill>
    </fill>
    <fill>
      <patternFill patternType="none"/>
    </fill>
    <fill>
      <patternFill patternType="gray125"/>
    </fill>
    <fill>
      <patternFill patternType="solid">
        <fgColor rgb="FF17365D"/>
      </patternFill>
    </fill>
    <fill>
      <patternFill patternType="solid">
        <fgColor rgb="FFDCE6F1"/>
      </patternFill>
    </fill>
    <fill>
      <patternFill patternType="none"/>
    </fill>
    <fill>
      <patternFill patternType="gray125"/>
    </fill>
    <fill>
      <patternFill patternType="solid">
        <fgColor rgb="FF17365D"/>
      </patternFill>
    </fill>
    <fill>
      <patternFill patternType="solid">
        <fgColor rgb="FFDCE6F1"/>
      </patternFill>
    </fill>
    <fill>
      <patternFill patternType="none"/>
    </fill>
    <fill>
      <patternFill patternType="gray125"/>
    </fill>
    <fill>
      <patternFill patternType="solid">
        <fgColor rgb="FF17365D"/>
      </patternFill>
    </fill>
    <fill>
      <patternFill patternType="solid">
        <fgColor rgb="FFDCE6F1"/>
      </patternFill>
    </fill>
    <fill>
      <patternFill patternType="none"/>
    </fill>
    <fill>
      <patternFill patternType="gray125"/>
    </fill>
    <fill>
      <patternFill patternType="solid">
        <fgColor rgb="FF102B42"/>
      </patternFill>
    </fill>
    <fill>
      <patternFill patternType="solid">
        <fgColor rgb="FFF2F2F2"/>
      </patternFill>
    </fill>
    <fill>
      <patternFill patternType="solid">
        <fgColor rgb="FFCFB47C"/>
      </patternFill>
    </fill>
    <fill>
      <patternFill patternType="solid">
        <fgColor rgb="FF0E4273"/>
      </patternFill>
    </fill>
    <fill>
      <patternFill patternType="none"/>
    </fill>
    <fill>
      <patternFill patternType="gray125"/>
    </fill>
    <fill>
      <patternFill patternType="solid">
        <fgColor rgb="FF102B42"/>
      </patternFill>
    </fill>
    <fill>
      <patternFill patternType="solid">
        <fgColor rgb="FF174977"/>
      </patternFill>
    </fill>
    <fill>
      <patternFill patternType="solid">
        <fgColor rgb="FFFFF2CC"/>
      </patternFill>
    </fill>
    <fill>
      <patternFill patternType="solid">
        <fgColor rgb="FFDDEBF7"/>
      </patternFill>
    </fill>
    <fill>
      <patternFill patternType="solid">
        <fgColor rgb="FFF2F2F2"/>
      </patternFill>
    </fill>
    <fill>
      <patternFill patternType="none"/>
    </fill>
    <fill>
      <patternFill patternType="gray125"/>
    </fill>
    <fill>
      <patternFill patternType="solid">
        <fgColor rgb="FF102B42"/>
      </patternFill>
    </fill>
    <fill>
      <patternFill patternType="solid">
        <fgColor rgb="FF174977"/>
      </patternFill>
    </fill>
    <fill>
      <patternFill patternType="solid">
        <fgColor rgb="FFFFF2CC"/>
      </patternFill>
    </fill>
    <fill>
      <patternFill patternType="solid">
        <fgColor rgb="FFDDEBF7"/>
      </patternFill>
    </fill>
    <fill>
      <patternFill patternType="solid">
        <fgColor rgb="FFF2F2F2"/>
      </patternFill>
    </fill>
    <fill>
      <patternFill patternType="none"/>
    </fill>
    <fill>
      <patternFill patternType="gray125"/>
    </fill>
    <fill>
      <patternFill patternType="solid">
        <fgColor rgb="FF123047"/>
      </patternFill>
    </fill>
    <fill>
      <patternFill patternType="solid">
        <fgColor rgb="FF164875"/>
      </patternFill>
    </fill>
    <fill>
      <patternFill patternType="solid">
        <fgColor rgb="FFEEF2F5"/>
      </patternFill>
    </fill>
  </fills>
  <borders count="20">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D9D9D9"/>
      </right>
      <top/>
      <bottom style="thin">
        <color rgb="FFD9D9D9"/>
      </bottom>
      <diagonal/>
    </border>
    <border diagonalUp="false" diagonalDown="false">
      <left/>
      <right/>
      <top/>
      <bottom style="thin">
        <color rgb="FFD5DEE8"/>
      </bottom>
      <diagonal/>
    </border>
    <border diagonalUp="false" diagonalDown="false">
      <left style="thin">
        <color rgb="FFD9DEE4"/>
      </left>
      <right style="thin">
        <color rgb="FFD9DEE4"/>
      </right>
      <top style="thin">
        <color rgb="FFD9DEE4"/>
      </top>
      <bottom style="thin">
        <color rgb="FFD9DEE4"/>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0" fontId="133" fillId="79" borderId="19"/>
  </cellStyleXfs>
  <cellXfs count="3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general" vertical="top" textRotation="0" wrapText="true" indent="0" shrinkToFit="false"/>
      <protection locked="true" hidden="false"/>
    </xf>
    <xf numFmtId="164" fontId="13" fillId="3" borderId="0" xfId="0" applyFont="true" applyBorder="false" applyAlignment="true" applyProtection="false">
      <alignment horizontal="left" vertical="center" textRotation="0" wrapText="false" indent="1"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2" fillId="2"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15" fillId="3" borderId="0"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center" vertical="center" textRotation="0" wrapText="false" indent="0" shrinkToFit="false"/>
      <protection locked="true" hidden="false"/>
    </xf>
    <xf numFmtId="165" fontId="17" fillId="5" borderId="1" xfId="0" applyFont="true" applyBorder="true" applyAlignment="true" applyProtection="false">
      <alignment horizontal="center" vertical="center" textRotation="0" wrapText="false" indent="0" shrinkToFit="false"/>
      <protection locked="true" hidden="false"/>
    </xf>
    <xf numFmtId="166" fontId="17" fillId="5" borderId="1" xfId="0" applyFont="true" applyBorder="true" applyAlignment="true" applyProtection="false">
      <alignment horizontal="center" vertical="center" textRotation="0" wrapText="false" indent="0" shrinkToFit="false"/>
      <protection locked="true" hidden="false"/>
    </xf>
    <xf numFmtId="164" fontId="17" fillId="2" borderId="1" xfId="0" applyFont="true" applyBorder="true" applyAlignment="true" applyProtection="false">
      <alignment horizontal="center" vertical="center" textRotation="0" wrapText="false" indent="0" shrinkToFit="false"/>
      <protection locked="true" hidden="false"/>
    </xf>
    <xf numFmtId="165" fontId="17" fillId="2" borderId="1" xfId="0" applyFont="true" applyBorder="true" applyAlignment="true" applyProtection="false">
      <alignment horizontal="center" vertical="center" textRotation="0" wrapText="false" indent="0" shrinkToFit="false"/>
      <protection locked="true" hidden="false"/>
    </xf>
    <xf numFmtId="166" fontId="17" fillId="2"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7" fontId="17" fillId="5" borderId="1" xfId="0" applyFont="true" applyBorder="true" applyAlignment="true" applyProtection="false">
      <alignment horizontal="center" vertical="center" textRotation="0" wrapText="false" indent="0" shrinkToFit="false"/>
      <protection locked="true" hidden="false"/>
    </xf>
    <xf numFmtId="167" fontId="17" fillId="2" borderId="1" xfId="0" applyFont="true" applyBorder="true" applyAlignment="true" applyProtection="false">
      <alignment horizontal="center" vertical="center" textRotation="0" wrapText="false" indent="0" shrinkToFit="false"/>
      <protection locked="true" hidden="false"/>
    </xf>
    <xf numFmtId="164" fontId="21" fillId="6" borderId="2" xfId="0" applyFont="true" applyBorder="true" applyAlignment="true" applyProtection="false">
      <alignment horizontal="center" vertical="center" textRotation="0" wrapText="true" indent="0" shrinkToFit="false"/>
      <protection locked="true" hidden="false"/>
    </xf>
    <xf numFmtId="164" fontId="22"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4" fontId="23" fillId="7" borderId="2"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24" fillId="0" borderId="2" xfId="0" applyFont="true" applyBorder="true" applyAlignment="true" applyProtection="false">
      <alignment horizontal="general" vertical="bottom" textRotation="0" wrapText="false" indent="0" shrinkToFit="false"/>
      <protection locked="true" hidden="false"/>
    </xf>
    <xf numFmtId="164" fontId="23" fillId="3" borderId="2" xfId="0" applyFont="true" applyBorder="true" applyAlignment="true" applyProtection="false">
      <alignment horizontal="center" vertical="bottom" textRotation="0" wrapText="false" indent="0" shrinkToFit="false"/>
      <protection locked="true" hidden="false"/>
    </xf>
    <xf numFmtId="164" fontId="23" fillId="8" borderId="2" xfId="0" applyFont="true" applyBorder="true" applyAlignment="true" applyProtection="false">
      <alignment horizontal="center"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true" indent="0" shrinkToFit="false"/>
      <protection locked="true" hidden="false"/>
    </xf>
    <xf numFmtId="164" fontId="12" fillId="9" borderId="0" xfId="0" applyFont="true" applyBorder="true" applyAlignment="true" applyProtection="false">
      <alignment horizontal="general" vertical="top" textRotation="0" wrapText="true" indent="0" shrinkToFit="false"/>
      <protection locked="true" hidden="false"/>
    </xf>
    <xf numFmtId="164" fontId="21" fillId="10" borderId="0" xfId="0" applyFont="true" applyBorder="false" applyAlignment="true" applyProtection="false">
      <alignment horizontal="center" vertical="center" textRotation="0" wrapText="true" indent="0" shrinkToFit="false"/>
      <protection locked="true" hidden="false"/>
    </xf>
    <xf numFmtId="164" fontId="23" fillId="10"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26" fillId="10" borderId="0" xfId="0" applyFont="true" applyBorder="true" applyAlignment="true" applyProtection="false">
      <alignment horizontal="general" vertical="bottom" textRotation="0" wrapText="false" indent="0" shrinkToFit="false"/>
      <protection locked="true" hidden="false"/>
    </xf>
    <xf numFmtId="164" fontId="0" fillId="10" borderId="0" xfId="0" applyFont="false" applyBorder="fals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center" vertical="center" textRotation="0" wrapText="false" indent="0" shrinkToFit="false"/>
      <protection locked="true" hidden="false"/>
    </xf>
    <xf numFmtId="164" fontId="27" fillId="0" borderId="0" xfId="0" applyFont="true" applyBorder="true" applyAlignment="true" applyProtection="false">
      <alignment horizontal="general" vertical="top" textRotation="0" wrapText="true" indent="0" shrinkToFit="false"/>
      <protection locked="true" hidden="false"/>
    </xf>
    <xf numFmtId="164" fontId="21" fillId="3" borderId="0" xfId="0" applyFont="true" applyBorder="false" applyAlignment="true" applyProtection="false">
      <alignment horizontal="left" vertical="center" textRotation="0" wrapText="false" indent="1"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11" borderId="1" xfId="0" applyFont="true" applyBorder="true" applyAlignment="true" applyProtection="false">
      <alignment horizontal="left" vertical="center" textRotation="0" wrapText="false" indent="1" shrinkToFit="false"/>
      <protection locked="true" hidden="false"/>
    </xf>
    <xf numFmtId="164" fontId="21" fillId="6"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12" borderId="1" xfId="0" applyFont="true" applyBorder="true" applyAlignment="true" applyProtection="false">
      <alignment horizontal="left" vertical="center" textRotation="0" wrapText="false" indent="1" shrinkToFit="false"/>
      <protection locked="true" hidden="false"/>
    </xf>
    <xf numFmtId="164" fontId="32" fillId="3" borderId="0" xfId="0" applyFont="true" applyBorder="true" applyAlignment="true" applyProtection="false">
      <alignment horizontal="left" vertical="center" textRotation="0" wrapText="false" indent="1" shrinkToFit="false"/>
      <protection locked="true" hidden="false"/>
    </xf>
    <xf numFmtId="164" fontId="33" fillId="2" borderId="0" xfId="0" applyFont="true" applyBorder="true" applyAlignment="true" applyProtection="false">
      <alignment horizontal="general" vertical="bottom" textRotation="0" wrapText="tru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23" fillId="6" borderId="0" xfId="0" applyFont="true" applyBorder="false" applyAlignment="true" applyProtection="false">
      <alignment horizontal="center" vertical="center" textRotation="0" wrapText="tru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4" fontId="33" fillId="2" borderId="0" xfId="0" applyFont="true" applyBorder="true" applyAlignment="true" applyProtection="false">
      <alignment horizontal="general" vertical="top" textRotation="0" wrapText="tru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5" fillId="6" borderId="0" xfId="0" applyFont="true" applyBorder="false" applyAlignment="true" applyProtection="false">
      <alignment horizontal="center" vertical="center" textRotation="0" wrapText="tru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33" fillId="2" borderId="0" xfId="0" applyFont="true" applyBorder="false" applyAlignment="true" applyProtection="false">
      <alignment horizontal="general" vertical="top" textRotation="0" wrapText="true" indent="0" shrinkToFit="false"/>
      <protection locked="true" hidden="false"/>
    </xf>
    <xf numFmtId="164" fontId="37" fillId="2" borderId="0" xfId="0" applyFont="true" applyBorder="true" applyAlignment="true" applyProtection="false">
      <alignment horizontal="general" vertical="top" textRotation="0" wrapText="true" indent="0" shrinkToFit="false"/>
      <protection locked="true" hidden="false"/>
    </xf>
    <xf numFmtId="164" fontId="33" fillId="2" borderId="3" xfId="0" applyFont="true" applyBorder="true" applyAlignment="true" applyProtection="false">
      <alignment horizontal="general" vertical="top" textRotation="0" wrapText="true" indent="0" shrinkToFit="false"/>
      <protection locked="true" hidden="false"/>
    </xf>
    <xf numFmtId="164" fontId="21" fillId="3" borderId="0" xfId="0" applyFont="true" applyBorder="true" applyAlignment="true" applyProtection="false">
      <alignment horizontal="center" vertical="center" textRotation="0" wrapText="tru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center" textRotation="0" wrapText="false" indent="0" shrinkToFit="false"/>
      <protection locked="true" hidden="false"/>
    </xf>
    <xf numFmtId="167" fontId="17" fillId="5" borderId="0" xfId="0" applyFont="true" applyBorder="false" applyAlignment="true" applyProtection="false">
      <alignment horizontal="center" vertical="center" textRotation="0" wrapText="false" indent="0" shrinkToFit="false"/>
      <protection locked="true" hidden="false"/>
    </xf>
    <xf numFmtId="165" fontId="17" fillId="5" borderId="0" xfId="0" applyFont="true" applyBorder="false" applyAlignment="true" applyProtection="false">
      <alignment horizontal="center" vertical="center"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5" fontId="17" fillId="5" borderId="1" xfId="0" applyFont="true" applyBorder="true" applyAlignment="true" applyProtection="false">
      <alignment horizontal="center" vertical="center" textRotation="0" wrapText="tru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5" fontId="17" fillId="2" borderId="1" xfId="0" applyFont="true" applyBorder="true" applyAlignment="true" applyProtection="false">
      <alignment horizontal="center" vertical="center" textRotation="0" wrapText="true" indent="0" shrinkToFit="false"/>
      <protection locked="true" hidden="false"/>
    </xf>
    <xf numFmtId="164" fontId="41" fillId="0" borderId="0" xfId="0" applyFont="true" applyBorder="true" applyAlignment="true" applyProtection="false">
      <alignment horizontal="left" vertical="center" textRotation="0" wrapText="true" indent="0" shrinkToFit="false"/>
      <protection locked="true" hidden="false"/>
    </xf>
    <xf numFmtId="164" fontId="42" fillId="0" borderId="0" xfId="0" applyFont="true" applyBorder="true" applyAlignment="true" applyProtection="false">
      <alignment horizontal="left" vertical="top" textRotation="0" wrapText="true" indent="0" shrinkToFit="false"/>
      <protection locked="true" hidden="false"/>
    </xf>
    <xf numFmtId="164" fontId="43" fillId="0" borderId="0" xfId="0" applyFont="true" applyBorder="true" applyAlignment="true" applyProtection="false">
      <alignment horizontal="left" vertical="top" textRotation="0" wrapText="tru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true" applyAlignment="true" applyProtection="false">
      <alignment horizontal="center" vertical="top" textRotation="0" wrapText="true" indent="0" shrinkToFit="false"/>
      <protection locked="true" hidden="false"/>
    </xf>
    <xf numFmtId="164" fontId="21" fillId="3" borderId="1" xfId="0" applyFont="true" applyBorder="true" applyAlignment="true" applyProtection="false">
      <alignment horizontal="center" vertical="center" textRotation="0" wrapText="true" indent="0" shrinkToFit="false"/>
      <protection locked="true" hidden="false"/>
    </xf>
    <xf numFmtId="164" fontId="15" fillId="3" borderId="0" xfId="0" applyFont="true" applyBorder="true" applyAlignment="true" applyProtection="false">
      <alignment horizontal="general" vertical="center" textRotation="0" wrapText="false" indent="0" shrinkToFit="false"/>
      <protection locked="true" hidden="false"/>
    </xf>
    <xf numFmtId="164" fontId="47" fillId="0" borderId="0" xfId="0" applyFont="true" applyBorder="true" applyAlignment="true" applyProtection="false">
      <alignment horizontal="general" vertical="center" textRotation="0" wrapText="tru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0" fillId="13" borderId="0" xfId="0" applyFont="true" applyBorder="fals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16" fillId="4" borderId="4" xfId="0" applyFont="true" applyBorder="true" applyAlignment="true" applyProtection="false">
      <alignment horizontal="general" vertical="center" textRotation="0" wrapText="true" indent="0" shrinkToFit="false"/>
      <protection locked="true" hidden="false"/>
    </xf>
    <xf numFmtId="164" fontId="49" fillId="14" borderId="4" xfId="0" applyFont="true" applyBorder="true" applyAlignment="true" applyProtection="false">
      <alignment horizontal="general" vertical="center" textRotation="0" wrapText="false" indent="0" shrinkToFit="false"/>
      <protection locked="true" hidden="false"/>
    </xf>
    <xf numFmtId="169" fontId="49" fillId="14" borderId="4" xfId="0" applyFont="true" applyBorder="true" applyAlignment="true" applyProtection="false">
      <alignment horizontal="general" vertical="center" textRotation="0" wrapText="false" indent="0" shrinkToFit="false"/>
      <protection locked="true" hidden="false"/>
    </xf>
    <xf numFmtId="170" fontId="49" fillId="14" borderId="4" xfId="0" applyFont="true" applyBorder="true" applyAlignment="true" applyProtection="false">
      <alignment horizontal="general" vertical="center" textRotation="0" wrapText="false" indent="0" shrinkToFit="false"/>
      <protection locked="true" hidden="false"/>
    </xf>
    <xf numFmtId="164" fontId="49" fillId="5" borderId="4" xfId="0" applyFont="true" applyBorder="true" applyAlignment="true" applyProtection="false">
      <alignment horizontal="general" vertical="center" textRotation="0" wrapText="false" indent="0" shrinkToFit="false"/>
      <protection locked="true" hidden="false"/>
    </xf>
    <xf numFmtId="169" fontId="49" fillId="5" borderId="4" xfId="0" applyFont="true" applyBorder="true" applyAlignment="true" applyProtection="false">
      <alignment horizontal="general" vertical="center" textRotation="0" wrapText="false" indent="0" shrinkToFit="false"/>
      <protection locked="true" hidden="false"/>
    </xf>
    <xf numFmtId="170" fontId="49" fillId="5" borderId="4"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0" fillId="13" borderId="0" xfId="0" applyFont="true" applyBorder="true" applyAlignment="true" applyProtection="false">
      <alignment horizontal="general" vertical="top" textRotation="0" wrapText="true" indent="0" shrinkToFit="false"/>
      <protection locked="true" hidden="false"/>
    </xf>
    <xf numFmtId="164" fontId="50" fillId="0" borderId="0" xfId="0" applyFont="true" applyBorder="true" applyAlignment="true" applyProtection="false">
      <alignment horizontal="general" vertical="bottom" textRotation="0" wrapText="false" indent="0" shrinkToFit="false"/>
      <protection locked="true" hidden="false"/>
    </xf>
    <xf numFmtId="164" fontId="49" fillId="14" borderId="4" xfId="0" applyFont="true" applyBorder="true" applyAlignment="true" applyProtection="false">
      <alignment horizontal="general" vertical="center" textRotation="0" wrapText="true" indent="0" shrinkToFit="false"/>
      <protection locked="true" hidden="false"/>
    </xf>
    <xf numFmtId="164" fontId="49" fillId="5" borderId="4" xfId="0" applyFont="true" applyBorder="true" applyAlignment="true" applyProtection="false">
      <alignment horizontal="general" vertical="center" textRotation="0" wrapText="tru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64" fontId="55" fillId="3" borderId="0" xfId="0" applyFont="true" applyBorder="false" applyAlignment="true" applyProtection="false">
      <alignment horizontal="general" vertical="bottom" textRotation="0" wrapText="false" indent="0" shrinkToFit="false"/>
      <protection locked="true" hidden="false"/>
    </xf>
    <xf numFmtId="164" fontId="56" fillId="4" borderId="5" xfId="0" applyFont="true" applyBorder="true" applyAlignment="true" applyProtection="false">
      <alignment horizontal="center" vertical="center" textRotation="0" wrapText="true" indent="0" shrinkToFit="false"/>
      <protection locked="true" hidden="false"/>
    </xf>
    <xf numFmtId="171" fontId="57" fillId="0" borderId="5" xfId="0" applyFont="true" applyBorder="true" applyAlignment="true" applyProtection="false">
      <alignment horizontal="center" vertical="center" textRotation="0" wrapText="false" indent="0" shrinkToFit="false"/>
      <protection locked="true" hidden="false"/>
    </xf>
    <xf numFmtId="164" fontId="57" fillId="0" borderId="5" xfId="0" applyFont="true" applyBorder="true" applyAlignment="true" applyProtection="false">
      <alignment horizontal="left" vertical="center" textRotation="0" wrapText="true" indent="0" shrinkToFit="false"/>
      <protection locked="true" hidden="false"/>
    </xf>
    <xf numFmtId="167" fontId="57" fillId="0" borderId="5" xfId="0" applyFont="true" applyBorder="true" applyAlignment="true" applyProtection="false">
      <alignment horizontal="center" vertical="center" textRotation="0" wrapText="false" indent="0" shrinkToFit="false"/>
      <protection locked="true" hidden="false"/>
    </xf>
    <xf numFmtId="168" fontId="57" fillId="0" borderId="5" xfId="0" applyFont="true" applyBorder="true" applyAlignment="true" applyProtection="false">
      <alignment horizontal="center" vertical="center" textRotation="0" wrapText="false" indent="0" shrinkToFit="false"/>
      <protection locked="true" hidden="false"/>
    </xf>
    <xf numFmtId="169" fontId="57" fillId="0" borderId="5" xfId="0" applyFont="true" applyBorder="true" applyAlignment="true" applyProtection="false">
      <alignment horizontal="center" vertical="center" textRotation="0" wrapText="false" indent="0" shrinkToFit="false"/>
      <protection locked="true" hidden="false"/>
    </xf>
    <xf numFmtId="171" fontId="58" fillId="15" borderId="5" xfId="0" applyFont="true" applyBorder="true" applyAlignment="true" applyProtection="false">
      <alignment horizontal="center" vertical="center" textRotation="0" wrapText="false" indent="0" shrinkToFit="false"/>
      <protection locked="true" hidden="false"/>
    </xf>
    <xf numFmtId="164" fontId="58" fillId="15" borderId="5" xfId="0" applyFont="true" applyBorder="true" applyAlignment="true" applyProtection="false">
      <alignment horizontal="left" vertical="center" textRotation="0" wrapText="true" indent="0" shrinkToFit="false"/>
      <protection locked="true" hidden="false"/>
    </xf>
    <xf numFmtId="167" fontId="58" fillId="15" borderId="5" xfId="0" applyFont="true" applyBorder="true" applyAlignment="true" applyProtection="false">
      <alignment horizontal="center" vertical="center" textRotation="0" wrapText="false" indent="0" shrinkToFit="false"/>
      <protection locked="true" hidden="false"/>
    </xf>
    <xf numFmtId="169" fontId="58" fillId="15" borderId="5" xfId="0" applyFont="true" applyBorder="true" applyAlignment="true" applyProtection="false">
      <alignment horizontal="center" vertical="center" textRotation="0" wrapText="false" indent="0" shrinkToFit="false"/>
      <protection locked="true" hidden="false"/>
    </xf>
    <xf numFmtId="164" fontId="58" fillId="0" borderId="0" xfId="0" applyFont="true" applyBorder="true" applyAlignment="true" applyProtection="false">
      <alignment horizontal="general" vertical="top" textRotation="0" wrapText="true" indent="0" shrinkToFit="false"/>
      <protection locked="true" hidden="false"/>
    </xf>
    <xf numFmtId="164" fontId="5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7" fontId="57" fillId="0" borderId="5" xfId="0" applyFont="true" applyBorder="true" applyAlignment="true" applyProtection="false">
      <alignment horizontal="center" vertical="bottom" textRotation="0" wrapText="false" indent="0" shrinkToFit="false"/>
      <protection locked="true" hidden="false"/>
    </xf>
    <xf numFmtId="169" fontId="57" fillId="0" borderId="5" xfId="0" applyFont="true" applyBorder="true" applyAlignment="true" applyProtection="false">
      <alignment horizontal="center" vertical="bottom" textRotation="0" wrapText="false" indent="0" shrinkToFit="false"/>
      <protection locked="true" hidden="false"/>
    </xf>
    <xf numFmtId="164" fontId="57" fillId="0" borderId="5" xfId="0" applyFont="true" applyBorder="true" applyAlignment="true" applyProtection="false">
      <alignment horizontal="general" vertical="bottom" textRotation="0" wrapText="false" indent="0" shrinkToFit="false"/>
      <protection locked="true" hidden="false"/>
    </xf>
    <xf numFmtId="171" fontId="57" fillId="0" borderId="0" xfId="0" applyFont="tru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64" fontId="57" fillId="0" borderId="5" xfId="0" applyFont="true" applyBorder="true" applyAlignment="true" applyProtection="false">
      <alignment horizontal="center" vertical="center" textRotation="0" wrapText="false" indent="0" shrinkToFit="false"/>
      <protection locked="true" hidden="false"/>
    </xf>
    <xf numFmtId="164" fontId="58" fillId="0" borderId="5" xfId="0" applyFont="true" applyBorder="true" applyAlignment="true" applyProtection="false">
      <alignment horizontal="left" vertical="center" textRotation="0" wrapText="true" indent="0" shrinkToFit="false"/>
      <protection locked="true" hidden="false"/>
    </xf>
    <xf numFmtId="167" fontId="58" fillId="0" borderId="5" xfId="0" applyFont="true" applyBorder="true" applyAlignment="true" applyProtection="false">
      <alignment horizontal="center" vertical="center" textRotation="0" wrapText="false" indent="0" shrinkToFit="false"/>
      <protection locked="true" hidden="false"/>
    </xf>
    <xf numFmtId="164" fontId="59" fillId="16" borderId="0" xfId="0" applyFont="true" applyBorder="true" applyAlignment="true" applyProtection="false">
      <alignment horizontal="general" vertical="bottom" textRotation="0" wrapText="false" indent="0" shrinkToFit="false"/>
      <protection locked="true" hidden="false"/>
    </xf>
    <xf numFmtId="164" fontId="60" fillId="17" borderId="0" xfId="0" applyFont="true" applyBorder="false" applyAlignment="true" applyProtection="false">
      <alignment horizontal="general" vertical="bottom" textRotation="0" wrapText="false" indent="0" shrinkToFit="false"/>
      <protection locked="true" hidden="false"/>
    </xf>
    <xf numFmtId="164" fontId="60" fillId="16" borderId="0" xfId="0" applyFont="true" applyBorder="true" applyAlignment="true" applyProtection="false">
      <alignment horizontal="general" vertical="bottom" textRotation="0" wrapText="false" indent="0" shrinkToFit="false"/>
      <protection locked="true" hidden="false"/>
    </xf>
    <xf numFmtId="168" fontId="0" fillId="18"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0" fontId="61" fillId="19" borderId="6" xfId="0"/>
    <xf numFmtId="0" fontId="61" fillId="19" borderId="6" xfId="0" applyNumberFormat="1" applyFont="1" applyFill="1" applyBorder="1" applyAlignment="1">
      <alignment wrapText="1"/>
    </xf>
    <xf numFmtId="0" fontId="62" fillId="19" borderId="6" xfId="0" applyNumberFormat="1" applyFont="1" applyFill="1" applyBorder="1" applyAlignment="1">
      <alignment wrapText="1"/>
    </xf>
    <xf numFmtId="0" fontId="62" fillId="21" borderId="6" xfId="0" applyNumberFormat="1" applyFont="1" applyFill="1" applyBorder="1" applyAlignment="1">
      <alignment wrapText="1"/>
    </xf>
    <xf numFmtId="0" fontId="63" fillId="21" borderId="6" xfId="0" applyNumberFormat="1" applyFont="1" applyFill="1" applyBorder="1" applyAlignment="1">
      <alignment wrapText="1"/>
    </xf>
    <xf numFmtId="0" fontId="64" fillId="21" borderId="6" xfId="0" applyNumberFormat="1" applyFont="1" applyFill="1" applyBorder="1" applyAlignment="1">
      <alignment wrapText="1"/>
    </xf>
    <xf numFmtId="0" fontId="62" fillId="22" borderId="6" xfId="0" applyNumberFormat="1" applyFont="1" applyFill="1" applyBorder="1" applyAlignment="1">
      <alignment wrapText="1"/>
    </xf>
    <xf numFmtId="0" fontId="65" fillId="22" borderId="6" xfId="0" applyNumberFormat="1" applyFont="1" applyFill="1" applyBorder="1" applyAlignment="1">
      <alignment wrapText="1"/>
    </xf>
    <xf numFmtId="0" fontId="65" fillId="19" borderId="6" xfId="0" applyNumberFormat="1" applyFont="1" applyFill="1" applyBorder="1" applyAlignment="1">
      <alignment wrapText="1"/>
    </xf>
    <xf numFmtId="172" fontId="62" fillId="19" borderId="6" xfId="0" applyNumberFormat="1" applyFont="1" applyFill="1" applyBorder="1" applyAlignment="1">
      <alignment wrapText="1"/>
    </xf>
    <xf numFmtId="173" fontId="62" fillId="19" borderId="6" xfId="0" applyNumberFormat="1" applyFont="1" applyFill="1" applyBorder="1" applyAlignment="1">
      <alignment wrapText="1"/>
    </xf>
    <xf numFmtId="174" fontId="62" fillId="19" borderId="6" xfId="0" applyNumberFormat="1" applyFont="1" applyFill="1" applyBorder="1" applyAlignment="1">
      <alignment wrapText="1"/>
    </xf>
    <xf numFmtId="0" fontId="66" fillId="23" borderId="7" xfId="0"/>
    <xf numFmtId="0" fontId="66" fillId="23" borderId="7" xfId="0" applyNumberFormat="1" applyFont="1" applyFill="1" applyBorder="1" applyAlignment="1">
      <alignment wrapText="1"/>
    </xf>
    <xf numFmtId="0" fontId="67" fillId="23" borderId="7" xfId="0" applyNumberFormat="1" applyFont="1" applyFill="1" applyBorder="1" applyAlignment="1">
      <alignment wrapText="1"/>
    </xf>
    <xf numFmtId="0" fontId="67" fillId="25" borderId="7" xfId="0" applyNumberFormat="1" applyFont="1" applyFill="1" applyBorder="1" applyAlignment="1">
      <alignment wrapText="1"/>
    </xf>
    <xf numFmtId="0" fontId="68" fillId="25" borderId="7" xfId="0" applyNumberFormat="1" applyFont="1" applyFill="1" applyBorder="1" applyAlignment="1">
      <alignment wrapText="1"/>
    </xf>
    <xf numFmtId="0" fontId="69" fillId="25" borderId="7" xfId="0" applyNumberFormat="1" applyFont="1" applyFill="1" applyBorder="1" applyAlignment="1">
      <alignment wrapText="1"/>
    </xf>
    <xf numFmtId="0" fontId="67" fillId="26" borderId="7" xfId="0" applyNumberFormat="1" applyFont="1" applyFill="1" applyBorder="1" applyAlignment="1">
      <alignment wrapText="1"/>
    </xf>
    <xf numFmtId="0" fontId="70" fillId="26" borderId="7" xfId="0" applyNumberFormat="1" applyFont="1" applyFill="1" applyBorder="1" applyAlignment="1">
      <alignment wrapText="1"/>
    </xf>
    <xf numFmtId="0" fontId="70" fillId="23" borderId="7" xfId="0" applyNumberFormat="1" applyFont="1" applyFill="1" applyBorder="1" applyAlignment="1">
      <alignment wrapText="1"/>
    </xf>
    <xf numFmtId="175" fontId="67" fillId="23" borderId="7" xfId="0" applyNumberFormat="1" applyFont="1" applyFill="1" applyBorder="1" applyAlignment="1">
      <alignment wrapText="1"/>
    </xf>
    <xf numFmtId="176" fontId="67" fillId="23" borderId="7" xfId="0" applyNumberFormat="1" applyFont="1" applyFill="1" applyBorder="1" applyAlignment="1">
      <alignment wrapText="1"/>
    </xf>
    <xf numFmtId="0" fontId="71" fillId="27" borderId="8" xfId="0"/>
    <xf numFmtId="0" fontId="71" fillId="27" borderId="8" xfId="0" applyNumberFormat="1" applyFont="1" applyFill="1" applyBorder="1" applyAlignment="1">
      <alignment wrapText="1"/>
    </xf>
    <xf numFmtId="0" fontId="72" fillId="27" borderId="8" xfId="0" applyNumberFormat="1" applyFont="1" applyFill="1" applyBorder="1" applyAlignment="1">
      <alignment wrapText="1"/>
    </xf>
    <xf numFmtId="0" fontId="72" fillId="29" borderId="8" xfId="0" applyNumberFormat="1" applyFont="1" applyFill="1" applyBorder="1" applyAlignment="1">
      <alignment wrapText="1"/>
    </xf>
    <xf numFmtId="0" fontId="73" fillId="29" borderId="8" xfId="0" applyNumberFormat="1" applyFont="1" applyFill="1" applyBorder="1" applyAlignment="1">
      <alignment wrapText="1"/>
    </xf>
    <xf numFmtId="0" fontId="74" fillId="29" borderId="8" xfId="0" applyNumberFormat="1" applyFont="1" applyFill="1" applyBorder="1" applyAlignment="1">
      <alignment wrapText="1"/>
    </xf>
    <xf numFmtId="0" fontId="72" fillId="30" borderId="8" xfId="0" applyNumberFormat="1" applyFont="1" applyFill="1" applyBorder="1" applyAlignment="1">
      <alignment wrapText="1"/>
    </xf>
    <xf numFmtId="0" fontId="75" fillId="30" borderId="8" xfId="0" applyNumberFormat="1" applyFont="1" applyFill="1" applyBorder="1" applyAlignment="1">
      <alignment wrapText="1"/>
    </xf>
    <xf numFmtId="0" fontId="75" fillId="27" borderId="8" xfId="0" applyNumberFormat="1" applyFont="1" applyFill="1" applyBorder="1" applyAlignment="1">
      <alignment wrapText="1"/>
    </xf>
    <xf numFmtId="177" fontId="72" fillId="27" borderId="8" xfId="0" applyNumberFormat="1" applyFont="1" applyFill="1" applyBorder="1" applyAlignment="1">
      <alignment wrapText="1"/>
    </xf>
    <xf numFmtId="178" fontId="72" fillId="27" borderId="8" xfId="0" applyNumberFormat="1" applyFont="1" applyFill="1" applyBorder="1" applyAlignment="1">
      <alignment wrapText="1"/>
    </xf>
    <xf numFmtId="0" fontId="76" fillId="31" borderId="9" xfId="0"/>
    <xf numFmtId="0" fontId="76" fillId="31" borderId="9" xfId="0" applyNumberFormat="1" applyFont="1" applyFill="1" applyBorder="1" applyAlignment="1">
      <alignment wrapText="1"/>
    </xf>
    <xf numFmtId="0" fontId="77" fillId="31" borderId="9" xfId="0" applyNumberFormat="1" applyFont="1" applyFill="1" applyBorder="1" applyAlignment="1">
      <alignment wrapText="1"/>
    </xf>
    <xf numFmtId="0" fontId="77" fillId="33" borderId="9" xfId="0" applyNumberFormat="1" applyFont="1" applyFill="1" applyBorder="1" applyAlignment="1">
      <alignment wrapText="1"/>
    </xf>
    <xf numFmtId="0" fontId="78" fillId="33" borderId="9" xfId="0" applyNumberFormat="1" applyFont="1" applyFill="1" applyBorder="1" applyAlignment="1">
      <alignment wrapText="1"/>
    </xf>
    <xf numFmtId="0" fontId="79" fillId="33" borderId="9" xfId="0" applyNumberFormat="1" applyFont="1" applyFill="1" applyBorder="1" applyAlignment="1">
      <alignment wrapText="1"/>
    </xf>
    <xf numFmtId="0" fontId="77" fillId="34" borderId="9" xfId="0" applyNumberFormat="1" applyFont="1" applyFill="1" applyBorder="1" applyAlignment="1">
      <alignment wrapText="1"/>
    </xf>
    <xf numFmtId="0" fontId="80" fillId="34" borderId="9" xfId="0" applyNumberFormat="1" applyFont="1" applyFill="1" applyBorder="1" applyAlignment="1">
      <alignment wrapText="1"/>
    </xf>
    <xf numFmtId="0" fontId="80" fillId="31" borderId="9" xfId="0" applyNumberFormat="1" applyFont="1" applyFill="1" applyBorder="1" applyAlignment="1">
      <alignment wrapText="1"/>
    </xf>
    <xf numFmtId="179" fontId="77" fillId="31" borderId="9" xfId="0" applyNumberFormat="1" applyFont="1" applyFill="1" applyBorder="1" applyAlignment="1">
      <alignment wrapText="1"/>
    </xf>
    <xf numFmtId="180" fontId="77" fillId="31" borderId="9" xfId="0" applyNumberFormat="1" applyFont="1" applyFill="1" applyBorder="1" applyAlignment="1">
      <alignment wrapText="1"/>
    </xf>
    <xf numFmtId="0" fontId="81" fillId="35" borderId="10" xfId="0"/>
    <xf numFmtId="0" fontId="81" fillId="35" borderId="10" xfId="0" applyNumberFormat="1" applyFont="1" applyFill="1" applyBorder="1" applyAlignment="1">
      <alignment wrapText="1"/>
    </xf>
    <xf numFmtId="0" fontId="82" fillId="35" borderId="10" xfId="0" applyNumberFormat="1" applyFont="1" applyFill="1" applyBorder="1" applyAlignment="1">
      <alignment wrapText="1"/>
    </xf>
    <xf numFmtId="0" fontId="82" fillId="37" borderId="10" xfId="0" applyNumberFormat="1" applyFont="1" applyFill="1" applyBorder="1" applyAlignment="1">
      <alignment wrapText="1"/>
    </xf>
    <xf numFmtId="0" fontId="83" fillId="37" borderId="10" xfId="0" applyNumberFormat="1" applyFont="1" applyFill="1" applyBorder="1" applyAlignment="1">
      <alignment wrapText="1"/>
    </xf>
    <xf numFmtId="0" fontId="84" fillId="37" borderId="10" xfId="0" applyNumberFormat="1" applyFont="1" applyFill="1" applyBorder="1" applyAlignment="1">
      <alignment wrapText="1"/>
    </xf>
    <xf numFmtId="0" fontId="82" fillId="38" borderId="10" xfId="0" applyNumberFormat="1" applyFont="1" applyFill="1" applyBorder="1" applyAlignment="1">
      <alignment wrapText="1"/>
    </xf>
    <xf numFmtId="0" fontId="85" fillId="38" borderId="10" xfId="0" applyNumberFormat="1" applyFont="1" applyFill="1" applyBorder="1" applyAlignment="1">
      <alignment wrapText="1"/>
    </xf>
    <xf numFmtId="0" fontId="85" fillId="35" borderId="10" xfId="0" applyNumberFormat="1" applyFont="1" applyFill="1" applyBorder="1" applyAlignment="1">
      <alignment wrapText="1"/>
    </xf>
    <xf numFmtId="181" fontId="82" fillId="35" borderId="10" xfId="0" applyNumberFormat="1" applyFont="1" applyFill="1" applyBorder="1" applyAlignment="1">
      <alignment wrapText="1"/>
    </xf>
    <xf numFmtId="182" fontId="82" fillId="35" borderId="10" xfId="0" applyNumberFormat="1" applyFont="1" applyFill="1" applyBorder="1" applyAlignment="1">
      <alignment wrapText="1"/>
    </xf>
    <xf numFmtId="0" fontId="86" fillId="39" borderId="11" xfId="0"/>
    <xf numFmtId="0" fontId="86" fillId="39" borderId="11" xfId="0" applyNumberFormat="1" applyFont="1" applyFill="1" applyBorder="1" applyAlignment="1">
      <alignment wrapText="1"/>
    </xf>
    <xf numFmtId="0" fontId="87" fillId="39" borderId="11" xfId="0" applyNumberFormat="1" applyFont="1" applyFill="1" applyBorder="1" applyAlignment="1">
      <alignment wrapText="1"/>
    </xf>
    <xf numFmtId="0" fontId="87" fillId="41" borderId="11" xfId="0" applyNumberFormat="1" applyFont="1" applyFill="1" applyBorder="1" applyAlignment="1">
      <alignment wrapText="1"/>
    </xf>
    <xf numFmtId="0" fontId="88" fillId="41" borderId="11" xfId="0" applyNumberFormat="1" applyFont="1" applyFill="1" applyBorder="1" applyAlignment="1">
      <alignment wrapText="1"/>
    </xf>
    <xf numFmtId="0" fontId="89" fillId="41" borderId="11" xfId="0" applyNumberFormat="1" applyFont="1" applyFill="1" applyBorder="1" applyAlignment="1">
      <alignment wrapText="1"/>
    </xf>
    <xf numFmtId="0" fontId="87" fillId="42" borderId="11" xfId="0" applyNumberFormat="1" applyFont="1" applyFill="1" applyBorder="1" applyAlignment="1">
      <alignment wrapText="1"/>
    </xf>
    <xf numFmtId="0" fontId="90" fillId="42" borderId="11" xfId="0" applyNumberFormat="1" applyFont="1" applyFill="1" applyBorder="1" applyAlignment="1">
      <alignment wrapText="1"/>
    </xf>
    <xf numFmtId="0" fontId="90" fillId="39" borderId="11" xfId="0" applyNumberFormat="1" applyFont="1" applyFill="1" applyBorder="1" applyAlignment="1">
      <alignment wrapText="1"/>
    </xf>
    <xf numFmtId="183" fontId="87" fillId="39" borderId="11" xfId="0" applyNumberFormat="1" applyFont="1" applyFill="1" applyBorder="1" applyAlignment="1">
      <alignment wrapText="1"/>
    </xf>
    <xf numFmtId="184" fontId="87" fillId="39" borderId="11" xfId="0" applyNumberFormat="1" applyFont="1" applyFill="1" applyBorder="1" applyAlignment="1">
      <alignment wrapText="1"/>
    </xf>
    <xf xmlns:ns1="http://schemas.microsoft.com/office/spreadsheetml/2022/featurepropertybag" numFmtId="0" fontId="86" fillId="39" borderId="11" xfId="0"/>
    <xf xmlns:ns1="http://schemas.microsoft.com/office/spreadsheetml/2022/featurepropertybag" numFmtId="0" fontId="86" fillId="39" borderId="11" xfId="0" applyNumberFormat="1" applyFont="1" applyFill="1" applyBorder="1" applyAlignment="1">
      <alignment wrapText="1"/>
    </xf>
    <xf xmlns:ns1="http://schemas.microsoft.com/office/spreadsheetml/2022/featurepropertybag" numFmtId="0" fontId="87" fillId="39" borderId="11" xfId="0" applyNumberFormat="1" applyFont="1" applyFill="1" applyBorder="1" applyAlignment="1">
      <alignment wrapText="1"/>
    </xf>
    <xf numFmtId="0" fontId="91" fillId="43" borderId="12" xfId="0"/>
    <xf numFmtId="0" fontId="91" fillId="43" borderId="12" xfId="0" applyNumberFormat="1" applyFont="1" applyFill="1" applyBorder="1" applyAlignment="1">
      <alignment wrapText="1"/>
    </xf>
    <xf numFmtId="0" fontId="92" fillId="43" borderId="12" xfId="0" applyNumberFormat="1" applyFont="1" applyFill="1" applyBorder="1" applyAlignment="1">
      <alignment wrapText="1"/>
    </xf>
    <xf numFmtId="0" fontId="92" fillId="45" borderId="12" xfId="0" applyNumberFormat="1" applyFont="1" applyFill="1" applyBorder="1" applyAlignment="1">
      <alignment wrapText="1"/>
    </xf>
    <xf numFmtId="0" fontId="93" fillId="45" borderId="12" xfId="0" applyNumberFormat="1" applyFont="1" applyFill="1" applyBorder="1" applyAlignment="1">
      <alignment wrapText="1"/>
    </xf>
    <xf numFmtId="0" fontId="94" fillId="45" borderId="12" xfId="0" applyNumberFormat="1" applyFont="1" applyFill="1" applyBorder="1" applyAlignment="1">
      <alignment wrapText="1"/>
    </xf>
    <xf numFmtId="0" fontId="92" fillId="46" borderId="12" xfId="0" applyNumberFormat="1" applyFont="1" applyFill="1" applyBorder="1" applyAlignment="1">
      <alignment wrapText="1"/>
    </xf>
    <xf numFmtId="0" fontId="95" fillId="46" borderId="12" xfId="0" applyNumberFormat="1" applyFont="1" applyFill="1" applyBorder="1" applyAlignment="1">
      <alignment wrapText="1"/>
    </xf>
    <xf numFmtId="185" fontId="92" fillId="43" borderId="12" xfId="0" applyNumberFormat="1" applyFont="1" applyFill="1" applyBorder="1" applyAlignment="1">
      <alignment wrapText="1"/>
    </xf>
    <xf numFmtId="0" fontId="96" fillId="47" borderId="13" xfId="0"/>
    <xf numFmtId="0" fontId="96" fillId="47" borderId="13" xfId="0" applyNumberFormat="1" applyFont="1" applyFill="1" applyBorder="1" applyAlignment="1">
      <alignment wrapText="1"/>
    </xf>
    <xf numFmtId="0" fontId="97" fillId="47" borderId="13" xfId="0" applyNumberFormat="1" applyFont="1" applyFill="1" applyBorder="1" applyAlignment="1">
      <alignment wrapText="1"/>
    </xf>
    <xf numFmtId="0" fontId="97" fillId="49" borderId="13" xfId="0" applyNumberFormat="1" applyFont="1" applyFill="1" applyBorder="1" applyAlignment="1">
      <alignment wrapText="1"/>
    </xf>
    <xf numFmtId="0" fontId="98" fillId="49" borderId="13" xfId="0" applyNumberFormat="1" applyFont="1" applyFill="1" applyBorder="1" applyAlignment="1">
      <alignment wrapText="1"/>
    </xf>
    <xf numFmtId="0" fontId="99" fillId="49" borderId="13" xfId="0" applyNumberFormat="1" applyFont="1" applyFill="1" applyBorder="1" applyAlignment="1">
      <alignment wrapText="1"/>
    </xf>
    <xf numFmtId="0" fontId="97" fillId="50" borderId="13" xfId="0" applyNumberFormat="1" applyFont="1" applyFill="1" applyBorder="1" applyAlignment="1">
      <alignment wrapText="1"/>
    </xf>
    <xf numFmtId="0" fontId="100" fillId="50" borderId="13" xfId="0" applyNumberFormat="1" applyFont="1" applyFill="1" applyBorder="1" applyAlignment="1">
      <alignment wrapText="1"/>
    </xf>
    <xf numFmtId="186" fontId="97" fillId="47" borderId="13" xfId="0" applyNumberFormat="1" applyFont="1" applyFill="1" applyBorder="1" applyAlignment="1">
      <alignment wrapText="1"/>
    </xf>
    <xf numFmtId="0" fontId="101" fillId="51" borderId="14" xfId="0"/>
    <xf numFmtId="0" fontId="101" fillId="51" borderId="14" xfId="0" applyNumberFormat="1" applyFont="1" applyFill="1" applyBorder="1" applyAlignment="1">
      <alignment wrapText="1"/>
    </xf>
    <xf numFmtId="0" fontId="102" fillId="51" borderId="14" xfId="0" applyNumberFormat="1" applyFont="1" applyFill="1" applyBorder="1" applyAlignment="1">
      <alignment wrapText="1"/>
    </xf>
    <xf numFmtId="0" fontId="102" fillId="53" borderId="14" xfId="0" applyNumberFormat="1" applyFont="1" applyFill="1" applyBorder="1" applyAlignment="1">
      <alignment wrapText="1"/>
    </xf>
    <xf numFmtId="0" fontId="103" fillId="53" borderId="14" xfId="0" applyNumberFormat="1" applyFont="1" applyFill="1" applyBorder="1" applyAlignment="1">
      <alignment wrapText="1"/>
    </xf>
    <xf numFmtId="0" fontId="104" fillId="53" borderId="14" xfId="0" applyNumberFormat="1" applyFont="1" applyFill="1" applyBorder="1" applyAlignment="1">
      <alignment wrapText="1"/>
    </xf>
    <xf numFmtId="0" fontId="102" fillId="54" borderId="14" xfId="0" applyNumberFormat="1" applyFont="1" applyFill="1" applyBorder="1" applyAlignment="1">
      <alignment wrapText="1"/>
    </xf>
    <xf numFmtId="0" fontId="105" fillId="54" borderId="14" xfId="0" applyNumberFormat="1" applyFont="1" applyFill="1" applyBorder="1" applyAlignment="1">
      <alignment wrapText="1"/>
    </xf>
    <xf numFmtId="187" fontId="102" fillId="51" borderId="14" xfId="0" applyNumberFormat="1" applyFont="1" applyFill="1" applyBorder="1" applyAlignment="1">
      <alignment wrapText="1"/>
    </xf>
    <xf numFmtId="0" fontId="106" fillId="55" borderId="15" xfId="0"/>
    <xf numFmtId="0" fontId="106" fillId="55" borderId="15" xfId="0" applyNumberFormat="1" applyFont="1" applyFill="1" applyBorder="1" applyAlignment="1">
      <alignment wrapText="1"/>
    </xf>
    <xf numFmtId="0" fontId="107" fillId="55" borderId="15" xfId="0" applyNumberFormat="1" applyFont="1" applyFill="1" applyBorder="1" applyAlignment="1">
      <alignment wrapText="1"/>
    </xf>
    <xf numFmtId="0" fontId="107" fillId="57" borderId="15" xfId="0" applyNumberFormat="1" applyFont="1" applyFill="1" applyBorder="1" applyAlignment="1">
      <alignment wrapText="1"/>
    </xf>
    <xf numFmtId="0" fontId="108" fillId="57" borderId="15" xfId="0" applyNumberFormat="1" applyFont="1" applyFill="1" applyBorder="1" applyAlignment="1">
      <alignment wrapText="1"/>
    </xf>
    <xf numFmtId="0" fontId="109" fillId="57" borderId="15" xfId="0" applyNumberFormat="1" applyFont="1" applyFill="1" applyBorder="1" applyAlignment="1">
      <alignment wrapText="1"/>
    </xf>
    <xf numFmtId="0" fontId="107" fillId="58" borderId="15" xfId="0" applyNumberFormat="1" applyFont="1" applyFill="1" applyBorder="1" applyAlignment="1">
      <alignment wrapText="1"/>
    </xf>
    <xf numFmtId="0" fontId="110" fillId="58" borderId="15" xfId="0" applyNumberFormat="1" applyFont="1" applyFill="1" applyBorder="1" applyAlignment="1">
      <alignment wrapText="1"/>
    </xf>
    <xf numFmtId="188" fontId="107" fillId="55" borderId="15" xfId="0" applyNumberFormat="1" applyFont="1" applyFill="1" applyBorder="1" applyAlignment="1">
      <alignment wrapText="1"/>
    </xf>
    <xf numFmtId="0" fontId="111" fillId="59" borderId="16" xfId="0"/>
    <xf numFmtId="0" fontId="112" fillId="59" borderId="16" xfId="0" applyNumberFormat="1" applyFont="1" applyFill="1" applyBorder="1"/>
    <xf numFmtId="0" fontId="113" fillId="59" borderId="16" xfId="0" applyNumberFormat="1" applyFont="1" applyFill="1" applyBorder="1"/>
    <xf numFmtId="0" fontId="113" fillId="59" borderId="16" xfId="0" applyNumberFormat="1" applyFont="1" applyFill="1" applyBorder="1" applyAlignment="1">
      <alignment wrapText="1"/>
    </xf>
    <xf numFmtId="0" fontId="113" fillId="61" borderId="16" xfId="0" applyNumberFormat="1" applyFont="1" applyFill="1" applyBorder="1" applyAlignment="1">
      <alignment wrapText="1"/>
    </xf>
    <xf numFmtId="0" fontId="114" fillId="61" borderId="16" xfId="0" applyNumberFormat="1" applyFont="1" applyFill="1" applyBorder="1" applyAlignment="1">
      <alignment wrapText="1"/>
    </xf>
    <xf numFmtId="0" fontId="115" fillId="61" borderId="16" xfId="0" applyNumberFormat="1" applyFont="1" applyFill="1" applyBorder="1" applyAlignment="1">
      <alignment wrapText="1"/>
    </xf>
    <xf numFmtId="0" fontId="113" fillId="62" borderId="16" xfId="0" applyNumberFormat="1" applyFont="1" applyFill="1" applyBorder="1" applyAlignment="1">
      <alignment wrapText="1"/>
    </xf>
    <xf numFmtId="189" fontId="113" fillId="59" borderId="16" xfId="0" applyNumberFormat="1" applyFont="1" applyFill="1" applyBorder="1" applyAlignment="1">
      <alignment wrapText="1"/>
    </xf>
    <xf numFmtId="189" fontId="113" fillId="62" borderId="16" xfId="0" applyNumberFormat="1" applyFont="1" applyFill="1" applyBorder="1" applyAlignment="1">
      <alignment wrapText="1"/>
    </xf>
    <xf numFmtId="190" fontId="113" fillId="62" borderId="16" xfId="0" applyNumberFormat="1" applyFont="1" applyFill="1" applyBorder="1" applyAlignment="1">
      <alignment wrapText="1"/>
    </xf>
    <xf numFmtId="191" fontId="113" fillId="62" borderId="16" xfId="0" applyNumberFormat="1" applyFont="1" applyFill="1" applyBorder="1" applyAlignment="1">
      <alignment wrapText="1"/>
    </xf>
    <xf numFmtId="190" fontId="113" fillId="59" borderId="16" xfId="0" applyNumberFormat="1" applyFont="1" applyFill="1" applyBorder="1" applyAlignment="1">
      <alignment wrapText="1"/>
    </xf>
    <xf numFmtId="191" fontId="113" fillId="59" borderId="16" xfId="0" applyNumberFormat="1" applyFont="1" applyFill="1" applyBorder="1" applyAlignment="1">
      <alignment wrapText="1"/>
    </xf>
    <xf numFmtId="0" fontId="113" fillId="63" borderId="16" xfId="0" applyNumberFormat="1" applyFont="1" applyFill="1" applyBorder="1" applyAlignment="1">
      <alignment wrapText="1"/>
    </xf>
    <xf numFmtId="189" fontId="113" fillId="63" borderId="16" xfId="0" applyNumberFormat="1" applyFont="1" applyFill="1" applyBorder="1" applyAlignment="1">
      <alignment wrapText="1"/>
    </xf>
    <xf numFmtId="190" fontId="113" fillId="63" borderId="16" xfId="0" applyNumberFormat="1" applyFont="1" applyFill="1" applyBorder="1" applyAlignment="1">
      <alignment wrapText="1"/>
    </xf>
    <xf numFmtId="191" fontId="113" fillId="63" borderId="16" xfId="0" applyNumberFormat="1" applyFont="1" applyFill="1" applyBorder="1" applyAlignment="1">
      <alignment wrapText="1"/>
    </xf>
    <xf numFmtId="0" fontId="113" fillId="64" borderId="16" xfId="0" applyNumberFormat="1" applyFont="1" applyFill="1" applyBorder="1" applyAlignment="1">
      <alignment wrapText="1"/>
    </xf>
    <xf numFmtId="189" fontId="113" fillId="64" borderId="16" xfId="0" applyNumberFormat="1" applyFont="1" applyFill="1" applyBorder="1" applyAlignment="1">
      <alignment wrapText="1"/>
    </xf>
    <xf numFmtId="0" fontId="114" fillId="64" borderId="16" xfId="0" applyNumberFormat="1" applyFont="1" applyFill="1" applyBorder="1" applyAlignment="1">
      <alignment wrapText="1"/>
    </xf>
    <xf numFmtId="189" fontId="114" fillId="64" borderId="16" xfId="0" applyNumberFormat="1" applyFont="1" applyFill="1" applyBorder="1" applyAlignment="1">
      <alignment wrapText="1"/>
    </xf>
    <xf numFmtId="0" fontId="116" fillId="65" borderId="17" xfId="0"/>
    <xf numFmtId="0" fontId="117" fillId="65" borderId="17" xfId="0" applyNumberFormat="1" applyFont="1" applyFill="1" applyBorder="1"/>
    <xf numFmtId="0" fontId="118" fillId="65" borderId="17" xfId="0" applyNumberFormat="1" applyFont="1" applyFill="1" applyBorder="1"/>
    <xf numFmtId="0" fontId="119" fillId="65" borderId="17" xfId="0" applyNumberFormat="1" applyFont="1" applyFill="1" applyBorder="1"/>
    <xf numFmtId="0" fontId="119" fillId="65" borderId="17" xfId="0" applyNumberFormat="1" applyFont="1" applyFill="1" applyBorder="1" applyAlignment="1">
      <alignment wrapText="1"/>
    </xf>
    <xf numFmtId="0" fontId="116" fillId="67" borderId="17" xfId="0" applyNumberFormat="1" applyFont="1" applyFill="1" applyBorder="1"/>
    <xf numFmtId="0" fontId="120" fillId="67" borderId="17" xfId="0" applyNumberFormat="1" applyFont="1" applyFill="1" applyBorder="1"/>
    <xf numFmtId="0" fontId="121" fillId="67" borderId="17" xfId="0" applyNumberFormat="1" applyFont="1" applyFill="1" applyBorder="1"/>
    <xf numFmtId="0" fontId="122" fillId="67" borderId="17" xfId="0" applyNumberFormat="1" applyFont="1" applyFill="1" applyBorder="1"/>
    <xf numFmtId="0" fontId="122" fillId="67" borderId="17" xfId="0" applyNumberFormat="1" applyFont="1" applyFill="1" applyBorder="1" applyAlignment="1">
      <alignment wrapText="1"/>
    </xf>
    <xf numFmtId="192" fontId="119" fillId="65" borderId="17" xfId="0" applyNumberFormat="1" applyFont="1" applyFill="1" applyBorder="1" applyAlignment="1">
      <alignment wrapText="1"/>
    </xf>
    <xf numFmtId="0" fontId="119" fillId="68" borderId="17" xfId="0" applyNumberFormat="1" applyFont="1" applyFill="1" applyBorder="1" applyAlignment="1">
      <alignment wrapText="1"/>
    </xf>
    <xf numFmtId="0" fontId="123" fillId="68" borderId="17" xfId="0" applyNumberFormat="1" applyFont="1" applyFill="1" applyBorder="1" applyAlignment="1">
      <alignment wrapText="1"/>
    </xf>
    <xf numFmtId="0" fontId="124" fillId="68" borderId="17" xfId="0" applyNumberFormat="1" applyFont="1" applyFill="1" applyBorder="1" applyAlignment="1">
      <alignment wrapText="1"/>
    </xf>
    <xf numFmtId="0" fontId="119" fillId="69" borderId="17" xfId="0" applyNumberFormat="1" applyFont="1" applyFill="1" applyBorder="1" applyAlignment="1">
      <alignment wrapText="1"/>
    </xf>
    <xf numFmtId="0" fontId="119" fillId="70" borderId="17" xfId="0" applyNumberFormat="1" applyFont="1" applyFill="1" applyBorder="1" applyAlignment="1">
      <alignment wrapText="1"/>
    </xf>
    <xf numFmtId="0" fontId="125" fillId="70" borderId="17" xfId="0" applyNumberFormat="1" applyFont="1" applyFill="1" applyBorder="1" applyAlignment="1">
      <alignment wrapText="1"/>
    </xf>
    <xf numFmtId="0" fontId="119" fillId="71" borderId="17" xfId="0" applyNumberFormat="1" applyFont="1" applyFill="1" applyBorder="1" applyAlignment="1">
      <alignment wrapText="1"/>
    </xf>
    <xf numFmtId="192" fontId="125" fillId="70" borderId="17" xfId="0" applyNumberFormat="1" applyFont="1" applyFill="1" applyBorder="1" applyAlignment="1">
      <alignment wrapText="1"/>
    </xf>
    <xf numFmtId="192" fontId="119" fillId="71" borderId="17" xfId="0" applyNumberFormat="1" applyFont="1" applyFill="1" applyBorder="1" applyAlignment="1">
      <alignment wrapText="1"/>
    </xf>
    <xf numFmtId="192" fontId="124" fillId="68" borderId="17" xfId="0" applyNumberFormat="1" applyFont="1" applyFill="1" applyBorder="1" applyAlignment="1">
      <alignment wrapText="1"/>
    </xf>
    <xf numFmtId="0" fontId="126" fillId="72" borderId="18" xfId="0"/>
    <xf numFmtId="0" fontId="127" fillId="72" borderId="18" xfId="0" applyNumberFormat="1" applyFont="1" applyFill="1" applyBorder="1"/>
    <xf numFmtId="0" fontId="128" fillId="72" borderId="18" xfId="0" applyNumberFormat="1" applyFont="1" applyFill="1" applyBorder="1"/>
    <xf numFmtId="0" fontId="129" fillId="72" borderId="18" xfId="0" applyNumberFormat="1" applyFont="1" applyFill="1" applyBorder="1"/>
    <xf numFmtId="0" fontId="129" fillId="72" borderId="18" xfId="0" applyNumberFormat="1" applyFont="1" applyFill="1" applyBorder="1" applyAlignment="1">
      <alignment wrapText="1"/>
    </xf>
    <xf numFmtId="0" fontId="129" fillId="74" borderId="18" xfId="0" applyNumberFormat="1" applyFont="1" applyFill="1" applyBorder="1" applyAlignment="1">
      <alignment wrapText="1"/>
    </xf>
    <xf numFmtId="0" fontId="130" fillId="74" borderId="18" xfId="0" applyNumberFormat="1" applyFont="1" applyFill="1" applyBorder="1" applyAlignment="1">
      <alignment wrapText="1"/>
    </xf>
    <xf numFmtId="0" fontId="131" fillId="74" borderId="18" xfId="0" applyNumberFormat="1" applyFont="1" applyFill="1" applyBorder="1" applyAlignment="1">
      <alignment wrapText="1"/>
    </xf>
    <xf numFmtId="0" fontId="132" fillId="74" borderId="18" xfId="0" applyNumberFormat="1" applyFont="1" applyFill="1" applyBorder="1" applyAlignment="1">
      <alignment wrapText="1"/>
    </xf>
    <xf numFmtId="0" fontId="129" fillId="75" borderId="18" xfId="0" applyNumberFormat="1" applyFont="1" applyFill="1" applyBorder="1" applyAlignment="1">
      <alignment wrapText="1"/>
    </xf>
    <xf numFmtId="0" fontId="130" fillId="75" borderId="18" xfId="0" applyNumberFormat="1" applyFont="1" applyFill="1" applyBorder="1" applyAlignment="1">
      <alignment wrapText="1"/>
    </xf>
    <xf numFmtId="0" fontId="131" fillId="75" borderId="18" xfId="0" applyNumberFormat="1" applyFont="1" applyFill="1" applyBorder="1" applyAlignment="1">
      <alignment wrapText="1"/>
    </xf>
    <xf numFmtId="0" fontId="129" fillId="76" borderId="18" xfId="0" applyNumberFormat="1" applyFont="1" applyFill="1" applyBorder="1" applyAlignment="1">
      <alignment wrapText="1"/>
    </xf>
    <xf numFmtId="193" fontId="129" fillId="72" borderId="18" xfId="0" applyNumberFormat="1" applyFont="1" applyFill="1" applyBorder="1" applyAlignment="1">
      <alignment wrapText="1"/>
    </xf>
    <xf numFmtId="193" fontId="129" fillId="76" borderId="18" xfId="0" applyNumberFormat="1" applyFont="1" applyFill="1" applyBorder="1" applyAlignment="1">
      <alignment wrapText="1"/>
    </xf>
    <xf numFmtId="194" fontId="129" fillId="72" borderId="18" xfId="0" applyNumberFormat="1" applyFont="1" applyFill="1" applyBorder="1" applyAlignment="1">
      <alignment wrapText="1"/>
    </xf>
    <xf numFmtId="194" fontId="129" fillId="76" borderId="18" xfId="0" applyNumberFormat="1" applyFont="1" applyFill="1" applyBorder="1" applyAlignment="1">
      <alignment wrapText="1"/>
    </xf>
    <xf numFmtId="0" fontId="129" fillId="77" borderId="18" xfId="0" applyNumberFormat="1" applyFont="1" applyFill="1" applyBorder="1" applyAlignment="1">
      <alignment wrapText="1"/>
    </xf>
    <xf numFmtId="0" fontId="129" fillId="78" borderId="18" xfId="0" applyNumberFormat="1" applyFont="1" applyFill="1" applyBorder="1" applyAlignment="1">
      <alignment wrapText="1"/>
    </xf>
    <xf numFmtId="193" fontId="129" fillId="78" borderId="18" xfId="0" applyNumberFormat="1" applyFont="1" applyFill="1" applyBorder="1" applyAlignment="1">
      <alignment wrapText="1"/>
    </xf>
    <xf numFmtId="194" fontId="129" fillId="78" borderId="18" xfId="0" applyNumberFormat="1" applyFont="1" applyFill="1" applyBorder="1" applyAlignment="1">
      <alignment wrapText="1"/>
    </xf>
    <xf numFmtId="193" fontId="129" fillId="77" borderId="18" xfId="0" applyNumberFormat="1" applyFont="1" applyFill="1" applyBorder="1" applyAlignment="1">
      <alignment wrapText="1"/>
    </xf>
    <xf numFmtId="0" fontId="133" fillId="79" borderId="19" xfId="20"/>
    <xf numFmtId="0" fontId="134" fillId="79" borderId="19" xfId="20" applyNumberFormat="1" applyFont="1" applyFill="1" applyBorder="1"/>
    <xf numFmtId="0" fontId="134" fillId="79" borderId="19" xfId="20" applyNumberFormat="1" applyFont="1" applyFill="1" applyBorder="1" applyAlignment="1">
      <alignment wrapText="1"/>
    </xf>
    <xf numFmtId="0" fontId="134" fillId="79" borderId="19" xfId="20" applyNumberFormat="1" applyFont="1" applyFill="1" applyBorder="1" applyAlignment="1">
      <alignment vertical="center" wrapText="1"/>
    </xf>
    <xf numFmtId="0" fontId="134" fillId="81" borderId="19" xfId="20" applyNumberFormat="1" applyFont="1" applyFill="1" applyBorder="1" applyAlignment="1">
      <alignment vertical="center" wrapText="1"/>
    </xf>
    <xf numFmtId="0" fontId="135" fillId="81" borderId="19" xfId="20" applyNumberFormat="1" applyFont="1" applyFill="1" applyBorder="1" applyAlignment="1">
      <alignment vertical="center" wrapText="1"/>
    </xf>
    <xf numFmtId="0" fontId="136" fillId="81" borderId="19" xfId="20" applyNumberFormat="1" applyFont="1" applyFill="1" applyBorder="1" applyAlignment="1">
      <alignment vertical="center" wrapText="1"/>
    </xf>
    <xf numFmtId="0" fontId="134" fillId="82" borderId="19" xfId="20" applyNumberFormat="1" applyFont="1" applyFill="1" applyBorder="1" applyAlignment="1">
      <alignment vertical="center" wrapText="1"/>
    </xf>
    <xf numFmtId="0" fontId="135" fillId="82" borderId="19" xfId="20" applyNumberFormat="1" applyFont="1" applyFill="1" applyBorder="1" applyAlignment="1">
      <alignment vertical="center" wrapText="1"/>
    </xf>
    <xf numFmtId="0" fontId="137" fillId="82" borderId="19" xfId="20" applyNumberFormat="1" applyFont="1" applyFill="1" applyBorder="1" applyAlignment="1">
      <alignment vertical="center" wrapText="1"/>
    </xf>
    <xf numFmtId="0" fontId="134" fillId="83" borderId="19" xfId="20" applyNumberFormat="1" applyFont="1" applyFill="1" applyBorder="1" applyAlignment="1">
      <alignment vertical="center" wrapText="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ill>
        <patternFill patternType="solid">
          <fgColor rgb="FF0E4273"/>
          <bgColor rgb="FF000000"/>
        </patternFill>
      </fill>
    </dxf>
    <dxf>
      <fill>
        <patternFill patternType="solid">
          <fgColor rgb="FFF2F2F2"/>
          <bgColor rgb="FF000000"/>
        </patternFill>
      </fill>
    </dxf>
    <dxf>
      <fill>
        <patternFill patternType="solid">
          <fgColor rgb="FFFFFFFF"/>
          <bgColor rgb="FF000000"/>
        </patternFill>
      </fill>
    </dxf>
    <dxf>
      <fill>
        <patternFill patternType="solid">
          <fgColor rgb="FF3A3A3A"/>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ont>
        <color rgb="FF006100"/>
      </font>
      <fill>
        <patternFill>
          <bgColor rgb="FFC6EFCE"/>
        </patternFill>
      </fill>
    </dxf>
    <dxf>
      <font>
        <color rgb="FF9C0006"/>
      </font>
      <fill>
        <patternFill>
          <bgColor rgb="FFFFC7CE"/>
        </patternFill>
      </fill>
    </dxf>
    <dxf>
      <fill>
        <patternFill patternType="solid">
          <fgColor rgb="FF44546A"/>
          <bgColor rgb="FF000000"/>
        </patternFill>
      </fill>
    </dxf>
    <dxf>
      <fill>
        <patternFill patternType="solid">
          <bgColor rgb="FF000000"/>
        </patternFill>
      </fill>
    </dxf>
    <dxf>
      <fill>
        <patternFill patternType="solid">
          <fgColor rgb="FF000000"/>
          <bgColor rgb="FF000000"/>
        </patternFill>
      </fill>
    </dxf>
    <dxf>
      <fill>
        <patternFill patternType="solid">
          <fgColor rgb="FF8B0000"/>
          <bgColor rgb="FF000000"/>
        </patternFill>
      </fill>
    </dxf>
    <dxf>
      <border diagonalUp="false" diagonalDown="false">
        <left style="thin">
          <color rgb="FFD9D9D9"/>
        </left>
        <right style="thin">
          <color rgb="FFD9D9D9"/>
        </right>
        <top style="thin">
          <color rgb="FFD9D9D9"/>
        </top>
        <bottom style="thin">
          <color rgb="FFD9D9D9"/>
        </bottom>
        <diagonal/>
      </border>
    </dxf>
    <dxf>
      <fill>
        <patternFill>
          <bgColor rgb="FFF2F2F2"/>
        </patternFill>
      </fill>
    </dxf>
    <dxf>
      <fill>
        <patternFill patternType="solid">
          <fgColor rgb="FFF3F5F7"/>
          <bgColor rgb="FF000000"/>
        </patternFill>
      </fill>
    </dxf>
    <dxf>
      <fill>
        <patternFill patternType="solid">
          <fgColor rgb="FF263746"/>
          <bgColor rgb="FF000000"/>
        </patternFill>
      </fill>
    </dxf>
    <dxf>
      <fill>
        <patternFill patternType="solid">
          <fgColor rgb="FFFF0000"/>
          <bgColor rgb="FF000000"/>
        </patternFill>
      </fill>
    </dxf>
    <dxf>
      <fill>
        <patternFill patternType="solid">
          <fgColor rgb="FF123B5D"/>
          <bgColor rgb="FF000000"/>
        </patternFill>
      </fill>
    </dxf>
    <dxf>
      <fill>
        <patternFill patternType="solid">
          <fgColor rgb="FF1F4E78"/>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2F2F2"/>
      <rgbColor rgb="FFFF00FF"/>
      <rgbColor rgb="FF00FFFF"/>
      <rgbColor rgb="FF8B0000"/>
      <rgbColor rgb="FF006100"/>
      <rgbColor rgb="FF263746"/>
      <rgbColor rgb="FF7F7F7F"/>
      <rgbColor rgb="FF800080"/>
      <rgbColor rgb="FF028090"/>
      <rgbColor rgb="FFBFBFBF"/>
      <rgbColor rgb="FF808080"/>
      <rgbColor rgb="FFD5DEE8"/>
      <rgbColor rgb="FFB85042"/>
      <rgbColor rgb="FFFFF2CC"/>
      <rgbColor rgb="FFEAF1F7"/>
      <rgbColor rgb="FF660066"/>
      <rgbColor rgb="FFD9A441"/>
      <rgbColor rgb="FF0563C1"/>
      <rgbColor rgb="FFCADCFC"/>
      <rgbColor rgb="FF0E4273"/>
      <rgbColor rgb="FFFF00FF"/>
      <rgbColor rgb="FFF3F5F7"/>
      <rgbColor rgb="FF00FFFF"/>
      <rgbColor rgb="FF800080"/>
      <rgbColor rgb="FF9C0006"/>
      <rgbColor rgb="FF0077B6"/>
      <rgbColor rgb="FF0000FF"/>
      <rgbColor rgb="FF00CCFF"/>
      <rgbColor rgb="FFE2EFDA"/>
      <rgbColor rgb="FFC6EFCE"/>
      <rgbColor rgb="FFFDEAEA"/>
      <rgbColor rgb="FFB3B3B3"/>
      <rgbColor rgb="FFCFB47C"/>
      <rgbColor rgb="FFD9D9D9"/>
      <rgbColor rgb="FFFFC7CE"/>
      <rgbColor rgb="FF4F81BD"/>
      <rgbColor rgb="FF33CCCC"/>
      <rgbColor rgb="FF99CC00"/>
      <rgbColor rgb="FFD9DEE4"/>
      <rgbColor rgb="FFF9A826"/>
      <rgbColor rgb="FFFF6600"/>
      <rgbColor rgb="FF6E7B89"/>
      <rgbColor rgb="FF9E9E9E"/>
      <rgbColor rgb="FF123B5D"/>
      <rgbColor rgb="FF2983B6"/>
      <rgbColor rgb="FF102B42"/>
      <rgbColor rgb="FF262626"/>
      <rgbColor rgb="FF44546A"/>
      <rgbColor rgb="FF595959"/>
      <rgbColor rgb="FF1F4E78"/>
      <rgbColor rgb="FF3A3A3A"/>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
<Relationship Id="rIdProvisional30" Type="http://schemas.openxmlformats.org/officeDocument/2006/relationships/worksheet" Target="worksheets/sheet30.xml"/><Relationship Id="rIdProvisional31" Type="http://schemas.openxmlformats.org/officeDocument/2006/relationships/worksheet" Target="worksheets/sheet31.xml"/><Relationship Id="rIdProvisional32" Type="http://schemas.openxmlformats.org/officeDocument/2006/relationships/worksheet" Target="worksheets/sheet32.xml"/><Relationship Id="rIdProvisional33" Type="http://schemas.openxmlformats.org/officeDocument/2006/relationships/worksheet" Target="worksheets/sheet33.xml"/><Relationship Id="rIdProvisional34" Type="http://schemas.openxmlformats.org/officeDocument/2006/relationships/worksheet" Target="worksheets/sheet34.xml"/><Relationship Id="rIdProvisional35" Type="http://schemas.openxmlformats.org/officeDocument/2006/relationships/worksheet" Target="worksheets/sheet35.xml"/><Relationship Id="rIdProvisional36" Type="http://schemas.openxmlformats.org/officeDocument/2006/relationships/worksheet" Target="worksheets/sheet36.xml"/><Relationship Id="rIdProvisional37" Type="http://schemas.openxmlformats.org/officeDocument/2006/relationships/worksheet" Target="worksheets/sheet37.xml"/><Relationship Id="rIdProvisional38" Type="http://schemas.openxmlformats.org/officeDocument/2006/relationships/worksheet" Target="worksheets/sheet38.xml"/><Relationship Id="rIdProvisional39" Type="http://schemas.openxmlformats.org/officeDocument/2006/relationships/worksheet" Target="worksheets/sheet39.xml"/><Relationship Id="rIdProvisional40" Type="http://schemas.openxmlformats.org/officeDocument/2006/relationships/worksheet" Target="worksheets/sheet40.xml"/><Relationship Id="rIdProvisional41" Type="http://schemas.openxmlformats.org/officeDocument/2006/relationships/worksheet" Target="worksheets/sheet41.xml"/><Relationship Id="rIdProvisional42" Type="http://schemas.openxmlformats.org/officeDocument/2006/relationships/worksheet" Target="worksheets/sheet42.xml"/><Relationship Id="rIdProvisional43" Type="http://schemas.openxmlformats.org/officeDocument/2006/relationships/worksheet" Target="worksheets/sheet43.xml"/><Relationship Id="rIdProvisional44" Type="http://schemas.openxmlformats.org/officeDocument/2006/relationships/worksheet" Target="worksheets/sheet44.xml"/><Relationship Id="rIdProvisional45" Type="http://schemas.openxmlformats.org/officeDocument/2006/relationships/worksheet" Target="worksheets/sheet45.xml"/><Relationship Id="rIdProvisional46" Type="http://schemas.openxmlformats.org/officeDocument/2006/relationships/worksheet" Target="worksheets/sheet46.xml"/><Relationship Id="rIdProvisional47" Type="http://schemas.openxmlformats.org/officeDocument/2006/relationships/worksheet" Target="worksheets/sheet47.xml"/><Relationship Id="rIdProvisional48" Type="http://schemas.openxmlformats.org/officeDocument/2006/relationships/worksheet" Target="worksheets/sheet48.xml"/><Relationship Id="rIdAudit49" Type="http://schemas.openxmlformats.org/officeDocument/2006/relationships/worksheet" Target="worksheets/sheet49.xml"/><Relationship Id="rIdAudit50" Type="http://schemas.openxmlformats.org/officeDocument/2006/relationships/worksheet" Target="worksheets/sheet50.xml"/><Relationship Id="rIdAudit51" Type="http://schemas.openxmlformats.org/officeDocument/2006/relationships/worksheet" Target="worksheets/sheet51.xml"/><Relationship Id="rIdDictionary52" Type="http://schemas.openxmlformats.org/officeDocument/2006/relationships/worksheet" Target="worksheets/sheet52.xml"/><Relationship Id="rIdDictionary53" Type="http://schemas.openxmlformats.org/officeDocument/2006/relationships/worksheet" Target="worksheets/sheet53.xml"/><Relationship Id="rIdDictionary54" Type="http://schemas.openxmlformats.org/officeDocument/2006/relationships/worksheet" Target="worksheets/sheet54.xml"/><Relationship Id="rIdEntregaV17" Type="http://schemas.openxmlformats.org/officeDocument/2006/relationships/worksheet" Target="worksheets/sheet55.xml"/></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s-CL" sz="1800" b="1" u="none" strike="noStrike">
                <a:solidFill>
                  <a:srgbClr val="000000"/>
                </a:solidFill>
                <a:uFillTx/>
                <a:latin typeface="Calibri"/>
              </a:rPr>
              <a:t>Tasa de retención por sector y cohorte</a:t>
            </a:r>
          </a:p>
        </c:rich>
      </c:tx>
      <c:overlay val="0"/>
      <c:spPr>
        <a:noFill/>
        <a:ln w="0">
          <a:noFill/>
        </a:ln>
      </c:spPr>
    </c:title>
    <c:autoTitleDeleted val="0"/>
    <c:plotArea>
      <c:lineChart>
        <c:grouping val="standard"/>
        <c:varyColors val="0"/>
        <c:ser>
          <c:idx val="0"/>
          <c:order val="0"/>
          <c:tx>
            <c:strRef>
              <c:f>'4_Resultados_Sector'!$C$23</c:f>
              <c:strCache>
                <c:ptCount val="1"/>
                <c:pt idx="0">
                  <c:v>Tecnologías</c:v>
                </c:pt>
              </c:strCache>
            </c:strRef>
          </c:tx>
          <c:spPr>
            <a:ln w="28080">
              <a:solidFill>
                <a:srgbClr val="102B42"/>
              </a:solidFill>
              <a:round/>
            </a:ln>
          </c:spPr>
          <c:marker>
            <c:symbol val="circle"/>
            <c:size val="5"/>
            <c:spPr>
              <a:solidFill>
                <a:srgbClr val="102B42"/>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'4_Resultados_Sector'!$B$24:$B$27</c:f>
              <c:strCache>
                <c:ptCount val="4"/>
                <c:pt idx="0">
                  <c:v>2022</c:v>
                </c:pt>
                <c:pt idx="1">
                  <c:v>2023</c:v>
                </c:pt>
                <c:pt idx="2">
                  <c:v>2024</c:v>
                </c:pt>
                <c:pt idx="3">
                  <c:v>2025</c:v>
                </c:pt>
              </c:strCache>
            </c:strRef>
          </c:cat>
          <c:val>
            <c:numRef>
              <c:f>'4_Resultados_Sector'!$C$24:$C$27</c:f>
              <c:numCache>
                <c:formatCode>[=1]0%;0.0%</c:formatCode>
                <c:ptCount val="4"/>
                <c:pt idx="0">
                  <c:v>0.734426229508197</c:v>
                </c:pt>
                <c:pt idx="1">
                  <c:v>0.704918032786885</c:v>
                </c:pt>
                <c:pt idx="2">
                  <c:v>0.601609657947686</c:v>
                </c:pt>
                <c:pt idx="3">
                  <c:v>0.637123745819398</c:v>
                </c:pt>
              </c:numCache>
            </c:numRef>
          </c:val>
          <c:smooth val="0"/>
        </c:ser>
        <c:ser>
          <c:idx val="1"/>
          <c:order val="1"/>
          <c:tx>
            <c:strRef>
              <c:f>'4_Resultados_Sector'!$D$23</c:f>
              <c:strCache>
                <c:ptCount val="1"/>
                <c:pt idx="0">
                  <c:v>Administración y Comercio</c:v>
                </c:pt>
              </c:strCache>
            </c:strRef>
          </c:tx>
          <c:spPr>
            <a:ln w="28080">
              <a:solidFill>
                <a:srgbClr val="CFB47C"/>
              </a:solidFill>
              <a:round/>
            </a:ln>
          </c:spPr>
          <c:marker>
            <c:symbol val="circle"/>
            <c:size val="5"/>
            <c:spPr>
              <a:solidFill>
                <a:srgbClr val="CFB47C"/>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'4_Resultados_Sector'!$B$24:$B$27</c:f>
              <c:strCache>
                <c:ptCount val="4"/>
                <c:pt idx="0">
                  <c:v>2022</c:v>
                </c:pt>
                <c:pt idx="1">
                  <c:v>2023</c:v>
                </c:pt>
                <c:pt idx="2">
                  <c:v>2024</c:v>
                </c:pt>
                <c:pt idx="3">
                  <c:v>2025</c:v>
                </c:pt>
              </c:strCache>
            </c:strRef>
          </c:cat>
          <c:val>
            <c:numRef>
              <c:f>'4_Resultados_Sector'!$D$24:$D$27</c:f>
              <c:numCache>
                <c:formatCode>[=1]0%;0.0%</c:formatCode>
                <c:ptCount val="4"/>
                <c:pt idx="2">
                  <c:v>0.442622950819672</c:v>
                </c:pt>
                <c:pt idx="3">
                  <c:v>0.528301886792453</c:v>
                </c:pt>
              </c:numCache>
            </c:numRef>
          </c:val>
          <c:smooth val="0"/>
        </c:ser>
        <c:ser>
          <c:idx val="2"/>
          <c:order val="2"/>
          <c:tx>
            <c:strRef>
              <c:f>'4_Resultados_Sector'!$E$23</c:f>
              <c:strCache>
                <c:ptCount val="1"/>
                <c:pt idx="0">
                  <c:v>Salud</c:v>
                </c:pt>
              </c:strCache>
            </c:strRef>
          </c:tx>
          <c:spPr>
            <a:ln w="28080">
              <a:solidFill>
                <a:srgbClr val="0077B6"/>
              </a:solidFill>
              <a:round/>
            </a:ln>
          </c:spPr>
          <c:marker>
            <c:symbol val="circle"/>
            <c:size val="5"/>
            <c:spPr>
              <a:solidFill>
                <a:srgbClr val="0077B6"/>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'4_Resultados_Sector'!$B$24:$B$27</c:f>
              <c:strCache>
                <c:ptCount val="4"/>
                <c:pt idx="0">
                  <c:v>2022</c:v>
                </c:pt>
                <c:pt idx="1">
                  <c:v>2023</c:v>
                </c:pt>
                <c:pt idx="2">
                  <c:v>2024</c:v>
                </c:pt>
                <c:pt idx="3">
                  <c:v>2025</c:v>
                </c:pt>
              </c:strCache>
            </c:strRef>
          </c:cat>
          <c:val>
            <c:numRef>
              <c:f>'4_Resultados_Sector'!$E$24:$E$27</c:f>
              <c:numCache>
                <c:formatCode>[=1]0%;0.0%</c:formatCode>
                <c:ptCount val="4"/>
                <c:pt idx="3">
                  <c:v>0.466666666666667</c:v>
                </c:pt>
              </c:numCache>
            </c:numRef>
          </c:val>
          <c:smooth val="0"/>
        </c:ser>
        <c:hiLowLines>
          <c:spPr>
            <a:ln w="0">
              <a:noFill/>
            </a:ln>
          </c:spPr>
        </c:hiLowLines>
        <c:marker val="1"/>
        <c:axId val="23099417"/>
        <c:axId val="38006854"/>
      </c:lineChart>
      <c:catAx>
        <c:axId val="2309941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8006854"/>
        <c:crosses val="autoZero"/>
        <c:auto val="1"/>
        <c:lblAlgn val="ctr"/>
        <c:lblOffset val="100"/>
        <c:noMultiLvlLbl val="0"/>
      </c:catAx>
      <c:valAx>
        <c:axId val="38006854"/>
        <c:scaling>
          <c:orientation val="minMax"/>
        </c:scaling>
        <c:delete val="0"/>
        <c:axPos val="l"/>
        <c:majorGridlines>
          <c:spPr>
            <a:ln w="0">
              <a:solidFill>
                <a:srgbClr val="B3B3B3"/>
              </a:solidFill>
            </a:ln>
          </c:spPr>
        </c:majorGridlines>
        <c:numFmt formatCode="[=1]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3099417"/>
        <c:crosses val="autoZero"/>
        <c:crossBetween val="between"/>
      </c:valAx>
      <c:spPr>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s-CL" sz="1800" b="1" u="none" strike="noStrike">
                <a:solidFill>
                  <a:srgbClr val="000000"/>
                </a:solidFill>
                <a:uFillTx/>
                <a:latin typeface="Calibri"/>
              </a:rPr>
              <a:t>2025 — Tasa interna vs. SIES granular oficial</a:t>
            </a:r>
          </a:p>
        </c:rich>
      </c:tx>
      <c:overlay val="0"/>
      <c:spPr>
        <a:noFill/>
        <a:ln w="0">
          <a:noFill/>
        </a:ln>
      </c:spPr>
    </c:title>
    <c:autoTitleDeleted val="0"/>
    <c:plotArea>
      <c:barChart>
        <c:barDir val="col"/>
        <c:grouping val="clustered"/>
        <c:varyColors val="0"/>
        <c:ser>
          <c:idx val="0"/>
          <c:order val="0"/>
          <c:tx>
            <c:strRef>
              <c:f>"Tasa interna 2025"</c:f>
              <c:strCache>
                <c:ptCount val="1"/>
                <c:pt idx="0">
                  <c:v>Tasa interna 2025</c:v>
                </c:pt>
              </c:strCache>
            </c:strRef>
          </c:tx>
          <c:spPr>
            <a:solidFill>
              <a:srgbClr val="102B42"/>
            </a:solidFill>
            <a:ln w="28080">
              <a:solidFill>
                <a:srgbClr val="102B42"/>
              </a:solidFill>
              <a:round/>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'4_Resultados_Sector'!$H$7:$H$9</c:f>
              <c:strCache>
                <c:ptCount val="3"/>
                <c:pt idx="0">
                  <c:v>Tecnologías</c:v>
                </c:pt>
                <c:pt idx="1">
                  <c:v>Administración y Comercio</c:v>
                </c:pt>
                <c:pt idx="2">
                  <c:v>Salud</c:v>
                </c:pt>
              </c:strCache>
            </c:strRef>
          </c:cat>
          <c:val>
            <c:numRef>
              <c:f>'4_Resultados_Sector'!$K$7:$K$9</c:f>
              <c:numCache>
                <c:formatCode>[=1]0%;0.0%</c:formatCode>
                <c:ptCount val="3"/>
                <c:pt idx="0">
                  <c:v>0.637123745819398</c:v>
                </c:pt>
                <c:pt idx="1">
                  <c:v>0.528301886792453</c:v>
                </c:pt>
                <c:pt idx="2">
                  <c:v>0.466666666666667</c:v>
                </c:pt>
              </c:numCache>
            </c:numRef>
          </c:val>
        </c:ser>
        <c:ser>
          <c:idx val="1"/>
          <c:order val="1"/>
          <c:tx>
            <c:strRef>
              <c:f>"Tasa SIES 2025"</c:f>
              <c:strCache>
                <c:ptCount val="1"/>
                <c:pt idx="0">
                  <c:v>Tasa SIES 2025</c:v>
                </c:pt>
              </c:strCache>
            </c:strRef>
          </c:tx>
          <c:spPr>
            <a:solidFill>
              <a:srgbClr val="9E9E9E"/>
            </a:solidFill>
            <a:ln w="28080">
              <a:solidFill>
                <a:srgbClr val="9E9E9E"/>
              </a:solidFill>
              <a:round/>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'4_Resultados_Sector'!$H$7:$H$9</c:f>
              <c:strCache>
                <c:ptCount val="3"/>
                <c:pt idx="0">
                  <c:v>Tecnologías</c:v>
                </c:pt>
                <c:pt idx="1">
                  <c:v>Administración y Comercio</c:v>
                </c:pt>
                <c:pt idx="2">
                  <c:v>Salud</c:v>
                </c:pt>
              </c:strCache>
            </c:strRef>
          </c:cat>
          <c:val>
            <c:numRef>
              <c:f>'4_Resultados_Sector'!$N$7:$N$9</c:f>
              <c:numCache>
                <c:formatCode>[=1]0%;0.0%</c:formatCode>
                <c:ptCount val="3"/>
                <c:pt idx="0">
                  <c:v>0.635914332784185</c:v>
                </c:pt>
                <c:pt idx="1">
                  <c:v>0.532224532224532</c:v>
                </c:pt>
                <c:pt idx="2">
                  <c:v>0.466666666666667</c:v>
                </c:pt>
              </c:numCache>
            </c:numRef>
          </c:val>
        </c:ser>
        <c:gapWidth val="150"/>
        <c:overlap val="0"/>
        <c:axId val="26332681"/>
        <c:axId val="56721299"/>
      </c:barChart>
      <c:catAx>
        <c:axId val="2633268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6721299"/>
        <c:crosses val="autoZero"/>
        <c:auto val="1"/>
        <c:lblAlgn val="ctr"/>
        <c:lblOffset val="100"/>
        <c:noMultiLvlLbl val="0"/>
      </c:catAx>
      <c:valAx>
        <c:axId val="56721299"/>
        <c:scaling>
          <c:orientation val="minMax"/>
        </c:scaling>
        <c:delete val="0"/>
        <c:axPos val="l"/>
        <c:majorGridlines>
          <c:spPr>
            <a:ln w="0">
              <a:solidFill>
                <a:srgbClr val="B3B3B3"/>
              </a:solidFill>
            </a:ln>
          </c:spPr>
        </c:majorGridlines>
        <c:numFmt formatCode="[=1]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6332681"/>
        <c:crosses val="autoZero"/>
        <c:crossBetween val="between"/>
      </c:valAx>
      <c:spPr>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s-CL" sz="1800" b="1" u="none" strike="noStrike">
                <a:solidFill>
                  <a:srgbClr val="000000"/>
                </a:solidFill>
                <a:uFillTx/>
                <a:latin typeface="Calibri"/>
              </a:rPr>
              <a:t>Tasa de retención institucional: interna vs. SIES publicada</a:t>
            </a:r>
          </a:p>
        </c:rich>
      </c:tx>
      <c:overlay val="0"/>
      <c:spPr>
        <a:noFill/>
        <a:ln w="0">
          <a:noFill/>
        </a:ln>
      </c:spPr>
    </c:title>
    <c:autoTitleDeleted val="0"/>
    <c:plotArea>
      <c:lineChart>
        <c:grouping val="standard"/>
        <c:varyColors val="0"/>
        <c:ser>
          <c:idx val="0"/>
          <c:order val="0"/>
          <c:tx>
            <c:strRef>
              <c:f>'5_Evolucion'!$E$6</c:f>
              <c:strCache>
                <c:ptCount val="1"/>
                <c:pt idx="0">
                  <c:v>Tasa interna</c:v>
                </c:pt>
              </c:strCache>
            </c:strRef>
          </c:tx>
          <c:spPr>
            <a:ln w="28080">
              <a:solidFill>
                <a:srgbClr val="102B42"/>
              </a:solidFill>
              <a:round/>
            </a:ln>
          </c:spPr>
          <c:marker>
            <c:symbol val="circle"/>
            <c:size val="5"/>
            <c:spPr>
              <a:solidFill>
                <a:srgbClr val="102B42"/>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'5_Evolucion'!$B$7:$B$10</c:f>
              <c:strCache>
                <c:ptCount val="4"/>
                <c:pt idx="0">
                  <c:v>2022</c:v>
                </c:pt>
                <c:pt idx="1">
                  <c:v>2023</c:v>
                </c:pt>
                <c:pt idx="2">
                  <c:v>2024</c:v>
                </c:pt>
                <c:pt idx="3">
                  <c:v>2025</c:v>
                </c:pt>
              </c:strCache>
            </c:strRef>
          </c:cat>
          <c:val>
            <c:numRef>
              <c:f>'5_Evolucion'!$E$7:$E$10</c:f>
              <c:numCache>
                <c:formatCode>[=1]0%;0.0%</c:formatCode>
                <c:ptCount val="4"/>
                <c:pt idx="0">
                  <c:v>0.734426229508197</c:v>
                </c:pt>
                <c:pt idx="1">
                  <c:v>0.704918032786885</c:v>
                </c:pt>
                <c:pt idx="2">
                  <c:v>0.584229390681004</c:v>
                </c:pt>
                <c:pt idx="3">
                  <c:v>0.580869565217391</c:v>
                </c:pt>
              </c:numCache>
            </c:numRef>
          </c:val>
          <c:smooth val="0"/>
        </c:ser>
        <c:ser>
          <c:idx val="1"/>
          <c:order val="1"/>
          <c:tx>
            <c:strRef>
              <c:f>'5_Evolucion'!$F$6</c:f>
              <c:strCache>
                <c:ptCount val="1"/>
                <c:pt idx="0">
                  <c:v>Tasa SIES publicada</c:v>
                </c:pt>
              </c:strCache>
            </c:strRef>
          </c:tx>
          <c:spPr>
            <a:ln w="20160">
              <a:solidFill>
                <a:srgbClr val="9E9E9E"/>
              </a:solidFill>
              <a:round/>
            </a:ln>
          </c:spPr>
          <c:marker>
            <c:symbol val="circle"/>
            <c:size val="5"/>
            <c:spPr>
              <a:solidFill>
                <a:srgbClr val="9E9E9E"/>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'5_Evolucion'!$B$7:$B$10</c:f>
              <c:strCache>
                <c:ptCount val="4"/>
                <c:pt idx="0">
                  <c:v>2022</c:v>
                </c:pt>
                <c:pt idx="1">
                  <c:v>2023</c:v>
                </c:pt>
                <c:pt idx="2">
                  <c:v>2024</c:v>
                </c:pt>
                <c:pt idx="3">
                  <c:v>2025</c:v>
                </c:pt>
              </c:strCache>
            </c:strRef>
          </c:cat>
          <c:val>
            <c:numRef>
              <c:f>'5_Evolucion'!$F$7:$F$10</c:f>
              <c:numCache>
                <c:formatCode>[=1]0%;0.0%</c:formatCode>
                <c:ptCount val="4"/>
                <c:pt idx="0">
                  <c:v>0.689516129032258</c:v>
                </c:pt>
                <c:pt idx="1">
                  <c:v>0.705722070844687</c:v>
                </c:pt>
                <c:pt idx="2">
                  <c:v>0.675</c:v>
                </c:pt>
                <c:pt idx="3">
                  <c:v>0.582115219260533</c:v>
                </c:pt>
              </c:numCache>
            </c:numRef>
          </c:val>
          <c:smooth val="0"/>
        </c:ser>
        <c:hiLowLines>
          <c:spPr>
            <a:ln w="0">
              <a:noFill/>
            </a:ln>
          </c:spPr>
        </c:hiLowLines>
        <c:marker val="1"/>
        <c:axId val="39488734"/>
        <c:axId val="1292266"/>
      </c:lineChart>
      <c:catAx>
        <c:axId val="3948873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292266"/>
        <c:crosses val="autoZero"/>
        <c:auto val="1"/>
        <c:lblAlgn val="ctr"/>
        <c:lblOffset val="100"/>
        <c:noMultiLvlLbl val="0"/>
      </c:catAx>
      <c:valAx>
        <c:axId val="1292266"/>
        <c:scaling>
          <c:orientation val="minMax"/>
        </c:scaling>
        <c:delete val="0"/>
        <c:axPos val="l"/>
        <c:majorGridlines>
          <c:spPr>
            <a:ln w="0">
              <a:solidFill>
                <a:srgbClr val="B3B3B3"/>
              </a:solidFill>
            </a:ln>
          </c:spPr>
        </c:majorGridlines>
        <c:numFmt formatCode="[=1]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9488734"/>
        <c:crosses val="autoZero"/>
        <c:crossBetween val="between"/>
      </c:valAx>
      <c:spPr>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s-CL" sz="1800" b="1" u="none" strike="noStrike">
                <a:solidFill>
                  <a:srgbClr val="000000"/>
                </a:solidFill>
                <a:uFillTx/>
                <a:latin typeface="Calibri"/>
              </a:rPr>
              <a:t>Nivel 1 — Evolución del grupo elegido</a:t>
            </a:r>
          </a:p>
        </c:rich>
      </c:tx>
      <c:overlay val="0"/>
      <c:spPr>
        <a:noFill/>
        <a:ln w="0">
          <a:noFill/>
        </a:ln>
      </c:spPr>
    </c:title>
    <c:autoTitleDeleted val="0"/>
    <c:plotArea>
      <c:lineChart>
        <c:grouping val="standard"/>
        <c:varyColors val="0"/>
        <c:ser>
          <c:idx val="0"/>
          <c:order val="0"/>
          <c:tx>
            <c:strRef>
              <c:f>label 0</c:f>
              <c:strCache>
                <c:ptCount val="1"/>
                <c:pt idx="0">
                  <c:v>Tasa de retención</c:v>
                </c:pt>
              </c:strCache>
            </c:strRef>
          </c:tx>
          <c:spPr>
            <a:ln w="20160">
              <a:solidFill>
                <a:srgbClr val="102B42"/>
              </a:solidFill>
              <a:round/>
            </a:ln>
          </c:spPr>
          <c:marker>
            <c:symbol val="circle"/>
            <c:size val="5"/>
            <c:spPr>
              <a:solidFill>
                <a:srgbClr val="102B42"/>
              </a:solidFill>
            </c:spPr>
          </c:marker>
          <c:dLbls>
            <c:numFmt formatCode="0.0%" sourceLinked="0"/>
            <c:txPr>
              <a:bodyPr wrap="square"/>
              <a:lstStyle/>
              <a:p>
                <a:pPr>
                  <a:defRPr sz="1000" b="0" u="none" strike="noStrike">
                    <a:solidFill>
                      <a:srgbClr val="000000"/>
                    </a:solidFill>
                    <a:uFillTx/>
                    <a:latin typeface="Arial"/>
                  </a:defRPr>
                </a:pPr>
              </a:p>
            </c:txPr>
            <c:dLblPos val="t"/>
            <c:showLegendKey val="0"/>
            <c:showVal val="1"/>
            <c:showCatName val="0"/>
            <c:showSerName val="0"/>
            <c:showPercent val="0"/>
            <c:separator>; </c:separator>
            <c:extLst>
              <c:ext xmlns:c15="http://schemas.microsoft.com/office/drawing/2012/chart" uri="{CE6537A1-D6FC-4f65-9D91-7224C49458BB}">
                <c15:showLeaderLines val="1"/>
              </c:ext>
            </c:extLst>
          </c:dLbls>
          <c:cat>
            <c:strRef>
              <c:f>categories</c:f>
              <c:strCache>
                <c:ptCount val="4"/>
                <c:pt idx="0">
                  <c:v>2022</c:v>
                </c:pt>
                <c:pt idx="1">
                  <c:v>2023</c:v>
                </c:pt>
                <c:pt idx="2">
                  <c:v>2024</c:v>
                </c:pt>
                <c:pt idx="3">
                  <c:v>2025</c:v>
                </c:pt>
              </c:strCache>
            </c:strRef>
          </c:cat>
          <c:val>
            <c:numRef>
              <c:f>0</c:f>
              <c:numCache>
                <c:formatCode>General</c:formatCode>
                <c:ptCount val="4"/>
                <c:pt idx="0">
                  <c:v>0.734426229508197</c:v>
                </c:pt>
                <c:pt idx="1">
                  <c:v>0.704918032786885</c:v>
                </c:pt>
                <c:pt idx="2">
                  <c:v>0.584229390681004</c:v>
                </c:pt>
                <c:pt idx="3">
                  <c:v>0.580869565217391</c:v>
                </c:pt>
              </c:numCache>
            </c:numRef>
          </c:val>
          <c:smooth val="0"/>
        </c:ser>
        <c:hiLowLines>
          <c:spPr>
            <a:ln w="0">
              <a:noFill/>
            </a:ln>
          </c:spPr>
        </c:hiLowLines>
        <c:marker val="1"/>
        <c:axId val="31732412"/>
        <c:axId val="97244731"/>
      </c:lineChart>
      <c:catAx>
        <c:axId val="3173241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7244731"/>
        <c:crosses val="autoZero"/>
        <c:auto val="1"/>
        <c:lblAlgn val="ctr"/>
        <c:lblOffset val="100"/>
        <c:noMultiLvlLbl val="0"/>
      </c:catAx>
      <c:valAx>
        <c:axId val="97244731"/>
        <c:scaling>
          <c:orientation val="minMax"/>
        </c:scaling>
        <c:delete val="0"/>
        <c:axPos val="l"/>
        <c:majorGridlines>
          <c:spPr>
            <a:ln w="0">
              <a:solidFill>
                <a:srgbClr val="B3B3B3"/>
              </a:solidFill>
            </a:ln>
          </c:spPr>
        </c:majorGridlines>
        <c:numFmt formatCode="[=1]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1732412"/>
        <c:crosses val="autoZero"/>
        <c:crossBetween val="between"/>
      </c:valAx>
      <c:spPr>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0"/>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s-CL" sz="1800" b="1" u="none" strike="noStrike">
                <a:solidFill>
                  <a:srgbClr val="000000"/>
                </a:solidFill>
                <a:uFillTx/>
                <a:latin typeface="Calibri"/>
              </a:rPr>
              <a:t>Nivel 2 — Por sector</a:t>
            </a:r>
          </a:p>
        </c:rich>
      </c:tx>
      <c:overlay val="0"/>
      <c:spPr>
        <a:noFill/>
        <a:ln w="0">
          <a:noFill/>
        </a:ln>
      </c:spPr>
    </c:title>
    <c:autoTitleDeleted val="0"/>
    <c:plotArea>
      <c:barChart>
        <c:barDir val="bar"/>
        <c:grouping val="clustered"/>
        <c:varyColors val="0"/>
        <c:ser>
          <c:idx val="0"/>
          <c:order val="0"/>
          <c:tx>
            <c:strRef>
              <c:f>label 0</c:f>
              <c:strCache>
                <c:ptCount val="1"/>
                <c:pt idx="0">
                  <c:v>Tasa de retención</c:v>
                </c:pt>
              </c:strCache>
            </c:strRef>
          </c:tx>
          <c:spPr>
            <a:solidFill>
              <a:srgbClr val="4F81BD"/>
            </a:solidFill>
            <a:ln w="0">
              <a:noFill/>
            </a:ln>
          </c:spPr>
          <c:invertIfNegative val="0"/>
          <c:dPt>
            <c:idx val="0"/>
            <c:invertIfNegative val="0"/>
            <c:spPr>
              <a:solidFill>
                <a:srgbClr val="102B42"/>
              </a:solidFill>
              <a:ln w="0">
                <a:noFill/>
              </a:ln>
            </c:spPr>
          </c:dPt>
          <c:dPt>
            <c:idx val="1"/>
            <c:invertIfNegative val="0"/>
            <c:spPr>
              <a:solidFill>
                <a:srgbClr val="CFB47C"/>
              </a:solidFill>
              <a:ln w="0">
                <a:noFill/>
              </a:ln>
            </c:spPr>
          </c:dPt>
          <c:dPt>
            <c:idx val="2"/>
            <c:invertIfNegative val="0"/>
            <c:spPr>
              <a:solidFill>
                <a:srgbClr val="0077B6"/>
              </a:solidFill>
              <a:ln w="0">
                <a:noFill/>
              </a:ln>
            </c:spPr>
          </c:dPt>
          <c:dLbls>
            <c:dLbl>
              <c:idx val="0"/>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dLbl>
            <c:dLbl>
              <c:idx val="1"/>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dLbl>
            <c:dLbl>
              <c:idx val="2"/>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dLbl>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extLst>
              <c:ext xmlns:c15="http://schemas.microsoft.com/office/drawing/2012/chart" uri="{CE6537A1-D6FC-4f65-9D91-7224C49458BB}">
                <c15:showLeaderLines val="1"/>
              </c:ext>
            </c:extLst>
          </c:dLbls>
          <c:cat>
            <c:strRef>
              <c:f>categories</c:f>
              <c:strCache>
                <c:ptCount val="3"/>
                <c:pt idx="0">
                  <c:v>Tecnologías</c:v>
                </c:pt>
                <c:pt idx="1">
                  <c:v>Administración y Comercio</c:v>
                </c:pt>
                <c:pt idx="2">
                  <c:v>Salud</c:v>
                </c:pt>
              </c:strCache>
            </c:strRef>
          </c:cat>
          <c:val>
            <c:numRef>
              <c:f>0</c:f>
              <c:numCache>
                <c:formatCode>General</c:formatCode>
                <c:ptCount val="3"/>
                <c:pt idx="0">
                  <c:v>0.657984144960362</c:v>
                </c:pt>
                <c:pt idx="1">
                  <c:v>0.518587360594796</c:v>
                </c:pt>
                <c:pt idx="2">
                  <c:v>0.466666666666667</c:v>
                </c:pt>
              </c:numCache>
            </c:numRef>
          </c:val>
        </c:ser>
        <c:gapWidth val="150"/>
        <c:overlap val="0"/>
        <c:axId val="35878012"/>
        <c:axId val="50121377"/>
      </c:barChart>
      <c:catAx>
        <c:axId val="35878012"/>
        <c:scaling>
          <c:orientation val="maxMin"/>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0121377"/>
        <c:crosses val="autoZero"/>
        <c:auto val="1"/>
        <c:lblAlgn val="ctr"/>
        <c:lblOffset val="100"/>
        <c:noMultiLvlLbl val="0"/>
      </c:catAx>
      <c:valAx>
        <c:axId val="50121377"/>
        <c:scaling>
          <c:orientation val="minMax"/>
        </c:scaling>
        <c:delete val="0"/>
        <c:axPos val="l"/>
        <c:majorGridlines>
          <c:spPr>
            <a:ln w="0">
              <a:solidFill>
                <a:srgbClr val="B3B3B3"/>
              </a:solidFill>
            </a:ln>
          </c:spPr>
        </c:majorGridlines>
        <c:numFmt formatCode="[=1]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5878012"/>
        <c:crosses val="max"/>
        <c:crossBetween val="between"/>
      </c:valAx>
      <c:spPr>
        <a:ln w="0">
          <a:noFill/>
        </a:ln>
      </c:spPr>
    </c:plotArea>
    <c:plotVisOnly val="0"/>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s-CL" sz="1800" b="1" u="none" strike="noStrike">
                <a:solidFill>
                  <a:srgbClr val="000000"/>
                </a:solidFill>
                <a:uFillTx/>
                <a:latin typeface="Calibri"/>
              </a:rPr>
              <a:t>Nivel 4 — Presencial vs. A distancia por cohorte</a:t>
            </a:r>
          </a:p>
        </c:rich>
      </c:tx>
      <c:overlay val="0"/>
      <c:spPr>
        <a:noFill/>
        <a:ln w="0">
          <a:noFill/>
        </a:ln>
      </c:spPr>
    </c:title>
    <c:autoTitleDeleted val="0"/>
    <c:plotArea>
      <c:lineChart>
        <c:grouping val="standard"/>
        <c:varyColors val="0"/>
        <c:ser>
          <c:idx val="0"/>
          <c:order val="0"/>
          <c:tx>
            <c:strRef>
              <c:f>label 0</c:f>
              <c:strCache>
                <c:ptCount val="1"/>
                <c:pt idx="0">
                  <c:v>Presencial</c:v>
                </c:pt>
              </c:strCache>
            </c:strRef>
          </c:tx>
          <c:spPr>
            <a:ln w="28080">
              <a:solidFill>
                <a:srgbClr val="0E4273"/>
              </a:solidFill>
              <a:round/>
            </a:ln>
          </c:spPr>
          <c:marker>
            <c:symbol val="none"/>
          </c:marker>
          <c:dPt>
            <c:idx val="1"/>
            <c:marker>
              <c:symbol val="none"/>
            </c:marker>
          </c:dPt>
          <c:dPt>
            <c:idx val="2"/>
            <c:marker>
              <c:symbol val="none"/>
            </c:marker>
          </c:dPt>
          <c:dPt>
            <c:idx val="3"/>
            <c:marker>
              <c:symbol val="none"/>
            </c:marker>
          </c:dPt>
          <c:dLbls>
            <c:dLbl>
              <c:idx val="1"/>
              <c:numFmt formatCode="0.0%" sourceLinked="0"/>
              <c:txPr>
                <a:bodyPr wrap="square"/>
                <a:lstStyle/>
                <a:p>
                  <a:pPr>
                    <a:defRPr sz="1000" b="0" u="none" strike="noStrike">
                      <a:solidFill>
                        <a:srgbClr val="000000"/>
                      </a:solidFill>
                      <a:uFillTx/>
                      <a:latin typeface="Calibri"/>
                    </a:defRPr>
                  </a:pPr>
                </a:p>
              </c:txPr>
              <c:dLblPos val="b"/>
              <c:showLegendKey val="0"/>
              <c:showVal val="1"/>
              <c:showCatName val="0"/>
              <c:showSerName val="0"/>
              <c:showPercent val="0"/>
              <c:separator>; </c:separator>
            </c:dLbl>
            <c:dLbl>
              <c:idx val="2"/>
              <c:numFmt formatCode="0.0%" sourceLinked="0"/>
              <c:txPr>
                <a:bodyPr wrap="square"/>
                <a:lstStyle/>
                <a:p>
                  <a:pPr>
                    <a:defRPr sz="1000" b="0" u="none" strike="noStrike">
                      <a:solidFill>
                        <a:srgbClr val="000000"/>
                      </a:solidFill>
                      <a:uFillTx/>
                      <a:latin typeface="Calibri"/>
                    </a:defRPr>
                  </a:pPr>
                </a:p>
              </c:txPr>
              <c:dLblPos val="b"/>
              <c:showLegendKey val="0"/>
              <c:showVal val="1"/>
              <c:showCatName val="0"/>
              <c:showSerName val="0"/>
              <c:showPercent val="0"/>
              <c:separator>; </c:separator>
            </c:dLbl>
            <c:dLbl>
              <c:idx val="3"/>
              <c:numFmt formatCode="0.0%" sourceLinked="0"/>
              <c:txPr>
                <a:bodyPr wrap="square"/>
                <a:lstStyle/>
                <a:p>
                  <a:pPr>
                    <a:defRPr sz="1000" b="0" u="none" strike="noStrike">
                      <a:solidFill>
                        <a:srgbClr val="000000"/>
                      </a:solidFill>
                      <a:uFillTx/>
                      <a:latin typeface="Calibri"/>
                    </a:defRPr>
                  </a:pPr>
                </a:p>
              </c:txPr>
              <c:dLblPos val="b"/>
              <c:showLegendKey val="0"/>
              <c:showVal val="1"/>
              <c:showCatName val="0"/>
              <c:showSerName val="0"/>
              <c:showPercent val="0"/>
              <c:separator>; </c:separator>
            </c:dLbl>
            <c:numFmt formatCode="0.0%" sourceLinked="0"/>
            <c:txPr>
              <a:bodyPr wrap="square"/>
              <a:lstStyle/>
              <a:p>
                <a:pPr>
                  <a:defRPr sz="1000" b="0" u="none" strike="noStrike">
                    <a:solidFill>
                      <a:srgbClr val="000000"/>
                    </a:solidFill>
                    <a:uFillTx/>
                    <a:latin typeface="Arial"/>
                  </a:defRPr>
                </a:pPr>
              </a:p>
            </c:txPr>
            <c:dLblPos val="t"/>
            <c:showLegendKey val="0"/>
            <c:showVal val="1"/>
            <c:showCatName val="0"/>
            <c:showSerName val="0"/>
            <c:showPercent val="0"/>
            <c:separator>; </c:separator>
            <c:extLst>
              <c:ext xmlns:c15="http://schemas.microsoft.com/office/drawing/2012/chart" uri="{CE6537A1-D6FC-4f65-9D91-7224C49458BB}">
                <c15:showLeaderLines val="1"/>
              </c:ext>
            </c:extLst>
          </c:dLbls>
          <c:cat>
            <c:strRef>
              <c:f>categories</c:f>
              <c:strCache>
                <c:ptCount val="4"/>
                <c:pt idx="0">
                  <c:v>2022</c:v>
                </c:pt>
                <c:pt idx="1">
                  <c:v>2023</c:v>
                </c:pt>
                <c:pt idx="2">
                  <c:v>2024</c:v>
                </c:pt>
                <c:pt idx="3">
                  <c:v>2025</c:v>
                </c:pt>
              </c:strCache>
            </c:strRef>
          </c:cat>
          <c:val>
            <c:numRef>
              <c:f>0</c:f>
              <c:numCache>
                <c:formatCode>General</c:formatCode>
                <c:ptCount val="4"/>
                <c:pt idx="0">
                  <c:v>0.759036144578313</c:v>
                </c:pt>
                <c:pt idx="1">
                  <c:v>0.583333333333333</c:v>
                </c:pt>
                <c:pt idx="2">
                  <c:v>0.580882352941177</c:v>
                </c:pt>
                <c:pt idx="3">
                  <c:v>0.5625</c:v>
                </c:pt>
              </c:numCache>
            </c:numRef>
          </c:val>
          <c:smooth val="0"/>
        </c:ser>
        <c:ser>
          <c:idx val="1"/>
          <c:order val="1"/>
          <c:tx>
            <c:strRef>
              <c:f>label 1</c:f>
              <c:strCache>
                <c:ptCount val="1"/>
                <c:pt idx="0">
                  <c:v>A distancia</c:v>
                </c:pt>
              </c:strCache>
            </c:strRef>
          </c:tx>
          <c:spPr>
            <a:ln w="28080">
              <a:solidFill>
                <a:srgbClr val="CFB47C"/>
              </a:solidFill>
              <a:round/>
            </a:ln>
          </c:spPr>
          <c:marker>
            <c:symbol val="none"/>
          </c:marker>
          <c:dPt>
            <c:idx val="0"/>
            <c:marker>
              <c:symbol val="none"/>
            </c:marker>
          </c:dPt>
          <c:dLbls>
            <c:dLbl>
              <c:idx val="0"/>
              <c:numFmt formatCode="0.0%" sourceLinked="0"/>
              <c:txPr>
                <a:bodyPr wrap="square"/>
                <a:lstStyle/>
                <a:p>
                  <a:pPr>
                    <a:defRPr sz="1000" b="0" u="none" strike="noStrike">
                      <a:solidFill>
                        <a:srgbClr val="000000"/>
                      </a:solidFill>
                      <a:uFillTx/>
                      <a:latin typeface="Calibri"/>
                    </a:defRPr>
                  </a:pPr>
                </a:p>
              </c:txPr>
              <c:dLblPos val="b"/>
              <c:showLegendKey val="0"/>
              <c:showVal val="1"/>
              <c:showCatName val="0"/>
              <c:showSerName val="0"/>
              <c:showPercent val="0"/>
              <c:separator>; </c:separator>
            </c:dLbl>
            <c:numFmt formatCode="0.0%" sourceLinked="0"/>
            <c:txPr>
              <a:bodyPr wrap="square"/>
              <a:lstStyle/>
              <a:p>
                <a:pPr>
                  <a:defRPr sz="1000" b="0" u="none" strike="noStrike">
                    <a:solidFill>
                      <a:srgbClr val="000000"/>
                    </a:solidFill>
                    <a:uFillTx/>
                    <a:latin typeface="Arial"/>
                  </a:defRPr>
                </a:pPr>
              </a:p>
            </c:txPr>
            <c:dLblPos val="t"/>
            <c:showLegendKey val="0"/>
            <c:showVal val="1"/>
            <c:showCatName val="0"/>
            <c:showSerName val="0"/>
            <c:showPercent val="0"/>
            <c:separator>; </c:separator>
            <c:extLst>
              <c:ext xmlns:c15="http://schemas.microsoft.com/office/drawing/2012/chart" uri="{CE6537A1-D6FC-4f65-9D91-7224C49458BB}">
                <c15:showLeaderLines val="1"/>
              </c:ext>
            </c:extLst>
          </c:dLbls>
          <c:cat>
            <c:strRef>
              <c:f>categories</c:f>
              <c:strCache>
                <c:ptCount val="4"/>
                <c:pt idx="0">
                  <c:v>2022</c:v>
                </c:pt>
                <c:pt idx="1">
                  <c:v>2023</c:v>
                </c:pt>
                <c:pt idx="2">
                  <c:v>2024</c:v>
                </c:pt>
                <c:pt idx="3">
                  <c:v>2025</c:v>
                </c:pt>
              </c:strCache>
            </c:strRef>
          </c:cat>
          <c:val>
            <c:numRef>
              <c:f>1</c:f>
              <c:numCache>
                <c:formatCode>General</c:formatCode>
                <c:ptCount val="4"/>
                <c:pt idx="0">
                  <c:v>0.725225225225225</c:v>
                </c:pt>
                <c:pt idx="1">
                  <c:v>0.713450292397661</c:v>
                </c:pt>
                <c:pt idx="2">
                  <c:v>0.585308056872038</c:v>
                </c:pt>
                <c:pt idx="3">
                  <c:v>0.585714285714286</c:v>
                </c:pt>
              </c:numCache>
            </c:numRef>
          </c:val>
          <c:smooth val="0"/>
        </c:ser>
        <c:hiLowLines>
          <c:spPr>
            <a:ln w="0">
              <a:noFill/>
            </a:ln>
          </c:spPr>
        </c:hiLowLines>
        <c:marker val="0"/>
        <c:axId val="77250517"/>
        <c:axId val="77670905"/>
      </c:lineChart>
      <c:catAx>
        <c:axId val="7725051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7670905"/>
        <c:crosses val="autoZero"/>
        <c:auto val="1"/>
        <c:lblAlgn val="ctr"/>
        <c:lblOffset val="100"/>
        <c:noMultiLvlLbl val="0"/>
      </c:catAx>
      <c:valAx>
        <c:axId val="77670905"/>
        <c:scaling>
          <c:orientation val="minMax"/>
        </c:scaling>
        <c:delete val="0"/>
        <c:axPos val="l"/>
        <c:majorGridlines>
          <c:spPr>
            <a:ln w="0">
              <a:solidFill>
                <a:srgbClr val="B3B3B3"/>
              </a:solidFill>
            </a:ln>
          </c:spPr>
        </c:majorGridlines>
        <c:numFmt formatCode="[=1]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7250517"/>
        <c:crosses val="autoZero"/>
        <c:crossBetween val="between"/>
      </c:valAx>
      <c:spPr>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0"/>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s-CL" sz="1800" b="1" u="none" strike="noStrike">
                <a:solidFill>
                  <a:srgbClr val="000000"/>
                </a:solidFill>
                <a:uFillTx/>
                <a:latin typeface="Calibri"/>
              </a:rPr>
              <a:t>Nivel 5 — Por carrera</a:t>
            </a:r>
          </a:p>
        </c:rich>
      </c:tx>
      <c:overlay val="0"/>
      <c:spPr>
        <a:noFill/>
        <a:ln w="0">
          <a:noFill/>
        </a:ln>
      </c:spPr>
    </c:title>
    <c:autoTitleDeleted val="0"/>
    <c:plotArea>
      <c:barChart>
        <c:barDir val="bar"/>
        <c:grouping val="clustered"/>
        <c:varyColors val="0"/>
        <c:ser>
          <c:idx val="0"/>
          <c:order val="0"/>
          <c:tx>
            <c:strRef>
              <c:f>label 0</c:f>
              <c:strCache>
                <c:ptCount val="1"/>
                <c:pt idx="0">
                  <c:v>Tasa de retención</c:v>
                </c:pt>
              </c:strCache>
            </c:strRef>
          </c:tx>
          <c:spPr>
            <a:solidFill>
              <a:srgbClr val="102B42"/>
            </a:solidFill>
            <a:ln w="28080">
              <a:solidFill>
                <a:srgbClr val="102B42"/>
              </a:solidFill>
              <a:round/>
            </a:ln>
          </c:spPr>
          <c:invertIfNegative val="0"/>
          <c:dLbls>
            <c:numFmt formatCode="[=1]0%;0.0%" sourceLinked="0"/>
            <c:txPr>
              <a:bodyPr wrap="square"/>
              <a:lstStyle/>
              <a:p>
                <a:pPr>
                  <a:defRPr sz="1000" b="0" u="none" strike="noStrike">
                    <a:solidFill>
                      <a:srgbClr val="000000"/>
                    </a:solidFill>
                    <a:uFillTx/>
                    <a:latin typeface="Arial"/>
                  </a:defRPr>
                </a:pPr>
              </a:p>
            </c:txPr>
            <c:dLblPos val="outEnd"/>
            <c:showLegendKey val="0"/>
            <c:showVal val="1"/>
            <c:showCatName val="0"/>
            <c:showSerName val="0"/>
            <c:showPercent val="0"/>
            <c:separator>; </c:separator>
            <c:extLst>
              <c:ext xmlns:c15="http://schemas.microsoft.com/office/drawing/2012/chart" uri="{CE6537A1-D6FC-4f65-9D91-7224C49458BB}">
                <c15:showLeaderLines val="1"/>
              </c:ext>
            </c:extLst>
          </c:dLbls>
          <c:cat>
            <c:strRef>
              <c:f>categories</c:f>
              <c:strCache>
                <c:ptCount val="17"/>
                <c:pt idx="0">
                  <c:v>Ingenieria En Conectividad Y Redes</c:v>
                </c:pt>
                <c:pt idx="1">
                  <c:v>Auditoria</c:v>
                </c:pt>
                <c:pt idx="2">
                  <c:v>Tecnico En Programacion Y Analisis De Sistemas</c:v>
                </c:pt>
                <c:pt idx="3">
                  <c:v>Ingenieria En Informatica</c:v>
                </c:pt>
                <c:pt idx="4">
                  <c:v>Ingenieria En Ciberseguridad</c:v>
                </c:pt>
                <c:pt idx="5">
                  <c:v>Tecnico En Ciberseguridad</c:v>
                </c:pt>
                <c:pt idx="6">
                  <c:v>Ingenieria En Logistica</c:v>
                </c:pt>
                <c:pt idx="7">
                  <c:v>Tecnico En Ciencia De Datos</c:v>
                </c:pt>
                <c:pt idx="8">
                  <c:v>Tecnico En Conectividad Y Redes</c:v>
                </c:pt>
                <c:pt idx="9">
                  <c:v>Tecnico En Logistica</c:v>
                </c:pt>
                <c:pt idx="10">
                  <c:v>Ingenieria En Ciencia De Datos</c:v>
                </c:pt>
                <c:pt idx="11">
                  <c:v>Tecnico En Administracion Publica</c:v>
                </c:pt>
                <c:pt idx="12">
                  <c:v>Contabilidad General</c:v>
                </c:pt>
                <c:pt idx="13">
                  <c:v>Ingenieria En Administracion De Empresas</c:v>
                </c:pt>
                <c:pt idx="14">
                  <c:v>Administracion Publica</c:v>
                </c:pt>
                <c:pt idx="15">
                  <c:v>Tecnico En Enfermeria</c:v>
                </c:pt>
                <c:pt idx="16">
                  <c:v>Tecnico En Administracion De Empresas</c:v>
                </c:pt>
              </c:strCache>
            </c:strRef>
          </c:cat>
          <c:val>
            <c:numRef>
              <c:f>0</c:f>
              <c:numCache>
                <c:formatCode>[=1]0%;0.0%</c:formatCode>
                <c:ptCount val="17"/>
                <c:pt idx="0">
                  <c:v>0.713080168776371</c:v>
                </c:pt>
                <c:pt idx="1">
                  <c:v>0.675</c:v>
                </c:pt>
                <c:pt idx="2">
                  <c:v>0.671673819742489</c:v>
                </c:pt>
                <c:pt idx="3">
                  <c:v>0.667664670658683</c:v>
                </c:pt>
                <c:pt idx="4">
                  <c:v>0.653465346534654</c:v>
                </c:pt>
                <c:pt idx="5">
                  <c:v>0.648535564853557</c:v>
                </c:pt>
                <c:pt idx="6">
                  <c:v>0.578947368421053</c:v>
                </c:pt>
                <c:pt idx="7">
                  <c:v>0.565217391304348</c:v>
                </c:pt>
                <c:pt idx="8">
                  <c:v>0.564516129032258</c:v>
                </c:pt>
                <c:pt idx="9">
                  <c:v>0.542857142857143</c:v>
                </c:pt>
                <c:pt idx="10">
                  <c:v>0.525</c:v>
                </c:pt>
                <c:pt idx="11">
                  <c:v>0.5</c:v>
                </c:pt>
                <c:pt idx="12">
                  <c:v>0.5</c:v>
                </c:pt>
                <c:pt idx="13">
                  <c:v>0.494949494949495</c:v>
                </c:pt>
                <c:pt idx="14">
                  <c:v>0.471428571428571</c:v>
                </c:pt>
                <c:pt idx="15">
                  <c:v>0.466666666666667</c:v>
                </c:pt>
                <c:pt idx="16">
                  <c:v>0.443181818181818</c:v>
                </c:pt>
              </c:numCache>
            </c:numRef>
          </c:val>
        </c:ser>
        <c:gapWidth val="150"/>
        <c:overlap val="0"/>
        <c:axId val="95971607"/>
        <c:axId val="24053890"/>
      </c:barChart>
      <c:catAx>
        <c:axId val="95971607"/>
        <c:scaling>
          <c:orientation val="maxMin"/>
        </c:scaling>
        <c:delete val="0"/>
        <c:axPos val="b"/>
        <c:majorGridlines>
          <c:spPr>
            <a:ln w="0">
              <a:solidFill>
                <a:srgbClr val="B3B3B3"/>
              </a:solidFill>
            </a:ln>
          </c:spPr>
        </c:majorGridlines>
        <c:numFmt formatCode="[=1]0%;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4053890"/>
        <c:crosses val="autoZero"/>
        <c:auto val="1"/>
        <c:lblAlgn val="ctr"/>
        <c:lblOffset val="100"/>
        <c:noMultiLvlLbl val="0"/>
      </c:catAx>
      <c:valAx>
        <c:axId val="24053890"/>
        <c:scaling>
          <c:orientation val="minMax"/>
        </c:scaling>
        <c:delete val="0"/>
        <c:axPos val="l"/>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5971607"/>
        <c:crosses val="max"/>
        <c:crossBetween val="between"/>
      </c:valAx>
      <c:spPr>
        <a:ln w="0">
          <a:noFill/>
        </a:ln>
      </c:spPr>
    </c:plotArea>
    <c:plotVisOnly val="0"/>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s-CL" sz="1800" b="1" u="none" strike="noStrike">
                <a:solidFill>
                  <a:srgbClr val="000000"/>
                </a:solidFill>
                <a:uFillTx/>
                <a:latin typeface="Calibri"/>
              </a:rPr>
              <a:t>Nivel 6 — Carrera × Modalidad</a:t>
            </a:r>
          </a:p>
        </c:rich>
      </c:tx>
      <c:overlay val="0"/>
      <c:spPr>
        <a:noFill/>
        <a:ln w="0">
          <a:noFill/>
        </a:ln>
      </c:spPr>
    </c:title>
    <c:autoTitleDeleted val="0"/>
    <c:plotArea>
      <c:barChart>
        <c:barDir val="bar"/>
        <c:grouping val="clustered"/>
        <c:varyColors val="0"/>
        <c:ser>
          <c:idx val="0"/>
          <c:order val="0"/>
          <c:tx>
            <c:strRef>
              <c:f>label 0</c:f>
              <c:strCache>
                <c:ptCount val="1"/>
                <c:pt idx="0">
                  <c:v>Tasa de retención</c:v>
                </c:pt>
              </c:strCache>
            </c:strRef>
          </c:tx>
          <c:spPr>
            <a:solidFill>
              <a:srgbClr val="102B42"/>
            </a:solidFill>
            <a:ln w="28080">
              <a:solidFill>
                <a:srgbClr val="102B42"/>
              </a:solidFill>
              <a:round/>
            </a:ln>
          </c:spPr>
          <c:invertIfNegative val="0"/>
          <c:dLbls>
            <c:numFmt formatCode="0.0%" sourceLinked="0"/>
            <c:txPr>
              <a:bodyPr wrap="square"/>
              <a:lstStyle/>
              <a:p>
                <a:pPr>
                  <a:defRPr sz="1000" b="0" u="none" strike="noStrike">
                    <a:solidFill>
                      <a:srgbClr val="000000"/>
                    </a:solidFill>
                    <a:uFillTx/>
                    <a:latin typeface="Arial"/>
                  </a:defRPr>
                </a:pPr>
              </a:p>
            </c:txPr>
            <c:dLblPos val="outEnd"/>
            <c:showLegendKey val="0"/>
            <c:showVal val="1"/>
            <c:showCatName val="0"/>
            <c:showSerName val="0"/>
            <c:showPercent val="0"/>
            <c:separator>; </c:separator>
            <c:extLst>
              <c:ext xmlns:c15="http://schemas.microsoft.com/office/drawing/2012/chart" uri="{CE6537A1-D6FC-4f65-9D91-7224C49458BB}">
                <c15:showLeaderLines val="1"/>
              </c:ext>
            </c:extLst>
          </c:dLbls>
          <c:cat>
            <c:strRef>
              <c:f>categories</c:f>
              <c:strCache>
                <c:ptCount val="27"/>
                <c:pt idx="0">
                  <c:v>Tecnico En Administracion De Empresas — Presencial</c:v>
                </c:pt>
                <c:pt idx="1">
                  <c:v>Ingenieria En Administracion De Empresas — Presencial</c:v>
                </c:pt>
                <c:pt idx="2">
                  <c:v>Tecnico En Logistica — Presencial</c:v>
                </c:pt>
                <c:pt idx="3">
                  <c:v>Ingenieria En Logistica — Presencial</c:v>
                </c:pt>
                <c:pt idx="4">
                  <c:v>Tecnico En Enfermeria — Presencial</c:v>
                </c:pt>
                <c:pt idx="5">
                  <c:v>Administracion Publica — A distancia</c:v>
                </c:pt>
                <c:pt idx="6">
                  <c:v>Tecnico En Administracion De Empresas — A distancia</c:v>
                </c:pt>
                <c:pt idx="7">
                  <c:v>Contabilidad General — A distancia</c:v>
                </c:pt>
                <c:pt idx="8">
                  <c:v>Tecnico En Administracion Publica — A distancia</c:v>
                </c:pt>
                <c:pt idx="9">
                  <c:v>Ingenieria En Ciencia De Datos — A distancia</c:v>
                </c:pt>
                <c:pt idx="10">
                  <c:v>Ingenieria En Administracion De Empresas — A distancia</c:v>
                </c:pt>
                <c:pt idx="11">
                  <c:v>Tecnico En Conectividad Y Redes — A distancia</c:v>
                </c:pt>
                <c:pt idx="12">
                  <c:v>Tecnico En Ciencia De Datos — A distancia</c:v>
                </c:pt>
                <c:pt idx="13">
                  <c:v>Tecnico En Logistica — A distancia</c:v>
                </c:pt>
                <c:pt idx="14">
                  <c:v>Ingenieria En Logistica — A distancia</c:v>
                </c:pt>
                <c:pt idx="15">
                  <c:v>Ingenieria En Ciberseguridad — A distancia</c:v>
                </c:pt>
                <c:pt idx="16">
                  <c:v>Tecnico En Programacion Y Analisis De Sistemas — Presencial</c:v>
                </c:pt>
                <c:pt idx="17">
                  <c:v>Tecnico En Ciberseguridad — A distancia</c:v>
                </c:pt>
                <c:pt idx="18">
                  <c:v>Tecnico En Conectividad Y Redes — Presencial</c:v>
                </c:pt>
                <c:pt idx="19">
                  <c:v>Ingenieria En Informatica — Presencial</c:v>
                </c:pt>
                <c:pt idx="20">
                  <c:v>Ingenieria En Informatica — A distancia</c:v>
                </c:pt>
                <c:pt idx="21">
                  <c:v>Auditoria — A distancia</c:v>
                </c:pt>
                <c:pt idx="22">
                  <c:v>Tecnico En Programacion Y Analisis De Sistemas — A distancia</c:v>
                </c:pt>
                <c:pt idx="23">
                  <c:v>Tecnico En Ciberseguridad — Presencial</c:v>
                </c:pt>
                <c:pt idx="24">
                  <c:v>Ingenieria En Conectividad Y Redes — A distancia</c:v>
                </c:pt>
                <c:pt idx="25">
                  <c:v>Ingenieria En Ciberseguridad — Presencial</c:v>
                </c:pt>
                <c:pt idx="26">
                  <c:v>Ingenieria En Conectividad Y Redes — Presencial</c:v>
                </c:pt>
              </c:strCache>
            </c:strRef>
          </c:cat>
          <c:val>
            <c:numRef>
              <c:f>0</c:f>
              <c:numCache>
                <c:formatCode>0.0%</c:formatCode>
                <c:ptCount val="27"/>
                <c:pt idx="0">
                  <c:v>0.3125</c:v>
                </c:pt>
                <c:pt idx="1">
                  <c:v>0.35</c:v>
                </c:pt>
                <c:pt idx="2">
                  <c:v>0.36</c:v>
                </c:pt>
                <c:pt idx="3">
                  <c:v>0.466666666666667</c:v>
                </c:pt>
                <c:pt idx="4">
                  <c:v>0.466666666666667</c:v>
                </c:pt>
                <c:pt idx="5">
                  <c:v>0.471428571428571</c:v>
                </c:pt>
                <c:pt idx="6">
                  <c:v>0.472222222222222</c:v>
                </c:pt>
                <c:pt idx="7">
                  <c:v>0.5</c:v>
                </c:pt>
                <c:pt idx="8">
                  <c:v>0.5</c:v>
                </c:pt>
                <c:pt idx="9">
                  <c:v>0.525</c:v>
                </c:pt>
                <c:pt idx="10">
                  <c:v>0.531645569620253</c:v>
                </c:pt>
                <c:pt idx="11">
                  <c:v>0.554545454545455</c:v>
                </c:pt>
                <c:pt idx="12">
                  <c:v>0.565217391304348</c:v>
                </c:pt>
                <c:pt idx="13">
                  <c:v>0.6</c:v>
                </c:pt>
                <c:pt idx="14">
                  <c:v>0.60655737704918</c:v>
                </c:pt>
                <c:pt idx="15">
                  <c:v>0.616113744075829</c:v>
                </c:pt>
                <c:pt idx="16">
                  <c:v>0.631578947368421</c:v>
                </c:pt>
                <c:pt idx="17">
                  <c:v>0.635416666666667</c:v>
                </c:pt>
                <c:pt idx="18">
                  <c:v>0.642857142857143</c:v>
                </c:pt>
                <c:pt idx="19">
                  <c:v>0.653846153846154</c:v>
                </c:pt>
                <c:pt idx="20">
                  <c:v>0.671875</c:v>
                </c:pt>
                <c:pt idx="21">
                  <c:v>0.675</c:v>
                </c:pt>
                <c:pt idx="22">
                  <c:v>0.67948717948718</c:v>
                </c:pt>
                <c:pt idx="23">
                  <c:v>0.702127659574468</c:v>
                </c:pt>
                <c:pt idx="24">
                  <c:v>0.707547169811321</c:v>
                </c:pt>
                <c:pt idx="25">
                  <c:v>0.739130434782609</c:v>
                </c:pt>
                <c:pt idx="26">
                  <c:v>0.76</c:v>
                </c:pt>
              </c:numCache>
            </c:numRef>
          </c:val>
        </c:ser>
        <c:gapWidth val="150"/>
        <c:overlap val="0"/>
        <c:axId val="51974161"/>
        <c:axId val="62867566"/>
      </c:barChart>
      <c:catAx>
        <c:axId val="51974161"/>
        <c:scaling>
          <c:orientation val="maxMin"/>
        </c:scaling>
        <c:delete val="0"/>
        <c:axPos val="b"/>
        <c:numFmt formatCode="[=1]0%;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2867566"/>
        <c:crosses val="autoZero"/>
        <c:auto val="1"/>
        <c:lblAlgn val="ctr"/>
        <c:lblOffset val="100"/>
        <c:noMultiLvlLbl val="0"/>
      </c:catAx>
      <c:valAx>
        <c:axId val="62867566"/>
        <c:scaling>
          <c:orientation val="minMax"/>
        </c:scaling>
        <c:delete val="0"/>
        <c:axPos val="l"/>
        <c:numFmt formatCode="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1974161"/>
        <c:crosses val="max"/>
        <c:crossBetween val="between"/>
      </c:valAx>
      <c:spPr>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s-CL" sz="1800" b="1" u="none" strike="noStrike">
                <a:solidFill>
                  <a:srgbClr val="000000"/>
                </a:solidFill>
                <a:uFillTx/>
                <a:latin typeface="Calibri"/>
              </a:rPr>
              <a:t>N7 — Por jornada</a:t>
            </a:r>
          </a:p>
        </c:rich>
      </c:tx>
      <c:overlay val="0"/>
      <c:spPr>
        <a:noFill/>
        <a:ln w="0">
          <a:noFill/>
        </a:ln>
      </c:spPr>
    </c:title>
    <c:autoTitleDeleted val="0"/>
    <c:plotArea>
      <c:barChart>
        <c:barDir val="col"/>
        <c:grouping val="clustered"/>
        <c:varyColors val="0"/>
        <c:ser>
          <c:idx val="0"/>
          <c:order val="0"/>
          <c:tx>
            <c:strRef>
              <c:f>label 0</c:f>
              <c:strCache>
                <c:ptCount val="1"/>
                <c:pt idx="0">
                  <c:v>Tasa de retención</c:v>
                </c:pt>
              </c:strCache>
            </c:strRef>
          </c:tx>
          <c:spPr>
            <a:solidFill>
              <a:srgbClr val="4F81BD"/>
            </a:solidFill>
            <a:ln w="0">
              <a:noFill/>
            </a:ln>
          </c:spPr>
          <c:invertIfNegative val="0"/>
          <c:dPt>
            <c:idx val="0"/>
            <c:invertIfNegative val="0"/>
            <c:spPr>
              <a:solidFill>
                <a:srgbClr val="0077B6"/>
              </a:solidFill>
              <a:ln w="0">
                <a:noFill/>
              </a:ln>
            </c:spPr>
          </c:dPt>
          <c:dPt>
            <c:idx val="1"/>
            <c:invertIfNegative val="0"/>
            <c:spPr>
              <a:solidFill>
                <a:srgbClr val="CFB47C"/>
              </a:solidFill>
              <a:ln w="0">
                <a:noFill/>
              </a:ln>
            </c:spPr>
          </c:dPt>
          <c:dPt>
            <c:idx val="2"/>
            <c:invertIfNegative val="0"/>
            <c:spPr>
              <a:solidFill>
                <a:srgbClr val="0E4273"/>
              </a:solidFill>
              <a:ln w="0">
                <a:noFill/>
              </a:ln>
            </c:spPr>
          </c:dPt>
          <c:dLbls>
            <c:dLbl>
              <c:idx val="0"/>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dLbl>
            <c:dLbl>
              <c:idx val="1"/>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dLbl>
            <c:dLbl>
              <c:idx val="2"/>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dLbl>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extLst>
              <c:ext xmlns:c15="http://schemas.microsoft.com/office/drawing/2012/chart" uri="{CE6537A1-D6FC-4f65-9D91-7224C49458BB}">
                <c15:showLeaderLines val="1"/>
              </c:ext>
            </c:extLst>
          </c:dLbls>
          <c:cat>
            <c:strRef>
              <c:f>categories</c:f>
              <c:strCache>
                <c:ptCount val="3"/>
                <c:pt idx="0">
                  <c:v>Presencial-Vespertino</c:v>
                </c:pt>
                <c:pt idx="1">
                  <c:v>Virtual</c:v>
                </c:pt>
                <c:pt idx="2">
                  <c:v>Presencial-Diurno</c:v>
                </c:pt>
              </c:strCache>
            </c:strRef>
          </c:cat>
          <c:val>
            <c:numRef>
              <c:f>0</c:f>
              <c:numCache>
                <c:formatCode>0.0%</c:formatCode>
                <c:ptCount val="3"/>
                <c:pt idx="0">
                  <c:v>0.53921568627451</c:v>
                </c:pt>
                <c:pt idx="1">
                  <c:v>0.625</c:v>
                </c:pt>
                <c:pt idx="2">
                  <c:v>0.711864406779661</c:v>
                </c:pt>
              </c:numCache>
            </c:numRef>
          </c:val>
        </c:ser>
        <c:gapWidth val="150"/>
        <c:overlap val="0"/>
        <c:axId val="38037187"/>
        <c:axId val="76774604"/>
      </c:barChart>
      <c:catAx>
        <c:axId val="3803718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6774604"/>
        <c:crosses val="autoZero"/>
        <c:auto val="1"/>
        <c:lblAlgn val="ctr"/>
        <c:lblOffset val="100"/>
        <c:noMultiLvlLbl val="0"/>
      </c:catAx>
      <c:valAx>
        <c:axId val="76774604"/>
        <c:scaling>
          <c:orientation val="minMax"/>
        </c:scaling>
        <c:delete val="0"/>
        <c:axPos val="l"/>
        <c:numFmt formatCode="[=1]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8037187"/>
        <c:crosses val="autoZero"/>
        <c:crossBetween val="between"/>
      </c:valAx>
      <c:spPr>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s-CL" sz="1800" b="1" u="none" strike="noStrike">
                <a:solidFill>
                  <a:srgbClr val="000000"/>
                </a:solidFill>
                <a:uFillTx/>
                <a:latin typeface="Calibri"/>
              </a:rPr>
              <a:t>N7 — Por sexo</a:t>
            </a:r>
          </a:p>
        </c:rich>
      </c:tx>
      <c:overlay val="0"/>
      <c:spPr>
        <a:noFill/>
        <a:ln w="0">
          <a:noFill/>
        </a:ln>
      </c:spPr>
    </c:title>
    <c:autoTitleDeleted val="0"/>
    <c:plotArea>
      <c:barChart>
        <c:barDir val="col"/>
        <c:grouping val="clustered"/>
        <c:varyColors val="0"/>
        <c:ser>
          <c:idx val="0"/>
          <c:order val="0"/>
          <c:tx>
            <c:strRef>
              <c:f>label 0</c:f>
              <c:strCache>
                <c:ptCount val="1"/>
                <c:pt idx="0">
                  <c:v>Tasa de retención</c:v>
                </c:pt>
              </c:strCache>
            </c:strRef>
          </c:tx>
          <c:spPr>
            <a:solidFill>
              <a:srgbClr val="4F81BD"/>
            </a:solidFill>
            <a:ln w="0">
              <a:noFill/>
            </a:ln>
          </c:spPr>
          <c:invertIfNegative val="0"/>
          <c:dPt>
            <c:idx val="0"/>
            <c:invertIfNegative val="0"/>
            <c:spPr>
              <a:solidFill>
                <a:srgbClr val="3A3A3A"/>
              </a:solidFill>
              <a:ln w="0">
                <a:noFill/>
              </a:ln>
            </c:spPr>
          </c:dPt>
          <c:dPt>
            <c:idx val="1"/>
            <c:invertIfNegative val="0"/>
            <c:spPr>
              <a:solidFill>
                <a:srgbClr val="0E4273"/>
              </a:solidFill>
              <a:ln w="0">
                <a:noFill/>
              </a:ln>
            </c:spPr>
          </c:dPt>
          <c:dPt>
            <c:idx val="2"/>
            <c:invertIfNegative val="0"/>
            <c:spPr>
              <a:solidFill>
                <a:srgbClr val="0096C7"/>
              </a:solidFill>
              <a:ln w="0">
                <a:noFill/>
              </a:ln>
            </c:spPr>
          </c:dPt>
          <c:dLbls>
            <c:dLbl>
              <c:idx val="0"/>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dLbl>
            <c:dLbl>
              <c:idx val="1"/>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dLbl>
            <c:dLbl>
              <c:idx val="2"/>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dLbl>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extLst>
              <c:ext xmlns:c15="http://schemas.microsoft.com/office/drawing/2012/chart" uri="{CE6537A1-D6FC-4f65-9D91-7224C49458BB}">
                <c15:showLeaderLines val="1"/>
              </c:ext>
            </c:extLst>
          </c:dLbls>
          <c:cat>
            <c:strRef>
              <c:f>categories</c:f>
              <c:strCache>
                <c:ptCount val="3"/>
                <c:pt idx="0">
                  <c:v>No binario</c:v>
                </c:pt>
                <c:pt idx="1">
                  <c:v>Hombre</c:v>
                </c:pt>
                <c:pt idx="2">
                  <c:v>Mujer</c:v>
                </c:pt>
              </c:strCache>
            </c:strRef>
          </c:cat>
          <c:val>
            <c:numRef>
              <c:f>0</c:f>
              <c:numCache>
                <c:formatCode>0.0%</c:formatCode>
                <c:ptCount val="3"/>
                <c:pt idx="0">
                  <c:v>0</c:v>
                </c:pt>
                <c:pt idx="1">
                  <c:v>0.618778280542986</c:v>
                </c:pt>
                <c:pt idx="2">
                  <c:v>0.626229508196721</c:v>
                </c:pt>
              </c:numCache>
            </c:numRef>
          </c:val>
        </c:ser>
        <c:gapWidth val="150"/>
        <c:overlap val="0"/>
        <c:axId val="16625211"/>
        <c:axId val="72115991"/>
      </c:barChart>
      <c:catAx>
        <c:axId val="1662521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2115991"/>
        <c:crosses val="autoZero"/>
        <c:auto val="1"/>
        <c:lblAlgn val="ctr"/>
        <c:lblOffset val="100"/>
        <c:noMultiLvlLbl val="0"/>
      </c:catAx>
      <c:valAx>
        <c:axId val="72115991"/>
        <c:scaling>
          <c:orientation val="minMax"/>
        </c:scaling>
        <c:delete val="0"/>
        <c:axPos val="l"/>
        <c:numFmt formatCode="[=1]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6625211"/>
        <c:crosses val="autoZero"/>
        <c:crossBetween val="between"/>
      </c:valAx>
      <c:spPr>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s-CL" sz="1800" b="1" u="none" strike="noStrike">
                <a:solidFill>
                  <a:srgbClr val="000000"/>
                </a:solidFill>
                <a:uFillTx/>
                <a:latin typeface="Calibri"/>
              </a:rPr>
              <a:t>N7 — Por tramo de edad</a:t>
            </a:r>
          </a:p>
        </c:rich>
      </c:tx>
      <c:overlay val="0"/>
      <c:spPr>
        <a:noFill/>
        <a:ln w="0">
          <a:noFill/>
        </a:ln>
      </c:spPr>
    </c:title>
    <c:autoTitleDeleted val="0"/>
    <c:plotArea>
      <c:barChart>
        <c:barDir val="col"/>
        <c:grouping val="clustered"/>
        <c:varyColors val="0"/>
        <c:ser>
          <c:idx val="0"/>
          <c:order val="0"/>
          <c:tx>
            <c:strRef>
              <c:f>label 0</c:f>
              <c:strCache>
                <c:ptCount val="1"/>
                <c:pt idx="0">
                  <c:v>Tasa de retención</c:v>
                </c:pt>
              </c:strCache>
            </c:strRef>
          </c:tx>
          <c:spPr>
            <a:solidFill>
              <a:srgbClr val="4F81BD"/>
            </a:solidFill>
            <a:ln w="0">
              <a:noFill/>
            </a:ln>
          </c:spPr>
          <c:invertIfNegative val="0"/>
          <c:dPt>
            <c:idx val="0"/>
            <c:invertIfNegative val="0"/>
            <c:spPr>
              <a:solidFill>
                <a:srgbClr val="CFB47C"/>
              </a:solidFill>
              <a:ln w="0">
                <a:noFill/>
              </a:ln>
            </c:spPr>
          </c:dPt>
          <c:dPt>
            <c:idx val="1"/>
            <c:invertIfNegative val="0"/>
            <c:spPr>
              <a:solidFill>
                <a:srgbClr val="102B42"/>
              </a:solidFill>
              <a:ln w="0">
                <a:noFill/>
              </a:ln>
            </c:spPr>
          </c:dPt>
          <c:dPt>
            <c:idx val="2"/>
            <c:invertIfNegative val="0"/>
            <c:spPr>
              <a:solidFill>
                <a:srgbClr val="0E4273"/>
              </a:solidFill>
              <a:ln w="0">
                <a:noFill/>
              </a:ln>
            </c:spPr>
          </c:dPt>
          <c:dPt>
            <c:idx val="3"/>
            <c:invertIfNegative val="0"/>
            <c:spPr>
              <a:solidFill>
                <a:srgbClr val="0096C7"/>
              </a:solidFill>
              <a:ln w="0">
                <a:noFill/>
              </a:ln>
            </c:spPr>
          </c:dPt>
          <c:dPt>
            <c:idx val="4"/>
            <c:invertIfNegative val="0"/>
            <c:spPr>
              <a:solidFill>
                <a:srgbClr val="0077B6"/>
              </a:solidFill>
              <a:ln w="0">
                <a:noFill/>
              </a:ln>
            </c:spPr>
          </c:dPt>
          <c:dLbls>
            <c:dLbl>
              <c:idx val="0"/>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dLbl>
            <c:dLbl>
              <c:idx val="1"/>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dLbl>
            <c:dLbl>
              <c:idx val="2"/>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dLbl>
            <c:dLbl>
              <c:idx val="3"/>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dLbl>
            <c:dLbl>
              <c:idx val="4"/>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dLbl>
            <c:numFmt formatCode="0.0%" sourceLinked="0"/>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extLst>
              <c:ext xmlns:c15="http://schemas.microsoft.com/office/drawing/2012/chart" uri="{CE6537A1-D6FC-4f65-9D91-7224C49458BB}">
                <c15:showLeaderLines val="1"/>
              </c:ext>
            </c:extLst>
          </c:dLbls>
          <c:cat>
            <c:strRef>
              <c:f>categories</c:f>
              <c:strCache>
                <c:ptCount val="5"/>
                <c:pt idx="0">
                  <c:v>40+</c:v>
                </c:pt>
                <c:pt idx="1">
                  <c:v>30-39</c:v>
                </c:pt>
                <c:pt idx="2">
                  <c:v>25-29</c:v>
                </c:pt>
                <c:pt idx="3">
                  <c:v>Menos de 20</c:v>
                </c:pt>
                <c:pt idx="4">
                  <c:v>20-24</c:v>
                </c:pt>
              </c:strCache>
            </c:strRef>
          </c:cat>
          <c:val>
            <c:numRef>
              <c:f>0</c:f>
              <c:numCache>
                <c:formatCode>0.0%</c:formatCode>
                <c:ptCount val="5"/>
                <c:pt idx="0">
                  <c:v>0.562310030395137</c:v>
                </c:pt>
                <c:pt idx="1">
                  <c:v>0.597137014314928</c:v>
                </c:pt>
                <c:pt idx="2">
                  <c:v>0.629382303839733</c:v>
                </c:pt>
                <c:pt idx="3">
                  <c:v>0.67032967032967</c:v>
                </c:pt>
                <c:pt idx="4">
                  <c:v>0.704188481675393</c:v>
                </c:pt>
              </c:numCache>
            </c:numRef>
          </c:val>
        </c:ser>
        <c:gapWidth val="150"/>
        <c:overlap val="0"/>
        <c:axId val="59620198"/>
        <c:axId val="80046480"/>
      </c:barChart>
      <c:catAx>
        <c:axId val="5962019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0046480"/>
        <c:crosses val="autoZero"/>
        <c:auto val="1"/>
        <c:lblAlgn val="ctr"/>
        <c:lblOffset val="100"/>
        <c:noMultiLvlLbl val="0"/>
      </c:catAx>
      <c:valAx>
        <c:axId val="80046480"/>
        <c:scaling>
          <c:orientation val="minMax"/>
        </c:scaling>
        <c:delete val="0"/>
        <c:axPos val="l"/>
        <c:numFmt formatCode="[=1]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9620198"/>
        <c:crosses val="autoZero"/>
        <c:crossBetween val="between"/>
      </c:valAx>
      <c:spPr>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IPSS frente al subsistema y un IP seleccionado</a:t>
            </a:r>
          </a:p>
        </c:rich>
      </c:tx>
      <c:overlay val="0"/>
      <c:spPr>
        <a:noFill/>
        <a:ln w="0">
          <a:noFill/>
        </a:ln>
      </c:spPr>
    </c:title>
    <c:autoTitleDeleted val="0"/>
    <c:plotArea>
      <c:lineChart>
        <c:grouping val="standard"/>
        <c:varyColors val="0"/>
        <c:ser>
          <c:idx val="0"/>
          <c:order val="0"/>
          <c:tx>
            <c:strRef>
              <c:f>'16_Comparacion_Nacional_SIES'!$E$7</c:f>
              <c:strCache>
                <c:ptCount val="1"/>
                <c:pt idx="0">
                  <c:v>Tasa IPSS interna</c:v>
                </c:pt>
              </c:strCache>
            </c:strRef>
          </c:tx>
          <c:spPr>
            <a:ln w="28440">
              <a:solidFill>
                <a:srgbClr val="0E4273"/>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'16_Comparacion_Nacional_SIES'!$B$8:$B$11</c:f>
              <c:strCache>
                <c:ptCount val="4"/>
                <c:pt idx="0">
                  <c:v>2022</c:v>
                </c:pt>
                <c:pt idx="1">
                  <c:v>2023</c:v>
                </c:pt>
                <c:pt idx="2">
                  <c:v>2024</c:v>
                </c:pt>
                <c:pt idx="3">
                  <c:v>2025</c:v>
                </c:pt>
              </c:strCache>
            </c:strRef>
          </c:cat>
          <c:val>
            <c:numRef>
              <c:f>'16_Comparacion_Nacional_SIES'!$E$8:$E$11</c:f>
              <c:numCache>
                <c:formatCode>0.0%</c:formatCode>
                <c:ptCount val="4"/>
                <c:pt idx="0">
                  <c:v>0.734426229508197</c:v>
                </c:pt>
                <c:pt idx="1">
                  <c:v>0.704918032786885</c:v>
                </c:pt>
                <c:pt idx="2">
                  <c:v>0.584229390681004</c:v>
                </c:pt>
                <c:pt idx="3">
                  <c:v>0.580869565217391</c:v>
                </c:pt>
              </c:numCache>
            </c:numRef>
          </c:val>
          <c:smooth val="1"/>
        </c:ser>
        <c:ser>
          <c:idx val="1"/>
          <c:order val="1"/>
          <c:tx>
            <c:strRef>
              <c:f>'16_Comparacion_Nacional_SIES'!$F$7</c:f>
              <c:strCache>
                <c:ptCount val="1"/>
                <c:pt idx="0">
                  <c:v>SIES IPSS publicado</c:v>
                </c:pt>
              </c:strCache>
            </c:strRef>
          </c:tx>
          <c:spPr>
            <a:ln w="28440">
              <a:solidFill>
                <a:srgbClr val="2983B6"/>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'16_Comparacion_Nacional_SIES'!$B$8:$B$11</c:f>
              <c:strCache>
                <c:ptCount val="4"/>
                <c:pt idx="0">
                  <c:v>2022</c:v>
                </c:pt>
                <c:pt idx="1">
                  <c:v>2023</c:v>
                </c:pt>
                <c:pt idx="2">
                  <c:v>2024</c:v>
                </c:pt>
                <c:pt idx="3">
                  <c:v>2025</c:v>
                </c:pt>
              </c:strCache>
            </c:strRef>
          </c:cat>
          <c:val>
            <c:numRef>
              <c:f>'16_Comparacion_Nacional_SIES'!$F$8:$F$11</c:f>
              <c:numCache>
                <c:formatCode>0.0%</c:formatCode>
                <c:ptCount val="4"/>
                <c:pt idx="0">
                  <c:v>0.689516129032258</c:v>
                </c:pt>
                <c:pt idx="1">
                  <c:v>0.705722070844687</c:v>
                </c:pt>
                <c:pt idx="2">
                  <c:v>0.675</c:v>
                </c:pt>
                <c:pt idx="3">
                  <c:v>0.582115219260533</c:v>
                </c:pt>
              </c:numCache>
            </c:numRef>
          </c:val>
          <c:smooth val="1"/>
        </c:ser>
        <c:ser>
          <c:idx val="2"/>
          <c:order val="2"/>
          <c:tx>
            <c:strRef>
              <c:f>'16_Comparacion_Nacional_SIES'!$H$7</c:f>
              <c:strCache>
                <c:ptCount val="1"/>
                <c:pt idx="0">
                  <c:v>SIES subsistema IP</c:v>
                </c:pt>
              </c:strCache>
            </c:strRef>
          </c:tx>
          <c:spPr>
            <a:ln w="28440">
              <a:solidFill>
                <a:srgbClr val="6E7B89"/>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'16_Comparacion_Nacional_SIES'!$B$8:$B$11</c:f>
              <c:strCache>
                <c:ptCount val="4"/>
                <c:pt idx="0">
                  <c:v>2022</c:v>
                </c:pt>
                <c:pt idx="1">
                  <c:v>2023</c:v>
                </c:pt>
                <c:pt idx="2">
                  <c:v>2024</c:v>
                </c:pt>
                <c:pt idx="3">
                  <c:v>2025</c:v>
                </c:pt>
              </c:strCache>
            </c:strRef>
          </c:cat>
          <c:val>
            <c:numRef>
              <c:f>'16_Comparacion_Nacional_SIES'!$H$8:$H$11</c:f>
              <c:numCache>
                <c:formatCode>0.0%</c:formatCode>
                <c:ptCount val="4"/>
                <c:pt idx="0">
                  <c:v>0.720331451903447</c:v>
                </c:pt>
                <c:pt idx="1">
                  <c:v>0.721774009407395</c:v>
                </c:pt>
                <c:pt idx="2">
                  <c:v>0.727343470838131</c:v>
                </c:pt>
                <c:pt idx="3">
                  <c:v>0.724543202229793</c:v>
                </c:pt>
              </c:numCache>
            </c:numRef>
          </c:val>
          <c:smooth val="1"/>
        </c:ser>
        <c:ser>
          <c:idx val="3"/>
          <c:order val="3"/>
          <c:tx>
            <c:strRef>
              <c:f>'16_Comparacion_Nacional_SIES'!$J$7</c:f>
              <c:strCache>
                <c:ptCount val="1"/>
                <c:pt idx="0">
                  <c:v>IP de referencia</c:v>
                </c:pt>
              </c:strCache>
            </c:strRef>
          </c:tx>
          <c:spPr>
            <a:ln w="28440">
              <a:solidFill>
                <a:srgbClr val="D9A441"/>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'16_Comparacion_Nacional_SIES'!$B$8:$B$11</c:f>
              <c:strCache>
                <c:ptCount val="4"/>
                <c:pt idx="0">
                  <c:v>2022</c:v>
                </c:pt>
                <c:pt idx="1">
                  <c:v>2023</c:v>
                </c:pt>
                <c:pt idx="2">
                  <c:v>2024</c:v>
                </c:pt>
                <c:pt idx="3">
                  <c:v>2025</c:v>
                </c:pt>
              </c:strCache>
            </c:strRef>
          </c:cat>
          <c:val>
            <c:numRef>
              <c:f>'16_Comparacion_Nacional_SIES'!$J$8:$J$11</c:f>
              <c:numCache>
                <c:formatCode>0.0%</c:formatCode>
                <c:ptCount val="4"/>
                <c:pt idx="0">
                  <c:v>0.79525053043904</c:v>
                </c:pt>
                <c:pt idx="1">
                  <c:v>0.81321453914689</c:v>
                </c:pt>
                <c:pt idx="2">
                  <c:v>0.802948855782522</c:v>
                </c:pt>
                <c:pt idx="3">
                  <c:v>0.799374600241632</c:v>
                </c:pt>
              </c:numCache>
            </c:numRef>
          </c:val>
          <c:smooth val="1"/>
        </c:ser>
        <c:hiLowLines>
          <c:spPr>
            <a:ln w="0">
              <a:noFill/>
            </a:ln>
          </c:spPr>
        </c:hiLowLines>
        <c:marker val="0"/>
        <c:axId val="73324736"/>
        <c:axId val="32375181"/>
      </c:lineChart>
      <c:catAx>
        <c:axId val="73324736"/>
        <c:scaling>
          <c:orientation val="minMax"/>
        </c:scaling>
        <c:delete val="1"/>
        <c:axPos val="b"/>
        <c:title>
          <c:tx>
            <c:rich>
              <a:bodyPr rot="0"/>
              <a:lstStyle/>
              <a:p>
                <a:pPr>
                  <a:defRPr sz="1300" b="0" u="none" strike="noStrike">
                    <a:uFillTx/>
                    <a:latin typeface="Arial"/>
                  </a:defRPr>
                </a:pPr>
                <a:r>
                  <a:rPr sz="1000" b="1" u="none" strike="noStrike">
                    <a:solidFill>
                      <a:srgbClr val="000000"/>
                    </a:solidFill>
                    <a:uFillTx/>
                    <a:latin typeface="Calibri"/>
                  </a:rPr>
                  <a:t>Cohorte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2375181"/>
        <c:auto val="1"/>
        <c:lblAlgn val="ctr"/>
        <c:lblOffset val="100"/>
        <c:noMultiLvlLbl val="0"/>
      </c:catAx>
      <c:valAx>
        <c:axId val="32375181"/>
        <c:scaling>
          <c:orientation val="minMax"/>
        </c:scaling>
        <c:delete val="1"/>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Tasa de retención</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3324736"/>
        <c:crossBetween val="between"/>
      </c:valAx>
      <c:spPr>
        <a:ln w="0">
          <a:noFill/>
        </a:ln>
      </c:spPr>
    </c:plotArea>
    <c:legend>
      <c:legendPos val="b"/>
      <c:overlay val="1"/>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Carrera genérica IPSS frente al subsistema IP</a:t>
            </a:r>
          </a:p>
        </c:rich>
      </c:tx>
      <c:overlay val="0"/>
      <c:spPr>
        <a:noFill/>
        <a:ln w="0">
          <a:noFill/>
        </a:ln>
      </c:spPr>
    </c:title>
    <c:autoTitleDeleted val="0"/>
    <c:plotArea>
      <c:lineChart>
        <c:grouping val="standard"/>
        <c:varyColors val="0"/>
        <c:ser>
          <c:idx val="0"/>
          <c:order val="0"/>
          <c:tx>
            <c:strRef>
              <c:f>'16_Comparacion_Nacional_SIES'!$O$37</c:f>
              <c:strCache>
                <c:ptCount val="1"/>
                <c:pt idx="0">
                  <c:v>Tasa IPSS</c:v>
                </c:pt>
              </c:strCache>
            </c:strRef>
          </c:tx>
          <c:spPr>
            <a:ln w="28440">
              <a:solidFill>
                <a:srgbClr val="0E4273"/>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'16_Comparacion_Nacional_SIES'!$L$38:$L$41</c:f>
              <c:strCache>
                <c:ptCount val="4"/>
                <c:pt idx="0">
                  <c:v>2022</c:v>
                </c:pt>
                <c:pt idx="1">
                  <c:v>2023</c:v>
                </c:pt>
                <c:pt idx="2">
                  <c:v>2024</c:v>
                </c:pt>
                <c:pt idx="3">
                  <c:v>2025</c:v>
                </c:pt>
              </c:strCache>
            </c:strRef>
          </c:cat>
          <c:val>
            <c:numRef>
              <c:f>'16_Comparacion_Nacional_SIES'!$O$38:$O$41</c:f>
              <c:numCache>
                <c:formatCode>0.0%</c:formatCode>
                <c:ptCount val="4"/>
                <c:pt idx="0">
                  <c:v>0.670731707317073</c:v>
                </c:pt>
                <c:pt idx="1">
                  <c:v>0.760683760683761</c:v>
                </c:pt>
                <c:pt idx="2">
                  <c:v>0.64963503649635</c:v>
                </c:pt>
                <c:pt idx="3">
                  <c:v>0.615384615384615</c:v>
                </c:pt>
              </c:numCache>
            </c:numRef>
          </c:val>
          <c:smooth val="1"/>
        </c:ser>
        <c:ser>
          <c:idx val="1"/>
          <c:order val="1"/>
          <c:tx>
            <c:strRef>
              <c:f>'16_Comparacion_Nacional_SIES'!$P$37</c:f>
              <c:strCache>
                <c:ptCount val="1"/>
                <c:pt idx="0">
                  <c:v>SIES IP genérica</c:v>
                </c:pt>
              </c:strCache>
            </c:strRef>
          </c:tx>
          <c:spPr>
            <a:ln w="28440">
              <a:solidFill>
                <a:srgbClr val="D9A441"/>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'16_Comparacion_Nacional_SIES'!$L$38:$L$41</c:f>
              <c:strCache>
                <c:ptCount val="4"/>
                <c:pt idx="0">
                  <c:v>2022</c:v>
                </c:pt>
                <c:pt idx="1">
                  <c:v>2023</c:v>
                </c:pt>
                <c:pt idx="2">
                  <c:v>2024</c:v>
                </c:pt>
                <c:pt idx="3">
                  <c:v>2025</c:v>
                </c:pt>
              </c:strCache>
            </c:strRef>
          </c:cat>
          <c:val>
            <c:numRef>
              <c:f>'16_Comparacion_Nacional_SIES'!$P$38:$P$41</c:f>
              <c:numCache>
                <c:formatCode>0.0%</c:formatCode>
                <c:ptCount val="4"/>
                <c:pt idx="0">
                  <c:v>0.665366146458583</c:v>
                </c:pt>
                <c:pt idx="1">
                  <c:v>0.691192560175055</c:v>
                </c:pt>
                <c:pt idx="2">
                  <c:v>0.692974588938715</c:v>
                </c:pt>
                <c:pt idx="3">
                  <c:v>0.655947441217151</c:v>
                </c:pt>
              </c:numCache>
            </c:numRef>
          </c:val>
          <c:smooth val="1"/>
        </c:ser>
        <c:hiLowLines>
          <c:spPr>
            <a:ln w="0">
              <a:noFill/>
            </a:ln>
          </c:spPr>
        </c:hiLowLines>
        <c:marker val="0"/>
        <c:axId val="52592122"/>
        <c:axId val="24282193"/>
      </c:lineChart>
      <c:catAx>
        <c:axId val="52592122"/>
        <c:scaling>
          <c:orientation val="minMax"/>
        </c:scaling>
        <c:delete val="1"/>
        <c:axPos val="b"/>
        <c:title>
          <c:tx>
            <c:rich>
              <a:bodyPr rot="0"/>
              <a:lstStyle/>
              <a:p>
                <a:pPr>
                  <a:defRPr sz="1300" b="0" u="none" strike="noStrike">
                    <a:uFillTx/>
                    <a:latin typeface="Arial"/>
                  </a:defRPr>
                </a:pPr>
                <a:r>
                  <a:rPr sz="1000" b="1" u="none" strike="noStrike">
                    <a:solidFill>
                      <a:srgbClr val="000000"/>
                    </a:solidFill>
                    <a:uFillTx/>
                    <a:latin typeface="Calibri"/>
                  </a:rPr>
                  <a:t>Cohorte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4282193"/>
        <c:auto val="1"/>
        <c:lblAlgn val="ctr"/>
        <c:lblOffset val="100"/>
        <c:noMultiLvlLbl val="0"/>
      </c:catAx>
      <c:valAx>
        <c:axId val="24282193"/>
        <c:scaling>
          <c:orientation val="minMax"/>
        </c:scaling>
        <c:delete val="1"/>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Tasa de retención</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2592122"/>
        <c:crossBetween val="between"/>
      </c:valAx>
      <c:spPr>
        <a:ln w="0">
          <a:noFill/>
        </a:ln>
      </c:spPr>
    </c:plotArea>
    <c:legend>
      <c:legendPos val="b"/>
      <c:overlay val="1"/>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5.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chart" Target="../charts/chart8.xml"/><Relationship Id="rId6" Type="http://schemas.openxmlformats.org/officeDocument/2006/relationships/chart" Target="../charts/chart9.xml"/><Relationship Id="rId7" Type="http://schemas.openxmlformats.org/officeDocument/2006/relationships/chart" Target="../charts/chart10.xml"/><Relationship Id="rId8" Type="http://schemas.openxmlformats.org/officeDocument/2006/relationships/chart" Target="../charts/chart11.xml"/>
</Relationships>
</file>

<file path=xl/drawings/_rels/drawing6.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28</xdr:row>
      <xdr:rowOff>0</xdr:rowOff>
    </xdr:from>
    <xdr:to>
      <xdr:col>5</xdr:col>
      <xdr:colOff>1103760</xdr:colOff>
      <xdr:row>45</xdr:row>
      <xdr:rowOff>49680</xdr:rowOff>
    </xdr:to>
    <xdr:graphicFrame>
      <xdr:nvGraphicFramePr>
        <xdr:cNvPr id="1" name="Chart 1"/>
        <xdr:cNvGraphicFramePr/>
      </xdr:nvGraphicFramePr>
      <xdr:xfrm>
        <a:off x="352440" y="7229520"/>
        <a:ext cx="5849280" cy="3478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165240</xdr:colOff>
      <xdr:row>12</xdr:row>
      <xdr:rowOff>12600</xdr:rowOff>
    </xdr:from>
    <xdr:to>
      <xdr:col>11</xdr:col>
      <xdr:colOff>862560</xdr:colOff>
      <xdr:row>32</xdr:row>
      <xdr:rowOff>87840</xdr:rowOff>
    </xdr:to>
    <xdr:graphicFrame>
      <xdr:nvGraphicFramePr>
        <xdr:cNvPr id="2" name="Chart 2"/>
        <xdr:cNvGraphicFramePr/>
      </xdr:nvGraphicFramePr>
      <xdr:xfrm>
        <a:off x="7459560" y="3470040"/>
        <a:ext cx="5549400" cy="4714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11</xdr:row>
      <xdr:rowOff>495360</xdr:rowOff>
    </xdr:from>
    <xdr:to>
      <xdr:col>6</xdr:col>
      <xdr:colOff>1161720</xdr:colOff>
      <xdr:row>32</xdr:row>
      <xdr:rowOff>24480</xdr:rowOff>
    </xdr:to>
    <xdr:graphicFrame>
      <xdr:nvGraphicFramePr>
        <xdr:cNvPr id="3" name="Chart 1"/>
        <xdr:cNvGraphicFramePr/>
      </xdr:nvGraphicFramePr>
      <xdr:xfrm>
        <a:off x="211320" y="3495600"/>
        <a:ext cx="7131600" cy="3948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12</xdr:row>
      <xdr:rowOff>0</xdr:rowOff>
    </xdr:from>
    <xdr:to>
      <xdr:col>4</xdr:col>
      <xdr:colOff>1267200</xdr:colOff>
      <xdr:row>31</xdr:row>
      <xdr:rowOff>164160</xdr:rowOff>
    </xdr:to>
    <xdr:graphicFrame>
      <xdr:nvGraphicFramePr>
        <xdr:cNvPr id="4" name="Chart 1"/>
        <xdr:cNvGraphicFramePr/>
      </xdr:nvGraphicFramePr>
      <xdr:xfrm>
        <a:off x="940320" y="4648320"/>
        <a:ext cx="5919480" cy="4602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10</xdr:row>
      <xdr:rowOff>0</xdr:rowOff>
    </xdr:from>
    <xdr:to>
      <xdr:col>9</xdr:col>
      <xdr:colOff>1208520</xdr:colOff>
      <xdr:row>28</xdr:row>
      <xdr:rowOff>100440</xdr:rowOff>
    </xdr:to>
    <xdr:graphicFrame>
      <xdr:nvGraphicFramePr>
        <xdr:cNvPr id="5" name="Chart 2"/>
        <xdr:cNvGraphicFramePr/>
      </xdr:nvGraphicFramePr>
      <xdr:xfrm>
        <a:off x="7213680" y="4000680"/>
        <a:ext cx="5918760" cy="4615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17</xdr:row>
      <xdr:rowOff>0</xdr:rowOff>
    </xdr:from>
    <xdr:to>
      <xdr:col>15</xdr:col>
      <xdr:colOff>1338120</xdr:colOff>
      <xdr:row>38</xdr:row>
      <xdr:rowOff>49680</xdr:rowOff>
    </xdr:to>
    <xdr:graphicFrame>
      <xdr:nvGraphicFramePr>
        <xdr:cNvPr id="6" name="Chart 3"/>
        <xdr:cNvGraphicFramePr/>
      </xdr:nvGraphicFramePr>
      <xdr:xfrm>
        <a:off x="13485960" y="5877000"/>
        <a:ext cx="5920920" cy="45928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24</xdr:row>
      <xdr:rowOff>0</xdr:rowOff>
    </xdr:from>
    <xdr:to>
      <xdr:col>21</xdr:col>
      <xdr:colOff>774000</xdr:colOff>
      <xdr:row>46</xdr:row>
      <xdr:rowOff>24480</xdr:rowOff>
    </xdr:to>
    <xdr:graphicFrame>
      <xdr:nvGraphicFramePr>
        <xdr:cNvPr id="7" name="Chart 4"/>
        <xdr:cNvGraphicFramePr/>
      </xdr:nvGraphicFramePr>
      <xdr:xfrm>
        <a:off x="19760400" y="7524720"/>
        <a:ext cx="5919480" cy="45871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0</xdr:colOff>
      <xdr:row>34</xdr:row>
      <xdr:rowOff>0</xdr:rowOff>
    </xdr:from>
    <xdr:to>
      <xdr:col>27</xdr:col>
      <xdr:colOff>867960</xdr:colOff>
      <xdr:row>56</xdr:row>
      <xdr:rowOff>87840</xdr:rowOff>
    </xdr:to>
    <xdr:graphicFrame>
      <xdr:nvGraphicFramePr>
        <xdr:cNvPr id="8" name="Chart 5"/>
        <xdr:cNvGraphicFramePr/>
      </xdr:nvGraphicFramePr>
      <xdr:xfrm>
        <a:off x="26033760" y="9658440"/>
        <a:ext cx="5919840" cy="45932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29</xdr:col>
      <xdr:colOff>0</xdr:colOff>
      <xdr:row>10</xdr:row>
      <xdr:rowOff>0</xdr:rowOff>
    </xdr:from>
    <xdr:to>
      <xdr:col>32</xdr:col>
      <xdr:colOff>1267200</xdr:colOff>
      <xdr:row>28</xdr:row>
      <xdr:rowOff>100440</xdr:rowOff>
    </xdr:to>
    <xdr:graphicFrame>
      <xdr:nvGraphicFramePr>
        <xdr:cNvPr id="9" name="Chart 6"/>
        <xdr:cNvGraphicFramePr/>
      </xdr:nvGraphicFramePr>
      <xdr:xfrm>
        <a:off x="34140240" y="4000680"/>
        <a:ext cx="5919120" cy="46152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34</xdr:col>
      <xdr:colOff>0</xdr:colOff>
      <xdr:row>10</xdr:row>
      <xdr:rowOff>0</xdr:rowOff>
    </xdr:from>
    <xdr:to>
      <xdr:col>37</xdr:col>
      <xdr:colOff>1267560</xdr:colOff>
      <xdr:row>28</xdr:row>
      <xdr:rowOff>100440</xdr:rowOff>
    </xdr:to>
    <xdr:graphicFrame>
      <xdr:nvGraphicFramePr>
        <xdr:cNvPr id="10" name="Chart 7"/>
        <xdr:cNvGraphicFramePr/>
      </xdr:nvGraphicFramePr>
      <xdr:xfrm>
        <a:off x="40413240" y="4000680"/>
        <a:ext cx="5919480" cy="46152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39</xdr:col>
      <xdr:colOff>0</xdr:colOff>
      <xdr:row>12</xdr:row>
      <xdr:rowOff>0</xdr:rowOff>
    </xdr:from>
    <xdr:to>
      <xdr:col>42</xdr:col>
      <xdr:colOff>1267200</xdr:colOff>
      <xdr:row>31</xdr:row>
      <xdr:rowOff>164160</xdr:rowOff>
    </xdr:to>
    <xdr:graphicFrame>
      <xdr:nvGraphicFramePr>
        <xdr:cNvPr id="11" name="Chart 8"/>
        <xdr:cNvGraphicFramePr/>
      </xdr:nvGraphicFramePr>
      <xdr:xfrm>
        <a:off x="46686600" y="4648320"/>
        <a:ext cx="5919120" cy="460260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6</xdr:row>
      <xdr:rowOff>0</xdr:rowOff>
    </xdr:from>
    <xdr:to>
      <xdr:col>19</xdr:col>
      <xdr:colOff>306360</xdr:colOff>
      <xdr:row>21</xdr:row>
      <xdr:rowOff>6120</xdr:rowOff>
    </xdr:to>
    <xdr:graphicFrame>
      <xdr:nvGraphicFramePr>
        <xdr:cNvPr id="12" name="Chart 1"/>
        <xdr:cNvGraphicFramePr/>
      </xdr:nvGraphicFramePr>
      <xdr:xfrm>
        <a:off x="17198280" y="1562040"/>
        <a:ext cx="7918920" cy="395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43</xdr:row>
      <xdr:rowOff>0</xdr:rowOff>
    </xdr:from>
    <xdr:to>
      <xdr:col>18</xdr:col>
      <xdr:colOff>1003680</xdr:colOff>
      <xdr:row>57</xdr:row>
      <xdr:rowOff>122400</xdr:rowOff>
    </xdr:to>
    <xdr:graphicFrame>
      <xdr:nvGraphicFramePr>
        <xdr:cNvPr id="13" name="Chart 2"/>
        <xdr:cNvGraphicFramePr/>
      </xdr:nvGraphicFramePr>
      <xdr:xfrm>
        <a:off x="17198280" y="10848960"/>
        <a:ext cx="7558920" cy="359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_CONS_H12A" displayName="T_CONS_H12A" ref="X6:AC57" headerRowCount="1" totalsRowCount="0" totalsRowShown="0">
  <autoFilter ref="X6:AC57"/>
  <tableColumns count="6">
    <tableColumn id="1" name="Sector"/>
    <tableColumn id="2" name="Carrera"/>
    <tableColumn id="3" name="Jornada"/>
    <tableColumn id="4" name="Estudiantes"/>
    <tableColumn id="5" name="Retenidos"/>
    <tableColumn id="6" name="Tasa de retención"/>
  </tableColumns>
  <tableStyleInfo showFirstColumn="0" showLastColumn="0" showRowStripes="1" showColumnStripes="0"/>
</table>
</file>

<file path=xl/tables/table2.xml><?xml version="1.0" encoding="utf-8"?>
<table xmlns="http://schemas.openxmlformats.org/spreadsheetml/2006/main" id="2" name="T_CONS_H12B" displayName="T_CONS_H12B" ref="AE6:AJ18" headerRowCount="1" totalsRowCount="0" totalsRowShown="0">
  <autoFilter ref="AE6:AJ18"/>
  <tableColumns count="6">
    <tableColumn id="1" name="Cohorte"/>
    <tableColumn id="2" name="Jornada"/>
    <tableColumn id="3" name="Estudiantes"/>
    <tableColumn id="4" name="% de la cohorte"/>
    <tableColumn id="5" name="Retenidos"/>
    <tableColumn id="6" name="Tasa de retención"/>
  </tableColumns>
  <tableStyleInfo showFirstColumn="0" showLastColumn="0" showRowStripes="1" showColumnStripes="0"/>
</table>
</file>

<file path=xl/tables/table3.xml><?xml version="1.0" encoding="utf-8"?>
<table xmlns="http://schemas.openxmlformats.org/spreadsheetml/2006/main" id="3" name="T_CONS_H12C" displayName="T_CONS_H12C" ref="AL6:AP18" headerRowCount="1" totalsRowCount="0" totalsRowShown="0">
  <autoFilter ref="AL6:AP18"/>
  <tableColumns count="5">
    <tableColumn id="1" name="Cohorte"/>
    <tableColumn id="2" name="Sexo"/>
    <tableColumn id="3" name="Estudiantes"/>
    <tableColumn id="4" name="Retenidos"/>
    <tableColumn id="5" name="Tasa de retención"/>
  </tableColumns>
  <tableStyleInfo showFirstColumn="0" showLastColumn="0" showRowStripes="1" showColumnStripes="0"/>
</table>
</file>

<file path=xl/tables/table4.xml><?xml version="1.0" encoding="utf-8"?>
<table xmlns="http://schemas.openxmlformats.org/spreadsheetml/2006/main" id="4" name="T_CONS_H12D" displayName="T_CONS_H12D" ref="AR6:AV26" headerRowCount="1" totalsRowCount="0" totalsRowShown="0">
  <autoFilter ref="AR6:AV26"/>
  <tableColumns count="5">
    <tableColumn id="1" name="Cohorte"/>
    <tableColumn id="2" name="Tramo Edad"/>
    <tableColumn id="3" name="Estudiantes"/>
    <tableColumn id="4" name="Retenidos"/>
    <tableColumn id="5" name="Tasa de retención"/>
  </tableColumns>
  <tableStyleInfo showFirstColumn="0" showLastColumn="0" showRowStripes="1" showColumnStripes="0"/>
</table>
</file>

<file path=xl/tables/table5.xml><?xml version="1.0" encoding="utf-8"?>
<table xmlns="http://schemas.openxmlformats.org/spreadsheetml/2006/main" id="5" name="T_CONS_H4A" displayName="T_CONS_H4A" ref="B6:F18" headerRowCount="1" totalsRowCount="0" totalsRowShown="0">
  <autoFilter ref="B6:F18"/>
  <tableColumns count="5">
    <tableColumn id="1" name="Sector"/>
    <tableColumn id="2" name="Cohorte"/>
    <tableColumn id="3" name="Estudiantes"/>
    <tableColumn id="4" name="Retenidos"/>
    <tableColumn id="5" name="Tasa de retención"/>
  </tableColumns>
  <tableStyleInfo showFirstColumn="0" showLastColumn="0" showRowStripes="1" showColumnStripes="0"/>
</table>
</file>

<file path=xl/tables/table6.xml><?xml version="1.0" encoding="utf-8"?>
<table xmlns="http://schemas.openxmlformats.org/spreadsheetml/2006/main" id="6" name="T_CONS_H4B" displayName="T_CONS_H4B" ref="H6:O9" headerRowCount="1" totalsRowCount="0" totalsRowShown="0">
  <autoFilter ref="H6:O9"/>
  <tableColumns count="8">
    <tableColumn id="1" name="Sector"/>
    <tableColumn id="2" name="Estudiantes IPSS 2025"/>
    <tableColumn id="3" name="Retenidos internos 2025"/>
    <tableColumn id="4" name="Tasa interna 2025"/>
    <tableColumn id="5" name="Estudiantes SIES 2025"/>
    <tableColumn id="6" name="Retenidos SIES 2025"/>
    <tableColumn id="7" name="Tasa SIES 2025"/>
    <tableColumn id="8" name="Brecha (pp)"/>
  </tableColumns>
  <tableStyleInfo showFirstColumn="0" showLastColumn="0" showRowStripes="1" showColumnStripes="0"/>
</table>
</file>

<file path=xl/tables/table7.xml><?xml version="1.0" encoding="utf-8"?>
<table xmlns="http://schemas.openxmlformats.org/spreadsheetml/2006/main" id="7" name="T_CONS_H5" displayName="T_CONS_H5" ref="Q6:V10" headerRowCount="1" totalsRowCount="0" totalsRowShown="0">
  <autoFilter ref="Q6:V10"/>
  <tableColumns count="6">
    <tableColumn id="1" name="Cohorte"/>
    <tableColumn id="2" name="Estudiantes IPSS"/>
    <tableColumn id="3" name="Retenidos internos"/>
    <tableColumn id="4" name="Tasa interna"/>
    <tableColumn id="5" name="Tasa SIES publicada"/>
    <tableColumn id="6" name="Brecha (pp)"/>
  </tableColumns>
  <tableStyleInfo showFirstColumn="0" showLastColumn="0" showRowStripes="1" showColumnStripes="0"/>
</table>
</file>

<file path=xl/tables/table8.xml><?xml version="1.0" encoding="utf-8"?>
<table xmlns="http://schemas.openxmlformats.org/spreadsheetml/2006/main" id="8" name="T_CONS_N1" displayName="T_CONS_N1" ref="AX6:BA11" headerRowCount="1" totalsRowCount="0" totalsRowShown="0">
  <autoFilter ref="AX6:BA11"/>
  <tableColumns count="4">
    <tableColumn id="1" name="Cohorte"/>
    <tableColumn id="2" name="Estudiantes"/>
    <tableColumn id="3" name="Retenidos"/>
    <tableColumn id="4" name="Tasa de retención"/>
  </tableColumns>
  <tableStyleInfo showFirstColumn="0" showLastColumn="0" showRowStripes="1" showColumnStripes="0"/>
</table>
</file>

<file path=xl/tables/table9.xml><?xml version="1.0" encoding="utf-8"?>
<table xmlns="http://schemas.openxmlformats.org/spreadsheetml/2006/main" id="9" name="T_CONS_N2" displayName="T_CONS_N2" ref="BC6:BF9" headerRowCount="1" totalsRowCount="0" totalsRowShown="0">
  <autoFilter ref="BC6:BF9"/>
  <tableColumns count="4">
    <tableColumn id="1" name="Sector"/>
    <tableColumn id="2" name="Estudiantes"/>
    <tableColumn id="3" name="Retenidos"/>
    <tableColumn id="4" name="Tasa de retención"/>
  </tableColumns>
  <tableStyleInfo showFirstColumn="0" showLastColumn="0" showRowStripes="1" showColumnStripes="0"/>
</table>
</file>

<file path=xl/tables/table10.xml><?xml version="1.0" encoding="utf-8"?>
<table xmlns="http://schemas.openxmlformats.org/spreadsheetml/2006/main" id="10" name="T_CONS_N4" displayName="T_CONS_N4" ref="BH6:BL16" headerRowCount="1" totalsRowCount="0" totalsRowShown="0">
  <autoFilter ref="BH6:BL16"/>
  <tableColumns count="5">
    <tableColumn id="1" name="Modalidad"/>
    <tableColumn id="2" name="Cohorte"/>
    <tableColumn id="3" name="Estudiantes"/>
    <tableColumn id="4" name="Retenidos"/>
    <tableColumn id="5" name="Tasa de retención"/>
  </tableColumns>
  <tableStyleInfo showFirstColumn="0" showLastColumn="0" showRowStripes="1" showColumnStripes="0"/>
</table>
</file>

<file path=xl/tables/table11.xml><?xml version="1.0" encoding="utf-8"?>
<table xmlns="http://schemas.openxmlformats.org/spreadsheetml/2006/main" id="11" name="T_CONS_N5" displayName="T_CONS_N5" ref="BN6:BR23" headerRowCount="1" totalsRowCount="0" totalsRowShown="0">
  <autoFilter ref="BN6:BR23"/>
  <tableColumns count="5">
    <tableColumn id="1" name="Carrera"/>
    <tableColumn id="2" name="Sector"/>
    <tableColumn id="3" name="Estudiantes"/>
    <tableColumn id="4" name="Retenidos"/>
    <tableColumn id="5" name="Tasa de retención"/>
  </tableColumns>
  <tableStyleInfo showFirstColumn="0" showLastColumn="0" showRowStripes="1" showColumnStripes="0"/>
</table>
</file>

<file path=xl/tables/table12.xml><?xml version="1.0" encoding="utf-8"?>
<table xmlns="http://schemas.openxmlformats.org/spreadsheetml/2006/main" id="12" name="T_CONS_N6" displayName="T_CONS_N6" ref="BT6:BX33" headerRowCount="1" totalsRowCount="0" totalsRowShown="0">
  <autoFilter ref="BT6:BX33"/>
  <tableColumns count="5">
    <tableColumn id="1" name="Carrera"/>
    <tableColumn id="2" name="Modalidad"/>
    <tableColumn id="3" name="Estudiantes"/>
    <tableColumn id="4" name="Retenidos"/>
    <tableColumn id="5" name="Tasa de retención"/>
  </tableColumns>
  <tableStyleInfo showFirstColumn="0" showLastColumn="0" showRowStripes="1" showColumnStripes="0"/>
</table>
</file>

<file path=xl/tables/table13.xml><?xml version="1.0" encoding="utf-8"?>
<table xmlns="http://schemas.openxmlformats.org/spreadsheetml/2006/main" id="13" name="T_CONS_N7A" displayName="T_CONS_N7A" ref="BZ6:CC9" headerRowCount="1" totalsRowCount="0" totalsRowShown="0">
  <autoFilter ref="BZ6:CC9"/>
  <tableColumns count="4">
    <tableColumn id="1" name="Jornada"/>
    <tableColumn id="2" name="Estudiantes"/>
    <tableColumn id="3" name="Retenidos"/>
    <tableColumn id="4" name="Tasa de retención"/>
  </tableColumns>
  <tableStyleInfo showFirstColumn="0" showLastColumn="0" showRowStripes="1" showColumnStripes="0"/>
</table>
</file>

<file path=xl/tables/table14.xml><?xml version="1.0" encoding="utf-8"?>
<table xmlns="http://schemas.openxmlformats.org/spreadsheetml/2006/main" id="14" name="T_CONS_N7B" displayName="T_CONS_N7B" ref="CE6:CH9" headerRowCount="1" totalsRowCount="0" totalsRowShown="0">
  <autoFilter ref="CE6:CH9"/>
  <tableColumns count="4">
    <tableColumn id="1" name="Sexo"/>
    <tableColumn id="2" name="Estudiantes"/>
    <tableColumn id="3" name="Retenidos"/>
    <tableColumn id="4" name="Tasa de retención"/>
  </tableColumns>
  <tableStyleInfo showFirstColumn="0" showLastColumn="0" showRowStripes="1" showColumnStripes="0"/>
</table>
</file>

<file path=xl/tables/table15.xml><?xml version="1.0" encoding="utf-8"?>
<table xmlns="http://schemas.openxmlformats.org/spreadsheetml/2006/main" id="15" name="T_CONS_N7C" displayName="T_CONS_N7C" ref="CJ6:CM11" headerRowCount="1" totalsRowCount="0" totalsRowShown="0">
  <autoFilter ref="CJ6:CM11"/>
  <tableColumns count="4">
    <tableColumn id="1" name="Tramo Edad"/>
    <tableColumn id="2" name="Estudiantes"/>
    <tableColumn id="3" name="Retenidos"/>
    <tableColumn id="4" name="Tasa de retención"/>
  </tableColumns>
  <tableStyleInfo showFirstColumn="0" showLastColumn="0" showRowStripes="1" showColumnStripes="0"/>
</table>
</file>

<file path=xl/tables/table16.xml><?xml version="1.0" encoding="utf-8"?>
<table xmlns="http://schemas.openxmlformats.org/spreadsheetml/2006/main" id="16" name="T_CONS_VISTA" displayName="T_CONS_VISTA" ref="CO6:CS13" headerRowCount="1" totalsRowCount="0" totalsRowShown="0">
  <autoFilter ref="CO6:CS13"/>
  <tableColumns count="5">
    <tableColumn id="1" name="Dimensión"/>
    <tableColumn id="2" name="Mejor"/>
    <tableColumn id="3" name="Tasa (mejor)"/>
    <tableColumn id="4" name="Peor"/>
    <tableColumn id="5" name="Tasa (peor)"/>
  </tableColumns>
  <tableStyleInfo showFirstColumn="0" showLastColumn="0" showRowStripes="1" showColumnStripes="0"/>
</table>
</file>

<file path=xl/tables/table17.xml><?xml version="1.0" encoding="utf-8"?>
<table xmlns="http://schemas.openxmlformats.org/spreadsheetml/2006/main" id="17" name="T_H12_A" displayName="T_H12_A" ref="B7:G58" headerRowCount="1" totalsRowCount="0" totalsRowShown="0">
  <autoFilter ref="B7:G58"/>
  <tableColumns count="6">
    <tableColumn id="1" name="Sector"/>
    <tableColumn id="2" name="Carrera"/>
    <tableColumn id="3" name="Jornada"/>
    <tableColumn id="4" name="Estudiantes"/>
    <tableColumn id="5" name="Retenidos"/>
    <tableColumn id="6" name="Tasa de retención"/>
  </tableColumns>
  <tableStyleInfo showFirstColumn="0" showLastColumn="0" showRowStripes="1" showColumnStripes="0"/>
</table>
</file>

<file path=xl/tables/table18.xml><?xml version="1.0" encoding="utf-8"?>
<table xmlns="http://schemas.openxmlformats.org/spreadsheetml/2006/main" id="18" name="T_H12_B" displayName="T_H12_B" ref="B61:G73" headerRowCount="1" totalsRowCount="0" totalsRowShown="0">
  <autoFilter ref="B61:G73"/>
  <tableColumns count="6">
    <tableColumn id="1" name="Cohorte"/>
    <tableColumn id="2" name="Jornada"/>
    <tableColumn id="3" name="Estudiantes"/>
    <tableColumn id="4" name="% de la cohorte"/>
    <tableColumn id="5" name="Retenidos"/>
    <tableColumn id="6" name="Tasa de retención"/>
  </tableColumns>
  <tableStyleInfo showFirstColumn="0" showLastColumn="0" showRowStripes="1" showColumnStripes="0"/>
</table>
</file>

<file path=xl/tables/table19.xml><?xml version="1.0" encoding="utf-8"?>
<table xmlns="http://schemas.openxmlformats.org/spreadsheetml/2006/main" id="19" name="T_H12_C" displayName="T_H12_C" ref="B76:F88" headerRowCount="1" totalsRowCount="0" totalsRowShown="0">
  <autoFilter ref="B76:F88"/>
  <tableColumns count="5">
    <tableColumn id="1" name="Cohorte"/>
    <tableColumn id="2" name="Sexo"/>
    <tableColumn id="3" name="Estudiantes"/>
    <tableColumn id="4" name="Retenidos"/>
    <tableColumn id="5" name="Tasa de retención"/>
  </tableColumns>
  <tableStyleInfo showFirstColumn="0" showLastColumn="0" showRowStripes="1" showColumnStripes="0"/>
</table>
</file>

<file path=xl/tables/table20.xml><?xml version="1.0" encoding="utf-8"?>
<table xmlns="http://schemas.openxmlformats.org/spreadsheetml/2006/main" id="20" name="T_H12_D" displayName="T_H12_D" ref="B91:F111" headerRowCount="1" totalsRowCount="0" totalsRowShown="0">
  <autoFilter ref="B91:F111"/>
  <tableColumns count="5">
    <tableColumn id="1" name="Cohorte"/>
    <tableColumn id="2" name="Tramo Edad"/>
    <tableColumn id="3" name="Estudiantes"/>
    <tableColumn id="4" name="Retenidos"/>
    <tableColumn id="5" name="Tasa de retención"/>
  </tableColumns>
  <tableStyleInfo showFirstColumn="0" showLastColumn="0" showRowStripes="1" showColumnStripes="0"/>
</table>
</file>

<file path=xl/tables/table21.xml><?xml version="1.0" encoding="utf-8"?>
<table xmlns="http://schemas.openxmlformats.org/spreadsheetml/2006/main" id="21" name="T_H13_B" displayName="T_H13_B" ref="B50:I135" headerRowCount="1" totalsRowCount="0" totalsRowShown="0">
  <autoFilter ref="B50:I135"/>
  <tableColumns count="8">
    <tableColumn id="1" name="Cohorte"/>
    <tableColumn id="2" name="Código único"/>
    <tableColumn id="3" name="Carrera"/>
    <tableColumn id="4" name="Sector"/>
    <tableColumn id="5" name="Jornada"/>
    <tableColumn id="6" name="Modalidad"/>
    <tableColumn id="7" name="Estudiantes"/>
    <tableColumn id="8" name="Retenidos"/>
  </tableColumns>
  <tableStyleInfo showFirstColumn="0" showLastColumn="0" showRowStripes="1" showColumnStripes="0"/>
</table>
</file>

<file path=xl/tables/table22.xml><?xml version="1.0" encoding="utf-8"?>
<table xmlns="http://schemas.openxmlformats.org/spreadsheetml/2006/main" id="22" name="T_H14_N1" displayName="T_H14_N1" ref="B6:E11" headerRowCount="1" totalsRowCount="0" totalsRowShown="0">
  <autoFilter ref="B6:E11"/>
  <tableColumns count="4">
    <tableColumn id="1" name="Cohorte"/>
    <tableColumn id="2" name="Estudiantes"/>
    <tableColumn id="3" name="Retenidos"/>
    <tableColumn id="4" name="Tasa de retención"/>
  </tableColumns>
  <tableStyleInfo showFirstColumn="0" showLastColumn="0" showRowStripes="1" showColumnStripes="0"/>
</table>
</file>

<file path=xl/tables/table23.xml><?xml version="1.0" encoding="utf-8"?>
<table xmlns="http://schemas.openxmlformats.org/spreadsheetml/2006/main" id="23" name="T_H14_N2" displayName="T_H14_N2" ref="G6:J9" headerRowCount="1" totalsRowCount="0" totalsRowShown="0">
  <autoFilter ref="G6:J9"/>
  <tableColumns count="4">
    <tableColumn id="1" name="Sector"/>
    <tableColumn id="2" name="Estudiantes"/>
    <tableColumn id="3" name="Retenidos"/>
    <tableColumn id="4" name="Tasa de retención"/>
  </tableColumns>
  <tableStyleInfo showFirstColumn="0" showLastColumn="0" showRowStripes="1" showColumnStripes="0"/>
</table>
</file>

<file path=xl/tables/table24.xml><?xml version="1.0" encoding="utf-8"?>
<table xmlns="http://schemas.openxmlformats.org/spreadsheetml/2006/main" id="24" name="T_H14_N4" displayName="T_H14_N4" ref="L6:P16" headerRowCount="1" totalsRowCount="0" totalsRowShown="0">
  <autoFilter ref="L6:P16"/>
  <tableColumns count="5">
    <tableColumn id="1" name="Modalidad"/>
    <tableColumn id="2" name="Cohorte"/>
    <tableColumn id="3" name="Estudiantes"/>
    <tableColumn id="4" name="Retenidos"/>
    <tableColumn id="5" name="Tasa de retención"/>
  </tableColumns>
  <tableStyleInfo showFirstColumn="0" showLastColumn="0" showRowStripes="1" showColumnStripes="0"/>
</table>
</file>

<file path=xl/tables/table25.xml><?xml version="1.0" encoding="utf-8"?>
<table xmlns="http://schemas.openxmlformats.org/spreadsheetml/2006/main" id="25" name="T_H14_N5" displayName="T_H14_N5" ref="R6:V23" headerRowCount="1" totalsRowCount="0" totalsRowShown="0">
  <autoFilter ref="R6:V23"/>
  <tableColumns count="5">
    <tableColumn id="1" name="Carrera"/>
    <tableColumn id="2" name="Sector"/>
    <tableColumn id="3" name="Estudiantes"/>
    <tableColumn id="4" name="Retenidos"/>
    <tableColumn id="5" name="Tasa de retención"/>
  </tableColumns>
  <tableStyleInfo showFirstColumn="0" showLastColumn="0" showRowStripes="1" showColumnStripes="0"/>
</table>
</file>

<file path=xl/tables/table26.xml><?xml version="1.0" encoding="utf-8"?>
<table xmlns="http://schemas.openxmlformats.org/spreadsheetml/2006/main" id="26" name="T_H14_N6" displayName="T_H14_N6" ref="X6:AB33" headerRowCount="1" totalsRowCount="0" totalsRowShown="0">
  <autoFilter ref="X6:AB33"/>
  <tableColumns count="5">
    <tableColumn id="1" name="Carrera"/>
    <tableColumn id="2" name="Modalidad"/>
    <tableColumn id="3" name="Estudiantes"/>
    <tableColumn id="4" name="Retenidos"/>
    <tableColumn id="5" name="Tasa de retención"/>
  </tableColumns>
  <tableStyleInfo showFirstColumn="0" showLastColumn="0" showRowStripes="1" showColumnStripes="0"/>
</table>
</file>

<file path=xl/tables/table27.xml><?xml version="1.0" encoding="utf-8"?>
<table xmlns="http://schemas.openxmlformats.org/spreadsheetml/2006/main" id="27" name="T_H14_N7A" displayName="T_H14_N7A" ref="AD6:AG9" headerRowCount="1" totalsRowCount="0" totalsRowShown="0">
  <autoFilter ref="AD6:AG9"/>
  <tableColumns count="4">
    <tableColumn id="1" name="Jornada"/>
    <tableColumn id="2" name="Estudiantes"/>
    <tableColumn id="3" name="Retenidos"/>
    <tableColumn id="4" name="Tasa de retención"/>
  </tableColumns>
  <tableStyleInfo showFirstColumn="0" showLastColumn="0" showRowStripes="1" showColumnStripes="0"/>
</table>
</file>

<file path=xl/tables/table28.xml><?xml version="1.0" encoding="utf-8"?>
<table xmlns="http://schemas.openxmlformats.org/spreadsheetml/2006/main" id="28" name="T_H14_N7B" displayName="T_H14_N7B" ref="AI6:AL9" headerRowCount="1" totalsRowCount="0" totalsRowShown="0">
  <autoFilter ref="AI6:AL9"/>
  <tableColumns count="4">
    <tableColumn id="1" name="Sexo"/>
    <tableColumn id="2" name="Estudiantes"/>
    <tableColumn id="3" name="Retenidos"/>
    <tableColumn id="4" name="Tasa de retención"/>
  </tableColumns>
  <tableStyleInfo showFirstColumn="0" showLastColumn="0" showRowStripes="1" showColumnStripes="0"/>
</table>
</file>

<file path=xl/tables/table29.xml><?xml version="1.0" encoding="utf-8"?>
<table xmlns="http://schemas.openxmlformats.org/spreadsheetml/2006/main" id="29" name="T_H14_N7C" displayName="T_H14_N7C" ref="AN6:AQ11" headerRowCount="1" totalsRowCount="0" totalsRowShown="0">
  <autoFilter ref="AN6:AQ11"/>
  <tableColumns count="4">
    <tableColumn id="1" name="Tramo Edad"/>
    <tableColumn id="2" name="Estudiantes"/>
    <tableColumn id="3" name="Retenidos"/>
    <tableColumn id="4" name="Tasa de retención"/>
  </tableColumns>
  <tableStyleInfo showFirstColumn="0" showLastColumn="0" showRowStripes="1" showColumnStripes="0"/>
</table>
</file>

<file path=xl/tables/table30.xml><?xml version="1.0" encoding="utf-8"?>
<table xmlns="http://schemas.openxmlformats.org/spreadsheetml/2006/main" id="30" name="T_H14_VISTA" displayName="T_H14_VISTA" ref="AS6:AW13" headerRowCount="1" totalsRowCount="0" totalsRowShown="0">
  <autoFilter ref="AS6:AW13"/>
  <tableColumns count="5">
    <tableColumn id="1" name="Dimensión"/>
    <tableColumn id="2" name="Mejor"/>
    <tableColumn id="3" name="Tasa (mejor)"/>
    <tableColumn id="4" name="Peor"/>
    <tableColumn id="5" name="Tasa (peor)"/>
  </tableColumns>
  <tableStyleInfo showFirstColumn="0" showLastColumn="0" showRowStripes="1" showColumnStripes="0"/>
</table>
</file>

<file path=xl/tables/table31.xml><?xml version="1.0" encoding="utf-8"?>
<table xmlns="http://schemas.openxmlformats.org/spreadsheetml/2006/main" id="31" name="T_H4_A" displayName="T_H4_A" ref="B6:F18" headerRowCount="1" totalsRowCount="0" totalsRowShown="0">
  <autoFilter ref="B6:F18"/>
  <tableColumns count="5">
    <tableColumn id="1" name="Sector"/>
    <tableColumn id="2" name="Cohorte"/>
    <tableColumn id="3" name="Estudiantes"/>
    <tableColumn id="4" name="Retenidos"/>
    <tableColumn id="5" name="Tasa de retención"/>
  </tableColumns>
  <tableStyleInfo showFirstColumn="0" showLastColumn="0" showRowStripes="1" showColumnStripes="0"/>
</table>
</file>

<file path=xl/tables/table32.xml><?xml version="1.0" encoding="utf-8"?>
<table xmlns="http://schemas.openxmlformats.org/spreadsheetml/2006/main" id="32" name="T_H4_B" displayName="T_H4_B" ref="H6:O9" headerRowCount="1" totalsRowCount="0" totalsRowShown="0">
  <autoFilter ref="H6:O9"/>
  <tableColumns count="8">
    <tableColumn id="1" name="Sector"/>
    <tableColumn id="2" name="Estudiantes IPSS 2025"/>
    <tableColumn id="3" name="Retenidos internos 2025"/>
    <tableColumn id="4" name="Tasa interna 2025"/>
    <tableColumn id="5" name="Estudiantes SIES 2025"/>
    <tableColumn id="6" name="Retenidos SIES 2025"/>
    <tableColumn id="7" name="Tasa SIES 2025"/>
    <tableColumn id="8" name="Brecha (pp)"/>
  </tableColumns>
  <tableStyleInfo showFirstColumn="0" showLastColumn="0" showRowStripes="1" showColumnStripes="0"/>
</table>
</file>

<file path=xl/tables/table33.xml><?xml version="1.0" encoding="utf-8"?>
<table xmlns="http://schemas.openxmlformats.org/spreadsheetml/2006/main" id="33" name="T_H5" displayName="T_H5" ref="B6:G10" headerRowCount="1" totalsRowCount="0" totalsRowShown="0">
  <autoFilter ref="B6:G10"/>
  <tableColumns count="6">
    <tableColumn id="1" name="Cohorte"/>
    <tableColumn id="2" name="Estudiantes IPSS"/>
    <tableColumn id="3" name="Retenidos internos"/>
    <tableColumn id="4" name="Tasa interna"/>
    <tableColumn id="5" name="Tasa SIES publicada"/>
    <tableColumn id="6" name="Brecha (pp)"/>
  </tableColumns>
  <tableStyleInfo showFirstColumn="0" showLastColumn="0" showRowStripes="1" showColumnStripes="0"/>
</table>
</file>

<file path=xl/tables/table34.xml><?xml version="1.0" encoding="utf-8"?>
<table xmlns="http://schemas.openxmlformats.org/spreadsheetml/2006/main" id="34" name="RevisionCodigosOrigenT1" displayName="RevisionCodigosOrigenT1" ref="A5:M223" headerRowCount="1" totalsRowCount="0" totalsRowShown="0">
  <autoFilter ref="A5:M223"/>
  <tableColumns count="13">
    <tableColumn id="1" name="Año cohorte T1"/>
    <tableColumn id="2" name="Año observado"/>
    <tableColumn id="3" name="Período nativo"/>
    <tableColumn id="4" name="Carrera de origen T1"/>
    <tableColumn id="5" name="Código SIES de origen T1"/>
    <tableColumn id="6" name="Estudiantes de origen"/>
    <tableColumn id="7" name="Numerador existente"/>
    <tableColumn id="8" name="Denominador de la tasa"/>
    <tableColumn id="9" name="Resultado existente"/>
    <tableColumn id="10" name="Fuente y alcance"/>
    <tableColumn id="11" name="Sin contexto en diccionario"/>
    <tableColumn id="12" name="Origen multiversión"/>
    <tableColumn id="13" name="Con contexto en diccionario"/>
  </tableColumns>
  <tableStyleInfo name="TableStyleMedium2" showFirstColumn="0" showLastColumn="0" showRowStripes="1" showColumnStripes="0"/>
</table>
</file>

<file path=xl/tables/table35.xml><?xml version="1.0" encoding="utf-8"?>
<table xmlns="http://schemas.openxmlformats.org/spreadsheetml/2006/main" id="35" name="RevisionVersionesContexto" displayName="RevisionVersionesContexto" ref="A5:O228" headerRowCount="1" totalsRowCount="0" totalsRowShown="0">
  <autoFilter ref="A5:O228"/>
  <tableColumns count="15">
    <tableColumn id="1" name="Año cohorte T1"/>
    <tableColumn id="2" name="Año observado"/>
    <tableColumn id="3" name="Período nativo"/>
    <tableColumn id="4" name="Carrera de origen T1"/>
    <tableColumn id="5" name="Carrera UMAS observada"/>
    <tableColumn id="6" name="Plan observado"/>
    <tableColumn id="7" name="Código SIES de origen T1"/>
    <tableColumn id="8" name="Código del contexto"/>
    <tableColumn id="9" name="Respaldo del contexto"/>
    <tableColumn id="10" name="Relación o excepción"/>
    <tableColumn id="11" name="Comparación de plan"/>
    <tableColumn id="12" name="Contraste de dimensiones"/>
    <tableColumn id="13" name="Origen multiversión"/>
    <tableColumn id="14" name="Observaciones"/>
    <tableColumn id="15" name="Pendiente o límite"/>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31.xml"/><Relationship Id="rId3" Type="http://schemas.openxmlformats.org/officeDocument/2006/relationships/table" Target="../tables/table32.xml"/>
</Relationships>
</file>

<file path=xl/worksheets/_rels/sheet6.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33.xml"/>
</Relationships>
</file>

<file path=xl/worksheets/_rels/sheet9.xml.rels><?xml version="1.0" encoding="UTF-8"?>
<Relationships xmlns="http://schemas.openxmlformats.org/package/2006/relationships"><Relationship Id="rId1" Type="http://schemas.openxmlformats.org/officeDocument/2006/relationships/hyperlink" Target="https://ipss.cl/administracion-y-comercio/administracion-publica/" TargetMode="External"/><Relationship Id="rId2" Type="http://schemas.openxmlformats.org/officeDocument/2006/relationships/hyperlink" Target="https://ipss.cl/administracion-y-comercio/auditoria/" TargetMode="External"/><Relationship Id="rId3" Type="http://schemas.openxmlformats.org/officeDocument/2006/relationships/hyperlink" Target="https://ipss.cl/administracion-y-comercio/contabilidad-general/" TargetMode="External"/><Relationship Id="rId4" Type="http://schemas.openxmlformats.org/officeDocument/2006/relationships/hyperlink" Target="https://ipss.cl/administracion-y-comercio/ingenieria-en-administracion-de-empresas/" TargetMode="External"/><Relationship Id="rId5" Type="http://schemas.openxmlformats.org/officeDocument/2006/relationships/hyperlink" Target="https://ipss.cl/tecnologias/ingenieria-en-ciberseguridad/" TargetMode="External"/><Relationship Id="rId6" Type="http://schemas.openxmlformats.org/officeDocument/2006/relationships/hyperlink" Target="https://ipss.cl/tecnologias/ingenieria-en-ciencia-de-datos/" TargetMode="External"/><Relationship Id="rId7" Type="http://schemas.openxmlformats.org/officeDocument/2006/relationships/hyperlink" Target="https://ipss.cl/tecnologias/ingenieria-en-conectividad-y-redes/" TargetMode="External"/><Relationship Id="rId8" Type="http://schemas.openxmlformats.org/officeDocument/2006/relationships/hyperlink" Target="https://ipss.cl/tecnologias/ingenieria-en-informatica/" TargetMode="External"/><Relationship Id="rId9" Type="http://schemas.openxmlformats.org/officeDocument/2006/relationships/hyperlink" Target="https://ipss.cl/administracion-y-comercio/ingenieria-en-logistica/" TargetMode="External"/><Relationship Id="rId10" Type="http://schemas.openxmlformats.org/officeDocument/2006/relationships/hyperlink" Target="https://ipss.cl/administracion-y-comercio/tecnico-en-administracion-de-empresas/" TargetMode="External"/><Relationship Id="rId11" Type="http://schemas.openxmlformats.org/officeDocument/2006/relationships/hyperlink" Target="https://ipss.cl/administracion-y-comercio/tecnico-en-administracion-publica/" TargetMode="External"/><Relationship Id="rId12" Type="http://schemas.openxmlformats.org/officeDocument/2006/relationships/hyperlink" Target="https://ipss.cl/tecnologias/tecnico-en-ciberseguridad/" TargetMode="External"/><Relationship Id="rId13" Type="http://schemas.openxmlformats.org/officeDocument/2006/relationships/hyperlink" Target="https://ipss.cl/tecnologias/tecnico-en-ciencia-de-datos/" TargetMode="External"/><Relationship Id="rId14" Type="http://schemas.openxmlformats.org/officeDocument/2006/relationships/hyperlink" Target="https://ipss.cl/tecnologias/tecnico-en-conectividad-y-redes/" TargetMode="External"/><Relationship Id="rId15" Type="http://schemas.openxmlformats.org/officeDocument/2006/relationships/hyperlink" Target="https://ipss.cl/salud/tecnico-en-enfermeria/" TargetMode="External"/><Relationship Id="rId16" Type="http://schemas.openxmlformats.org/officeDocument/2006/relationships/hyperlink" Target="https://ipss.cl/administracion-y-comercio/tecnico-en-logistica/" TargetMode="External"/><Relationship Id="rId17" Type="http://schemas.openxmlformats.org/officeDocument/2006/relationships/hyperlink" Target="https://ipss.cl/tecnologias/tecnico-en-programacion-y-analisis-de-sistemas/" TargetMode="External"/>
</Relationships>
</file>

<file path=xl/worksheets/_rels/sheet13.xml.rels><?xml version="1.0" encoding="UTF-8"?>
<Relationships xmlns="http://schemas.openxmlformats.org/package/2006/relationships"><Relationship Id="rId1" Type="http://schemas.openxmlformats.org/officeDocument/2006/relationships/table" Target="../tables/table17.xml"/><Relationship Id="rId2" Type="http://schemas.openxmlformats.org/officeDocument/2006/relationships/table" Target="../tables/table18.xml"/><Relationship Id="rId3" Type="http://schemas.openxmlformats.org/officeDocument/2006/relationships/table" Target="../tables/table19.xml"/><Relationship Id="rId4" Type="http://schemas.openxmlformats.org/officeDocument/2006/relationships/table" Target="../tables/table20.xml"/>
</Relationships>
</file>

<file path=xl/worksheets/_rels/sheet14.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21.xml"/>
</Relationships>
</file>

<file path=xl/worksheets/_rels/sheet15.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22.xml"/><Relationship Id="rId3" Type="http://schemas.openxmlformats.org/officeDocument/2006/relationships/table" Target="../tables/table23.xml"/><Relationship Id="rId4" Type="http://schemas.openxmlformats.org/officeDocument/2006/relationships/table" Target="../tables/table24.xml"/><Relationship Id="rId5" Type="http://schemas.openxmlformats.org/officeDocument/2006/relationships/table" Target="../tables/table25.xml"/><Relationship Id="rId6" Type="http://schemas.openxmlformats.org/officeDocument/2006/relationships/table" Target="../tables/table26.xml"/><Relationship Id="rId7" Type="http://schemas.openxmlformats.org/officeDocument/2006/relationships/table" Target="../tables/table27.xml"/><Relationship Id="rId8" Type="http://schemas.openxmlformats.org/officeDocument/2006/relationships/table" Target="../tables/table28.xml"/><Relationship Id="rId9" Type="http://schemas.openxmlformats.org/officeDocument/2006/relationships/table" Target="../tables/table29.xml"/><Relationship Id="rId10" Type="http://schemas.openxmlformats.org/officeDocument/2006/relationships/table" Target="../tables/table30.xml"/>
</Relationships>
</file>

<file path=xl/worksheets/_rels/sheet16.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14" Type="http://schemas.openxmlformats.org/officeDocument/2006/relationships/table" Target="../tables/table14.xml"/><Relationship Id="rId15" Type="http://schemas.openxmlformats.org/officeDocument/2006/relationships/table" Target="../tables/table15.xml"/><Relationship Id="rId16" Type="http://schemas.openxmlformats.org/officeDocument/2006/relationships/table" Target="../tables/table16.xml"/>
</Relationships>
</file>

<file path=xl/worksheets/_rels/sheet17.xml.rels><?xml version="1.0" encoding="UTF-8"?>
<Relationships xmlns="http://schemas.openxmlformats.org/package/2006/relationships"><Relationship Id="rId1" Type="http://schemas.openxmlformats.org/officeDocument/2006/relationships/drawing" Target="../drawings/drawing6.xml"/>
</Relationships>
</file>

<file path=xl/worksheets/_rels/sheet18.xml.rels><?xml version="1.0" encoding="UTF-8"?>
<Relationships xmlns="http://schemas.openxmlformats.org/package/2006/relationships"><Relationship Id="rId1" Type="http://schemas.openxmlformats.org/officeDocument/2006/relationships/drawing" Target="../drawings/drawing7.xml"/>
</Relationships>
</file>

<file path=xl/worksheets/_rels/sheet20.xml.rels><?xml version="1.0" encoding="UTF-8"?>
<Relationships xmlns="http://schemas.openxmlformats.org/package/2006/relationships"><Relationship Id="rId1" Type="http://schemas.openxmlformats.org/officeDocument/2006/relationships/drawing" Target="../drawings/drawing8.xml"/>
</Relationships>
</file>

<file path=xl/worksheets/_rels/sheet27.xml.rels><?xml version="1.0" encoding="UTF-8"?>
<Relationships xmlns="http://schemas.openxmlformats.org/package/2006/relationships"><Relationship Id="rId1" Type="http://schemas.openxmlformats.org/officeDocument/2006/relationships/drawing" Target="../drawings/drawing12.xml"/>
</Relationships>
</file>

<file path=xl/worksheets/_rels/sheet28.xml.rels><?xml version="1.0" encoding="UTF-8"?>
<Relationships xmlns="http://schemas.openxmlformats.org/package/2006/relationships"><Relationship Id="rId1" Type="http://schemas.openxmlformats.org/officeDocument/2006/relationships/drawing" Target="../drawings/drawing13.xml"/>
</Relationships>
</file>

<file path=xl/worksheets/_rels/sheet29.xml.rels><?xml version="1.0" encoding="UTF-8"?>
<Relationships xmlns="http://schemas.openxmlformats.org/package/2006/relationships"><Relationship Id="rId1" Type="http://schemas.openxmlformats.org/officeDocument/2006/relationships/drawing" Target="../drawings/drawing14.xml"/>
</Relationships>
</file>

<file path=xl/worksheets/_rels/sheet53.xml.rels><ns0:Relationships xmlns:ns0="http://schemas.openxmlformats.org/package/2006/relationships"><ns0:Relationship Type="http://schemas.openxmlformats.org/officeDocument/2006/relationships/table" Target="/xl/tables/table34.xml" Id="R0ccc78d85659459d" /></ns0:Relationships>
</file>

<file path=xl/worksheets/_rels/sheet54.xml.rels><ns0:Relationships xmlns:ns0="http://schemas.openxmlformats.org/package/2006/relationships"><ns0:Relationship Type="http://schemas.openxmlformats.org/officeDocument/2006/relationships/table" Target="/xl/tables/table35.xml" Id="R7f85fd5d654a4c97" /></ns0: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28.67"/>
    <col collapsed="false" customWidth="true" hidden="false" outlineLevel="0" max="3" min="3" style="1" width="31.83"/>
    <col collapsed="false" customWidth="true" hidden="false" outlineLevel="0" max="4" min="4" style="1" width="20"/>
    <col collapsed="false" customWidth="true" hidden="false" outlineLevel="0" max="5" min="5" style="1" width="3"/>
    <col collapsed="false" customWidth="true" hidden="false" outlineLevel="0" max="6" min="6" style="1" width="23.16"/>
    <col collapsed="false" customWidth="true" hidden="false" outlineLevel="0" max="7" min="7" style="1" width="3"/>
  </cols>
  <sheetData>
    <row r="1" customFormat="false" ht="42" hidden="false" customHeight="true" outlineLevel="0" collapsed="false">
      <c r="A1" s="2" t="inlineStr">
        <is>
          <t xml:space="preserve">🏠 Portada / Índice</t>
        </is>
      </c>
      <c r="B1" s="2"/>
      <c r="C1" s="3"/>
      <c r="D1" s="3"/>
    </row>
    <row r="2" customFormat="false" ht="19.5" hidden="false" customHeight="true" outlineLevel="0" collapsed="false"/>
    <row r="3" customFormat="false" ht="26.25" hidden="false" customHeight="true" outlineLevel="0" collapsed="false">
      <c r="B3" s="4" t="inlineStr">
        <is>
          <t xml:space="preserve">Retención de 1er Año — IPSS 2022-2026</t>
        </is>
      </c>
      <c r="C3" s="4"/>
      <c r="D3" s="4"/>
      <c r="E3" s="4"/>
      <c r="F3" s="4"/>
    </row>
    <row r="4" customFormat="false" ht="15.75" hidden="false" customHeight="true" outlineLevel="0" collapsed="false">
      <c r="A4" s="5"/>
      <c r="B4" s="6" t="inlineStr">
        <is>
          <t xml:space="preserve">Cruce entre la Matrícula Unificada informada a SIES y las cifras oficiales publicadas por SIES</t>
        </is>
      </c>
      <c r="C4" s="6"/>
      <c r="D4" s="6"/>
      <c r="E4" s="6"/>
      <c r="F4" s="6"/>
    </row>
    <row r="5" customFormat="false" ht="15" hidden="false" customHeight="true" outlineLevel="0" collapsed="false">
      <c r="A5" s="5"/>
    </row>
    <row r="6" customFormat="false" ht="15" hidden="false" customHeight="true" outlineLevel="0" collapsed="false">
      <c r="A6" s="5"/>
      <c r="B6" s="7" t="inlineStr">
        <is>
          <t xml:space="preserve">Elaborado por</t>
        </is>
      </c>
      <c r="C6" s="8" t="inlineStr">
        <is>
          <t xml:space="preserve">Dirección de Análisis Institucional (DAI) — Instituto Profesional San Sebastián</t>
        </is>
      </c>
      <c r="D6" s="8"/>
      <c r="E6" s="8"/>
      <c r="F6" s="8"/>
    </row>
    <row r="7" customFormat="false" ht="15" hidden="false" customHeight="true" outlineLevel="0" collapsed="false">
      <c r="A7" s="5"/>
      <c r="B7" s="7" t="inlineStr">
        <is>
          <t xml:space="preserve">Fecha de elaboración</t>
        </is>
      </c>
      <c r="C7" s="8" t="inlineStr">
        <is>
          <t xml:space="preserve">30-09-2026</t>
        </is>
      </c>
      <c r="D7" s="8"/>
      <c r="E7" s="8"/>
      <c r="F7" s="8"/>
    </row>
    <row r="8" customFormat="false" ht="15" hidden="false" customHeight="true" outlineLevel="0" collapsed="false">
      <c r="A8" s="5"/>
      <c r="B8" s="7" t="inlineStr">
        <is>
          <t xml:space="preserve">Alcance</t>
        </is>
      </c>
      <c r="C8" s="8" t="inlineStr">
        <is>
          <t xml:space="preserve">Cohortes de primer año 2022 a 2025 (candidatos con año siguiente disponible para medir retención)</t>
        </is>
      </c>
      <c r="D8" s="8"/>
      <c r="E8" s="8"/>
      <c r="F8" s="8"/>
    </row>
    <row r="9" customFormat="false" ht="15" hidden="false" customHeight="true" outlineLevel="0" collapsed="false">
      <c r="A9" s="5"/>
      <c r="B9" s="7" t="inlineStr">
        <is>
          <t xml:space="preserve">Fuente técnica base</t>
        </is>
      </c>
      <c r="C9" s="8" t="inlineStr">
        <is>
          <t xml:space="preserve">Análisis gobernado en el proyecto avance_curricular, hito H001-RETENCION-IPSS162</t>
        </is>
      </c>
      <c r="D9" s="8"/>
      <c r="E9" s="8"/>
      <c r="F9" s="8"/>
    </row>
    <row r="10" customFormat="false" ht="15" hidden="false" customHeight="true" outlineLevel="0" collapsed="false">
      <c r="A10" s="5"/>
      <c r="B10" s="7" t="inlineStr">
        <is>
          <t xml:space="preserve">Uso de datos personales</t>
        </is>
      </c>
      <c r="C10" s="8" t="inlineStr">
        <is>
          <t xml:space="preserve">SÍ. Por instrucción explícita del usuario (30-09-2026), este archivo incluye identificadores de estudiante (nombre, RUT, fecha de nacimiento) en las hojas 9 y 11, para uso de gerencia.</t>
        </is>
      </c>
      <c r="D10" s="8"/>
      <c r="E10" s="8"/>
      <c r="F10" s="8"/>
    </row>
    <row r="11" customFormat="false" ht="15" hidden="false" customHeight="true" outlineLevel="0" collapsed="false">
      <c r="A11" s="5"/>
      <c r="B11" s="7" t="inlineStr">
        <is>
          <t xml:space="preserve">Clasificación de uso</t>
        </is>
      </c>
      <c r="C11" s="8" t="inlineStr">
        <is>
          <t xml:space="preserve">USO RESTRINGIDO — contiene datos personales de estudiantes. Distribución exclusiva a gerencia IPSS.</t>
        </is>
      </c>
      <c r="D11" s="8"/>
      <c r="E11" s="8"/>
      <c r="F11" s="8"/>
    </row>
    <row r="12" customFormat="false" ht="15" hidden="false" customHeight="true" outlineLevel="0" collapsed="false">
      <c r="A12" s="5"/>
    </row>
    <row r="13" customFormat="false" ht="15" hidden="false" customHeight="true" outlineLevel="0" collapsed="false">
      <c r="A13" s="5"/>
      <c r="B13" s="9" t="inlineStr">
        <is>
          <t xml:space="preserve">Contenido de este documento</t>
        </is>
      </c>
      <c r="C13" s="9"/>
      <c r="D13" s="9"/>
      <c r="E13" s="9"/>
      <c r="F13" s="9"/>
    </row>
    <row r="14" customFormat="false" ht="15" hidden="false" customHeight="true" outlineLevel="0" collapsed="false">
      <c r="A14" s="5"/>
      <c r="B14" s="10" t="inlineStr">
        <is>
          <t xml:space="preserve">1. ¿Qué es la retención de 1er año?</t>
        </is>
      </c>
    </row>
    <row r="15" customFormat="false" ht="15" hidden="false" customHeight="true" outlineLevel="0" collapsed="false">
      <c r="A15" s="5"/>
      <c r="B15" s="10" t="inlineStr">
        <is>
          <t xml:space="preserve">2. ¿De dónde vienen los datos?</t>
        </is>
      </c>
    </row>
    <row r="16" customFormat="false" ht="15" hidden="false" customHeight="true" outlineLevel="0" collapsed="false">
      <c r="A16" s="5"/>
      <c r="B16" s="10" t="inlineStr">
        <is>
          <t xml:space="preserve">3. ¿Cómo se hace el cruce?</t>
        </is>
      </c>
    </row>
    <row r="17" customFormat="false" ht="15" hidden="false" customHeight="true" outlineLevel="0" collapsed="false">
      <c r="A17" s="5"/>
      <c r="B17" s="10" t="inlineStr">
        <is>
          <t xml:space="preserve">4. Resultados por sector</t>
        </is>
      </c>
    </row>
    <row r="18" customFormat="false" ht="15" hidden="false" customHeight="true" outlineLevel="0" collapsed="false">
      <c r="A18" s="5"/>
      <c r="B18" s="10" t="inlineStr">
        <is>
          <t xml:space="preserve">5. Evolución 2022-2026</t>
        </is>
      </c>
    </row>
    <row r="19" customFormat="false" ht="15" hidden="false" customHeight="true" outlineLevel="0" collapsed="false">
      <c r="A19" s="5"/>
      <c r="B19" s="10" t="inlineStr">
        <is>
          <t xml:space="preserve">6. Limitaciones</t>
        </is>
      </c>
    </row>
    <row r="20" customFormat="false" ht="15" hidden="false" customHeight="true" outlineLevel="0" collapsed="false">
      <c r="A20" s="5"/>
      <c r="B20" s="10" t="inlineStr">
        <is>
          <t xml:space="preserve">7. Glosario</t>
        </is>
      </c>
    </row>
    <row r="21" customFormat="false" ht="15" hidden="false" customHeight="true" outlineLevel="0" collapsed="false">
      <c r="A21" s="5"/>
    </row>
    <row r="22" customFormat="false" ht="46.5" hidden="false" customHeight="true" outlineLevel="0" collapsed="false">
      <c r="A22" s="5"/>
      <c r="B22" s="11" t="inlineStr">
        <is>
          <t xml:space="preserve">Hojas de soporte técnico y de detalle granular al final del libro. Las hojas 9 y 11 contienen datos personales de estudiantes; la hoja 12 agrega el desglose por jornada, edad y sexo por carrera; la hoja 13 reconstruye el código único de SIES por carrera+jornada+versión para los 4 años y valida 2025 contra el dato real enviado por SIES; la hoja 14 consolida las vistas ejecutivas (institucional, sector, sede, modalidad, carrera) con mejor/peor % y conclusiones — uso restringido, no redistribuir.</t>
        </is>
      </c>
      <c r="C22" s="11"/>
      <c r="D22" s="11"/>
      <c r="E22" s="11"/>
      <c r="F22" s="11"/>
    </row>
    <row r="23" customFormat="false" ht="15" hidden="false" customHeight="true" outlineLevel="0" collapsed="false">
      <c r="A23" s="5"/>
    </row>
    <row r="24" customFormat="false" ht="15" hidden="false" customHeight="true" outlineLevel="0" collapsed="false">
      <c r="A24" s="5"/>
    </row>
    <row r="25" customFormat="false" ht="15" hidden="false" customHeight="true" outlineLevel="0" collapsed="false">
      <c r="A25" s="5"/>
    </row>
    <row r="26" customFormat="false" ht="15" hidden="false" customHeight="true" outlineLevel="0" collapsed="false">
      <c r="A26" s="5"/>
    </row>
    <row r="27" customFormat="false" ht="15" hidden="false" customHeight="true" outlineLevel="0" collapsed="false">
      <c r="A27" s="5"/>
    </row>
    <row r="28" customFormat="false" ht="15" hidden="false" customHeight="true" outlineLevel="0" collapsed="false">
      <c r="A28" s="5"/>
    </row>
    <row r="29" customFormat="false" ht="15" hidden="false" customHeight="true" outlineLevel="0" collapsed="false">
      <c r="A29" s="5"/>
    </row>
    <row r="30" customFormat="false" ht="15" hidden="false" customHeight="true" outlineLevel="0" collapsed="false">
      <c r="A30" s="5"/>
    </row>
    <row r="31" customFormat="false" ht="15" hidden="false" customHeight="true" outlineLevel="0" collapsed="false">
      <c r="A31" s="5"/>
    </row>
    <row r="32" customFormat="false" ht="15" hidden="false" customHeight="true" outlineLevel="0" collapsed="false">
      <c r="A32" s="5"/>
    </row>
    <row r="33" customFormat="false" ht="15" hidden="false" customHeight="true" outlineLevel="0" collapsed="false">
      <c r="A33" s="5"/>
    </row>
    <row r="34" customFormat="false" ht="15" hidden="false" customHeight="true" outlineLevel="0" collapsed="false">
      <c r="A34" s="5"/>
    </row>
    <row r="35" customFormat="false" ht="15" hidden="false" customHeight="true" outlineLevel="0" collapsed="false">
      <c r="A35" s="5"/>
    </row>
    <row r="36" customFormat="false" ht="15" hidden="false" customHeight="true" outlineLevel="0" collapsed="false">
      <c r="A36" s="5"/>
    </row>
    <row r="37" customFormat="false" ht="15" hidden="false" customHeight="true" outlineLevel="0" collapsed="false">
      <c r="A37" s="5"/>
    </row>
    <row r="38" customFormat="false" ht="15" hidden="false" customHeight="true" outlineLevel="0" collapsed="false">
      <c r="A38" s="5"/>
    </row>
    <row r="39" customFormat="false" ht="15" hidden="false" customHeight="true" outlineLevel="0" collapsed="false">
      <c r="A39" s="5"/>
    </row>
    <row r="40" customFormat="false" ht="15" hidden="false" customHeight="true" outlineLevel="0" collapsed="false">
      <c r="A40" s="5"/>
    </row>
  </sheetData>
  <mergeCells count="11">
    <mergeCell ref="A1:B1"/>
    <mergeCell ref="B3:F3"/>
    <mergeCell ref="B4:F4"/>
    <mergeCell ref="C6:F6"/>
    <mergeCell ref="C7:F7"/>
    <mergeCell ref="C8:F8"/>
    <mergeCell ref="C9:F9"/>
    <mergeCell ref="C10:F10"/>
    <mergeCell ref="C11:F11"/>
    <mergeCell ref="B13:F13"/>
    <mergeCell ref="B22:F22"/>
  </mergeCells>
  <hyperlinks>
    <hyperlink ref="A1" location="'Portada'!B3" display="🏠 Portada / Índice"/>
    <hyperlink ref="B14" location="'1_Que_es_Retencion'!A1" display="1. ¿Qué es la retención de 1er año?"/>
    <hyperlink ref="B15" location="'2_Origen_Datos'!A1" display="2. ¿De dónde vienen los datos?"/>
    <hyperlink ref="B16" location="'3_Como_se_Cruza'!A1" display="3. ¿Cómo se hace el cruce?"/>
    <hyperlink ref="B17" location="'4_Resultados_Sector'!A1" display="4. Resultados por sector"/>
    <hyperlink ref="B18" location="'5_Evolucion'!A1" display="5. Evolución 2022-2026"/>
    <hyperlink ref="B19" location="'6_Limitaciones'!A1" display="6. Limitaciones"/>
    <hyperlink ref="B20" location="'7_Glosario'!A1" display="7. Glosario"/>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100"/>
    <col collapsed="false" customWidth="true" hidden="false" outlineLevel="0" max="7" min="3" style="1" width="15"/>
  </cols>
  <sheetData>
    <row r="1" customFormat="false" ht="15" hidden="false" customHeight="true" outlineLevel="0" collapsed="false">
      <c r="A1" s="2" t="inlineStr">
        <is>
          <t xml:space="preserve">🏠 Portada / Índice</t>
        </is>
      </c>
      <c r="B1" s="2"/>
    </row>
    <row r="2" customFormat="false" ht="30" hidden="false" customHeight="true" outlineLevel="0" collapsed="false">
      <c r="A2" s="12" t="inlineStr">
        <is>
          <t xml:space="preserve">1. ¿Qué es la retención de 1er año?</t>
        </is>
      </c>
      <c r="B2" s="13"/>
    </row>
    <row r="4" customFormat="false" ht="15" hidden="false" customHeight="true" outlineLevel="0" collapsed="false">
      <c r="A4" s="5"/>
      <c r="B4" s="14" t="inlineStr">
        <is>
          <t xml:space="preserve">Definición oficial</t>
        </is>
      </c>
    </row>
    <row r="5" customFormat="false" ht="99.75" hidden="false" customHeight="true" outlineLevel="0" collapsed="false">
      <c r="A5" s="5"/>
      <c r="B5" s="15" t="inlineStr">
        <is>
          <t xml:space="preserve">"Es el porcentaje de estudiantes que, estando matriculados como estudiantes de primer año en una institución de educación superior en un año de referencia dado, se mantiene matriculado en la misma institución y en la misma generación o cohorte de origen al año siguiente, respecto del total de estudiantes de primer año que ingresó en el año de referencia."</t>
        </is>
      </c>
    </row>
    <row r="6" customFormat="false" ht="15" hidden="false" customHeight="true" outlineLevel="0" collapsed="false">
      <c r="A6" s="5"/>
      <c r="B6" s="15"/>
    </row>
    <row r="7" customFormat="false" ht="15" hidden="false" customHeight="true" outlineLevel="0" collapsed="false">
      <c r="A7" s="5"/>
      <c r="B7" s="15"/>
    </row>
    <row r="8" customFormat="false" ht="15" hidden="false" customHeight="true" outlineLevel="0" collapsed="false">
      <c r="A8" s="5"/>
      <c r="B8" s="15"/>
    </row>
    <row r="9" customFormat="false" ht="15" hidden="false" customHeight="true" outlineLevel="0" collapsed="false">
      <c r="A9" s="5"/>
    </row>
    <row r="10" customFormat="false" ht="42" hidden="false" customHeight="true" outlineLevel="0" collapsed="false">
      <c r="A10" s="5"/>
      <c r="B10" s="16" t="inlineStr">
        <is>
          <t xml:space="preserve">Fuente: correo de Rodrigo Rolando Meneses (SIES/MINEDUC) a Karla Muñoz Gajardo (IPSS), 09-09-2026, asunto "RV: Matrícula de 1er año". Clasificación A — definición oficial. Transcripción gobernada en CARACTERIZACIÓN/gobernanza/sies/RETENCION/REGLA_RETENCION_1ER_ANIO_CORREO_20260909.txt</t>
        </is>
      </c>
    </row>
    <row r="11" customFormat="false" ht="15" hidden="false" customHeight="true" outlineLevel="0" collapsed="false">
      <c r="A11" s="5"/>
    </row>
    <row r="12" customFormat="false" ht="15" hidden="false" customHeight="true" outlineLevel="0" collapsed="false">
      <c r="A12" s="5"/>
      <c r="B12" s="14" t="inlineStr">
        <is>
          <t xml:space="preserve">Reglas de aplicación (del mismo correo, clasificación A)</t>
        </is>
      </c>
    </row>
    <row r="13" customFormat="false" ht="27.75" hidden="false" customHeight="true" outlineLevel="0" collapsed="false">
      <c r="A13" s="5"/>
      <c r="B13" s="17" t="inlineStr">
        <is>
          <t xml:space="preserve">•  Se consideran solo programas regulares: 4 semestres mínimo para carreras técnicas, 6 para profesionales sin licenciatura, 8 para profesionales con licenciatura y licenciaturas no conducentes a título.</t>
        </is>
      </c>
    </row>
    <row r="14" customFormat="false" ht="27.75" hidden="false" customHeight="true" outlineLevel="0" collapsed="false">
      <c r="A14" s="5"/>
      <c r="B14" s="17" t="inlineStr">
        <is>
          <t xml:space="preserve">•  Quedan excluidos los programas especiales (planes no regulares).</t>
        </is>
      </c>
    </row>
    <row r="15" customFormat="false" ht="27.75" hidden="false" customHeight="true" outlineLevel="0" collapsed="false">
      <c r="A15" s="5"/>
      <c r="B15" s="17" t="inlineStr">
        <is>
          <t xml:space="preserve">•  Se eliminan casos puntuales de estudiantes con inconsistencias de cohorte de origen de un año a otro.</t>
        </is>
      </c>
    </row>
    <row r="16" customFormat="false" ht="27.75" hidden="false" customHeight="true" outlineLevel="0" collapsed="false">
      <c r="A16" s="5"/>
      <c r="B16" s="17" t="inlineStr">
        <is>
          <t xml:space="preserve">•  Solo se publican cifras cuando la categoría tiene 10 o más casos en la cohorte de origen.</t>
        </is>
      </c>
    </row>
    <row r="17" customFormat="false" ht="27.75" hidden="false" customHeight="true" outlineLevel="0" collapsed="false">
      <c r="A17" s="5"/>
      <c r="B17" s="17" t="inlineStr">
        <is>
          <t xml:space="preserve">•  La fecha de referencia de la matrícula de cada año es el 30 de abril de ese año.</t>
        </is>
      </c>
    </row>
    <row r="18" customFormat="false" ht="15" hidden="false" customHeight="true" outlineLevel="0" collapsed="false">
      <c r="A18" s="5"/>
    </row>
    <row r="19" customFormat="false" ht="48" hidden="false" customHeight="true" outlineLevel="0" collapsed="false">
      <c r="A19" s="5"/>
      <c r="B19" s="18" t="inlineStr">
        <is>
          <t xml:space="preserve">Nota: el umbral de 10 casos aplica a lo que SIES publica de forma agregada. En este documento, cuando un sector o carrera tiene menos de 10 casos, igual se muestra el resultado interno (porque es un análisis propio, no una publicación oficial de SIES), pero se advierte en la hoja de resultados.</t>
        </is>
      </c>
    </row>
    <row r="20" customFormat="false" ht="15" hidden="false" customHeight="true" outlineLevel="0" collapsed="false">
      <c r="A20" s="5"/>
    </row>
    <row r="21" customFormat="false" ht="15" hidden="false" customHeight="true" outlineLevel="0" collapsed="false">
      <c r="A21" s="5"/>
    </row>
    <row r="22" customFormat="false" ht="15" hidden="false" customHeight="true" outlineLevel="0" collapsed="false">
      <c r="A22" s="5"/>
    </row>
    <row r="23" customFormat="false" ht="15" hidden="false" customHeight="true" outlineLevel="0" collapsed="false">
      <c r="A23" s="5"/>
    </row>
    <row r="24" customFormat="false" ht="15" hidden="false" customHeight="true" outlineLevel="0" collapsed="false">
      <c r="A24" s="5"/>
    </row>
    <row r="25" customFormat="false" ht="15" hidden="false" customHeight="true" outlineLevel="0" collapsed="false">
      <c r="A25" s="5"/>
    </row>
    <row r="26" customFormat="false" ht="15" hidden="false" customHeight="true" outlineLevel="0" collapsed="false">
      <c r="A26" s="5"/>
    </row>
    <row r="27" customFormat="false" ht="15" hidden="false" customHeight="true" outlineLevel="0" collapsed="false">
      <c r="A27" s="5"/>
    </row>
    <row r="28" customFormat="false" ht="15" hidden="false" customHeight="true" outlineLevel="0" collapsed="false">
      <c r="A28" s="5"/>
    </row>
    <row r="29" customFormat="false" ht="15" hidden="false" customHeight="true" outlineLevel="0" collapsed="false">
      <c r="A29" s="5"/>
    </row>
    <row r="30" customFormat="false" ht="15" hidden="false" customHeight="true" outlineLevel="0" collapsed="false">
      <c r="A30" s="5"/>
    </row>
    <row r="31" customFormat="false" ht="15" hidden="false" customHeight="true" outlineLevel="0" collapsed="false">
      <c r="A31" s="5"/>
    </row>
    <row r="32" customFormat="false" ht="15" hidden="false" customHeight="true" outlineLevel="0" collapsed="false">
      <c r="A32" s="5"/>
    </row>
    <row r="33" customFormat="false" ht="15" hidden="false" customHeight="true" outlineLevel="0" collapsed="false">
      <c r="A33" s="5"/>
    </row>
    <row r="34" customFormat="false" ht="15" hidden="false" customHeight="true" outlineLevel="0" collapsed="false">
      <c r="A34" s="5"/>
    </row>
    <row r="35" customFormat="false" ht="15" hidden="false" customHeight="true" outlineLevel="0" collapsed="false">
      <c r="A35" s="5"/>
    </row>
    <row r="36" customFormat="false" ht="15" hidden="false" customHeight="true" outlineLevel="0" collapsed="false">
      <c r="A36" s="5"/>
    </row>
    <row r="37" customFormat="false" ht="15" hidden="false" customHeight="true" outlineLevel="0" collapsed="false">
      <c r="A37" s="5"/>
    </row>
    <row r="38" customFormat="false" ht="15" hidden="false" customHeight="true" outlineLevel="0" collapsed="false">
      <c r="A38" s="5"/>
    </row>
    <row r="39" customFormat="false" ht="15" hidden="false" customHeight="true" outlineLevel="0" collapsed="false">
      <c r="A39" s="5"/>
    </row>
    <row r="40" customFormat="false" ht="15" hidden="false" customHeight="true" outlineLevel="0" collapsed="false">
      <c r="A40" s="5"/>
    </row>
  </sheetData>
  <mergeCells count="2">
    <mergeCell ref="A1:B1"/>
    <mergeCell ref="B5:B8"/>
  </mergeCells>
  <hyperlinks>
    <hyperlink ref="A1" location="'Portada'!B3" display="🏠 Portada / Índice"/>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100"/>
  </cols>
  <sheetData>
    <row r="1" customFormat="false" ht="9.75" hidden="false" customHeight="true" outlineLevel="0" collapsed="false">
      <c r="A1" s="2" t="inlineStr">
        <is>
          <t xml:space="preserve">🏠 Portada / Índice</t>
        </is>
      </c>
      <c r="B1" s="2"/>
    </row>
    <row r="2" customFormat="false" ht="30" hidden="false" customHeight="true" outlineLevel="0" collapsed="false">
      <c r="A2" s="12" t="inlineStr">
        <is>
          <t xml:space="preserve">2. ¿De dónde vienen los datos?</t>
        </is>
      </c>
      <c r="B2" s="13"/>
    </row>
    <row r="4" customFormat="false" ht="15" hidden="false" customHeight="true" outlineLevel="0" collapsed="false">
      <c r="A4" s="5"/>
      <c r="B4" s="14" t="inlineStr">
        <is>
          <t xml:space="preserve">¿Qué es la Matrícula Unificada?</t>
        </is>
      </c>
    </row>
    <row r="5" customFormat="false" ht="61.5" hidden="false" customHeight="true" outlineLevel="0" collapsed="false">
      <c r="A5" s="5"/>
      <c r="B5" s="17" t="inlineStr">
        <is>
          <t xml:space="preserve">Cada año, IPSS informa a SIES (Servicio de Información de Educación Superior, MINEDUC) un registro por cada estudiante matriculado: en qué carrera está, en qué año y semestre ingresó a esa carrera, y si su matrícula sigue vigente. Ese envío se llama Matrícula Unificada y es la misma información que después SIES usa para publicar sus propias cifras oficiales, incluida la retención de 1er año.</t>
        </is>
      </c>
    </row>
    <row r="6" customFormat="false" ht="15" hidden="false" customHeight="true" outlineLevel="0" collapsed="false">
      <c r="A6" s="5"/>
    </row>
    <row r="7" customFormat="false" ht="15" hidden="false" customHeight="true" outlineLevel="0" collapsed="false">
      <c r="A7" s="5"/>
      <c r="B7" s="14" t="inlineStr">
        <is>
          <t xml:space="preserve">La base que usamos en este análisis</t>
        </is>
      </c>
    </row>
    <row r="8" customFormat="false" ht="61.5" hidden="false" customHeight="true" outlineLevel="0" collapsed="false">
      <c r="A8" s="5"/>
      <c r="B8" s="17" t="inlineStr">
        <is>
          <t xml:space="preserve">Se trabajó con la Matrícula Unificada de IPSS de los años 2022 a 2026: 10.200 registros en total. Esta base fue construida y verificada en el proyecto avance_curricular (verificación por huella digital SHA-256 el 01-09-2026), y es la misma base ya usada en el análisis técnico completo de retención.</t>
        </is>
      </c>
    </row>
    <row r="9" customFormat="false" ht="15" hidden="false" customHeight="true" outlineLevel="0" collapsed="false">
      <c r="A9" s="5"/>
    </row>
    <row r="10" customFormat="false" ht="15" hidden="false" customHeight="true" outlineLevel="0" collapsed="false">
      <c r="A10" s="5"/>
      <c r="B10" s="14" t="inlineStr">
        <is>
          <t xml:space="preserve">Lo que NO contiene este archivo</t>
        </is>
      </c>
    </row>
    <row r="11" customFormat="false" ht="61.5" hidden="false" customHeight="true" outlineLevel="0" collapsed="false">
      <c r="A11" s="5"/>
      <c r="B11" s="17" t="inlineStr">
        <is>
          <t xml:space="preserve">Por instrucción explícita del usuario (30-09-2026), este documento SÍ incluye identificadores de estudiante (nombre, RUT, fecha de nacimiento) en las hojas 9 y 11, porque está destinado a gerencia y se requiere poder revisar el detalle individual. Es uso restringido: no debe redistribuirse fuera de gerencia sin autorización.</t>
        </is>
      </c>
    </row>
    <row r="12" customFormat="false" ht="15" hidden="false" customHeight="true" outlineLevel="0" collapsed="false">
      <c r="A12" s="5"/>
    </row>
    <row r="13" customFormat="false" ht="15" hidden="false" customHeight="true" outlineLevel="0" collapsed="false">
      <c r="A13" s="5"/>
      <c r="B13" s="14" t="inlineStr">
        <is>
          <t xml:space="preserve">La cifra de comparación: SIES publicada</t>
        </is>
      </c>
    </row>
    <row r="14" customFormat="false" ht="61.5" hidden="false" customHeight="true" outlineLevel="0" collapsed="false">
      <c r="A14" s="5"/>
      <c r="B14" s="17" t="inlineStr">
        <is>
          <t xml:space="preserve">Para contrastar, se usa la cifra de retención que SIES publica oficialmente para IPSS (informe agregado institucional 2022-2025), y además la tabla granular por carrera que SIES envió por correo para el año 2025 (36 códigos de carrera). No existe una tabla granular por carrera publicada por SIES para 2022, 2023 ni 2024; para esos años solo se compara la cifra institucional total.</t>
        </is>
      </c>
    </row>
    <row r="15" customFormat="false" ht="15" hidden="false" customHeight="true" outlineLevel="0" collapsed="false">
      <c r="A15" s="5"/>
    </row>
    <row r="16" customFormat="false" ht="48" hidden="false" customHeight="true" outlineLevel="0" collapsed="false">
      <c r="A16" s="5"/>
      <c r="B16" s="18" t="inlineStr">
        <is>
          <t xml:space="preserve">Fuentes: Base Matrícula Unificada IPSS 2022-2026 (B, avance_curricular); Informe de Retención SIES agregado institucional 2022-2025 (B, gobernanza/sies/RETENCION); correo granular SIES 2025 de Rodrigo Rolando Meneses, 09-09-2026 (A/B).</t>
        </is>
      </c>
    </row>
    <row r="17" customFormat="false" ht="15" hidden="false" customHeight="true" outlineLevel="0" collapsed="false">
      <c r="A17" s="5"/>
    </row>
    <row r="18" customFormat="false" ht="15" hidden="false" customHeight="true" outlineLevel="0" collapsed="false">
      <c r="A18" s="5"/>
    </row>
    <row r="19" customFormat="false" ht="15" hidden="false" customHeight="true" outlineLevel="0" collapsed="false">
      <c r="A19" s="5"/>
    </row>
    <row r="20" customFormat="false" ht="15" hidden="false" customHeight="true" outlineLevel="0" collapsed="false">
      <c r="A20" s="5"/>
    </row>
    <row r="21" customFormat="false" ht="15" hidden="false" customHeight="true" outlineLevel="0" collapsed="false">
      <c r="A21" s="5"/>
    </row>
    <row r="22" customFormat="false" ht="15" hidden="false" customHeight="true" outlineLevel="0" collapsed="false">
      <c r="A22" s="5"/>
    </row>
    <row r="23" customFormat="false" ht="15" hidden="false" customHeight="true" outlineLevel="0" collapsed="false">
      <c r="A23" s="5"/>
    </row>
    <row r="24" customFormat="false" ht="15" hidden="false" customHeight="true" outlineLevel="0" collapsed="false">
      <c r="A24" s="5"/>
    </row>
    <row r="25" customFormat="false" ht="15" hidden="false" customHeight="true" outlineLevel="0" collapsed="false">
      <c r="A25" s="5"/>
    </row>
    <row r="26" customFormat="false" ht="15" hidden="false" customHeight="true" outlineLevel="0" collapsed="false">
      <c r="A26" s="5"/>
    </row>
    <row r="27" customFormat="false" ht="15" hidden="false" customHeight="true" outlineLevel="0" collapsed="false">
      <c r="A27" s="5"/>
    </row>
    <row r="28" customFormat="false" ht="15" hidden="false" customHeight="true" outlineLevel="0" collapsed="false">
      <c r="A28" s="5"/>
    </row>
    <row r="29" customFormat="false" ht="15" hidden="false" customHeight="true" outlineLevel="0" collapsed="false">
      <c r="A29" s="5"/>
    </row>
    <row r="30" customFormat="false" ht="15" hidden="false" customHeight="true" outlineLevel="0" collapsed="false">
      <c r="A30" s="5"/>
    </row>
    <row r="31" customFormat="false" ht="15" hidden="false" customHeight="true" outlineLevel="0" collapsed="false">
      <c r="A31" s="5"/>
    </row>
    <row r="32" customFormat="false" ht="15" hidden="false" customHeight="true" outlineLevel="0" collapsed="false">
      <c r="A32" s="5"/>
    </row>
    <row r="33" customFormat="false" ht="15" hidden="false" customHeight="true" outlineLevel="0" collapsed="false">
      <c r="A33" s="5"/>
    </row>
    <row r="34" customFormat="false" ht="15" hidden="false" customHeight="true" outlineLevel="0" collapsed="false">
      <c r="A34" s="5"/>
    </row>
    <row r="35" customFormat="false" ht="15" hidden="false" customHeight="true" outlineLevel="0" collapsed="false">
      <c r="A35" s="5"/>
    </row>
    <row r="36" customFormat="false" ht="15" hidden="false" customHeight="true" outlineLevel="0" collapsed="false">
      <c r="A36" s="5"/>
    </row>
    <row r="37" customFormat="false" ht="15" hidden="false" customHeight="true" outlineLevel="0" collapsed="false">
      <c r="A37" s="5"/>
    </row>
    <row r="38" customFormat="false" ht="15" hidden="false" customHeight="true" outlineLevel="0" collapsed="false">
      <c r="A38" s="5"/>
    </row>
    <row r="39" customFormat="false" ht="15" hidden="false" customHeight="true" outlineLevel="0" collapsed="false">
      <c r="A39" s="5"/>
    </row>
    <row r="40" customFormat="false" ht="15" hidden="false" customHeight="true" outlineLevel="0" collapsed="false">
      <c r="A40" s="5"/>
    </row>
  </sheetData>
  <mergeCells count="1">
    <mergeCell ref="A1:B1"/>
  </mergeCells>
  <hyperlinks>
    <hyperlink ref="A1" location="'Portada'!B3" display="🏠 Portada / Índice"/>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100"/>
  </cols>
  <sheetData>
    <row r="1" customFormat="false" ht="9.75" hidden="false" customHeight="true" outlineLevel="0" collapsed="false">
      <c r="A1" s="2" t="inlineStr">
        <is>
          <t xml:space="preserve">🏠 Portada / Índice</t>
        </is>
      </c>
      <c r="B1" s="2"/>
    </row>
    <row r="2" customFormat="false" ht="30" hidden="false" customHeight="true" outlineLevel="0" collapsed="false">
      <c r="A2" s="12" t="inlineStr">
        <is>
          <t xml:space="preserve">3. ¿Cómo se hace el cruce?</t>
        </is>
      </c>
      <c r="B2" s="13"/>
    </row>
    <row r="4" customFormat="false" ht="15" hidden="false" customHeight="true" outlineLevel="0" collapsed="false">
      <c r="A4" s="5"/>
      <c r="B4" s="14" t="inlineStr">
        <is>
          <t xml:space="preserve">Paso 1 — ¿Quién es candidato de primer año?</t>
        </is>
      </c>
    </row>
    <row r="5" customFormat="false" ht="61.5" hidden="false" customHeight="true" outlineLevel="0" collapsed="false">
      <c r="A5" s="5"/>
      <c r="B5" s="17" t="inlineStr">
        <is>
          <t xml:space="preserve">Un estudiante entra al cálculo de un año X cuando su año de ingreso a la carrera de origen es igual a X, está en un plan regular (no especial), y su carrera cumple la duración mínima exigida (4, 6 u 8 semestres según el tipo). Esto sigue exactamente la definición A del correo SIES.</t>
        </is>
      </c>
    </row>
    <row r="6" customFormat="false" ht="15" hidden="false" customHeight="true" outlineLevel="0" collapsed="false">
      <c r="A6" s="5"/>
    </row>
    <row r="7" customFormat="false" ht="15" hidden="false" customHeight="true" outlineLevel="0" collapsed="false">
      <c r="A7" s="5"/>
      <c r="B7" s="14" t="inlineStr">
        <is>
          <t xml:space="preserve">Paso 2 — ¿Qué significa "vigente"?</t>
        </is>
      </c>
    </row>
    <row r="8" customFormat="false" ht="61.5" hidden="false" customHeight="true" outlineLevel="0" collapsed="false">
      <c r="A8" s="5"/>
      <c r="B8" s="17" t="inlineStr">
        <is>
          <t xml:space="preserve">La Matrícula Unificada informa un código de vigencia (VIG) por estudiante: 0 = sin matrícula, 1 = con matrícula vigente, 2 = egresado con matrícula vigente (Manual de Procesos: Matrícula Unificada 2026, clasificación A). Un estudiante "retenido" es aquel candidato que, al año siguiente, aparece con VIG 1 o 2 en la misma institución y en la misma cohorte de origen.</t>
        </is>
      </c>
    </row>
    <row r="9" customFormat="false" ht="15" hidden="false" customHeight="true" outlineLevel="0" collapsed="false">
      <c r="A9" s="5"/>
    </row>
    <row r="10" customFormat="false" ht="15" hidden="false" customHeight="true" outlineLevel="0" collapsed="false">
      <c r="A10" s="5"/>
      <c r="B10" s="14" t="inlineStr">
        <is>
          <t xml:space="preserve">Paso 3 — Exclusiones</t>
        </is>
      </c>
    </row>
    <row r="11" customFormat="false" ht="61.5" hidden="false" customHeight="true" outlineLevel="0" collapsed="false">
      <c r="A11" s="5"/>
      <c r="B11" s="17" t="inlineStr">
        <is>
          <t xml:space="preserve">Se excluyen del cálculo los casos donde la cohorte de origen del estudiante cambia de forma inconsistente de un año a otro (mismo criterio que aplica SIES, implementado como regla propia — clasificación C, documentada y auditada en el archivo técnico).</t>
        </is>
      </c>
    </row>
    <row r="12" customFormat="false" ht="15" hidden="false" customHeight="true" outlineLevel="0" collapsed="false">
      <c r="A12" s="5"/>
    </row>
    <row r="13" customFormat="false" ht="15" hidden="false" customHeight="true" outlineLevel="0" collapsed="false">
      <c r="A13" s="5"/>
      <c r="B13" s="14" t="inlineStr">
        <is>
          <t xml:space="preserve">Paso 4 — El resultado</t>
        </is>
      </c>
    </row>
    <row r="14" customFormat="false" ht="61.5" hidden="false" customHeight="true" outlineLevel="0" collapsed="false">
      <c r="A14" s="5"/>
      <c r="B14" s="17" t="inlineStr">
        <is>
          <t xml:space="preserve">Con esas reglas aplicadas fila por fila sobre los 10.200 registros, cada candidato queda marcado como "incluido" o no, y como "retenido" o no. Ese cálculo fila por fila —con fórmulas verificadas de forma independiente— es el que ya está gobernado y auditado en el archivo técnico. Este documento ejecutivo toma esos resultados ya calculados y los agrupa por sector para presentarlos.</t>
        </is>
      </c>
    </row>
    <row r="15" customFormat="false" ht="15" hidden="false" customHeight="true" outlineLevel="0" collapsed="false">
      <c r="A15" s="5"/>
    </row>
    <row r="16" customFormat="false" ht="42" hidden="false" customHeight="true" outlineLevel="0" collapsed="false">
      <c r="A16" s="5"/>
      <c r="B16" s="18" t="inlineStr">
        <is>
          <t xml:space="preserve">Fuente técnica completa: RETENCION_PRIMER_ANIO_IPSS_162_DIAGNOSTICO_BRECHAS_20260930.xlsx (SHA-256 5f0f7c7f...c77b3), hito H001-RETENCION-IPSS162, proyecto avance_curricular. Clasificación C — implementación técnica, verificada de forma independiente fila por fila.</t>
        </is>
      </c>
    </row>
    <row r="17" customFormat="false" ht="15" hidden="false" customHeight="true" outlineLevel="0" collapsed="false">
      <c r="A17" s="5"/>
    </row>
    <row r="18" customFormat="false" ht="15" hidden="false" customHeight="true" outlineLevel="0" collapsed="false">
      <c r="A18" s="5"/>
    </row>
    <row r="19" customFormat="false" ht="15" hidden="false" customHeight="true" outlineLevel="0" collapsed="false">
      <c r="A19" s="5"/>
    </row>
    <row r="20" customFormat="false" ht="15" hidden="false" customHeight="true" outlineLevel="0" collapsed="false">
      <c r="A20" s="5"/>
    </row>
    <row r="21" customFormat="false" ht="15" hidden="false" customHeight="true" outlineLevel="0" collapsed="false">
      <c r="A21" s="5"/>
    </row>
    <row r="22" customFormat="false" ht="15" hidden="false" customHeight="true" outlineLevel="0" collapsed="false">
      <c r="A22" s="5"/>
    </row>
    <row r="23" customFormat="false" ht="15" hidden="false" customHeight="true" outlineLevel="0" collapsed="false">
      <c r="A23" s="5"/>
    </row>
    <row r="24" customFormat="false" ht="15" hidden="false" customHeight="true" outlineLevel="0" collapsed="false">
      <c r="A24" s="5"/>
    </row>
    <row r="25" customFormat="false" ht="15" hidden="false" customHeight="true" outlineLevel="0" collapsed="false">
      <c r="A25" s="5"/>
    </row>
    <row r="26" customFormat="false" ht="15" hidden="false" customHeight="true" outlineLevel="0" collapsed="false">
      <c r="A26" s="5"/>
    </row>
    <row r="27" customFormat="false" ht="15" hidden="false" customHeight="true" outlineLevel="0" collapsed="false">
      <c r="A27" s="5"/>
    </row>
    <row r="28" customFormat="false" ht="15" hidden="false" customHeight="true" outlineLevel="0" collapsed="false">
      <c r="A28" s="5"/>
    </row>
    <row r="29" customFormat="false" ht="15" hidden="false" customHeight="true" outlineLevel="0" collapsed="false">
      <c r="A29" s="5"/>
    </row>
    <row r="30" customFormat="false" ht="15" hidden="false" customHeight="true" outlineLevel="0" collapsed="false">
      <c r="A30" s="5"/>
    </row>
    <row r="31" customFormat="false" ht="15" hidden="false" customHeight="true" outlineLevel="0" collapsed="false">
      <c r="A31" s="5"/>
    </row>
    <row r="32" customFormat="false" ht="15" hidden="false" customHeight="true" outlineLevel="0" collapsed="false">
      <c r="A32" s="5"/>
    </row>
    <row r="33" customFormat="false" ht="15" hidden="false" customHeight="true" outlineLevel="0" collapsed="false">
      <c r="A33" s="5"/>
    </row>
    <row r="34" customFormat="false" ht="15" hidden="false" customHeight="true" outlineLevel="0" collapsed="false">
      <c r="A34" s="5"/>
    </row>
    <row r="35" customFormat="false" ht="15" hidden="false" customHeight="true" outlineLevel="0" collapsed="false">
      <c r="A35" s="5"/>
    </row>
    <row r="36" customFormat="false" ht="15" hidden="false" customHeight="true" outlineLevel="0" collapsed="false">
      <c r="A36" s="5"/>
    </row>
    <row r="37" customFormat="false" ht="15" hidden="false" customHeight="true" outlineLevel="0" collapsed="false">
      <c r="A37" s="5"/>
    </row>
    <row r="38" customFormat="false" ht="15" hidden="false" customHeight="true" outlineLevel="0" collapsed="false">
      <c r="A38" s="5"/>
    </row>
    <row r="39" customFormat="false" ht="15" hidden="false" customHeight="true" outlineLevel="0" collapsed="false">
      <c r="A39" s="5"/>
    </row>
    <row r="40" customFormat="false" ht="15" hidden="false" customHeight="true" outlineLevel="0" collapsed="false">
      <c r="A40" s="5"/>
    </row>
  </sheetData>
  <mergeCells count="1">
    <mergeCell ref="A1:B1"/>
  </mergeCells>
  <hyperlinks>
    <hyperlink ref="A1" location="'Portada'!B3" display="🏠 Portada / Índice"/>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1" width="5"/>
    <col collapsed="false" customWidth="true" hidden="false" outlineLevel="0" max="2" min="2" style="1" width="27.67"/>
    <col collapsed="false" customWidth="true" hidden="false" outlineLevel="0" max="3" min="3" style="1" width="11.33"/>
    <col collapsed="false" customWidth="true" hidden="false" outlineLevel="0" max="4" min="4" style="1" width="15.66"/>
    <col collapsed="false" customWidth="true" hidden="false" outlineLevel="0" max="5" min="5" style="1" width="12.67"/>
    <col collapsed="false" customWidth="true" hidden="false" outlineLevel="0" max="6" min="6" style="1" width="17.16"/>
    <col collapsed="false" customWidth="true" hidden="false" outlineLevel="0" max="7" min="7" style="1" width="14"/>
    <col collapsed="false" customWidth="true" hidden="false" outlineLevel="0" max="8" min="8" style="1" width="17.67"/>
    <col collapsed="false" customWidth="true" hidden="false" outlineLevel="0" max="9" min="9" style="1" width="19.16"/>
    <col collapsed="false" customWidth="true" hidden="false" outlineLevel="0" max="10" min="10" style="1" width="18.34"/>
    <col collapsed="false" customWidth="true" hidden="false" outlineLevel="0" max="11" min="11" style="1" width="13.67"/>
    <col collapsed="false" customWidth="true" hidden="false" outlineLevel="0" max="12" min="12" style="1" width="12.5"/>
    <col collapsed="false" customWidth="true" hidden="false" outlineLevel="0" max="13" min="13" style="1" width="15.33"/>
    <col collapsed="false" customWidth="true" hidden="false" outlineLevel="0" max="14" min="14" style="1" width="15.16"/>
    <col collapsed="false" customWidth="true" hidden="false" outlineLevel="0" max="15" min="15" style="1" width="13.5"/>
  </cols>
  <sheetData>
    <row r="1" customFormat="false" ht="15" hidden="false" customHeight="true" outlineLevel="0" collapsed="false">
      <c r="A1" s="19" t="inlineStr">
        <is>
          <t xml:space="preserve">🏠 Portada / Índice</t>
        </is>
      </c>
      <c r="B1" s="19"/>
      <c r="C1" s="19"/>
    </row>
    <row r="2" customFormat="false" ht="30" hidden="false" customHeight="true" outlineLevel="0" collapsed="false">
      <c r="A2" s="12" t="inlineStr">
        <is>
          <t xml:space="preserve">4. Resultados por sector</t>
        </is>
      </c>
      <c r="B2" s="13"/>
      <c r="C2" s="13"/>
      <c r="D2" s="13"/>
      <c r="E2" s="13"/>
      <c r="F2" s="13"/>
      <c r="G2" s="13"/>
      <c r="H2" s="13"/>
    </row>
    <row r="3" customFormat="false" ht="60.75" hidden="false" customHeight="true" outlineLevel="0" collapsed="false">
      <c r="B3" s="11" t="inlineStr">
        <is>
          <t xml:space="preserve">C · Foto de valores históricos preservados; detalle individual excluido. No recalcula con filtros en esta copia agregada.</t>
        </is>
      </c>
      <c r="C3" s="11"/>
      <c r="D3" s="11"/>
      <c r="E3" s="11"/>
      <c r="F3" s="11"/>
      <c r="G3" s="11"/>
      <c r="H3" s="11"/>
    </row>
    <row r="4" customFormat="false" ht="15" hidden="false" customHeight="true" outlineLevel="0" collapsed="false">
      <c r="A4" s="5"/>
      <c r="B4" s="5"/>
      <c r="C4" s="5"/>
      <c r="D4" s="5"/>
      <c r="E4" s="5"/>
      <c r="F4" s="5"/>
      <c r="G4" s="5"/>
      <c r="H4" s="5"/>
      <c r="I4" s="5"/>
      <c r="J4" s="5"/>
      <c r="K4" s="5"/>
      <c r="L4" s="5"/>
      <c r="M4" s="5"/>
      <c r="N4" s="5"/>
      <c r="O4" s="5"/>
      <c r="P4" s="5"/>
      <c r="Q4" s="5"/>
      <c r="R4" s="5"/>
      <c r="S4" s="5"/>
      <c r="T4" s="5"/>
    </row>
    <row r="5" customFormat="false" ht="25.5" hidden="false" customHeight="true" outlineLevel="0" collapsed="false">
      <c r="A5" s="5"/>
      <c r="B5" s="20" t="inlineStr">
        <is>
          <t xml:space="preserve">A. Retención interna por sector y cohorte</t>
        </is>
      </c>
      <c r="C5" s="20"/>
      <c r="D5" s="20"/>
      <c r="E5" s="20"/>
      <c r="F5" s="20"/>
      <c r="H5" s="20" t="inlineStr">
        <is>
          <t xml:space="preserve">B. Comparación 2025 — interna vs. SIES granular oficial, por sector</t>
        </is>
      </c>
      <c r="I5" s="20"/>
      <c r="J5" s="20"/>
      <c r="K5" s="20"/>
      <c r="L5" s="20"/>
      <c r="M5" s="20"/>
      <c r="N5" s="20"/>
      <c r="O5" s="20"/>
      <c r="P5" s="5"/>
      <c r="Q5" s="5"/>
      <c r="R5" s="5"/>
      <c r="S5" s="5"/>
      <c r="T5" s="5"/>
    </row>
    <row r="6" customFormat="false" ht="27.75" hidden="false" customHeight="true" outlineLevel="0" collapsed="false">
      <c r="A6" s="5"/>
      <c r="B6" s="21" t="inlineStr">
        <is>
          <t xml:space="preserve">Sector</t>
        </is>
      </c>
      <c r="C6" s="21" t="inlineStr">
        <is>
          <t xml:space="preserve">Cohorte</t>
        </is>
      </c>
      <c r="D6" s="21" t="inlineStr">
        <is>
          <t xml:space="preserve">Estudiantes</t>
        </is>
      </c>
      <c r="E6" s="21" t="inlineStr">
        <is>
          <t xml:space="preserve">Retenidos</t>
        </is>
      </c>
      <c r="F6" s="21" t="inlineStr">
        <is>
          <t xml:space="preserve">Tasa de retención</t>
        </is>
      </c>
      <c r="G6" s="5"/>
      <c r="H6" s="21" t="inlineStr">
        <is>
          <t xml:space="preserve">Sector</t>
        </is>
      </c>
      <c r="I6" s="21" t="inlineStr">
        <is>
          <t xml:space="preserve">Estudiantes IPSS 2025</t>
        </is>
      </c>
      <c r="J6" s="21" t="inlineStr">
        <is>
          <t xml:space="preserve">Retenidos internos 2025</t>
        </is>
      </c>
      <c r="K6" s="21" t="inlineStr">
        <is>
          <t xml:space="preserve">Tasa interna 2025</t>
        </is>
      </c>
      <c r="L6" s="21" t="inlineStr">
        <is>
          <t xml:space="preserve">Estudiantes SIES 2025</t>
        </is>
      </c>
      <c r="M6" s="21" t="inlineStr">
        <is>
          <t xml:space="preserve">Retenidos SIES 2025</t>
        </is>
      </c>
      <c r="N6" s="21" t="inlineStr">
        <is>
          <t xml:space="preserve">Tasa SIES 2025</t>
        </is>
      </c>
      <c r="O6" s="21" t="inlineStr">
        <is>
          <t xml:space="preserve">Brecha (pp)</t>
        </is>
      </c>
      <c r="P6" s="5"/>
      <c r="Q6" s="5"/>
      <c r="R6" s="5"/>
      <c r="S6" s="5"/>
      <c r="T6" s="5"/>
    </row>
    <row r="7" customFormat="false" ht="23.25" hidden="false" customHeight="true" outlineLevel="0" collapsed="false">
      <c r="A7" s="5"/>
      <c r="B7" s="22" t="inlineStr">
        <is>
          <t xml:space="preserve">Tecnologías</t>
        </is>
      </c>
      <c r="C7" s="22" t="n">
        <v>2022</v>
      </c>
      <c r="D7" s="22" t="n">
        <v>305</v>
      </c>
      <c r="E7" s="22" t="n">
        <v>224</v>
      </c>
      <c r="F7" s="23" t="n">
        <v>0.734426229508197</v>
      </c>
      <c r="G7" s="5"/>
      <c r="H7" s="22" t="inlineStr">
        <is>
          <t xml:space="preserve">Tecnologías</t>
        </is>
      </c>
      <c r="I7" s="22" t="n">
        <v>598</v>
      </c>
      <c r="J7" s="22" t="n">
        <v>381</v>
      </c>
      <c r="K7" s="23" t="n">
        <v>0.637123745819398</v>
      </c>
      <c r="L7" s="22" t="n">
        <v>607</v>
      </c>
      <c r="M7" s="22" t="n">
        <v>386</v>
      </c>
      <c r="N7" s="23" t="n">
        <v>0.635914332784185</v>
      </c>
      <c r="O7" s="24" t="n">
        <v>0.120941303521349</v>
      </c>
      <c r="P7" s="5"/>
      <c r="Q7" s="5"/>
      <c r="R7" s="5"/>
      <c r="S7" s="5"/>
      <c r="T7" s="5"/>
    </row>
    <row r="8" customFormat="false" ht="15" hidden="false" customHeight="true" outlineLevel="0" collapsed="false">
      <c r="A8" s="5"/>
      <c r="B8" s="25" t="inlineStr">
        <is>
          <t xml:space="preserve">Tecnologías</t>
        </is>
      </c>
      <c r="C8" s="25" t="n">
        <v>2023</v>
      </c>
      <c r="D8" s="25" t="n">
        <v>366</v>
      </c>
      <c r="E8" s="25" t="n">
        <v>258</v>
      </c>
      <c r="F8" s="26" t="n">
        <v>0.704918032786885</v>
      </c>
      <c r="G8" s="5"/>
      <c r="H8" s="25" t="inlineStr">
        <is>
          <t xml:space="preserve">Administración y Comercio</t>
        </is>
      </c>
      <c r="I8" s="25" t="n">
        <v>477</v>
      </c>
      <c r="J8" s="25" t="n">
        <v>252</v>
      </c>
      <c r="K8" s="26" t="n">
        <v>0.528301886792453</v>
      </c>
      <c r="L8" s="25" t="n">
        <v>481</v>
      </c>
      <c r="M8" s="25" t="n">
        <v>256</v>
      </c>
      <c r="N8" s="26" t="n">
        <v>0.532224532224532</v>
      </c>
      <c r="O8" s="27" t="n">
        <v>-0.392264543207943</v>
      </c>
      <c r="P8" s="5"/>
      <c r="Q8" s="5"/>
      <c r="R8" s="5"/>
      <c r="S8" s="5"/>
      <c r="T8" s="5"/>
    </row>
    <row r="9" customFormat="false" ht="15" hidden="false" customHeight="true" outlineLevel="0" collapsed="false">
      <c r="A9" s="5"/>
      <c r="B9" s="22" t="inlineStr">
        <is>
          <t xml:space="preserve">Tecnologías</t>
        </is>
      </c>
      <c r="C9" s="22" t="n">
        <v>2024</v>
      </c>
      <c r="D9" s="22" t="n">
        <v>497</v>
      </c>
      <c r="E9" s="22" t="n">
        <v>299</v>
      </c>
      <c r="F9" s="23" t="n">
        <v>0.601609657947686</v>
      </c>
      <c r="G9" s="5"/>
      <c r="H9" s="22" t="inlineStr">
        <is>
          <t xml:space="preserve">Salud</t>
        </is>
      </c>
      <c r="I9" s="22" t="n">
        <v>75</v>
      </c>
      <c r="J9" s="22" t="n">
        <v>35</v>
      </c>
      <c r="K9" s="23" t="n">
        <v>0.466666666666667</v>
      </c>
      <c r="L9" s="22" t="n">
        <v>75</v>
      </c>
      <c r="M9" s="22" t="n">
        <v>35</v>
      </c>
      <c r="N9" s="23" t="n">
        <v>0.466666666666667</v>
      </c>
      <c r="O9" s="24" t="n">
        <v>0</v>
      </c>
      <c r="P9" s="5"/>
      <c r="Q9" s="5"/>
      <c r="R9" s="5"/>
      <c r="S9" s="5"/>
      <c r="T9" s="5"/>
    </row>
    <row r="10" customFormat="false" ht="15" hidden="false" customHeight="true" outlineLevel="0" collapsed="false">
      <c r="A10" s="5"/>
      <c r="B10" s="25" t="inlineStr">
        <is>
          <t xml:space="preserve">Tecnologías</t>
        </is>
      </c>
      <c r="C10" s="25" t="n">
        <v>2025</v>
      </c>
      <c r="D10" s="25" t="n">
        <v>598</v>
      </c>
      <c r="E10" s="25" t="n">
        <v>381</v>
      </c>
      <c r="F10" s="26" t="n">
        <v>0.637123745819398</v>
      </c>
      <c r="G10" s="5"/>
      <c r="H10" s="5"/>
      <c r="I10" s="5"/>
      <c r="J10" s="5"/>
      <c r="K10" s="5"/>
      <c r="L10" s="5"/>
      <c r="M10" s="5"/>
      <c r="N10" s="5"/>
      <c r="O10" s="5"/>
      <c r="P10" s="5"/>
      <c r="Q10" s="5"/>
      <c r="R10" s="5"/>
      <c r="S10" s="5"/>
      <c r="T10" s="5"/>
    </row>
    <row r="11" customFormat="false" ht="15" hidden="false" customHeight="true" outlineLevel="0" collapsed="false">
      <c r="A11" s="5"/>
      <c r="B11" s="22" t="inlineStr">
        <is>
          <t xml:space="preserve">Administración y Comercio</t>
        </is>
      </c>
      <c r="C11" s="22" t="n">
        <v>2022</v>
      </c>
      <c r="D11" s="22" t="n">
        <v>0</v>
      </c>
      <c r="E11" s="22" t="n">
        <v>0</v>
      </c>
      <c r="F11" s="23" t="str">
        <v/>
      </c>
      <c r="G11" s="5"/>
      <c r="H11" s="28" t="inlineStr">
        <is>
          <t xml:space="preserve">La comparación granular por carrera solo existe para el año 2025 (tabla enviada por correo). Para 2022-2024, SIES no publicó esa tabla por carrera — esos años solo se comparan a nivel institucional total en la hoja 5.</t>
        </is>
      </c>
      <c r="I11" s="28"/>
      <c r="J11" s="28"/>
      <c r="K11" s="28"/>
      <c r="L11" s="28"/>
      <c r="M11" s="28"/>
      <c r="N11" s="28"/>
      <c r="O11" s="28"/>
      <c r="P11" s="5"/>
      <c r="Q11" s="5"/>
      <c r="R11" s="5"/>
      <c r="S11" s="5"/>
      <c r="T11" s="5"/>
    </row>
    <row r="12" customFormat="false" ht="15" hidden="false" customHeight="true" outlineLevel="0" collapsed="false">
      <c r="A12" s="5"/>
      <c r="B12" s="25" t="inlineStr">
        <is>
          <t xml:space="preserve">Administración y Comercio</t>
        </is>
      </c>
      <c r="C12" s="25" t="n">
        <v>2023</v>
      </c>
      <c r="D12" s="25" t="n">
        <v>0</v>
      </c>
      <c r="E12" s="25" t="n">
        <v>0</v>
      </c>
      <c r="F12" s="26" t="str">
        <v/>
      </c>
      <c r="G12" s="5"/>
      <c r="H12" s="28"/>
      <c r="I12" s="28"/>
      <c r="J12" s="28"/>
      <c r="K12" s="28"/>
      <c r="L12" s="28"/>
      <c r="M12" s="28"/>
      <c r="N12" s="28"/>
      <c r="O12" s="28"/>
      <c r="P12" s="5"/>
      <c r="Q12" s="5"/>
      <c r="R12" s="5"/>
      <c r="S12" s="5"/>
      <c r="T12" s="5"/>
    </row>
    <row r="13" customFormat="false" ht="15" hidden="false" customHeight="true" outlineLevel="0" collapsed="false">
      <c r="A13" s="5"/>
      <c r="B13" s="22" t="inlineStr">
        <is>
          <t xml:space="preserve">Administración y Comercio</t>
        </is>
      </c>
      <c r="C13" s="22" t="n">
        <v>2024</v>
      </c>
      <c r="D13" s="22" t="n">
        <v>61</v>
      </c>
      <c r="E13" s="22" t="n">
        <v>27</v>
      </c>
      <c r="F13" s="23" t="n">
        <v>0.442622950819672</v>
      </c>
      <c r="G13" s="5"/>
      <c r="H13" s="28"/>
      <c r="I13" s="28"/>
      <c r="J13" s="28"/>
      <c r="K13" s="28"/>
      <c r="L13" s="28"/>
      <c r="M13" s="28"/>
      <c r="N13" s="28"/>
      <c r="O13" s="28"/>
      <c r="P13" s="5"/>
      <c r="Q13" s="5"/>
      <c r="R13" s="5"/>
      <c r="S13" s="5"/>
      <c r="T13" s="5"/>
    </row>
    <row r="14" customFormat="false" ht="15" hidden="false" customHeight="true" outlineLevel="0" collapsed="false">
      <c r="A14" s="5"/>
      <c r="B14" s="25" t="inlineStr">
        <is>
          <t xml:space="preserve">Administración y Comercio</t>
        </is>
      </c>
      <c r="C14" s="25" t="n">
        <v>2025</v>
      </c>
      <c r="D14" s="25" t="n">
        <v>477</v>
      </c>
      <c r="E14" s="25" t="n">
        <v>252</v>
      </c>
      <c r="F14" s="26" t="n">
        <v>0.528301886792453</v>
      </c>
      <c r="G14" s="5"/>
      <c r="H14" s="5"/>
      <c r="I14" s="5"/>
      <c r="J14" s="5"/>
      <c r="K14" s="5"/>
      <c r="L14" s="5"/>
      <c r="M14" s="5"/>
      <c r="N14" s="5"/>
      <c r="O14" s="5"/>
      <c r="P14" s="5"/>
      <c r="Q14" s="5"/>
      <c r="R14" s="5"/>
      <c r="S14" s="5"/>
      <c r="T14" s="5"/>
    </row>
    <row r="15" customFormat="false" ht="15" hidden="false" customHeight="true" outlineLevel="0" collapsed="false">
      <c r="A15" s="5"/>
      <c r="B15" s="22" t="inlineStr">
        <is>
          <t xml:space="preserve">Salud</t>
        </is>
      </c>
      <c r="C15" s="22" t="n">
        <v>2022</v>
      </c>
      <c r="D15" s="22" t="n">
        <v>0</v>
      </c>
      <c r="E15" s="22" t="n">
        <v>0</v>
      </c>
      <c r="F15" s="23" t="str">
        <v/>
      </c>
      <c r="G15" s="5"/>
      <c r="H15" s="5"/>
      <c r="I15" s="5"/>
      <c r="J15" s="5"/>
      <c r="K15" s="5"/>
      <c r="L15" s="5"/>
      <c r="M15" s="5"/>
      <c r="N15" s="5"/>
      <c r="O15" s="5"/>
      <c r="P15" s="5"/>
      <c r="Q15" s="5"/>
      <c r="R15" s="5"/>
      <c r="S15" s="5"/>
      <c r="T15" s="5"/>
    </row>
    <row r="16" customFormat="false" ht="15" hidden="false" customHeight="true" outlineLevel="0" collapsed="false">
      <c r="A16" s="5"/>
      <c r="B16" s="25" t="inlineStr">
        <is>
          <t xml:space="preserve">Salud</t>
        </is>
      </c>
      <c r="C16" s="25" t="n">
        <v>2023</v>
      </c>
      <c r="D16" s="25" t="n">
        <v>0</v>
      </c>
      <c r="E16" s="25" t="n">
        <v>0</v>
      </c>
      <c r="F16" s="26" t="str">
        <v/>
      </c>
      <c r="G16" s="5"/>
      <c r="H16" s="5"/>
      <c r="I16" s="5"/>
      <c r="J16" s="5"/>
      <c r="K16" s="5"/>
      <c r="L16" s="5"/>
      <c r="M16" s="5"/>
      <c r="N16" s="5"/>
      <c r="O16" s="5"/>
      <c r="P16" s="5"/>
      <c r="Q16" s="5"/>
      <c r="R16" s="5"/>
      <c r="S16" s="5"/>
      <c r="T16" s="5"/>
    </row>
    <row r="17" customFormat="false" ht="15" hidden="false" customHeight="true" outlineLevel="0" collapsed="false">
      <c r="A17" s="5"/>
      <c r="B17" s="22" t="inlineStr">
        <is>
          <t xml:space="preserve">Salud</t>
        </is>
      </c>
      <c r="C17" s="22" t="n">
        <v>2024</v>
      </c>
      <c r="D17" s="22" t="n">
        <v>0</v>
      </c>
      <c r="E17" s="22" t="n">
        <v>0</v>
      </c>
      <c r="F17" s="23" t="str">
        <v/>
      </c>
      <c r="G17" s="5"/>
      <c r="H17" s="5"/>
      <c r="I17" s="5"/>
      <c r="J17" s="5"/>
      <c r="K17" s="5"/>
      <c r="L17" s="5"/>
      <c r="M17" s="5"/>
      <c r="N17" s="5"/>
      <c r="O17" s="5"/>
      <c r="P17" s="5"/>
      <c r="Q17" s="5"/>
      <c r="R17" s="5"/>
      <c r="S17" s="5"/>
      <c r="T17" s="5"/>
    </row>
    <row r="18" customFormat="false" ht="15" hidden="false" customHeight="true" outlineLevel="0" collapsed="false">
      <c r="A18" s="5"/>
      <c r="B18" s="25" t="inlineStr">
        <is>
          <t xml:space="preserve">Salud</t>
        </is>
      </c>
      <c r="C18" s="25" t="n">
        <v>2025</v>
      </c>
      <c r="D18" s="25" t="n">
        <v>75</v>
      </c>
      <c r="E18" s="25" t="n">
        <v>35</v>
      </c>
      <c r="F18" s="26" t="n">
        <v>0.466666666666667</v>
      </c>
      <c r="G18" s="5"/>
      <c r="H18" s="5"/>
      <c r="I18" s="5"/>
      <c r="J18" s="5"/>
      <c r="K18" s="5"/>
      <c r="L18" s="5"/>
      <c r="M18" s="5"/>
      <c r="N18" s="5"/>
      <c r="O18" s="5"/>
      <c r="P18" s="5"/>
      <c r="Q18" s="5"/>
      <c r="R18" s="5"/>
      <c r="S18" s="5"/>
      <c r="T18" s="5"/>
    </row>
    <row r="19" customFormat="false" ht="15" hidden="false" customHeight="true" outlineLevel="0" collapsed="false">
      <c r="A19" s="5"/>
      <c r="B19" s="5"/>
      <c r="J19" s="5"/>
      <c r="K19" s="5"/>
      <c r="L19" s="5"/>
      <c r="M19" s="5"/>
      <c r="N19" s="5"/>
      <c r="O19" s="5"/>
      <c r="P19" s="5"/>
      <c r="Q19" s="5"/>
      <c r="R19" s="5"/>
      <c r="S19" s="5"/>
      <c r="T19" s="5"/>
    </row>
    <row r="20" customFormat="false" ht="15" hidden="false" customHeight="true" outlineLevel="0" collapsed="false">
      <c r="A20" s="5"/>
      <c r="B20" s="28" t="inlineStr">
        <is>
          <t xml:space="preserve">Administración y Comercio muestra candidatos recién desde 2024, y Salud recién desde 2025 (dato observado: apertura progresiva de esos sectores en la oferta de IPSS).</t>
        </is>
      </c>
      <c r="C20" s="28"/>
      <c r="D20" s="28"/>
      <c r="E20" s="28"/>
      <c r="F20" s="28"/>
      <c r="J20" s="5"/>
      <c r="K20" s="5"/>
      <c r="L20" s="5"/>
      <c r="M20" s="5"/>
      <c r="N20" s="5"/>
      <c r="O20" s="5"/>
      <c r="P20" s="5"/>
      <c r="Q20" s="5"/>
      <c r="R20" s="5"/>
      <c r="S20" s="5"/>
      <c r="T20" s="5"/>
    </row>
    <row r="21" customFormat="false" ht="33.75" hidden="false" customHeight="true" outlineLevel="0" collapsed="false">
      <c r="A21" s="5"/>
      <c r="B21" s="28"/>
      <c r="C21" s="28"/>
      <c r="D21" s="28"/>
      <c r="E21" s="28"/>
      <c r="F21" s="28"/>
      <c r="G21" s="5"/>
      <c r="H21" s="5"/>
      <c r="I21" s="5"/>
      <c r="J21" s="5"/>
      <c r="K21" s="5"/>
      <c r="L21" s="5"/>
      <c r="M21" s="5"/>
      <c r="N21" s="5"/>
      <c r="O21" s="5"/>
      <c r="P21" s="5"/>
      <c r="Q21" s="5"/>
      <c r="R21" s="5"/>
      <c r="S21" s="5"/>
      <c r="T21" s="5"/>
    </row>
    <row r="22" customFormat="false" ht="15" hidden="false" customHeight="true" outlineLevel="0" collapsed="false">
      <c r="A22" s="5"/>
      <c r="B22" s="29" t="inlineStr">
        <is>
          <t xml:space="preserve">Tabla auxiliar para el gráfico (técnica, no editar)</t>
        </is>
      </c>
      <c r="C22" s="30"/>
      <c r="D22" s="30"/>
      <c r="E22" s="30"/>
      <c r="F22" s="5"/>
      <c r="G22" s="5"/>
      <c r="H22" s="5"/>
      <c r="I22" s="5"/>
      <c r="J22" s="5"/>
      <c r="K22" s="5"/>
      <c r="L22" s="5"/>
      <c r="M22" s="5"/>
      <c r="N22" s="5"/>
      <c r="O22" s="5"/>
      <c r="P22" s="5"/>
      <c r="Q22" s="5"/>
      <c r="R22" s="5"/>
      <c r="S22" s="5"/>
      <c r="T22" s="5"/>
    </row>
    <row r="23" customFormat="false" ht="34.5" hidden="false" customHeight="true" outlineLevel="0" collapsed="false">
      <c r="A23" s="5"/>
      <c r="B23" s="31" t="inlineStr">
        <is>
          <t xml:space="preserve">Cohorte</t>
        </is>
      </c>
      <c r="C23" s="32" t="inlineStr">
        <is>
          <t xml:space="preserve">Tecnologías</t>
        </is>
      </c>
      <c r="D23" s="32" t="inlineStr">
        <is>
          <t xml:space="preserve">Administración y Comercio</t>
        </is>
      </c>
      <c r="E23" s="32" t="inlineStr">
        <is>
          <t xml:space="preserve">Salud</t>
        </is>
      </c>
      <c r="F23" s="5"/>
      <c r="G23" s="5"/>
      <c r="H23" s="5"/>
      <c r="I23" s="5"/>
      <c r="J23" s="5"/>
      <c r="K23" s="5"/>
      <c r="L23" s="5"/>
      <c r="M23" s="5"/>
      <c r="N23" s="5"/>
      <c r="O23" s="5"/>
      <c r="P23" s="5"/>
      <c r="Q23" s="5"/>
      <c r="R23" s="5"/>
      <c r="S23" s="5"/>
      <c r="T23" s="5"/>
    </row>
    <row r="24" customFormat="false" ht="15" hidden="false" customHeight="true" outlineLevel="0" collapsed="false">
      <c r="A24" s="5"/>
      <c r="B24" s="31" t="n">
        <v>2022</v>
      </c>
      <c r="C24" s="32" t="n">
        <v>0.734426229508197</v>
      </c>
      <c r="D24" s="32" t="str">
        <v/>
      </c>
      <c r="E24" s="32" t="str">
        <v/>
      </c>
      <c r="F24" s="5"/>
      <c r="G24" s="5"/>
      <c r="H24" s="30"/>
      <c r="I24" s="33"/>
      <c r="J24" s="5"/>
      <c r="K24" s="5"/>
      <c r="L24" s="5"/>
      <c r="M24" s="5"/>
      <c r="N24" s="5"/>
      <c r="O24" s="5"/>
      <c r="P24" s="5"/>
      <c r="Q24" s="5"/>
      <c r="R24" s="5"/>
      <c r="S24" s="5"/>
      <c r="T24" s="5"/>
    </row>
    <row r="25" customFormat="false" ht="15" hidden="false" customHeight="true" outlineLevel="0" collapsed="false">
      <c r="A25" s="5"/>
      <c r="B25" s="31" t="n">
        <v>2023</v>
      </c>
      <c r="C25" s="32" t="n">
        <v>0.704918032786885</v>
      </c>
      <c r="D25" s="32" t="str">
        <v/>
      </c>
      <c r="E25" s="32" t="str">
        <v/>
      </c>
      <c r="F25" s="5"/>
      <c r="G25" s="5"/>
      <c r="H25" s="30"/>
      <c r="I25" s="33"/>
      <c r="J25" s="5"/>
      <c r="K25" s="5"/>
      <c r="L25" s="5"/>
      <c r="M25" s="5"/>
      <c r="N25" s="5"/>
      <c r="O25" s="5"/>
      <c r="P25" s="5"/>
      <c r="Q25" s="5"/>
      <c r="R25" s="5"/>
      <c r="S25" s="5"/>
      <c r="T25" s="5"/>
    </row>
    <row r="26" customFormat="false" ht="15" hidden="false" customHeight="true" outlineLevel="0" collapsed="false">
      <c r="A26" s="5"/>
      <c r="B26" s="31" t="n">
        <v>2024</v>
      </c>
      <c r="C26" s="32" t="n">
        <v>0.601609657947686</v>
      </c>
      <c r="D26" s="32" t="n">
        <v>0.442622950819672</v>
      </c>
      <c r="E26" s="32" t="str">
        <v/>
      </c>
      <c r="F26" s="5"/>
      <c r="G26" s="5"/>
      <c r="H26" s="30"/>
      <c r="I26" s="33"/>
      <c r="J26" s="5"/>
      <c r="K26" s="5"/>
      <c r="L26" s="5"/>
      <c r="M26" s="5"/>
      <c r="N26" s="5"/>
      <c r="O26" s="5"/>
      <c r="P26" s="5"/>
      <c r="Q26" s="5"/>
      <c r="R26" s="5"/>
      <c r="S26" s="5"/>
      <c r="T26" s="5"/>
    </row>
    <row r="27" customFormat="false" ht="15" hidden="false" customHeight="true" outlineLevel="0" collapsed="false">
      <c r="A27" s="5"/>
      <c r="B27" s="31" t="n">
        <v>2025</v>
      </c>
      <c r="C27" s="32" t="n">
        <v>0.637123745819398</v>
      </c>
      <c r="D27" s="32" t="n">
        <v>0.528301886792453</v>
      </c>
      <c r="E27" s="32" t="n">
        <v>0.466666666666667</v>
      </c>
      <c r="F27" s="5"/>
      <c r="G27" s="5"/>
      <c r="H27" s="5"/>
      <c r="I27" s="5"/>
      <c r="J27" s="5"/>
      <c r="K27" s="5"/>
      <c r="L27" s="5"/>
      <c r="M27" s="5"/>
      <c r="N27" s="5"/>
      <c r="O27" s="5"/>
      <c r="P27" s="5"/>
      <c r="Q27" s="5"/>
      <c r="R27" s="5"/>
      <c r="S27" s="5"/>
      <c r="T27" s="5"/>
    </row>
    <row r="28" customFormat="false" ht="33.75" hidden="false" customHeight="true" outlineLevel="0" collapsed="false">
      <c r="A28" s="5"/>
      <c r="B28" s="5"/>
      <c r="C28" s="5"/>
      <c r="D28" s="5"/>
      <c r="E28" s="5"/>
      <c r="F28" s="5"/>
      <c r="G28" s="5"/>
      <c r="H28" s="5"/>
      <c r="I28" s="5"/>
      <c r="J28" s="5"/>
      <c r="K28" s="5"/>
      <c r="L28" s="5"/>
      <c r="M28" s="5"/>
      <c r="N28" s="5"/>
      <c r="O28" s="5"/>
      <c r="P28" s="5"/>
      <c r="Q28" s="5"/>
      <c r="R28" s="5"/>
      <c r="S28" s="5"/>
      <c r="T28" s="5"/>
    </row>
    <row r="29" customFormat="false" ht="15" hidden="false" customHeight="true" outlineLevel="0" collapsed="false">
      <c r="A29" s="5"/>
      <c r="B29" s="5"/>
      <c r="C29" s="5"/>
      <c r="D29" s="5"/>
      <c r="E29" s="5"/>
      <c r="F29" s="5"/>
      <c r="G29" s="5"/>
      <c r="H29" s="5"/>
      <c r="I29" s="5"/>
      <c r="J29" s="5"/>
      <c r="K29" s="5"/>
      <c r="L29" s="5"/>
      <c r="M29" s="5"/>
      <c r="N29" s="5"/>
      <c r="O29" s="5"/>
      <c r="P29" s="5"/>
      <c r="Q29" s="5"/>
      <c r="R29" s="5"/>
      <c r="S29" s="5"/>
      <c r="T29" s="5"/>
    </row>
    <row r="30" customFormat="false" ht="23.25" hidden="false" customHeight="true" outlineLevel="0" collapsed="false">
      <c r="A30" s="5"/>
      <c r="B30" s="5"/>
      <c r="C30" s="5"/>
      <c r="D30" s="5"/>
      <c r="E30" s="5"/>
      <c r="F30" s="5"/>
      <c r="G30" s="5"/>
      <c r="H30" s="5"/>
      <c r="I30" s="5"/>
      <c r="J30" s="5"/>
      <c r="K30" s="5"/>
      <c r="L30" s="5"/>
      <c r="M30" s="5"/>
      <c r="N30" s="5"/>
      <c r="O30" s="5"/>
      <c r="P30" s="5"/>
      <c r="Q30" s="5"/>
      <c r="R30" s="5"/>
      <c r="S30" s="5"/>
      <c r="T30" s="5"/>
    </row>
    <row r="31" customFormat="false" ht="15" hidden="false" customHeight="true" outlineLevel="0" collapsed="false">
      <c r="A31" s="5"/>
      <c r="B31" s="5"/>
      <c r="C31" s="30"/>
      <c r="D31" s="30"/>
      <c r="E31" s="30"/>
      <c r="F31" s="5"/>
      <c r="G31" s="5"/>
      <c r="H31" s="5"/>
      <c r="I31" s="5"/>
      <c r="J31" s="5"/>
      <c r="K31" s="5"/>
      <c r="L31" s="5"/>
      <c r="M31" s="5"/>
      <c r="N31" s="5"/>
      <c r="O31" s="5"/>
      <c r="P31" s="5"/>
      <c r="Q31" s="5"/>
      <c r="R31" s="5"/>
      <c r="S31" s="5"/>
      <c r="T31" s="5"/>
    </row>
    <row r="32" customFormat="false" ht="15" hidden="false" customHeight="true" outlineLevel="0" collapsed="false">
      <c r="A32" s="5"/>
      <c r="B32" s="5"/>
      <c r="C32" s="30"/>
      <c r="D32" s="30"/>
      <c r="E32" s="30"/>
      <c r="F32" s="5"/>
      <c r="G32" s="5"/>
      <c r="H32" s="5"/>
      <c r="I32" s="5"/>
      <c r="J32" s="5"/>
      <c r="K32" s="5"/>
      <c r="L32" s="5"/>
      <c r="M32" s="5"/>
      <c r="N32" s="5"/>
      <c r="O32" s="5"/>
      <c r="P32" s="5"/>
      <c r="Q32" s="5"/>
      <c r="R32" s="5"/>
      <c r="S32" s="5"/>
      <c r="T32" s="5"/>
    </row>
    <row r="33" customFormat="false" ht="15" hidden="false" customHeight="true" outlineLevel="0" collapsed="false">
      <c r="A33" s="5"/>
      <c r="B33" s="5"/>
      <c r="C33" s="30"/>
      <c r="D33" s="30"/>
      <c r="E33" s="30"/>
      <c r="F33" s="5"/>
      <c r="G33" s="5"/>
      <c r="P33" s="5"/>
      <c r="Q33" s="5"/>
      <c r="R33" s="5"/>
      <c r="S33" s="5"/>
      <c r="T33" s="5"/>
    </row>
    <row r="34" customFormat="false" ht="15" hidden="false" customHeight="true" outlineLevel="0" collapsed="false">
      <c r="A34" s="5"/>
      <c r="B34" s="5"/>
      <c r="C34" s="30"/>
      <c r="D34" s="30"/>
      <c r="E34" s="30"/>
      <c r="F34" s="5"/>
      <c r="G34" s="5"/>
      <c r="P34" s="5"/>
      <c r="Q34" s="5"/>
      <c r="R34" s="5"/>
      <c r="S34" s="5"/>
      <c r="T34" s="5"/>
    </row>
    <row r="35" customFormat="false" ht="15" hidden="false" customHeight="true" outlineLevel="0" collapsed="false">
      <c r="A35" s="5"/>
      <c r="B35" s="5"/>
      <c r="C35" s="5"/>
      <c r="D35" s="5"/>
      <c r="E35" s="5"/>
      <c r="F35" s="5"/>
      <c r="G35" s="5"/>
      <c r="H35" s="34" t="inlineStr">
        <is>
          <t xml:space="preserve">Conclusión: La tasa interna 2025 coincide casi exactamente con lo publicado por SIES en los tres sectores (brechas menores a 0,4 puntos porcentuales) — confirma que el cálculo interno está bien alineado con la fuente oficial para el año en que existe tabla granular de comparación.</t>
        </is>
      </c>
      <c r="I35" s="34"/>
      <c r="J35" s="34"/>
      <c r="K35" s="34"/>
      <c r="L35" s="34"/>
      <c r="M35" s="34"/>
      <c r="N35" s="34"/>
      <c r="O35" s="34"/>
      <c r="P35" s="5"/>
      <c r="Q35" s="5"/>
      <c r="R35" s="5"/>
      <c r="S35" s="5"/>
      <c r="T35" s="5"/>
    </row>
    <row r="36" customFormat="false" ht="15" hidden="false" customHeight="true" outlineLevel="0" collapsed="false">
      <c r="A36" s="5"/>
      <c r="B36" s="5"/>
      <c r="C36" s="5"/>
      <c r="D36" s="5"/>
      <c r="E36" s="5"/>
      <c r="F36" s="5"/>
      <c r="G36" s="5"/>
      <c r="H36" s="34"/>
      <c r="I36" s="34"/>
      <c r="J36" s="34"/>
      <c r="K36" s="34"/>
      <c r="L36" s="34"/>
      <c r="M36" s="34"/>
      <c r="N36" s="34"/>
      <c r="O36" s="34"/>
      <c r="P36" s="5"/>
      <c r="Q36" s="5"/>
      <c r="R36" s="5"/>
      <c r="S36" s="5"/>
      <c r="T36" s="5"/>
    </row>
    <row r="37" customFormat="false" ht="15" hidden="false" customHeight="true" outlineLevel="0" collapsed="false">
      <c r="A37" s="5"/>
      <c r="B37" s="5"/>
      <c r="C37" s="5"/>
      <c r="D37" s="5"/>
      <c r="E37" s="5"/>
      <c r="F37" s="5"/>
      <c r="G37" s="5"/>
      <c r="H37" s="34"/>
      <c r="I37" s="34"/>
      <c r="J37" s="34"/>
      <c r="K37" s="34"/>
      <c r="L37" s="34"/>
      <c r="M37" s="34"/>
      <c r="N37" s="34"/>
      <c r="O37" s="34"/>
      <c r="P37" s="5"/>
      <c r="Q37" s="5"/>
      <c r="R37" s="5"/>
      <c r="S37" s="5"/>
      <c r="T37" s="5"/>
    </row>
    <row r="38" customFormat="false" ht="15" hidden="false" customHeight="true" outlineLevel="0" collapsed="false">
      <c r="A38" s="5"/>
      <c r="B38" s="5"/>
      <c r="J38" s="5"/>
      <c r="K38" s="5"/>
      <c r="L38" s="5"/>
      <c r="M38" s="5"/>
      <c r="N38" s="5"/>
      <c r="O38" s="5"/>
      <c r="P38" s="5"/>
      <c r="Q38" s="5"/>
      <c r="R38" s="5"/>
      <c r="S38" s="5"/>
      <c r="T38" s="5"/>
    </row>
    <row r="39" customFormat="false" ht="15" hidden="false" customHeight="true" outlineLevel="0" collapsed="false">
      <c r="A39" s="5"/>
      <c r="J39" s="5"/>
      <c r="K39" s="5"/>
      <c r="L39" s="5"/>
      <c r="M39" s="5"/>
      <c r="N39" s="5"/>
      <c r="O39" s="5"/>
      <c r="P39" s="5"/>
      <c r="Q39" s="5"/>
      <c r="R39" s="5"/>
      <c r="S39" s="5"/>
      <c r="T39" s="5"/>
    </row>
    <row r="40" customFormat="false" ht="15" hidden="false" customHeight="true" outlineLevel="0" collapsed="false">
      <c r="A40" s="5"/>
      <c r="J40" s="5"/>
      <c r="K40" s="5"/>
      <c r="L40" s="5"/>
      <c r="M40" s="5"/>
      <c r="N40" s="5"/>
      <c r="O40" s="5"/>
      <c r="P40" s="5"/>
      <c r="Q40" s="5"/>
      <c r="R40" s="5"/>
      <c r="S40" s="5"/>
      <c r="T40" s="5"/>
    </row>
    <row r="41" customFormat="false" ht="15" hidden="false" customHeight="true" outlineLevel="0" collapsed="false">
      <c r="A41" s="5"/>
      <c r="B41" s="5"/>
      <c r="C41" s="5"/>
      <c r="D41" s="5"/>
      <c r="E41" s="5"/>
      <c r="F41" s="5"/>
      <c r="G41" s="5"/>
      <c r="P41" s="5"/>
      <c r="Q41" s="5"/>
      <c r="R41" s="5"/>
      <c r="S41" s="5"/>
      <c r="T41" s="5"/>
    </row>
    <row r="42" customFormat="false" ht="21.75" hidden="false" customHeight="true" outlineLevel="0" collapsed="false">
      <c r="A42" s="5"/>
      <c r="B42" s="5"/>
      <c r="P42" s="5"/>
      <c r="Q42" s="5"/>
      <c r="R42" s="5"/>
      <c r="S42" s="5"/>
      <c r="T42" s="5"/>
    </row>
    <row r="43" customFormat="false" ht="15" hidden="false" customHeight="true" outlineLevel="0" collapsed="false">
      <c r="A43" s="5"/>
      <c r="B43" s="5"/>
      <c r="C43" s="5"/>
      <c r="D43" s="5"/>
      <c r="E43" s="5"/>
      <c r="F43" s="5"/>
      <c r="G43" s="5"/>
      <c r="P43" s="5"/>
      <c r="Q43" s="5"/>
      <c r="R43" s="5"/>
      <c r="S43" s="5"/>
      <c r="T43" s="5"/>
    </row>
    <row r="44" customFormat="false" ht="15" hidden="false" customHeight="true" outlineLevel="0" collapsed="false">
      <c r="A44" s="5"/>
      <c r="B44" s="5"/>
      <c r="C44" s="5"/>
      <c r="D44" s="5"/>
      <c r="E44" s="5"/>
      <c r="F44" s="5"/>
      <c r="G44" s="5"/>
      <c r="H44" s="5"/>
      <c r="I44" s="5"/>
      <c r="J44" s="5"/>
      <c r="K44" s="5"/>
      <c r="L44" s="5"/>
      <c r="M44" s="5"/>
      <c r="N44" s="5"/>
      <c r="O44" s="5"/>
      <c r="P44" s="5"/>
      <c r="Q44" s="5"/>
      <c r="R44" s="5"/>
      <c r="S44" s="5"/>
      <c r="T44" s="5"/>
    </row>
    <row r="45" customFormat="false" ht="15" hidden="false" customHeight="true" outlineLevel="0" collapsed="false">
      <c r="A45" s="5"/>
      <c r="B45" s="5"/>
      <c r="C45" s="5"/>
      <c r="D45" s="5"/>
      <c r="E45" s="5"/>
      <c r="F45" s="5"/>
      <c r="G45" s="5"/>
      <c r="H45" s="5"/>
      <c r="I45" s="5"/>
      <c r="J45" s="5"/>
      <c r="K45" s="5"/>
      <c r="L45" s="5"/>
      <c r="M45" s="5"/>
      <c r="N45" s="5"/>
      <c r="O45" s="5"/>
      <c r="P45" s="5"/>
      <c r="Q45" s="5"/>
      <c r="R45" s="5"/>
      <c r="S45" s="5"/>
      <c r="T45" s="5"/>
    </row>
    <row r="46" customFormat="false" ht="15" hidden="false" customHeight="true" outlineLevel="0" collapsed="false">
      <c r="A46" s="5"/>
      <c r="B46" s="5"/>
      <c r="C46" s="5"/>
      <c r="D46" s="5"/>
      <c r="E46" s="5"/>
      <c r="F46" s="5"/>
      <c r="G46" s="5"/>
      <c r="H46" s="5"/>
      <c r="I46" s="5"/>
      <c r="J46" s="5"/>
      <c r="K46" s="5"/>
      <c r="L46" s="5"/>
      <c r="M46" s="5"/>
      <c r="N46" s="5"/>
      <c r="O46" s="5"/>
      <c r="P46" s="5"/>
      <c r="Q46" s="5"/>
      <c r="R46" s="5"/>
      <c r="S46" s="5"/>
      <c r="T46" s="5"/>
    </row>
    <row r="47" customFormat="false" ht="15" hidden="false" customHeight="true" outlineLevel="0" collapsed="false">
      <c r="A47" s="5"/>
      <c r="B47" s="34" t="inlineStr">
        <is>
          <t xml:space="preserve">Conclusión: Tecnologías se mantiene sobre 60% en todas las cohortes y es el único sector con serie completa 2022-2025. Administración y Comercio (desde 2024) y Salud (desde 2025) recién tienen uno o dos años de datos — su tendencia todavía no es comparable con Tecnologías.</t>
        </is>
      </c>
      <c r="C47" s="34"/>
      <c r="D47" s="34"/>
      <c r="E47" s="34"/>
      <c r="F47" s="34"/>
      <c r="J47" s="5"/>
      <c r="K47" s="5"/>
      <c r="L47" s="5"/>
      <c r="M47" s="5"/>
      <c r="N47" s="5"/>
      <c r="O47" s="5"/>
      <c r="P47" s="5"/>
      <c r="Q47" s="5"/>
      <c r="R47" s="5"/>
      <c r="S47" s="5"/>
      <c r="T47" s="5"/>
    </row>
    <row r="48" customFormat="false" ht="15" hidden="false" customHeight="true" outlineLevel="0" collapsed="false">
      <c r="A48" s="5"/>
      <c r="B48" s="34"/>
      <c r="C48" s="34"/>
      <c r="D48" s="34"/>
      <c r="E48" s="34"/>
      <c r="F48" s="34"/>
      <c r="J48" s="5"/>
      <c r="K48" s="5"/>
      <c r="L48" s="5"/>
      <c r="M48" s="5"/>
      <c r="N48" s="5"/>
      <c r="O48" s="5"/>
      <c r="P48" s="5"/>
      <c r="Q48" s="5"/>
      <c r="R48" s="5"/>
      <c r="S48" s="5"/>
      <c r="T48" s="5"/>
    </row>
    <row r="49" customFormat="false" ht="15" hidden="false" customHeight="true" outlineLevel="0" collapsed="false">
      <c r="A49" s="5"/>
      <c r="B49" s="34"/>
      <c r="C49" s="34"/>
      <c r="D49" s="34"/>
      <c r="E49" s="34"/>
      <c r="F49" s="34"/>
      <c r="G49" s="5"/>
      <c r="H49" s="5"/>
      <c r="I49" s="5"/>
      <c r="J49" s="5"/>
      <c r="K49" s="5"/>
      <c r="L49" s="5"/>
      <c r="M49" s="5"/>
      <c r="N49" s="5"/>
      <c r="O49" s="5"/>
      <c r="P49" s="5"/>
      <c r="Q49" s="5"/>
      <c r="R49" s="5"/>
      <c r="S49" s="5"/>
      <c r="T49" s="5"/>
    </row>
    <row r="50" customFormat="false" ht="15" hidden="false" customHeight="true" outlineLevel="0" collapsed="false">
      <c r="A50" s="5"/>
      <c r="B50" s="5"/>
      <c r="C50" s="5"/>
      <c r="D50" s="5"/>
      <c r="E50" s="5"/>
      <c r="F50" s="5"/>
      <c r="G50" s="5"/>
      <c r="H50" s="5"/>
      <c r="I50" s="5"/>
      <c r="J50" s="5"/>
      <c r="K50" s="5"/>
      <c r="L50" s="5"/>
      <c r="M50" s="5"/>
      <c r="N50" s="5"/>
      <c r="O50" s="5"/>
      <c r="P50" s="5"/>
      <c r="Q50" s="5"/>
      <c r="R50" s="5"/>
      <c r="S50" s="5"/>
      <c r="T50" s="5"/>
    </row>
    <row r="51" customFormat="false" ht="15" hidden="false" customHeight="true" outlineLevel="0" collapsed="false">
      <c r="A51" s="5"/>
      <c r="B51" s="5"/>
      <c r="C51" s="5"/>
      <c r="D51" s="5"/>
      <c r="E51" s="5"/>
      <c r="F51" s="5"/>
      <c r="G51" s="5"/>
      <c r="H51" s="5"/>
      <c r="I51" s="5"/>
      <c r="J51" s="5"/>
      <c r="K51" s="5"/>
      <c r="L51" s="5"/>
      <c r="M51" s="5"/>
      <c r="N51" s="5"/>
      <c r="O51" s="5"/>
      <c r="P51" s="5"/>
      <c r="Q51" s="5"/>
      <c r="R51" s="5"/>
      <c r="S51" s="5"/>
      <c r="T51" s="5"/>
    </row>
    <row r="52" customFormat="false" ht="15" hidden="false" customHeight="true" outlineLevel="0" collapsed="false">
      <c r="A52" s="5"/>
      <c r="B52" s="5"/>
      <c r="C52" s="5"/>
      <c r="D52" s="5"/>
      <c r="E52" s="5"/>
      <c r="F52" s="5"/>
      <c r="G52" s="5"/>
      <c r="H52" s="5"/>
      <c r="I52" s="5"/>
      <c r="J52" s="5"/>
      <c r="K52" s="5"/>
      <c r="L52" s="5"/>
      <c r="M52" s="5"/>
      <c r="N52" s="5"/>
      <c r="O52" s="5"/>
      <c r="P52" s="5"/>
      <c r="Q52" s="5"/>
      <c r="R52" s="5"/>
      <c r="S52" s="5"/>
      <c r="T52" s="5"/>
    </row>
    <row r="53" customFormat="false" ht="15" hidden="false" customHeight="true" outlineLevel="0" collapsed="false">
      <c r="A53" s="5"/>
      <c r="B53" s="5"/>
      <c r="C53" s="5"/>
      <c r="D53" s="5"/>
      <c r="E53" s="5"/>
      <c r="F53" s="5"/>
      <c r="G53" s="5"/>
      <c r="H53" s="5"/>
      <c r="I53" s="5"/>
      <c r="J53" s="5"/>
      <c r="K53" s="5"/>
      <c r="L53" s="5"/>
      <c r="M53" s="5"/>
      <c r="N53" s="5"/>
      <c r="O53" s="5"/>
      <c r="P53" s="5"/>
      <c r="Q53" s="5"/>
      <c r="R53" s="5"/>
      <c r="S53" s="5"/>
      <c r="T53" s="5"/>
    </row>
    <row r="54" customFormat="false" ht="15" hidden="false" customHeight="true" outlineLevel="0" collapsed="false">
      <c r="A54" s="5"/>
      <c r="B54" s="5"/>
      <c r="C54" s="5"/>
      <c r="D54" s="5"/>
      <c r="E54" s="5"/>
      <c r="F54" s="5"/>
      <c r="G54" s="5"/>
      <c r="H54" s="5"/>
      <c r="I54" s="5"/>
      <c r="J54" s="5"/>
      <c r="K54" s="5"/>
      <c r="L54" s="5"/>
      <c r="M54" s="5"/>
      <c r="N54" s="5"/>
      <c r="O54" s="5"/>
      <c r="P54" s="5"/>
      <c r="Q54" s="5"/>
      <c r="R54" s="5"/>
      <c r="S54" s="5"/>
      <c r="T54" s="5"/>
    </row>
    <row r="55" customFormat="false" ht="15" hidden="false" customHeight="true" outlineLevel="0" collapsed="false">
      <c r="A55" s="5"/>
      <c r="B55" s="5"/>
      <c r="C55" s="5"/>
      <c r="D55" s="5"/>
      <c r="E55" s="5"/>
      <c r="F55" s="5"/>
      <c r="G55" s="5"/>
      <c r="H55" s="5"/>
      <c r="I55" s="5"/>
      <c r="J55" s="5"/>
      <c r="K55" s="5"/>
      <c r="L55" s="5"/>
      <c r="M55" s="5"/>
      <c r="N55" s="5"/>
      <c r="O55" s="5"/>
      <c r="P55" s="5"/>
      <c r="Q55" s="5"/>
      <c r="R55" s="5"/>
      <c r="S55" s="5"/>
      <c r="T55" s="5"/>
    </row>
    <row r="56" customFormat="false" ht="15" hidden="false" customHeight="true" outlineLevel="0" collapsed="false">
      <c r="A56" s="5"/>
      <c r="B56" s="5"/>
      <c r="C56" s="5"/>
      <c r="D56" s="5"/>
      <c r="E56" s="5"/>
      <c r="F56" s="5"/>
      <c r="G56" s="5"/>
      <c r="H56" s="5"/>
      <c r="I56" s="5"/>
      <c r="J56" s="5"/>
      <c r="K56" s="5"/>
      <c r="L56" s="5"/>
      <c r="M56" s="5"/>
      <c r="N56" s="5"/>
      <c r="O56" s="5"/>
      <c r="P56" s="5"/>
      <c r="Q56" s="5"/>
      <c r="R56" s="5"/>
      <c r="S56" s="5"/>
      <c r="T56" s="5"/>
    </row>
    <row r="57" customFormat="false" ht="15" hidden="false" customHeight="true" outlineLevel="0" collapsed="false">
      <c r="A57" s="5"/>
      <c r="B57" s="5"/>
      <c r="C57" s="5"/>
      <c r="D57" s="5"/>
      <c r="E57" s="5"/>
      <c r="F57" s="5"/>
      <c r="G57" s="5"/>
      <c r="H57" s="5"/>
      <c r="I57" s="5"/>
      <c r="J57" s="5"/>
      <c r="K57" s="5"/>
      <c r="L57" s="5"/>
      <c r="M57" s="5"/>
      <c r="N57" s="5"/>
      <c r="O57" s="5"/>
      <c r="P57" s="5"/>
      <c r="Q57" s="5"/>
      <c r="R57" s="5"/>
      <c r="S57" s="5"/>
      <c r="T57" s="5"/>
    </row>
    <row r="58" customFormat="false" ht="15" hidden="false" customHeight="true" outlineLevel="0" collapsed="false">
      <c r="A58" s="5"/>
      <c r="B58" s="5"/>
      <c r="C58" s="5"/>
      <c r="D58" s="5"/>
      <c r="E58" s="5"/>
      <c r="F58" s="5"/>
      <c r="G58" s="5"/>
      <c r="H58" s="5"/>
      <c r="I58" s="5"/>
      <c r="J58" s="5"/>
      <c r="K58" s="5"/>
      <c r="L58" s="5"/>
      <c r="M58" s="5"/>
      <c r="N58" s="5"/>
      <c r="O58" s="5"/>
      <c r="P58" s="5"/>
      <c r="Q58" s="5"/>
      <c r="R58" s="5"/>
      <c r="S58" s="5"/>
      <c r="T58" s="5"/>
    </row>
    <row r="59" customFormat="false" ht="15" hidden="false" customHeight="true" outlineLevel="0" collapsed="false">
      <c r="A59" s="5"/>
      <c r="B59" s="5"/>
      <c r="C59" s="5"/>
      <c r="D59" s="5"/>
      <c r="E59" s="5"/>
      <c r="F59" s="5"/>
      <c r="G59" s="5"/>
      <c r="H59" s="5"/>
      <c r="I59" s="5"/>
      <c r="J59" s="5"/>
      <c r="K59" s="5"/>
      <c r="L59" s="5"/>
      <c r="M59" s="5"/>
      <c r="N59" s="5"/>
      <c r="O59" s="5"/>
      <c r="P59" s="5"/>
      <c r="Q59" s="5"/>
      <c r="R59" s="5"/>
      <c r="S59" s="5"/>
      <c r="T59" s="5"/>
    </row>
    <row r="60" customFormat="false" ht="15" hidden="false" customHeight="true" outlineLevel="0" collapsed="false">
      <c r="A60" s="5"/>
      <c r="B60" s="5"/>
      <c r="C60" s="5"/>
      <c r="D60" s="5"/>
      <c r="E60" s="5"/>
      <c r="F60" s="5"/>
      <c r="G60" s="5"/>
      <c r="H60" s="5"/>
      <c r="I60" s="5"/>
      <c r="J60" s="5"/>
      <c r="K60" s="5"/>
      <c r="L60" s="5"/>
      <c r="M60" s="5"/>
      <c r="N60" s="5"/>
      <c r="O60" s="5"/>
      <c r="P60" s="5"/>
      <c r="Q60" s="5"/>
      <c r="R60" s="5"/>
      <c r="S60" s="5"/>
      <c r="T60" s="5"/>
    </row>
    <row r="61" customFormat="false" ht="15" hidden="false" customHeight="true" outlineLevel="0" collapsed="false">
      <c r="A61" s="5"/>
      <c r="B61" s="5"/>
      <c r="J61" s="5"/>
      <c r="K61" s="5"/>
      <c r="L61" s="5"/>
      <c r="M61" s="5"/>
      <c r="N61" s="5"/>
      <c r="O61" s="5"/>
      <c r="P61" s="5"/>
      <c r="Q61" s="5"/>
      <c r="R61" s="5"/>
      <c r="S61" s="5"/>
      <c r="T61" s="5"/>
    </row>
    <row r="62" customFormat="false" ht="15" hidden="false" customHeight="true" outlineLevel="0" collapsed="false">
      <c r="A62" s="5"/>
      <c r="J62" s="5"/>
      <c r="K62" s="5"/>
      <c r="L62" s="5"/>
      <c r="M62" s="5"/>
      <c r="N62" s="5"/>
      <c r="O62" s="5"/>
      <c r="P62" s="5"/>
      <c r="Q62" s="5"/>
      <c r="R62" s="5"/>
      <c r="S62" s="5"/>
      <c r="T62" s="5"/>
    </row>
    <row r="63" customFormat="false" ht="15" hidden="false" customHeight="true" outlineLevel="0" collapsed="false">
      <c r="A63" s="5"/>
      <c r="J63" s="5"/>
      <c r="K63" s="5"/>
      <c r="L63" s="5"/>
      <c r="M63" s="5"/>
      <c r="N63" s="5"/>
      <c r="O63" s="5"/>
      <c r="P63" s="5"/>
      <c r="Q63" s="5"/>
      <c r="R63" s="5"/>
      <c r="S63" s="5"/>
      <c r="T63" s="5"/>
    </row>
    <row r="64" customFormat="false" ht="15" hidden="false" customHeight="true" outlineLevel="0" collapsed="false">
      <c r="A64" s="5"/>
      <c r="B64" s="5"/>
      <c r="C64" s="5"/>
      <c r="D64" s="5"/>
      <c r="E64" s="5"/>
      <c r="F64" s="5"/>
      <c r="G64" s="5"/>
      <c r="H64" s="5"/>
      <c r="I64" s="5"/>
      <c r="J64" s="5"/>
      <c r="K64" s="5"/>
      <c r="L64" s="5"/>
      <c r="M64" s="5"/>
      <c r="N64" s="5"/>
      <c r="O64" s="5"/>
      <c r="P64" s="5"/>
      <c r="Q64" s="5"/>
      <c r="R64" s="5"/>
      <c r="S64" s="5"/>
      <c r="T64" s="5"/>
    </row>
    <row r="65" customFormat="false" ht="15" hidden="false" customHeight="true" outlineLevel="0" collapsed="false">
      <c r="A65" s="5"/>
      <c r="B65" s="5"/>
      <c r="C65" s="5"/>
      <c r="D65" s="5"/>
      <c r="E65" s="5"/>
      <c r="F65" s="5"/>
      <c r="G65" s="5"/>
      <c r="H65" s="5"/>
      <c r="I65" s="5"/>
      <c r="J65" s="5"/>
      <c r="K65" s="5"/>
      <c r="L65" s="5"/>
      <c r="M65" s="5"/>
      <c r="N65" s="5"/>
      <c r="O65" s="5"/>
      <c r="P65" s="5"/>
      <c r="Q65" s="5"/>
      <c r="R65" s="5"/>
      <c r="S65" s="5"/>
      <c r="T65" s="5"/>
    </row>
    <row r="66" customFormat="false" ht="15" hidden="false" customHeight="true" outlineLevel="0" collapsed="false">
      <c r="A66" s="5"/>
      <c r="B66" s="5"/>
      <c r="C66" s="5"/>
      <c r="D66" s="5"/>
      <c r="E66" s="5"/>
      <c r="F66" s="5"/>
      <c r="G66" s="5"/>
      <c r="H66" s="5"/>
      <c r="I66" s="5"/>
      <c r="J66" s="5"/>
      <c r="K66" s="5"/>
      <c r="L66" s="5"/>
      <c r="M66" s="5"/>
      <c r="N66" s="5"/>
      <c r="O66" s="5"/>
      <c r="P66" s="5"/>
      <c r="Q66" s="5"/>
      <c r="R66" s="5"/>
      <c r="S66" s="5"/>
      <c r="T66" s="5"/>
    </row>
    <row r="67" customFormat="false" ht="15" hidden="false" customHeight="true" outlineLevel="0" collapsed="false">
      <c r="A67" s="5"/>
      <c r="B67" s="5"/>
      <c r="C67" s="5"/>
      <c r="D67" s="5"/>
      <c r="E67" s="5"/>
      <c r="F67" s="5"/>
      <c r="G67" s="5"/>
      <c r="H67" s="5"/>
      <c r="I67" s="5"/>
      <c r="J67" s="5"/>
      <c r="K67" s="5"/>
      <c r="L67" s="5"/>
      <c r="M67" s="5"/>
      <c r="N67" s="5"/>
      <c r="O67" s="5"/>
      <c r="P67" s="5"/>
      <c r="Q67" s="5"/>
      <c r="R67" s="5"/>
      <c r="S67" s="5"/>
      <c r="T67" s="5"/>
    </row>
    <row r="68" customFormat="false" ht="15" hidden="false" customHeight="true" outlineLevel="0" collapsed="false">
      <c r="A68" s="5"/>
      <c r="B68" s="5"/>
      <c r="C68" s="5"/>
      <c r="D68" s="5"/>
      <c r="E68" s="5"/>
      <c r="F68" s="5"/>
      <c r="G68" s="5"/>
      <c r="H68" s="5"/>
      <c r="I68" s="5"/>
      <c r="J68" s="5"/>
      <c r="K68" s="5"/>
      <c r="L68" s="5"/>
      <c r="M68" s="5"/>
      <c r="N68" s="5"/>
      <c r="O68" s="5"/>
      <c r="P68" s="5"/>
      <c r="Q68" s="5"/>
      <c r="R68" s="5"/>
      <c r="S68" s="5"/>
      <c r="T68" s="5"/>
    </row>
    <row r="69" customFormat="false" ht="15" hidden="false" customHeight="true" outlineLevel="0" collapsed="false">
      <c r="A69" s="5"/>
      <c r="B69" s="5"/>
      <c r="C69" s="5"/>
      <c r="D69" s="5"/>
      <c r="E69" s="5"/>
      <c r="F69" s="5"/>
      <c r="G69" s="5"/>
      <c r="H69" s="5"/>
      <c r="I69" s="5"/>
      <c r="J69" s="5"/>
      <c r="K69" s="5"/>
      <c r="L69" s="5"/>
      <c r="M69" s="5"/>
      <c r="N69" s="5"/>
      <c r="O69" s="5"/>
      <c r="P69" s="5"/>
      <c r="Q69" s="5"/>
      <c r="R69" s="5"/>
      <c r="S69" s="5"/>
      <c r="T69" s="5"/>
    </row>
    <row r="70" customFormat="false" ht="15" hidden="false" customHeight="true" outlineLevel="0" collapsed="false">
      <c r="A70" s="5"/>
      <c r="B70" s="5"/>
      <c r="C70" s="5"/>
      <c r="D70" s="5"/>
      <c r="E70" s="5"/>
      <c r="F70" s="5"/>
      <c r="G70" s="5"/>
      <c r="H70" s="5"/>
      <c r="I70" s="5"/>
      <c r="J70" s="5"/>
      <c r="K70" s="5"/>
      <c r="L70" s="5"/>
      <c r="M70" s="5"/>
      <c r="N70" s="5"/>
      <c r="O70" s="5"/>
      <c r="P70" s="5"/>
      <c r="Q70" s="5"/>
      <c r="R70" s="5"/>
      <c r="S70" s="5"/>
      <c r="T70" s="5"/>
    </row>
    <row r="71" customFormat="false" ht="15" hidden="false" customHeight="true" outlineLevel="0" collapsed="false">
      <c r="A71" s="5"/>
      <c r="B71" s="5"/>
      <c r="C71" s="5"/>
      <c r="D71" s="5"/>
      <c r="E71" s="5"/>
      <c r="F71" s="5"/>
      <c r="G71" s="5"/>
      <c r="H71" s="5"/>
      <c r="I71" s="5"/>
      <c r="J71" s="5"/>
      <c r="K71" s="5"/>
      <c r="L71" s="5"/>
      <c r="M71" s="5"/>
      <c r="N71" s="5"/>
      <c r="O71" s="5"/>
      <c r="P71" s="5"/>
      <c r="Q71" s="5"/>
      <c r="R71" s="5"/>
      <c r="S71" s="5"/>
      <c r="T71" s="5"/>
    </row>
    <row r="72" customFormat="false" ht="15" hidden="false" customHeight="true" outlineLevel="0" collapsed="false">
      <c r="A72" s="5"/>
      <c r="B72" s="5"/>
      <c r="C72" s="5"/>
      <c r="D72" s="5"/>
      <c r="E72" s="5"/>
      <c r="F72" s="5"/>
      <c r="G72" s="5"/>
      <c r="H72" s="5"/>
      <c r="I72" s="5"/>
      <c r="J72" s="5"/>
      <c r="K72" s="5"/>
      <c r="L72" s="5"/>
      <c r="M72" s="5"/>
      <c r="N72" s="5"/>
      <c r="O72" s="5"/>
      <c r="P72" s="5"/>
      <c r="Q72" s="5"/>
      <c r="R72" s="5"/>
      <c r="S72" s="5"/>
      <c r="T72" s="5"/>
    </row>
    <row r="73" customFormat="false" ht="15" hidden="false" customHeight="true" outlineLevel="0" collapsed="false">
      <c r="A73" s="5"/>
      <c r="B73" s="5"/>
      <c r="C73" s="5"/>
      <c r="D73" s="5"/>
      <c r="E73" s="5"/>
      <c r="F73" s="5"/>
      <c r="G73" s="5"/>
      <c r="H73" s="5"/>
      <c r="I73" s="5"/>
      <c r="J73" s="5"/>
      <c r="K73" s="5"/>
      <c r="L73" s="5"/>
      <c r="M73" s="5"/>
      <c r="N73" s="5"/>
      <c r="O73" s="5"/>
      <c r="P73" s="5"/>
      <c r="Q73" s="5"/>
      <c r="R73" s="5"/>
      <c r="S73" s="5"/>
      <c r="T73" s="5"/>
    </row>
    <row r="74" customFormat="false" ht="15" hidden="false" customHeight="true" outlineLevel="0" collapsed="false">
      <c r="A74" s="5"/>
      <c r="B74" s="5"/>
      <c r="C74" s="5"/>
      <c r="D74" s="5"/>
      <c r="E74" s="5"/>
      <c r="F74" s="5"/>
      <c r="G74" s="5"/>
      <c r="H74" s="5"/>
      <c r="I74" s="5"/>
      <c r="J74" s="5"/>
      <c r="K74" s="5"/>
      <c r="L74" s="5"/>
      <c r="M74" s="5"/>
      <c r="N74" s="5"/>
      <c r="O74" s="5"/>
      <c r="P74" s="5"/>
      <c r="Q74" s="5"/>
      <c r="R74" s="5"/>
      <c r="S74" s="5"/>
      <c r="T74" s="5"/>
    </row>
    <row r="75" customFormat="false" ht="15" hidden="false" customHeight="true" outlineLevel="0" collapsed="false">
      <c r="A75" s="5"/>
      <c r="B75" s="5"/>
      <c r="C75" s="5"/>
      <c r="D75" s="5"/>
      <c r="E75" s="5"/>
      <c r="F75" s="5"/>
      <c r="G75" s="5"/>
      <c r="H75" s="5"/>
      <c r="I75" s="5"/>
      <c r="J75" s="5"/>
      <c r="K75" s="5"/>
      <c r="L75" s="5"/>
      <c r="M75" s="5"/>
      <c r="N75" s="5"/>
      <c r="O75" s="5"/>
      <c r="P75" s="5"/>
      <c r="Q75" s="5"/>
      <c r="R75" s="5"/>
      <c r="S75" s="5"/>
      <c r="T75" s="5"/>
    </row>
    <row r="76" customFormat="false" ht="15" hidden="false" customHeight="true" outlineLevel="0" collapsed="false">
      <c r="A76" s="5"/>
      <c r="B76" s="5"/>
      <c r="C76" s="5"/>
      <c r="D76" s="5"/>
      <c r="E76" s="5"/>
      <c r="F76" s="5"/>
      <c r="G76" s="5"/>
      <c r="H76" s="5"/>
      <c r="I76" s="5"/>
      <c r="J76" s="5"/>
      <c r="K76" s="5"/>
      <c r="L76" s="5"/>
      <c r="M76" s="5"/>
      <c r="N76" s="5"/>
      <c r="O76" s="5"/>
      <c r="P76" s="5"/>
      <c r="Q76" s="5"/>
      <c r="R76" s="5"/>
      <c r="S76" s="5"/>
      <c r="T76" s="5"/>
    </row>
    <row r="77" customFormat="false" ht="15" hidden="false" customHeight="true" outlineLevel="0" collapsed="false">
      <c r="A77" s="5"/>
      <c r="B77" s="5"/>
      <c r="C77" s="5"/>
      <c r="D77" s="5"/>
      <c r="E77" s="5"/>
      <c r="F77" s="5"/>
      <c r="G77" s="5"/>
      <c r="H77" s="5"/>
      <c r="I77" s="5"/>
      <c r="J77" s="5"/>
      <c r="K77" s="5"/>
      <c r="L77" s="5"/>
      <c r="M77" s="5"/>
      <c r="N77" s="5"/>
      <c r="O77" s="5"/>
      <c r="P77" s="5"/>
      <c r="Q77" s="5"/>
      <c r="R77" s="5"/>
      <c r="S77" s="5"/>
      <c r="T77" s="5"/>
    </row>
    <row r="78" customFormat="false" ht="15" hidden="false" customHeight="true" outlineLevel="0" collapsed="false">
      <c r="A78" s="5"/>
      <c r="B78" s="5"/>
      <c r="C78" s="5"/>
      <c r="D78" s="5"/>
      <c r="E78" s="5"/>
      <c r="F78" s="5"/>
      <c r="G78" s="5"/>
      <c r="H78" s="5"/>
      <c r="I78" s="5"/>
      <c r="J78" s="5"/>
      <c r="K78" s="5"/>
      <c r="L78" s="5"/>
      <c r="M78" s="5"/>
      <c r="N78" s="5"/>
      <c r="O78" s="5"/>
      <c r="P78" s="5"/>
      <c r="Q78" s="5"/>
      <c r="R78" s="5"/>
      <c r="S78" s="5"/>
      <c r="T78" s="5"/>
    </row>
    <row r="79" customFormat="false" ht="15" hidden="false" customHeight="true" outlineLevel="0" collapsed="false">
      <c r="A79" s="5"/>
      <c r="B79" s="5"/>
      <c r="C79" s="5"/>
      <c r="D79" s="5"/>
      <c r="E79" s="5"/>
      <c r="F79" s="5"/>
      <c r="G79" s="5"/>
      <c r="H79" s="5"/>
      <c r="I79" s="5"/>
      <c r="J79" s="5"/>
      <c r="K79" s="5"/>
      <c r="L79" s="5"/>
      <c r="M79" s="5"/>
      <c r="N79" s="5"/>
      <c r="O79" s="5"/>
      <c r="P79" s="5"/>
      <c r="Q79" s="5"/>
      <c r="R79" s="5"/>
      <c r="S79" s="5"/>
      <c r="T79" s="5"/>
    </row>
    <row r="80" customFormat="false" ht="15" hidden="false" customHeight="true" outlineLevel="0" collapsed="false">
      <c r="A80" s="5"/>
      <c r="B80" s="5"/>
      <c r="C80" s="5"/>
      <c r="D80" s="5"/>
      <c r="E80" s="5"/>
      <c r="F80" s="5"/>
      <c r="G80" s="5"/>
      <c r="H80" s="5"/>
      <c r="I80" s="5"/>
      <c r="J80" s="5"/>
      <c r="K80" s="5"/>
      <c r="L80" s="5"/>
      <c r="M80" s="5"/>
      <c r="N80" s="5"/>
      <c r="O80" s="5"/>
      <c r="P80" s="5"/>
      <c r="Q80" s="5"/>
      <c r="R80" s="5"/>
      <c r="S80" s="5"/>
      <c r="T80" s="5"/>
    </row>
    <row r="81" customFormat="false" ht="15" hidden="false" customHeight="true" outlineLevel="0" collapsed="false">
      <c r="A81" s="5"/>
      <c r="B81" s="5"/>
      <c r="C81" s="5"/>
      <c r="D81" s="5"/>
      <c r="E81" s="5"/>
      <c r="F81" s="5"/>
      <c r="G81" s="5"/>
      <c r="H81" s="5"/>
      <c r="I81" s="5"/>
      <c r="J81" s="5"/>
      <c r="K81" s="5"/>
      <c r="L81" s="5"/>
      <c r="M81" s="5"/>
      <c r="N81" s="5"/>
      <c r="O81" s="5"/>
      <c r="P81" s="5"/>
      <c r="Q81" s="5"/>
      <c r="R81" s="5"/>
      <c r="S81" s="5"/>
      <c r="T81" s="5"/>
    </row>
    <row r="82" customFormat="false" ht="15" hidden="false" customHeight="true" outlineLevel="0" collapsed="false">
      <c r="A82" s="5"/>
      <c r="B82" s="5"/>
      <c r="C82" s="5"/>
      <c r="D82" s="5"/>
      <c r="E82" s="5"/>
      <c r="F82" s="5"/>
      <c r="G82" s="5"/>
      <c r="H82" s="5"/>
      <c r="I82" s="5"/>
      <c r="J82" s="5"/>
      <c r="K82" s="5"/>
      <c r="L82" s="5"/>
      <c r="M82" s="5"/>
      <c r="N82" s="5"/>
      <c r="O82" s="5"/>
      <c r="P82" s="5"/>
      <c r="Q82" s="5"/>
      <c r="R82" s="5"/>
      <c r="S82" s="5"/>
      <c r="T82" s="5"/>
    </row>
    <row r="83" customFormat="false" ht="15" hidden="false" customHeight="true" outlineLevel="0" collapsed="false">
      <c r="A83" s="5"/>
      <c r="B83" s="5"/>
      <c r="C83" s="5"/>
      <c r="D83" s="5"/>
      <c r="E83" s="5"/>
      <c r="F83" s="5"/>
      <c r="G83" s="5"/>
      <c r="H83" s="5"/>
      <c r="I83" s="5"/>
      <c r="J83" s="5"/>
      <c r="K83" s="5"/>
      <c r="L83" s="5"/>
      <c r="M83" s="5"/>
      <c r="N83" s="5"/>
      <c r="O83" s="5"/>
      <c r="P83" s="5"/>
      <c r="Q83" s="5"/>
      <c r="R83" s="5"/>
      <c r="S83" s="5"/>
      <c r="T83" s="5"/>
    </row>
    <row r="84" customFormat="false" ht="15" hidden="false" customHeight="true" outlineLevel="0" collapsed="false">
      <c r="A84" s="5"/>
      <c r="B84" s="5"/>
      <c r="C84" s="5"/>
      <c r="D84" s="5"/>
      <c r="E84" s="5"/>
      <c r="F84" s="5"/>
      <c r="G84" s="5"/>
      <c r="H84" s="5"/>
      <c r="I84" s="5"/>
      <c r="J84" s="5"/>
      <c r="K84" s="5"/>
      <c r="L84" s="5"/>
      <c r="M84" s="5"/>
      <c r="N84" s="5"/>
      <c r="O84" s="5"/>
      <c r="P84" s="5"/>
      <c r="Q84" s="5"/>
      <c r="R84" s="5"/>
      <c r="S84" s="5"/>
      <c r="T84" s="5"/>
    </row>
    <row r="85" customFormat="false" ht="15" hidden="false" customHeight="true" outlineLevel="0" collapsed="false">
      <c r="A85" s="5"/>
      <c r="B85" s="5"/>
      <c r="C85" s="5"/>
      <c r="D85" s="5"/>
      <c r="E85" s="5"/>
      <c r="F85" s="5"/>
      <c r="G85" s="5"/>
      <c r="H85" s="5"/>
      <c r="I85" s="5"/>
      <c r="J85" s="5"/>
      <c r="K85" s="5"/>
      <c r="L85" s="5"/>
      <c r="M85" s="5"/>
      <c r="N85" s="5"/>
      <c r="O85" s="5"/>
      <c r="P85" s="5"/>
      <c r="Q85" s="5"/>
      <c r="R85" s="5"/>
      <c r="S85" s="5"/>
      <c r="T85" s="5"/>
    </row>
    <row r="86" customFormat="false" ht="15" hidden="false" customHeight="true" outlineLevel="0" collapsed="false">
      <c r="A86" s="5"/>
      <c r="B86" s="5"/>
      <c r="C86" s="5"/>
      <c r="D86" s="5"/>
      <c r="E86" s="5"/>
      <c r="F86" s="5"/>
      <c r="G86" s="5"/>
      <c r="H86" s="5"/>
      <c r="I86" s="5"/>
      <c r="J86" s="5"/>
      <c r="K86" s="5"/>
      <c r="L86" s="5"/>
      <c r="M86" s="5"/>
      <c r="N86" s="5"/>
      <c r="O86" s="5"/>
      <c r="P86" s="5"/>
      <c r="Q86" s="5"/>
      <c r="R86" s="5"/>
      <c r="S86" s="5"/>
      <c r="T86" s="5"/>
    </row>
    <row r="87" customFormat="false" ht="15" hidden="false" customHeight="true" outlineLevel="0" collapsed="false">
      <c r="A87" s="5"/>
      <c r="B87" s="5"/>
      <c r="C87" s="5"/>
      <c r="D87" s="5"/>
      <c r="E87" s="5"/>
      <c r="F87" s="5"/>
      <c r="G87" s="5"/>
      <c r="H87" s="5"/>
      <c r="I87" s="5"/>
      <c r="J87" s="5"/>
      <c r="K87" s="5"/>
      <c r="L87" s="5"/>
      <c r="M87" s="5"/>
      <c r="N87" s="5"/>
      <c r="O87" s="5"/>
      <c r="P87" s="5"/>
      <c r="Q87" s="5"/>
      <c r="R87" s="5"/>
      <c r="S87" s="5"/>
      <c r="T87" s="5"/>
    </row>
    <row r="88" customFormat="false" ht="15" hidden="false" customHeight="true" outlineLevel="0" collapsed="false">
      <c r="A88" s="5"/>
      <c r="B88" s="5"/>
      <c r="C88" s="5"/>
      <c r="D88" s="5"/>
      <c r="E88" s="5"/>
      <c r="F88" s="5"/>
      <c r="G88" s="5"/>
      <c r="H88" s="5"/>
      <c r="I88" s="5"/>
      <c r="J88" s="5"/>
      <c r="K88" s="5"/>
      <c r="L88" s="5"/>
      <c r="M88" s="5"/>
      <c r="N88" s="5"/>
      <c r="O88" s="5"/>
      <c r="P88" s="5"/>
      <c r="Q88" s="5"/>
      <c r="R88" s="5"/>
      <c r="S88" s="5"/>
      <c r="T88" s="5"/>
    </row>
    <row r="89" customFormat="false" ht="15" hidden="false" customHeight="true" outlineLevel="0" collapsed="false">
      <c r="A89" s="5"/>
      <c r="B89" s="5"/>
      <c r="C89" s="5"/>
      <c r="D89" s="5"/>
      <c r="E89" s="5"/>
      <c r="F89" s="5"/>
      <c r="G89" s="5"/>
      <c r="H89" s="5"/>
      <c r="I89" s="5"/>
      <c r="J89" s="5"/>
      <c r="K89" s="5"/>
      <c r="L89" s="5"/>
      <c r="M89" s="5"/>
      <c r="N89" s="5"/>
      <c r="O89" s="5"/>
      <c r="P89" s="5"/>
      <c r="Q89" s="5"/>
      <c r="R89" s="5"/>
      <c r="S89" s="5"/>
      <c r="T89" s="5"/>
    </row>
    <row r="90" customFormat="false" ht="15" hidden="false" customHeight="true" outlineLevel="0" collapsed="false">
      <c r="A90" s="5"/>
      <c r="B90" s="5"/>
      <c r="C90" s="5"/>
      <c r="D90" s="5"/>
      <c r="E90" s="5"/>
      <c r="F90" s="5"/>
      <c r="G90" s="5"/>
      <c r="H90" s="5"/>
      <c r="I90" s="5"/>
      <c r="J90" s="5"/>
      <c r="K90" s="5"/>
      <c r="L90" s="5"/>
      <c r="M90" s="5"/>
      <c r="N90" s="5"/>
      <c r="O90" s="5"/>
      <c r="P90" s="5"/>
      <c r="Q90" s="5"/>
      <c r="R90" s="5"/>
      <c r="S90" s="5"/>
      <c r="T90" s="5"/>
    </row>
    <row r="91" customFormat="false" ht="15" hidden="false" customHeight="true" outlineLevel="0" collapsed="false">
      <c r="A91" s="5"/>
      <c r="B91" s="5"/>
      <c r="C91" s="5"/>
      <c r="D91" s="5"/>
      <c r="E91" s="5"/>
      <c r="F91" s="5"/>
      <c r="G91" s="5"/>
      <c r="H91" s="5"/>
      <c r="I91" s="5"/>
      <c r="J91" s="5"/>
      <c r="K91" s="5"/>
      <c r="L91" s="5"/>
      <c r="M91" s="5"/>
      <c r="N91" s="5"/>
      <c r="O91" s="5"/>
      <c r="P91" s="5"/>
      <c r="Q91" s="5"/>
      <c r="R91" s="5"/>
      <c r="S91" s="5"/>
      <c r="T91" s="5"/>
    </row>
    <row r="92" customFormat="false" ht="15" hidden="false" customHeight="true" outlineLevel="0" collapsed="false">
      <c r="A92" s="5"/>
      <c r="B92" s="5"/>
      <c r="C92" s="5"/>
      <c r="D92" s="5"/>
      <c r="E92" s="5"/>
      <c r="F92" s="5"/>
      <c r="G92" s="5"/>
      <c r="H92" s="5"/>
      <c r="I92" s="5"/>
      <c r="J92" s="5"/>
      <c r="K92" s="5"/>
      <c r="L92" s="5"/>
      <c r="M92" s="5"/>
      <c r="N92" s="5"/>
      <c r="O92" s="5"/>
      <c r="P92" s="5"/>
      <c r="Q92" s="5"/>
      <c r="R92" s="5"/>
      <c r="S92" s="5"/>
      <c r="T92" s="5"/>
    </row>
    <row r="93" customFormat="false" ht="15" hidden="false" customHeight="true" outlineLevel="0" collapsed="false">
      <c r="A93" s="5"/>
      <c r="B93" s="5"/>
      <c r="C93" s="5"/>
      <c r="D93" s="5"/>
      <c r="E93" s="5"/>
      <c r="F93" s="5"/>
      <c r="G93" s="5"/>
      <c r="H93" s="5"/>
      <c r="I93" s="5"/>
      <c r="J93" s="5"/>
      <c r="K93" s="5"/>
      <c r="L93" s="5"/>
      <c r="M93" s="5"/>
      <c r="N93" s="5"/>
      <c r="O93" s="5"/>
      <c r="P93" s="5"/>
      <c r="Q93" s="5"/>
      <c r="R93" s="5"/>
      <c r="S93" s="5"/>
      <c r="T93" s="5"/>
    </row>
    <row r="94" customFormat="false" ht="15" hidden="false" customHeight="true" outlineLevel="0" collapsed="false">
      <c r="A94" s="5"/>
      <c r="B94" s="5"/>
      <c r="C94" s="5"/>
      <c r="D94" s="5"/>
      <c r="E94" s="5"/>
      <c r="F94" s="5"/>
      <c r="G94" s="5"/>
      <c r="H94" s="5"/>
      <c r="I94" s="5"/>
      <c r="J94" s="5"/>
      <c r="K94" s="5"/>
      <c r="L94" s="5"/>
      <c r="M94" s="5"/>
      <c r="N94" s="5"/>
      <c r="O94" s="5"/>
      <c r="P94" s="5"/>
      <c r="Q94" s="5"/>
      <c r="R94" s="5"/>
      <c r="S94" s="5"/>
      <c r="T94" s="5"/>
    </row>
    <row r="95" customFormat="false" ht="15" hidden="false" customHeight="true" outlineLevel="0" collapsed="false">
      <c r="A95" s="5"/>
      <c r="B95" s="5"/>
      <c r="C95" s="5"/>
      <c r="D95" s="5"/>
      <c r="E95" s="5"/>
      <c r="F95" s="5"/>
      <c r="G95" s="5"/>
      <c r="H95" s="5"/>
      <c r="I95" s="5"/>
      <c r="J95" s="5"/>
      <c r="K95" s="5"/>
      <c r="L95" s="5"/>
      <c r="M95" s="5"/>
      <c r="N95" s="5"/>
      <c r="O95" s="5"/>
      <c r="P95" s="5"/>
      <c r="Q95" s="5"/>
      <c r="R95" s="5"/>
      <c r="S95" s="5"/>
      <c r="T95" s="5"/>
    </row>
    <row r="96" customFormat="false" ht="15" hidden="false" customHeight="true" outlineLevel="0" collapsed="false">
      <c r="A96" s="5"/>
      <c r="B96" s="5"/>
      <c r="C96" s="5"/>
      <c r="D96" s="5"/>
      <c r="E96" s="5"/>
      <c r="F96" s="5"/>
      <c r="G96" s="5"/>
      <c r="H96" s="5"/>
      <c r="I96" s="5"/>
      <c r="J96" s="5"/>
      <c r="K96" s="5"/>
      <c r="L96" s="5"/>
      <c r="M96" s="5"/>
      <c r="N96" s="5"/>
      <c r="O96" s="5"/>
      <c r="P96" s="5"/>
      <c r="Q96" s="5"/>
      <c r="R96" s="5"/>
      <c r="S96" s="5"/>
      <c r="T96" s="5"/>
    </row>
    <row r="97" customFormat="false" ht="15" hidden="false" customHeight="true" outlineLevel="0" collapsed="false">
      <c r="A97" s="5"/>
      <c r="B97" s="5"/>
      <c r="C97" s="5"/>
      <c r="D97" s="5"/>
      <c r="E97" s="5"/>
      <c r="F97" s="5"/>
      <c r="G97" s="5"/>
      <c r="H97" s="5"/>
      <c r="I97" s="5"/>
      <c r="J97" s="5"/>
      <c r="K97" s="5"/>
      <c r="L97" s="5"/>
      <c r="M97" s="5"/>
      <c r="N97" s="5"/>
      <c r="O97" s="5"/>
      <c r="P97" s="5"/>
      <c r="Q97" s="5"/>
      <c r="R97" s="5"/>
      <c r="S97" s="5"/>
      <c r="T97" s="5"/>
    </row>
    <row r="98" customFormat="false" ht="15" hidden="false" customHeight="true" outlineLevel="0" collapsed="false">
      <c r="A98" s="5"/>
      <c r="B98" s="5"/>
      <c r="C98" s="5"/>
      <c r="D98" s="5"/>
      <c r="E98" s="5"/>
      <c r="F98" s="5"/>
      <c r="G98" s="5"/>
      <c r="H98" s="5"/>
      <c r="I98" s="5"/>
      <c r="J98" s="5"/>
      <c r="K98" s="5"/>
      <c r="L98" s="5"/>
      <c r="M98" s="5"/>
      <c r="N98" s="5"/>
      <c r="O98" s="5"/>
      <c r="P98" s="5"/>
      <c r="Q98" s="5"/>
      <c r="R98" s="5"/>
      <c r="S98" s="5"/>
      <c r="T98" s="5"/>
    </row>
    <row r="99" customFormat="false" ht="15" hidden="false" customHeight="true" outlineLevel="0" collapsed="false">
      <c r="A99" s="5"/>
      <c r="B99" s="5"/>
      <c r="C99" s="5"/>
      <c r="D99" s="5"/>
      <c r="E99" s="5"/>
      <c r="F99" s="5"/>
      <c r="G99" s="5"/>
      <c r="H99" s="5"/>
      <c r="I99" s="5"/>
      <c r="J99" s="5"/>
      <c r="K99" s="5"/>
      <c r="L99" s="5"/>
      <c r="M99" s="5"/>
      <c r="N99" s="5"/>
      <c r="O99" s="5"/>
      <c r="P99" s="5"/>
      <c r="Q99" s="5"/>
      <c r="R99" s="5"/>
      <c r="S99" s="5"/>
      <c r="T99" s="5"/>
    </row>
    <row r="100" customFormat="false" ht="15" hidden="false" customHeight="true" outlineLevel="0" collapsed="false">
      <c r="A100" s="5"/>
      <c r="B100" s="5"/>
      <c r="C100" s="5"/>
      <c r="D100" s="5"/>
      <c r="E100" s="5"/>
      <c r="F100" s="5"/>
      <c r="G100" s="5"/>
      <c r="H100" s="5"/>
      <c r="I100" s="5"/>
      <c r="J100" s="5"/>
      <c r="K100" s="5"/>
      <c r="L100" s="5"/>
      <c r="M100" s="5"/>
      <c r="N100" s="5"/>
      <c r="O100" s="5"/>
      <c r="P100" s="5"/>
      <c r="Q100" s="5"/>
      <c r="R100" s="5"/>
      <c r="S100" s="5"/>
      <c r="T100" s="5"/>
    </row>
  </sheetData>
  <mergeCells count="8">
    <mergeCell ref="A1:C1"/>
    <mergeCell ref="B3:H3"/>
    <mergeCell ref="B5:F5"/>
    <mergeCell ref="H5:O5"/>
    <mergeCell ref="H11:O13"/>
    <mergeCell ref="B20:F21"/>
    <mergeCell ref="H35:O37"/>
    <mergeCell ref="B47:F49"/>
  </mergeCells>
  <conditionalFormatting sqref="F7:F18">
    <cfRule type="top10" priority="2" aboveAverage="0" equalAverage="0" bottom="0" percent="0" rank="3" text="" dxfId="8"/>
    <cfRule type="top10" priority="3" aboveAverage="0" equalAverage="0" bottom="1" percent="0" rank="3" text="" dxfId="9"/>
  </conditionalFormatting>
  <conditionalFormatting sqref="I44:I46">
    <cfRule type="top10" priority="4" aboveAverage="0" equalAverage="0" bottom="0" percent="0" rank="1" text="" dxfId="8"/>
    <cfRule type="top10" priority="5" aboveAverage="0" equalAverage="0" bottom="1" percent="0" rank="1" text="" dxfId="9"/>
  </conditionalFormatting>
  <hyperlinks>
    <hyperlink ref="A1" location="'Portada'!B3" display="🏠 Portada / Índice"/>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22" activeCellId="0" sqref="J22"/>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13.34"/>
    <col collapsed="false" customWidth="true" hidden="false" outlineLevel="0" max="3" min="3" style="1" width="16"/>
    <col collapsed="false" customWidth="true" hidden="false" outlineLevel="0" max="4" min="4" style="1" width="19.52"/>
    <col collapsed="false" customWidth="true" hidden="false" outlineLevel="0" max="5" min="5" style="1" width="14"/>
    <col collapsed="false" customWidth="true" hidden="false" outlineLevel="0" max="6" min="6" style="1" width="21.83"/>
    <col collapsed="false" customWidth="true" hidden="false" outlineLevel="0" max="7" min="7" style="1" width="16.5"/>
  </cols>
  <sheetData>
    <row r="1" customFormat="false" ht="15" hidden="false" customHeight="true" outlineLevel="0" collapsed="false">
      <c r="A1" s="35" t="inlineStr">
        <is>
          <t xml:space="preserve">🏠 Portada / Índice</t>
        </is>
      </c>
    </row>
    <row r="2" customFormat="false" ht="30" hidden="false" customHeight="true" outlineLevel="0" collapsed="false">
      <c r="A2" s="12" t="inlineStr">
        <is>
          <t xml:space="preserve">5. Evolución 2022-2026 (nivel institucional)</t>
        </is>
      </c>
      <c r="B2" s="13"/>
      <c r="C2" s="13"/>
      <c r="D2" s="13"/>
      <c r="E2" s="13"/>
    </row>
    <row r="3" customFormat="false" ht="48" hidden="false" customHeight="true" outlineLevel="0" collapsed="false">
      <c r="B3" s="11" t="inlineStr">
        <is>
          <t xml:space="preserve">Tasa interna: fórmula en vivo sobre la base anonimizada (hoja 9), todos los sectores. Tasa SIES publicada: cifra oficial institucional, gobernada en el informe SIES agregado 2022-2025 (clasificación B). 2026 no tiene retención medible todavía: recién se sabrá en 2027, cuando exista el año siguiente para esa cohorte.</t>
        </is>
      </c>
      <c r="C3" s="11"/>
      <c r="D3" s="11"/>
      <c r="E3" s="11"/>
    </row>
    <row r="4" customFormat="false" ht="15" hidden="false" customHeight="true" outlineLevel="0" collapsed="false">
      <c r="A4" s="5"/>
      <c r="B4" s="5"/>
      <c r="C4" s="5"/>
      <c r="D4" s="5"/>
      <c r="E4" s="5"/>
      <c r="F4" s="5"/>
      <c r="G4" s="5"/>
      <c r="H4" s="5"/>
      <c r="I4" s="5"/>
      <c r="J4" s="5"/>
      <c r="K4" s="5"/>
      <c r="L4" s="5"/>
      <c r="M4" s="5"/>
      <c r="N4" s="5"/>
      <c r="O4" s="5"/>
      <c r="P4" s="5"/>
      <c r="Q4" s="5"/>
      <c r="R4" s="5"/>
      <c r="S4" s="5"/>
      <c r="T4" s="5"/>
    </row>
    <row r="5" customFormat="false" ht="25.5" hidden="false" customHeight="true" outlineLevel="0" collapsed="false">
      <c r="A5" s="5"/>
      <c r="B5" s="20" t="inlineStr">
        <is>
          <t xml:space="preserve">Evolución institucional 2022-2025 — interna vs. SIES publicada</t>
        </is>
      </c>
      <c r="C5" s="20"/>
      <c r="D5" s="20"/>
      <c r="E5" s="20"/>
      <c r="F5" s="20"/>
      <c r="G5" s="20"/>
      <c r="H5" s="5"/>
      <c r="I5" s="5"/>
      <c r="J5" s="5"/>
      <c r="K5" s="5"/>
      <c r="L5" s="5"/>
      <c r="M5" s="5"/>
      <c r="N5" s="5"/>
      <c r="O5" s="5"/>
      <c r="P5" s="5"/>
      <c r="Q5" s="5"/>
      <c r="R5" s="5"/>
      <c r="S5" s="5"/>
      <c r="T5" s="5"/>
    </row>
    <row r="6" customFormat="false" ht="27.75" hidden="false" customHeight="true" outlineLevel="0" collapsed="false">
      <c r="A6" s="5"/>
      <c r="B6" s="21" t="inlineStr">
        <is>
          <t xml:space="preserve">Cohorte</t>
        </is>
      </c>
      <c r="C6" s="21" t="inlineStr">
        <is>
          <t xml:space="preserve">Estudiantes IPSS</t>
        </is>
      </c>
      <c r="D6" s="21" t="inlineStr">
        <is>
          <t xml:space="preserve">Retenidos internos</t>
        </is>
      </c>
      <c r="E6" s="21" t="inlineStr">
        <is>
          <t xml:space="preserve">Tasa interna</t>
        </is>
      </c>
      <c r="F6" s="21" t="inlineStr">
        <is>
          <t xml:space="preserve">Tasa SIES publicada</t>
        </is>
      </c>
      <c r="G6" s="21" t="inlineStr">
        <is>
          <t xml:space="preserve">Brecha (pp)</t>
        </is>
      </c>
      <c r="H6" s="5"/>
      <c r="I6" s="5"/>
      <c r="J6" s="5"/>
      <c r="K6" s="5"/>
      <c r="L6" s="5"/>
      <c r="M6" s="5"/>
      <c r="N6" s="5"/>
      <c r="O6" s="5"/>
      <c r="P6" s="5"/>
      <c r="Q6" s="5"/>
      <c r="R6" s="5"/>
      <c r="S6" s="5"/>
      <c r="T6" s="5"/>
    </row>
    <row r="7" customFormat="false" ht="15" hidden="false" customHeight="true" outlineLevel="0" collapsed="false">
      <c r="A7" s="5"/>
      <c r="B7" s="22" t="n">
        <v>2022</v>
      </c>
      <c r="C7" s="36" t="n">
        <v>305</v>
      </c>
      <c r="D7" s="36" t="n">
        <v>224</v>
      </c>
      <c r="E7" s="23" t="n">
        <v>0.734426229508197</v>
      </c>
      <c r="F7" s="23" t="n">
        <v>0.689516129032258</v>
      </c>
      <c r="G7" s="24" t="n">
        <v>4.49101004759387</v>
      </c>
      <c r="H7" s="5"/>
      <c r="I7" s="5"/>
      <c r="J7" s="5"/>
      <c r="K7" s="5"/>
      <c r="L7" s="5"/>
      <c r="M7" s="5"/>
      <c r="N7" s="5"/>
      <c r="O7" s="5"/>
      <c r="P7" s="5"/>
      <c r="Q7" s="5"/>
      <c r="R7" s="5"/>
      <c r="S7" s="5"/>
      <c r="T7" s="5"/>
    </row>
    <row r="8" customFormat="false" ht="15" hidden="false" customHeight="true" outlineLevel="0" collapsed="false">
      <c r="A8" s="5"/>
      <c r="B8" s="25" t="n">
        <v>2023</v>
      </c>
      <c r="C8" s="37" t="n">
        <v>366</v>
      </c>
      <c r="D8" s="37" t="n">
        <v>258</v>
      </c>
      <c r="E8" s="26" t="n">
        <v>0.704918032786885</v>
      </c>
      <c r="F8" s="26" t="n">
        <v>0.705722070844687</v>
      </c>
      <c r="G8" s="27" t="n">
        <v>-0.0804038057801715</v>
      </c>
      <c r="H8" s="5"/>
      <c r="I8" s="5"/>
      <c r="J8" s="5"/>
      <c r="K8" s="5"/>
      <c r="L8" s="5"/>
      <c r="M8" s="5"/>
      <c r="N8" s="5"/>
      <c r="O8" s="5"/>
      <c r="P8" s="5"/>
      <c r="Q8" s="5"/>
      <c r="R8" s="5"/>
      <c r="S8" s="5"/>
      <c r="T8" s="5"/>
    </row>
    <row r="9" customFormat="false" ht="15" hidden="false" customHeight="true" outlineLevel="0" collapsed="false">
      <c r="A9" s="5"/>
      <c r="B9" s="22" t="n">
        <v>2024</v>
      </c>
      <c r="C9" s="36" t="n">
        <v>558</v>
      </c>
      <c r="D9" s="36" t="n">
        <v>326</v>
      </c>
      <c r="E9" s="23" t="n">
        <v>0.584229390681004</v>
      </c>
      <c r="F9" s="23" t="n">
        <v>0.675</v>
      </c>
      <c r="G9" s="24" t="n">
        <v>-9.07706093189965</v>
      </c>
      <c r="H9" s="5"/>
      <c r="I9" s="5"/>
      <c r="J9" s="5"/>
      <c r="K9" s="5"/>
      <c r="L9" s="5"/>
      <c r="M9" s="5"/>
      <c r="N9" s="5"/>
      <c r="O9" s="5"/>
      <c r="P9" s="5"/>
      <c r="Q9" s="5"/>
      <c r="R9" s="5"/>
      <c r="S9" s="5"/>
      <c r="T9" s="5"/>
    </row>
    <row r="10" customFormat="false" ht="15" hidden="false" customHeight="true" outlineLevel="0" collapsed="false">
      <c r="A10" s="5"/>
      <c r="B10" s="25" t="n">
        <v>2025</v>
      </c>
      <c r="C10" s="37" t="n">
        <v>1150</v>
      </c>
      <c r="D10" s="37" t="n">
        <v>668</v>
      </c>
      <c r="E10" s="26" t="n">
        <v>0.580869565217391</v>
      </c>
      <c r="F10" s="26" t="n">
        <v>0.582115219260533</v>
      </c>
      <c r="G10" s="27" t="n">
        <v>-0.12456540431417</v>
      </c>
      <c r="H10" s="5"/>
      <c r="I10" s="5"/>
      <c r="J10" s="5"/>
      <c r="K10" s="5"/>
      <c r="L10" s="5"/>
      <c r="M10" s="5"/>
      <c r="N10" s="5"/>
      <c r="O10" s="5"/>
      <c r="P10" s="5"/>
      <c r="Q10" s="5"/>
      <c r="R10" s="5"/>
      <c r="S10" s="5"/>
      <c r="T10" s="5"/>
    </row>
    <row r="11" customFormat="false" ht="15" hidden="false" customHeight="true" outlineLevel="0" collapsed="false">
      <c r="A11" s="5"/>
      <c r="B11" s="5"/>
      <c r="C11" s="5"/>
      <c r="D11" s="5"/>
      <c r="E11" s="5"/>
      <c r="F11" s="5"/>
      <c r="G11" s="5"/>
      <c r="H11" s="5"/>
      <c r="I11" s="5"/>
      <c r="J11" s="5"/>
      <c r="K11" s="5"/>
      <c r="L11" s="5"/>
      <c r="M11" s="5"/>
      <c r="N11" s="5"/>
      <c r="O11" s="5"/>
      <c r="P11" s="5"/>
      <c r="Q11" s="5"/>
      <c r="R11" s="5"/>
      <c r="S11" s="5"/>
      <c r="T11" s="5"/>
    </row>
    <row r="12" customFormat="false" ht="48" hidden="false" customHeight="true" outlineLevel="0" collapsed="false">
      <c r="A12" s="5"/>
      <c r="B12" s="28" t="inlineStr">
        <is>
          <t xml:space="preserve">2026 no tiene retención medible todavía: recién se sabrá en 2027, cuando exista el año siguiente para esa cohorte. Tasa SIES publicada: cifra oficial institucional gobernada en el informe SIES agregado 2022-2025 (clasificación B).</t>
        </is>
      </c>
      <c r="C12" s="28"/>
      <c r="D12" s="28"/>
      <c r="E12" s="28"/>
      <c r="F12" s="28"/>
      <c r="G12" s="28"/>
      <c r="H12" s="5"/>
      <c r="I12" s="5"/>
      <c r="J12" s="5"/>
      <c r="K12" s="5"/>
      <c r="L12" s="5"/>
      <c r="M12" s="5"/>
      <c r="N12" s="5"/>
      <c r="O12" s="5"/>
      <c r="P12" s="5"/>
      <c r="Q12" s="5"/>
      <c r="R12" s="5"/>
      <c r="S12" s="5"/>
      <c r="T12" s="5"/>
    </row>
    <row r="13" customFormat="false" ht="15" hidden="false" customHeight="true" outlineLevel="0" collapsed="false">
      <c r="A13" s="5"/>
      <c r="B13" s="28"/>
      <c r="C13" s="28"/>
      <c r="D13" s="28"/>
      <c r="E13" s="28"/>
      <c r="F13" s="28"/>
      <c r="G13" s="28"/>
      <c r="H13" s="5"/>
      <c r="I13" s="5"/>
      <c r="J13" s="5"/>
      <c r="K13" s="5"/>
      <c r="L13" s="5"/>
      <c r="M13" s="5"/>
      <c r="N13" s="5"/>
      <c r="O13" s="5"/>
      <c r="P13" s="5"/>
      <c r="Q13" s="5"/>
      <c r="R13" s="5"/>
      <c r="S13" s="5"/>
      <c r="T13" s="5"/>
    </row>
    <row r="14" customFormat="false" ht="15" hidden="false" customHeight="true" outlineLevel="0" collapsed="false">
      <c r="A14" s="5"/>
      <c r="B14" s="28"/>
      <c r="C14" s="28"/>
      <c r="D14" s="28"/>
      <c r="E14" s="28"/>
      <c r="F14" s="28"/>
      <c r="G14" s="28"/>
      <c r="H14" s="5"/>
      <c r="I14" s="5"/>
      <c r="J14" s="5"/>
      <c r="K14" s="5"/>
      <c r="L14" s="5"/>
      <c r="M14" s="5"/>
      <c r="N14" s="5"/>
      <c r="O14" s="5"/>
      <c r="P14" s="5"/>
      <c r="Q14" s="5"/>
      <c r="R14" s="5"/>
      <c r="S14" s="5"/>
      <c r="T14" s="5"/>
    </row>
    <row r="15" customFormat="false" ht="15" hidden="false" customHeight="true" outlineLevel="0" collapsed="false">
      <c r="A15" s="5"/>
      <c r="B15" s="5"/>
      <c r="C15" s="5"/>
      <c r="D15" s="5"/>
      <c r="E15" s="5"/>
      <c r="F15" s="5"/>
      <c r="G15" s="5"/>
      <c r="H15" s="5"/>
      <c r="I15" s="5"/>
      <c r="J15" s="5"/>
      <c r="K15" s="5"/>
      <c r="L15" s="5"/>
      <c r="M15" s="5"/>
      <c r="N15" s="5"/>
      <c r="O15" s="5"/>
      <c r="P15" s="5"/>
      <c r="Q15" s="5"/>
      <c r="R15" s="5"/>
      <c r="S15" s="5"/>
      <c r="T15" s="5"/>
    </row>
    <row r="16" customFormat="false" ht="15" hidden="false" customHeight="true" outlineLevel="0" collapsed="false">
      <c r="A16" s="5"/>
      <c r="B16" s="5"/>
      <c r="C16" s="5"/>
      <c r="D16" s="5"/>
      <c r="E16" s="5"/>
      <c r="F16" s="5"/>
      <c r="G16" s="5"/>
      <c r="H16" s="5"/>
      <c r="I16" s="5"/>
      <c r="J16" s="5"/>
      <c r="K16" s="5"/>
      <c r="L16" s="5"/>
      <c r="M16" s="5"/>
      <c r="N16" s="5"/>
      <c r="O16" s="5"/>
      <c r="P16" s="5"/>
      <c r="Q16" s="5"/>
      <c r="R16" s="5"/>
      <c r="S16" s="5"/>
      <c r="T16" s="5"/>
    </row>
    <row r="17" customFormat="false" ht="15" hidden="false" customHeight="true" outlineLevel="0" collapsed="false">
      <c r="A17" s="5"/>
      <c r="B17" s="5"/>
      <c r="C17" s="5"/>
      <c r="D17" s="5"/>
      <c r="E17" s="5"/>
      <c r="F17" s="5"/>
      <c r="G17" s="5"/>
      <c r="H17" s="5"/>
      <c r="I17" s="5"/>
      <c r="J17" s="5"/>
      <c r="K17" s="5"/>
      <c r="L17" s="5"/>
      <c r="M17" s="5"/>
      <c r="N17" s="5"/>
      <c r="O17" s="5"/>
      <c r="P17" s="5"/>
      <c r="Q17" s="5"/>
      <c r="R17" s="5"/>
      <c r="S17" s="5"/>
      <c r="T17" s="5"/>
    </row>
    <row r="18" customFormat="false" ht="15" hidden="false" customHeight="true" outlineLevel="0" collapsed="false">
      <c r="A18" s="5"/>
      <c r="B18" s="5"/>
      <c r="C18" s="5"/>
      <c r="D18" s="5"/>
      <c r="E18" s="5"/>
      <c r="F18" s="5"/>
      <c r="G18" s="5"/>
      <c r="H18" s="5"/>
      <c r="I18" s="5"/>
      <c r="J18" s="5"/>
      <c r="K18" s="5"/>
      <c r="L18" s="5"/>
      <c r="M18" s="5"/>
      <c r="N18" s="5"/>
      <c r="O18" s="5"/>
      <c r="P18" s="5"/>
      <c r="Q18" s="5"/>
      <c r="R18" s="5"/>
      <c r="S18" s="5"/>
      <c r="T18" s="5"/>
    </row>
    <row r="19" customFormat="false" ht="15" hidden="false" customHeight="true" outlineLevel="0" collapsed="false">
      <c r="A19" s="5"/>
      <c r="B19" s="5"/>
      <c r="C19" s="5"/>
      <c r="D19" s="5"/>
      <c r="E19" s="5"/>
      <c r="F19" s="5"/>
      <c r="G19" s="5"/>
      <c r="H19" s="5"/>
      <c r="I19" s="5"/>
      <c r="J19" s="5"/>
      <c r="K19" s="5"/>
      <c r="L19" s="5"/>
      <c r="M19" s="5"/>
      <c r="N19" s="5"/>
      <c r="O19" s="5"/>
      <c r="P19" s="5"/>
      <c r="Q19" s="5"/>
      <c r="R19" s="5"/>
      <c r="S19" s="5"/>
      <c r="T19" s="5"/>
    </row>
    <row r="20" customFormat="false" ht="15" hidden="false" customHeight="true" outlineLevel="0" collapsed="false">
      <c r="A20" s="5"/>
      <c r="B20" s="5"/>
      <c r="C20" s="5"/>
      <c r="D20" s="5"/>
      <c r="E20" s="5"/>
      <c r="F20" s="5"/>
      <c r="G20" s="5"/>
      <c r="H20" s="5"/>
      <c r="I20" s="5"/>
      <c r="J20" s="5"/>
      <c r="K20" s="5"/>
      <c r="L20" s="5"/>
      <c r="M20" s="5"/>
      <c r="N20" s="5"/>
      <c r="O20" s="5"/>
      <c r="P20" s="5"/>
      <c r="Q20" s="5"/>
      <c r="R20" s="5"/>
      <c r="S20" s="5"/>
      <c r="T20" s="5"/>
    </row>
    <row r="21" customFormat="false" ht="15" hidden="false" customHeight="true" outlineLevel="0" collapsed="false">
      <c r="A21" s="5"/>
      <c r="B21" s="5"/>
      <c r="C21" s="5"/>
      <c r="D21" s="5"/>
      <c r="E21" s="5"/>
      <c r="F21" s="5"/>
      <c r="G21" s="5"/>
      <c r="H21" s="5"/>
      <c r="I21" s="5"/>
      <c r="J21" s="5"/>
      <c r="K21" s="5"/>
      <c r="L21" s="5"/>
      <c r="M21" s="5"/>
      <c r="N21" s="5"/>
      <c r="O21" s="5"/>
      <c r="P21" s="5"/>
      <c r="Q21" s="5"/>
      <c r="R21" s="5"/>
      <c r="S21" s="5"/>
      <c r="T21" s="5"/>
    </row>
    <row r="22" customFormat="false" ht="15" hidden="false" customHeight="true" outlineLevel="0" collapsed="false">
      <c r="A22" s="5"/>
      <c r="B22" s="5"/>
      <c r="C22" s="5"/>
      <c r="D22" s="5"/>
      <c r="E22" s="5"/>
      <c r="F22" s="5"/>
      <c r="G22" s="5"/>
      <c r="H22" s="5"/>
      <c r="I22" s="5"/>
      <c r="J22" s="5"/>
      <c r="K22" s="5"/>
      <c r="L22" s="5"/>
      <c r="M22" s="5"/>
      <c r="N22" s="5"/>
      <c r="O22" s="5"/>
      <c r="P22" s="5"/>
      <c r="Q22" s="5"/>
      <c r="R22" s="5"/>
      <c r="S22" s="5"/>
      <c r="T22" s="5"/>
    </row>
    <row r="23" customFormat="false" ht="15" hidden="false" customHeight="true" outlineLevel="0" collapsed="false">
      <c r="A23" s="5"/>
      <c r="B23" s="5"/>
      <c r="C23" s="5"/>
      <c r="D23" s="5"/>
      <c r="E23" s="5"/>
      <c r="F23" s="5"/>
      <c r="G23" s="5"/>
      <c r="H23" s="5"/>
      <c r="I23" s="5"/>
      <c r="J23" s="5"/>
      <c r="K23" s="5"/>
      <c r="L23" s="5"/>
      <c r="M23" s="5"/>
      <c r="N23" s="5"/>
      <c r="O23" s="5"/>
      <c r="P23" s="5"/>
      <c r="Q23" s="5"/>
      <c r="R23" s="5"/>
      <c r="S23" s="5"/>
      <c r="T23" s="5"/>
    </row>
    <row r="24" customFormat="false" ht="15" hidden="false" customHeight="true" outlineLevel="0" collapsed="false">
      <c r="A24" s="5"/>
      <c r="B24" s="5"/>
      <c r="C24" s="5"/>
      <c r="D24" s="5"/>
      <c r="E24" s="5"/>
      <c r="F24" s="5"/>
      <c r="G24" s="5"/>
      <c r="H24" s="5"/>
      <c r="I24" s="5"/>
      <c r="J24" s="5"/>
      <c r="K24" s="5"/>
      <c r="L24" s="5"/>
      <c r="M24" s="5"/>
      <c r="N24" s="5"/>
      <c r="O24" s="5"/>
      <c r="P24" s="5"/>
      <c r="Q24" s="5"/>
      <c r="R24" s="5"/>
      <c r="S24" s="5"/>
      <c r="T24" s="5"/>
    </row>
    <row r="25" customFormat="false" ht="15" hidden="false" customHeight="true" outlineLevel="0" collapsed="false">
      <c r="A25" s="5"/>
      <c r="B25" s="5"/>
      <c r="C25" s="5"/>
      <c r="D25" s="5"/>
      <c r="E25" s="5"/>
      <c r="F25" s="5"/>
      <c r="G25" s="5"/>
      <c r="H25" s="5"/>
      <c r="I25" s="5"/>
      <c r="J25" s="5"/>
      <c r="K25" s="5"/>
      <c r="L25" s="5"/>
      <c r="M25" s="5"/>
      <c r="N25" s="5"/>
      <c r="O25" s="5"/>
      <c r="P25" s="5"/>
      <c r="Q25" s="5"/>
      <c r="R25" s="5"/>
      <c r="S25" s="5"/>
      <c r="T25" s="5"/>
    </row>
    <row r="26" customFormat="false" ht="15" hidden="false" customHeight="true" outlineLevel="0" collapsed="false">
      <c r="A26" s="5"/>
      <c r="B26" s="5"/>
      <c r="C26" s="5"/>
      <c r="D26" s="5"/>
      <c r="E26" s="5"/>
      <c r="F26" s="5"/>
      <c r="G26" s="5"/>
      <c r="H26" s="5"/>
      <c r="I26" s="5"/>
      <c r="J26" s="5"/>
      <c r="K26" s="5"/>
      <c r="L26" s="5"/>
      <c r="M26" s="5"/>
      <c r="N26" s="5"/>
      <c r="O26" s="5"/>
      <c r="P26" s="5"/>
      <c r="Q26" s="5"/>
      <c r="R26" s="5"/>
      <c r="S26" s="5"/>
      <c r="T26" s="5"/>
    </row>
    <row r="27" customFormat="false" ht="15" hidden="false" customHeight="true" outlineLevel="0" collapsed="false">
      <c r="A27" s="5"/>
      <c r="B27" s="5"/>
      <c r="C27" s="5"/>
      <c r="D27" s="5"/>
      <c r="E27" s="5"/>
      <c r="F27" s="5"/>
      <c r="G27" s="5"/>
      <c r="H27" s="5"/>
      <c r="I27" s="5"/>
      <c r="J27" s="5"/>
      <c r="K27" s="5"/>
      <c r="L27" s="5"/>
      <c r="M27" s="5"/>
      <c r="N27" s="5"/>
      <c r="O27" s="5"/>
      <c r="P27" s="5"/>
      <c r="Q27" s="5"/>
      <c r="R27" s="5"/>
      <c r="S27" s="5"/>
      <c r="T27" s="5"/>
    </row>
    <row r="28" customFormat="false" ht="15" hidden="false" customHeight="true" outlineLevel="0" collapsed="false">
      <c r="A28" s="5"/>
      <c r="B28" s="5"/>
      <c r="C28" s="5"/>
      <c r="D28" s="5"/>
      <c r="E28" s="5"/>
      <c r="F28" s="5"/>
      <c r="G28" s="5"/>
      <c r="H28" s="5"/>
      <c r="I28" s="5"/>
      <c r="J28" s="5"/>
      <c r="K28" s="5"/>
      <c r="L28" s="5"/>
      <c r="M28" s="5"/>
      <c r="N28" s="5"/>
      <c r="O28" s="5"/>
      <c r="P28" s="5"/>
      <c r="Q28" s="5"/>
      <c r="R28" s="5"/>
      <c r="S28" s="5"/>
      <c r="T28" s="5"/>
    </row>
    <row r="29" customFormat="false" ht="15" hidden="false" customHeight="true" outlineLevel="0" collapsed="false">
      <c r="A29" s="5"/>
      <c r="B29" s="5"/>
      <c r="C29" s="5"/>
      <c r="D29" s="5"/>
      <c r="E29" s="5"/>
      <c r="F29" s="5"/>
      <c r="G29" s="5"/>
      <c r="H29" s="5"/>
      <c r="I29" s="5"/>
      <c r="J29" s="5"/>
      <c r="K29" s="5"/>
      <c r="L29" s="5"/>
      <c r="M29" s="5"/>
      <c r="N29" s="5"/>
      <c r="O29" s="5"/>
      <c r="P29" s="5"/>
      <c r="Q29" s="5"/>
      <c r="R29" s="5"/>
      <c r="S29" s="5"/>
      <c r="T29" s="5"/>
    </row>
    <row r="30" customFormat="false" ht="15" hidden="false" customHeight="true" outlineLevel="0" collapsed="false">
      <c r="A30" s="5"/>
      <c r="B30" s="5"/>
      <c r="C30" s="5"/>
      <c r="D30" s="5"/>
      <c r="E30" s="5"/>
      <c r="F30" s="5"/>
      <c r="G30" s="5"/>
      <c r="H30" s="5"/>
      <c r="I30" s="5"/>
      <c r="J30" s="5"/>
      <c r="K30" s="5"/>
      <c r="L30" s="5"/>
      <c r="M30" s="5"/>
      <c r="N30" s="5"/>
      <c r="O30" s="5"/>
      <c r="P30" s="5"/>
      <c r="Q30" s="5"/>
      <c r="R30" s="5"/>
      <c r="S30" s="5"/>
      <c r="T30" s="5"/>
    </row>
    <row r="31" customFormat="false" ht="15" hidden="false" customHeight="true" outlineLevel="0" collapsed="false">
      <c r="A31" s="5"/>
      <c r="B31" s="5"/>
      <c r="C31" s="5"/>
      <c r="D31" s="5"/>
      <c r="E31" s="5"/>
      <c r="F31" s="5"/>
      <c r="G31" s="5"/>
      <c r="H31" s="5"/>
      <c r="I31" s="5"/>
      <c r="J31" s="5"/>
      <c r="K31" s="5"/>
      <c r="L31" s="5"/>
      <c r="M31" s="5"/>
      <c r="N31" s="5"/>
      <c r="O31" s="5"/>
      <c r="P31" s="5"/>
      <c r="Q31" s="5"/>
      <c r="R31" s="5"/>
      <c r="S31" s="5"/>
      <c r="T31" s="5"/>
    </row>
    <row r="32" customFormat="false" ht="15" hidden="false" customHeight="true" outlineLevel="0" collapsed="false">
      <c r="A32" s="5"/>
      <c r="B32" s="5"/>
      <c r="C32" s="5"/>
      <c r="D32" s="5"/>
      <c r="E32" s="5"/>
      <c r="F32" s="5"/>
      <c r="G32" s="5"/>
      <c r="H32" s="5"/>
      <c r="I32" s="5"/>
      <c r="J32" s="5"/>
      <c r="K32" s="5"/>
      <c r="L32" s="5"/>
      <c r="M32" s="5"/>
      <c r="N32" s="5"/>
      <c r="O32" s="5"/>
      <c r="P32" s="5"/>
      <c r="Q32" s="5"/>
      <c r="R32" s="5"/>
      <c r="S32" s="5"/>
      <c r="T32" s="5"/>
    </row>
    <row r="33" customFormat="false" ht="15" hidden="false" customHeight="true" outlineLevel="0" collapsed="false">
      <c r="A33" s="5"/>
      <c r="B33" s="5"/>
      <c r="C33" s="5"/>
      <c r="D33" s="5"/>
      <c r="E33" s="5"/>
      <c r="F33" s="5"/>
      <c r="G33" s="5"/>
      <c r="H33" s="5"/>
      <c r="I33" s="5"/>
      <c r="J33" s="5"/>
      <c r="K33" s="5"/>
      <c r="L33" s="5"/>
      <c r="M33" s="5"/>
      <c r="N33" s="5"/>
      <c r="O33" s="5"/>
      <c r="P33" s="5"/>
      <c r="Q33" s="5"/>
      <c r="R33" s="5"/>
      <c r="S33" s="5"/>
      <c r="T33" s="5"/>
    </row>
    <row r="34" customFormat="false" ht="15" hidden="false" customHeight="true" outlineLevel="0" collapsed="false">
      <c r="A34" s="5"/>
      <c r="B34" s="34" t="inlineStr">
        <is>
          <t xml:space="preserve">Lectura de los resultados (B/C/E): las tasas internas y las publicadas por SIES son cercanas en 2023 y 2025. En 2022 la tasa interna supera a SIES en 4,49 puntos porcentuales y en 2024 queda 9,08 puntos por debajo. Estas dos brechas siguen sin una causa completamente verificada; el gráfico conserva ambas series para mostrar la diferencia.</t>
        </is>
      </c>
      <c r="C34" s="34"/>
      <c r="D34" s="34"/>
      <c r="E34" s="34"/>
      <c r="F34" s="34"/>
      <c r="G34" s="34"/>
      <c r="H34" s="5"/>
      <c r="I34" s="5"/>
      <c r="J34" s="5"/>
      <c r="K34" s="5"/>
      <c r="L34" s="5"/>
      <c r="M34" s="5"/>
      <c r="N34" s="5"/>
      <c r="O34" s="5"/>
      <c r="P34" s="5"/>
      <c r="Q34" s="5"/>
      <c r="R34" s="5"/>
      <c r="S34" s="5"/>
      <c r="T34" s="5"/>
    </row>
    <row r="35" customFormat="false" ht="15" hidden="false" customHeight="true" outlineLevel="0" collapsed="false">
      <c r="A35" s="5"/>
      <c r="B35" s="34"/>
      <c r="C35" s="34"/>
      <c r="D35" s="34"/>
      <c r="E35" s="34"/>
      <c r="F35" s="34"/>
      <c r="G35" s="34"/>
      <c r="H35" s="5"/>
      <c r="I35" s="5"/>
      <c r="J35" s="5"/>
      <c r="K35" s="5"/>
      <c r="L35" s="5"/>
      <c r="M35" s="5"/>
      <c r="N35" s="5"/>
      <c r="O35" s="5"/>
      <c r="P35" s="5"/>
      <c r="Q35" s="5"/>
      <c r="R35" s="5"/>
      <c r="S35" s="5"/>
      <c r="T35" s="5"/>
    </row>
    <row r="36" customFormat="false" ht="15" hidden="false" customHeight="true" outlineLevel="0" collapsed="false">
      <c r="A36" s="5"/>
      <c r="B36" s="34"/>
      <c r="C36" s="34"/>
      <c r="D36" s="34"/>
      <c r="E36" s="34"/>
      <c r="F36" s="34"/>
      <c r="G36" s="34"/>
      <c r="H36" s="5"/>
      <c r="I36" s="5"/>
      <c r="J36" s="5"/>
      <c r="K36" s="5"/>
      <c r="L36" s="5"/>
      <c r="M36" s="5"/>
      <c r="N36" s="5"/>
      <c r="O36" s="5"/>
      <c r="P36" s="5"/>
      <c r="Q36" s="5"/>
      <c r="R36" s="5"/>
      <c r="S36" s="5"/>
      <c r="T36" s="5"/>
    </row>
    <row r="37" customFormat="false" ht="15" hidden="false" customHeight="true" outlineLevel="0" collapsed="false">
      <c r="A37" s="5"/>
      <c r="B37" s="5"/>
      <c r="C37" s="5"/>
      <c r="D37" s="5"/>
      <c r="E37" s="5"/>
      <c r="F37" s="5"/>
      <c r="G37" s="5"/>
      <c r="H37" s="5"/>
      <c r="I37" s="5"/>
      <c r="J37" s="5"/>
      <c r="K37" s="5"/>
      <c r="L37" s="5"/>
      <c r="M37" s="5"/>
      <c r="N37" s="5"/>
      <c r="O37" s="5"/>
      <c r="P37" s="5"/>
      <c r="Q37" s="5"/>
      <c r="R37" s="5"/>
      <c r="S37" s="5"/>
      <c r="T37" s="5"/>
    </row>
    <row r="38" customFormat="false" ht="15" hidden="false" customHeight="true" outlineLevel="0" collapsed="false">
      <c r="A38" s="5"/>
      <c r="B38" s="5"/>
      <c r="C38" s="5"/>
      <c r="D38" s="5"/>
      <c r="E38" s="5"/>
      <c r="F38" s="5"/>
      <c r="G38" s="5"/>
      <c r="H38" s="5"/>
      <c r="I38" s="5"/>
      <c r="J38" s="5"/>
      <c r="K38" s="5"/>
      <c r="L38" s="5"/>
      <c r="M38" s="5"/>
      <c r="N38" s="5"/>
      <c r="O38" s="5"/>
      <c r="P38" s="5"/>
      <c r="Q38" s="5"/>
      <c r="R38" s="5"/>
      <c r="S38" s="5"/>
      <c r="T38" s="5"/>
    </row>
    <row r="39" customFormat="false" ht="15" hidden="false" customHeight="true" outlineLevel="0" collapsed="false">
      <c r="A39" s="5"/>
      <c r="B39" s="5"/>
      <c r="C39" s="5"/>
      <c r="D39" s="5"/>
      <c r="E39" s="5"/>
      <c r="F39" s="5"/>
      <c r="G39" s="5"/>
      <c r="H39" s="5"/>
      <c r="I39" s="5"/>
      <c r="J39" s="5"/>
      <c r="K39" s="5"/>
      <c r="L39" s="5"/>
      <c r="M39" s="5"/>
      <c r="N39" s="5"/>
      <c r="O39" s="5"/>
      <c r="P39" s="5"/>
      <c r="Q39" s="5"/>
      <c r="R39" s="5"/>
      <c r="S39" s="5"/>
      <c r="T39" s="5"/>
    </row>
    <row r="40" customFormat="false" ht="15" hidden="false" customHeight="true" outlineLevel="0" collapsed="false">
      <c r="A40" s="5"/>
      <c r="B40" s="5"/>
      <c r="C40" s="5"/>
      <c r="D40" s="5"/>
      <c r="E40" s="5"/>
      <c r="F40" s="5"/>
      <c r="G40" s="5"/>
      <c r="H40" s="5"/>
      <c r="I40" s="5"/>
      <c r="J40" s="5"/>
      <c r="K40" s="5"/>
      <c r="L40" s="5"/>
      <c r="M40" s="5"/>
      <c r="N40" s="5"/>
      <c r="O40" s="5"/>
      <c r="P40" s="5"/>
      <c r="Q40" s="5"/>
      <c r="R40" s="5"/>
      <c r="S40" s="5"/>
      <c r="T40" s="5"/>
    </row>
  </sheetData>
  <mergeCells count="4">
    <mergeCell ref="B3:E3"/>
    <mergeCell ref="B5:G5"/>
    <mergeCell ref="B12:G14"/>
    <mergeCell ref="B34:G36"/>
  </mergeCells>
  <conditionalFormatting sqref="E7:E10">
    <cfRule type="top10" priority="2" aboveAverage="0" equalAverage="0" bottom="0" percent="0" rank="1" text="" dxfId="8"/>
    <cfRule type="top10" priority="3" aboveAverage="0" equalAverage="0" bottom="1" percent="0" rank="1" text="" dxfId="9"/>
  </conditionalFormatting>
  <hyperlinks>
    <hyperlink ref="A1" location="'Portada'!B3" display="🏠 Portada / Índice"/>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100"/>
  </cols>
  <sheetData>
    <row r="1" customFormat="false" ht="15" hidden="false" customHeight="true" outlineLevel="0" collapsed="false">
      <c r="A1" s="35" t="inlineStr">
        <is>
          <t xml:space="preserve">🏠 Portada / Índice</t>
        </is>
      </c>
    </row>
    <row r="2" customFormat="false" ht="30" hidden="false" customHeight="true" outlineLevel="0" collapsed="false">
      <c r="A2" s="12" t="inlineStr">
        <is>
          <t xml:space="preserve">6. Limitaciones</t>
        </is>
      </c>
      <c r="B2" s="13"/>
    </row>
    <row r="4" customFormat="false" ht="57.75" hidden="false" customHeight="true" outlineLevel="0" collapsed="false">
      <c r="A4" s="5"/>
      <c r="B4" s="17" t="inlineStr">
        <is>
          <t xml:space="preserve">•  Umbral de 10 casos: SIES solo publica cifras oficiales cuando una categoría tiene 10 o más casos. Este documento sí muestra resultados internos por sector aunque tengan menos de 10 casos, porque es un cálculo propio, no una cifra oficial publicada — se indica cuando corresponde.</t>
        </is>
      </c>
    </row>
    <row r="5" customFormat="false" ht="57.75" hidden="false" customHeight="true" outlineLevel="0" collapsed="false">
      <c r="A5" s="5"/>
      <c r="B5" s="17" t="inlineStr">
        <is>
          <t xml:space="preserve">•  Fecha de corte 30 de abril: no aplica como pendiente — los documentos revisados en este análisis corresponden a lo ya informado a SIES, por lo que la vigencia de corte queda resuelta por ese hecho (decisión del usuario, 2026-09-30). Nota de precisión: el campo FECHA_MATRICULA sí existe en la base RAW BASE_RETENCION_MU (columna AE, 8.017 de 10.200 filas con valor), aunque no fue propagado al cruce ya gobernado — dato observado directamente, no cambia el resultado.</t>
        </is>
      </c>
    </row>
    <row r="6" customFormat="false" ht="57.75" hidden="false" customHeight="true" outlineLevel="0" collapsed="false">
      <c r="A6" s="5"/>
      <c r="B6" s="17" t="inlineStr">
        <is>
          <t xml:space="preserve">•  Brechas 2022 y 2024 sin causa establecida: al comparar la tasa interna con la tasa SIES publicada, 2022 muestra una diferencia de +4,5 puntos porcentuales aproximados y 2024 de -9,1 puntos porcentuales aproximados. Se revisaron las reglas del manual de matrícula unificada y la cobertura de los datos de esos años sin encontrar una causa que explique la diferencia por completo. Se deja registrada como diferencia sin causa establecida (clasificación E), nunca forzada ni inventada.</t>
        </is>
      </c>
    </row>
    <row r="7" customFormat="false" ht="57.75" hidden="false" customHeight="true" outlineLevel="0" collapsed="false">
      <c r="A7" s="5"/>
      <c r="B7" s="17" t="inlineStr">
        <is>
          <t xml:space="preserve">•  Comparación granular por sector (actualizado 2026-09-30): para 2025, SIES envió la tabla oficial desglosada por carrera (hoja 10) — se validó código por código contra el cálculo interno (hoja 13, Sección A). Para 2022-2024 no existe ese envío externo, pero sí se construyó el mismo desglose de forma interna (hoja 13, Sección B), reconstruyendo el código único de SIES a partir de columnas ya gobernadas de BASE_RETENCION_MU (COD_SED, COD_CAR, JOR, VERSION) — sin validación externa por código para esos 3 años, solo con el porcentaje agregado publicado por SIES como referencia de nivel superior.</t>
        </is>
      </c>
    </row>
    <row r="8" customFormat="false" ht="57.75" hidden="false" customHeight="true" outlineLevel="0" collapsed="false">
      <c r="A8" s="5"/>
      <c r="B8" s="17" t="inlineStr">
        <is>
          <t xml:space="preserve">•  2026 sin retención medible aún: los estudiantes de primer año de 2026 recién podrán evaluarse en 2027, cuando exista el año siguiente de matrícula.</t>
        </is>
      </c>
    </row>
    <row r="9" customFormat="false" ht="57.75" hidden="false" customHeight="true" outlineLevel="0" collapsed="false">
      <c r="A9" s="5"/>
      <c r="B9" s="17" t="inlineStr">
        <is>
          <t xml:space="preserve">•  Datos personales: este documento SÍ incluye identificadores de estudiante (nombre, RUT, fecha de nacimiento) en las hojas 9 y 11, por instrucción explícita del usuario (2026-09-30), porque su audiencia es gerencia y requiere poder revisar el detalle individual. USO RESTRINGIDO — no redistribuir fuera de gerencia sin autorización. El detalle completo, con las reglas de elegibilidad aplicadas a cada candidato, permanece además gobernado en el archivo técnico completo, hito H001-RETENCION-IPSS162.</t>
        </is>
      </c>
    </row>
    <row r="10" customFormat="false" ht="57.75" hidden="false" customHeight="true" outlineLevel="0" collapsed="false">
      <c r="A10" s="5"/>
      <c r="B10" s="17" t="inlineStr">
        <is>
          <t xml:space="preserve">C · Foto de valores históricos preservados; detalle individual excluido. No recalcula con filtros en esta copia agregada.</t>
        </is>
      </c>
    </row>
    <row r="11" customFormat="false" ht="57.75" hidden="false" customHeight="true" outlineLevel="0" collapsed="false">
      <c r="A11" s="5"/>
      <c r="B11" s="17" t="inlineStr">
        <is>
          <t xml:space="preserve">•  Reconciliación granular 2025 (2026-09-30): al comparar código por código el cálculo interno contra el envío real de SIES (hoja 13, Sección A), 27 de 36 códigos coinciden exactamente. En 9 códigos — 7 de ellos en jornada Virtual — el cálculo interno cuenta 1 o 2 casos menos que SIES, sumando 13 casos y 9 retenidos de diferencia en total. La suma de los 36 códigos de SIES (1.163 casos / 677 retenidos / 58,2115%) coincide exactamente con el "Total general" que Rodrigo Rolando Meneses envió y con la tasa oficial publicada — confirmando que esos 13 casos son la explicación completa y ya cuantificada de la diferencia entre la tasa interna 2025 (58,09%) y la oficial (58,21%). Carreras afectadas: Ingeniería en Conectividad y Redes, Ingeniería en Ciberseguridad, Técnico en Programación y Análisis de Sistemas, Ingeniería en Administración de Empresas, Ingeniería en Logística, Auditoría, Ingeniería en Ciencia de Datos.</t>
        </is>
      </c>
    </row>
    <row r="12" customFormat="false" ht="57.75" hidden="false" customHeight="true" outlineLevel="0" collapsed="false">
      <c r="A12" s="5"/>
      <c r="B12" s="17" t="inlineStr">
        <is>
          <t xml:space="preserve">•  Vistas ejecutivas (2026-09-30): se agregó la hoja 14 con el desglose institucional → sector → sede → modalidad → carrera, mejor/peor % por dimensión y conclusiones. El hallazgo inicial sugerido de "a mayor edad, mejor retención" no se sostiene en el dato combinado 2022-2025: la mejor tasa está en 20-24 años (70,4%) y baja con la edad hasta 40+ (56,2%, la peor) — ver hoja 14 para el detalle y la comparación por año, que muestra que el patrón se invirtió entre 2022 y 2024-2025.</t>
        </is>
      </c>
    </row>
    <row r="13" customFormat="false" ht="15" hidden="false" customHeight="true" outlineLevel="0" collapsed="false">
      <c r="A13" s="5"/>
    </row>
    <row r="14" customFormat="false" ht="15" hidden="false" customHeight="true" outlineLevel="0" collapsed="false">
      <c r="A14" s="5"/>
    </row>
    <row r="15" customFormat="false" ht="15" hidden="false" customHeight="true" outlineLevel="0" collapsed="false">
      <c r="A15" s="5"/>
    </row>
    <row r="16" customFormat="false" ht="15" hidden="false" customHeight="true" outlineLevel="0" collapsed="false">
      <c r="A16" s="5"/>
    </row>
    <row r="17" customFormat="false" ht="15" hidden="false" customHeight="true" outlineLevel="0" collapsed="false">
      <c r="A17" s="5"/>
    </row>
    <row r="18" customFormat="false" ht="15" hidden="false" customHeight="true" outlineLevel="0" collapsed="false">
      <c r="A18" s="5"/>
    </row>
    <row r="19" customFormat="false" ht="15" hidden="false" customHeight="true" outlineLevel="0" collapsed="false">
      <c r="A19" s="5"/>
    </row>
    <row r="20" customFormat="false" ht="15" hidden="false" customHeight="true" outlineLevel="0" collapsed="false">
      <c r="A20" s="5"/>
    </row>
    <row r="21" customFormat="false" ht="15" hidden="false" customHeight="true" outlineLevel="0" collapsed="false">
      <c r="A21" s="5"/>
    </row>
    <row r="22" customFormat="false" ht="15" hidden="false" customHeight="true" outlineLevel="0" collapsed="false">
      <c r="A22" s="5"/>
    </row>
    <row r="23" customFormat="false" ht="15" hidden="false" customHeight="true" outlineLevel="0" collapsed="false">
      <c r="A23" s="5"/>
    </row>
    <row r="24" customFormat="false" ht="15" hidden="false" customHeight="true" outlineLevel="0" collapsed="false">
      <c r="A24" s="5"/>
    </row>
    <row r="25" customFormat="false" ht="15" hidden="false" customHeight="true" outlineLevel="0" collapsed="false">
      <c r="A25" s="5"/>
    </row>
    <row r="26" customFormat="false" ht="15" hidden="false" customHeight="true" outlineLevel="0" collapsed="false">
      <c r="A26" s="5"/>
    </row>
    <row r="27" customFormat="false" ht="15" hidden="false" customHeight="true" outlineLevel="0" collapsed="false">
      <c r="A27" s="5"/>
    </row>
    <row r="28" customFormat="false" ht="15" hidden="false" customHeight="true" outlineLevel="0" collapsed="false">
      <c r="A28" s="5"/>
    </row>
    <row r="29" customFormat="false" ht="15" hidden="false" customHeight="true" outlineLevel="0" collapsed="false">
      <c r="A29" s="5"/>
    </row>
    <row r="30" customFormat="false" ht="15" hidden="false" customHeight="true" outlineLevel="0" collapsed="false">
      <c r="A30" s="5"/>
    </row>
    <row r="31" customFormat="false" ht="15" hidden="false" customHeight="true" outlineLevel="0" collapsed="false">
      <c r="A31" s="5"/>
    </row>
    <row r="32" customFormat="false" ht="15" hidden="false" customHeight="true" outlineLevel="0" collapsed="false">
      <c r="A32" s="5"/>
    </row>
    <row r="33" customFormat="false" ht="15" hidden="false" customHeight="true" outlineLevel="0" collapsed="false">
      <c r="A33" s="5"/>
    </row>
    <row r="34" customFormat="false" ht="15" hidden="false" customHeight="true" outlineLevel="0" collapsed="false">
      <c r="A34" s="5"/>
    </row>
    <row r="35" customFormat="false" ht="15" hidden="false" customHeight="true" outlineLevel="0" collapsed="false">
      <c r="A35" s="5"/>
    </row>
    <row r="36" customFormat="false" ht="15" hidden="false" customHeight="true" outlineLevel="0" collapsed="false">
      <c r="A36" s="5"/>
    </row>
    <row r="37" customFormat="false" ht="15" hidden="false" customHeight="true" outlineLevel="0" collapsed="false">
      <c r="A37" s="5"/>
    </row>
    <row r="38" customFormat="false" ht="15" hidden="false" customHeight="true" outlineLevel="0" collapsed="false">
      <c r="A38" s="5"/>
    </row>
    <row r="39" customFormat="false" ht="15" hidden="false" customHeight="true" outlineLevel="0" collapsed="false">
      <c r="A39" s="5"/>
    </row>
    <row r="40" customFormat="false" ht="15" hidden="false" customHeight="true" outlineLevel="0" collapsed="false">
      <c r="A40" s="5"/>
    </row>
  </sheetData>
  <hyperlinks>
    <hyperlink ref="A1" location="'Portada'!B3" display="🏠 Portada / Índice"/>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9" activeCellId="0" sqref="C19"/>
    </sheetView>
  </sheetViews>
  <sheetFormatPr defaultColWidth="8.66796875" defaultRowHeight="15" customHeight="false" zeroHeight="false" outlineLevelRow="0" outlineLevelCol="0"/>
  <cols>
    <col collapsed="false" customWidth="true" hidden="false" outlineLevel="0" max="1" min="1" style="1" width="14.16"/>
    <col collapsed="false" customWidth="true" hidden="false" outlineLevel="0" max="2" min="2" style="1" width="21.83"/>
    <col collapsed="false" customWidth="true" hidden="false" outlineLevel="0" max="3" min="3" style="1" width="88.83"/>
  </cols>
  <sheetData>
    <row r="1" customFormat="false" ht="15" hidden="false" customHeight="true" outlineLevel="0" collapsed="false">
      <c r="A1" s="35" t="inlineStr">
        <is>
          <t xml:space="preserve">🏠 Portada / Índice</t>
        </is>
      </c>
    </row>
    <row r="2" customFormat="false" ht="21" hidden="false" customHeight="true" outlineLevel="0" collapsed="false">
      <c r="A2" s="12" t="inlineStr">
        <is>
          <t xml:space="preserve">7. Glosario</t>
        </is>
      </c>
      <c r="B2" s="13"/>
      <c r="C2" s="13"/>
    </row>
    <row r="4" customFormat="false" ht="15" hidden="false" customHeight="true" outlineLevel="0" collapsed="false">
      <c r="A4" s="5"/>
      <c r="B4" s="38" t="inlineStr">
        <is>
          <t xml:space="preserve">Término</t>
        </is>
      </c>
      <c r="C4" s="38" t="inlineStr">
        <is>
          <t xml:space="preserve">Definición en lenguaje simple</t>
        </is>
      </c>
    </row>
    <row r="5" customFormat="false" ht="31.5" hidden="false" customHeight="true" outlineLevel="0" collapsed="false">
      <c r="A5" s="5"/>
      <c r="B5" s="39" t="inlineStr">
        <is>
          <t xml:space="preserve">Retención de 1er año</t>
        </is>
      </c>
      <c r="C5" s="40" t="inlineStr">
        <is>
          <t xml:space="preserve">Porcentaje de estudiantes de primer año que sigue matriculado en la misma institución y cohorte al año siguiente, sobre el total que ingresó ese año.</t>
        </is>
      </c>
    </row>
    <row r="6" customFormat="false" ht="15.75" hidden="false" customHeight="true" outlineLevel="0" collapsed="false">
      <c r="A6" s="5"/>
      <c r="B6" s="39" t="inlineStr">
        <is>
          <t xml:space="preserve">Cohorte</t>
        </is>
      </c>
      <c r="C6" s="40" t="inlineStr">
        <is>
          <t xml:space="preserve">Grupo de estudiantes que ingresó a una carrera en el mismo año y semestre.</t>
        </is>
      </c>
    </row>
    <row r="7" customFormat="false" ht="31.5" hidden="false" customHeight="true" outlineLevel="0" collapsed="false">
      <c r="A7" s="5"/>
      <c r="B7" s="39" t="inlineStr">
        <is>
          <t xml:space="preserve">VIG (vigencia)</t>
        </is>
      </c>
      <c r="C7" s="40" t="inlineStr">
        <is>
          <t xml:space="preserve">Código que indica si la matrícula de un estudiante sigue activa: 0 = sin matrícula, 1 = con matrícula vigente, 2 = egresado con matrícula vigente.</t>
        </is>
      </c>
    </row>
    <row r="8" customFormat="false" ht="15.75" hidden="false" customHeight="true" outlineLevel="0" collapsed="false">
      <c r="A8" s="5"/>
      <c r="B8" s="39" t="inlineStr">
        <is>
          <t xml:space="preserve">Matrícula Unificada</t>
        </is>
      </c>
      <c r="C8" s="40" t="inlineStr">
        <is>
          <t xml:space="preserve">Información que IPSS envía cada año a SIES con los datos de todos sus estudiantes matriculados.</t>
        </is>
      </c>
    </row>
    <row r="9" customFormat="false" ht="15.75" hidden="false" customHeight="true" outlineLevel="0" collapsed="false">
      <c r="A9" s="5"/>
      <c r="B9" s="39" t="inlineStr">
        <is>
          <t xml:space="preserve">SIES</t>
        </is>
      </c>
      <c r="C9" s="40" t="inlineStr">
        <is>
          <t xml:space="preserve">Servicio de Información de Educación Superior, del Ministerio de Educación de Chile.</t>
        </is>
      </c>
    </row>
    <row r="10" customFormat="false" ht="31.5" hidden="false" customHeight="true" outlineLevel="0" collapsed="false">
      <c r="A10" s="5"/>
      <c r="B10" s="39" t="inlineStr">
        <is>
          <t xml:space="preserve">Sector IPSS</t>
        </is>
      </c>
      <c r="C10" s="40" t="inlineStr">
        <is>
          <t xml:space="preserve">Agrupación de carreras tal como IPSS las organiza en su propio sitio web (ipss.cl): Tecnologías, Administración y Comercio, Salud (más el sector Ingeniería, que no aplica a las carreras de este análisis).</t>
        </is>
      </c>
    </row>
    <row r="11" customFormat="false" ht="31.5" hidden="false" customHeight="true" outlineLevel="0" collapsed="false">
      <c r="A11" s="5"/>
      <c r="B11" s="39" t="inlineStr">
        <is>
          <t xml:space="preserve">Área SIES/CINE-F</t>
        </is>
      </c>
      <c r="C11" s="40" t="inlineStr">
        <is>
          <t xml:space="preserve">Clasificación académica que usa SIES para agrupar carreras (por ejemplo, "Tecnología" o "Ciencias Básicas"). No es la misma agrupación que usa IPSS internamente.</t>
        </is>
      </c>
    </row>
    <row r="12" customFormat="false" ht="15.75" hidden="false" customHeight="true" outlineLevel="0" collapsed="false">
      <c r="A12" s="5"/>
      <c r="B12" s="39" t="inlineStr">
        <is>
          <t xml:space="preserve">Brecha (pp)</t>
        </is>
      </c>
      <c r="C12" s="40" t="inlineStr">
        <is>
          <t xml:space="preserve">Diferencia, en puntos porcentuales, entre la tasa calculada internamente y la tasa publicada por SIES.</t>
        </is>
      </c>
    </row>
    <row r="13" customFormat="false" ht="31.5" hidden="false" customHeight="true" outlineLevel="0" collapsed="false">
      <c r="A13" s="5"/>
      <c r="B13" s="39" t="inlineStr">
        <is>
          <t xml:space="preserve">Candidato incluido</t>
        </is>
      </c>
      <c r="C13" s="40" t="inlineStr">
        <is>
          <t xml:space="preserve">Estudiante de primer año que cumple todas las condiciones para entrar al cálculo de retención (carrera regular, duración suficiente, sin inconsistencias de cohorte).</t>
        </is>
      </c>
    </row>
    <row r="14" customFormat="false" ht="15" hidden="false" customHeight="true" outlineLevel="0" collapsed="false">
      <c r="A14" s="5"/>
    </row>
    <row r="15" customFormat="false" ht="15" hidden="false" customHeight="true" outlineLevel="0" collapsed="false">
      <c r="A15" s="5"/>
    </row>
    <row r="16" customFormat="false" ht="15" hidden="false" customHeight="true" outlineLevel="0" collapsed="false">
      <c r="A16" s="5"/>
    </row>
    <row r="17" customFormat="false" ht="15" hidden="false" customHeight="true" outlineLevel="0" collapsed="false">
      <c r="A17" s="5"/>
    </row>
    <row r="18" customFormat="false" ht="15" hidden="false" customHeight="true" outlineLevel="0" collapsed="false">
      <c r="A18" s="5"/>
    </row>
    <row r="19" customFormat="false" ht="15" hidden="false" customHeight="true" outlineLevel="0" collapsed="false">
      <c r="A19" s="5"/>
    </row>
    <row r="20" customFormat="false" ht="15" hidden="false" customHeight="true" outlineLevel="0" collapsed="false">
      <c r="A20" s="5"/>
    </row>
    <row r="21" customFormat="false" ht="15" hidden="false" customHeight="true" outlineLevel="0" collapsed="false">
      <c r="A21" s="5"/>
    </row>
    <row r="22" customFormat="false" ht="15" hidden="false" customHeight="true" outlineLevel="0" collapsed="false">
      <c r="A22" s="5"/>
    </row>
    <row r="23" customFormat="false" ht="15" hidden="false" customHeight="true" outlineLevel="0" collapsed="false">
      <c r="A23" s="5"/>
    </row>
    <row r="24" customFormat="false" ht="15" hidden="false" customHeight="true" outlineLevel="0" collapsed="false">
      <c r="A24" s="5"/>
    </row>
    <row r="25" customFormat="false" ht="15" hidden="false" customHeight="true" outlineLevel="0" collapsed="false">
      <c r="A25" s="5"/>
    </row>
    <row r="26" customFormat="false" ht="15" hidden="false" customHeight="true" outlineLevel="0" collapsed="false">
      <c r="A26" s="5"/>
    </row>
    <row r="27" customFormat="false" ht="15" hidden="false" customHeight="true" outlineLevel="0" collapsed="false">
      <c r="A27" s="5"/>
    </row>
    <row r="28" customFormat="false" ht="15" hidden="false" customHeight="true" outlineLevel="0" collapsed="false">
      <c r="A28" s="5"/>
    </row>
    <row r="29" customFormat="false" ht="15" hidden="false" customHeight="true" outlineLevel="0" collapsed="false">
      <c r="A29" s="5"/>
    </row>
    <row r="30" customFormat="false" ht="15" hidden="false" customHeight="true" outlineLevel="0" collapsed="false">
      <c r="A30" s="5"/>
    </row>
    <row r="31" customFormat="false" ht="15" hidden="false" customHeight="true" outlineLevel="0" collapsed="false">
      <c r="A31" s="5"/>
    </row>
    <row r="32" customFormat="false" ht="15" hidden="false" customHeight="true" outlineLevel="0" collapsed="false">
      <c r="A32" s="5"/>
    </row>
    <row r="33" customFormat="false" ht="15" hidden="false" customHeight="true" outlineLevel="0" collapsed="false">
      <c r="A33" s="5"/>
    </row>
    <row r="34" customFormat="false" ht="15" hidden="false" customHeight="true" outlineLevel="0" collapsed="false">
      <c r="A34" s="5"/>
    </row>
    <row r="35" customFormat="false" ht="15" hidden="false" customHeight="true" outlineLevel="0" collapsed="false">
      <c r="A35" s="5"/>
    </row>
    <row r="36" customFormat="false" ht="15" hidden="false" customHeight="true" outlineLevel="0" collapsed="false">
      <c r="A36" s="5"/>
    </row>
    <row r="37" customFormat="false" ht="15" hidden="false" customHeight="true" outlineLevel="0" collapsed="false">
      <c r="A37" s="5"/>
    </row>
    <row r="38" customFormat="false" ht="15" hidden="false" customHeight="true" outlineLevel="0" collapsed="false">
      <c r="A38" s="5"/>
    </row>
    <row r="39" customFormat="false" ht="15" hidden="false" customHeight="true" outlineLevel="0" collapsed="false">
      <c r="A39" s="5"/>
    </row>
    <row r="40" customFormat="false" ht="15" hidden="false" customHeight="true" outlineLevel="0" collapsed="false">
      <c r="A40" s="5"/>
    </row>
  </sheetData>
  <hyperlinks>
    <hyperlink ref="A1" location="'Portada'!B3" display="🏠 Portada / Índice"/>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25" activeCellId="0" sqref="E25"/>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3" min="3" style="1" width="22"/>
    <col collapsed="false" customWidth="true" hidden="false" outlineLevel="0" max="4" min="4" style="1" width="20"/>
    <col collapsed="false" customWidth="true" hidden="false" outlineLevel="0" max="5" min="5" style="1" width="50"/>
  </cols>
  <sheetData>
    <row r="1" customFormat="false" ht="15" hidden="false" customHeight="true" outlineLevel="0" collapsed="false">
      <c r="A1" s="35" t="inlineStr">
        <is>
          <t xml:space="preserve">🏠 Portada / Índice</t>
        </is>
      </c>
    </row>
    <row r="2" customFormat="false" ht="25.5" hidden="false" customHeight="true" outlineLevel="0" collapsed="false">
      <c r="A2" s="12" t="inlineStr">
        <is>
          <t xml:space="preserve">8. Mapeo de carrera a sector IPSS (hoja de soporte técnico)</t>
        </is>
      </c>
      <c r="B2" s="13"/>
      <c r="C2" s="13"/>
      <c r="D2" s="13"/>
    </row>
    <row r="3" customFormat="false" ht="48" hidden="false" customHeight="true" outlineLevel="0" collapsed="false">
      <c r="B3" s="11" t="inlineStr">
        <is>
          <t xml:space="preserve">Sector según la taxonomía propia de IPSS publicada en ipss.cl ("Sectores de Estudio"), consultada el 30-09-2026 por instrucción del usuario. No es la clasificación SIES/CINE-F (que se conserva en la columna C solo como referencia). Clasificación B-externo: dato observado en fuente institucional pública, verificado carrera por carrera con su URL.</t>
        </is>
      </c>
      <c r="C3" s="11"/>
      <c r="D3" s="11"/>
    </row>
    <row r="4" customFormat="false" ht="15" hidden="false" customHeight="true" outlineLevel="0" collapsed="false">
      <c r="A4" s="5"/>
    </row>
    <row r="5" customFormat="false" ht="15" hidden="false" customHeight="true" outlineLevel="0" collapsed="false">
      <c r="A5" s="5"/>
      <c r="B5" s="38" t="inlineStr">
        <is>
          <t xml:space="preserve">Carrera</t>
        </is>
      </c>
      <c r="C5" s="38" t="inlineStr">
        <is>
          <t xml:space="preserve">Sector IPSS</t>
        </is>
      </c>
      <c r="D5" s="38" t="inlineStr">
        <is>
          <t xml:space="preserve">Código Carrera (COD_CAR)</t>
        </is>
      </c>
      <c r="E5" s="38" t="inlineStr">
        <is>
          <t xml:space="preserve">Fuente (ipss.cl)</t>
        </is>
      </c>
    </row>
    <row r="6" customFormat="false" ht="15" hidden="false" customHeight="true" outlineLevel="0" collapsed="false">
      <c r="A6" s="5"/>
      <c r="B6" s="41" t="inlineStr">
        <is>
          <t xml:space="preserve">Administracion Publica</t>
        </is>
      </c>
      <c r="C6" s="42" t="inlineStr">
        <is>
          <t xml:space="preserve">Administración y Comercio</t>
        </is>
      </c>
      <c r="D6" s="43" t="inlineStr">
        <is>
          <t xml:space="preserve">83</t>
        </is>
      </c>
      <c r="E6" s="44" t="inlineStr">
        <is>
          <t xml:space="preserve">https://ipss.cl/administracion-y-comercio/administracion-publica/</t>
        </is>
      </c>
    </row>
    <row r="7" customFormat="false" ht="15" hidden="false" customHeight="true" outlineLevel="0" collapsed="false">
      <c r="A7" s="5"/>
      <c r="B7" s="41" t="inlineStr">
        <is>
          <t xml:space="preserve">Auditoria</t>
        </is>
      </c>
      <c r="C7" s="42" t="inlineStr">
        <is>
          <t xml:space="preserve">Administración y Comercio</t>
        </is>
      </c>
      <c r="D7" s="43" t="inlineStr">
        <is>
          <t xml:space="preserve">86</t>
        </is>
      </c>
      <c r="E7" s="44" t="inlineStr">
        <is>
          <t xml:space="preserve">https://ipss.cl/administracion-y-comercio/auditoria/</t>
        </is>
      </c>
    </row>
    <row r="8" customFormat="false" ht="15" hidden="false" customHeight="true" outlineLevel="0" collapsed="false">
      <c r="A8" s="5"/>
      <c r="B8" s="41" t="inlineStr">
        <is>
          <t xml:space="preserve">Contabilidad General</t>
        </is>
      </c>
      <c r="C8" s="42" t="inlineStr">
        <is>
          <t xml:space="preserve">Administración y Comercio</t>
        </is>
      </c>
      <c r="D8" s="43" t="inlineStr">
        <is>
          <t xml:space="preserve">85</t>
        </is>
      </c>
      <c r="E8" s="44" t="inlineStr">
        <is>
          <t xml:space="preserve">https://ipss.cl/administracion-y-comercio/contabilidad-general/</t>
        </is>
      </c>
    </row>
    <row r="9" customFormat="false" ht="15" hidden="false" customHeight="true" outlineLevel="0" collapsed="false">
      <c r="A9" s="5"/>
      <c r="B9" s="41" t="inlineStr">
        <is>
          <t xml:space="preserve">Ingenieria En Administracion De Empresas</t>
        </is>
      </c>
      <c r="C9" s="42" t="inlineStr">
        <is>
          <t xml:space="preserve">Administración y Comercio</t>
        </is>
      </c>
      <c r="D9" s="43" t="inlineStr">
        <is>
          <t xml:space="preserve">76</t>
        </is>
      </c>
      <c r="E9" s="44" t="inlineStr">
        <is>
          <t xml:space="preserve">https://ipss.cl/administracion-y-comercio/ingenieria-en-administracion-de-empresas/</t>
        </is>
      </c>
    </row>
    <row r="10" customFormat="false" ht="15" hidden="false" customHeight="true" outlineLevel="0" collapsed="false">
      <c r="A10" s="5"/>
      <c r="B10" s="41" t="inlineStr">
        <is>
          <t xml:space="preserve">Ingenieria En Ciberseguridad</t>
        </is>
      </c>
      <c r="C10" s="45" t="inlineStr">
        <is>
          <t xml:space="preserve">Tecnologías</t>
        </is>
      </c>
      <c r="D10" s="43" t="inlineStr">
        <is>
          <t xml:space="preserve">46</t>
        </is>
      </c>
      <c r="E10" s="44" t="inlineStr">
        <is>
          <t xml:space="preserve">https://ipss.cl/tecnologias/ingenieria-en-ciberseguridad/</t>
        </is>
      </c>
    </row>
    <row r="11" customFormat="false" ht="15" hidden="false" customHeight="true" outlineLevel="0" collapsed="false">
      <c r="A11" s="5"/>
      <c r="B11" s="41" t="inlineStr">
        <is>
          <t xml:space="preserve">Ingenieria En Ciencia De Datos</t>
        </is>
      </c>
      <c r="C11" s="45" t="inlineStr">
        <is>
          <t xml:space="preserve">Tecnologías</t>
        </is>
      </c>
      <c r="D11" s="43" t="inlineStr">
        <is>
          <t xml:space="preserve">88</t>
        </is>
      </c>
      <c r="E11" s="44" t="inlineStr">
        <is>
          <t xml:space="preserve">https://ipss.cl/tecnologias/ingenieria-en-ciencia-de-datos/</t>
        </is>
      </c>
    </row>
    <row r="12" customFormat="false" ht="15" hidden="false" customHeight="true" outlineLevel="0" collapsed="false">
      <c r="A12" s="5"/>
      <c r="B12" s="41" t="inlineStr">
        <is>
          <t xml:space="preserve">Ingenieria En Conectividad Y Redes</t>
        </is>
      </c>
      <c r="C12" s="45" t="inlineStr">
        <is>
          <t xml:space="preserve">Tecnologías</t>
        </is>
      </c>
      <c r="D12" s="43" t="inlineStr">
        <is>
          <t xml:space="preserve">3</t>
        </is>
      </c>
      <c r="E12" s="44" t="inlineStr">
        <is>
          <t xml:space="preserve">https://ipss.cl/tecnologias/ingenieria-en-conectividad-y-redes/</t>
        </is>
      </c>
    </row>
    <row r="13" customFormat="false" ht="15" hidden="false" customHeight="true" outlineLevel="0" collapsed="false">
      <c r="A13" s="5"/>
      <c r="B13" s="41" t="inlineStr">
        <is>
          <t xml:space="preserve">Ingenieria En Informatica</t>
        </is>
      </c>
      <c r="C13" s="45" t="inlineStr">
        <is>
          <t xml:space="preserve">Tecnologías</t>
        </is>
      </c>
      <c r="D13" s="43" t="inlineStr">
        <is>
          <t xml:space="preserve">1</t>
        </is>
      </c>
      <c r="E13" s="44" t="inlineStr">
        <is>
          <t xml:space="preserve">https://ipss.cl/tecnologias/ingenieria-en-informatica/</t>
        </is>
      </c>
    </row>
    <row r="14" customFormat="false" ht="15" hidden="false" customHeight="true" outlineLevel="0" collapsed="false">
      <c r="A14" s="5"/>
      <c r="B14" s="41" t="inlineStr">
        <is>
          <t xml:space="preserve">Ingenieria En Logistica</t>
        </is>
      </c>
      <c r="C14" s="42" t="inlineStr">
        <is>
          <t xml:space="preserve">Administración y Comercio</t>
        </is>
      </c>
      <c r="D14" s="43" t="inlineStr">
        <is>
          <t xml:space="preserve">77</t>
        </is>
      </c>
      <c r="E14" s="44" t="inlineStr">
        <is>
          <t xml:space="preserve">https://ipss.cl/administracion-y-comercio/ingenieria-en-logistica/</t>
        </is>
      </c>
    </row>
    <row r="15" customFormat="false" ht="15" hidden="false" customHeight="true" outlineLevel="0" collapsed="false">
      <c r="A15" s="5"/>
      <c r="B15" s="41" t="inlineStr">
        <is>
          <t xml:space="preserve">Tecnico En Administracion De Empresas</t>
        </is>
      </c>
      <c r="C15" s="42" t="inlineStr">
        <is>
          <t xml:space="preserve">Administración y Comercio</t>
        </is>
      </c>
      <c r="D15" s="43" t="inlineStr">
        <is>
          <t xml:space="preserve">78</t>
        </is>
      </c>
      <c r="E15" s="44" t="inlineStr">
        <is>
          <t xml:space="preserve">https://ipss.cl/administracion-y-comercio/tecnico-en-administracion-de-empresas/</t>
        </is>
      </c>
    </row>
    <row r="16" customFormat="false" ht="15" hidden="false" customHeight="true" outlineLevel="0" collapsed="false">
      <c r="A16" s="5"/>
      <c r="B16" s="41" t="inlineStr">
        <is>
          <t xml:space="preserve">Tecnico En Administracion Publica</t>
        </is>
      </c>
      <c r="C16" s="42" t="inlineStr">
        <is>
          <t xml:space="preserve">Administración y Comercio</t>
        </is>
      </c>
      <c r="D16" s="43" t="inlineStr">
        <is>
          <t xml:space="preserve">84</t>
        </is>
      </c>
      <c r="E16" s="44" t="inlineStr">
        <is>
          <t xml:space="preserve">https://ipss.cl/administracion-y-comercio/tecnico-en-administracion-publica/</t>
        </is>
      </c>
    </row>
    <row r="17" customFormat="false" ht="15" hidden="false" customHeight="true" outlineLevel="0" collapsed="false">
      <c r="A17" s="5"/>
      <c r="B17" s="41" t="inlineStr">
        <is>
          <t xml:space="preserve">Tecnico En Ciberseguridad</t>
        </is>
      </c>
      <c r="C17" s="45" t="inlineStr">
        <is>
          <t xml:space="preserve">Tecnologías</t>
        </is>
      </c>
      <c r="D17" s="43" t="inlineStr">
        <is>
          <t xml:space="preserve">47</t>
        </is>
      </c>
      <c r="E17" s="44" t="inlineStr">
        <is>
          <t xml:space="preserve">https://ipss.cl/tecnologias/tecnico-en-ciberseguridad/</t>
        </is>
      </c>
    </row>
    <row r="18" customFormat="false" ht="15" hidden="false" customHeight="true" outlineLevel="0" collapsed="false">
      <c r="A18" s="5"/>
      <c r="B18" s="41" t="inlineStr">
        <is>
          <t xml:space="preserve">Tecnico En Ciencia De Datos</t>
        </is>
      </c>
      <c r="C18" s="45" t="inlineStr">
        <is>
          <t xml:space="preserve">Tecnologías</t>
        </is>
      </c>
      <c r="D18" s="43" t="inlineStr">
        <is>
          <t xml:space="preserve">89</t>
        </is>
      </c>
      <c r="E18" s="44" t="inlineStr">
        <is>
          <t xml:space="preserve">https://ipss.cl/tecnologias/tecnico-en-ciencia-de-datos/</t>
        </is>
      </c>
    </row>
    <row r="19" customFormat="false" ht="15" hidden="false" customHeight="true" outlineLevel="0" collapsed="false">
      <c r="A19" s="5"/>
      <c r="B19" s="41" t="inlineStr">
        <is>
          <t xml:space="preserve">Tecnico En Conectividad Y Redes</t>
        </is>
      </c>
      <c r="C19" s="45" t="inlineStr">
        <is>
          <t xml:space="preserve">Tecnologías</t>
        </is>
      </c>
      <c r="D19" s="43" t="inlineStr">
        <is>
          <t xml:space="preserve">6</t>
        </is>
      </c>
      <c r="E19" s="44" t="inlineStr">
        <is>
          <t xml:space="preserve">https://ipss.cl/tecnologias/tecnico-en-conectividad-y-redes/</t>
        </is>
      </c>
    </row>
    <row r="20" customFormat="false" ht="15" hidden="false" customHeight="true" outlineLevel="0" collapsed="false">
      <c r="A20" s="5"/>
      <c r="B20" s="41" t="inlineStr">
        <is>
          <t xml:space="preserve">Tecnico En Enfermeria</t>
        </is>
      </c>
      <c r="C20" s="46" t="inlineStr">
        <is>
          <t xml:space="preserve">Salud</t>
        </is>
      </c>
      <c r="D20" s="43" t="inlineStr">
        <is>
          <t xml:space="preserve">91</t>
        </is>
      </c>
      <c r="E20" s="44" t="inlineStr">
        <is>
          <t xml:space="preserve">https://ipss.cl/salud/tecnico-en-enfermeria/</t>
        </is>
      </c>
    </row>
    <row r="21" customFormat="false" ht="15" hidden="false" customHeight="true" outlineLevel="0" collapsed="false">
      <c r="A21" s="5"/>
      <c r="B21" s="41" t="inlineStr">
        <is>
          <t xml:space="preserve">Tecnico En Logistica</t>
        </is>
      </c>
      <c r="C21" s="42" t="inlineStr">
        <is>
          <t xml:space="preserve">Administración y Comercio</t>
        </is>
      </c>
      <c r="D21" s="43" t="inlineStr">
        <is>
          <t xml:space="preserve">79</t>
        </is>
      </c>
      <c r="E21" s="44" t="inlineStr">
        <is>
          <t xml:space="preserve">https://ipss.cl/administracion-y-comercio/tecnico-en-logistica/</t>
        </is>
      </c>
    </row>
    <row r="22" customFormat="false" ht="15" hidden="false" customHeight="true" outlineLevel="0" collapsed="false">
      <c r="A22" s="5"/>
      <c r="B22" s="41" t="inlineStr">
        <is>
          <t xml:space="preserve">Tecnico En Programacion Y Analisis De Sistemas</t>
        </is>
      </c>
      <c r="C22" s="45" t="inlineStr">
        <is>
          <t xml:space="preserve">Tecnologías</t>
        </is>
      </c>
      <c r="D22" s="43" t="inlineStr">
        <is>
          <t xml:space="preserve">57</t>
        </is>
      </c>
      <c r="E22" s="44" t="inlineStr">
        <is>
          <t xml:space="preserve">https://ipss.cl/tecnologias/tecnico-en-programacion-y-analisis-de-sistemas/</t>
        </is>
      </c>
    </row>
    <row r="23" customFormat="false" ht="15" hidden="false" customHeight="true" outlineLevel="0" collapsed="false">
      <c r="A23" s="5"/>
    </row>
    <row r="24" customFormat="false" ht="60" hidden="false" customHeight="true" outlineLevel="0" collapsed="false">
      <c r="A24" s="5"/>
      <c r="B24" s="47" t="inlineStr">
        <is>
          <t xml:space="preserve">Código Carrera (columna D) verificado 2026-09-30 (dato B): para cada carrera, se tomaron las filas de BASE_RETENCION_MU con clave (Año, N° Documento, DV) única (2.305 de 2.379 casos) y se confirmó que el código COD_CAR observado es el mismo en el 100% de esas filas para cada nombre de carrera — mapeo 1 a 1, sin ambigüedad. Se usa para desambiguar los 74 casos en que un mismo estudiante tiene más de una matrícula el mismo año (distinta carrera): sin este código, 13 de esos 74 casos habrían tomado el primer registro que encuentra la fórmula en vez del que corresponde a la carrera de este análisis.</t>
        </is>
      </c>
      <c r="C24" s="47"/>
      <c r="D24" s="47"/>
    </row>
    <row r="25" customFormat="false" ht="15" hidden="false" customHeight="true" outlineLevel="0" collapsed="false">
      <c r="A25" s="5"/>
    </row>
    <row r="26" customFormat="false" ht="15" hidden="false" customHeight="true" outlineLevel="0" collapsed="false">
      <c r="A26" s="5"/>
    </row>
    <row r="27" customFormat="false" ht="15" hidden="false" customHeight="true" outlineLevel="0" collapsed="false">
      <c r="A27" s="5"/>
    </row>
    <row r="28" customFormat="false" ht="15" hidden="false" customHeight="true" outlineLevel="0" collapsed="false">
      <c r="A28" s="5"/>
    </row>
    <row r="29" customFormat="false" ht="15" hidden="false" customHeight="true" outlineLevel="0" collapsed="false">
      <c r="A29" s="5"/>
    </row>
    <row r="30" customFormat="false" ht="15" hidden="false" customHeight="true" outlineLevel="0" collapsed="false">
      <c r="A30" s="5"/>
    </row>
    <row r="31" customFormat="false" ht="15" hidden="false" customHeight="true" outlineLevel="0" collapsed="false">
      <c r="A31" s="5"/>
    </row>
    <row r="32" customFormat="false" ht="15" hidden="false" customHeight="true" outlineLevel="0" collapsed="false">
      <c r="A32" s="5"/>
    </row>
    <row r="33" customFormat="false" ht="15" hidden="false" customHeight="true" outlineLevel="0" collapsed="false">
      <c r="A33" s="5"/>
    </row>
    <row r="34" customFormat="false" ht="15" hidden="false" customHeight="true" outlineLevel="0" collapsed="false">
      <c r="A34" s="5"/>
    </row>
    <row r="35" customFormat="false" ht="15" hidden="false" customHeight="true" outlineLevel="0" collapsed="false">
      <c r="A35" s="5"/>
    </row>
    <row r="36" customFormat="false" ht="15" hidden="false" customHeight="true" outlineLevel="0" collapsed="false">
      <c r="A36" s="5"/>
    </row>
    <row r="37" customFormat="false" ht="15" hidden="false" customHeight="true" outlineLevel="0" collapsed="false">
      <c r="A37" s="5"/>
    </row>
    <row r="38" customFormat="false" ht="15" hidden="false" customHeight="true" outlineLevel="0" collapsed="false">
      <c r="A38" s="5"/>
    </row>
    <row r="39" customFormat="false" ht="15" hidden="false" customHeight="true" outlineLevel="0" collapsed="false">
      <c r="A39" s="5"/>
    </row>
    <row r="40" customFormat="false" ht="15" hidden="false" customHeight="true" outlineLevel="0" collapsed="false">
      <c r="A40" s="5"/>
    </row>
  </sheetData>
  <mergeCells count="2">
    <mergeCell ref="B3:D3"/>
    <mergeCell ref="B24:D24"/>
  </mergeCells>
  <hyperlinks>
    <hyperlink ref="A1" location="'Portada'!B3" display="🏠 Portada / Índice"/>
    <hyperlink ref="E6" r:id="rId1" display="https://ipss.cl/administracion-y-comercio/administracion-publica/"/>
    <hyperlink ref="E7" r:id="rId2" display="https://ipss.cl/administracion-y-comercio/auditoria/"/>
    <hyperlink ref="E8" r:id="rId3" display="https://ipss.cl/administracion-y-comercio/contabilidad-general/"/>
    <hyperlink ref="E9" r:id="rId4" display="https://ipss.cl/administracion-y-comercio/ingenieria-en-administracion-de-empresas/"/>
    <hyperlink ref="E10" r:id="rId5" display="https://ipss.cl/tecnologias/ingenieria-en-ciberseguridad/"/>
    <hyperlink ref="E11" r:id="rId6" display="https://ipss.cl/tecnologias/ingenieria-en-ciencia-de-datos/"/>
    <hyperlink ref="E12" r:id="rId7" display="https://ipss.cl/tecnologias/ingenieria-en-conectividad-y-redes/"/>
    <hyperlink ref="E13" r:id="rId8" display="https://ipss.cl/tecnologias/ingenieria-en-informatica/"/>
    <hyperlink ref="E14" r:id="rId9" display="https://ipss.cl/administracion-y-comercio/ingenieria-en-logistica/"/>
    <hyperlink ref="E15" r:id="rId10" display="https://ipss.cl/administracion-y-comercio/tecnico-en-administracion-de-empresas/"/>
    <hyperlink ref="E16" r:id="rId11" display="https://ipss.cl/administracion-y-comercio/tecnico-en-administracion-publica/"/>
    <hyperlink ref="E17" r:id="rId12" display="https://ipss.cl/tecnologias/tecnico-en-ciberseguridad/"/>
    <hyperlink ref="E18" r:id="rId13" display="https://ipss.cl/tecnologias/tecnico-en-ciencia-de-datos/"/>
    <hyperlink ref="E19" r:id="rId14" display="https://ipss.cl/tecnologias/tecnico-en-conectividad-y-redes/"/>
    <hyperlink ref="E20" r:id="rId15" display="https://ipss.cl/salud/tecnico-en-enfermeria/"/>
    <hyperlink ref="E21" r:id="rId16" display="https://ipss.cl/administracion-y-comercio/tecnico-en-logistica/"/>
    <hyperlink ref="E22" r:id="rId17" display="https://ipss.cl/tecnologias/tecnico-en-programacion-y-analisis-de-sistemas/"/>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22" hidden="0" customWidth="1"/>
  </cols>
  <sheetData>
    <row r="1" ht="32" customHeight="1">
      <c r="A1" s="149" t="str">
        <v>9_Base_Analitica_Detalle · agregado provisional</v>
      </c>
      <c r="B1" s="5"/>
      <c r="C1" s="5"/>
      <c r="D1" s="5"/>
      <c r="E1" s="5"/>
    </row>
    <row r="2" ht="32" customHeight="1">
      <c r="A2" s="146" t="str">
        <v>2026-10-22 · detalle individual excluido; original preservado</v>
      </c>
      <c r="B2" s="2"/>
      <c r="C2" s="2"/>
      <c r="D2" s="2"/>
      <c r="E2" s="2"/>
    </row>
    <row r="3" ht="32" customHeight="1">
      <c r="A3" s="146" t="str">
        <v>C · Cantidad de registros de la fuente; no se interpreta como personas únicas</v>
      </c>
      <c r="B3" s="2"/>
      <c r="C3" s="2"/>
      <c r="D3" s="2"/>
      <c r="E3" s="2"/>
    </row>
    <row r="4" ht="32" customHeight="1">
      <c r="A4" s="151" t="str">
        <v>Cohorte de ingreso</v>
      </c>
      <c r="B4" s="151" t="str">
        <v>Carrera</v>
      </c>
      <c r="C4" s="151" t="str">
        <v>Sector IPSS (fórmula)</v>
      </c>
      <c r="D4" s="151" t="str">
        <v>Retenido (1/0)</v>
      </c>
      <c r="E4" s="151" t="str">
        <v>Registros</v>
      </c>
    </row>
    <row r="5" ht="32" customHeight="1">
      <c r="A5" s="146" t="n">
        <v>2022</v>
      </c>
      <c r="B5" s="146" t="str">
        <v>Ingenieria En Ciberseguridad</v>
      </c>
      <c r="C5" s="146" t="str">
        <v>Tecnologías</v>
      </c>
      <c r="D5" s="146" t="n">
        <v>0</v>
      </c>
      <c r="E5" s="146" t="n">
        <v>6</v>
      </c>
    </row>
    <row r="6" ht="32" customHeight="1">
      <c r="A6" s="146" t="n">
        <v>2022</v>
      </c>
      <c r="B6" s="146" t="str">
        <v>Ingenieria En Ciberseguridad</v>
      </c>
      <c r="C6" s="146" t="str">
        <v>Tecnologías</v>
      </c>
      <c r="D6" s="146" t="n">
        <v>1</v>
      </c>
      <c r="E6" s="146" t="n">
        <v>38</v>
      </c>
    </row>
    <row r="7" ht="32" customHeight="1">
      <c r="A7" s="146" t="n">
        <v>2022</v>
      </c>
      <c r="B7" s="146" t="str">
        <v>Ingenieria En Conectividad Y Redes</v>
      </c>
      <c r="C7" s="146" t="str">
        <v>Tecnologías</v>
      </c>
      <c r="D7" s="146" t="n">
        <v>0</v>
      </c>
      <c r="E7" s="146" t="n">
        <v>14</v>
      </c>
    </row>
    <row r="8" ht="32" customHeight="1">
      <c r="A8" s="146" t="n">
        <v>2022</v>
      </c>
      <c r="B8" s="146" t="str">
        <v>Ingenieria En Conectividad Y Redes</v>
      </c>
      <c r="C8" s="146" t="str">
        <v>Tecnologías</v>
      </c>
      <c r="D8" s="146" t="n">
        <v>1</v>
      </c>
      <c r="E8" s="146" t="n">
        <v>56</v>
      </c>
    </row>
    <row r="9" ht="32" customHeight="1">
      <c r="A9" s="146" t="n">
        <v>2022</v>
      </c>
      <c r="B9" s="146" t="str">
        <v>Ingenieria En Informatica</v>
      </c>
      <c r="C9" s="146" t="str">
        <v>Tecnologías</v>
      </c>
      <c r="D9" s="146" t="n">
        <v>0</v>
      </c>
      <c r="E9" s="146" t="n">
        <v>14</v>
      </c>
    </row>
    <row r="10" ht="32" customHeight="1">
      <c r="A10" s="146" t="n">
        <v>2022</v>
      </c>
      <c r="B10" s="146" t="str">
        <v>Ingenieria En Informatica</v>
      </c>
      <c r="C10" s="146" t="str">
        <v>Tecnologías</v>
      </c>
      <c r="D10" s="146" t="n">
        <v>1</v>
      </c>
      <c r="E10" s="146" t="n">
        <v>30</v>
      </c>
    </row>
    <row r="11" ht="32" customHeight="1">
      <c r="A11" s="146" t="n">
        <v>2022</v>
      </c>
      <c r="B11" s="146" t="str">
        <v>Tecnico En Ciberseguridad</v>
      </c>
      <c r="C11" s="146" t="str">
        <v>Tecnologías</v>
      </c>
      <c r="D11" s="146" t="n">
        <v>0</v>
      </c>
      <c r="E11" s="146" t="n">
        <v>8</v>
      </c>
    </row>
    <row r="12" ht="32" customHeight="1">
      <c r="A12" s="146" t="n">
        <v>2022</v>
      </c>
      <c r="B12" s="146" t="str">
        <v>Tecnico En Ciberseguridad</v>
      </c>
      <c r="C12" s="146" t="str">
        <v>Tecnologías</v>
      </c>
      <c r="D12" s="146" t="n">
        <v>1</v>
      </c>
      <c r="E12" s="146" t="n">
        <v>24</v>
      </c>
    </row>
    <row r="13" ht="32" customHeight="1">
      <c r="A13" s="146" t="n">
        <v>2022</v>
      </c>
      <c r="B13" s="146" t="str">
        <v>Tecnico En Conectividad Y Redes</v>
      </c>
      <c r="C13" s="146" t="str">
        <v>Tecnologías</v>
      </c>
      <c r="D13" s="146" t="n">
        <v>0</v>
      </c>
      <c r="E13" s="146" t="n">
        <v>12</v>
      </c>
    </row>
    <row r="14" ht="32" customHeight="1">
      <c r="A14" s="146" t="n">
        <v>2022</v>
      </c>
      <c r="B14" s="146" t="str">
        <v>Tecnico En Conectividad Y Redes</v>
      </c>
      <c r="C14" s="146" t="str">
        <v>Tecnologías</v>
      </c>
      <c r="D14" s="146" t="n">
        <v>1</v>
      </c>
      <c r="E14" s="146" t="n">
        <v>21</v>
      </c>
    </row>
    <row r="15" ht="32" customHeight="1">
      <c r="A15" s="146" t="n">
        <v>2022</v>
      </c>
      <c r="B15" s="146" t="str">
        <v>Tecnico En Programacion Y Analisis De Sistemas</v>
      </c>
      <c r="C15" s="146" t="str">
        <v>Tecnologías</v>
      </c>
      <c r="D15" s="146" t="n">
        <v>0</v>
      </c>
      <c r="E15" s="146" t="n">
        <v>27</v>
      </c>
    </row>
    <row r="16" ht="32" customHeight="1">
      <c r="A16" s="146" t="n">
        <v>2022</v>
      </c>
      <c r="B16" s="146" t="str">
        <v>Tecnico En Programacion Y Analisis De Sistemas</v>
      </c>
      <c r="C16" s="146" t="str">
        <v>Tecnologías</v>
      </c>
      <c r="D16" s="146" t="n">
        <v>1</v>
      </c>
      <c r="E16" s="146" t="n">
        <v>55</v>
      </c>
    </row>
    <row r="17" ht="32" customHeight="1">
      <c r="A17" s="146" t="n">
        <v>2023</v>
      </c>
      <c r="B17" s="146" t="str">
        <v>Ingenieria En Ciberseguridad</v>
      </c>
      <c r="C17" s="146" t="str">
        <v>Tecnologías</v>
      </c>
      <c r="D17" s="146" t="n">
        <v>0</v>
      </c>
      <c r="E17" s="146" t="n">
        <v>22</v>
      </c>
    </row>
    <row r="18" ht="32" customHeight="1">
      <c r="A18" s="146" t="n">
        <v>2023</v>
      </c>
      <c r="B18" s="146" t="str">
        <v>Ingenieria En Ciberseguridad</v>
      </c>
      <c r="C18" s="146" t="str">
        <v>Tecnologías</v>
      </c>
      <c r="D18" s="146" t="n">
        <v>1</v>
      </c>
      <c r="E18" s="146" t="n">
        <v>46</v>
      </c>
    </row>
    <row r="19" ht="32" customHeight="1">
      <c r="A19" s="146" t="n">
        <v>2023</v>
      </c>
      <c r="B19" s="146" t="str">
        <v>Ingenieria En Conectividad Y Redes</v>
      </c>
      <c r="C19" s="146" t="str">
        <v>Tecnologías</v>
      </c>
      <c r="D19" s="146" t="n">
        <v>0</v>
      </c>
      <c r="E19" s="146" t="n">
        <v>12</v>
      </c>
    </row>
    <row r="20" ht="32" customHeight="1">
      <c r="A20" s="146" t="n">
        <v>2023</v>
      </c>
      <c r="B20" s="146" t="str">
        <v>Ingenieria En Conectividad Y Redes</v>
      </c>
      <c r="C20" s="146" t="str">
        <v>Tecnologías</v>
      </c>
      <c r="D20" s="146" t="n">
        <v>1</v>
      </c>
      <c r="E20" s="146" t="n">
        <v>24</v>
      </c>
    </row>
    <row r="21" ht="32" customHeight="1">
      <c r="A21" s="146" t="n">
        <v>2023</v>
      </c>
      <c r="B21" s="146" t="str">
        <v>Ingenieria En Informatica</v>
      </c>
      <c r="C21" s="146" t="str">
        <v>Tecnologías</v>
      </c>
      <c r="D21" s="146" t="n">
        <v>0</v>
      </c>
      <c r="E21" s="146" t="n">
        <v>25</v>
      </c>
    </row>
    <row r="22" ht="32" customHeight="1">
      <c r="A22" s="146" t="n">
        <v>2023</v>
      </c>
      <c r="B22" s="146" t="str">
        <v>Ingenieria En Informatica</v>
      </c>
      <c r="C22" s="146" t="str">
        <v>Tecnologías</v>
      </c>
      <c r="D22" s="146" t="n">
        <v>1</v>
      </c>
      <c r="E22" s="146" t="n">
        <v>40</v>
      </c>
    </row>
    <row r="23" ht="32" customHeight="1">
      <c r="A23" s="146" t="n">
        <v>2023</v>
      </c>
      <c r="B23" s="146" t="str">
        <v>Tecnico En Ciberseguridad</v>
      </c>
      <c r="C23" s="146" t="str">
        <v>Tecnologías</v>
      </c>
      <c r="D23" s="146" t="n">
        <v>0</v>
      </c>
      <c r="E23" s="146" t="n">
        <v>14</v>
      </c>
    </row>
    <row r="24" ht="32" customHeight="1">
      <c r="A24" s="146" t="n">
        <v>2023</v>
      </c>
      <c r="B24" s="146" t="str">
        <v>Tecnico En Ciberseguridad</v>
      </c>
      <c r="C24" s="146" t="str">
        <v>Tecnologías</v>
      </c>
      <c r="D24" s="146" t="n">
        <v>1</v>
      </c>
      <c r="E24" s="146" t="n">
        <v>42</v>
      </c>
    </row>
    <row r="25" ht="32" customHeight="1">
      <c r="A25" s="146" t="n">
        <v>2023</v>
      </c>
      <c r="B25" s="146" t="str">
        <v>Tecnico En Conectividad Y Redes</v>
      </c>
      <c r="C25" s="146" t="str">
        <v>Tecnologías</v>
      </c>
      <c r="D25" s="146" t="n">
        <v>0</v>
      </c>
      <c r="E25" s="146" t="n">
        <v>7</v>
      </c>
    </row>
    <row r="26" ht="32" customHeight="1">
      <c r="A26" s="146" t="n">
        <v>2023</v>
      </c>
      <c r="B26" s="146" t="str">
        <v>Tecnico En Conectividad Y Redes</v>
      </c>
      <c r="C26" s="146" t="str">
        <v>Tecnologías</v>
      </c>
      <c r="D26" s="146" t="n">
        <v>1</v>
      </c>
      <c r="E26" s="146" t="n">
        <v>17</v>
      </c>
    </row>
    <row r="27" ht="32" customHeight="1">
      <c r="A27" s="146" t="n">
        <v>2023</v>
      </c>
      <c r="B27" s="146" t="str">
        <v>Tecnico En Programacion Y Analisis De Sistemas</v>
      </c>
      <c r="C27" s="146" t="str">
        <v>Tecnologías</v>
      </c>
      <c r="D27" s="146" t="n">
        <v>0</v>
      </c>
      <c r="E27" s="146" t="n">
        <v>28</v>
      </c>
    </row>
    <row r="28" ht="32" customHeight="1">
      <c r="A28" s="146" t="n">
        <v>2023</v>
      </c>
      <c r="B28" s="146" t="str">
        <v>Tecnico En Programacion Y Analisis De Sistemas</v>
      </c>
      <c r="C28" s="146" t="str">
        <v>Tecnologías</v>
      </c>
      <c r="D28" s="146" t="n">
        <v>1</v>
      </c>
      <c r="E28" s="146" t="n">
        <v>89</v>
      </c>
    </row>
    <row r="29" ht="32" customHeight="1">
      <c r="A29" s="146" t="n">
        <v>2024</v>
      </c>
      <c r="B29" s="146" t="str">
        <v>Ingenieria En Administracion De Empresas</v>
      </c>
      <c r="C29" s="146" t="str">
        <v>Administración y Comercio</v>
      </c>
      <c r="D29" s="146" t="n">
        <v>0</v>
      </c>
      <c r="E29" s="146" t="n">
        <v>5</v>
      </c>
    </row>
    <row r="30" ht="32" customHeight="1">
      <c r="A30" s="146" t="n">
        <v>2024</v>
      </c>
      <c r="B30" s="146" t="str">
        <v>Ingenieria En Administracion De Empresas</v>
      </c>
      <c r="C30" s="146" t="str">
        <v>Administración y Comercio</v>
      </c>
      <c r="D30" s="146" t="n">
        <v>1</v>
      </c>
      <c r="E30" s="146" t="n">
        <v>3</v>
      </c>
    </row>
    <row r="31" ht="32" customHeight="1">
      <c r="A31" s="146" t="n">
        <v>2024</v>
      </c>
      <c r="B31" s="146" t="str">
        <v>Ingenieria En Ciberseguridad</v>
      </c>
      <c r="C31" s="146" t="str">
        <v>Tecnologías</v>
      </c>
      <c r="D31" s="146" t="n">
        <v>0</v>
      </c>
      <c r="E31" s="146" t="n">
        <v>40</v>
      </c>
    </row>
    <row r="32" ht="32" customHeight="1">
      <c r="A32" s="146" t="n">
        <v>2024</v>
      </c>
      <c r="B32" s="146" t="str">
        <v>Ingenieria En Ciberseguridad</v>
      </c>
      <c r="C32" s="146" t="str">
        <v>Tecnologías</v>
      </c>
      <c r="D32" s="146" t="n">
        <v>1</v>
      </c>
      <c r="E32" s="146" t="n">
        <v>49</v>
      </c>
    </row>
    <row r="33" ht="32" customHeight="1">
      <c r="A33" s="146" t="n">
        <v>2024</v>
      </c>
      <c r="B33" s="146" t="str">
        <v>Ingenieria En Conectividad Y Redes</v>
      </c>
      <c r="C33" s="146" t="str">
        <v>Tecnologías</v>
      </c>
      <c r="D33" s="146" t="n">
        <v>0</v>
      </c>
      <c r="E33" s="146" t="n">
        <v>22</v>
      </c>
    </row>
    <row r="34" ht="32" customHeight="1">
      <c r="A34" s="146" t="n">
        <v>2024</v>
      </c>
      <c r="B34" s="146" t="str">
        <v>Ingenieria En Conectividad Y Redes</v>
      </c>
      <c r="C34" s="146" t="str">
        <v>Tecnologías</v>
      </c>
      <c r="D34" s="146" t="n">
        <v>1</v>
      </c>
      <c r="E34" s="146" t="n">
        <v>46</v>
      </c>
    </row>
    <row r="35" ht="32" customHeight="1">
      <c r="A35" s="146" t="n">
        <v>2024</v>
      </c>
      <c r="B35" s="146" t="str">
        <v>Ingenieria En Informatica</v>
      </c>
      <c r="C35" s="146" t="str">
        <v>Tecnologías</v>
      </c>
      <c r="D35" s="146" t="n">
        <v>0</v>
      </c>
      <c r="E35" s="146" t="n">
        <v>35</v>
      </c>
    </row>
    <row r="36" ht="32" customHeight="1">
      <c r="A36" s="146" t="n">
        <v>2024</v>
      </c>
      <c r="B36" s="146" t="str">
        <v>Ingenieria En Informatica</v>
      </c>
      <c r="C36" s="146" t="str">
        <v>Tecnologías</v>
      </c>
      <c r="D36" s="146" t="n">
        <v>1</v>
      </c>
      <c r="E36" s="146" t="n">
        <v>72</v>
      </c>
    </row>
    <row r="37" ht="32" customHeight="1">
      <c r="A37" s="146" t="n">
        <v>2024</v>
      </c>
      <c r="B37" s="146" t="str">
        <v>Ingenieria En Logistica</v>
      </c>
      <c r="C37" s="146" t="str">
        <v>Administración y Comercio</v>
      </c>
      <c r="D37" s="146" t="n">
        <v>0</v>
      </c>
      <c r="E37" s="146" t="n">
        <v>8</v>
      </c>
    </row>
    <row r="38" ht="32" customHeight="1">
      <c r="A38" s="146" t="n">
        <v>2024</v>
      </c>
      <c r="B38" s="146" t="str">
        <v>Ingenieria En Logistica</v>
      </c>
      <c r="C38" s="146" t="str">
        <v>Administración y Comercio</v>
      </c>
      <c r="D38" s="146" t="n">
        <v>1</v>
      </c>
      <c r="E38" s="146" t="n">
        <v>7</v>
      </c>
    </row>
    <row r="39" ht="32" customHeight="1">
      <c r="A39" s="146" t="n">
        <v>2024</v>
      </c>
      <c r="B39" s="146" t="str">
        <v>Tecnico En Administracion De Empresas</v>
      </c>
      <c r="C39" s="146" t="str">
        <v>Administración y Comercio</v>
      </c>
      <c r="D39" s="146" t="n">
        <v>0</v>
      </c>
      <c r="E39" s="146" t="n">
        <v>8</v>
      </c>
    </row>
    <row r="40" ht="32" customHeight="1">
      <c r="A40" s="146" t="n">
        <v>2024</v>
      </c>
      <c r="B40" s="146" t="str">
        <v>Tecnico En Administracion De Empresas</v>
      </c>
      <c r="C40" s="146" t="str">
        <v>Administración y Comercio</v>
      </c>
      <c r="D40" s="146" t="n">
        <v>1</v>
      </c>
      <c r="E40" s="146" t="n">
        <v>7</v>
      </c>
    </row>
    <row r="41" ht="32" customHeight="1">
      <c r="A41" s="146" t="n">
        <v>2024</v>
      </c>
      <c r="B41" s="146" t="str">
        <v>Tecnico En Ciberseguridad</v>
      </c>
      <c r="C41" s="146" t="str">
        <v>Tecnologías</v>
      </c>
      <c r="D41" s="146" t="n">
        <v>0</v>
      </c>
      <c r="E41" s="146" t="n">
        <v>34</v>
      </c>
    </row>
    <row r="42" ht="32" customHeight="1">
      <c r="A42" s="146" t="n">
        <v>2024</v>
      </c>
      <c r="B42" s="146" t="str">
        <v>Tecnico En Ciberseguridad</v>
      </c>
      <c r="C42" s="146" t="str">
        <v>Tecnologías</v>
      </c>
      <c r="D42" s="146" t="n">
        <v>1</v>
      </c>
      <c r="E42" s="146" t="n">
        <v>37</v>
      </c>
    </row>
    <row r="43" ht="32" customHeight="1">
      <c r="A43" s="146" t="n">
        <v>2024</v>
      </c>
      <c r="B43" s="146" t="str">
        <v>Tecnico En Conectividad Y Redes</v>
      </c>
      <c r="C43" s="146" t="str">
        <v>Tecnologías</v>
      </c>
      <c r="D43" s="146" t="n">
        <v>0</v>
      </c>
      <c r="E43" s="146" t="n">
        <v>19</v>
      </c>
    </row>
    <row r="44" ht="32" customHeight="1">
      <c r="A44" s="146" t="n">
        <v>2024</v>
      </c>
      <c r="B44" s="146" t="str">
        <v>Tecnico En Conectividad Y Redes</v>
      </c>
      <c r="C44" s="146" t="str">
        <v>Tecnologías</v>
      </c>
      <c r="D44" s="146" t="n">
        <v>1</v>
      </c>
      <c r="E44" s="146" t="n">
        <v>6</v>
      </c>
    </row>
    <row r="45" ht="32" customHeight="1">
      <c r="A45" s="146" t="n">
        <v>2024</v>
      </c>
      <c r="B45" s="146" t="str">
        <v>Tecnico En Logistica</v>
      </c>
      <c r="C45" s="146" t="str">
        <v>Administración y Comercio</v>
      </c>
      <c r="D45" s="146" t="n">
        <v>0</v>
      </c>
      <c r="E45" s="146" t="n">
        <v>13</v>
      </c>
    </row>
    <row r="46" ht="32" customHeight="1">
      <c r="A46" s="146" t="n">
        <v>2024</v>
      </c>
      <c r="B46" s="146" t="str">
        <v>Tecnico En Logistica</v>
      </c>
      <c r="C46" s="146" t="str">
        <v>Administración y Comercio</v>
      </c>
      <c r="D46" s="146" t="n">
        <v>1</v>
      </c>
      <c r="E46" s="146" t="n">
        <v>10</v>
      </c>
    </row>
    <row r="47" ht="32" customHeight="1">
      <c r="A47" s="146" t="n">
        <v>2024</v>
      </c>
      <c r="B47" s="146" t="str">
        <v>Tecnico En Programacion Y Analisis De Sistemas</v>
      </c>
      <c r="C47" s="146" t="str">
        <v>Tecnologías</v>
      </c>
      <c r="D47" s="146" t="n">
        <v>0</v>
      </c>
      <c r="E47" s="146" t="n">
        <v>48</v>
      </c>
    </row>
    <row r="48" ht="32" customHeight="1">
      <c r="A48" s="146" t="n">
        <v>2024</v>
      </c>
      <c r="B48" s="146" t="str">
        <v>Tecnico En Programacion Y Analisis De Sistemas</v>
      </c>
      <c r="C48" s="146" t="str">
        <v>Tecnologías</v>
      </c>
      <c r="D48" s="146" t="n">
        <v>1</v>
      </c>
      <c r="E48" s="146" t="n">
        <v>89</v>
      </c>
    </row>
    <row r="49" ht="32" customHeight="1">
      <c r="A49" s="146" t="n">
        <v>2025</v>
      </c>
      <c r="B49" s="146" t="str">
        <v>Administracion Publica</v>
      </c>
      <c r="C49" s="146" t="str">
        <v>Administración y Comercio</v>
      </c>
      <c r="D49" s="146" t="n">
        <v>0</v>
      </c>
      <c r="E49" s="146" t="n">
        <v>37</v>
      </c>
    </row>
    <row r="50" ht="32" customHeight="1">
      <c r="A50" s="146" t="n">
        <v>2025</v>
      </c>
      <c r="B50" s="146" t="str">
        <v>Administracion Publica</v>
      </c>
      <c r="C50" s="146" t="str">
        <v>Administración y Comercio</v>
      </c>
      <c r="D50" s="146" t="n">
        <v>1</v>
      </c>
      <c r="E50" s="146" t="n">
        <v>33</v>
      </c>
    </row>
    <row r="51" ht="32" customHeight="1">
      <c r="A51" s="146" t="n">
        <v>2025</v>
      </c>
      <c r="B51" s="146" t="str">
        <v>Auditoria</v>
      </c>
      <c r="C51" s="146" t="str">
        <v>Administración y Comercio</v>
      </c>
      <c r="D51" s="146" t="n">
        <v>0</v>
      </c>
      <c r="E51" s="146" t="n">
        <v>13</v>
      </c>
    </row>
    <row r="52" ht="32" customHeight="1">
      <c r="A52" s="146" t="n">
        <v>2025</v>
      </c>
      <c r="B52" s="146" t="str">
        <v>Auditoria</v>
      </c>
      <c r="C52" s="146" t="str">
        <v>Administración y Comercio</v>
      </c>
      <c r="D52" s="146" t="n">
        <v>1</v>
      </c>
      <c r="E52" s="146" t="n">
        <v>27</v>
      </c>
    </row>
    <row r="53" ht="32" customHeight="1">
      <c r="A53" s="146" t="n">
        <v>2025</v>
      </c>
      <c r="B53" s="146" t="str">
        <v>Contabilidad General</v>
      </c>
      <c r="C53" s="146" t="str">
        <v>Administración y Comercio</v>
      </c>
      <c r="D53" s="146" t="n">
        <v>0</v>
      </c>
      <c r="E53" s="146" t="n">
        <v>19</v>
      </c>
    </row>
    <row r="54" ht="32" customHeight="1">
      <c r="A54" s="146" t="n">
        <v>2025</v>
      </c>
      <c r="B54" s="146" t="str">
        <v>Contabilidad General</v>
      </c>
      <c r="C54" s="146" t="str">
        <v>Administración y Comercio</v>
      </c>
      <c r="D54" s="146" t="n">
        <v>1</v>
      </c>
      <c r="E54" s="146" t="n">
        <v>19</v>
      </c>
    </row>
    <row r="55" ht="32" customHeight="1">
      <c r="A55" s="146" t="n">
        <v>2025</v>
      </c>
      <c r="B55" s="146" t="str">
        <v>Ingenieria En Administracion De Empresas</v>
      </c>
      <c r="C55" s="146" t="str">
        <v>Administración y Comercio</v>
      </c>
      <c r="D55" s="146" t="n">
        <v>0</v>
      </c>
      <c r="E55" s="146" t="n">
        <v>45</v>
      </c>
    </row>
    <row r="56" ht="32" customHeight="1">
      <c r="A56" s="146" t="n">
        <v>2025</v>
      </c>
      <c r="B56" s="146" t="str">
        <v>Ingenieria En Administracion De Empresas</v>
      </c>
      <c r="C56" s="146" t="str">
        <v>Administración y Comercio</v>
      </c>
      <c r="D56" s="146" t="n">
        <v>1</v>
      </c>
      <c r="E56" s="146" t="n">
        <v>46</v>
      </c>
    </row>
    <row r="57" ht="32" customHeight="1">
      <c r="A57" s="146" t="n">
        <v>2025</v>
      </c>
      <c r="B57" s="146" t="str">
        <v>Ingenieria En Ciberseguridad</v>
      </c>
      <c r="C57" s="146" t="str">
        <v>Tecnologías</v>
      </c>
      <c r="D57" s="146" t="n">
        <v>0</v>
      </c>
      <c r="E57" s="146" t="n">
        <v>37</v>
      </c>
    </row>
    <row r="58" ht="32" customHeight="1">
      <c r="A58" s="146" t="n">
        <v>2025</v>
      </c>
      <c r="B58" s="146" t="str">
        <v>Ingenieria En Ciberseguridad</v>
      </c>
      <c r="C58" s="146" t="str">
        <v>Tecnologías</v>
      </c>
      <c r="D58" s="146" t="n">
        <v>1</v>
      </c>
      <c r="E58" s="146" t="n">
        <v>65</v>
      </c>
    </row>
    <row r="59" ht="32" customHeight="1">
      <c r="A59" s="146" t="n">
        <v>2025</v>
      </c>
      <c r="B59" s="146" t="str">
        <v>Ingenieria En Ciencia De Datos</v>
      </c>
      <c r="C59" s="146" t="str">
        <v>Tecnologías</v>
      </c>
      <c r="D59" s="146" t="n">
        <v>0</v>
      </c>
      <c r="E59" s="146" t="n">
        <v>19</v>
      </c>
    </row>
    <row r="60" ht="32" customHeight="1">
      <c r="A60" s="146" t="n">
        <v>2025</v>
      </c>
      <c r="B60" s="146" t="str">
        <v>Ingenieria En Ciencia De Datos</v>
      </c>
      <c r="C60" s="146" t="str">
        <v>Tecnologías</v>
      </c>
      <c r="D60" s="146" t="n">
        <v>1</v>
      </c>
      <c r="E60" s="146" t="n">
        <v>21</v>
      </c>
    </row>
    <row r="61" ht="32" customHeight="1">
      <c r="A61" s="146" t="n">
        <v>2025</v>
      </c>
      <c r="B61" s="146" t="str">
        <v>Ingenieria En Conectividad Y Redes</v>
      </c>
      <c r="C61" s="146" t="str">
        <v>Tecnologías</v>
      </c>
      <c r="D61" s="146" t="n">
        <v>0</v>
      </c>
      <c r="E61" s="146" t="n">
        <v>20</v>
      </c>
    </row>
    <row r="62" ht="32" customHeight="1">
      <c r="A62" s="146" t="n">
        <v>2025</v>
      </c>
      <c r="B62" s="146" t="str">
        <v>Ingenieria En Conectividad Y Redes</v>
      </c>
      <c r="C62" s="146" t="str">
        <v>Tecnologías</v>
      </c>
      <c r="D62" s="146" t="n">
        <v>1</v>
      </c>
      <c r="E62" s="146" t="n">
        <v>43</v>
      </c>
    </row>
    <row r="63" ht="32" customHeight="1">
      <c r="A63" s="146" t="n">
        <v>2025</v>
      </c>
      <c r="B63" s="146" t="str">
        <v>Ingenieria En Informatica</v>
      </c>
      <c r="C63" s="146" t="str">
        <v>Tecnologías</v>
      </c>
      <c r="D63" s="146" t="n">
        <v>0</v>
      </c>
      <c r="E63" s="146" t="n">
        <v>37</v>
      </c>
    </row>
    <row r="64" ht="32" customHeight="1">
      <c r="A64" s="146" t="n">
        <v>2025</v>
      </c>
      <c r="B64" s="146" t="str">
        <v>Ingenieria En Informatica</v>
      </c>
      <c r="C64" s="146" t="str">
        <v>Tecnologías</v>
      </c>
      <c r="D64" s="146" t="n">
        <v>1</v>
      </c>
      <c r="E64" s="146" t="n">
        <v>81</v>
      </c>
    </row>
    <row r="65" ht="32" customHeight="1">
      <c r="A65" s="146" t="n">
        <v>2025</v>
      </c>
      <c r="B65" s="146" t="str">
        <v>Ingenieria En Logistica</v>
      </c>
      <c r="C65" s="146" t="str">
        <v>Administración y Comercio</v>
      </c>
      <c r="D65" s="146" t="n">
        <v>0</v>
      </c>
      <c r="E65" s="146" t="n">
        <v>24</v>
      </c>
    </row>
    <row r="66" ht="32" customHeight="1">
      <c r="A66" s="146" t="n">
        <v>2025</v>
      </c>
      <c r="B66" s="146" t="str">
        <v>Ingenieria En Logistica</v>
      </c>
      <c r="C66" s="146" t="str">
        <v>Administración y Comercio</v>
      </c>
      <c r="D66" s="146" t="n">
        <v>1</v>
      </c>
      <c r="E66" s="146" t="n">
        <v>37</v>
      </c>
    </row>
    <row r="67" ht="32" customHeight="1">
      <c r="A67" s="146" t="n">
        <v>2025</v>
      </c>
      <c r="B67" s="146" t="str">
        <v>Tecnico En Administracion De Empresas</v>
      </c>
      <c r="C67" s="146" t="str">
        <v>Administración y Comercio</v>
      </c>
      <c r="D67" s="146" t="n">
        <v>0</v>
      </c>
      <c r="E67" s="146" t="n">
        <v>41</v>
      </c>
    </row>
    <row r="68" ht="32" customHeight="1">
      <c r="A68" s="146" t="n">
        <v>2025</v>
      </c>
      <c r="B68" s="146" t="str">
        <v>Tecnico En Administracion De Empresas</v>
      </c>
      <c r="C68" s="146" t="str">
        <v>Administración y Comercio</v>
      </c>
      <c r="D68" s="146" t="n">
        <v>1</v>
      </c>
      <c r="E68" s="146" t="n">
        <v>32</v>
      </c>
    </row>
    <row r="69" ht="32" customHeight="1">
      <c r="A69" s="146" t="n">
        <v>2025</v>
      </c>
      <c r="B69" s="146" t="str">
        <v>Tecnico En Administracion Publica</v>
      </c>
      <c r="C69" s="146" t="str">
        <v>Administración y Comercio</v>
      </c>
      <c r="D69" s="146" t="n">
        <v>0</v>
      </c>
      <c r="E69" s="146" t="n">
        <v>11</v>
      </c>
    </row>
    <row r="70" ht="32" customHeight="1">
      <c r="A70" s="146" t="n">
        <v>2025</v>
      </c>
      <c r="B70" s="146" t="str">
        <v>Tecnico En Administracion Publica</v>
      </c>
      <c r="C70" s="146" t="str">
        <v>Administración y Comercio</v>
      </c>
      <c r="D70" s="146" t="n">
        <v>1</v>
      </c>
      <c r="E70" s="146" t="n">
        <v>11</v>
      </c>
    </row>
    <row r="71" ht="32" customHeight="1">
      <c r="A71" s="146" t="n">
        <v>2025</v>
      </c>
      <c r="B71" s="146" t="str">
        <v>Tecnico En Ciberseguridad</v>
      </c>
      <c r="C71" s="146" t="str">
        <v>Tecnologías</v>
      </c>
      <c r="D71" s="146" t="n">
        <v>0</v>
      </c>
      <c r="E71" s="146" t="n">
        <v>28</v>
      </c>
    </row>
    <row r="72" ht="32" customHeight="1">
      <c r="A72" s="146" t="n">
        <v>2025</v>
      </c>
      <c r="B72" s="146" t="str">
        <v>Tecnico En Ciberseguridad</v>
      </c>
      <c r="C72" s="146" t="str">
        <v>Tecnologías</v>
      </c>
      <c r="D72" s="146" t="n">
        <v>1</v>
      </c>
      <c r="E72" s="146" t="n">
        <v>52</v>
      </c>
    </row>
    <row r="73" ht="32" customHeight="1">
      <c r="A73" s="146" t="n">
        <v>2025</v>
      </c>
      <c r="B73" s="146" t="str">
        <v>Tecnico En Ciencia De Datos</v>
      </c>
      <c r="C73" s="146" t="str">
        <v>Tecnologías</v>
      </c>
      <c r="D73" s="146" t="n">
        <v>0</v>
      </c>
      <c r="E73" s="146" t="n">
        <v>10</v>
      </c>
    </row>
    <row r="74" ht="32" customHeight="1">
      <c r="A74" s="146" t="n">
        <v>2025</v>
      </c>
      <c r="B74" s="146" t="str">
        <v>Tecnico En Ciencia De Datos</v>
      </c>
      <c r="C74" s="146" t="str">
        <v>Tecnologías</v>
      </c>
      <c r="D74" s="146" t="n">
        <v>1</v>
      </c>
      <c r="E74" s="146" t="n">
        <v>13</v>
      </c>
    </row>
    <row r="75" ht="32" customHeight="1">
      <c r="A75" s="146" t="n">
        <v>2025</v>
      </c>
      <c r="B75" s="146" t="str">
        <v>Tecnico En Conectividad Y Redes</v>
      </c>
      <c r="C75" s="146" t="str">
        <v>Tecnologías</v>
      </c>
      <c r="D75" s="146" t="n">
        <v>0</v>
      </c>
      <c r="E75" s="146" t="n">
        <v>16</v>
      </c>
    </row>
    <row r="76" ht="32" customHeight="1">
      <c r="A76" s="146" t="n">
        <v>2025</v>
      </c>
      <c r="B76" s="146" t="str">
        <v>Tecnico En Conectividad Y Redes</v>
      </c>
      <c r="C76" s="146" t="str">
        <v>Tecnologías</v>
      </c>
      <c r="D76" s="146" t="n">
        <v>1</v>
      </c>
      <c r="E76" s="146" t="n">
        <v>26</v>
      </c>
    </row>
    <row r="77" ht="32" customHeight="1">
      <c r="A77" s="146" t="n">
        <v>2025</v>
      </c>
      <c r="B77" s="146" t="str">
        <v>Tecnico En Enfermeria</v>
      </c>
      <c r="C77" s="146" t="str">
        <v>Salud</v>
      </c>
      <c r="D77" s="146" t="n">
        <v>0</v>
      </c>
      <c r="E77" s="146" t="n">
        <v>40</v>
      </c>
    </row>
    <row r="78" ht="32" customHeight="1">
      <c r="A78" s="146" t="n">
        <v>2025</v>
      </c>
      <c r="B78" s="146" t="str">
        <v>Tecnico En Enfermeria</v>
      </c>
      <c r="C78" s="146" t="str">
        <v>Salud</v>
      </c>
      <c r="D78" s="146" t="n">
        <v>1</v>
      </c>
      <c r="E78" s="146" t="n">
        <v>35</v>
      </c>
    </row>
    <row r="79" ht="32" customHeight="1">
      <c r="A79" s="146" t="n">
        <v>2025</v>
      </c>
      <c r="B79" s="146" t="str">
        <v>Tecnico En Logistica</v>
      </c>
      <c r="C79" s="146" t="str">
        <v>Administración y Comercio</v>
      </c>
      <c r="D79" s="146" t="n">
        <v>0</v>
      </c>
      <c r="E79" s="146" t="n">
        <v>35</v>
      </c>
    </row>
    <row r="80" ht="32" customHeight="1">
      <c r="A80" s="146" t="n">
        <v>2025</v>
      </c>
      <c r="B80" s="146" t="str">
        <v>Tecnico En Logistica</v>
      </c>
      <c r="C80" s="146" t="str">
        <v>Administración y Comercio</v>
      </c>
      <c r="D80" s="146" t="n">
        <v>1</v>
      </c>
      <c r="E80" s="146" t="n">
        <v>47</v>
      </c>
    </row>
    <row r="81" ht="32" customHeight="1">
      <c r="A81" s="146" t="n">
        <v>2025</v>
      </c>
      <c r="B81" s="146" t="str">
        <v>Tecnico En Programacion Y Analisis De Sistemas</v>
      </c>
      <c r="C81" s="146" t="str">
        <v>Tecnologías</v>
      </c>
      <c r="D81" s="146" t="n">
        <v>0</v>
      </c>
      <c r="E81" s="146" t="n">
        <v>50</v>
      </c>
    </row>
    <row r="82" ht="32" customHeight="1">
      <c r="A82" s="146" t="n">
        <v>2025</v>
      </c>
      <c r="B82" s="146" t="str">
        <v>Tecnico En Programacion Y Analisis De Sistemas</v>
      </c>
      <c r="C82" s="146" t="str">
        <v>Tecnologías</v>
      </c>
      <c r="D82" s="146" t="n">
        <v>1</v>
      </c>
      <c r="E82" s="146" t="n">
        <v>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F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36" activeCellId="0" sqref="J36"/>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16"/>
    <col collapsed="false" customWidth="true" hidden="false" outlineLevel="0" max="3" min="3" style="1" width="42"/>
    <col collapsed="false" customWidth="true" hidden="false" outlineLevel="0" max="4" min="4" style="1" width="24"/>
    <col collapsed="false" customWidth="true" hidden="false" outlineLevel="0" max="5" min="5" style="1" width="16"/>
    <col collapsed="false" customWidth="true" hidden="false" outlineLevel="0" max="6" min="6" style="1" width="18"/>
  </cols>
  <sheetData>
    <row r="1" customFormat="false" ht="15" hidden="false" customHeight="true" outlineLevel="0" collapsed="false">
      <c r="A1" s="35" t="inlineStr">
        <is>
          <t xml:space="preserve">🏠 Portada / Índice</t>
        </is>
      </c>
    </row>
    <row r="2" customFormat="false" ht="25.5" hidden="false" customHeight="true" outlineLevel="0" collapsed="false">
      <c r="A2" s="12" t="inlineStr">
        <is>
          <t xml:space="preserve">10. SIES 2025 granular por carrera (hoja de soporte técnico)</t>
        </is>
      </c>
      <c r="B2" s="13"/>
      <c r="C2" s="13"/>
      <c r="D2" s="13"/>
    </row>
    <row r="3" customFormat="false" ht="48" hidden="false" customHeight="true" outlineLevel="0" collapsed="false">
      <c r="B3" s="11" t="inlineStr">
        <is>
          <t xml:space="preserve">Tabla oficial enviada por Rodrigo Rolando Meneses (SIES/MINEDUC) a Karla Muñoz Gajardo, 09-09-2026, 36 códigos únicos. Clasificación A/B, gobernada en CARACTERIZACIÓN/gobernanza/sies/RETENCION/RETENCION_SIES_IPSS_162_GRANULAR_2025_CORREO_20260909.tsv. No existe tabla equivalente para 2022-2024 (por eso la comparación granular por sector solo puede hacerse para 2025).</t>
        </is>
      </c>
      <c r="C3" s="11"/>
      <c r="D3" s="11"/>
    </row>
    <row r="4" customFormat="false" ht="15" hidden="false" customHeight="true" outlineLevel="0" collapsed="false">
      <c r="A4" s="5"/>
    </row>
    <row r="5" customFormat="false" ht="15" hidden="false" customHeight="true" outlineLevel="0" collapsed="false">
      <c r="A5" s="5"/>
    </row>
    <row r="6" customFormat="false" ht="15" hidden="false" customHeight="true" outlineLevel="0" collapsed="false">
      <c r="A6" s="5"/>
      <c r="B6" s="38" t="inlineStr">
        <is>
          <t xml:space="preserve">Código único</t>
        </is>
      </c>
      <c r="C6" s="38" t="inlineStr">
        <is>
          <t xml:space="preserve">Carrera</t>
        </is>
      </c>
      <c r="D6" s="38" t="inlineStr">
        <is>
          <t xml:space="preserve">Sector IPSS (fórmula)</t>
        </is>
      </c>
      <c r="E6" s="38" t="inlineStr">
        <is>
          <t xml:space="preserve">Estudiantes SIES 2025</t>
        </is>
      </c>
      <c r="F6" s="38" t="inlineStr">
        <is>
          <t xml:space="preserve">Retenidos SIES 2025</t>
        </is>
      </c>
    </row>
    <row r="7" customFormat="false" ht="15" hidden="false" customHeight="true" outlineLevel="0" collapsed="false">
      <c r="A7" s="5"/>
      <c r="B7" s="51" t="inlineStr">
        <is>
          <t xml:space="preserve">I162S2C1J1V1</t>
        </is>
      </c>
      <c r="C7" s="51" t="inlineStr">
        <is>
          <t xml:space="preserve">Ingenieria En Informatica</t>
        </is>
      </c>
      <c r="D7" s="51" t="str">
        <f aca="false">IFERROR(VLOOKUP(C7,'8_Mapeo_Sector_IPSS'!$B$6:$C$22,2,FALSE()),"SIN MAPEO")</f>
        <v>Tecnologías</v>
      </c>
      <c r="E7" s="51" t="n">
        <v>3</v>
      </c>
      <c r="F7" s="51" t="n">
        <v>3</v>
      </c>
    </row>
    <row r="8" customFormat="false" ht="15" hidden="false" customHeight="true" outlineLevel="0" collapsed="false">
      <c r="A8" s="5"/>
      <c r="B8" s="51" t="inlineStr">
        <is>
          <t xml:space="preserve">I162S2C1J1V2</t>
        </is>
      </c>
      <c r="C8" s="51" t="inlineStr">
        <is>
          <t xml:space="preserve">Ingenieria En Informatica</t>
        </is>
      </c>
      <c r="D8" s="51" t="str">
        <f aca="false">IFERROR(VLOOKUP(C8,'8_Mapeo_Sector_IPSS'!$B$6:$C$22,2,FALSE()),"SIN MAPEO")</f>
        <v>Tecnologías</v>
      </c>
      <c r="E8" s="51" t="n">
        <v>11</v>
      </c>
      <c r="F8" s="51" t="n">
        <v>7</v>
      </c>
    </row>
    <row r="9" customFormat="false" ht="15" hidden="false" customHeight="true" outlineLevel="0" collapsed="false">
      <c r="A9" s="5"/>
      <c r="B9" s="51" t="inlineStr">
        <is>
          <t xml:space="preserve">I162S2C1J2V1</t>
        </is>
      </c>
      <c r="C9" s="51" t="inlineStr">
        <is>
          <t xml:space="preserve">Ingenieria En Informatica</t>
        </is>
      </c>
      <c r="D9" s="51" t="str">
        <f aca="false">IFERROR(VLOOKUP(C9,'8_Mapeo_Sector_IPSS'!$B$6:$C$22,2,FALSE()),"SIN MAPEO")</f>
        <v>Tecnologías</v>
      </c>
      <c r="E9" s="51" t="n">
        <v>4</v>
      </c>
      <c r="F9" s="51" t="n">
        <v>2</v>
      </c>
    </row>
    <row r="10" customFormat="false" ht="15" hidden="false" customHeight="true" outlineLevel="0" collapsed="false">
      <c r="A10" s="5"/>
      <c r="B10" s="51" t="inlineStr">
        <is>
          <t xml:space="preserve">I162S2C1J2V4</t>
        </is>
      </c>
      <c r="C10" s="51" t="inlineStr">
        <is>
          <t xml:space="preserve">Ingenieria En Informatica</t>
        </is>
      </c>
      <c r="D10" s="51" t="str">
        <f aca="false">IFERROR(VLOOKUP(C10,'8_Mapeo_Sector_IPSS'!$B$6:$C$22,2,FALSE()),"SIN MAPEO")</f>
        <v>Tecnologías</v>
      </c>
      <c r="E10" s="51" t="n">
        <v>9</v>
      </c>
      <c r="F10" s="51" t="n">
        <v>5</v>
      </c>
    </row>
    <row r="11" customFormat="false" ht="15" hidden="false" customHeight="true" outlineLevel="0" collapsed="false">
      <c r="A11" s="5"/>
      <c r="B11" s="51" t="inlineStr">
        <is>
          <t xml:space="preserve">I162S2C1J4V2</t>
        </is>
      </c>
      <c r="C11" s="51" t="inlineStr">
        <is>
          <t xml:space="preserve">Ingenieria En Informatica</t>
        </is>
      </c>
      <c r="D11" s="51" t="str">
        <f aca="false">IFERROR(VLOOKUP(C11,'8_Mapeo_Sector_IPSS'!$B$6:$C$22,2,FALSE()),"SIN MAPEO")</f>
        <v>Tecnologías</v>
      </c>
      <c r="E11" s="51" t="n">
        <v>91</v>
      </c>
      <c r="F11" s="51" t="n">
        <v>64</v>
      </c>
    </row>
    <row r="12" customFormat="false" ht="15" hidden="false" customHeight="true" outlineLevel="0" collapsed="false">
      <c r="A12" s="5"/>
      <c r="B12" s="51" t="inlineStr">
        <is>
          <t xml:space="preserve">I162S2C3J2V1</t>
        </is>
      </c>
      <c r="C12" s="51" t="inlineStr">
        <is>
          <t xml:space="preserve">Ingenieria En Conectividad Y Redes</t>
        </is>
      </c>
      <c r="D12" s="51" t="str">
        <f aca="false">IFERROR(VLOOKUP(C12,'8_Mapeo_Sector_IPSS'!$B$6:$C$22,2,FALSE()),"SIN MAPEO")</f>
        <v>Tecnologías</v>
      </c>
      <c r="E12" s="51" t="n">
        <v>3</v>
      </c>
      <c r="F12" s="51" t="n">
        <v>1</v>
      </c>
    </row>
    <row r="13" customFormat="false" ht="15" hidden="false" customHeight="true" outlineLevel="0" collapsed="false">
      <c r="A13" s="5"/>
      <c r="B13" s="51" t="inlineStr">
        <is>
          <t xml:space="preserve">I162S2C3J2V4</t>
        </is>
      </c>
      <c r="C13" s="51" t="inlineStr">
        <is>
          <t xml:space="preserve">Ingenieria En Conectividad Y Redes</t>
        </is>
      </c>
      <c r="D13" s="51" t="str">
        <f aca="false">IFERROR(VLOOKUP(C13,'8_Mapeo_Sector_IPSS'!$B$6:$C$22,2,FALSE()),"SIN MAPEO")</f>
        <v>Tecnologías</v>
      </c>
      <c r="E13" s="51" t="n">
        <v>7</v>
      </c>
      <c r="F13" s="51" t="n">
        <v>5</v>
      </c>
    </row>
    <row r="14" customFormat="false" ht="15" hidden="false" customHeight="true" outlineLevel="0" collapsed="false">
      <c r="A14" s="5"/>
      <c r="B14" s="51" t="inlineStr">
        <is>
          <t xml:space="preserve">I162S2C3J4V2</t>
        </is>
      </c>
      <c r="C14" s="51" t="inlineStr">
        <is>
          <t xml:space="preserve">Ingenieria En Conectividad Y Redes</t>
        </is>
      </c>
      <c r="D14" s="51" t="str">
        <f aca="false">IFERROR(VLOOKUP(C14,'8_Mapeo_Sector_IPSS'!$B$6:$C$22,2,FALSE()),"SIN MAPEO")</f>
        <v>Tecnologías</v>
      </c>
      <c r="E14" s="51" t="n">
        <v>55</v>
      </c>
      <c r="F14" s="51" t="n">
        <v>38</v>
      </c>
    </row>
    <row r="15" customFormat="false" ht="15" hidden="false" customHeight="true" outlineLevel="0" collapsed="false">
      <c r="A15" s="5"/>
      <c r="B15" s="51" t="inlineStr">
        <is>
          <t xml:space="preserve">I162S2C46J1V1</t>
        </is>
      </c>
      <c r="C15" s="51" t="inlineStr">
        <is>
          <t xml:space="preserve">Ingenieria En Ciberseguridad</t>
        </is>
      </c>
      <c r="D15" s="51" t="str">
        <f aca="false">IFERROR(VLOOKUP(C15,'8_Mapeo_Sector_IPSS'!$B$6:$C$22,2,FALSE()),"SIN MAPEO")</f>
        <v>Tecnologías</v>
      </c>
      <c r="E15" s="51" t="n">
        <v>18</v>
      </c>
      <c r="F15" s="51" t="n">
        <v>16</v>
      </c>
    </row>
    <row r="16" customFormat="false" ht="15" hidden="false" customHeight="true" outlineLevel="0" collapsed="false">
      <c r="A16" s="5"/>
      <c r="B16" s="51" t="inlineStr">
        <is>
          <t xml:space="preserve">I162S2C46J2V1</t>
        </is>
      </c>
      <c r="C16" s="51" t="inlineStr">
        <is>
          <t xml:space="preserve">Ingenieria En Ciberseguridad</t>
        </is>
      </c>
      <c r="D16" s="51" t="str">
        <f aca="false">IFERROR(VLOOKUP(C16,'8_Mapeo_Sector_IPSS'!$B$6:$C$22,2,FALSE()),"SIN MAPEO")</f>
        <v>Tecnologías</v>
      </c>
      <c r="E16" s="51" t="n">
        <v>11</v>
      </c>
      <c r="F16" s="51" t="n">
        <v>8</v>
      </c>
    </row>
    <row r="17" customFormat="false" ht="15" hidden="false" customHeight="true" outlineLevel="0" collapsed="false">
      <c r="A17" s="5"/>
      <c r="B17" s="51" t="inlineStr">
        <is>
          <t xml:space="preserve">I162S2C46J4V3</t>
        </is>
      </c>
      <c r="C17" s="51" t="inlineStr">
        <is>
          <t xml:space="preserve">Ingenieria En Ciberseguridad</t>
        </is>
      </c>
      <c r="D17" s="51" t="str">
        <f aca="false">IFERROR(VLOOKUP(C17,'8_Mapeo_Sector_IPSS'!$B$6:$C$22,2,FALSE()),"SIN MAPEO")</f>
        <v>Tecnologías</v>
      </c>
      <c r="E17" s="51" t="n">
        <v>75</v>
      </c>
      <c r="F17" s="51" t="n">
        <v>42</v>
      </c>
    </row>
    <row r="18" customFormat="false" ht="15" hidden="false" customHeight="true" outlineLevel="0" collapsed="false">
      <c r="A18" s="5"/>
      <c r="B18" s="51" t="inlineStr">
        <is>
          <t xml:space="preserve">I162S2C47J1V1</t>
        </is>
      </c>
      <c r="C18" s="51" t="inlineStr">
        <is>
          <t xml:space="preserve">Tecnico En Ciberseguridad</t>
        </is>
      </c>
      <c r="D18" s="51" t="str">
        <f aca="false">IFERROR(VLOOKUP(C18,'8_Mapeo_Sector_IPSS'!$B$6:$C$22,2,FALSE()),"SIN MAPEO")</f>
        <v>Tecnologías</v>
      </c>
      <c r="E18" s="51" t="n">
        <v>8</v>
      </c>
      <c r="F18" s="51" t="n">
        <v>7</v>
      </c>
    </row>
    <row r="19" customFormat="false" ht="15" hidden="false" customHeight="true" outlineLevel="0" collapsed="false">
      <c r="A19" s="5"/>
      <c r="B19" s="51" t="inlineStr">
        <is>
          <t xml:space="preserve">I162S2C47J2V1</t>
        </is>
      </c>
      <c r="C19" s="51" t="inlineStr">
        <is>
          <t xml:space="preserve">Tecnico En Ciberseguridad</t>
        </is>
      </c>
      <c r="D19" s="51" t="str">
        <f aca="false">IFERROR(VLOOKUP(C19,'8_Mapeo_Sector_IPSS'!$B$6:$C$22,2,FALSE()),"SIN MAPEO")</f>
        <v>Tecnologías</v>
      </c>
      <c r="E19" s="51" t="n">
        <v>7</v>
      </c>
      <c r="F19" s="51" t="n">
        <v>6</v>
      </c>
    </row>
    <row r="20" customFormat="false" ht="15" hidden="false" customHeight="true" outlineLevel="0" collapsed="false">
      <c r="A20" s="5"/>
      <c r="B20" s="51" t="inlineStr">
        <is>
          <t xml:space="preserve">I162S2C47J4V1</t>
        </is>
      </c>
      <c r="C20" s="51" t="inlineStr">
        <is>
          <t xml:space="preserve">Tecnico En Ciberseguridad</t>
        </is>
      </c>
      <c r="D20" s="51" t="str">
        <f aca="false">IFERROR(VLOOKUP(C20,'8_Mapeo_Sector_IPSS'!$B$6:$C$22,2,FALSE()),"SIN MAPEO")</f>
        <v>Tecnologías</v>
      </c>
      <c r="E20" s="51" t="n">
        <v>65</v>
      </c>
      <c r="F20" s="51" t="n">
        <v>39</v>
      </c>
    </row>
    <row r="21" customFormat="false" ht="15" hidden="false" customHeight="true" outlineLevel="0" collapsed="false">
      <c r="A21" s="5"/>
      <c r="B21" s="51" t="inlineStr">
        <is>
          <t xml:space="preserve">I162S2C57J1V1</t>
        </is>
      </c>
      <c r="C21" s="51" t="inlineStr">
        <is>
          <t xml:space="preserve">Tecnico En Programacion Y Analisis De Sistemas</t>
        </is>
      </c>
      <c r="D21" s="51" t="str">
        <f aca="false">IFERROR(VLOOKUP(C21,'8_Mapeo_Sector_IPSS'!$B$6:$C$22,2,FALSE()),"SIN MAPEO")</f>
        <v>Tecnologías</v>
      </c>
      <c r="E21" s="51" t="n">
        <v>16</v>
      </c>
      <c r="F21" s="51" t="n">
        <v>11</v>
      </c>
    </row>
    <row r="22" customFormat="false" ht="15" hidden="false" customHeight="true" outlineLevel="0" collapsed="false">
      <c r="A22" s="5"/>
      <c r="B22" s="51" t="inlineStr">
        <is>
          <t xml:space="preserve">I162S2C57J2V1</t>
        </is>
      </c>
      <c r="C22" s="51" t="inlineStr">
        <is>
          <t xml:space="preserve">Tecnico En Programacion Y Analisis De Sistemas</t>
        </is>
      </c>
      <c r="D22" s="51" t="str">
        <f aca="false">IFERROR(VLOOKUP(C22,'8_Mapeo_Sector_IPSS'!$B$6:$C$22,2,FALSE()),"SIN MAPEO")</f>
        <v>Tecnologías</v>
      </c>
      <c r="E22" s="51" t="n">
        <v>9</v>
      </c>
      <c r="F22" s="51" t="n">
        <v>4</v>
      </c>
    </row>
    <row r="23" customFormat="false" ht="15" hidden="false" customHeight="true" outlineLevel="0" collapsed="false">
      <c r="A23" s="5"/>
      <c r="B23" s="51" t="inlineStr">
        <is>
          <t xml:space="preserve">I162S2C57J4V1</t>
        </is>
      </c>
      <c r="C23" s="51" t="inlineStr">
        <is>
          <t xml:space="preserve">Tecnico En Programacion Y Analisis De Sistemas</t>
        </is>
      </c>
      <c r="D23" s="51" t="str">
        <f aca="false">IFERROR(VLOOKUP(C23,'8_Mapeo_Sector_IPSS'!$B$6:$C$22,2,FALSE()),"SIN MAPEO")</f>
        <v>Tecnologías</v>
      </c>
      <c r="E23" s="51" t="n">
        <v>108</v>
      </c>
      <c r="F23" s="51" t="n">
        <v>66</v>
      </c>
    </row>
    <row r="24" customFormat="false" ht="15" hidden="false" customHeight="true" outlineLevel="0" collapsed="false">
      <c r="A24" s="5"/>
      <c r="B24" s="51" t="inlineStr">
        <is>
          <t xml:space="preserve">I162S2C6J2V1</t>
        </is>
      </c>
      <c r="C24" s="51" t="inlineStr">
        <is>
          <t xml:space="preserve">Tecnico En Conectividad Y Redes</t>
        </is>
      </c>
      <c r="D24" s="51" t="str">
        <f aca="false">IFERROR(VLOOKUP(C24,'8_Mapeo_Sector_IPSS'!$B$6:$C$22,2,FALSE()),"SIN MAPEO")</f>
        <v>Tecnologías</v>
      </c>
      <c r="E24" s="51" t="n">
        <v>2</v>
      </c>
      <c r="F24" s="51" t="n">
        <v>0</v>
      </c>
    </row>
    <row r="25" customFormat="false" ht="15" hidden="false" customHeight="true" outlineLevel="0" collapsed="false">
      <c r="A25" s="5"/>
      <c r="B25" s="51" t="inlineStr">
        <is>
          <t xml:space="preserve">I162S2C6J2V2</t>
        </is>
      </c>
      <c r="C25" s="51" t="inlineStr">
        <is>
          <t xml:space="preserve">Tecnico En Conectividad Y Redes</t>
        </is>
      </c>
      <c r="D25" s="51" t="str">
        <f aca="false">IFERROR(VLOOKUP(C25,'8_Mapeo_Sector_IPSS'!$B$6:$C$22,2,FALSE()),"SIN MAPEO")</f>
        <v>Tecnologías</v>
      </c>
      <c r="E25" s="51" t="n">
        <v>5</v>
      </c>
      <c r="F25" s="51" t="n">
        <v>5</v>
      </c>
    </row>
    <row r="26" customFormat="false" ht="15" hidden="false" customHeight="true" outlineLevel="0" collapsed="false">
      <c r="A26" s="5"/>
      <c r="B26" s="51" t="inlineStr">
        <is>
          <t xml:space="preserve">I162S2C6J4V2</t>
        </is>
      </c>
      <c r="C26" s="51" t="inlineStr">
        <is>
          <t xml:space="preserve">Tecnico En Conectividad Y Redes</t>
        </is>
      </c>
      <c r="D26" s="51" t="str">
        <f aca="false">IFERROR(VLOOKUP(C26,'8_Mapeo_Sector_IPSS'!$B$6:$C$22,2,FALSE()),"SIN MAPEO")</f>
        <v>Tecnologías</v>
      </c>
      <c r="E26" s="51" t="n">
        <v>35</v>
      </c>
      <c r="F26" s="51" t="n">
        <v>21</v>
      </c>
    </row>
    <row r="27" customFormat="false" ht="15" hidden="false" customHeight="true" outlineLevel="0" collapsed="false">
      <c r="A27" s="5"/>
      <c r="B27" s="51" t="inlineStr">
        <is>
          <t xml:space="preserve">I162S2C76J2V1</t>
        </is>
      </c>
      <c r="C27" s="51" t="inlineStr">
        <is>
          <t xml:space="preserve">Ingenieria En Administracion De Empresas</t>
        </is>
      </c>
      <c r="D27" s="51" t="str">
        <f aca="false">IFERROR(VLOOKUP(C27,'8_Mapeo_Sector_IPSS'!$B$6:$C$22,2,FALSE()),"SIN MAPEO")</f>
        <v>Administración y Comercio</v>
      </c>
      <c r="E27" s="51" t="n">
        <v>20</v>
      </c>
      <c r="F27" s="51" t="n">
        <v>8</v>
      </c>
    </row>
    <row r="28" customFormat="false" ht="15" hidden="false" customHeight="true" outlineLevel="0" collapsed="false">
      <c r="A28" s="5"/>
      <c r="B28" s="51" t="inlineStr">
        <is>
          <t xml:space="preserve">I162S2C76J4V1</t>
        </is>
      </c>
      <c r="C28" s="51" t="inlineStr">
        <is>
          <t xml:space="preserve">Ingenieria En Administracion De Empresas</t>
        </is>
      </c>
      <c r="D28" s="51" t="str">
        <f aca="false">IFERROR(VLOOKUP(C28,'8_Mapeo_Sector_IPSS'!$B$6:$C$22,2,FALSE()),"SIN MAPEO")</f>
        <v>Administración y Comercio</v>
      </c>
      <c r="E28" s="51" t="n">
        <v>72</v>
      </c>
      <c r="F28" s="51" t="n">
        <v>39</v>
      </c>
    </row>
    <row r="29" customFormat="false" ht="15" hidden="false" customHeight="true" outlineLevel="0" collapsed="false">
      <c r="A29" s="5"/>
      <c r="B29" s="51" t="inlineStr">
        <is>
          <t xml:space="preserve">I162S2C77J2V1</t>
        </is>
      </c>
      <c r="C29" s="51" t="inlineStr">
        <is>
          <t xml:space="preserve">Ingenieria En Logistica</t>
        </is>
      </c>
      <c r="D29" s="51" t="str">
        <f aca="false">IFERROR(VLOOKUP(C29,'8_Mapeo_Sector_IPSS'!$B$6:$C$22,2,FALSE()),"SIN MAPEO")</f>
        <v>Administración y Comercio</v>
      </c>
      <c r="E29" s="51" t="n">
        <v>9</v>
      </c>
      <c r="F29" s="51" t="n">
        <v>5</v>
      </c>
    </row>
    <row r="30" customFormat="false" ht="15" hidden="false" customHeight="true" outlineLevel="0" collapsed="false">
      <c r="A30" s="5"/>
      <c r="B30" s="51" t="inlineStr">
        <is>
          <t xml:space="preserve">I162S2C77J4V1</t>
        </is>
      </c>
      <c r="C30" s="51" t="inlineStr">
        <is>
          <t xml:space="preserve">Ingenieria En Logistica</t>
        </is>
      </c>
      <c r="D30" s="51" t="str">
        <f aca="false">IFERROR(VLOOKUP(C30,'8_Mapeo_Sector_IPSS'!$B$6:$C$22,2,FALSE()),"SIN MAPEO")</f>
        <v>Administración y Comercio</v>
      </c>
      <c r="E30" s="51" t="n">
        <v>54</v>
      </c>
      <c r="F30" s="51" t="n">
        <v>34</v>
      </c>
    </row>
    <row r="31" customFormat="false" ht="15" hidden="false" customHeight="true" outlineLevel="0" collapsed="false">
      <c r="A31" s="5"/>
      <c r="B31" s="51" t="inlineStr">
        <is>
          <t xml:space="preserve">I162S2C78J2V1</t>
        </is>
      </c>
      <c r="C31" s="51" t="inlineStr">
        <is>
          <t xml:space="preserve">Tecnico En Administracion De Empresas</t>
        </is>
      </c>
      <c r="D31" s="51" t="str">
        <f aca="false">IFERROR(VLOOKUP(C31,'8_Mapeo_Sector_IPSS'!$B$6:$C$22,2,FALSE()),"SIN MAPEO")</f>
        <v>Administración y Comercio</v>
      </c>
      <c r="E31" s="51" t="n">
        <v>9</v>
      </c>
      <c r="F31" s="51" t="n">
        <v>3</v>
      </c>
    </row>
    <row r="32" customFormat="false" ht="15" hidden="false" customHeight="true" outlineLevel="0" collapsed="false">
      <c r="A32" s="5"/>
      <c r="B32" s="51" t="inlineStr">
        <is>
          <t xml:space="preserve">I162S2C78J4V1</t>
        </is>
      </c>
      <c r="C32" s="51" t="inlineStr">
        <is>
          <t xml:space="preserve">Tecnico En Administracion De Empresas</t>
        </is>
      </c>
      <c r="D32" s="51" t="str">
        <f aca="false">IFERROR(VLOOKUP(C32,'8_Mapeo_Sector_IPSS'!$B$6:$C$22,2,FALSE()),"SIN MAPEO")</f>
        <v>Administración y Comercio</v>
      </c>
      <c r="E32" s="51" t="n">
        <v>64</v>
      </c>
      <c r="F32" s="51" t="n">
        <v>29</v>
      </c>
    </row>
    <row r="33" customFormat="false" ht="15" hidden="false" customHeight="true" outlineLevel="0" collapsed="false">
      <c r="A33" s="5"/>
      <c r="B33" s="51" t="inlineStr">
        <is>
          <t xml:space="preserve">I162S2C79J2V1</t>
        </is>
      </c>
      <c r="C33" s="51" t="inlineStr">
        <is>
          <t xml:space="preserve">Tecnico En Logistica</t>
        </is>
      </c>
      <c r="D33" s="51" t="str">
        <f aca="false">IFERROR(VLOOKUP(C33,'8_Mapeo_Sector_IPSS'!$B$6:$C$22,2,FALSE()),"SIN MAPEO")</f>
        <v>Administración y Comercio</v>
      </c>
      <c r="E33" s="51" t="n">
        <v>17</v>
      </c>
      <c r="F33" s="51" t="n">
        <v>6</v>
      </c>
    </row>
    <row r="34" customFormat="false" ht="15" hidden="false" customHeight="true" outlineLevel="0" collapsed="false">
      <c r="A34" s="5"/>
      <c r="B34" s="51" t="inlineStr">
        <is>
          <t xml:space="preserve">I162S2C79J4V1</t>
        </is>
      </c>
      <c r="C34" s="51" t="inlineStr">
        <is>
          <t xml:space="preserve">Tecnico En Logistica</t>
        </is>
      </c>
      <c r="D34" s="51" t="str">
        <f aca="false">IFERROR(VLOOKUP(C34,'8_Mapeo_Sector_IPSS'!$B$6:$C$22,2,FALSE()),"SIN MAPEO")</f>
        <v>Administración y Comercio</v>
      </c>
      <c r="E34" s="51" t="n">
        <v>65</v>
      </c>
      <c r="F34" s="51" t="n">
        <v>41</v>
      </c>
    </row>
    <row r="35" customFormat="false" ht="15" hidden="false" customHeight="true" outlineLevel="0" collapsed="false">
      <c r="A35" s="5"/>
      <c r="B35" s="51" t="inlineStr">
        <is>
          <t xml:space="preserve">I162S2C83J4V1</t>
        </is>
      </c>
      <c r="C35" s="51" t="inlineStr">
        <is>
          <t xml:space="preserve">Administracion Publica</t>
        </is>
      </c>
      <c r="D35" s="51" t="str">
        <f aca="false">IFERROR(VLOOKUP(C35,'8_Mapeo_Sector_IPSS'!$B$6:$C$22,2,FALSE()),"SIN MAPEO")</f>
        <v>Administración y Comercio</v>
      </c>
      <c r="E35" s="51" t="n">
        <v>70</v>
      </c>
      <c r="F35" s="51" t="n">
        <v>33</v>
      </c>
    </row>
    <row r="36" customFormat="false" ht="15" hidden="false" customHeight="true" outlineLevel="0" collapsed="false">
      <c r="A36" s="5"/>
      <c r="B36" s="51" t="inlineStr">
        <is>
          <t xml:space="preserve">I162S2C84J4V1</t>
        </is>
      </c>
      <c r="C36" s="51" t="inlineStr">
        <is>
          <t xml:space="preserve">Tecnico En Administracion Publica</t>
        </is>
      </c>
      <c r="D36" s="51" t="str">
        <f aca="false">IFERROR(VLOOKUP(C36,'8_Mapeo_Sector_IPSS'!$B$6:$C$22,2,FALSE()),"SIN MAPEO")</f>
        <v>Administración y Comercio</v>
      </c>
      <c r="E36" s="51" t="n">
        <v>22</v>
      </c>
      <c r="F36" s="51" t="n">
        <v>11</v>
      </c>
    </row>
    <row r="37" customFormat="false" ht="15" hidden="false" customHeight="true" outlineLevel="0" collapsed="false">
      <c r="A37" s="5"/>
      <c r="B37" s="51" t="inlineStr">
        <is>
          <t xml:space="preserve">I162S2C85J4V1</t>
        </is>
      </c>
      <c r="C37" s="51" t="inlineStr">
        <is>
          <t xml:space="preserve">Contabilidad General</t>
        </is>
      </c>
      <c r="D37" s="51" t="str">
        <f aca="false">IFERROR(VLOOKUP(C37,'8_Mapeo_Sector_IPSS'!$B$6:$C$22,2,FALSE()),"SIN MAPEO")</f>
        <v>Administración y Comercio</v>
      </c>
      <c r="E37" s="51" t="n">
        <v>38</v>
      </c>
      <c r="F37" s="51" t="n">
        <v>19</v>
      </c>
    </row>
    <row r="38" customFormat="false" ht="15" hidden="false" customHeight="true" outlineLevel="0" collapsed="false">
      <c r="A38" s="5"/>
      <c r="B38" s="51" t="inlineStr">
        <is>
          <t xml:space="preserve">I162S2C86J4V1</t>
        </is>
      </c>
      <c r="C38" s="51" t="inlineStr">
        <is>
          <t xml:space="preserve">Auditoria</t>
        </is>
      </c>
      <c r="D38" s="51" t="str">
        <f aca="false">IFERROR(VLOOKUP(C38,'8_Mapeo_Sector_IPSS'!$B$6:$C$22,2,FALSE()),"SIN MAPEO")</f>
        <v>Administración y Comercio</v>
      </c>
      <c r="E38" s="51" t="n">
        <v>41</v>
      </c>
      <c r="F38" s="51" t="n">
        <v>28</v>
      </c>
    </row>
    <row r="39" customFormat="false" ht="15" hidden="false" customHeight="true" outlineLevel="0" collapsed="false">
      <c r="A39" s="5"/>
      <c r="B39" s="51" t="inlineStr">
        <is>
          <t xml:space="preserve">I162S2C88J4V1</t>
        </is>
      </c>
      <c r="C39" s="51" t="inlineStr">
        <is>
          <t xml:space="preserve">Ingenieria En Ciencia De Datos</t>
        </is>
      </c>
      <c r="D39" s="51" t="str">
        <f aca="false">IFERROR(VLOOKUP(C39,'8_Mapeo_Sector_IPSS'!$B$6:$C$22,2,FALSE()),"SIN MAPEO")</f>
        <v>Tecnologías</v>
      </c>
      <c r="E39" s="51" t="n">
        <v>42</v>
      </c>
      <c r="F39" s="51" t="n">
        <v>23</v>
      </c>
    </row>
    <row r="40" customFormat="false" ht="15" hidden="false" customHeight="true" outlineLevel="0" collapsed="false">
      <c r="A40" s="5"/>
      <c r="B40" s="51" t="inlineStr">
        <is>
          <t xml:space="preserve">I162S2C89J4V1</t>
        </is>
      </c>
      <c r="C40" s="51" t="inlineStr">
        <is>
          <t xml:space="preserve">Tecnico En Ciencia De Datos</t>
        </is>
      </c>
      <c r="D40" s="51" t="str">
        <f aca="false">IFERROR(VLOOKUP(C40,'8_Mapeo_Sector_IPSS'!$B$6:$C$22,2,FALSE()),"SIN MAPEO")</f>
        <v>Tecnologías</v>
      </c>
      <c r="E40" s="51" t="n">
        <v>23</v>
      </c>
      <c r="F40" s="51" t="n">
        <v>13</v>
      </c>
    </row>
    <row r="41" customFormat="false" ht="15" hidden="false" customHeight="true" outlineLevel="0" collapsed="false">
      <c r="A41" s="5"/>
      <c r="B41" s="51" t="inlineStr">
        <is>
          <t xml:space="preserve">I162S2C91J1V1</t>
        </is>
      </c>
      <c r="C41" s="51" t="inlineStr">
        <is>
          <t xml:space="preserve">Tecnico En Enfermeria</t>
        </is>
      </c>
      <c r="D41" s="51" t="str">
        <f aca="false">IFERROR(VLOOKUP(C41,'8_Mapeo_Sector_IPSS'!$B$6:$C$22,2,FALSE()),"SIN MAPEO")</f>
        <v>Salud</v>
      </c>
      <c r="E41" s="51" t="n">
        <v>34</v>
      </c>
      <c r="F41" s="51" t="n">
        <v>19</v>
      </c>
    </row>
    <row r="42" customFormat="false" ht="15" hidden="false" customHeight="true" outlineLevel="0" collapsed="false">
      <c r="A42" s="5"/>
      <c r="B42" s="51" t="inlineStr">
        <is>
          <t xml:space="preserve">I162S2C91J2V1</t>
        </is>
      </c>
      <c r="C42" s="51" t="inlineStr">
        <is>
          <t xml:space="preserve">Tecnico En Enfermeria</t>
        </is>
      </c>
      <c r="D42" s="51" t="str">
        <f aca="false">IFERROR(VLOOKUP(C42,'8_Mapeo_Sector_IPSS'!$B$6:$C$22,2,FALSE()),"SIN MAPEO")</f>
        <v>Salud</v>
      </c>
      <c r="E42" s="51" t="n">
        <v>41</v>
      </c>
      <c r="F42" s="51" t="n">
        <v>16</v>
      </c>
    </row>
  </sheetData>
  <mergeCells count="1">
    <mergeCell ref="B3:D3"/>
  </mergeCells>
  <hyperlinks>
    <hyperlink ref="A1" location="'Portada'!B3" display="🏠 Portada / Índice"/>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22" hidden="0" customWidth="1"/>
    <col min="6" max="6" width="22" hidden="0" customWidth="1"/>
    <col min="7" max="7" width="22" hidden="0" customWidth="1"/>
  </cols>
  <sheetData>
    <row r="1" ht="32" customHeight="1">
      <c r="A1" s="149" t="str">
        <v>11_BASE_RETENCION_MU_RAW · agregado provisional</v>
      </c>
      <c r="B1" s="5"/>
      <c r="C1" s="5"/>
      <c r="D1" s="5"/>
      <c r="E1" s="5"/>
      <c r="F1" s="5"/>
      <c r="G1" s="5"/>
    </row>
    <row r="2" ht="32" customHeight="1">
      <c r="A2" s="146" t="str">
        <v>2026-10-22 · detalle individual excluido; original preservado</v>
      </c>
      <c r="B2" s="2"/>
      <c r="C2" s="2"/>
      <c r="D2" s="2"/>
      <c r="E2" s="2"/>
      <c r="F2" s="2"/>
      <c r="G2" s="2"/>
    </row>
    <row r="3" ht="32" customHeight="1">
      <c r="A3" s="146" t="str">
        <v>C · Cantidad de registros de la fuente; no se interpreta como personas únicas</v>
      </c>
      <c r="B3" s="2"/>
      <c r="C3" s="2"/>
      <c r="D3" s="2"/>
      <c r="E3" s="2"/>
      <c r="F3" s="2"/>
      <c r="G3" s="2"/>
    </row>
    <row r="4" ht="32" customHeight="1">
      <c r="A4" s="151" t="str">
        <v>ANIO_INFORMADO</v>
      </c>
      <c r="B4" s="151" t="str">
        <v>COD_SED</v>
      </c>
      <c r="C4" s="151" t="str">
        <v>COD_CAR</v>
      </c>
      <c r="D4" s="151" t="str">
        <v>JOR</v>
      </c>
      <c r="E4" s="151" t="str">
        <v>VERSION</v>
      </c>
      <c r="F4" s="151" t="str">
        <v>VIG</v>
      </c>
      <c r="G4" s="151" t="str">
        <v>Registros</v>
      </c>
    </row>
    <row r="5" ht="32" customHeight="1">
      <c r="A5" s="146" t="str">
        <v>2022</v>
      </c>
      <c r="B5" s="146" t="str">
        <v>2</v>
      </c>
      <c r="C5" s="146" t="str">
        <v>1</v>
      </c>
      <c r="D5" s="146" t="str">
        <v>1</v>
      </c>
      <c r="E5" s="146" t="str">
        <v>2</v>
      </c>
      <c r="F5" s="146" t="str">
        <v>1</v>
      </c>
      <c r="G5" s="146" t="n">
        <v>19</v>
      </c>
    </row>
    <row r="6" ht="32" customHeight="1">
      <c r="A6" s="146" t="str">
        <v>2022</v>
      </c>
      <c r="B6" s="146" t="str">
        <v>2</v>
      </c>
      <c r="C6" s="146" t="str">
        <v>1</v>
      </c>
      <c r="D6" s="146" t="str">
        <v>2</v>
      </c>
      <c r="E6" s="146" t="str">
        <v>4</v>
      </c>
      <c r="F6" s="146" t="str">
        <v>1</v>
      </c>
      <c r="G6" s="146" t="n">
        <v>29</v>
      </c>
    </row>
    <row r="7" ht="32" customHeight="1">
      <c r="A7" s="146" t="str">
        <v>2022</v>
      </c>
      <c r="B7" s="146" t="str">
        <v>2</v>
      </c>
      <c r="C7" s="146" t="str">
        <v>1</v>
      </c>
      <c r="D7" s="146" t="str">
        <v>4</v>
      </c>
      <c r="E7" s="146" t="str">
        <v>1</v>
      </c>
      <c r="F7" s="146" t="str">
        <v>1</v>
      </c>
      <c r="G7" s="146" t="n">
        <v>1</v>
      </c>
    </row>
    <row r="8" ht="32" customHeight="1">
      <c r="A8" s="146" t="str">
        <v>2022</v>
      </c>
      <c r="B8" s="146" t="str">
        <v>2</v>
      </c>
      <c r="C8" s="146" t="str">
        <v>1</v>
      </c>
      <c r="D8" s="146" t="str">
        <v>4</v>
      </c>
      <c r="E8" s="146" t="str">
        <v>2</v>
      </c>
      <c r="F8" s="146" t="str">
        <v>1</v>
      </c>
      <c r="G8" s="146" t="n">
        <v>130</v>
      </c>
    </row>
    <row r="9" ht="32" customHeight="1">
      <c r="A9" s="146" t="str">
        <v>2022</v>
      </c>
      <c r="B9" s="146" t="str">
        <v>2</v>
      </c>
      <c r="C9" s="146" t="str">
        <v>11</v>
      </c>
      <c r="D9" s="146" t="str">
        <v>2</v>
      </c>
      <c r="E9" s="146" t="str">
        <v>1</v>
      </c>
      <c r="F9" s="146" t="str">
        <v>0</v>
      </c>
      <c r="G9" s="146" t="n">
        <v>1</v>
      </c>
    </row>
    <row r="10" ht="32" customHeight="1">
      <c r="A10" s="146" t="str">
        <v>2022</v>
      </c>
      <c r="B10" s="146" t="str">
        <v>2</v>
      </c>
      <c r="C10" s="146" t="str">
        <v>11</v>
      </c>
      <c r="D10" s="146" t="str">
        <v>2</v>
      </c>
      <c r="E10" s="146" t="str">
        <v>1</v>
      </c>
      <c r="F10" s="146" t="str">
        <v>1</v>
      </c>
      <c r="G10" s="146" t="n">
        <v>8</v>
      </c>
    </row>
    <row r="11" ht="32" customHeight="1">
      <c r="A11" s="146" t="str">
        <v>2022</v>
      </c>
      <c r="B11" s="146" t="str">
        <v>2</v>
      </c>
      <c r="C11" s="146" t="str">
        <v>2</v>
      </c>
      <c r="D11" s="146" t="str">
        <v>1</v>
      </c>
      <c r="E11" s="146" t="str">
        <v>2</v>
      </c>
      <c r="F11" s="146" t="str">
        <v>1</v>
      </c>
      <c r="G11" s="146" t="n">
        <v>3</v>
      </c>
    </row>
    <row r="12" ht="32" customHeight="1">
      <c r="A12" s="146" t="str">
        <v>2022</v>
      </c>
      <c r="B12" s="146" t="str">
        <v>2</v>
      </c>
      <c r="C12" s="146" t="str">
        <v>2</v>
      </c>
      <c r="D12" s="146" t="str">
        <v>4</v>
      </c>
      <c r="E12" s="146" t="str">
        <v>2</v>
      </c>
      <c r="F12" s="146" t="str">
        <v>1</v>
      </c>
      <c r="G12" s="146" t="n">
        <v>1</v>
      </c>
    </row>
    <row r="13" ht="32" customHeight="1">
      <c r="A13" s="146" t="str">
        <v>2022</v>
      </c>
      <c r="B13" s="146" t="str">
        <v>2</v>
      </c>
      <c r="C13" s="146" t="str">
        <v>22</v>
      </c>
      <c r="D13" s="146" t="str">
        <v>2</v>
      </c>
      <c r="E13" s="146" t="str">
        <v>1</v>
      </c>
      <c r="F13" s="146" t="str">
        <v>1</v>
      </c>
      <c r="G13" s="146" t="n">
        <v>16</v>
      </c>
    </row>
    <row r="14" ht="32" customHeight="1">
      <c r="A14" s="146" t="str">
        <v>2022</v>
      </c>
      <c r="B14" s="146" t="str">
        <v>2</v>
      </c>
      <c r="C14" s="146" t="str">
        <v>3</v>
      </c>
      <c r="D14" s="146" t="str">
        <v>2</v>
      </c>
      <c r="E14" s="146" t="str">
        <v>1</v>
      </c>
      <c r="F14" s="146" t="str">
        <v>0</v>
      </c>
      <c r="G14" s="146" t="n">
        <v>2</v>
      </c>
    </row>
    <row r="15" ht="32" customHeight="1">
      <c r="A15" s="146" t="str">
        <v>2022</v>
      </c>
      <c r="B15" s="146" t="str">
        <v>2</v>
      </c>
      <c r="C15" s="146" t="str">
        <v>3</v>
      </c>
      <c r="D15" s="146" t="str">
        <v>2</v>
      </c>
      <c r="E15" s="146" t="str">
        <v>4</v>
      </c>
      <c r="F15" s="146" t="str">
        <v>1</v>
      </c>
      <c r="G15" s="146" t="n">
        <v>48</v>
      </c>
    </row>
    <row r="16" ht="32" customHeight="1">
      <c r="A16" s="146" t="str">
        <v>2022</v>
      </c>
      <c r="B16" s="146" t="str">
        <v>2</v>
      </c>
      <c r="C16" s="146" t="str">
        <v>3</v>
      </c>
      <c r="D16" s="146" t="str">
        <v>4</v>
      </c>
      <c r="E16" s="146" t="str">
        <v>1</v>
      </c>
      <c r="F16" s="146" t="str">
        <v>1</v>
      </c>
      <c r="G16" s="146" t="n">
        <v>3</v>
      </c>
    </row>
    <row r="17" ht="32" customHeight="1">
      <c r="A17" s="146" t="str">
        <v>2022</v>
      </c>
      <c r="B17" s="146" t="str">
        <v>2</v>
      </c>
      <c r="C17" s="146" t="str">
        <v>3</v>
      </c>
      <c r="D17" s="146" t="str">
        <v>4</v>
      </c>
      <c r="E17" s="146" t="str">
        <v>2</v>
      </c>
      <c r="F17" s="146" t="str">
        <v>1</v>
      </c>
      <c r="G17" s="146" t="n">
        <v>155</v>
      </c>
    </row>
    <row r="18" ht="32" customHeight="1">
      <c r="A18" s="146" t="str">
        <v>2022</v>
      </c>
      <c r="B18" s="146" t="str">
        <v>2</v>
      </c>
      <c r="C18" s="146" t="str">
        <v>35</v>
      </c>
      <c r="D18" s="146" t="str">
        <v>4</v>
      </c>
      <c r="E18" s="146" t="str">
        <v>2</v>
      </c>
      <c r="F18" s="146" t="str">
        <v>1</v>
      </c>
      <c r="G18" s="146" t="n">
        <v>3</v>
      </c>
    </row>
    <row r="19" ht="32" customHeight="1">
      <c r="A19" s="146" t="str">
        <v>2022</v>
      </c>
      <c r="B19" s="146" t="str">
        <v>2</v>
      </c>
      <c r="C19" s="146" t="str">
        <v>46</v>
      </c>
      <c r="D19" s="146" t="str">
        <v>1</v>
      </c>
      <c r="E19" s="146" t="str">
        <v>1</v>
      </c>
      <c r="F19" s="146" t="str">
        <v>1</v>
      </c>
      <c r="G19" s="146" t="n">
        <v>15</v>
      </c>
    </row>
    <row r="20" ht="32" customHeight="1">
      <c r="A20" s="146" t="str">
        <v>2022</v>
      </c>
      <c r="B20" s="146" t="str">
        <v>2</v>
      </c>
      <c r="C20" s="146" t="str">
        <v>46</v>
      </c>
      <c r="D20" s="146" t="str">
        <v>2</v>
      </c>
      <c r="E20" s="146" t="str">
        <v>1</v>
      </c>
      <c r="F20" s="146" t="str">
        <v>0</v>
      </c>
      <c r="G20" s="146" t="n">
        <v>1</v>
      </c>
    </row>
    <row r="21" ht="32" customHeight="1">
      <c r="A21" s="146" t="str">
        <v>2022</v>
      </c>
      <c r="B21" s="146" t="str">
        <v>2</v>
      </c>
      <c r="C21" s="146" t="str">
        <v>46</v>
      </c>
      <c r="D21" s="146" t="str">
        <v>2</v>
      </c>
      <c r="E21" s="146" t="str">
        <v>1</v>
      </c>
      <c r="F21" s="146" t="str">
        <v>1</v>
      </c>
      <c r="G21" s="146" t="n">
        <v>39</v>
      </c>
    </row>
    <row r="22" ht="32" customHeight="1">
      <c r="A22" s="146" t="str">
        <v>2022</v>
      </c>
      <c r="B22" s="146" t="str">
        <v>2</v>
      </c>
      <c r="C22" s="146" t="str">
        <v>46</v>
      </c>
      <c r="D22" s="146" t="str">
        <v>4</v>
      </c>
      <c r="E22" s="146" t="str">
        <v>3</v>
      </c>
      <c r="F22" s="146" t="str">
        <v>1</v>
      </c>
      <c r="G22" s="146" t="n">
        <v>106</v>
      </c>
    </row>
    <row r="23" ht="32" customHeight="1">
      <c r="A23" s="146" t="str">
        <v>2022</v>
      </c>
      <c r="B23" s="146" t="str">
        <v>2</v>
      </c>
      <c r="C23" s="146" t="str">
        <v>47</v>
      </c>
      <c r="D23" s="146" t="str">
        <v>1</v>
      </c>
      <c r="E23" s="146" t="str">
        <v>1</v>
      </c>
      <c r="F23" s="146" t="str">
        <v>1</v>
      </c>
      <c r="G23" s="146" t="n">
        <v>20</v>
      </c>
    </row>
    <row r="24" ht="32" customHeight="1">
      <c r="A24" s="146" t="str">
        <v>2022</v>
      </c>
      <c r="B24" s="146" t="str">
        <v>2</v>
      </c>
      <c r="C24" s="146" t="str">
        <v>47</v>
      </c>
      <c r="D24" s="146" t="str">
        <v>2</v>
      </c>
      <c r="E24" s="146" t="str">
        <v>1</v>
      </c>
      <c r="F24" s="146" t="str">
        <v>1</v>
      </c>
      <c r="G24" s="146" t="n">
        <v>13</v>
      </c>
    </row>
    <row r="25" ht="32" customHeight="1">
      <c r="A25" s="146" t="str">
        <v>2022</v>
      </c>
      <c r="B25" s="146" t="str">
        <v>2</v>
      </c>
      <c r="C25" s="146" t="str">
        <v>47</v>
      </c>
      <c r="D25" s="146" t="str">
        <v>4</v>
      </c>
      <c r="E25" s="146" t="str">
        <v>1</v>
      </c>
      <c r="F25" s="146" t="str">
        <v>1</v>
      </c>
      <c r="G25" s="146" t="n">
        <v>80</v>
      </c>
    </row>
    <row r="26" ht="32" customHeight="1">
      <c r="A26" s="146" t="str">
        <v>2022</v>
      </c>
      <c r="B26" s="146" t="str">
        <v>2</v>
      </c>
      <c r="C26" s="146" t="str">
        <v>57</v>
      </c>
      <c r="D26" s="146" t="str">
        <v>1</v>
      </c>
      <c r="E26" s="146" t="str">
        <v>1</v>
      </c>
      <c r="F26" s="146" t="str">
        <v>0</v>
      </c>
      <c r="G26" s="146" t="n">
        <v>1</v>
      </c>
    </row>
    <row r="27" ht="32" customHeight="1">
      <c r="A27" s="146" t="str">
        <v>2022</v>
      </c>
      <c r="B27" s="146" t="str">
        <v>2</v>
      </c>
      <c r="C27" s="146" t="str">
        <v>57</v>
      </c>
      <c r="D27" s="146" t="str">
        <v>1</v>
      </c>
      <c r="E27" s="146" t="str">
        <v>1</v>
      </c>
      <c r="F27" s="146" t="str">
        <v>1</v>
      </c>
      <c r="G27" s="146" t="n">
        <v>30</v>
      </c>
    </row>
    <row r="28" ht="32" customHeight="1">
      <c r="A28" s="146" t="str">
        <v>2022</v>
      </c>
      <c r="B28" s="146" t="str">
        <v>2</v>
      </c>
      <c r="C28" s="146" t="str">
        <v>57</v>
      </c>
      <c r="D28" s="146" t="str">
        <v>2</v>
      </c>
      <c r="E28" s="146" t="str">
        <v>1</v>
      </c>
      <c r="F28" s="146" t="str">
        <v>1</v>
      </c>
      <c r="G28" s="146" t="n">
        <v>44</v>
      </c>
    </row>
    <row r="29" ht="32" customHeight="1">
      <c r="A29" s="146" t="str">
        <v>2022</v>
      </c>
      <c r="B29" s="146" t="str">
        <v>2</v>
      </c>
      <c r="C29" s="146" t="str">
        <v>57</v>
      </c>
      <c r="D29" s="146" t="str">
        <v>4</v>
      </c>
      <c r="E29" s="146" t="str">
        <v>1</v>
      </c>
      <c r="F29" s="146" t="str">
        <v>1</v>
      </c>
      <c r="G29" s="146" t="n">
        <v>169</v>
      </c>
    </row>
    <row r="30" ht="32" customHeight="1">
      <c r="A30" s="146" t="str">
        <v>2022</v>
      </c>
      <c r="B30" s="146" t="str">
        <v>2</v>
      </c>
      <c r="C30" s="146" t="str">
        <v>6</v>
      </c>
      <c r="D30" s="146" t="str">
        <v>1</v>
      </c>
      <c r="E30" s="146" t="str">
        <v>1</v>
      </c>
      <c r="F30" s="146" t="str">
        <v>1</v>
      </c>
      <c r="G30" s="146" t="n">
        <v>4</v>
      </c>
    </row>
    <row r="31" ht="32" customHeight="1">
      <c r="A31" s="146" t="str">
        <v>2022</v>
      </c>
      <c r="B31" s="146" t="str">
        <v>2</v>
      </c>
      <c r="C31" s="146" t="str">
        <v>6</v>
      </c>
      <c r="D31" s="146" t="str">
        <v>1</v>
      </c>
      <c r="E31" s="146" t="str">
        <v>2</v>
      </c>
      <c r="F31" s="146" t="str">
        <v>1</v>
      </c>
      <c r="G31" s="146" t="n">
        <v>2</v>
      </c>
    </row>
    <row r="32" ht="32" customHeight="1">
      <c r="A32" s="146" t="str">
        <v>2022</v>
      </c>
      <c r="B32" s="146" t="str">
        <v>2</v>
      </c>
      <c r="C32" s="146" t="str">
        <v>6</v>
      </c>
      <c r="D32" s="146" t="str">
        <v>2</v>
      </c>
      <c r="E32" s="146" t="str">
        <v>1</v>
      </c>
      <c r="F32" s="146" t="str">
        <v>1</v>
      </c>
      <c r="G32" s="146" t="n">
        <v>7</v>
      </c>
    </row>
    <row r="33" ht="32" customHeight="1">
      <c r="A33" s="146" t="str">
        <v>2022</v>
      </c>
      <c r="B33" s="146" t="str">
        <v>2</v>
      </c>
      <c r="C33" s="146" t="str">
        <v>6</v>
      </c>
      <c r="D33" s="146" t="str">
        <v>2</v>
      </c>
      <c r="E33" s="146" t="str">
        <v>2</v>
      </c>
      <c r="F33" s="146" t="str">
        <v>1</v>
      </c>
      <c r="G33" s="146" t="n">
        <v>16</v>
      </c>
    </row>
    <row r="34" ht="32" customHeight="1">
      <c r="A34" s="146" t="str">
        <v>2022</v>
      </c>
      <c r="B34" s="146" t="str">
        <v>2</v>
      </c>
      <c r="C34" s="146" t="str">
        <v>6</v>
      </c>
      <c r="D34" s="146" t="str">
        <v>4</v>
      </c>
      <c r="E34" s="146" t="str">
        <v>2</v>
      </c>
      <c r="F34" s="146" t="str">
        <v>1</v>
      </c>
      <c r="G34" s="146" t="n">
        <v>72</v>
      </c>
    </row>
    <row r="35" ht="32" customHeight="1">
      <c r="A35" s="146" t="str">
        <v>2023</v>
      </c>
      <c r="B35" s="146" t="str">
        <v>2</v>
      </c>
      <c r="C35" s="146" t="str">
        <v>1</v>
      </c>
      <c r="D35" s="146" t="str">
        <v>1</v>
      </c>
      <c r="E35" s="146" t="str">
        <v>2</v>
      </c>
      <c r="F35" s="146" t="str">
        <v>1</v>
      </c>
      <c r="G35" s="146" t="n">
        <v>4</v>
      </c>
    </row>
    <row r="36" ht="32" customHeight="1">
      <c r="A36" s="146" t="str">
        <v>2023</v>
      </c>
      <c r="B36" s="146" t="str">
        <v>2</v>
      </c>
      <c r="C36" s="146" t="str">
        <v>1</v>
      </c>
      <c r="D36" s="146" t="str">
        <v>2</v>
      </c>
      <c r="E36" s="146" t="str">
        <v>4</v>
      </c>
      <c r="F36" s="146" t="str">
        <v>1</v>
      </c>
      <c r="G36" s="146" t="n">
        <v>28</v>
      </c>
    </row>
    <row r="37" ht="32" customHeight="1">
      <c r="A37" s="146" t="str">
        <v>2023</v>
      </c>
      <c r="B37" s="146" t="str">
        <v>2</v>
      </c>
      <c r="C37" s="146" t="str">
        <v>1</v>
      </c>
      <c r="D37" s="146" t="str">
        <v>4</v>
      </c>
      <c r="E37" s="146" t="str">
        <v>1</v>
      </c>
      <c r="F37" s="146" t="str">
        <v>1</v>
      </c>
      <c r="G37" s="146" t="n">
        <v>1</v>
      </c>
    </row>
    <row r="38" ht="32" customHeight="1">
      <c r="A38" s="146" t="str">
        <v>2023</v>
      </c>
      <c r="B38" s="146" t="str">
        <v>2</v>
      </c>
      <c r="C38" s="146" t="str">
        <v>1</v>
      </c>
      <c r="D38" s="146" t="str">
        <v>4</v>
      </c>
      <c r="E38" s="146" t="str">
        <v>2</v>
      </c>
      <c r="F38" s="146" t="str">
        <v>1</v>
      </c>
      <c r="G38" s="146" t="n">
        <v>163</v>
      </c>
    </row>
    <row r="39" ht="32" customHeight="1">
      <c r="A39" s="146" t="str">
        <v>2023</v>
      </c>
      <c r="B39" s="146" t="str">
        <v>2</v>
      </c>
      <c r="C39" s="146" t="str">
        <v>11</v>
      </c>
      <c r="D39" s="146" t="str">
        <v>2</v>
      </c>
      <c r="E39" s="146" t="str">
        <v>1</v>
      </c>
      <c r="F39" s="146" t="str">
        <v>1</v>
      </c>
      <c r="G39" s="146" t="n">
        <v>3</v>
      </c>
    </row>
    <row r="40" ht="32" customHeight="1">
      <c r="A40" s="146" t="str">
        <v>2023</v>
      </c>
      <c r="B40" s="146" t="str">
        <v>2</v>
      </c>
      <c r="C40" s="146" t="str">
        <v>3</v>
      </c>
      <c r="D40" s="146" t="str">
        <v>2</v>
      </c>
      <c r="E40" s="146" t="str">
        <v>1</v>
      </c>
      <c r="F40" s="146" t="str">
        <v>1</v>
      </c>
      <c r="G40" s="146" t="n">
        <v>2</v>
      </c>
    </row>
    <row r="41" ht="32" customHeight="1">
      <c r="A41" s="146" t="str">
        <v>2023</v>
      </c>
      <c r="B41" s="146" t="str">
        <v>2</v>
      </c>
      <c r="C41" s="146" t="str">
        <v>3</v>
      </c>
      <c r="D41" s="146" t="str">
        <v>2</v>
      </c>
      <c r="E41" s="146" t="str">
        <v>4</v>
      </c>
      <c r="F41" s="146" t="str">
        <v>0</v>
      </c>
      <c r="G41" s="146" t="n">
        <v>1</v>
      </c>
    </row>
    <row r="42" ht="32" customHeight="1">
      <c r="A42" s="146" t="str">
        <v>2023</v>
      </c>
      <c r="B42" s="146" t="str">
        <v>2</v>
      </c>
      <c r="C42" s="146" t="str">
        <v>3</v>
      </c>
      <c r="D42" s="146" t="str">
        <v>2</v>
      </c>
      <c r="E42" s="146" t="str">
        <v>4</v>
      </c>
      <c r="F42" s="146" t="str">
        <v>1</v>
      </c>
      <c r="G42" s="146" t="n">
        <v>29</v>
      </c>
    </row>
    <row r="43" ht="32" customHeight="1">
      <c r="A43" s="146" t="str">
        <v>2023</v>
      </c>
      <c r="B43" s="146" t="str">
        <v>2</v>
      </c>
      <c r="C43" s="146" t="str">
        <v>3</v>
      </c>
      <c r="D43" s="146" t="str">
        <v>4</v>
      </c>
      <c r="E43" s="146" t="str">
        <v>2</v>
      </c>
      <c r="F43" s="146" t="str">
        <v>1</v>
      </c>
      <c r="G43" s="146" t="n">
        <v>202</v>
      </c>
    </row>
    <row r="44" ht="32" customHeight="1">
      <c r="A44" s="146" t="str">
        <v>2023</v>
      </c>
      <c r="B44" s="146" t="str">
        <v>2</v>
      </c>
      <c r="C44" s="146" t="str">
        <v>46</v>
      </c>
      <c r="D44" s="146" t="str">
        <v>1</v>
      </c>
      <c r="E44" s="146" t="str">
        <v>1</v>
      </c>
      <c r="F44" s="146" t="str">
        <v>1</v>
      </c>
      <c r="G44" s="146" t="n">
        <v>7</v>
      </c>
    </row>
    <row r="45" ht="32" customHeight="1">
      <c r="A45" s="146" t="str">
        <v>2023</v>
      </c>
      <c r="B45" s="146" t="str">
        <v>2</v>
      </c>
      <c r="C45" s="146" t="str">
        <v>46</v>
      </c>
      <c r="D45" s="146" t="str">
        <v>2</v>
      </c>
      <c r="E45" s="146" t="str">
        <v>1</v>
      </c>
      <c r="F45" s="146" t="str">
        <v>0</v>
      </c>
      <c r="G45" s="146" t="n">
        <v>1</v>
      </c>
    </row>
    <row r="46" ht="32" customHeight="1">
      <c r="A46" s="146" t="str">
        <v>2023</v>
      </c>
      <c r="B46" s="146" t="str">
        <v>2</v>
      </c>
      <c r="C46" s="146" t="str">
        <v>46</v>
      </c>
      <c r="D46" s="146" t="str">
        <v>2</v>
      </c>
      <c r="E46" s="146" t="str">
        <v>1</v>
      </c>
      <c r="F46" s="146" t="str">
        <v>1</v>
      </c>
      <c r="G46" s="146" t="n">
        <v>41</v>
      </c>
    </row>
    <row r="47" ht="32" customHeight="1">
      <c r="A47" s="146" t="str">
        <v>2023</v>
      </c>
      <c r="B47" s="146" t="str">
        <v>2</v>
      </c>
      <c r="C47" s="146" t="str">
        <v>46</v>
      </c>
      <c r="D47" s="146" t="str">
        <v>4</v>
      </c>
      <c r="E47" s="146" t="str">
        <v>3</v>
      </c>
      <c r="F47" s="146" t="str">
        <v>1</v>
      </c>
      <c r="G47" s="146" t="n">
        <v>172</v>
      </c>
    </row>
    <row r="48" ht="32" customHeight="1">
      <c r="A48" s="146" t="str">
        <v>2023</v>
      </c>
      <c r="B48" s="146" t="str">
        <v>2</v>
      </c>
      <c r="C48" s="146" t="str">
        <v>47</v>
      </c>
      <c r="D48" s="146" t="str">
        <v>1</v>
      </c>
      <c r="E48" s="146" t="str">
        <v>1</v>
      </c>
      <c r="F48" s="146" t="str">
        <v>1</v>
      </c>
      <c r="G48" s="146" t="n">
        <v>12</v>
      </c>
    </row>
    <row r="49" ht="32" customHeight="1">
      <c r="A49" s="146" t="str">
        <v>2023</v>
      </c>
      <c r="B49" s="146" t="str">
        <v>2</v>
      </c>
      <c r="C49" s="146" t="str">
        <v>47</v>
      </c>
      <c r="D49" s="146" t="str">
        <v>2</v>
      </c>
      <c r="E49" s="146" t="str">
        <v>1</v>
      </c>
      <c r="F49" s="146" t="str">
        <v>1</v>
      </c>
      <c r="G49" s="146" t="n">
        <v>5</v>
      </c>
    </row>
    <row r="50" ht="32" customHeight="1">
      <c r="A50" s="146" t="str">
        <v>2023</v>
      </c>
      <c r="B50" s="146" t="str">
        <v>2</v>
      </c>
      <c r="C50" s="146" t="str">
        <v>47</v>
      </c>
      <c r="D50" s="146" t="str">
        <v>4</v>
      </c>
      <c r="E50" s="146" t="str">
        <v>1</v>
      </c>
      <c r="F50" s="146" t="str">
        <v>1</v>
      </c>
      <c r="G50" s="146" t="n">
        <v>103</v>
      </c>
    </row>
    <row r="51" ht="32" customHeight="1">
      <c r="A51" s="146" t="str">
        <v>2023</v>
      </c>
      <c r="B51" s="146" t="str">
        <v>2</v>
      </c>
      <c r="C51" s="146" t="str">
        <v>57</v>
      </c>
      <c r="D51" s="146" t="str">
        <v>1</v>
      </c>
      <c r="E51" s="146" t="str">
        <v>1</v>
      </c>
      <c r="F51" s="146" t="str">
        <v>1</v>
      </c>
      <c r="G51" s="146" t="n">
        <v>17</v>
      </c>
    </row>
    <row r="52" ht="32" customHeight="1">
      <c r="A52" s="146" t="str">
        <v>2023</v>
      </c>
      <c r="B52" s="146" t="str">
        <v>2</v>
      </c>
      <c r="C52" s="146" t="str">
        <v>57</v>
      </c>
      <c r="D52" s="146" t="str">
        <v>2</v>
      </c>
      <c r="E52" s="146" t="str">
        <v>1</v>
      </c>
      <c r="F52" s="146" t="str">
        <v>1</v>
      </c>
      <c r="G52" s="146" t="n">
        <v>17</v>
      </c>
    </row>
    <row r="53" ht="32" customHeight="1">
      <c r="A53" s="146" t="str">
        <v>2023</v>
      </c>
      <c r="B53" s="146" t="str">
        <v>2</v>
      </c>
      <c r="C53" s="146" t="str">
        <v>57</v>
      </c>
      <c r="D53" s="146" t="str">
        <v>4</v>
      </c>
      <c r="E53" s="146" t="str">
        <v>1</v>
      </c>
      <c r="F53" s="146" t="str">
        <v>0</v>
      </c>
      <c r="G53" s="146" t="n">
        <v>1</v>
      </c>
    </row>
    <row r="54" ht="32" customHeight="1">
      <c r="A54" s="146" t="str">
        <v>2023</v>
      </c>
      <c r="B54" s="146" t="str">
        <v>2</v>
      </c>
      <c r="C54" s="146" t="str">
        <v>57</v>
      </c>
      <c r="D54" s="146" t="str">
        <v>4</v>
      </c>
      <c r="E54" s="146" t="str">
        <v>1</v>
      </c>
      <c r="F54" s="146" t="str">
        <v>1</v>
      </c>
      <c r="G54" s="146" t="n">
        <v>252</v>
      </c>
    </row>
    <row r="55" ht="32" customHeight="1">
      <c r="A55" s="146" t="str">
        <v>2023</v>
      </c>
      <c r="B55" s="146" t="str">
        <v>2</v>
      </c>
      <c r="C55" s="146" t="str">
        <v>6</v>
      </c>
      <c r="D55" s="146" t="str">
        <v>1</v>
      </c>
      <c r="E55" s="146" t="str">
        <v>2</v>
      </c>
      <c r="F55" s="146" t="str">
        <v>1</v>
      </c>
      <c r="G55" s="146" t="n">
        <v>3</v>
      </c>
    </row>
    <row r="56" ht="32" customHeight="1">
      <c r="A56" s="146" t="str">
        <v>2023</v>
      </c>
      <c r="B56" s="146" t="str">
        <v>2</v>
      </c>
      <c r="C56" s="146" t="str">
        <v>6</v>
      </c>
      <c r="D56" s="146" t="str">
        <v>2</v>
      </c>
      <c r="E56" s="146" t="str">
        <v>1</v>
      </c>
      <c r="F56" s="146" t="str">
        <v>1</v>
      </c>
      <c r="G56" s="146" t="n">
        <v>3</v>
      </c>
    </row>
    <row r="57" ht="32" customHeight="1">
      <c r="A57" s="146" t="str">
        <v>2023</v>
      </c>
      <c r="B57" s="146" t="str">
        <v>2</v>
      </c>
      <c r="C57" s="146" t="str">
        <v>6</v>
      </c>
      <c r="D57" s="146" t="str">
        <v>2</v>
      </c>
      <c r="E57" s="146" t="str">
        <v>2</v>
      </c>
      <c r="F57" s="146" t="str">
        <v>1</v>
      </c>
      <c r="G57" s="146" t="n">
        <v>5</v>
      </c>
    </row>
    <row r="58" ht="32" customHeight="1">
      <c r="A58" s="146" t="str">
        <v>2023</v>
      </c>
      <c r="B58" s="146" t="str">
        <v>2</v>
      </c>
      <c r="C58" s="146" t="str">
        <v>6</v>
      </c>
      <c r="D58" s="146" t="str">
        <v>4</v>
      </c>
      <c r="E58" s="146" t="str">
        <v>2</v>
      </c>
      <c r="F58" s="146" t="str">
        <v>1</v>
      </c>
      <c r="G58" s="146" t="n">
        <v>73</v>
      </c>
    </row>
    <row r="59" ht="32" customHeight="1">
      <c r="A59" s="146" t="str">
        <v>2024</v>
      </c>
      <c r="B59" s="146" t="str">
        <v>2</v>
      </c>
      <c r="C59" s="146" t="str">
        <v>1</v>
      </c>
      <c r="D59" s="146" t="str">
        <v>1</v>
      </c>
      <c r="E59" s="146" t="str">
        <v>2</v>
      </c>
      <c r="F59" s="146" t="str">
        <v>0</v>
      </c>
      <c r="G59" s="146" t="n">
        <v>1</v>
      </c>
    </row>
    <row r="60" ht="32" customHeight="1">
      <c r="A60" s="146" t="str">
        <v>2024</v>
      </c>
      <c r="B60" s="146" t="str">
        <v>2</v>
      </c>
      <c r="C60" s="146" t="str">
        <v>1</v>
      </c>
      <c r="D60" s="146" t="str">
        <v>1</v>
      </c>
      <c r="E60" s="146" t="str">
        <v>2</v>
      </c>
      <c r="F60" s="146" t="str">
        <v>1</v>
      </c>
      <c r="G60" s="146" t="n">
        <v>16</v>
      </c>
    </row>
    <row r="61" ht="32" customHeight="1">
      <c r="A61" s="146" t="str">
        <v>2024</v>
      </c>
      <c r="B61" s="146" t="str">
        <v>2</v>
      </c>
      <c r="C61" s="146" t="str">
        <v>1</v>
      </c>
      <c r="D61" s="146" t="str">
        <v>2</v>
      </c>
      <c r="E61" s="146" t="str">
        <v>4</v>
      </c>
      <c r="F61" s="146" t="str">
        <v>0</v>
      </c>
      <c r="G61" s="146" t="n">
        <v>1</v>
      </c>
    </row>
    <row r="62" ht="32" customHeight="1">
      <c r="A62" s="146" t="str">
        <v>2024</v>
      </c>
      <c r="B62" s="146" t="str">
        <v>2</v>
      </c>
      <c r="C62" s="146" t="str">
        <v>1</v>
      </c>
      <c r="D62" s="146" t="str">
        <v>2</v>
      </c>
      <c r="E62" s="146" t="str">
        <v>4</v>
      </c>
      <c r="F62" s="146" t="str">
        <v>1</v>
      </c>
      <c r="G62" s="146" t="n">
        <v>28</v>
      </c>
    </row>
    <row r="63" ht="32" customHeight="1">
      <c r="A63" s="146" t="str">
        <v>2024</v>
      </c>
      <c r="B63" s="146" t="str">
        <v>2</v>
      </c>
      <c r="C63" s="146" t="str">
        <v>1</v>
      </c>
      <c r="D63" s="146" t="str">
        <v>4</v>
      </c>
      <c r="E63" s="146" t="str">
        <v>2</v>
      </c>
      <c r="F63" s="146" t="str">
        <v>0</v>
      </c>
      <c r="G63" s="146" t="n">
        <v>6</v>
      </c>
    </row>
    <row r="64" ht="32" customHeight="1">
      <c r="A64" s="146" t="str">
        <v>2024</v>
      </c>
      <c r="B64" s="146" t="str">
        <v>2</v>
      </c>
      <c r="C64" s="146" t="str">
        <v>1</v>
      </c>
      <c r="D64" s="146" t="str">
        <v>4</v>
      </c>
      <c r="E64" s="146" t="str">
        <v>2</v>
      </c>
      <c r="F64" s="146" t="str">
        <v>1</v>
      </c>
      <c r="G64" s="146" t="n">
        <v>231</v>
      </c>
    </row>
    <row r="65" ht="32" customHeight="1">
      <c r="A65" s="146" t="str">
        <v>2024</v>
      </c>
      <c r="B65" s="146" t="str">
        <v>2</v>
      </c>
      <c r="C65" s="146" t="str">
        <v>1</v>
      </c>
      <c r="D65" s="146" t="str">
        <v>4</v>
      </c>
      <c r="E65" s="146" t="str">
        <v>3</v>
      </c>
      <c r="F65" s="146" t="str">
        <v>0</v>
      </c>
      <c r="G65" s="146" t="n">
        <v>1</v>
      </c>
    </row>
    <row r="66" ht="32" customHeight="1">
      <c r="A66" s="146" t="str">
        <v>2024</v>
      </c>
      <c r="B66" s="146" t="str">
        <v>2</v>
      </c>
      <c r="C66" s="146" t="str">
        <v>1</v>
      </c>
      <c r="D66" s="146" t="str">
        <v>4</v>
      </c>
      <c r="E66" s="146" t="str">
        <v>3</v>
      </c>
      <c r="F66" s="146" t="str">
        <v>1</v>
      </c>
      <c r="G66" s="146" t="n">
        <v>1</v>
      </c>
    </row>
    <row r="67" ht="32" customHeight="1">
      <c r="A67" s="146" t="str">
        <v>2024</v>
      </c>
      <c r="B67" s="146" t="str">
        <v>2</v>
      </c>
      <c r="C67" s="146" t="str">
        <v>11</v>
      </c>
      <c r="D67" s="146" t="str">
        <v>2</v>
      </c>
      <c r="E67" s="146" t="str">
        <v>1</v>
      </c>
      <c r="F67" s="146" t="str">
        <v>0</v>
      </c>
      <c r="G67" s="146" t="n">
        <v>1</v>
      </c>
    </row>
    <row r="68" ht="32" customHeight="1">
      <c r="A68" s="146" t="str">
        <v>2024</v>
      </c>
      <c r="B68" s="146" t="str">
        <v>2</v>
      </c>
      <c r="C68" s="146" t="str">
        <v>3</v>
      </c>
      <c r="D68" s="146" t="str">
        <v>1</v>
      </c>
      <c r="E68" s="146" t="str">
        <v>2</v>
      </c>
      <c r="F68" s="146" t="str">
        <v>0</v>
      </c>
      <c r="G68" s="146" t="n">
        <v>1</v>
      </c>
    </row>
    <row r="69" ht="32" customHeight="1">
      <c r="A69" s="146" t="str">
        <v>2024</v>
      </c>
      <c r="B69" s="146" t="str">
        <v>2</v>
      </c>
      <c r="C69" s="146" t="str">
        <v>3</v>
      </c>
      <c r="D69" s="146" t="str">
        <v>2</v>
      </c>
      <c r="E69" s="146" t="str">
        <v>4</v>
      </c>
      <c r="F69" s="146" t="str">
        <v>1</v>
      </c>
      <c r="G69" s="146" t="n">
        <v>25</v>
      </c>
    </row>
    <row r="70" ht="32" customHeight="1">
      <c r="A70" s="146" t="str">
        <v>2024</v>
      </c>
      <c r="B70" s="146" t="str">
        <v>2</v>
      </c>
      <c r="C70" s="146" t="str">
        <v>3</v>
      </c>
      <c r="D70" s="146" t="str">
        <v>4</v>
      </c>
      <c r="E70" s="146" t="str">
        <v>2</v>
      </c>
      <c r="F70" s="146" t="str">
        <v>0</v>
      </c>
      <c r="G70" s="146" t="n">
        <v>9</v>
      </c>
    </row>
    <row r="71" ht="32" customHeight="1">
      <c r="A71" s="146" t="str">
        <v>2024</v>
      </c>
      <c r="B71" s="146" t="str">
        <v>2</v>
      </c>
      <c r="C71" s="146" t="str">
        <v>3</v>
      </c>
      <c r="D71" s="146" t="str">
        <v>4</v>
      </c>
      <c r="E71" s="146" t="str">
        <v>2</v>
      </c>
      <c r="F71" s="146" t="str">
        <v>1</v>
      </c>
      <c r="G71" s="146" t="n">
        <v>267</v>
      </c>
    </row>
    <row r="72" ht="32" customHeight="1">
      <c r="A72" s="146" t="str">
        <v>2024</v>
      </c>
      <c r="B72" s="146" t="str">
        <v>2</v>
      </c>
      <c r="C72" s="146" t="str">
        <v>3</v>
      </c>
      <c r="D72" s="146" t="str">
        <v>4</v>
      </c>
      <c r="E72" s="146" t="str">
        <v>3</v>
      </c>
      <c r="F72" s="146" t="str">
        <v>0</v>
      </c>
      <c r="G72" s="146" t="n">
        <v>2</v>
      </c>
    </row>
    <row r="73" ht="32" customHeight="1">
      <c r="A73" s="146" t="str">
        <v>2024</v>
      </c>
      <c r="B73" s="146" t="str">
        <v>2</v>
      </c>
      <c r="C73" s="146" t="str">
        <v>46</v>
      </c>
      <c r="D73" s="146" t="str">
        <v>1</v>
      </c>
      <c r="E73" s="146" t="str">
        <v>1</v>
      </c>
      <c r="F73" s="146" t="str">
        <v>1</v>
      </c>
      <c r="G73" s="146" t="n">
        <v>21</v>
      </c>
    </row>
    <row r="74" ht="32" customHeight="1">
      <c r="A74" s="146" t="str">
        <v>2024</v>
      </c>
      <c r="B74" s="146" t="str">
        <v>2</v>
      </c>
      <c r="C74" s="146" t="str">
        <v>46</v>
      </c>
      <c r="D74" s="146" t="str">
        <v>2</v>
      </c>
      <c r="E74" s="146" t="str">
        <v>1</v>
      </c>
      <c r="F74" s="146" t="str">
        <v>0</v>
      </c>
      <c r="G74" s="146" t="n">
        <v>1</v>
      </c>
    </row>
    <row r="75" ht="32" customHeight="1">
      <c r="A75" s="146" t="str">
        <v>2024</v>
      </c>
      <c r="B75" s="146" t="str">
        <v>2</v>
      </c>
      <c r="C75" s="146" t="str">
        <v>46</v>
      </c>
      <c r="D75" s="146" t="str">
        <v>2</v>
      </c>
      <c r="E75" s="146" t="str">
        <v>1</v>
      </c>
      <c r="F75" s="146" t="str">
        <v>1</v>
      </c>
      <c r="G75" s="146" t="n">
        <v>42</v>
      </c>
    </row>
    <row r="76" ht="32" customHeight="1">
      <c r="A76" s="146" t="str">
        <v>2024</v>
      </c>
      <c r="B76" s="146" t="str">
        <v>2</v>
      </c>
      <c r="C76" s="146" t="str">
        <v>46</v>
      </c>
      <c r="D76" s="146" t="str">
        <v>4</v>
      </c>
      <c r="E76" s="146" t="str">
        <v>1</v>
      </c>
      <c r="F76" s="146" t="str">
        <v>1</v>
      </c>
      <c r="G76" s="146" t="n">
        <v>1</v>
      </c>
    </row>
    <row r="77" ht="32" customHeight="1">
      <c r="A77" s="146" t="str">
        <v>2024</v>
      </c>
      <c r="B77" s="146" t="str">
        <v>2</v>
      </c>
      <c r="C77" s="146" t="str">
        <v>46</v>
      </c>
      <c r="D77" s="146" t="str">
        <v>4</v>
      </c>
      <c r="E77" s="146" t="str">
        <v>3</v>
      </c>
      <c r="F77" s="146" t="str">
        <v>0</v>
      </c>
      <c r="G77" s="146" t="n">
        <v>10</v>
      </c>
    </row>
    <row r="78" ht="32" customHeight="1">
      <c r="A78" s="146" t="str">
        <v>2024</v>
      </c>
      <c r="B78" s="146" t="str">
        <v>2</v>
      </c>
      <c r="C78" s="146" t="str">
        <v>46</v>
      </c>
      <c r="D78" s="146" t="str">
        <v>4</v>
      </c>
      <c r="E78" s="146" t="str">
        <v>3</v>
      </c>
      <c r="F78" s="146" t="str">
        <v>1</v>
      </c>
      <c r="G78" s="146" t="n">
        <v>233</v>
      </c>
    </row>
    <row r="79" ht="32" customHeight="1">
      <c r="A79" s="146" t="str">
        <v>2024</v>
      </c>
      <c r="B79" s="146" t="str">
        <v>2</v>
      </c>
      <c r="C79" s="146" t="str">
        <v>47</v>
      </c>
      <c r="D79" s="146" t="str">
        <v>1</v>
      </c>
      <c r="E79" s="146" t="str">
        <v>1</v>
      </c>
      <c r="F79" s="146" t="str">
        <v>1</v>
      </c>
      <c r="G79" s="146" t="n">
        <v>8</v>
      </c>
    </row>
    <row r="80" ht="32" customHeight="1">
      <c r="A80" s="146" t="str">
        <v>2024</v>
      </c>
      <c r="B80" s="146" t="str">
        <v>2</v>
      </c>
      <c r="C80" s="146" t="str">
        <v>47</v>
      </c>
      <c r="D80" s="146" t="str">
        <v>2</v>
      </c>
      <c r="E80" s="146" t="str">
        <v>1</v>
      </c>
      <c r="F80" s="146" t="str">
        <v>0</v>
      </c>
      <c r="G80" s="146" t="n">
        <v>4</v>
      </c>
    </row>
    <row r="81" ht="32" customHeight="1">
      <c r="A81" s="146" t="str">
        <v>2024</v>
      </c>
      <c r="B81" s="146" t="str">
        <v>2</v>
      </c>
      <c r="C81" s="146" t="str">
        <v>47</v>
      </c>
      <c r="D81" s="146" t="str">
        <v>2</v>
      </c>
      <c r="E81" s="146" t="str">
        <v>1</v>
      </c>
      <c r="F81" s="146" t="str">
        <v>1</v>
      </c>
      <c r="G81" s="146" t="n">
        <v>12</v>
      </c>
    </row>
    <row r="82" ht="32" customHeight="1">
      <c r="A82" s="146" t="str">
        <v>2024</v>
      </c>
      <c r="B82" s="146" t="str">
        <v>2</v>
      </c>
      <c r="C82" s="146" t="str">
        <v>47</v>
      </c>
      <c r="D82" s="146" t="str">
        <v>4</v>
      </c>
      <c r="E82" s="146" t="str">
        <v>1</v>
      </c>
      <c r="F82" s="146" t="str">
        <v>0</v>
      </c>
      <c r="G82" s="146" t="n">
        <v>6</v>
      </c>
    </row>
    <row r="83" ht="32" customHeight="1">
      <c r="A83" s="146" t="str">
        <v>2024</v>
      </c>
      <c r="B83" s="146" t="str">
        <v>2</v>
      </c>
      <c r="C83" s="146" t="str">
        <v>47</v>
      </c>
      <c r="D83" s="146" t="str">
        <v>4</v>
      </c>
      <c r="E83" s="146" t="str">
        <v>1</v>
      </c>
      <c r="F83" s="146" t="str">
        <v>1</v>
      </c>
      <c r="G83" s="146" t="n">
        <v>117</v>
      </c>
    </row>
    <row r="84" ht="32" customHeight="1">
      <c r="A84" s="146" t="str">
        <v>2024</v>
      </c>
      <c r="B84" s="146" t="str">
        <v>2</v>
      </c>
      <c r="C84" s="146" t="str">
        <v>57</v>
      </c>
      <c r="D84" s="146" t="str">
        <v>1</v>
      </c>
      <c r="E84" s="146" t="str">
        <v>1</v>
      </c>
      <c r="F84" s="146" t="str">
        <v>1</v>
      </c>
      <c r="G84" s="146" t="n">
        <v>22</v>
      </c>
    </row>
    <row r="85" ht="32" customHeight="1">
      <c r="A85" s="146" t="str">
        <v>2024</v>
      </c>
      <c r="B85" s="146" t="str">
        <v>2</v>
      </c>
      <c r="C85" s="146" t="str">
        <v>57</v>
      </c>
      <c r="D85" s="146" t="str">
        <v>2</v>
      </c>
      <c r="E85" s="146" t="str">
        <v>1</v>
      </c>
      <c r="F85" s="146" t="str">
        <v>0</v>
      </c>
      <c r="G85" s="146" t="n">
        <v>3</v>
      </c>
    </row>
    <row r="86" ht="32" customHeight="1">
      <c r="A86" s="146" t="str">
        <v>2024</v>
      </c>
      <c r="B86" s="146" t="str">
        <v>2</v>
      </c>
      <c r="C86" s="146" t="str">
        <v>57</v>
      </c>
      <c r="D86" s="146" t="str">
        <v>2</v>
      </c>
      <c r="E86" s="146" t="str">
        <v>1</v>
      </c>
      <c r="F86" s="146" t="str">
        <v>1</v>
      </c>
      <c r="G86" s="146" t="n">
        <v>24</v>
      </c>
    </row>
    <row r="87" ht="32" customHeight="1">
      <c r="A87" s="146" t="str">
        <v>2024</v>
      </c>
      <c r="B87" s="146" t="str">
        <v>2</v>
      </c>
      <c r="C87" s="146" t="str">
        <v>57</v>
      </c>
      <c r="D87" s="146" t="str">
        <v>4</v>
      </c>
      <c r="E87" s="146" t="str">
        <v>1</v>
      </c>
      <c r="F87" s="146" t="str">
        <v>0</v>
      </c>
      <c r="G87" s="146" t="n">
        <v>7</v>
      </c>
    </row>
    <row r="88" ht="32" customHeight="1">
      <c r="A88" s="146" t="str">
        <v>2024</v>
      </c>
      <c r="B88" s="146" t="str">
        <v>2</v>
      </c>
      <c r="C88" s="146" t="str">
        <v>57</v>
      </c>
      <c r="D88" s="146" t="str">
        <v>4</v>
      </c>
      <c r="E88" s="146" t="str">
        <v>1</v>
      </c>
      <c r="F88" s="146" t="str">
        <v>1</v>
      </c>
      <c r="G88" s="146" t="n">
        <v>275</v>
      </c>
    </row>
    <row r="89" ht="32" customHeight="1">
      <c r="A89" s="146" t="str">
        <v>2024</v>
      </c>
      <c r="B89" s="146" t="str">
        <v>2</v>
      </c>
      <c r="C89" s="146" t="str">
        <v>6</v>
      </c>
      <c r="D89" s="146" t="str">
        <v>1</v>
      </c>
      <c r="E89" s="146" t="str">
        <v>2</v>
      </c>
      <c r="F89" s="146" t="str">
        <v>0</v>
      </c>
      <c r="G89" s="146" t="n">
        <v>1</v>
      </c>
    </row>
    <row r="90" ht="32" customHeight="1">
      <c r="A90" s="146" t="str">
        <v>2024</v>
      </c>
      <c r="B90" s="146" t="str">
        <v>2</v>
      </c>
      <c r="C90" s="146" t="str">
        <v>6</v>
      </c>
      <c r="D90" s="146" t="str">
        <v>1</v>
      </c>
      <c r="E90" s="146" t="str">
        <v>2</v>
      </c>
      <c r="F90" s="146" t="str">
        <v>1</v>
      </c>
      <c r="G90" s="146" t="n">
        <v>1</v>
      </c>
    </row>
    <row r="91" ht="32" customHeight="1">
      <c r="A91" s="146" t="str">
        <v>2024</v>
      </c>
      <c r="B91" s="146" t="str">
        <v>2</v>
      </c>
      <c r="C91" s="146" t="str">
        <v>6</v>
      </c>
      <c r="D91" s="146" t="str">
        <v>2</v>
      </c>
      <c r="E91" s="146" t="str">
        <v>2</v>
      </c>
      <c r="F91" s="146" t="str">
        <v>0</v>
      </c>
      <c r="G91" s="146" t="n">
        <v>1</v>
      </c>
    </row>
    <row r="92" ht="32" customHeight="1">
      <c r="A92" s="146" t="str">
        <v>2024</v>
      </c>
      <c r="B92" s="146" t="str">
        <v>2</v>
      </c>
      <c r="C92" s="146" t="str">
        <v>6</v>
      </c>
      <c r="D92" s="146" t="str">
        <v>2</v>
      </c>
      <c r="E92" s="146" t="str">
        <v>2</v>
      </c>
      <c r="F92" s="146" t="str">
        <v>1</v>
      </c>
      <c r="G92" s="146" t="n">
        <v>6</v>
      </c>
    </row>
    <row r="93" ht="32" customHeight="1">
      <c r="A93" s="146" t="str">
        <v>2024</v>
      </c>
      <c r="B93" s="146" t="str">
        <v>2</v>
      </c>
      <c r="C93" s="146" t="str">
        <v>6</v>
      </c>
      <c r="D93" s="146" t="str">
        <v>4</v>
      </c>
      <c r="E93" s="146" t="str">
        <v>2</v>
      </c>
      <c r="F93" s="146" t="str">
        <v>0</v>
      </c>
      <c r="G93" s="146" t="n">
        <v>3</v>
      </c>
    </row>
    <row r="94" ht="32" customHeight="1">
      <c r="A94" s="146" t="str">
        <v>2024</v>
      </c>
      <c r="B94" s="146" t="str">
        <v>2</v>
      </c>
      <c r="C94" s="146" t="str">
        <v>6</v>
      </c>
      <c r="D94" s="146" t="str">
        <v>4</v>
      </c>
      <c r="E94" s="146" t="str">
        <v>2</v>
      </c>
      <c r="F94" s="146" t="str">
        <v>1</v>
      </c>
      <c r="G94" s="146" t="n">
        <v>63</v>
      </c>
    </row>
    <row r="95" ht="32" customHeight="1">
      <c r="A95" s="146" t="str">
        <v>2024</v>
      </c>
      <c r="B95" s="146" t="str">
        <v>2</v>
      </c>
      <c r="C95" s="146" t="str">
        <v>76</v>
      </c>
      <c r="D95" s="146" t="str">
        <v>1</v>
      </c>
      <c r="E95" s="146" t="str">
        <v>1</v>
      </c>
      <c r="F95" s="146" t="str">
        <v>0</v>
      </c>
      <c r="G95" s="146" t="n">
        <v>1</v>
      </c>
    </row>
    <row r="96" ht="32" customHeight="1">
      <c r="A96" s="146" t="str">
        <v>2024</v>
      </c>
      <c r="B96" s="146" t="str">
        <v>2</v>
      </c>
      <c r="C96" s="146" t="str">
        <v>76</v>
      </c>
      <c r="D96" s="146" t="str">
        <v>2</v>
      </c>
      <c r="E96" s="146" t="str">
        <v>1</v>
      </c>
      <c r="F96" s="146" t="str">
        <v>0</v>
      </c>
      <c r="G96" s="146" t="n">
        <v>2</v>
      </c>
    </row>
    <row r="97" ht="32" customHeight="1">
      <c r="A97" s="146" t="str">
        <v>2024</v>
      </c>
      <c r="B97" s="146" t="str">
        <v>2</v>
      </c>
      <c r="C97" s="146" t="str">
        <v>76</v>
      </c>
      <c r="D97" s="146" t="str">
        <v>2</v>
      </c>
      <c r="E97" s="146" t="str">
        <v>1</v>
      </c>
      <c r="F97" s="146" t="str">
        <v>1</v>
      </c>
      <c r="G97" s="146" t="n">
        <v>1</v>
      </c>
    </row>
    <row r="98" ht="32" customHeight="1">
      <c r="A98" s="146" t="str">
        <v>2024</v>
      </c>
      <c r="B98" s="146" t="str">
        <v>2</v>
      </c>
      <c r="C98" s="146" t="str">
        <v>76</v>
      </c>
      <c r="D98" s="146" t="str">
        <v>4</v>
      </c>
      <c r="E98" s="146" t="str">
        <v>1</v>
      </c>
      <c r="F98" s="146" t="str">
        <v>0</v>
      </c>
      <c r="G98" s="146" t="n">
        <v>5</v>
      </c>
    </row>
    <row r="99" ht="32" customHeight="1">
      <c r="A99" s="146" t="str">
        <v>2024</v>
      </c>
      <c r="B99" s="146" t="str">
        <v>2</v>
      </c>
      <c r="C99" s="146" t="str">
        <v>76</v>
      </c>
      <c r="D99" s="146" t="str">
        <v>4</v>
      </c>
      <c r="E99" s="146" t="str">
        <v>1</v>
      </c>
      <c r="F99" s="146" t="str">
        <v>1</v>
      </c>
      <c r="G99" s="146" t="n">
        <v>7</v>
      </c>
    </row>
    <row r="100" ht="32" customHeight="1">
      <c r="A100" s="146" t="str">
        <v>2024</v>
      </c>
      <c r="B100" s="146" t="str">
        <v>2</v>
      </c>
      <c r="C100" s="146" t="str">
        <v>77</v>
      </c>
      <c r="D100" s="146" t="str">
        <v>2</v>
      </c>
      <c r="E100" s="146" t="str">
        <v>1</v>
      </c>
      <c r="F100" s="146" t="str">
        <v>0</v>
      </c>
      <c r="G100" s="146" t="n">
        <v>2</v>
      </c>
    </row>
    <row r="101" ht="32" customHeight="1">
      <c r="A101" s="146" t="str">
        <v>2024</v>
      </c>
      <c r="B101" s="146" t="str">
        <v>2</v>
      </c>
      <c r="C101" s="146" t="str">
        <v>77</v>
      </c>
      <c r="D101" s="146" t="str">
        <v>2</v>
      </c>
      <c r="E101" s="146" t="str">
        <v>1</v>
      </c>
      <c r="F101" s="146" t="str">
        <v>1</v>
      </c>
      <c r="G101" s="146" t="n">
        <v>7</v>
      </c>
    </row>
    <row r="102" ht="32" customHeight="1">
      <c r="A102" s="146" t="str">
        <v>2024</v>
      </c>
      <c r="B102" s="146" t="str">
        <v>2</v>
      </c>
      <c r="C102" s="146" t="str">
        <v>77</v>
      </c>
      <c r="D102" s="146" t="str">
        <v>4</v>
      </c>
      <c r="E102" s="146" t="str">
        <v>1</v>
      </c>
      <c r="F102" s="146" t="str">
        <v>1</v>
      </c>
      <c r="G102" s="146" t="n">
        <v>9</v>
      </c>
    </row>
    <row r="103" ht="32" customHeight="1">
      <c r="A103" s="146" t="str">
        <v>2024</v>
      </c>
      <c r="B103" s="146" t="str">
        <v>2</v>
      </c>
      <c r="C103" s="146" t="str">
        <v>78</v>
      </c>
      <c r="D103" s="146" t="str">
        <v>1</v>
      </c>
      <c r="E103" s="146" t="str">
        <v>1</v>
      </c>
      <c r="F103" s="146" t="str">
        <v>0</v>
      </c>
      <c r="G103" s="146" t="n">
        <v>1</v>
      </c>
    </row>
    <row r="104" ht="32" customHeight="1">
      <c r="A104" s="146" t="str">
        <v>2024</v>
      </c>
      <c r="B104" s="146" t="str">
        <v>2</v>
      </c>
      <c r="C104" s="146" t="str">
        <v>78</v>
      </c>
      <c r="D104" s="146" t="str">
        <v>2</v>
      </c>
      <c r="E104" s="146" t="str">
        <v>1</v>
      </c>
      <c r="F104" s="146" t="str">
        <v>0</v>
      </c>
      <c r="G104" s="146" t="n">
        <v>4</v>
      </c>
    </row>
    <row r="105" ht="32" customHeight="1">
      <c r="A105" s="146" t="str">
        <v>2024</v>
      </c>
      <c r="B105" s="146" t="str">
        <v>2</v>
      </c>
      <c r="C105" s="146" t="str">
        <v>78</v>
      </c>
      <c r="D105" s="146" t="str">
        <v>2</v>
      </c>
      <c r="E105" s="146" t="str">
        <v>1</v>
      </c>
      <c r="F105" s="146" t="str">
        <v>1</v>
      </c>
      <c r="G105" s="146" t="n">
        <v>7</v>
      </c>
    </row>
    <row r="106" ht="32" customHeight="1">
      <c r="A106" s="146" t="str">
        <v>2024</v>
      </c>
      <c r="B106" s="146" t="str">
        <v>2</v>
      </c>
      <c r="C106" s="146" t="str">
        <v>78</v>
      </c>
      <c r="D106" s="146" t="str">
        <v>4</v>
      </c>
      <c r="E106" s="146" t="str">
        <v>1</v>
      </c>
      <c r="F106" s="146" t="str">
        <v>0</v>
      </c>
      <c r="G106" s="146" t="n">
        <v>4</v>
      </c>
    </row>
    <row r="107" ht="32" customHeight="1">
      <c r="A107" s="146" t="str">
        <v>2024</v>
      </c>
      <c r="B107" s="146" t="str">
        <v>2</v>
      </c>
      <c r="C107" s="146" t="str">
        <v>78</v>
      </c>
      <c r="D107" s="146" t="str">
        <v>4</v>
      </c>
      <c r="E107" s="146" t="str">
        <v>1</v>
      </c>
      <c r="F107" s="146" t="str">
        <v>1</v>
      </c>
      <c r="G107" s="146" t="n">
        <v>8</v>
      </c>
    </row>
    <row r="108" ht="32" customHeight="1">
      <c r="A108" s="146" t="str">
        <v>2024</v>
      </c>
      <c r="B108" s="146" t="str">
        <v>2</v>
      </c>
      <c r="C108" s="146" t="str">
        <v>79</v>
      </c>
      <c r="D108" s="146" t="str">
        <v>2</v>
      </c>
      <c r="E108" s="146" t="str">
        <v>1</v>
      </c>
      <c r="F108" s="146" t="str">
        <v>0</v>
      </c>
      <c r="G108" s="146" t="n">
        <v>1</v>
      </c>
    </row>
    <row r="109" ht="32" customHeight="1">
      <c r="A109" s="146" t="str">
        <v>2024</v>
      </c>
      <c r="B109" s="146" t="str">
        <v>2</v>
      </c>
      <c r="C109" s="146" t="str">
        <v>79</v>
      </c>
      <c r="D109" s="146" t="str">
        <v>2</v>
      </c>
      <c r="E109" s="146" t="str">
        <v>1</v>
      </c>
      <c r="F109" s="146" t="str">
        <v>1</v>
      </c>
      <c r="G109" s="146" t="n">
        <v>8</v>
      </c>
    </row>
    <row r="110" ht="32" customHeight="1">
      <c r="A110" s="146" t="str">
        <v>2024</v>
      </c>
      <c r="B110" s="146" t="str">
        <v>2</v>
      </c>
      <c r="C110" s="146" t="str">
        <v>79</v>
      </c>
      <c r="D110" s="146" t="str">
        <v>4</v>
      </c>
      <c r="E110" s="146" t="str">
        <v>1</v>
      </c>
      <c r="F110" s="146" t="str">
        <v>0</v>
      </c>
      <c r="G110" s="146" t="n">
        <v>8</v>
      </c>
    </row>
    <row r="111" ht="32" customHeight="1">
      <c r="A111" s="146" t="str">
        <v>2024</v>
      </c>
      <c r="B111" s="146" t="str">
        <v>2</v>
      </c>
      <c r="C111" s="146" t="str">
        <v>79</v>
      </c>
      <c r="D111" s="146" t="str">
        <v>4</v>
      </c>
      <c r="E111" s="146" t="str">
        <v>1</v>
      </c>
      <c r="F111" s="146" t="str">
        <v>1</v>
      </c>
      <c r="G111" s="146" t="n">
        <v>15</v>
      </c>
    </row>
    <row r="112" ht="32" customHeight="1">
      <c r="A112" s="146" t="str">
        <v>2025</v>
      </c>
      <c r="B112" s="146" t="str">
        <v>2</v>
      </c>
      <c r="C112" s="146" t="str">
        <v>1</v>
      </c>
      <c r="D112" s="146" t="str">
        <v>1</v>
      </c>
      <c r="E112" s="146" t="str">
        <v>1</v>
      </c>
      <c r="F112" s="146" t="str">
        <v>1</v>
      </c>
      <c r="G112" s="146" t="n">
        <v>7</v>
      </c>
    </row>
    <row r="113" ht="32" customHeight="1">
      <c r="A113" s="146" t="str">
        <v>2025</v>
      </c>
      <c r="B113" s="146" t="str">
        <v>2</v>
      </c>
      <c r="C113" s="146" t="str">
        <v>1</v>
      </c>
      <c r="D113" s="146" t="str">
        <v>1</v>
      </c>
      <c r="E113" s="146" t="str">
        <v>2</v>
      </c>
      <c r="F113" s="146" t="str">
        <v>1</v>
      </c>
      <c r="G113" s="146" t="n">
        <v>23</v>
      </c>
    </row>
    <row r="114" ht="32" customHeight="1">
      <c r="A114" s="146" t="str">
        <v>2025</v>
      </c>
      <c r="B114" s="146" t="str">
        <v>2</v>
      </c>
      <c r="C114" s="146" t="str">
        <v>1</v>
      </c>
      <c r="D114" s="146" t="str">
        <v>2</v>
      </c>
      <c r="E114" s="146" t="str">
        <v>1</v>
      </c>
      <c r="F114" s="146" t="str">
        <v>1</v>
      </c>
      <c r="G114" s="146" t="n">
        <v>9</v>
      </c>
    </row>
    <row r="115" ht="32" customHeight="1">
      <c r="A115" s="146" t="str">
        <v>2025</v>
      </c>
      <c r="B115" s="146" t="str">
        <v>2</v>
      </c>
      <c r="C115" s="146" t="str">
        <v>1</v>
      </c>
      <c r="D115" s="146" t="str">
        <v>2</v>
      </c>
      <c r="E115" s="146" t="str">
        <v>4</v>
      </c>
      <c r="F115" s="146" t="str">
        <v>0</v>
      </c>
      <c r="G115" s="146" t="n">
        <v>3</v>
      </c>
    </row>
    <row r="116" ht="32" customHeight="1">
      <c r="A116" s="146" t="str">
        <v>2025</v>
      </c>
      <c r="B116" s="146" t="str">
        <v>2</v>
      </c>
      <c r="C116" s="146" t="str">
        <v>1</v>
      </c>
      <c r="D116" s="146" t="str">
        <v>2</v>
      </c>
      <c r="E116" s="146" t="str">
        <v>4</v>
      </c>
      <c r="F116" s="146" t="str">
        <v>1</v>
      </c>
      <c r="G116" s="146" t="n">
        <v>21</v>
      </c>
    </row>
    <row r="117" ht="32" customHeight="1">
      <c r="A117" s="146" t="str">
        <v>2025</v>
      </c>
      <c r="B117" s="146" t="str">
        <v>2</v>
      </c>
      <c r="C117" s="146" t="str">
        <v>1</v>
      </c>
      <c r="D117" s="146" t="str">
        <v>4</v>
      </c>
      <c r="E117" s="146" t="str">
        <v>2</v>
      </c>
      <c r="F117" s="146" t="str">
        <v>0</v>
      </c>
      <c r="G117" s="146" t="n">
        <v>14</v>
      </c>
    </row>
    <row r="118" ht="32" customHeight="1">
      <c r="A118" s="146" t="str">
        <v>2025</v>
      </c>
      <c r="B118" s="146" t="str">
        <v>2</v>
      </c>
      <c r="C118" s="146" t="str">
        <v>1</v>
      </c>
      <c r="D118" s="146" t="str">
        <v>4</v>
      </c>
      <c r="E118" s="146" t="str">
        <v>2</v>
      </c>
      <c r="F118" s="146" t="str">
        <v>1</v>
      </c>
      <c r="G118" s="146" t="n">
        <v>240</v>
      </c>
    </row>
    <row r="119" ht="32" customHeight="1">
      <c r="A119" s="146" t="str">
        <v>2025</v>
      </c>
      <c r="B119" s="146" t="str">
        <v>2</v>
      </c>
      <c r="C119" s="146" t="str">
        <v>1</v>
      </c>
      <c r="D119" s="146" t="str">
        <v>4</v>
      </c>
      <c r="E119" s="146" t="str">
        <v>3</v>
      </c>
      <c r="F119" s="146" t="str">
        <v>1</v>
      </c>
      <c r="G119" s="146" t="n">
        <v>34</v>
      </c>
    </row>
    <row r="120" ht="32" customHeight="1">
      <c r="A120" s="146" t="str">
        <v>2025</v>
      </c>
      <c r="B120" s="146" t="str">
        <v>2</v>
      </c>
      <c r="C120" s="146" t="str">
        <v>11</v>
      </c>
      <c r="D120" s="146" t="str">
        <v>2</v>
      </c>
      <c r="E120" s="146" t="str">
        <v>1</v>
      </c>
      <c r="F120" s="146" t="str">
        <v>1</v>
      </c>
      <c r="G120" s="146" t="n">
        <v>1</v>
      </c>
    </row>
    <row r="121" ht="32" customHeight="1">
      <c r="A121" s="146" t="str">
        <v>2025</v>
      </c>
      <c r="B121" s="146" t="str">
        <v>2</v>
      </c>
      <c r="C121" s="146" t="str">
        <v>3</v>
      </c>
      <c r="D121" s="146" t="str">
        <v>2</v>
      </c>
      <c r="E121" s="146" t="str">
        <v>1</v>
      </c>
      <c r="F121" s="146" t="str">
        <v>1</v>
      </c>
      <c r="G121" s="146" t="n">
        <v>4</v>
      </c>
    </row>
    <row r="122" ht="32" customHeight="1">
      <c r="A122" s="146" t="str">
        <v>2025</v>
      </c>
      <c r="B122" s="146" t="str">
        <v>2</v>
      </c>
      <c r="C122" s="146" t="str">
        <v>3</v>
      </c>
      <c r="D122" s="146" t="str">
        <v>2</v>
      </c>
      <c r="E122" s="146" t="str">
        <v>4</v>
      </c>
      <c r="F122" s="146" t="str">
        <v>1</v>
      </c>
      <c r="G122" s="146" t="n">
        <v>11</v>
      </c>
    </row>
    <row r="123" ht="32" customHeight="1">
      <c r="A123" s="146" t="str">
        <v>2025</v>
      </c>
      <c r="B123" s="146" t="str">
        <v>2</v>
      </c>
      <c r="C123" s="146" t="str">
        <v>3</v>
      </c>
      <c r="D123" s="146" t="str">
        <v>4</v>
      </c>
      <c r="E123" s="146" t="str">
        <v>2</v>
      </c>
      <c r="F123" s="146" t="str">
        <v>0</v>
      </c>
      <c r="G123" s="146" t="n">
        <v>5</v>
      </c>
    </row>
    <row r="124" ht="32" customHeight="1">
      <c r="A124" s="146" t="str">
        <v>2025</v>
      </c>
      <c r="B124" s="146" t="str">
        <v>2</v>
      </c>
      <c r="C124" s="146" t="str">
        <v>3</v>
      </c>
      <c r="D124" s="146" t="str">
        <v>4</v>
      </c>
      <c r="E124" s="146" t="str">
        <v>2</v>
      </c>
      <c r="F124" s="146" t="str">
        <v>1</v>
      </c>
      <c r="G124" s="146" t="n">
        <v>239</v>
      </c>
    </row>
    <row r="125" ht="32" customHeight="1">
      <c r="A125" s="146" t="str">
        <v>2025</v>
      </c>
      <c r="B125" s="146" t="str">
        <v>2</v>
      </c>
      <c r="C125" s="146" t="str">
        <v>3</v>
      </c>
      <c r="D125" s="146" t="str">
        <v>4</v>
      </c>
      <c r="E125" s="146" t="str">
        <v>3</v>
      </c>
      <c r="F125" s="146" t="str">
        <v>1</v>
      </c>
      <c r="G125" s="146" t="n">
        <v>43</v>
      </c>
    </row>
    <row r="126" ht="32" customHeight="1">
      <c r="A126" s="146" t="str">
        <v>2025</v>
      </c>
      <c r="B126" s="146" t="str">
        <v>2</v>
      </c>
      <c r="C126" s="146" t="str">
        <v>46</v>
      </c>
      <c r="D126" s="146" t="str">
        <v>1</v>
      </c>
      <c r="E126" s="146" t="str">
        <v>1</v>
      </c>
      <c r="F126" s="146" t="str">
        <v>1</v>
      </c>
      <c r="G126" s="146" t="n">
        <v>33</v>
      </c>
    </row>
    <row r="127" ht="32" customHeight="1">
      <c r="A127" s="146" t="str">
        <v>2025</v>
      </c>
      <c r="B127" s="146" t="str">
        <v>2</v>
      </c>
      <c r="C127" s="146" t="str">
        <v>46</v>
      </c>
      <c r="D127" s="146" t="str">
        <v>2</v>
      </c>
      <c r="E127" s="146" t="str">
        <v>1</v>
      </c>
      <c r="F127" s="146" t="str">
        <v>0</v>
      </c>
      <c r="G127" s="146" t="n">
        <v>2</v>
      </c>
    </row>
    <row r="128" ht="32" customHeight="1">
      <c r="A128" s="146" t="str">
        <v>2025</v>
      </c>
      <c r="B128" s="146" t="str">
        <v>2</v>
      </c>
      <c r="C128" s="146" t="str">
        <v>46</v>
      </c>
      <c r="D128" s="146" t="str">
        <v>2</v>
      </c>
      <c r="E128" s="146" t="str">
        <v>1</v>
      </c>
      <c r="F128" s="146" t="str">
        <v>1</v>
      </c>
      <c r="G128" s="146" t="n">
        <v>34</v>
      </c>
    </row>
    <row r="129" ht="32" customHeight="1">
      <c r="A129" s="146" t="str">
        <v>2025</v>
      </c>
      <c r="B129" s="146" t="str">
        <v>2</v>
      </c>
      <c r="C129" s="146" t="str">
        <v>46</v>
      </c>
      <c r="D129" s="146" t="str">
        <v>4</v>
      </c>
      <c r="E129" s="146" t="str">
        <v>1</v>
      </c>
      <c r="F129" s="146" t="str">
        <v>1</v>
      </c>
      <c r="G129" s="146" t="n">
        <v>42</v>
      </c>
    </row>
    <row r="130" ht="32" customHeight="1">
      <c r="A130" s="146" t="str">
        <v>2025</v>
      </c>
      <c r="B130" s="146" t="str">
        <v>2</v>
      </c>
      <c r="C130" s="146" t="str">
        <v>46</v>
      </c>
      <c r="D130" s="146" t="str">
        <v>4</v>
      </c>
      <c r="E130" s="146" t="str">
        <v>3</v>
      </c>
      <c r="F130" s="146" t="str">
        <v>0</v>
      </c>
      <c r="G130" s="146" t="n">
        <v>7</v>
      </c>
    </row>
    <row r="131" ht="32" customHeight="1">
      <c r="A131" s="146" t="str">
        <v>2025</v>
      </c>
      <c r="B131" s="146" t="str">
        <v>2</v>
      </c>
      <c r="C131" s="146" t="str">
        <v>46</v>
      </c>
      <c r="D131" s="146" t="str">
        <v>4</v>
      </c>
      <c r="E131" s="146" t="str">
        <v>3</v>
      </c>
      <c r="F131" s="146" t="str">
        <v>1</v>
      </c>
      <c r="G131" s="146" t="n">
        <v>257</v>
      </c>
    </row>
    <row r="132" ht="32" customHeight="1">
      <c r="A132" s="146" t="str">
        <v>2025</v>
      </c>
      <c r="B132" s="146" t="str">
        <v>2</v>
      </c>
      <c r="C132" s="146" t="str">
        <v>47</v>
      </c>
      <c r="D132" s="146" t="str">
        <v>1</v>
      </c>
      <c r="E132" s="146" t="str">
        <v>1</v>
      </c>
      <c r="F132" s="146" t="str">
        <v>1</v>
      </c>
      <c r="G132" s="146" t="n">
        <v>11</v>
      </c>
    </row>
    <row r="133" ht="32" customHeight="1">
      <c r="A133" s="146" t="str">
        <v>2025</v>
      </c>
      <c r="B133" s="146" t="str">
        <v>2</v>
      </c>
      <c r="C133" s="146" t="str">
        <v>47</v>
      </c>
      <c r="D133" s="146" t="str">
        <v>2</v>
      </c>
      <c r="E133" s="146" t="str">
        <v>1</v>
      </c>
      <c r="F133" s="146" t="str">
        <v>1</v>
      </c>
      <c r="G133" s="146" t="n">
        <v>15</v>
      </c>
    </row>
    <row r="134" ht="32" customHeight="1">
      <c r="A134" s="146" t="str">
        <v>2025</v>
      </c>
      <c r="B134" s="146" t="str">
        <v>2</v>
      </c>
      <c r="C134" s="146" t="str">
        <v>47</v>
      </c>
      <c r="D134" s="146" t="str">
        <v>4</v>
      </c>
      <c r="E134" s="146" t="str">
        <v>1</v>
      </c>
      <c r="F134" s="146" t="str">
        <v>0</v>
      </c>
      <c r="G134" s="146" t="n">
        <v>9</v>
      </c>
    </row>
    <row r="135" ht="32" customHeight="1">
      <c r="A135" s="146" t="str">
        <v>2025</v>
      </c>
      <c r="B135" s="146" t="str">
        <v>2</v>
      </c>
      <c r="C135" s="146" t="str">
        <v>47</v>
      </c>
      <c r="D135" s="146" t="str">
        <v>4</v>
      </c>
      <c r="E135" s="146" t="str">
        <v>1</v>
      </c>
      <c r="F135" s="146" t="str">
        <v>1</v>
      </c>
      <c r="G135" s="146" t="n">
        <v>131</v>
      </c>
    </row>
    <row r="136" ht="32" customHeight="1">
      <c r="A136" s="146" t="str">
        <v>2025</v>
      </c>
      <c r="B136" s="146" t="str">
        <v>2</v>
      </c>
      <c r="C136" s="146" t="str">
        <v>57</v>
      </c>
      <c r="D136" s="146" t="str">
        <v>1</v>
      </c>
      <c r="E136" s="146" t="str">
        <v>1</v>
      </c>
      <c r="F136" s="146" t="str">
        <v>1</v>
      </c>
      <c r="G136" s="146" t="n">
        <v>25</v>
      </c>
    </row>
    <row r="137" ht="32" customHeight="1">
      <c r="A137" s="146" t="str">
        <v>2025</v>
      </c>
      <c r="B137" s="146" t="str">
        <v>2</v>
      </c>
      <c r="C137" s="146" t="str">
        <v>57</v>
      </c>
      <c r="D137" s="146" t="str">
        <v>2</v>
      </c>
      <c r="E137" s="146" t="str">
        <v>1</v>
      </c>
      <c r="F137" s="146" t="str">
        <v>0</v>
      </c>
      <c r="G137" s="146" t="n">
        <v>1</v>
      </c>
    </row>
    <row r="138" ht="32" customHeight="1">
      <c r="A138" s="146" t="str">
        <v>2025</v>
      </c>
      <c r="B138" s="146" t="str">
        <v>2</v>
      </c>
      <c r="C138" s="146" t="str">
        <v>57</v>
      </c>
      <c r="D138" s="146" t="str">
        <v>2</v>
      </c>
      <c r="E138" s="146" t="str">
        <v>1</v>
      </c>
      <c r="F138" s="146" t="str">
        <v>1</v>
      </c>
      <c r="G138" s="146" t="n">
        <v>24</v>
      </c>
    </row>
    <row r="139" ht="32" customHeight="1">
      <c r="A139" s="146" t="str">
        <v>2025</v>
      </c>
      <c r="B139" s="146" t="str">
        <v>2</v>
      </c>
      <c r="C139" s="146" t="str">
        <v>57</v>
      </c>
      <c r="D139" s="146" t="str">
        <v>4</v>
      </c>
      <c r="E139" s="146" t="str">
        <v>1</v>
      </c>
      <c r="F139" s="146" t="str">
        <v>0</v>
      </c>
      <c r="G139" s="146" t="n">
        <v>23</v>
      </c>
    </row>
    <row r="140" ht="32" customHeight="1">
      <c r="A140" s="146" t="str">
        <v>2025</v>
      </c>
      <c r="B140" s="146" t="str">
        <v>2</v>
      </c>
      <c r="C140" s="146" t="str">
        <v>57</v>
      </c>
      <c r="D140" s="146" t="str">
        <v>4</v>
      </c>
      <c r="E140" s="146" t="str">
        <v>1</v>
      </c>
      <c r="F140" s="146" t="str">
        <v>1</v>
      </c>
      <c r="G140" s="146" t="n">
        <v>283</v>
      </c>
    </row>
    <row r="141" ht="32" customHeight="1">
      <c r="A141" s="146" t="str">
        <v>2025</v>
      </c>
      <c r="B141" s="146" t="str">
        <v>2</v>
      </c>
      <c r="C141" s="146" t="str">
        <v>6</v>
      </c>
      <c r="D141" s="146" t="str">
        <v>2</v>
      </c>
      <c r="E141" s="146" t="str">
        <v>1</v>
      </c>
      <c r="F141" s="146" t="str">
        <v>1</v>
      </c>
      <c r="G141" s="146" t="n">
        <v>2</v>
      </c>
    </row>
    <row r="142" ht="32" customHeight="1">
      <c r="A142" s="146" t="str">
        <v>2025</v>
      </c>
      <c r="B142" s="146" t="str">
        <v>2</v>
      </c>
      <c r="C142" s="146" t="str">
        <v>6</v>
      </c>
      <c r="D142" s="146" t="str">
        <v>2</v>
      </c>
      <c r="E142" s="146" t="str">
        <v>2</v>
      </c>
      <c r="F142" s="146" t="str">
        <v>1</v>
      </c>
      <c r="G142" s="146" t="n">
        <v>6</v>
      </c>
    </row>
    <row r="143" ht="32" customHeight="1">
      <c r="A143" s="146" t="str">
        <v>2025</v>
      </c>
      <c r="B143" s="146" t="str">
        <v>2</v>
      </c>
      <c r="C143" s="146" t="str">
        <v>6</v>
      </c>
      <c r="D143" s="146" t="str">
        <v>4</v>
      </c>
      <c r="E143" s="146" t="str">
        <v>2</v>
      </c>
      <c r="F143" s="146" t="str">
        <v>0</v>
      </c>
      <c r="G143" s="146" t="n">
        <v>7</v>
      </c>
    </row>
    <row r="144" ht="32" customHeight="1">
      <c r="A144" s="146" t="str">
        <v>2025</v>
      </c>
      <c r="B144" s="146" t="str">
        <v>2</v>
      </c>
      <c r="C144" s="146" t="str">
        <v>6</v>
      </c>
      <c r="D144" s="146" t="str">
        <v>4</v>
      </c>
      <c r="E144" s="146" t="str">
        <v>2</v>
      </c>
      <c r="F144" s="146" t="str">
        <v>1</v>
      </c>
      <c r="G144" s="146" t="n">
        <v>56</v>
      </c>
    </row>
    <row r="145" ht="32" customHeight="1">
      <c r="A145" s="146" t="str">
        <v>2025</v>
      </c>
      <c r="B145" s="146" t="str">
        <v>2</v>
      </c>
      <c r="C145" s="146" t="str">
        <v>76</v>
      </c>
      <c r="D145" s="146" t="str">
        <v>2</v>
      </c>
      <c r="E145" s="146" t="str">
        <v>1</v>
      </c>
      <c r="F145" s="146" t="str">
        <v>1</v>
      </c>
      <c r="G145" s="146" t="n">
        <v>22</v>
      </c>
    </row>
    <row r="146" ht="32" customHeight="1">
      <c r="A146" s="146" t="str">
        <v>2025</v>
      </c>
      <c r="B146" s="146" t="str">
        <v>2</v>
      </c>
      <c r="C146" s="146" t="str">
        <v>76</v>
      </c>
      <c r="D146" s="146" t="str">
        <v>4</v>
      </c>
      <c r="E146" s="146" t="str">
        <v>1</v>
      </c>
      <c r="F146" s="146" t="str">
        <v>0</v>
      </c>
      <c r="G146" s="146" t="n">
        <v>1</v>
      </c>
    </row>
    <row r="147" ht="32" customHeight="1">
      <c r="A147" s="146" t="str">
        <v>2025</v>
      </c>
      <c r="B147" s="146" t="str">
        <v>2</v>
      </c>
      <c r="C147" s="146" t="str">
        <v>76</v>
      </c>
      <c r="D147" s="146" t="str">
        <v>4</v>
      </c>
      <c r="E147" s="146" t="str">
        <v>1</v>
      </c>
      <c r="F147" s="146" t="str">
        <v>1</v>
      </c>
      <c r="G147" s="146" t="n">
        <v>83</v>
      </c>
    </row>
    <row r="148" ht="32" customHeight="1">
      <c r="A148" s="146" t="str">
        <v>2025</v>
      </c>
      <c r="B148" s="146" t="str">
        <v>2</v>
      </c>
      <c r="C148" s="146" t="str">
        <v>76</v>
      </c>
      <c r="D148" s="146" t="str">
        <v>4</v>
      </c>
      <c r="E148" s="146" t="str">
        <v>2</v>
      </c>
      <c r="F148" s="146" t="str">
        <v>1</v>
      </c>
      <c r="G148" s="146" t="n">
        <v>17</v>
      </c>
    </row>
    <row r="149" ht="32" customHeight="1">
      <c r="A149" s="146" t="str">
        <v>2025</v>
      </c>
      <c r="B149" s="146" t="str">
        <v>2</v>
      </c>
      <c r="C149" s="146" t="str">
        <v>77</v>
      </c>
      <c r="D149" s="146" t="str">
        <v>2</v>
      </c>
      <c r="E149" s="146" t="str">
        <v>1</v>
      </c>
      <c r="F149" s="146" t="str">
        <v>1</v>
      </c>
      <c r="G149" s="146" t="n">
        <v>15</v>
      </c>
    </row>
    <row r="150" ht="32" customHeight="1">
      <c r="A150" s="146" t="str">
        <v>2025</v>
      </c>
      <c r="B150" s="146" t="str">
        <v>2</v>
      </c>
      <c r="C150" s="146" t="str">
        <v>77</v>
      </c>
      <c r="D150" s="146" t="str">
        <v>4</v>
      </c>
      <c r="E150" s="146" t="str">
        <v>1</v>
      </c>
      <c r="F150" s="146" t="str">
        <v>1</v>
      </c>
      <c r="G150" s="146" t="n">
        <v>62</v>
      </c>
    </row>
    <row r="151" ht="32" customHeight="1">
      <c r="A151" s="146" t="str">
        <v>2025</v>
      </c>
      <c r="B151" s="146" t="str">
        <v>2</v>
      </c>
      <c r="C151" s="146" t="str">
        <v>77</v>
      </c>
      <c r="D151" s="146" t="str">
        <v>4</v>
      </c>
      <c r="E151" s="146" t="str">
        <v>2</v>
      </c>
      <c r="F151" s="146" t="str">
        <v>1</v>
      </c>
      <c r="G151" s="146" t="n">
        <v>14</v>
      </c>
    </row>
    <row r="152" ht="32" customHeight="1">
      <c r="A152" s="146" t="str">
        <v>2025</v>
      </c>
      <c r="B152" s="146" t="str">
        <v>2</v>
      </c>
      <c r="C152" s="146" t="str">
        <v>78</v>
      </c>
      <c r="D152" s="146" t="str">
        <v>2</v>
      </c>
      <c r="E152" s="146" t="str">
        <v>1</v>
      </c>
      <c r="F152" s="146" t="str">
        <v>1</v>
      </c>
      <c r="G152" s="146" t="n">
        <v>11</v>
      </c>
    </row>
    <row r="153" ht="32" customHeight="1">
      <c r="A153" s="146" t="str">
        <v>2025</v>
      </c>
      <c r="B153" s="146" t="str">
        <v>2</v>
      </c>
      <c r="C153" s="146" t="str">
        <v>78</v>
      </c>
      <c r="D153" s="146" t="str">
        <v>4</v>
      </c>
      <c r="E153" s="146" t="str">
        <v>1</v>
      </c>
      <c r="F153" s="146" t="str">
        <v>0</v>
      </c>
      <c r="G153" s="146" t="n">
        <v>1</v>
      </c>
    </row>
    <row r="154" ht="32" customHeight="1">
      <c r="A154" s="146" t="str">
        <v>2025</v>
      </c>
      <c r="B154" s="146" t="str">
        <v>2</v>
      </c>
      <c r="C154" s="146" t="str">
        <v>78</v>
      </c>
      <c r="D154" s="146" t="str">
        <v>4</v>
      </c>
      <c r="E154" s="146" t="str">
        <v>1</v>
      </c>
      <c r="F154" s="146" t="str">
        <v>1</v>
      </c>
      <c r="G154" s="146" t="n">
        <v>73</v>
      </c>
    </row>
    <row r="155" ht="32" customHeight="1">
      <c r="A155" s="146" t="str">
        <v>2025</v>
      </c>
      <c r="B155" s="146" t="str">
        <v>2</v>
      </c>
      <c r="C155" s="146" t="str">
        <v>79</v>
      </c>
      <c r="D155" s="146" t="str">
        <v>2</v>
      </c>
      <c r="E155" s="146" t="str">
        <v>1</v>
      </c>
      <c r="F155" s="146" t="str">
        <v>1</v>
      </c>
      <c r="G155" s="146" t="n">
        <v>24</v>
      </c>
    </row>
    <row r="156" ht="32" customHeight="1">
      <c r="A156" s="146" t="str">
        <v>2025</v>
      </c>
      <c r="B156" s="146" t="str">
        <v>2</v>
      </c>
      <c r="C156" s="146" t="str">
        <v>79</v>
      </c>
      <c r="D156" s="146" t="str">
        <v>4</v>
      </c>
      <c r="E156" s="146" t="str">
        <v>1</v>
      </c>
      <c r="F156" s="146" t="str">
        <v>1</v>
      </c>
      <c r="G156" s="146" t="n">
        <v>74</v>
      </c>
    </row>
    <row r="157" ht="32" customHeight="1">
      <c r="A157" s="146" t="str">
        <v>2025</v>
      </c>
      <c r="B157" s="146" t="str">
        <v>2</v>
      </c>
      <c r="C157" s="146" t="str">
        <v>83</v>
      </c>
      <c r="D157" s="146" t="str">
        <v>4</v>
      </c>
      <c r="E157" s="146" t="str">
        <v>1</v>
      </c>
      <c r="F157" s="146" t="str">
        <v>1</v>
      </c>
      <c r="G157" s="146" t="n">
        <v>70</v>
      </c>
    </row>
    <row r="158" ht="32" customHeight="1">
      <c r="A158" s="146" t="str">
        <v>2025</v>
      </c>
      <c r="B158" s="146" t="str">
        <v>2</v>
      </c>
      <c r="C158" s="146" t="str">
        <v>84</v>
      </c>
      <c r="D158" s="146" t="str">
        <v>4</v>
      </c>
      <c r="E158" s="146" t="str">
        <v>1</v>
      </c>
      <c r="F158" s="146" t="str">
        <v>1</v>
      </c>
      <c r="G158" s="146" t="n">
        <v>22</v>
      </c>
    </row>
    <row r="159" ht="32" customHeight="1">
      <c r="A159" s="146" t="str">
        <v>2025</v>
      </c>
      <c r="B159" s="146" t="str">
        <v>2</v>
      </c>
      <c r="C159" s="146" t="str">
        <v>85</v>
      </c>
      <c r="D159" s="146" t="str">
        <v>4</v>
      </c>
      <c r="E159" s="146" t="str">
        <v>1</v>
      </c>
      <c r="F159" s="146" t="str">
        <v>1</v>
      </c>
      <c r="G159" s="146" t="n">
        <v>38</v>
      </c>
    </row>
    <row r="160" ht="32" customHeight="1">
      <c r="A160" s="146" t="str">
        <v>2025</v>
      </c>
      <c r="B160" s="146" t="str">
        <v>2</v>
      </c>
      <c r="C160" s="146" t="str">
        <v>86</v>
      </c>
      <c r="D160" s="146" t="str">
        <v>4</v>
      </c>
      <c r="E160" s="146" t="str">
        <v>1</v>
      </c>
      <c r="F160" s="146" t="str">
        <v>1</v>
      </c>
      <c r="G160" s="146" t="n">
        <v>41</v>
      </c>
    </row>
    <row r="161" ht="32" customHeight="1">
      <c r="A161" s="146" t="str">
        <v>2025</v>
      </c>
      <c r="B161" s="146" t="str">
        <v>2</v>
      </c>
      <c r="C161" s="146" t="str">
        <v>87</v>
      </c>
      <c r="D161" s="146" t="str">
        <v>4</v>
      </c>
      <c r="E161" s="146" t="str">
        <v>1</v>
      </c>
      <c r="F161" s="146" t="str">
        <v>1</v>
      </c>
      <c r="G161" s="146" t="n">
        <v>37</v>
      </c>
    </row>
    <row r="162" ht="32" customHeight="1">
      <c r="A162" s="146" t="str">
        <v>2025</v>
      </c>
      <c r="B162" s="146" t="str">
        <v>2</v>
      </c>
      <c r="C162" s="146" t="str">
        <v>88</v>
      </c>
      <c r="D162" s="146" t="str">
        <v>4</v>
      </c>
      <c r="E162" s="146" t="str">
        <v>1</v>
      </c>
      <c r="F162" s="146" t="str">
        <v>1</v>
      </c>
      <c r="G162" s="146" t="n">
        <v>43</v>
      </c>
    </row>
    <row r="163" ht="32" customHeight="1">
      <c r="A163" s="146" t="str">
        <v>2025</v>
      </c>
      <c r="B163" s="146" t="str">
        <v>2</v>
      </c>
      <c r="C163" s="146" t="str">
        <v>89</v>
      </c>
      <c r="D163" s="146" t="str">
        <v>4</v>
      </c>
      <c r="E163" s="146" t="str">
        <v>1</v>
      </c>
      <c r="F163" s="146" t="str">
        <v>1</v>
      </c>
      <c r="G163" s="146" t="n">
        <v>23</v>
      </c>
    </row>
    <row r="164" ht="32" customHeight="1">
      <c r="A164" s="146" t="str">
        <v>2025</v>
      </c>
      <c r="B164" s="146" t="str">
        <v>2</v>
      </c>
      <c r="C164" s="146" t="str">
        <v>91</v>
      </c>
      <c r="D164" s="146" t="str">
        <v>1</v>
      </c>
      <c r="E164" s="146" t="str">
        <v>1</v>
      </c>
      <c r="F164" s="146" t="str">
        <v>1</v>
      </c>
      <c r="G164" s="146" t="n">
        <v>35</v>
      </c>
    </row>
    <row r="165" ht="32" customHeight="1">
      <c r="A165" s="146" t="str">
        <v>2025</v>
      </c>
      <c r="B165" s="146" t="str">
        <v>2</v>
      </c>
      <c r="C165" s="146" t="str">
        <v>91</v>
      </c>
      <c r="D165" s="146" t="str">
        <v>2</v>
      </c>
      <c r="E165" s="146" t="str">
        <v>1</v>
      </c>
      <c r="F165" s="146" t="str">
        <v>1</v>
      </c>
      <c r="G165" s="146" t="n">
        <v>43</v>
      </c>
    </row>
    <row r="166" ht="32" customHeight="1">
      <c r="A166" s="146" t="str">
        <v>2026</v>
      </c>
      <c r="B166" s="146" t="str">
        <v>2</v>
      </c>
      <c r="C166" s="146" t="str">
        <v>1</v>
      </c>
      <c r="D166" s="146" t="str">
        <v>1</v>
      </c>
      <c r="E166" s="146" t="str">
        <v>1</v>
      </c>
      <c r="F166" s="146" t="str">
        <v>1</v>
      </c>
      <c r="G166" s="146" t="n">
        <v>2</v>
      </c>
    </row>
    <row r="167" ht="32" customHeight="1">
      <c r="A167" s="146" t="str">
        <v>2026</v>
      </c>
      <c r="B167" s="146" t="str">
        <v>2</v>
      </c>
      <c r="C167" s="146" t="str">
        <v>1</v>
      </c>
      <c r="D167" s="146" t="str">
        <v>1</v>
      </c>
      <c r="E167" s="146" t="str">
        <v>2</v>
      </c>
      <c r="F167" s="146" t="str">
        <v>0</v>
      </c>
      <c r="G167" s="146" t="n">
        <v>2</v>
      </c>
    </row>
    <row r="168" ht="32" customHeight="1">
      <c r="A168" s="146" t="str">
        <v>2026</v>
      </c>
      <c r="B168" s="146" t="str">
        <v>2</v>
      </c>
      <c r="C168" s="146" t="str">
        <v>1</v>
      </c>
      <c r="D168" s="146" t="str">
        <v>1</v>
      </c>
      <c r="E168" s="146" t="str">
        <v>2</v>
      </c>
      <c r="F168" s="146" t="str">
        <v>1</v>
      </c>
      <c r="G168" s="146" t="n">
        <v>33</v>
      </c>
    </row>
    <row r="169" ht="32" customHeight="1">
      <c r="A169" s="146" t="str">
        <v>2026</v>
      </c>
      <c r="B169" s="146" t="str">
        <v>2</v>
      </c>
      <c r="C169" s="146" t="str">
        <v>1</v>
      </c>
      <c r="D169" s="146" t="str">
        <v>2</v>
      </c>
      <c r="E169" s="146" t="str">
        <v>4</v>
      </c>
      <c r="F169" s="146" t="str">
        <v>0</v>
      </c>
      <c r="G169" s="146" t="n">
        <v>3</v>
      </c>
    </row>
    <row r="170" ht="32" customHeight="1">
      <c r="A170" s="146" t="str">
        <v>2026</v>
      </c>
      <c r="B170" s="146" t="str">
        <v>2</v>
      </c>
      <c r="C170" s="146" t="str">
        <v>1</v>
      </c>
      <c r="D170" s="146" t="str">
        <v>2</v>
      </c>
      <c r="E170" s="146" t="str">
        <v>4</v>
      </c>
      <c r="F170" s="146" t="str">
        <v>1</v>
      </c>
      <c r="G170" s="146" t="n">
        <v>29</v>
      </c>
    </row>
    <row r="171" ht="32" customHeight="1">
      <c r="A171" s="146" t="str">
        <v>2026</v>
      </c>
      <c r="B171" s="146" t="str">
        <v>2</v>
      </c>
      <c r="C171" s="146" t="str">
        <v>1</v>
      </c>
      <c r="D171" s="146" t="str">
        <v>4</v>
      </c>
      <c r="E171" s="146" t="str">
        <v>2</v>
      </c>
      <c r="F171" s="146" t="str">
        <v>0</v>
      </c>
      <c r="G171" s="146" t="n">
        <v>44</v>
      </c>
    </row>
    <row r="172" ht="32" customHeight="1">
      <c r="A172" s="146" t="str">
        <v>2026</v>
      </c>
      <c r="B172" s="146" t="str">
        <v>2</v>
      </c>
      <c r="C172" s="146" t="str">
        <v>1</v>
      </c>
      <c r="D172" s="146" t="str">
        <v>4</v>
      </c>
      <c r="E172" s="146" t="str">
        <v>2</v>
      </c>
      <c r="F172" s="146" t="str">
        <v>1</v>
      </c>
      <c r="G172" s="146" t="n">
        <v>232</v>
      </c>
    </row>
    <row r="173" ht="32" customHeight="1">
      <c r="A173" s="146" t="str">
        <v>2026</v>
      </c>
      <c r="B173" s="146" t="str">
        <v>2</v>
      </c>
      <c r="C173" s="146" t="str">
        <v>1</v>
      </c>
      <c r="D173" s="146" t="str">
        <v>4</v>
      </c>
      <c r="E173" s="146" t="str">
        <v>3</v>
      </c>
      <c r="F173" s="146" t="str">
        <v>0</v>
      </c>
      <c r="G173" s="146" t="n">
        <v>1</v>
      </c>
    </row>
    <row r="174" ht="32" customHeight="1">
      <c r="A174" s="146" t="str">
        <v>2026</v>
      </c>
      <c r="B174" s="146" t="str">
        <v>2</v>
      </c>
      <c r="C174" s="146" t="str">
        <v>1</v>
      </c>
      <c r="D174" s="146" t="str">
        <v>4</v>
      </c>
      <c r="E174" s="146" t="str">
        <v>3</v>
      </c>
      <c r="F174" s="146" t="str">
        <v>1</v>
      </c>
      <c r="G174" s="146" t="n">
        <v>86</v>
      </c>
    </row>
    <row r="175" ht="32" customHeight="1">
      <c r="A175" s="146" t="str">
        <v>2026</v>
      </c>
      <c r="B175" s="146" t="str">
        <v>2</v>
      </c>
      <c r="C175" s="146" t="str">
        <v>10</v>
      </c>
      <c r="D175" s="146" t="str">
        <v>4</v>
      </c>
      <c r="E175" s="146" t="str">
        <v>1</v>
      </c>
      <c r="F175" s="146" t="str">
        <v>0</v>
      </c>
      <c r="G175" s="146" t="n">
        <v>14</v>
      </c>
    </row>
    <row r="176" ht="32" customHeight="1">
      <c r="A176" s="146" t="str">
        <v>2026</v>
      </c>
      <c r="B176" s="146" t="str">
        <v>2</v>
      </c>
      <c r="C176" s="146" t="str">
        <v>10</v>
      </c>
      <c r="D176" s="146" t="str">
        <v>4</v>
      </c>
      <c r="E176" s="146" t="str">
        <v>1</v>
      </c>
      <c r="F176" s="146" t="str">
        <v>1</v>
      </c>
      <c r="G176" s="146" t="n">
        <v>16</v>
      </c>
    </row>
    <row r="177" ht="32" customHeight="1">
      <c r="A177" s="146" t="str">
        <v>2026</v>
      </c>
      <c r="B177" s="146" t="str">
        <v>2</v>
      </c>
      <c r="C177" s="146" t="str">
        <v>111</v>
      </c>
      <c r="D177" s="146" t="str">
        <v>4</v>
      </c>
      <c r="E177" s="146" t="str">
        <v>1</v>
      </c>
      <c r="F177" s="146" t="str">
        <v>0</v>
      </c>
      <c r="G177" s="146" t="n">
        <v>9</v>
      </c>
    </row>
    <row r="178" ht="32" customHeight="1">
      <c r="A178" s="146" t="str">
        <v>2026</v>
      </c>
      <c r="B178" s="146" t="str">
        <v>2</v>
      </c>
      <c r="C178" s="146" t="str">
        <v>111</v>
      </c>
      <c r="D178" s="146" t="str">
        <v>4</v>
      </c>
      <c r="E178" s="146" t="str">
        <v>1</v>
      </c>
      <c r="F178" s="146" t="str">
        <v>1</v>
      </c>
      <c r="G178" s="146" t="n">
        <v>24</v>
      </c>
    </row>
    <row r="179" ht="32" customHeight="1">
      <c r="A179" s="146" t="str">
        <v>2026</v>
      </c>
      <c r="B179" s="146" t="str">
        <v>2</v>
      </c>
      <c r="C179" s="146" t="str">
        <v>112</v>
      </c>
      <c r="D179" s="146" t="str">
        <v>4</v>
      </c>
      <c r="E179" s="146" t="str">
        <v>1</v>
      </c>
      <c r="F179" s="146" t="str">
        <v>0</v>
      </c>
      <c r="G179" s="146" t="n">
        <v>8</v>
      </c>
    </row>
    <row r="180" ht="32" customHeight="1">
      <c r="A180" s="146" t="str">
        <v>2026</v>
      </c>
      <c r="B180" s="146" t="str">
        <v>2</v>
      </c>
      <c r="C180" s="146" t="str">
        <v>112</v>
      </c>
      <c r="D180" s="146" t="str">
        <v>4</v>
      </c>
      <c r="E180" s="146" t="str">
        <v>1</v>
      </c>
      <c r="F180" s="146" t="str">
        <v>1</v>
      </c>
      <c r="G180" s="146" t="n">
        <v>56</v>
      </c>
    </row>
    <row r="181" ht="32" customHeight="1">
      <c r="A181" s="146" t="str">
        <v>2026</v>
      </c>
      <c r="B181" s="146" t="str">
        <v>2</v>
      </c>
      <c r="C181" s="146" t="str">
        <v>113</v>
      </c>
      <c r="D181" s="146" t="str">
        <v>4</v>
      </c>
      <c r="E181" s="146" t="str">
        <v>1</v>
      </c>
      <c r="F181" s="146" t="str">
        <v>0</v>
      </c>
      <c r="G181" s="146" t="n">
        <v>10</v>
      </c>
    </row>
    <row r="182" ht="32" customHeight="1">
      <c r="A182" s="146" t="str">
        <v>2026</v>
      </c>
      <c r="B182" s="146" t="str">
        <v>2</v>
      </c>
      <c r="C182" s="146" t="str">
        <v>113</v>
      </c>
      <c r="D182" s="146" t="str">
        <v>4</v>
      </c>
      <c r="E182" s="146" t="str">
        <v>1</v>
      </c>
      <c r="F182" s="146" t="str">
        <v>1</v>
      </c>
      <c r="G182" s="146" t="n">
        <v>26</v>
      </c>
    </row>
    <row r="183" ht="32" customHeight="1">
      <c r="A183" s="146" t="str">
        <v>2026</v>
      </c>
      <c r="B183" s="146" t="str">
        <v>2</v>
      </c>
      <c r="C183" s="146" t="str">
        <v>114</v>
      </c>
      <c r="D183" s="146" t="str">
        <v>2</v>
      </c>
      <c r="E183" s="146" t="str">
        <v>1</v>
      </c>
      <c r="F183" s="146" t="str">
        <v>0</v>
      </c>
      <c r="G183" s="146" t="n">
        <v>11</v>
      </c>
    </row>
    <row r="184" ht="32" customHeight="1">
      <c r="A184" s="146" t="str">
        <v>2026</v>
      </c>
      <c r="B184" s="146" t="str">
        <v>2</v>
      </c>
      <c r="C184" s="146" t="str">
        <v>114</v>
      </c>
      <c r="D184" s="146" t="str">
        <v>2</v>
      </c>
      <c r="E184" s="146" t="str">
        <v>1</v>
      </c>
      <c r="F184" s="146" t="str">
        <v>1</v>
      </c>
      <c r="G184" s="146" t="n">
        <v>74</v>
      </c>
    </row>
    <row r="185" ht="32" customHeight="1">
      <c r="A185" s="146" t="str">
        <v>2026</v>
      </c>
      <c r="B185" s="146" t="str">
        <v>2</v>
      </c>
      <c r="C185" s="146" t="str">
        <v>115</v>
      </c>
      <c r="D185" s="146" t="str">
        <v>2</v>
      </c>
      <c r="E185" s="146" t="str">
        <v>1</v>
      </c>
      <c r="F185" s="146" t="str">
        <v>0</v>
      </c>
      <c r="G185" s="146" t="n">
        <v>16</v>
      </c>
    </row>
    <row r="186" ht="32" customHeight="1">
      <c r="A186" s="146" t="str">
        <v>2026</v>
      </c>
      <c r="B186" s="146" t="str">
        <v>2</v>
      </c>
      <c r="C186" s="146" t="str">
        <v>115</v>
      </c>
      <c r="D186" s="146" t="str">
        <v>2</v>
      </c>
      <c r="E186" s="146" t="str">
        <v>1</v>
      </c>
      <c r="F186" s="146" t="str">
        <v>1</v>
      </c>
      <c r="G186" s="146" t="n">
        <v>23</v>
      </c>
    </row>
    <row r="187" ht="32" customHeight="1">
      <c r="A187" s="146" t="str">
        <v>2026</v>
      </c>
      <c r="B187" s="146" t="str">
        <v>2</v>
      </c>
      <c r="C187" s="146" t="str">
        <v>116</v>
      </c>
      <c r="D187" s="146" t="str">
        <v>4</v>
      </c>
      <c r="E187" s="146" t="str">
        <v>1</v>
      </c>
      <c r="F187" s="146" t="str">
        <v>0</v>
      </c>
      <c r="G187" s="146" t="n">
        <v>11</v>
      </c>
    </row>
    <row r="188" ht="32" customHeight="1">
      <c r="A188" s="146" t="str">
        <v>2026</v>
      </c>
      <c r="B188" s="146" t="str">
        <v>2</v>
      </c>
      <c r="C188" s="146" t="str">
        <v>116</v>
      </c>
      <c r="D188" s="146" t="str">
        <v>4</v>
      </c>
      <c r="E188" s="146" t="str">
        <v>1</v>
      </c>
      <c r="F188" s="146" t="str">
        <v>1</v>
      </c>
      <c r="G188" s="146" t="n">
        <v>23</v>
      </c>
    </row>
    <row r="189" ht="32" customHeight="1">
      <c r="A189" s="146" t="str">
        <v>2026</v>
      </c>
      <c r="B189" s="146" t="str">
        <v>2</v>
      </c>
      <c r="C189" s="146" t="str">
        <v>117</v>
      </c>
      <c r="D189" s="146" t="str">
        <v>4</v>
      </c>
      <c r="E189" s="146" t="str">
        <v>1</v>
      </c>
      <c r="F189" s="146" t="str">
        <v>0</v>
      </c>
      <c r="G189" s="146" t="n">
        <v>8</v>
      </c>
    </row>
    <row r="190" ht="32" customHeight="1">
      <c r="A190" s="146" t="str">
        <v>2026</v>
      </c>
      <c r="B190" s="146" t="str">
        <v>2</v>
      </c>
      <c r="C190" s="146" t="str">
        <v>117</v>
      </c>
      <c r="D190" s="146" t="str">
        <v>4</v>
      </c>
      <c r="E190" s="146" t="str">
        <v>1</v>
      </c>
      <c r="F190" s="146" t="str">
        <v>1</v>
      </c>
      <c r="G190" s="146" t="n">
        <v>12</v>
      </c>
    </row>
    <row r="191" ht="32" customHeight="1">
      <c r="A191" s="146" t="str">
        <v>2026</v>
      </c>
      <c r="B191" s="146" t="str">
        <v>2</v>
      </c>
      <c r="C191" s="146" t="str">
        <v>118</v>
      </c>
      <c r="D191" s="146" t="str">
        <v>4</v>
      </c>
      <c r="E191" s="146" t="str">
        <v>1</v>
      </c>
      <c r="F191" s="146" t="str">
        <v>0</v>
      </c>
      <c r="G191" s="146" t="n">
        <v>30</v>
      </c>
    </row>
    <row r="192" ht="32" customHeight="1">
      <c r="A192" s="146" t="str">
        <v>2026</v>
      </c>
      <c r="B192" s="146" t="str">
        <v>2</v>
      </c>
      <c r="C192" s="146" t="str">
        <v>118</v>
      </c>
      <c r="D192" s="146" t="str">
        <v>4</v>
      </c>
      <c r="E192" s="146" t="str">
        <v>1</v>
      </c>
      <c r="F192" s="146" t="str">
        <v>1</v>
      </c>
      <c r="G192" s="146" t="n">
        <v>62</v>
      </c>
    </row>
    <row r="193" ht="32" customHeight="1">
      <c r="A193" s="146" t="str">
        <v>2026</v>
      </c>
      <c r="B193" s="146" t="str">
        <v>2</v>
      </c>
      <c r="C193" s="146" t="str">
        <v>119</v>
      </c>
      <c r="D193" s="146" t="str">
        <v>4</v>
      </c>
      <c r="E193" s="146" t="str">
        <v>1</v>
      </c>
      <c r="F193" s="146" t="str">
        <v>0</v>
      </c>
      <c r="G193" s="146" t="n">
        <v>22</v>
      </c>
    </row>
    <row r="194" ht="32" customHeight="1">
      <c r="A194" s="146" t="str">
        <v>2026</v>
      </c>
      <c r="B194" s="146" t="str">
        <v>2</v>
      </c>
      <c r="C194" s="146" t="str">
        <v>119</v>
      </c>
      <c r="D194" s="146" t="str">
        <v>4</v>
      </c>
      <c r="E194" s="146" t="str">
        <v>1</v>
      </c>
      <c r="F194" s="146" t="str">
        <v>1</v>
      </c>
      <c r="G194" s="146" t="n">
        <v>28</v>
      </c>
    </row>
    <row r="195" ht="32" customHeight="1">
      <c r="A195" s="146" t="str">
        <v>2026</v>
      </c>
      <c r="B195" s="146" t="str">
        <v>2</v>
      </c>
      <c r="C195" s="146" t="str">
        <v>124</v>
      </c>
      <c r="D195" s="146" t="str">
        <v>4</v>
      </c>
      <c r="E195" s="146" t="str">
        <v>1</v>
      </c>
      <c r="F195" s="146" t="str">
        <v>0</v>
      </c>
      <c r="G195" s="146" t="n">
        <v>11</v>
      </c>
    </row>
    <row r="196" ht="32" customHeight="1">
      <c r="A196" s="146" t="str">
        <v>2026</v>
      </c>
      <c r="B196" s="146" t="str">
        <v>2</v>
      </c>
      <c r="C196" s="146" t="str">
        <v>124</v>
      </c>
      <c r="D196" s="146" t="str">
        <v>4</v>
      </c>
      <c r="E196" s="146" t="str">
        <v>1</v>
      </c>
      <c r="F196" s="146" t="str">
        <v>1</v>
      </c>
      <c r="G196" s="146" t="n">
        <v>24</v>
      </c>
    </row>
    <row r="197" ht="32" customHeight="1">
      <c r="A197" s="146" t="str">
        <v>2026</v>
      </c>
      <c r="B197" s="146" t="str">
        <v>2</v>
      </c>
      <c r="C197" s="146" t="str">
        <v>125</v>
      </c>
      <c r="D197" s="146" t="str">
        <v>4</v>
      </c>
      <c r="E197" s="146" t="str">
        <v>1</v>
      </c>
      <c r="F197" s="146" t="str">
        <v>0</v>
      </c>
      <c r="G197" s="146" t="n">
        <v>14</v>
      </c>
    </row>
    <row r="198" ht="32" customHeight="1">
      <c r="A198" s="146" t="str">
        <v>2026</v>
      </c>
      <c r="B198" s="146" t="str">
        <v>2</v>
      </c>
      <c r="C198" s="146" t="str">
        <v>125</v>
      </c>
      <c r="D198" s="146" t="str">
        <v>4</v>
      </c>
      <c r="E198" s="146" t="str">
        <v>1</v>
      </c>
      <c r="F198" s="146" t="str">
        <v>1</v>
      </c>
      <c r="G198" s="146" t="n">
        <v>11</v>
      </c>
    </row>
    <row r="199" ht="32" customHeight="1">
      <c r="A199" s="146" t="str">
        <v>2026</v>
      </c>
      <c r="B199" s="146" t="str">
        <v>2</v>
      </c>
      <c r="C199" s="146" t="str">
        <v>22</v>
      </c>
      <c r="D199" s="146" t="str">
        <v>4</v>
      </c>
      <c r="E199" s="146" t="str">
        <v>2</v>
      </c>
      <c r="F199" s="146" t="str">
        <v>0</v>
      </c>
      <c r="G199" s="146" t="n">
        <v>4</v>
      </c>
    </row>
    <row r="200" ht="32" customHeight="1">
      <c r="A200" s="146" t="str">
        <v>2026</v>
      </c>
      <c r="B200" s="146" t="str">
        <v>2</v>
      </c>
      <c r="C200" s="146" t="str">
        <v>22</v>
      </c>
      <c r="D200" s="146" t="str">
        <v>4</v>
      </c>
      <c r="E200" s="146" t="str">
        <v>2</v>
      </c>
      <c r="F200" s="146" t="str">
        <v>1</v>
      </c>
      <c r="G200" s="146" t="n">
        <v>36</v>
      </c>
    </row>
    <row r="201" ht="32" customHeight="1">
      <c r="A201" s="146" t="str">
        <v>2026</v>
      </c>
      <c r="B201" s="146" t="str">
        <v>2</v>
      </c>
      <c r="C201" s="146" t="str">
        <v>3</v>
      </c>
      <c r="D201" s="146" t="str">
        <v>2</v>
      </c>
      <c r="E201" s="146" t="str">
        <v>3</v>
      </c>
      <c r="F201" s="146" t="str">
        <v>1</v>
      </c>
      <c r="G201" s="146" t="n">
        <v>2</v>
      </c>
    </row>
    <row r="202" ht="32" customHeight="1">
      <c r="A202" s="146" t="str">
        <v>2026</v>
      </c>
      <c r="B202" s="146" t="str">
        <v>2</v>
      </c>
      <c r="C202" s="146" t="str">
        <v>3</v>
      </c>
      <c r="D202" s="146" t="str">
        <v>2</v>
      </c>
      <c r="E202" s="146" t="str">
        <v>4</v>
      </c>
      <c r="F202" s="146" t="str">
        <v>0</v>
      </c>
      <c r="G202" s="146" t="n">
        <v>3</v>
      </c>
    </row>
    <row r="203" ht="32" customHeight="1">
      <c r="A203" s="146" t="str">
        <v>2026</v>
      </c>
      <c r="B203" s="146" t="str">
        <v>2</v>
      </c>
      <c r="C203" s="146" t="str">
        <v>3</v>
      </c>
      <c r="D203" s="146" t="str">
        <v>2</v>
      </c>
      <c r="E203" s="146" t="str">
        <v>4</v>
      </c>
      <c r="F203" s="146" t="str">
        <v>1</v>
      </c>
      <c r="G203" s="146" t="n">
        <v>6</v>
      </c>
    </row>
    <row r="204" ht="32" customHeight="1">
      <c r="A204" s="146" t="str">
        <v>2026</v>
      </c>
      <c r="B204" s="146" t="str">
        <v>2</v>
      </c>
      <c r="C204" s="146" t="str">
        <v>3</v>
      </c>
      <c r="D204" s="146" t="str">
        <v>4</v>
      </c>
      <c r="E204" s="146" t="str">
        <v>2</v>
      </c>
      <c r="F204" s="146" t="str">
        <v>0</v>
      </c>
      <c r="G204" s="146" t="n">
        <v>22</v>
      </c>
    </row>
    <row r="205" ht="32" customHeight="1">
      <c r="A205" s="146" t="str">
        <v>2026</v>
      </c>
      <c r="B205" s="146" t="str">
        <v>2</v>
      </c>
      <c r="C205" s="146" t="str">
        <v>3</v>
      </c>
      <c r="D205" s="146" t="str">
        <v>4</v>
      </c>
      <c r="E205" s="146" t="str">
        <v>2</v>
      </c>
      <c r="F205" s="146" t="str">
        <v>1</v>
      </c>
      <c r="G205" s="146" t="n">
        <v>152</v>
      </c>
    </row>
    <row r="206" ht="32" customHeight="1">
      <c r="A206" s="146" t="str">
        <v>2026</v>
      </c>
      <c r="B206" s="146" t="str">
        <v>2</v>
      </c>
      <c r="C206" s="146" t="str">
        <v>3</v>
      </c>
      <c r="D206" s="146" t="str">
        <v>4</v>
      </c>
      <c r="E206" s="146" t="str">
        <v>3</v>
      </c>
      <c r="F206" s="146" t="str">
        <v>0</v>
      </c>
      <c r="G206" s="146" t="n">
        <v>3</v>
      </c>
    </row>
    <row r="207" ht="32" customHeight="1">
      <c r="A207" s="146" t="str">
        <v>2026</v>
      </c>
      <c r="B207" s="146" t="str">
        <v>2</v>
      </c>
      <c r="C207" s="146" t="str">
        <v>3</v>
      </c>
      <c r="D207" s="146" t="str">
        <v>4</v>
      </c>
      <c r="E207" s="146" t="str">
        <v>3</v>
      </c>
      <c r="F207" s="146" t="str">
        <v>1</v>
      </c>
      <c r="G207" s="146" t="n">
        <v>112</v>
      </c>
    </row>
    <row r="208" ht="32" customHeight="1">
      <c r="A208" s="146" t="str">
        <v>2026</v>
      </c>
      <c r="B208" s="146" t="str">
        <v>2</v>
      </c>
      <c r="C208" s="146" t="str">
        <v>46</v>
      </c>
      <c r="D208" s="146" t="str">
        <v>1</v>
      </c>
      <c r="E208" s="146" t="str">
        <v>1</v>
      </c>
      <c r="F208" s="146" t="str">
        <v>0</v>
      </c>
      <c r="G208" s="146" t="n">
        <v>2</v>
      </c>
    </row>
    <row r="209" ht="32" customHeight="1">
      <c r="A209" s="146" t="str">
        <v>2026</v>
      </c>
      <c r="B209" s="146" t="str">
        <v>2</v>
      </c>
      <c r="C209" s="146" t="str">
        <v>46</v>
      </c>
      <c r="D209" s="146" t="str">
        <v>1</v>
      </c>
      <c r="E209" s="146" t="str">
        <v>1</v>
      </c>
      <c r="F209" s="146" t="str">
        <v>1</v>
      </c>
      <c r="G209" s="146" t="n">
        <v>34</v>
      </c>
    </row>
    <row r="210" ht="32" customHeight="1">
      <c r="A210" s="146" t="str">
        <v>2026</v>
      </c>
      <c r="B210" s="146" t="str">
        <v>2</v>
      </c>
      <c r="C210" s="146" t="str">
        <v>46</v>
      </c>
      <c r="D210" s="146" t="str">
        <v>2</v>
      </c>
      <c r="E210" s="146" t="str">
        <v>1</v>
      </c>
      <c r="F210" s="146" t="str">
        <v>0</v>
      </c>
      <c r="G210" s="146" t="n">
        <v>7</v>
      </c>
    </row>
    <row r="211" ht="32" customHeight="1">
      <c r="A211" s="146" t="str">
        <v>2026</v>
      </c>
      <c r="B211" s="146" t="str">
        <v>2</v>
      </c>
      <c r="C211" s="146" t="str">
        <v>46</v>
      </c>
      <c r="D211" s="146" t="str">
        <v>2</v>
      </c>
      <c r="E211" s="146" t="str">
        <v>1</v>
      </c>
      <c r="F211" s="146" t="str">
        <v>1</v>
      </c>
      <c r="G211" s="146" t="n">
        <v>39</v>
      </c>
    </row>
    <row r="212" ht="32" customHeight="1">
      <c r="A212" s="146" t="str">
        <v>2026</v>
      </c>
      <c r="B212" s="146" t="str">
        <v>2</v>
      </c>
      <c r="C212" s="146" t="str">
        <v>46</v>
      </c>
      <c r="D212" s="146" t="str">
        <v>2</v>
      </c>
      <c r="E212" s="146" t="str">
        <v>3</v>
      </c>
      <c r="F212" s="146" t="str">
        <v>1</v>
      </c>
      <c r="G212" s="146" t="n">
        <v>4</v>
      </c>
    </row>
    <row r="213" ht="32" customHeight="1">
      <c r="A213" s="146" t="str">
        <v>2026</v>
      </c>
      <c r="B213" s="146" t="str">
        <v>2</v>
      </c>
      <c r="C213" s="146" t="str">
        <v>46</v>
      </c>
      <c r="D213" s="146" t="str">
        <v>4</v>
      </c>
      <c r="E213" s="146" t="str">
        <v>1</v>
      </c>
      <c r="F213" s="146" t="str">
        <v>0</v>
      </c>
      <c r="G213" s="146" t="n">
        <v>4</v>
      </c>
    </row>
    <row r="214" ht="32" customHeight="1">
      <c r="A214" s="146" t="str">
        <v>2026</v>
      </c>
      <c r="B214" s="146" t="str">
        <v>2</v>
      </c>
      <c r="C214" s="146" t="str">
        <v>46</v>
      </c>
      <c r="D214" s="146" t="str">
        <v>4</v>
      </c>
      <c r="E214" s="146" t="str">
        <v>1</v>
      </c>
      <c r="F214" s="146" t="str">
        <v>1</v>
      </c>
      <c r="G214" s="146" t="n">
        <v>77</v>
      </c>
    </row>
    <row r="215" ht="32" customHeight="1">
      <c r="A215" s="146" t="str">
        <v>2026</v>
      </c>
      <c r="B215" s="146" t="str">
        <v>2</v>
      </c>
      <c r="C215" s="146" t="str">
        <v>46</v>
      </c>
      <c r="D215" s="146" t="str">
        <v>4</v>
      </c>
      <c r="E215" s="146" t="str">
        <v>3</v>
      </c>
      <c r="F215" s="146" t="str">
        <v>0</v>
      </c>
      <c r="G215" s="146" t="n">
        <v>39</v>
      </c>
    </row>
    <row r="216" ht="32" customHeight="1">
      <c r="A216" s="146" t="str">
        <v>2026</v>
      </c>
      <c r="B216" s="146" t="str">
        <v>2</v>
      </c>
      <c r="C216" s="146" t="str">
        <v>46</v>
      </c>
      <c r="D216" s="146" t="str">
        <v>4</v>
      </c>
      <c r="E216" s="146" t="str">
        <v>3</v>
      </c>
      <c r="F216" s="146" t="str">
        <v>1</v>
      </c>
      <c r="G216" s="146" t="n">
        <v>242</v>
      </c>
    </row>
    <row r="217" ht="32" customHeight="1">
      <c r="A217" s="146" t="str">
        <v>2026</v>
      </c>
      <c r="B217" s="146" t="str">
        <v>2</v>
      </c>
      <c r="C217" s="146" t="str">
        <v>47</v>
      </c>
      <c r="D217" s="146" t="str">
        <v>1</v>
      </c>
      <c r="E217" s="146" t="str">
        <v>1</v>
      </c>
      <c r="F217" s="146" t="str">
        <v>0</v>
      </c>
      <c r="G217" s="146" t="n">
        <v>4</v>
      </c>
    </row>
    <row r="218" ht="32" customHeight="1">
      <c r="A218" s="146" t="str">
        <v>2026</v>
      </c>
      <c r="B218" s="146" t="str">
        <v>2</v>
      </c>
      <c r="C218" s="146" t="str">
        <v>47</v>
      </c>
      <c r="D218" s="146" t="str">
        <v>1</v>
      </c>
      <c r="E218" s="146" t="str">
        <v>1</v>
      </c>
      <c r="F218" s="146" t="str">
        <v>1</v>
      </c>
      <c r="G218" s="146" t="n">
        <v>19</v>
      </c>
    </row>
    <row r="219" ht="32" customHeight="1">
      <c r="A219" s="146" t="str">
        <v>2026</v>
      </c>
      <c r="B219" s="146" t="str">
        <v>2</v>
      </c>
      <c r="C219" s="146" t="str">
        <v>47</v>
      </c>
      <c r="D219" s="146" t="str">
        <v>2</v>
      </c>
      <c r="E219" s="146" t="str">
        <v>1</v>
      </c>
      <c r="F219" s="146" t="str">
        <v>0</v>
      </c>
      <c r="G219" s="146" t="n">
        <v>1</v>
      </c>
    </row>
    <row r="220" ht="32" customHeight="1">
      <c r="A220" s="146" t="str">
        <v>2026</v>
      </c>
      <c r="B220" s="146" t="str">
        <v>2</v>
      </c>
      <c r="C220" s="146" t="str">
        <v>47</v>
      </c>
      <c r="D220" s="146" t="str">
        <v>2</v>
      </c>
      <c r="E220" s="146" t="str">
        <v>1</v>
      </c>
      <c r="F220" s="146" t="str">
        <v>1</v>
      </c>
      <c r="G220" s="146" t="n">
        <v>25</v>
      </c>
    </row>
    <row r="221" ht="32" customHeight="1">
      <c r="A221" s="146" t="str">
        <v>2026</v>
      </c>
      <c r="B221" s="146" t="str">
        <v>2</v>
      </c>
      <c r="C221" s="146" t="str">
        <v>47</v>
      </c>
      <c r="D221" s="146" t="str">
        <v>4</v>
      </c>
      <c r="E221" s="146" t="str">
        <v>1</v>
      </c>
      <c r="F221" s="146" t="str">
        <v>0</v>
      </c>
      <c r="G221" s="146" t="n">
        <v>34</v>
      </c>
    </row>
    <row r="222" ht="32" customHeight="1">
      <c r="A222" s="146" t="str">
        <v>2026</v>
      </c>
      <c r="B222" s="146" t="str">
        <v>2</v>
      </c>
      <c r="C222" s="146" t="str">
        <v>47</v>
      </c>
      <c r="D222" s="146" t="str">
        <v>4</v>
      </c>
      <c r="E222" s="146" t="str">
        <v>1</v>
      </c>
      <c r="F222" s="146" t="str">
        <v>1</v>
      </c>
      <c r="G222" s="146" t="n">
        <v>111</v>
      </c>
    </row>
    <row r="223" ht="32" customHeight="1">
      <c r="A223" s="146" t="str">
        <v>2026</v>
      </c>
      <c r="B223" s="146" t="str">
        <v>2</v>
      </c>
      <c r="C223" s="146" t="str">
        <v>57</v>
      </c>
      <c r="D223" s="146" t="str">
        <v>1</v>
      </c>
      <c r="E223" s="146" t="str">
        <v>1</v>
      </c>
      <c r="F223" s="146" t="str">
        <v>0</v>
      </c>
      <c r="G223" s="146" t="n">
        <v>4</v>
      </c>
    </row>
    <row r="224" ht="32" customHeight="1">
      <c r="A224" s="146" t="str">
        <v>2026</v>
      </c>
      <c r="B224" s="146" t="str">
        <v>2</v>
      </c>
      <c r="C224" s="146" t="str">
        <v>57</v>
      </c>
      <c r="D224" s="146" t="str">
        <v>1</v>
      </c>
      <c r="E224" s="146" t="str">
        <v>1</v>
      </c>
      <c r="F224" s="146" t="str">
        <v>1</v>
      </c>
      <c r="G224" s="146" t="n">
        <v>24</v>
      </c>
    </row>
    <row r="225" ht="32" customHeight="1">
      <c r="A225" s="146" t="str">
        <v>2026</v>
      </c>
      <c r="B225" s="146" t="str">
        <v>2</v>
      </c>
      <c r="C225" s="146" t="str">
        <v>57</v>
      </c>
      <c r="D225" s="146" t="str">
        <v>2</v>
      </c>
      <c r="E225" s="146" t="str">
        <v>1</v>
      </c>
      <c r="F225" s="146" t="str">
        <v>0</v>
      </c>
      <c r="G225" s="146" t="n">
        <v>8</v>
      </c>
    </row>
    <row r="226" ht="32" customHeight="1">
      <c r="A226" s="146" t="str">
        <v>2026</v>
      </c>
      <c r="B226" s="146" t="str">
        <v>2</v>
      </c>
      <c r="C226" s="146" t="str">
        <v>57</v>
      </c>
      <c r="D226" s="146" t="str">
        <v>2</v>
      </c>
      <c r="E226" s="146" t="str">
        <v>1</v>
      </c>
      <c r="F226" s="146" t="str">
        <v>1</v>
      </c>
      <c r="G226" s="146" t="n">
        <v>22</v>
      </c>
    </row>
    <row r="227" ht="32" customHeight="1">
      <c r="A227" s="146" t="str">
        <v>2026</v>
      </c>
      <c r="B227" s="146" t="str">
        <v>2</v>
      </c>
      <c r="C227" s="146" t="str">
        <v>57</v>
      </c>
      <c r="D227" s="146" t="str">
        <v>4</v>
      </c>
      <c r="E227" s="146" t="str">
        <v>1</v>
      </c>
      <c r="F227" s="146" t="str">
        <v>0</v>
      </c>
      <c r="G227" s="146" t="n">
        <v>52</v>
      </c>
    </row>
    <row r="228" ht="32" customHeight="1">
      <c r="A228" s="146" t="str">
        <v>2026</v>
      </c>
      <c r="B228" s="146" t="str">
        <v>2</v>
      </c>
      <c r="C228" s="146" t="str">
        <v>57</v>
      </c>
      <c r="D228" s="146" t="str">
        <v>4</v>
      </c>
      <c r="E228" s="146" t="str">
        <v>1</v>
      </c>
      <c r="F228" s="146" t="str">
        <v>1</v>
      </c>
      <c r="G228" s="146" t="n">
        <v>255</v>
      </c>
    </row>
    <row r="229" ht="32" customHeight="1">
      <c r="A229" s="146" t="str">
        <v>2026</v>
      </c>
      <c r="B229" s="146" t="str">
        <v>2</v>
      </c>
      <c r="C229" s="146" t="str">
        <v>6</v>
      </c>
      <c r="D229" s="146" t="str">
        <v>2</v>
      </c>
      <c r="E229" s="146" t="str">
        <v>2</v>
      </c>
      <c r="F229" s="146" t="str">
        <v>0</v>
      </c>
      <c r="G229" s="146" t="n">
        <v>2</v>
      </c>
    </row>
    <row r="230" ht="32" customHeight="1">
      <c r="A230" s="146" t="str">
        <v>2026</v>
      </c>
      <c r="B230" s="146" t="str">
        <v>2</v>
      </c>
      <c r="C230" s="146" t="str">
        <v>6</v>
      </c>
      <c r="D230" s="146" t="str">
        <v>2</v>
      </c>
      <c r="E230" s="146" t="str">
        <v>2</v>
      </c>
      <c r="F230" s="146" t="str">
        <v>1</v>
      </c>
      <c r="G230" s="146" t="n">
        <v>6</v>
      </c>
    </row>
    <row r="231" ht="32" customHeight="1">
      <c r="A231" s="146" t="str">
        <v>2026</v>
      </c>
      <c r="B231" s="146" t="str">
        <v>2</v>
      </c>
      <c r="C231" s="146" t="str">
        <v>6</v>
      </c>
      <c r="D231" s="146" t="str">
        <v>4</v>
      </c>
      <c r="E231" s="146" t="str">
        <v>2</v>
      </c>
      <c r="F231" s="146" t="str">
        <v>0</v>
      </c>
      <c r="G231" s="146" t="n">
        <v>18</v>
      </c>
    </row>
    <row r="232" ht="32" customHeight="1">
      <c r="A232" s="146" t="str">
        <v>2026</v>
      </c>
      <c r="B232" s="146" t="str">
        <v>2</v>
      </c>
      <c r="C232" s="146" t="str">
        <v>6</v>
      </c>
      <c r="D232" s="146" t="str">
        <v>4</v>
      </c>
      <c r="E232" s="146" t="str">
        <v>2</v>
      </c>
      <c r="F232" s="146" t="str">
        <v>1</v>
      </c>
      <c r="G232" s="146" t="n">
        <v>46</v>
      </c>
    </row>
    <row r="233" ht="32" customHeight="1">
      <c r="A233" s="146" t="str">
        <v>2026</v>
      </c>
      <c r="B233" s="146" t="str">
        <v>2</v>
      </c>
      <c r="C233" s="146" t="str">
        <v>76</v>
      </c>
      <c r="D233" s="146" t="str">
        <v>1</v>
      </c>
      <c r="E233" s="146" t="str">
        <v>1</v>
      </c>
      <c r="F233" s="146" t="str">
        <v>0</v>
      </c>
      <c r="G233" s="146" t="n">
        <v>4</v>
      </c>
    </row>
    <row r="234" ht="32" customHeight="1">
      <c r="A234" s="146" t="str">
        <v>2026</v>
      </c>
      <c r="B234" s="146" t="str">
        <v>2</v>
      </c>
      <c r="C234" s="146" t="str">
        <v>76</v>
      </c>
      <c r="D234" s="146" t="str">
        <v>1</v>
      </c>
      <c r="E234" s="146" t="str">
        <v>1</v>
      </c>
      <c r="F234" s="146" t="str">
        <v>1</v>
      </c>
      <c r="G234" s="146" t="n">
        <v>6</v>
      </c>
    </row>
    <row r="235" ht="32" customHeight="1">
      <c r="A235" s="146" t="str">
        <v>2026</v>
      </c>
      <c r="B235" s="146" t="str">
        <v>2</v>
      </c>
      <c r="C235" s="146" t="str">
        <v>76</v>
      </c>
      <c r="D235" s="146" t="str">
        <v>2</v>
      </c>
      <c r="E235" s="146" t="str">
        <v>1</v>
      </c>
      <c r="F235" s="146" t="str">
        <v>0</v>
      </c>
      <c r="G235" s="146" t="n">
        <v>15</v>
      </c>
    </row>
    <row r="236" ht="32" customHeight="1">
      <c r="A236" s="146" t="str">
        <v>2026</v>
      </c>
      <c r="B236" s="146" t="str">
        <v>2</v>
      </c>
      <c r="C236" s="146" t="str">
        <v>76</v>
      </c>
      <c r="D236" s="146" t="str">
        <v>2</v>
      </c>
      <c r="E236" s="146" t="str">
        <v>1</v>
      </c>
      <c r="F236" s="146" t="str">
        <v>1</v>
      </c>
      <c r="G236" s="146" t="n">
        <v>18</v>
      </c>
    </row>
    <row r="237" ht="32" customHeight="1">
      <c r="A237" s="146" t="str">
        <v>2026</v>
      </c>
      <c r="B237" s="146" t="str">
        <v>2</v>
      </c>
      <c r="C237" s="146" t="str">
        <v>76</v>
      </c>
      <c r="D237" s="146" t="str">
        <v>4</v>
      </c>
      <c r="E237" s="146" t="str">
        <v>1</v>
      </c>
      <c r="F237" s="146" t="str">
        <v>0</v>
      </c>
      <c r="G237" s="146" t="n">
        <v>56</v>
      </c>
    </row>
    <row r="238" ht="32" customHeight="1">
      <c r="A238" s="146" t="str">
        <v>2026</v>
      </c>
      <c r="B238" s="146" t="str">
        <v>2</v>
      </c>
      <c r="C238" s="146" t="str">
        <v>76</v>
      </c>
      <c r="D238" s="146" t="str">
        <v>4</v>
      </c>
      <c r="E238" s="146" t="str">
        <v>1</v>
      </c>
      <c r="F238" s="146" t="str">
        <v>1</v>
      </c>
      <c r="G238" s="146" t="n">
        <v>120</v>
      </c>
    </row>
    <row r="239" ht="32" customHeight="1">
      <c r="A239" s="146" t="str">
        <v>2026</v>
      </c>
      <c r="B239" s="146" t="str">
        <v>2</v>
      </c>
      <c r="C239" s="146" t="str">
        <v>76</v>
      </c>
      <c r="D239" s="146" t="str">
        <v>4</v>
      </c>
      <c r="E239" s="146" t="str">
        <v>2</v>
      </c>
      <c r="F239" s="146" t="str">
        <v>0</v>
      </c>
      <c r="G239" s="146" t="n">
        <v>1</v>
      </c>
    </row>
    <row r="240" ht="32" customHeight="1">
      <c r="A240" s="146" t="str">
        <v>2026</v>
      </c>
      <c r="B240" s="146" t="str">
        <v>2</v>
      </c>
      <c r="C240" s="146" t="str">
        <v>76</v>
      </c>
      <c r="D240" s="146" t="str">
        <v>4</v>
      </c>
      <c r="E240" s="146" t="str">
        <v>2</v>
      </c>
      <c r="F240" s="146" t="str">
        <v>1</v>
      </c>
      <c r="G240" s="146" t="n">
        <v>21</v>
      </c>
    </row>
    <row r="241" ht="32" customHeight="1">
      <c r="A241" s="146" t="str">
        <v>2026</v>
      </c>
      <c r="B241" s="146" t="str">
        <v>2</v>
      </c>
      <c r="C241" s="146" t="str">
        <v>77</v>
      </c>
      <c r="D241" s="146" t="str">
        <v>2</v>
      </c>
      <c r="E241" s="146" t="str">
        <v>1</v>
      </c>
      <c r="F241" s="146" t="str">
        <v>0</v>
      </c>
      <c r="G241" s="146" t="n">
        <v>10</v>
      </c>
    </row>
    <row r="242" ht="32" customHeight="1">
      <c r="A242" s="146" t="str">
        <v>2026</v>
      </c>
      <c r="B242" s="146" t="str">
        <v>2</v>
      </c>
      <c r="C242" s="146" t="str">
        <v>77</v>
      </c>
      <c r="D242" s="146" t="str">
        <v>2</v>
      </c>
      <c r="E242" s="146" t="str">
        <v>1</v>
      </c>
      <c r="F242" s="146" t="str">
        <v>1</v>
      </c>
      <c r="G242" s="146" t="n">
        <v>20</v>
      </c>
    </row>
    <row r="243" ht="32" customHeight="1">
      <c r="A243" s="146" t="str">
        <v>2026</v>
      </c>
      <c r="B243" s="146" t="str">
        <v>2</v>
      </c>
      <c r="C243" s="146" t="str">
        <v>77</v>
      </c>
      <c r="D243" s="146" t="str">
        <v>4</v>
      </c>
      <c r="E243" s="146" t="str">
        <v>1</v>
      </c>
      <c r="F243" s="146" t="str">
        <v>0</v>
      </c>
      <c r="G243" s="146" t="n">
        <v>35</v>
      </c>
    </row>
    <row r="244" ht="32" customHeight="1">
      <c r="A244" s="146" t="str">
        <v>2026</v>
      </c>
      <c r="B244" s="146" t="str">
        <v>2</v>
      </c>
      <c r="C244" s="146" t="str">
        <v>77</v>
      </c>
      <c r="D244" s="146" t="str">
        <v>4</v>
      </c>
      <c r="E244" s="146" t="str">
        <v>1</v>
      </c>
      <c r="F244" s="146" t="str">
        <v>1</v>
      </c>
      <c r="G244" s="146" t="n">
        <v>91</v>
      </c>
    </row>
    <row r="245" ht="32" customHeight="1">
      <c r="A245" s="146" t="str">
        <v>2026</v>
      </c>
      <c r="B245" s="146" t="str">
        <v>2</v>
      </c>
      <c r="C245" s="146" t="str">
        <v>77</v>
      </c>
      <c r="D245" s="146" t="str">
        <v>4</v>
      </c>
      <c r="E245" s="146" t="str">
        <v>2</v>
      </c>
      <c r="F245" s="146" t="str">
        <v>0</v>
      </c>
      <c r="G245" s="146" t="n">
        <v>3</v>
      </c>
    </row>
    <row r="246" ht="32" customHeight="1">
      <c r="A246" s="146" t="str">
        <v>2026</v>
      </c>
      <c r="B246" s="146" t="str">
        <v>2</v>
      </c>
      <c r="C246" s="146" t="str">
        <v>77</v>
      </c>
      <c r="D246" s="146" t="str">
        <v>4</v>
      </c>
      <c r="E246" s="146" t="str">
        <v>2</v>
      </c>
      <c r="F246" s="146" t="str">
        <v>1</v>
      </c>
      <c r="G246" s="146" t="n">
        <v>32</v>
      </c>
    </row>
    <row r="247" ht="32" customHeight="1">
      <c r="A247" s="146" t="str">
        <v>2026</v>
      </c>
      <c r="B247" s="146" t="str">
        <v>2</v>
      </c>
      <c r="C247" s="146" t="str">
        <v>78</v>
      </c>
      <c r="D247" s="146" t="str">
        <v>1</v>
      </c>
      <c r="E247" s="146" t="str">
        <v>1</v>
      </c>
      <c r="F247" s="146" t="str">
        <v>0</v>
      </c>
      <c r="G247" s="146" t="n">
        <v>3</v>
      </c>
    </row>
    <row r="248" ht="32" customHeight="1">
      <c r="A248" s="146" t="str">
        <v>2026</v>
      </c>
      <c r="B248" s="146" t="str">
        <v>2</v>
      </c>
      <c r="C248" s="146" t="str">
        <v>78</v>
      </c>
      <c r="D248" s="146" t="str">
        <v>1</v>
      </c>
      <c r="E248" s="146" t="str">
        <v>1</v>
      </c>
      <c r="F248" s="146" t="str">
        <v>1</v>
      </c>
      <c r="G248" s="146" t="n">
        <v>10</v>
      </c>
    </row>
    <row r="249" ht="32" customHeight="1">
      <c r="A249" s="146" t="str">
        <v>2026</v>
      </c>
      <c r="B249" s="146" t="str">
        <v>2</v>
      </c>
      <c r="C249" s="146" t="str">
        <v>78</v>
      </c>
      <c r="D249" s="146" t="str">
        <v>2</v>
      </c>
      <c r="E249" s="146" t="str">
        <v>1</v>
      </c>
      <c r="F249" s="146" t="str">
        <v>0</v>
      </c>
      <c r="G249" s="146" t="n">
        <v>9</v>
      </c>
    </row>
    <row r="250" ht="32" customHeight="1">
      <c r="A250" s="146" t="str">
        <v>2026</v>
      </c>
      <c r="B250" s="146" t="str">
        <v>2</v>
      </c>
      <c r="C250" s="146" t="str">
        <v>78</v>
      </c>
      <c r="D250" s="146" t="str">
        <v>2</v>
      </c>
      <c r="E250" s="146" t="str">
        <v>1</v>
      </c>
      <c r="F250" s="146" t="str">
        <v>1</v>
      </c>
      <c r="G250" s="146" t="n">
        <v>34</v>
      </c>
    </row>
    <row r="251" ht="32" customHeight="1">
      <c r="A251" s="146" t="str">
        <v>2026</v>
      </c>
      <c r="B251" s="146" t="str">
        <v>2</v>
      </c>
      <c r="C251" s="146" t="str">
        <v>78</v>
      </c>
      <c r="D251" s="146" t="str">
        <v>4</v>
      </c>
      <c r="E251" s="146" t="str">
        <v>1</v>
      </c>
      <c r="F251" s="146" t="str">
        <v>0</v>
      </c>
      <c r="G251" s="146" t="n">
        <v>59</v>
      </c>
    </row>
    <row r="252" ht="32" customHeight="1">
      <c r="A252" s="146" t="str">
        <v>2026</v>
      </c>
      <c r="B252" s="146" t="str">
        <v>2</v>
      </c>
      <c r="C252" s="146" t="str">
        <v>78</v>
      </c>
      <c r="D252" s="146" t="str">
        <v>4</v>
      </c>
      <c r="E252" s="146" t="str">
        <v>1</v>
      </c>
      <c r="F252" s="146" t="str">
        <v>1</v>
      </c>
      <c r="G252" s="146" t="n">
        <v>82</v>
      </c>
    </row>
    <row r="253" ht="32" customHeight="1">
      <c r="A253" s="146" t="str">
        <v>2026</v>
      </c>
      <c r="B253" s="146" t="str">
        <v>2</v>
      </c>
      <c r="C253" s="146" t="str">
        <v>79</v>
      </c>
      <c r="D253" s="146" t="str">
        <v>2</v>
      </c>
      <c r="E253" s="146" t="str">
        <v>1</v>
      </c>
      <c r="F253" s="146" t="str">
        <v>0</v>
      </c>
      <c r="G253" s="146" t="n">
        <v>14</v>
      </c>
    </row>
    <row r="254" ht="32" customHeight="1">
      <c r="A254" s="146" t="str">
        <v>2026</v>
      </c>
      <c r="B254" s="146" t="str">
        <v>2</v>
      </c>
      <c r="C254" s="146" t="str">
        <v>79</v>
      </c>
      <c r="D254" s="146" t="str">
        <v>2</v>
      </c>
      <c r="E254" s="146" t="str">
        <v>1</v>
      </c>
      <c r="F254" s="146" t="str">
        <v>1</v>
      </c>
      <c r="G254" s="146" t="n">
        <v>26</v>
      </c>
    </row>
    <row r="255" ht="32" customHeight="1">
      <c r="A255" s="146" t="str">
        <v>2026</v>
      </c>
      <c r="B255" s="146" t="str">
        <v>2</v>
      </c>
      <c r="C255" s="146" t="str">
        <v>79</v>
      </c>
      <c r="D255" s="146" t="str">
        <v>4</v>
      </c>
      <c r="E255" s="146" t="str">
        <v>1</v>
      </c>
      <c r="F255" s="146" t="str">
        <v>0</v>
      </c>
      <c r="G255" s="146" t="n">
        <v>55</v>
      </c>
    </row>
    <row r="256" ht="32" customHeight="1">
      <c r="A256" s="146" t="str">
        <v>2026</v>
      </c>
      <c r="B256" s="146" t="str">
        <v>2</v>
      </c>
      <c r="C256" s="146" t="str">
        <v>79</v>
      </c>
      <c r="D256" s="146" t="str">
        <v>4</v>
      </c>
      <c r="E256" s="146" t="str">
        <v>1</v>
      </c>
      <c r="F256" s="146" t="str">
        <v>1</v>
      </c>
      <c r="G256" s="146" t="n">
        <v>86</v>
      </c>
    </row>
    <row r="257" ht="32" customHeight="1">
      <c r="A257" s="146" t="str">
        <v>2026</v>
      </c>
      <c r="B257" s="146" t="str">
        <v>2</v>
      </c>
      <c r="C257" s="146" t="str">
        <v>83</v>
      </c>
      <c r="D257" s="146" t="str">
        <v>4</v>
      </c>
      <c r="E257" s="146" t="str">
        <v>1</v>
      </c>
      <c r="F257" s="146" t="str">
        <v>0</v>
      </c>
      <c r="G257" s="146" t="n">
        <v>46</v>
      </c>
    </row>
    <row r="258" ht="32" customHeight="1">
      <c r="A258" s="146" t="str">
        <v>2026</v>
      </c>
      <c r="B258" s="146" t="str">
        <v>2</v>
      </c>
      <c r="C258" s="146" t="str">
        <v>83</v>
      </c>
      <c r="D258" s="146" t="str">
        <v>4</v>
      </c>
      <c r="E258" s="146" t="str">
        <v>1</v>
      </c>
      <c r="F258" s="146" t="str">
        <v>1</v>
      </c>
      <c r="G258" s="146" t="n">
        <v>84</v>
      </c>
    </row>
    <row r="259" ht="32" customHeight="1">
      <c r="A259" s="146" t="str">
        <v>2026</v>
      </c>
      <c r="B259" s="146" t="str">
        <v>2</v>
      </c>
      <c r="C259" s="146" t="str">
        <v>83</v>
      </c>
      <c r="D259" s="146" t="str">
        <v>4</v>
      </c>
      <c r="E259" s="146" t="str">
        <v>2</v>
      </c>
      <c r="F259" s="146" t="str">
        <v>0</v>
      </c>
      <c r="G259" s="146" t="n">
        <v>1</v>
      </c>
    </row>
    <row r="260" ht="32" customHeight="1">
      <c r="A260" s="146" t="str">
        <v>2026</v>
      </c>
      <c r="B260" s="146" t="str">
        <v>2</v>
      </c>
      <c r="C260" s="146" t="str">
        <v>83</v>
      </c>
      <c r="D260" s="146" t="str">
        <v>4</v>
      </c>
      <c r="E260" s="146" t="str">
        <v>2</v>
      </c>
      <c r="F260" s="146" t="str">
        <v>1</v>
      </c>
      <c r="G260" s="146" t="n">
        <v>9</v>
      </c>
    </row>
    <row r="261" ht="32" customHeight="1">
      <c r="A261" s="146" t="str">
        <v>2026</v>
      </c>
      <c r="B261" s="146" t="str">
        <v>2</v>
      </c>
      <c r="C261" s="146" t="str">
        <v>84</v>
      </c>
      <c r="D261" s="146" t="str">
        <v>4</v>
      </c>
      <c r="E261" s="146" t="str">
        <v>1</v>
      </c>
      <c r="F261" s="146" t="str">
        <v>0</v>
      </c>
      <c r="G261" s="146" t="n">
        <v>10</v>
      </c>
    </row>
    <row r="262" ht="32" customHeight="1">
      <c r="A262" s="146" t="str">
        <v>2026</v>
      </c>
      <c r="B262" s="146" t="str">
        <v>2</v>
      </c>
      <c r="C262" s="146" t="str">
        <v>84</v>
      </c>
      <c r="D262" s="146" t="str">
        <v>4</v>
      </c>
      <c r="E262" s="146" t="str">
        <v>1</v>
      </c>
      <c r="F262" s="146" t="str">
        <v>1</v>
      </c>
      <c r="G262" s="146" t="n">
        <v>30</v>
      </c>
    </row>
    <row r="263" ht="32" customHeight="1">
      <c r="A263" s="146" t="str">
        <v>2026</v>
      </c>
      <c r="B263" s="146" t="str">
        <v>2</v>
      </c>
      <c r="C263" s="146" t="str">
        <v>85</v>
      </c>
      <c r="D263" s="146" t="str">
        <v>4</v>
      </c>
      <c r="E263" s="146" t="str">
        <v>1</v>
      </c>
      <c r="F263" s="146" t="str">
        <v>0</v>
      </c>
      <c r="G263" s="146" t="n">
        <v>36</v>
      </c>
    </row>
    <row r="264" ht="32" customHeight="1">
      <c r="A264" s="146" t="str">
        <v>2026</v>
      </c>
      <c r="B264" s="146" t="str">
        <v>2</v>
      </c>
      <c r="C264" s="146" t="str">
        <v>85</v>
      </c>
      <c r="D264" s="146" t="str">
        <v>4</v>
      </c>
      <c r="E264" s="146" t="str">
        <v>1</v>
      </c>
      <c r="F264" s="146" t="str">
        <v>1</v>
      </c>
      <c r="G264" s="146" t="n">
        <v>52</v>
      </c>
    </row>
    <row r="265" ht="32" customHeight="1">
      <c r="A265" s="146" t="str">
        <v>2026</v>
      </c>
      <c r="B265" s="146" t="str">
        <v>2</v>
      </c>
      <c r="C265" s="146" t="str">
        <v>86</v>
      </c>
      <c r="D265" s="146" t="str">
        <v>4</v>
      </c>
      <c r="E265" s="146" t="str">
        <v>1</v>
      </c>
      <c r="F265" s="146" t="str">
        <v>0</v>
      </c>
      <c r="G265" s="146" t="n">
        <v>27</v>
      </c>
    </row>
    <row r="266" ht="32" customHeight="1">
      <c r="A266" s="146" t="str">
        <v>2026</v>
      </c>
      <c r="B266" s="146" t="str">
        <v>2</v>
      </c>
      <c r="C266" s="146" t="str">
        <v>86</v>
      </c>
      <c r="D266" s="146" t="str">
        <v>4</v>
      </c>
      <c r="E266" s="146" t="str">
        <v>1</v>
      </c>
      <c r="F266" s="146" t="str">
        <v>1</v>
      </c>
      <c r="G266" s="146" t="n">
        <v>60</v>
      </c>
    </row>
    <row r="267" ht="32" customHeight="1">
      <c r="A267" s="146" t="str">
        <v>2026</v>
      </c>
      <c r="B267" s="146" t="str">
        <v>2</v>
      </c>
      <c r="C267" s="146" t="str">
        <v>87</v>
      </c>
      <c r="D267" s="146" t="str">
        <v>4</v>
      </c>
      <c r="E267" s="146" t="str">
        <v>2</v>
      </c>
      <c r="F267" s="146" t="str">
        <v>0</v>
      </c>
      <c r="G267" s="146" t="n">
        <v>36</v>
      </c>
    </row>
    <row r="268" ht="32" customHeight="1">
      <c r="A268" s="146" t="str">
        <v>2026</v>
      </c>
      <c r="B268" s="146" t="str">
        <v>2</v>
      </c>
      <c r="C268" s="146" t="str">
        <v>87</v>
      </c>
      <c r="D268" s="146" t="str">
        <v>4</v>
      </c>
      <c r="E268" s="146" t="str">
        <v>2</v>
      </c>
      <c r="F268" s="146" t="str">
        <v>1</v>
      </c>
      <c r="G268" s="146" t="n">
        <v>69</v>
      </c>
    </row>
    <row r="269" ht="32" customHeight="1">
      <c r="A269" s="146" t="str">
        <v>2026</v>
      </c>
      <c r="B269" s="146" t="str">
        <v>2</v>
      </c>
      <c r="C269" s="146" t="str">
        <v>88</v>
      </c>
      <c r="D269" s="146" t="str">
        <v>4</v>
      </c>
      <c r="E269" s="146" t="str">
        <v>1</v>
      </c>
      <c r="F269" s="146" t="str">
        <v>0</v>
      </c>
      <c r="G269" s="146" t="n">
        <v>26</v>
      </c>
    </row>
    <row r="270" ht="32" customHeight="1">
      <c r="A270" s="146" t="str">
        <v>2026</v>
      </c>
      <c r="B270" s="146" t="str">
        <v>2</v>
      </c>
      <c r="C270" s="146" t="str">
        <v>88</v>
      </c>
      <c r="D270" s="146" t="str">
        <v>4</v>
      </c>
      <c r="E270" s="146" t="str">
        <v>1</v>
      </c>
      <c r="F270" s="146" t="str">
        <v>1</v>
      </c>
      <c r="G270" s="146" t="n">
        <v>47</v>
      </c>
    </row>
    <row r="271" ht="32" customHeight="1">
      <c r="A271" s="146" t="str">
        <v>2026</v>
      </c>
      <c r="B271" s="146" t="str">
        <v>2</v>
      </c>
      <c r="C271" s="146" t="str">
        <v>89</v>
      </c>
      <c r="D271" s="146" t="str">
        <v>4</v>
      </c>
      <c r="E271" s="146" t="str">
        <v>1</v>
      </c>
      <c r="F271" s="146" t="str">
        <v>0</v>
      </c>
      <c r="G271" s="146" t="n">
        <v>14</v>
      </c>
    </row>
    <row r="272" ht="32" customHeight="1">
      <c r="A272" s="146" t="str">
        <v>2026</v>
      </c>
      <c r="B272" s="146" t="str">
        <v>2</v>
      </c>
      <c r="C272" s="146" t="str">
        <v>89</v>
      </c>
      <c r="D272" s="146" t="str">
        <v>4</v>
      </c>
      <c r="E272" s="146" t="str">
        <v>1</v>
      </c>
      <c r="F272" s="146" t="str">
        <v>1</v>
      </c>
      <c r="G272" s="146" t="n">
        <v>30</v>
      </c>
    </row>
    <row r="273" ht="32" customHeight="1">
      <c r="A273" s="146" t="str">
        <v>2026</v>
      </c>
      <c r="B273" s="146" t="str">
        <v>2</v>
      </c>
      <c r="C273" s="146" t="str">
        <v>90</v>
      </c>
      <c r="D273" s="146" t="str">
        <v>2</v>
      </c>
      <c r="E273" s="146" t="str">
        <v>2</v>
      </c>
      <c r="F273" s="146" t="str">
        <v>0</v>
      </c>
      <c r="G273" s="146" t="n">
        <v>1</v>
      </c>
    </row>
    <row r="274" ht="32" customHeight="1">
      <c r="A274" s="146" t="str">
        <v>2026</v>
      </c>
      <c r="B274" s="146" t="str">
        <v>2</v>
      </c>
      <c r="C274" s="146" t="str">
        <v>90</v>
      </c>
      <c r="D274" s="146" t="str">
        <v>2</v>
      </c>
      <c r="E274" s="146" t="str">
        <v>2</v>
      </c>
      <c r="F274" s="146" t="str">
        <v>1</v>
      </c>
      <c r="G274" s="146" t="n">
        <v>19</v>
      </c>
    </row>
    <row r="275" ht="32" customHeight="1">
      <c r="A275" s="146" t="str">
        <v>2026</v>
      </c>
      <c r="B275" s="146" t="str">
        <v>2</v>
      </c>
      <c r="C275" s="146" t="str">
        <v>91</v>
      </c>
      <c r="D275" s="146" t="str">
        <v>1</v>
      </c>
      <c r="E275" s="146" t="str">
        <v>1</v>
      </c>
      <c r="F275" s="146" t="str">
        <v>0</v>
      </c>
      <c r="G275" s="146" t="n">
        <v>28</v>
      </c>
    </row>
    <row r="276" ht="32" customHeight="1">
      <c r="A276" s="146" t="str">
        <v>2026</v>
      </c>
      <c r="B276" s="146" t="str">
        <v>2</v>
      </c>
      <c r="C276" s="146" t="str">
        <v>91</v>
      </c>
      <c r="D276" s="146" t="str">
        <v>1</v>
      </c>
      <c r="E276" s="146" t="str">
        <v>1</v>
      </c>
      <c r="F276" s="146" t="str">
        <v>1</v>
      </c>
      <c r="G276" s="146" t="n">
        <v>69</v>
      </c>
    </row>
    <row r="277" ht="32" customHeight="1">
      <c r="A277" s="146" t="str">
        <v>2026</v>
      </c>
      <c r="B277" s="146" t="str">
        <v>2</v>
      </c>
      <c r="C277" s="146" t="str">
        <v>91</v>
      </c>
      <c r="D277" s="146" t="str">
        <v>2</v>
      </c>
      <c r="E277" s="146" t="str">
        <v>1</v>
      </c>
      <c r="F277" s="146" t="str">
        <v>0</v>
      </c>
      <c r="G277" s="146" t="n">
        <v>42</v>
      </c>
    </row>
    <row r="278" ht="32" customHeight="1">
      <c r="A278" s="146" t="str">
        <v>2026</v>
      </c>
      <c r="B278" s="146" t="str">
        <v>2</v>
      </c>
      <c r="C278" s="146" t="str">
        <v>91</v>
      </c>
      <c r="D278" s="146" t="str">
        <v>2</v>
      </c>
      <c r="E278" s="146" t="str">
        <v>1</v>
      </c>
      <c r="F278" s="146" t="str">
        <v>1</v>
      </c>
      <c r="G278" s="146" t="n">
        <v>92</v>
      </c>
    </row>
    <row r="279" ht="32" customHeight="1">
      <c r="A279" s="146" t="str">
        <v>2026</v>
      </c>
      <c r="B279" s="146" t="str">
        <v>3</v>
      </c>
      <c r="C279" s="146" t="str">
        <v>114</v>
      </c>
      <c r="D279" s="146" t="str">
        <v>2</v>
      </c>
      <c r="E279" s="146" t="str">
        <v>1</v>
      </c>
      <c r="F279" s="146" t="str">
        <v>0</v>
      </c>
      <c r="G279" s="146" t="n">
        <v>2</v>
      </c>
    </row>
    <row r="280" ht="32" customHeight="1">
      <c r="A280" s="146" t="str">
        <v>2026</v>
      </c>
      <c r="B280" s="146" t="str">
        <v>3</v>
      </c>
      <c r="C280" s="146" t="str">
        <v>114</v>
      </c>
      <c r="D280" s="146" t="str">
        <v>2</v>
      </c>
      <c r="E280" s="146" t="str">
        <v>1</v>
      </c>
      <c r="F280" s="146" t="str">
        <v>1</v>
      </c>
      <c r="G280" s="146" t="n">
        <v>33</v>
      </c>
    </row>
    <row r="281" ht="32" customHeight="1">
      <c r="A281" s="146" t="str">
        <v>2026</v>
      </c>
      <c r="B281" s="146" t="str">
        <v>3</v>
      </c>
      <c r="C281" s="146" t="str">
        <v>115</v>
      </c>
      <c r="D281" s="146" t="str">
        <v>2</v>
      </c>
      <c r="E281" s="146" t="str">
        <v>1</v>
      </c>
      <c r="F281" s="146" t="str">
        <v>0</v>
      </c>
      <c r="G281" s="146" t="n">
        <v>2</v>
      </c>
    </row>
    <row r="282" ht="32" customHeight="1">
      <c r="A282" s="146" t="str">
        <v>2026</v>
      </c>
      <c r="B282" s="146" t="str">
        <v>3</v>
      </c>
      <c r="C282" s="146" t="str">
        <v>115</v>
      </c>
      <c r="D282" s="146" t="str">
        <v>2</v>
      </c>
      <c r="E282" s="146" t="str">
        <v>1</v>
      </c>
      <c r="F282" s="146" t="str">
        <v>1</v>
      </c>
      <c r="G282" s="146" t="n">
        <v>18</v>
      </c>
    </row>
    <row r="283" ht="32" customHeight="1">
      <c r="A283" s="146" t="str">
        <v>2026</v>
      </c>
      <c r="B283" s="146" t="str">
        <v>3</v>
      </c>
      <c r="C283" s="146" t="str">
        <v>91</v>
      </c>
      <c r="D283" s="146" t="str">
        <v>2</v>
      </c>
      <c r="E283" s="146" t="str">
        <v>1</v>
      </c>
      <c r="F283" s="146" t="str">
        <v>0</v>
      </c>
      <c r="G283" s="146" t="n">
        <v>4</v>
      </c>
    </row>
    <row r="284" ht="32" customHeight="1">
      <c r="A284" s="146" t="str">
        <v>2026</v>
      </c>
      <c r="B284" s="146" t="str">
        <v>3</v>
      </c>
      <c r="C284" s="146" t="str">
        <v>91</v>
      </c>
      <c r="D284" s="146" t="str">
        <v>2</v>
      </c>
      <c r="E284" s="146" t="str">
        <v>1</v>
      </c>
      <c r="F284" s="146" t="str">
        <v>1</v>
      </c>
      <c r="G284" s="146" t="n">
        <v>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H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29" activeCellId="0" sqref="C129"/>
    </sheetView>
  </sheetViews>
  <sheetFormatPr defaultColWidth="8.66796875" defaultRowHeight="15" customHeight="false" zeroHeight="false" outlineLevelRow="0" outlineLevelCol="0"/>
  <cols>
    <col collapsed="false" customWidth="true" hidden="false" outlineLevel="0" max="1" min="1" style="1" width="13.34"/>
    <col collapsed="false" customWidth="true" hidden="false" outlineLevel="0" max="2" min="2" style="1" width="57.16"/>
    <col collapsed="false" customWidth="true" hidden="false" outlineLevel="0" max="3" min="3" style="1" width="37.34"/>
    <col collapsed="false" customWidth="true" hidden="false" outlineLevel="0" max="4" min="4" style="1" width="17.67"/>
    <col collapsed="false" customWidth="true" hidden="false" outlineLevel="0" max="5" min="5" style="1" width="14"/>
    <col collapsed="false" customWidth="true" hidden="false" outlineLevel="0" max="7" min="6" style="1" width="19.83"/>
    <col collapsed="false" customWidth="true" hidden="false" outlineLevel="0" max="8" min="8" style="1" width="14"/>
  </cols>
  <sheetData>
    <row r="1" customFormat="false" ht="30" hidden="false" customHeight="true" outlineLevel="0" collapsed="false">
      <c r="A1" s="62" t="inlineStr">
        <is>
          <t xml:space="preserve">12. Desglose por jornada, edad y sexo (soporte técnico)</t>
        </is>
      </c>
      <c r="B1" s="62"/>
      <c r="C1" s="62"/>
      <c r="D1" s="62"/>
      <c r="E1" s="62"/>
      <c r="F1" s="62"/>
      <c r="G1" s="62"/>
      <c r="H1" s="62"/>
    </row>
    <row r="3" customFormat="false" ht="109.5" hidden="false" customHeight="true" outlineLevel="0" collapsed="false">
      <c r="A3" s="35" t="inlineStr">
        <is>
          <t xml:space="preserve">🏠 Portada / Índice</t>
        </is>
      </c>
      <c r="B3" s="63" t="inlineStr">
        <is>
          <t xml:space="preserve">C · Foto de valores históricos preservados; detalle individual excluido. No recalcula con filtros en esta copia agregada.</t>
        </is>
      </c>
      <c r="C3" s="63"/>
      <c r="D3" s="63"/>
      <c r="E3" s="63"/>
      <c r="F3" s="63"/>
      <c r="G3" s="63"/>
      <c r="H3" s="63"/>
    </row>
    <row r="4" customFormat="false" ht="15" hidden="false" customHeight="true" outlineLevel="0" collapsed="false">
      <c r="A4" s="5"/>
      <c r="B4" s="21" t="inlineStr">
        <is>
          <t xml:space="preserve">Cohortes elegidas</t>
        </is>
      </c>
      <c r="C4" s="21" t="inlineStr">
        <is>
          <t xml:space="preserve">Sector</t>
        </is>
      </c>
      <c r="D4" s="21" t="inlineStr">
        <is>
          <t xml:space="preserve">Carrera</t>
        </is>
      </c>
      <c r="E4" s="21" t="inlineStr">
        <is>
          <t xml:space="preserve">Estudiantes</t>
        </is>
      </c>
      <c r="F4" s="21" t="inlineStr">
        <is>
          <t xml:space="preserve">Retenidos</t>
        </is>
      </c>
      <c r="G4" s="21" t="inlineStr">
        <is>
          <t xml:space="preserve">Tasa ponderada</t>
        </is>
      </c>
    </row>
    <row r="5" customFormat="false" ht="15" hidden="false" customHeight="true" outlineLevel="0" collapsed="false">
      <c r="A5" s="5"/>
      <c r="B5" s="22" t="str">
        <v>Acumulado 2022-2025</v>
      </c>
      <c r="C5" s="22" t="str">
        <v>Todos</v>
      </c>
      <c r="D5" s="22" t="str">
        <v>Todas</v>
      </c>
      <c r="E5" s="36" t="n">
        <v>2379</v>
      </c>
      <c r="F5" s="36" t="n">
        <v>1476</v>
      </c>
      <c r="G5" s="23" t="n">
        <v>0.620428751576293</v>
      </c>
    </row>
    <row r="6" customFormat="false" ht="15" hidden="false" customHeight="true" outlineLevel="0" collapsed="false">
      <c r="A6" s="5"/>
      <c r="B6" s="64" t="inlineStr">
        <is>
          <t xml:space="preserve">A. Retención por carrera y jornada (2022-2025 combinado)</t>
        </is>
      </c>
    </row>
    <row r="7" customFormat="false" ht="23.25" hidden="false" customHeight="true" outlineLevel="0" collapsed="false">
      <c r="A7" s="5"/>
      <c r="B7" s="65" t="inlineStr">
        <is>
          <t xml:space="preserve">Sector</t>
        </is>
      </c>
      <c r="C7" s="65" t="inlineStr">
        <is>
          <t xml:space="preserve">Carrera</t>
        </is>
      </c>
      <c r="D7" s="65" t="inlineStr">
        <is>
          <t xml:space="preserve">Jornada</t>
        </is>
      </c>
      <c r="E7" s="65" t="inlineStr">
        <is>
          <t xml:space="preserve">Estudiantes</t>
        </is>
      </c>
      <c r="F7" s="65" t="inlineStr">
        <is>
          <t xml:space="preserve">Retenidos</t>
        </is>
      </c>
      <c r="G7" s="65" t="inlineStr">
        <is>
          <t xml:space="preserve">Tasa de retención</t>
        </is>
      </c>
    </row>
    <row r="8" customFormat="false" ht="15" hidden="false" customHeight="true" outlineLevel="0" collapsed="false">
      <c r="A8" s="5"/>
      <c r="B8" s="51" t="str">
        <v>Administración y Comercio</v>
      </c>
      <c r="C8" s="51" t="str">
        <v>Administracion Publica</v>
      </c>
      <c r="D8" s="51" t="inlineStr">
        <is>
          <t xml:space="preserve">Presencial-Diurno</t>
        </is>
      </c>
      <c r="E8" s="51" t="n">
        <v>0</v>
      </c>
      <c r="F8" s="51" t="n">
        <v>0</v>
      </c>
      <c r="G8" s="66" t="str">
        <v/>
      </c>
    </row>
    <row r="9" customFormat="false" ht="15" hidden="false" customHeight="true" outlineLevel="0" collapsed="false">
      <c r="A9" s="5"/>
      <c r="B9" s="51" t="str">
        <v>Administración y Comercio</v>
      </c>
      <c r="C9" s="51" t="str">
        <v>Administracion Publica</v>
      </c>
      <c r="D9" s="51" t="inlineStr">
        <is>
          <t xml:space="preserve">Presencial-Vespertino</t>
        </is>
      </c>
      <c r="E9" s="51" t="n">
        <v>0</v>
      </c>
      <c r="F9" s="51" t="n">
        <v>0</v>
      </c>
      <c r="G9" s="66" t="str">
        <v/>
      </c>
    </row>
    <row r="10" customFormat="false" ht="15" hidden="false" customHeight="true" outlineLevel="0" collapsed="false">
      <c r="A10" s="5"/>
      <c r="B10" s="51" t="str">
        <v>Administración y Comercio</v>
      </c>
      <c r="C10" s="51" t="str">
        <v>Administracion Publica</v>
      </c>
      <c r="D10" s="51" t="inlineStr">
        <is>
          <t xml:space="preserve">Virtual</t>
        </is>
      </c>
      <c r="E10" s="51" t="n">
        <v>70</v>
      </c>
      <c r="F10" s="51" t="n">
        <v>33</v>
      </c>
      <c r="G10" s="66" t="n">
        <v>0.471428571428571</v>
      </c>
    </row>
    <row r="11" customFormat="false" ht="15" hidden="false" customHeight="true" outlineLevel="0" collapsed="false">
      <c r="A11" s="5"/>
      <c r="B11" s="51" t="str">
        <v>Administración y Comercio</v>
      </c>
      <c r="C11" s="51" t="str">
        <v>Auditoria</v>
      </c>
      <c r="D11" s="51" t="inlineStr">
        <is>
          <t xml:space="preserve">Presencial-Diurno</t>
        </is>
      </c>
      <c r="E11" s="51" t="n">
        <v>0</v>
      </c>
      <c r="F11" s="51" t="n">
        <v>0</v>
      </c>
      <c r="G11" s="66" t="str">
        <v/>
      </c>
    </row>
    <row r="12" customFormat="false" ht="15" hidden="false" customHeight="true" outlineLevel="0" collapsed="false">
      <c r="A12" s="5"/>
      <c r="B12" s="51" t="str">
        <v>Administración y Comercio</v>
      </c>
      <c r="C12" s="51" t="str">
        <v>Auditoria</v>
      </c>
      <c r="D12" s="51" t="inlineStr">
        <is>
          <t xml:space="preserve">Presencial-Vespertino</t>
        </is>
      </c>
      <c r="E12" s="51" t="n">
        <v>0</v>
      </c>
      <c r="F12" s="51" t="n">
        <v>0</v>
      </c>
      <c r="G12" s="66" t="str">
        <v/>
      </c>
    </row>
    <row r="13" customFormat="false" ht="15" hidden="false" customHeight="true" outlineLevel="0" collapsed="false">
      <c r="A13" s="5"/>
      <c r="B13" s="51" t="str">
        <v>Administración y Comercio</v>
      </c>
      <c r="C13" s="51" t="str">
        <v>Auditoria</v>
      </c>
      <c r="D13" s="51" t="inlineStr">
        <is>
          <t xml:space="preserve">Virtual</t>
        </is>
      </c>
      <c r="E13" s="51" t="n">
        <v>40</v>
      </c>
      <c r="F13" s="51" t="n">
        <v>27</v>
      </c>
      <c r="G13" s="66" t="n">
        <v>0.675</v>
      </c>
    </row>
    <row r="14" customFormat="false" ht="15" hidden="false" customHeight="true" outlineLevel="0" collapsed="false">
      <c r="A14" s="5"/>
      <c r="B14" s="51" t="str">
        <v>Administración y Comercio</v>
      </c>
      <c r="C14" s="51" t="str">
        <v>Contabilidad General</v>
      </c>
      <c r="D14" s="51" t="inlineStr">
        <is>
          <t xml:space="preserve">Presencial-Diurno</t>
        </is>
      </c>
      <c r="E14" s="51" t="n">
        <v>0</v>
      </c>
      <c r="F14" s="51" t="n">
        <v>0</v>
      </c>
      <c r="G14" s="66" t="str">
        <v/>
      </c>
    </row>
    <row r="15" customFormat="false" ht="15" hidden="false" customHeight="true" outlineLevel="0" collapsed="false">
      <c r="A15" s="5"/>
      <c r="B15" s="51" t="str">
        <v>Administración y Comercio</v>
      </c>
      <c r="C15" s="51" t="str">
        <v>Contabilidad General</v>
      </c>
      <c r="D15" s="51" t="inlineStr">
        <is>
          <t xml:space="preserve">Presencial-Vespertino</t>
        </is>
      </c>
      <c r="E15" s="51" t="n">
        <v>0</v>
      </c>
      <c r="F15" s="51" t="n">
        <v>0</v>
      </c>
      <c r="G15" s="66" t="str">
        <v/>
      </c>
    </row>
    <row r="16" customFormat="false" ht="15" hidden="false" customHeight="true" outlineLevel="0" collapsed="false">
      <c r="A16" s="5"/>
      <c r="B16" s="51" t="str">
        <v>Administración y Comercio</v>
      </c>
      <c r="C16" s="51" t="str">
        <v>Contabilidad General</v>
      </c>
      <c r="D16" s="51" t="inlineStr">
        <is>
          <t xml:space="preserve">Virtual</t>
        </is>
      </c>
      <c r="E16" s="51" t="n">
        <v>38</v>
      </c>
      <c r="F16" s="51" t="n">
        <v>19</v>
      </c>
      <c r="G16" s="66" t="n">
        <v>0.5</v>
      </c>
    </row>
    <row r="17" customFormat="false" ht="15" hidden="false" customHeight="true" outlineLevel="0" collapsed="false">
      <c r="A17" s="5"/>
      <c r="B17" s="51" t="str">
        <v>Administración y Comercio</v>
      </c>
      <c r="C17" s="51" t="str">
        <v>Ingenieria En Administracion De Empresas</v>
      </c>
      <c r="D17" s="51" t="inlineStr">
        <is>
          <t xml:space="preserve">Presencial-Diurno</t>
        </is>
      </c>
      <c r="E17" s="51" t="n">
        <v>0</v>
      </c>
      <c r="F17" s="51" t="n">
        <v>0</v>
      </c>
      <c r="G17" s="66" t="str">
        <v/>
      </c>
    </row>
    <row r="18" customFormat="false" ht="15" hidden="false" customHeight="true" outlineLevel="0" collapsed="false">
      <c r="A18" s="5"/>
      <c r="B18" s="51" t="str">
        <v>Administración y Comercio</v>
      </c>
      <c r="C18" s="51" t="str">
        <v>Ingenieria En Administracion De Empresas</v>
      </c>
      <c r="D18" s="51" t="inlineStr">
        <is>
          <t xml:space="preserve">Presencial-Vespertino</t>
        </is>
      </c>
      <c r="E18" s="51" t="n">
        <v>20</v>
      </c>
      <c r="F18" s="51" t="n">
        <v>7</v>
      </c>
      <c r="G18" s="66" t="n">
        <v>0.35</v>
      </c>
    </row>
    <row r="19" customFormat="false" ht="15" hidden="false" customHeight="true" outlineLevel="0" collapsed="false">
      <c r="A19" s="5"/>
      <c r="B19" s="51" t="str">
        <v>Administración y Comercio</v>
      </c>
      <c r="C19" s="51" t="str">
        <v>Ingenieria En Administracion De Empresas</v>
      </c>
      <c r="D19" s="51" t="inlineStr">
        <is>
          <t xml:space="preserve">Virtual</t>
        </is>
      </c>
      <c r="E19" s="51" t="n">
        <v>79</v>
      </c>
      <c r="F19" s="51" t="n">
        <v>42</v>
      </c>
      <c r="G19" s="66" t="n">
        <v>0.531645569620253</v>
      </c>
    </row>
    <row r="20" customFormat="false" ht="15" hidden="false" customHeight="true" outlineLevel="0" collapsed="false">
      <c r="A20" s="5"/>
      <c r="B20" s="51" t="str">
        <v>Tecnologías</v>
      </c>
      <c r="C20" s="51" t="str">
        <v>Ingenieria En Ciberseguridad</v>
      </c>
      <c r="D20" s="51" t="inlineStr">
        <is>
          <t xml:space="preserve">Presencial-Diurno</t>
        </is>
      </c>
      <c r="E20" s="51" t="n">
        <v>44</v>
      </c>
      <c r="F20" s="51" t="n">
        <v>35</v>
      </c>
      <c r="G20" s="66" t="n">
        <v>0.795454545454545</v>
      </c>
    </row>
    <row r="21" customFormat="false" ht="15" hidden="false" customHeight="true" outlineLevel="0" collapsed="false">
      <c r="A21" s="5"/>
      <c r="B21" s="51" t="str">
        <v>Tecnologías</v>
      </c>
      <c r="C21" s="51" t="str">
        <v>Ingenieria En Ciberseguridad</v>
      </c>
      <c r="D21" s="51" t="inlineStr">
        <is>
          <t xml:space="preserve">Presencial-Vespertino</t>
        </is>
      </c>
      <c r="E21" s="51" t="n">
        <v>48</v>
      </c>
      <c r="F21" s="51" t="n">
        <v>33</v>
      </c>
      <c r="G21" s="66" t="n">
        <v>0.6875</v>
      </c>
    </row>
    <row r="22" customFormat="false" ht="15" hidden="false" customHeight="true" outlineLevel="0" collapsed="false">
      <c r="A22" s="5"/>
      <c r="B22" s="51" t="str">
        <v>Tecnologías</v>
      </c>
      <c r="C22" s="51" t="str">
        <v>Ingenieria En Ciberseguridad</v>
      </c>
      <c r="D22" s="51" t="inlineStr">
        <is>
          <t xml:space="preserve">Virtual</t>
        </is>
      </c>
      <c r="E22" s="51" t="n">
        <v>211</v>
      </c>
      <c r="F22" s="51" t="n">
        <v>130</v>
      </c>
      <c r="G22" s="66" t="n">
        <v>0.616113744075829</v>
      </c>
    </row>
    <row r="23" customFormat="false" ht="15" hidden="false" customHeight="true" outlineLevel="0" collapsed="false">
      <c r="A23" s="5"/>
      <c r="B23" s="51" t="str">
        <v>Tecnologías</v>
      </c>
      <c r="C23" s="51" t="str">
        <v>Ingenieria En Ciencia De Datos</v>
      </c>
      <c r="D23" s="51" t="inlineStr">
        <is>
          <t xml:space="preserve">Presencial-Diurno</t>
        </is>
      </c>
      <c r="E23" s="51" t="n">
        <v>0</v>
      </c>
      <c r="F23" s="51" t="n">
        <v>0</v>
      </c>
      <c r="G23" s="66" t="str">
        <v/>
      </c>
    </row>
    <row r="24" customFormat="false" ht="15" hidden="false" customHeight="true" outlineLevel="0" collapsed="false">
      <c r="A24" s="5"/>
      <c r="B24" s="51" t="str">
        <v>Tecnologías</v>
      </c>
      <c r="C24" s="51" t="str">
        <v>Ingenieria En Ciencia De Datos</v>
      </c>
      <c r="D24" s="51" t="inlineStr">
        <is>
          <t xml:space="preserve">Presencial-Vespertino</t>
        </is>
      </c>
      <c r="E24" s="51" t="n">
        <v>0</v>
      </c>
      <c r="F24" s="51" t="n">
        <v>0</v>
      </c>
      <c r="G24" s="66" t="str">
        <v/>
      </c>
    </row>
    <row r="25" customFormat="false" ht="15" hidden="false" customHeight="true" outlineLevel="0" collapsed="false">
      <c r="A25" s="5"/>
      <c r="B25" s="51" t="str">
        <v>Tecnologías</v>
      </c>
      <c r="C25" s="51" t="str">
        <v>Ingenieria En Ciencia De Datos</v>
      </c>
      <c r="D25" s="51" t="inlineStr">
        <is>
          <t xml:space="preserve">Virtual</t>
        </is>
      </c>
      <c r="E25" s="51" t="n">
        <v>40</v>
      </c>
      <c r="F25" s="51" t="n">
        <v>21</v>
      </c>
      <c r="G25" s="66" t="n">
        <v>0.525</v>
      </c>
    </row>
    <row r="26" customFormat="false" ht="15" hidden="false" customHeight="true" outlineLevel="0" collapsed="false">
      <c r="A26" s="5"/>
      <c r="B26" s="51" t="str">
        <v>Tecnologías</v>
      </c>
      <c r="C26" s="51" t="str">
        <v>Ingenieria En Conectividad Y Redes</v>
      </c>
      <c r="D26" s="51" t="inlineStr">
        <is>
          <t xml:space="preserve">Presencial-Diurno</t>
        </is>
      </c>
      <c r="E26" s="51" t="n">
        <v>0</v>
      </c>
      <c r="F26" s="51" t="n">
        <v>0</v>
      </c>
      <c r="G26" s="66" t="str">
        <v/>
      </c>
    </row>
    <row r="27" customFormat="false" ht="15" hidden="false" customHeight="true" outlineLevel="0" collapsed="false">
      <c r="A27" s="5"/>
      <c r="B27" s="51" t="str">
        <v>Tecnologías</v>
      </c>
      <c r="C27" s="51" t="str">
        <v>Ingenieria En Conectividad Y Redes</v>
      </c>
      <c r="D27" s="51" t="inlineStr">
        <is>
          <t xml:space="preserve">Presencial-Vespertino</t>
        </is>
      </c>
      <c r="E27" s="51" t="n">
        <v>25</v>
      </c>
      <c r="F27" s="51" t="n">
        <v>19</v>
      </c>
      <c r="G27" s="66" t="n">
        <v>0.76</v>
      </c>
    </row>
    <row r="28" customFormat="false" ht="15" hidden="false" customHeight="true" outlineLevel="0" collapsed="false">
      <c r="A28" s="5"/>
      <c r="B28" s="51" t="str">
        <v>Tecnologías</v>
      </c>
      <c r="C28" s="51" t="str">
        <v>Ingenieria En Conectividad Y Redes</v>
      </c>
      <c r="D28" s="51" t="inlineStr">
        <is>
          <t xml:space="preserve">Virtual</t>
        </is>
      </c>
      <c r="E28" s="51" t="n">
        <v>212</v>
      </c>
      <c r="F28" s="51" t="n">
        <v>150</v>
      </c>
      <c r="G28" s="66" t="n">
        <v>0.707547169811321</v>
      </c>
    </row>
    <row r="29" customFormat="false" ht="15" hidden="false" customHeight="true" outlineLevel="0" collapsed="false">
      <c r="A29" s="5"/>
      <c r="B29" s="51" t="str">
        <v>Tecnologías</v>
      </c>
      <c r="C29" s="51" t="str">
        <v>Ingenieria En Informatica</v>
      </c>
      <c r="D29" s="51" t="inlineStr">
        <is>
          <t xml:space="preserve">Presencial-Diurno</t>
        </is>
      </c>
      <c r="E29" s="51" t="n">
        <v>34</v>
      </c>
      <c r="F29" s="51" t="n">
        <v>25</v>
      </c>
      <c r="G29" s="66" t="n">
        <v>0.735294117647059</v>
      </c>
    </row>
    <row r="30" customFormat="false" ht="15" hidden="false" customHeight="true" outlineLevel="0" collapsed="false">
      <c r="A30" s="5"/>
      <c r="B30" s="51" t="str">
        <v>Tecnologías</v>
      </c>
      <c r="C30" s="51" t="str">
        <v>Ingenieria En Informatica</v>
      </c>
      <c r="D30" s="51" t="inlineStr">
        <is>
          <t xml:space="preserve">Presencial-Vespertino</t>
        </is>
      </c>
      <c r="E30" s="51" t="n">
        <v>44</v>
      </c>
      <c r="F30" s="51" t="n">
        <v>26</v>
      </c>
      <c r="G30" s="66" t="n">
        <v>0.590909090909091</v>
      </c>
    </row>
    <row r="31" customFormat="false" ht="15" hidden="false" customHeight="true" outlineLevel="0" collapsed="false">
      <c r="A31" s="5"/>
      <c r="B31" s="51" t="str">
        <v>Tecnologías</v>
      </c>
      <c r="C31" s="51" t="str">
        <v>Ingenieria En Informatica</v>
      </c>
      <c r="D31" s="51" t="inlineStr">
        <is>
          <t xml:space="preserve">Virtual</t>
        </is>
      </c>
      <c r="E31" s="51" t="n">
        <v>256</v>
      </c>
      <c r="F31" s="51" t="n">
        <v>172</v>
      </c>
      <c r="G31" s="66" t="n">
        <v>0.671875</v>
      </c>
    </row>
    <row r="32" customFormat="false" ht="15" hidden="false" customHeight="true" outlineLevel="0" collapsed="false">
      <c r="A32" s="5"/>
      <c r="B32" s="51" t="str">
        <v>Administración y Comercio</v>
      </c>
      <c r="C32" s="51" t="str">
        <v>Ingenieria En Logistica</v>
      </c>
      <c r="D32" s="51" t="inlineStr">
        <is>
          <t xml:space="preserve">Presencial-Diurno</t>
        </is>
      </c>
      <c r="E32" s="51" t="n">
        <v>0</v>
      </c>
      <c r="F32" s="51" t="n">
        <v>0</v>
      </c>
      <c r="G32" s="66" t="str">
        <v/>
      </c>
    </row>
    <row r="33" customFormat="false" ht="15" hidden="false" customHeight="true" outlineLevel="0" collapsed="false">
      <c r="A33" s="5"/>
      <c r="B33" s="51" t="str">
        <v>Administración y Comercio</v>
      </c>
      <c r="C33" s="51" t="str">
        <v>Ingenieria En Logistica</v>
      </c>
      <c r="D33" s="51" t="inlineStr">
        <is>
          <t xml:space="preserve">Presencial-Vespertino</t>
        </is>
      </c>
      <c r="E33" s="51" t="n">
        <v>15</v>
      </c>
      <c r="F33" s="51" t="n">
        <v>7</v>
      </c>
      <c r="G33" s="66" t="n">
        <v>0.466666666666667</v>
      </c>
    </row>
    <row r="34" customFormat="false" ht="15" hidden="false" customHeight="true" outlineLevel="0" collapsed="false">
      <c r="A34" s="5"/>
      <c r="B34" s="51" t="str">
        <v>Administración y Comercio</v>
      </c>
      <c r="C34" s="51" t="str">
        <v>Ingenieria En Logistica</v>
      </c>
      <c r="D34" s="51" t="inlineStr">
        <is>
          <t xml:space="preserve">Virtual</t>
        </is>
      </c>
      <c r="E34" s="51" t="n">
        <v>61</v>
      </c>
      <c r="F34" s="51" t="n">
        <v>37</v>
      </c>
      <c r="G34" s="66" t="n">
        <v>0.60655737704918</v>
      </c>
    </row>
    <row r="35" customFormat="false" ht="15" hidden="false" customHeight="true" outlineLevel="0" collapsed="false">
      <c r="A35" s="5"/>
      <c r="B35" s="51" t="str">
        <v>Administración y Comercio</v>
      </c>
      <c r="C35" s="51" t="str">
        <v>Tecnico En Administracion De Empresas</v>
      </c>
      <c r="D35" s="51" t="inlineStr">
        <is>
          <t xml:space="preserve">Presencial-Diurno</t>
        </is>
      </c>
      <c r="E35" s="51" t="n">
        <v>0</v>
      </c>
      <c r="F35" s="51" t="n">
        <v>0</v>
      </c>
      <c r="G35" s="66" t="str">
        <v/>
      </c>
    </row>
    <row r="36" customFormat="false" ht="15" hidden="false" customHeight="true" outlineLevel="0" collapsed="false">
      <c r="A36" s="5"/>
      <c r="B36" s="51" t="str">
        <v>Administración y Comercio</v>
      </c>
      <c r="C36" s="51" t="str">
        <v>Tecnico En Administracion De Empresas</v>
      </c>
      <c r="D36" s="51" t="inlineStr">
        <is>
          <t xml:space="preserve">Presencial-Vespertino</t>
        </is>
      </c>
      <c r="E36" s="51" t="n">
        <v>16</v>
      </c>
      <c r="F36" s="51" t="n">
        <v>5</v>
      </c>
      <c r="G36" s="66" t="n">
        <v>0.3125</v>
      </c>
    </row>
    <row r="37" customFormat="false" ht="15" hidden="false" customHeight="true" outlineLevel="0" collapsed="false">
      <c r="A37" s="5"/>
      <c r="B37" s="51" t="str">
        <v>Administración y Comercio</v>
      </c>
      <c r="C37" s="51" t="str">
        <v>Tecnico En Administracion De Empresas</v>
      </c>
      <c r="D37" s="51" t="inlineStr">
        <is>
          <t xml:space="preserve">Virtual</t>
        </is>
      </c>
      <c r="E37" s="51" t="n">
        <v>72</v>
      </c>
      <c r="F37" s="51" t="n">
        <v>34</v>
      </c>
      <c r="G37" s="66" t="n">
        <v>0.472222222222222</v>
      </c>
    </row>
    <row r="38" customFormat="false" ht="15" hidden="false" customHeight="true" outlineLevel="0" collapsed="false">
      <c r="A38" s="5"/>
      <c r="B38" s="51" t="str">
        <v>Administración y Comercio</v>
      </c>
      <c r="C38" s="51" t="str">
        <v>Tecnico En Administracion Publica</v>
      </c>
      <c r="D38" s="51" t="inlineStr">
        <is>
          <t xml:space="preserve">Presencial-Diurno</t>
        </is>
      </c>
      <c r="E38" s="51" t="n">
        <v>0</v>
      </c>
      <c r="F38" s="51" t="n">
        <v>0</v>
      </c>
      <c r="G38" s="66" t="str">
        <v/>
      </c>
    </row>
    <row r="39" customFormat="false" ht="15" hidden="false" customHeight="true" outlineLevel="0" collapsed="false">
      <c r="A39" s="5"/>
      <c r="B39" s="51" t="str">
        <v>Administración y Comercio</v>
      </c>
      <c r="C39" s="51" t="str">
        <v>Tecnico En Administracion Publica</v>
      </c>
      <c r="D39" s="51" t="inlineStr">
        <is>
          <t xml:space="preserve">Presencial-Vespertino</t>
        </is>
      </c>
      <c r="E39" s="51" t="n">
        <v>0</v>
      </c>
      <c r="F39" s="51" t="n">
        <v>0</v>
      </c>
      <c r="G39" s="66" t="str">
        <v/>
      </c>
    </row>
    <row r="40" customFormat="false" ht="15" hidden="false" customHeight="true" outlineLevel="0" collapsed="false">
      <c r="A40" s="5"/>
      <c r="B40" s="51" t="str">
        <v>Administración y Comercio</v>
      </c>
      <c r="C40" s="51" t="str">
        <v>Tecnico En Administracion Publica</v>
      </c>
      <c r="D40" s="51" t="inlineStr">
        <is>
          <t xml:space="preserve">Virtual</t>
        </is>
      </c>
      <c r="E40" s="51" t="n">
        <v>22</v>
      </c>
      <c r="F40" s="51" t="n">
        <v>11</v>
      </c>
      <c r="G40" s="66" t="n">
        <v>0.5</v>
      </c>
    </row>
    <row r="41" customFormat="false" ht="15" hidden="false" customHeight="true" outlineLevel="0" collapsed="false">
      <c r="A41" s="5"/>
      <c r="B41" s="51" t="str">
        <v>Tecnologías</v>
      </c>
      <c r="C41" s="51" t="str">
        <v>Tecnico En Ciberseguridad</v>
      </c>
      <c r="D41" s="51" t="inlineStr">
        <is>
          <t xml:space="preserve">Presencial-Diurno</t>
        </is>
      </c>
      <c r="E41" s="51" t="n">
        <v>21</v>
      </c>
      <c r="F41" s="51" t="n">
        <v>16</v>
      </c>
      <c r="G41" s="66" t="n">
        <v>0.761904761904762</v>
      </c>
    </row>
    <row r="42" customFormat="false" ht="15" hidden="false" customHeight="true" outlineLevel="0" collapsed="false">
      <c r="A42" s="5"/>
      <c r="B42" s="51" t="str">
        <v>Tecnologías</v>
      </c>
      <c r="C42" s="51" t="str">
        <v>Tecnico En Ciberseguridad</v>
      </c>
      <c r="D42" s="51" t="inlineStr">
        <is>
          <t xml:space="preserve">Presencial-Vespertino</t>
        </is>
      </c>
      <c r="E42" s="51" t="n">
        <v>26</v>
      </c>
      <c r="F42" s="51" t="n">
        <v>17</v>
      </c>
      <c r="G42" s="66" t="n">
        <v>0.653846153846154</v>
      </c>
    </row>
    <row r="43" customFormat="false" ht="15" hidden="false" customHeight="true" outlineLevel="0" collapsed="false">
      <c r="A43" s="5"/>
      <c r="B43" s="51" t="str">
        <v>Tecnologías</v>
      </c>
      <c r="C43" s="51" t="str">
        <v>Tecnico En Ciberseguridad</v>
      </c>
      <c r="D43" s="51" t="inlineStr">
        <is>
          <t xml:space="preserve">Virtual</t>
        </is>
      </c>
      <c r="E43" s="51" t="n">
        <v>192</v>
      </c>
      <c r="F43" s="51" t="n">
        <v>122</v>
      </c>
      <c r="G43" s="66" t="n">
        <v>0.635416666666667</v>
      </c>
    </row>
    <row r="44" customFormat="false" ht="15" hidden="false" customHeight="true" outlineLevel="0" collapsed="false">
      <c r="A44" s="5"/>
      <c r="B44" s="51" t="str">
        <v>Tecnologías</v>
      </c>
      <c r="C44" s="51" t="str">
        <v>Tecnico En Ciencia De Datos</v>
      </c>
      <c r="D44" s="51" t="inlineStr">
        <is>
          <t xml:space="preserve">Presencial-Diurno</t>
        </is>
      </c>
      <c r="E44" s="51" t="n">
        <v>0</v>
      </c>
      <c r="F44" s="51" t="n">
        <v>0</v>
      </c>
      <c r="G44" s="66" t="str">
        <v/>
      </c>
    </row>
    <row r="45" customFormat="false" ht="15" hidden="false" customHeight="true" outlineLevel="0" collapsed="false">
      <c r="A45" s="5"/>
      <c r="B45" s="51" t="str">
        <v>Tecnologías</v>
      </c>
      <c r="C45" s="51" t="str">
        <v>Tecnico En Ciencia De Datos</v>
      </c>
      <c r="D45" s="51" t="inlineStr">
        <is>
          <t xml:space="preserve">Presencial-Vespertino</t>
        </is>
      </c>
      <c r="E45" s="51" t="n">
        <v>0</v>
      </c>
      <c r="F45" s="51" t="n">
        <v>0</v>
      </c>
      <c r="G45" s="66" t="str">
        <v/>
      </c>
    </row>
    <row r="46" customFormat="false" ht="15" hidden="false" customHeight="true" outlineLevel="0" collapsed="false">
      <c r="A46" s="5"/>
      <c r="B46" s="51" t="str">
        <v>Tecnologías</v>
      </c>
      <c r="C46" s="51" t="str">
        <v>Tecnico En Ciencia De Datos</v>
      </c>
      <c r="D46" s="51" t="inlineStr">
        <is>
          <t xml:space="preserve">Virtual</t>
        </is>
      </c>
      <c r="E46" s="51" t="n">
        <v>23</v>
      </c>
      <c r="F46" s="51" t="n">
        <v>13</v>
      </c>
      <c r="G46" s="66" t="n">
        <v>0.565217391304348</v>
      </c>
    </row>
    <row r="47" customFormat="false" ht="15" hidden="false" customHeight="true" outlineLevel="0" collapsed="false">
      <c r="A47" s="5"/>
      <c r="B47" s="51" t="str">
        <v>Tecnologías</v>
      </c>
      <c r="C47" s="51" t="str">
        <v>Tecnico En Conectividad Y Redes</v>
      </c>
      <c r="D47" s="51" t="inlineStr">
        <is>
          <t xml:space="preserve">Presencial-Diurno</t>
        </is>
      </c>
      <c r="E47" s="51" t="n">
        <v>2</v>
      </c>
      <c r="F47" s="51" t="n">
        <v>2</v>
      </c>
      <c r="G47" s="66" t="n">
        <v>1</v>
      </c>
    </row>
    <row r="48" customFormat="false" ht="15" hidden="false" customHeight="true" outlineLevel="0" collapsed="false">
      <c r="A48" s="5"/>
      <c r="B48" s="51" t="str">
        <v>Tecnologías</v>
      </c>
      <c r="C48" s="51" t="str">
        <v>Tecnico En Conectividad Y Redes</v>
      </c>
      <c r="D48" s="51" t="inlineStr">
        <is>
          <t xml:space="preserve">Presencial-Vespertino</t>
        </is>
      </c>
      <c r="E48" s="51" t="n">
        <v>12</v>
      </c>
      <c r="F48" s="51" t="n">
        <v>7</v>
      </c>
      <c r="G48" s="66" t="n">
        <v>0.583333333333333</v>
      </c>
    </row>
    <row r="49" customFormat="false" ht="15" hidden="false" customHeight="true" outlineLevel="0" collapsed="false">
      <c r="A49" s="5"/>
      <c r="B49" s="51" t="str">
        <v>Tecnologías</v>
      </c>
      <c r="C49" s="51" t="str">
        <v>Tecnico En Conectividad Y Redes</v>
      </c>
      <c r="D49" s="51" t="inlineStr">
        <is>
          <t xml:space="preserve">Virtual</t>
        </is>
      </c>
      <c r="E49" s="51" t="n">
        <v>110</v>
      </c>
      <c r="F49" s="51" t="n">
        <v>61</v>
      </c>
      <c r="G49" s="66" t="n">
        <v>0.554545454545455</v>
      </c>
    </row>
    <row r="50" customFormat="false" ht="15" hidden="false" customHeight="true" outlineLevel="0" collapsed="false">
      <c r="A50" s="5"/>
      <c r="B50" s="51" t="str">
        <v>Salud</v>
      </c>
      <c r="C50" s="51" t="str">
        <v>Tecnico En Enfermeria</v>
      </c>
      <c r="D50" s="51" t="inlineStr">
        <is>
          <t xml:space="preserve">Presencial-Diurno</t>
        </is>
      </c>
      <c r="E50" s="51" t="n">
        <v>34</v>
      </c>
      <c r="F50" s="51" t="n">
        <v>19</v>
      </c>
      <c r="G50" s="66" t="n">
        <v>0.558823529411765</v>
      </c>
    </row>
    <row r="51" customFormat="false" ht="15" hidden="false" customHeight="true" outlineLevel="0" collapsed="false">
      <c r="A51" s="5"/>
      <c r="B51" s="51" t="str">
        <v>Salud</v>
      </c>
      <c r="C51" s="51" t="str">
        <v>Tecnico En Enfermeria</v>
      </c>
      <c r="D51" s="51" t="inlineStr">
        <is>
          <t xml:space="preserve">Presencial-Vespertino</t>
        </is>
      </c>
      <c r="E51" s="51" t="n">
        <v>41</v>
      </c>
      <c r="F51" s="51" t="n">
        <v>16</v>
      </c>
      <c r="G51" s="66" t="n">
        <v>0.390243902439024</v>
      </c>
    </row>
    <row r="52" customFormat="false" ht="15" hidden="false" customHeight="true" outlineLevel="0" collapsed="false">
      <c r="A52" s="5"/>
      <c r="B52" s="51" t="str">
        <v>Salud</v>
      </c>
      <c r="C52" s="51" t="str">
        <v>Tecnico En Enfermeria</v>
      </c>
      <c r="D52" s="51" t="inlineStr">
        <is>
          <t xml:space="preserve">Virtual</t>
        </is>
      </c>
      <c r="E52" s="51" t="n">
        <v>0</v>
      </c>
      <c r="F52" s="51" t="n">
        <v>0</v>
      </c>
      <c r="G52" s="66" t="str">
        <v/>
      </c>
    </row>
    <row r="53" customFormat="false" ht="15" hidden="false" customHeight="true" outlineLevel="0" collapsed="false">
      <c r="A53" s="5"/>
      <c r="B53" s="51" t="str">
        <v>Administración y Comercio</v>
      </c>
      <c r="C53" s="51" t="str">
        <v>Tecnico En Logistica</v>
      </c>
      <c r="D53" s="51" t="inlineStr">
        <is>
          <t xml:space="preserve">Presencial-Diurno</t>
        </is>
      </c>
      <c r="E53" s="51" t="n">
        <v>0</v>
      </c>
      <c r="F53" s="51" t="n">
        <v>0</v>
      </c>
      <c r="G53" s="66" t="str">
        <v/>
      </c>
    </row>
    <row r="54" customFormat="false" ht="15" hidden="false" customHeight="true" outlineLevel="0" collapsed="false">
      <c r="A54" s="5"/>
      <c r="B54" s="51" t="str">
        <v>Administración y Comercio</v>
      </c>
      <c r="C54" s="51" t="str">
        <v>Tecnico En Logistica</v>
      </c>
      <c r="D54" s="51" t="inlineStr">
        <is>
          <t xml:space="preserve">Presencial-Vespertino</t>
        </is>
      </c>
      <c r="E54" s="51" t="n">
        <v>25</v>
      </c>
      <c r="F54" s="51" t="n">
        <v>9</v>
      </c>
      <c r="G54" s="66" t="n">
        <v>0.36</v>
      </c>
    </row>
    <row r="55" customFormat="false" ht="15" hidden="false" customHeight="true" outlineLevel="0" collapsed="false">
      <c r="A55" s="5"/>
      <c r="B55" s="51" t="str">
        <v>Administración y Comercio</v>
      </c>
      <c r="C55" s="51" t="str">
        <v>Tecnico En Logistica</v>
      </c>
      <c r="D55" s="51" t="inlineStr">
        <is>
          <t xml:space="preserve">Virtual</t>
        </is>
      </c>
      <c r="E55" s="51" t="n">
        <v>80</v>
      </c>
      <c r="F55" s="51" t="n">
        <v>48</v>
      </c>
      <c r="G55" s="66" t="n">
        <v>0.6</v>
      </c>
    </row>
    <row r="56" customFormat="false" ht="15" hidden="false" customHeight="true" outlineLevel="0" collapsed="false">
      <c r="A56" s="5"/>
      <c r="B56" s="51" t="str">
        <v>Tecnologías</v>
      </c>
      <c r="C56" s="51" t="str">
        <v>Tecnico En Programacion Y Analisis De Sistemas</v>
      </c>
      <c r="D56" s="51" t="inlineStr">
        <is>
          <t xml:space="preserve">Presencial-Diurno</t>
        </is>
      </c>
      <c r="E56" s="51" t="n">
        <v>42</v>
      </c>
      <c r="F56" s="51" t="n">
        <v>29</v>
      </c>
      <c r="G56" s="66" t="n">
        <v>0.690476190476191</v>
      </c>
    </row>
    <row r="57" customFormat="false" ht="15" hidden="false" customHeight="true" outlineLevel="0" collapsed="false">
      <c r="A57" s="5"/>
      <c r="B57" s="51" t="str">
        <v>Tecnologías</v>
      </c>
      <c r="C57" s="51" t="str">
        <v>Tecnico En Programacion Y Analisis De Sistemas</v>
      </c>
      <c r="D57" s="51" t="inlineStr">
        <is>
          <t xml:space="preserve">Presencial-Vespertino</t>
        </is>
      </c>
      <c r="E57" s="51" t="n">
        <v>34</v>
      </c>
      <c r="F57" s="51" t="n">
        <v>19</v>
      </c>
      <c r="G57" s="66" t="n">
        <v>0.558823529411765</v>
      </c>
    </row>
    <row r="58" customFormat="false" ht="15" hidden="false" customHeight="true" outlineLevel="0" collapsed="false">
      <c r="A58" s="5"/>
      <c r="B58" s="51" t="str">
        <v>Tecnologías</v>
      </c>
      <c r="C58" s="51" t="str">
        <v>Tecnico En Programacion Y Analisis De Sistemas</v>
      </c>
      <c r="D58" s="51" t="inlineStr">
        <is>
          <t xml:space="preserve">Virtual</t>
        </is>
      </c>
      <c r="E58" s="51" t="n">
        <v>390</v>
      </c>
      <c r="F58" s="51" t="n">
        <v>265</v>
      </c>
      <c r="G58" s="66" t="n">
        <v>0.67948717948718</v>
      </c>
    </row>
    <row r="59" customFormat="false" ht="15" hidden="false" customHeight="true" outlineLevel="0" collapsed="false">
      <c r="A59" s="5"/>
      <c r="B59" s="21" t="inlineStr">
        <is>
          <t xml:space="preserve">TOTAL VISIBLE (filtro)</t>
        </is>
      </c>
      <c r="E59" s="36" t="n">
        <v>2379</v>
      </c>
      <c r="F59" s="36" t="n">
        <v>1476</v>
      </c>
      <c r="G59" s="23" t="n">
        <v>0.620428751576293</v>
      </c>
    </row>
    <row r="60" customFormat="false" ht="15" hidden="false" customHeight="true" outlineLevel="0" collapsed="false">
      <c r="A60" s="5"/>
      <c r="B60" s="64" t="inlineStr">
        <is>
          <t xml:space="preserve">B. Retención por jornada y cohorte (composición + tasa)</t>
        </is>
      </c>
    </row>
    <row r="61" customFormat="false" ht="23.25" hidden="false" customHeight="true" outlineLevel="0" collapsed="false">
      <c r="A61" s="5"/>
      <c r="B61" s="65" t="inlineStr">
        <is>
          <t xml:space="preserve">Cohorte</t>
        </is>
      </c>
      <c r="C61" s="65" t="inlineStr">
        <is>
          <t xml:space="preserve">Jornada</t>
        </is>
      </c>
      <c r="D61" s="65" t="inlineStr">
        <is>
          <t xml:space="preserve">Estudiantes</t>
        </is>
      </c>
      <c r="E61" s="65" t="inlineStr">
        <is>
          <t xml:space="preserve">% de la cohorte</t>
        </is>
      </c>
      <c r="F61" s="65" t="inlineStr">
        <is>
          <t xml:space="preserve">Retenidos</t>
        </is>
      </c>
      <c r="G61" s="65" t="inlineStr">
        <is>
          <t xml:space="preserve">Tasa de retención</t>
        </is>
      </c>
    </row>
    <row r="62" customFormat="false" ht="15" hidden="false" customHeight="true" outlineLevel="0" collapsed="false">
      <c r="A62" s="5"/>
      <c r="B62" s="51" t="n">
        <v>2022</v>
      </c>
      <c r="C62" s="51" t="inlineStr">
        <is>
          <t xml:space="preserve">Presencial-Diurno</t>
        </is>
      </c>
      <c r="D62" s="51" t="n">
        <v>36</v>
      </c>
      <c r="E62" s="66" t="n">
        <v>0.118032786885246</v>
      </c>
      <c r="F62" s="51" t="n">
        <v>27</v>
      </c>
      <c r="G62" s="66" t="n">
        <v>0.75</v>
      </c>
    </row>
    <row r="63" customFormat="false" ht="15" hidden="false" customHeight="true" outlineLevel="0" collapsed="false">
      <c r="A63" s="5"/>
      <c r="B63" s="51" t="n">
        <v>2022</v>
      </c>
      <c r="C63" s="51" t="inlineStr">
        <is>
          <t xml:space="preserve">Presencial-Vespertino</t>
        </is>
      </c>
      <c r="D63" s="51" t="n">
        <v>47</v>
      </c>
      <c r="E63" s="66" t="n">
        <v>0.154098360655738</v>
      </c>
      <c r="F63" s="51" t="n">
        <v>36</v>
      </c>
      <c r="G63" s="66" t="n">
        <v>0.765957446808511</v>
      </c>
    </row>
    <row r="64" customFormat="false" ht="15" hidden="false" customHeight="true" outlineLevel="0" collapsed="false">
      <c r="A64" s="5"/>
      <c r="B64" s="51" t="n">
        <v>2022</v>
      </c>
      <c r="C64" s="51" t="inlineStr">
        <is>
          <t xml:space="preserve">Virtual</t>
        </is>
      </c>
      <c r="D64" s="51" t="n">
        <v>222</v>
      </c>
      <c r="E64" s="66" t="n">
        <v>0.727868852459016</v>
      </c>
      <c r="F64" s="51" t="n">
        <v>161</v>
      </c>
      <c r="G64" s="66" t="n">
        <v>0.725225225225225</v>
      </c>
    </row>
    <row r="65" customFormat="false" ht="15" hidden="false" customHeight="true" outlineLevel="0" collapsed="false">
      <c r="A65" s="5"/>
      <c r="B65" s="51" t="n">
        <v>2023</v>
      </c>
      <c r="C65" s="51" t="inlineStr">
        <is>
          <t xml:space="preserve">Presencial-Diurno</t>
        </is>
      </c>
      <c r="D65" s="51" t="n">
        <v>0</v>
      </c>
      <c r="E65" s="66" t="n">
        <v>0</v>
      </c>
      <c r="F65" s="51" t="n">
        <v>0</v>
      </c>
      <c r="G65" s="66" t="str">
        <v/>
      </c>
    </row>
    <row r="66" customFormat="false" ht="15" hidden="false" customHeight="true" outlineLevel="0" collapsed="false">
      <c r="A66" s="5"/>
      <c r="B66" s="51" t="n">
        <v>2023</v>
      </c>
      <c r="C66" s="51" t="inlineStr">
        <is>
          <t xml:space="preserve">Presencial-Vespertino</t>
        </is>
      </c>
      <c r="D66" s="51" t="n">
        <v>24</v>
      </c>
      <c r="E66" s="66" t="n">
        <v>0.0655737704918033</v>
      </c>
      <c r="F66" s="51" t="n">
        <v>14</v>
      </c>
      <c r="G66" s="66" t="n">
        <v>0.583333333333333</v>
      </c>
    </row>
    <row r="67" customFormat="false" ht="15" hidden="false" customHeight="true" outlineLevel="0" collapsed="false">
      <c r="A67" s="5"/>
      <c r="B67" s="51" t="n">
        <v>2023</v>
      </c>
      <c r="C67" s="51" t="inlineStr">
        <is>
          <t xml:space="preserve">Virtual</t>
        </is>
      </c>
      <c r="D67" s="51" t="n">
        <v>342</v>
      </c>
      <c r="E67" s="66" t="n">
        <v>0.934426229508197</v>
      </c>
      <c r="F67" s="51" t="n">
        <v>244</v>
      </c>
      <c r="G67" s="66" t="n">
        <v>0.713450292397661</v>
      </c>
    </row>
    <row r="68" customFormat="false" ht="15" hidden="false" customHeight="true" outlineLevel="0" collapsed="false">
      <c r="A68" s="5"/>
      <c r="B68" s="51" t="n">
        <v>2024</v>
      </c>
      <c r="C68" s="51" t="inlineStr">
        <is>
          <t xml:space="preserve">Presencial-Diurno</t>
        </is>
      </c>
      <c r="D68" s="51" t="n">
        <v>52</v>
      </c>
      <c r="E68" s="66" t="n">
        <v>0.0931899641577061</v>
      </c>
      <c r="F68" s="51" t="n">
        <v>37</v>
      </c>
      <c r="G68" s="66" t="n">
        <v>0.711538461538462</v>
      </c>
    </row>
    <row r="69" customFormat="false" ht="15" hidden="false" customHeight="true" outlineLevel="0" collapsed="false">
      <c r="A69" s="5"/>
      <c r="B69" s="51" t="n">
        <v>2024</v>
      </c>
      <c r="C69" s="51" t="inlineStr">
        <is>
          <t xml:space="preserve">Presencial-Vespertino</t>
        </is>
      </c>
      <c r="D69" s="51" t="n">
        <v>84</v>
      </c>
      <c r="E69" s="66" t="n">
        <v>0.150537634408602</v>
      </c>
      <c r="F69" s="51" t="n">
        <v>42</v>
      </c>
      <c r="G69" s="66" t="n">
        <v>0.5</v>
      </c>
    </row>
    <row r="70" customFormat="false" ht="15" hidden="false" customHeight="true" outlineLevel="0" collapsed="false">
      <c r="A70" s="5"/>
      <c r="B70" s="51" t="n">
        <v>2024</v>
      </c>
      <c r="C70" s="51" t="inlineStr">
        <is>
          <t xml:space="preserve">Virtual</t>
        </is>
      </c>
      <c r="D70" s="51" t="n">
        <v>422</v>
      </c>
      <c r="E70" s="66" t="n">
        <v>0.756272401433692</v>
      </c>
      <c r="F70" s="51" t="n">
        <v>247</v>
      </c>
      <c r="G70" s="66" t="n">
        <v>0.585308056872038</v>
      </c>
    </row>
    <row r="71" customFormat="false" ht="15" hidden="false" customHeight="true" outlineLevel="0" collapsed="false">
      <c r="A71" s="5"/>
      <c r="B71" s="51" t="n">
        <v>2025</v>
      </c>
      <c r="C71" s="51" t="inlineStr">
        <is>
          <t xml:space="preserve">Presencial-Diurno</t>
        </is>
      </c>
      <c r="D71" s="51" t="n">
        <v>89</v>
      </c>
      <c r="E71" s="66" t="n">
        <v>0.0773913043478261</v>
      </c>
      <c r="F71" s="51" t="n">
        <v>62</v>
      </c>
      <c r="G71" s="66" t="n">
        <v>0.696629213483146</v>
      </c>
    </row>
    <row r="72" customFormat="false" ht="15" hidden="false" customHeight="true" outlineLevel="0" collapsed="false">
      <c r="A72" s="5"/>
      <c r="B72" s="51" t="n">
        <v>2025</v>
      </c>
      <c r="C72" s="51" t="inlineStr">
        <is>
          <t xml:space="preserve">Presencial-Vespertino</t>
        </is>
      </c>
      <c r="D72" s="51" t="n">
        <v>151</v>
      </c>
      <c r="E72" s="66" t="n">
        <v>0.131304347826087</v>
      </c>
      <c r="F72" s="51" t="n">
        <v>73</v>
      </c>
      <c r="G72" s="66" t="n">
        <v>0.483443708609272</v>
      </c>
    </row>
    <row r="73" customFormat="false" ht="15" hidden="false" customHeight="true" outlineLevel="0" collapsed="false">
      <c r="A73" s="5"/>
      <c r="B73" s="51" t="n">
        <v>2025</v>
      </c>
      <c r="C73" s="51" t="inlineStr">
        <is>
          <t xml:space="preserve">Virtual</t>
        </is>
      </c>
      <c r="D73" s="51" t="n">
        <v>910</v>
      </c>
      <c r="E73" s="66" t="n">
        <v>0.791304347826087</v>
      </c>
      <c r="F73" s="51" t="n">
        <v>533</v>
      </c>
      <c r="G73" s="66" t="n">
        <v>0.585714285714286</v>
      </c>
    </row>
    <row r="74" customFormat="false" ht="15" hidden="false" customHeight="true" outlineLevel="0" collapsed="false">
      <c r="A74" s="5"/>
    </row>
    <row r="75" customFormat="false" ht="15" hidden="false" customHeight="true" outlineLevel="0" collapsed="false">
      <c r="A75" s="5"/>
      <c r="B75" s="64" t="inlineStr">
        <is>
          <t xml:space="preserve">C. Retención por sexo y cohorte</t>
        </is>
      </c>
    </row>
    <row r="76" customFormat="false" ht="23.25" hidden="false" customHeight="true" outlineLevel="0" collapsed="false">
      <c r="A76" s="5"/>
      <c r="B76" s="65" t="inlineStr">
        <is>
          <t xml:space="preserve">Cohorte</t>
        </is>
      </c>
      <c r="C76" s="65" t="inlineStr">
        <is>
          <t xml:space="preserve">Sexo</t>
        </is>
      </c>
      <c r="D76" s="65" t="inlineStr">
        <is>
          <t xml:space="preserve">Estudiantes</t>
        </is>
      </c>
      <c r="E76" s="65" t="inlineStr">
        <is>
          <t xml:space="preserve">Retenidos</t>
        </is>
      </c>
      <c r="F76" s="65" t="inlineStr">
        <is>
          <t xml:space="preserve">Tasa de retención</t>
        </is>
      </c>
    </row>
    <row r="77" customFormat="false" ht="15" hidden="false" customHeight="true" outlineLevel="0" collapsed="false">
      <c r="A77" s="5"/>
      <c r="B77" s="51" t="n">
        <v>2022</v>
      </c>
      <c r="C77" s="51" t="inlineStr">
        <is>
          <t xml:space="preserve">H</t>
        </is>
      </c>
      <c r="D77" s="51" t="n">
        <v>271</v>
      </c>
      <c r="E77" s="51" t="n">
        <v>199</v>
      </c>
      <c r="F77" s="66" t="n">
        <v>0.734317343173432</v>
      </c>
    </row>
    <row r="78" customFormat="false" ht="15" hidden="false" customHeight="true" outlineLevel="0" collapsed="false">
      <c r="A78" s="5"/>
      <c r="B78" s="51" t="n">
        <v>2022</v>
      </c>
      <c r="C78" s="51" t="inlineStr">
        <is>
          <t xml:space="preserve">M</t>
        </is>
      </c>
      <c r="D78" s="51" t="n">
        <v>34</v>
      </c>
      <c r="E78" s="51" t="n">
        <v>25</v>
      </c>
      <c r="F78" s="66" t="n">
        <v>0.735294117647059</v>
      </c>
    </row>
    <row r="79" customFormat="false" ht="15" hidden="false" customHeight="true" outlineLevel="0" collapsed="false">
      <c r="A79" s="5"/>
      <c r="B79" s="51" t="n">
        <v>2022</v>
      </c>
      <c r="C79" s="51" t="inlineStr">
        <is>
          <t xml:space="preserve">NB</t>
        </is>
      </c>
      <c r="D79" s="51" t="n">
        <v>0</v>
      </c>
      <c r="E79" s="51" t="n">
        <v>0</v>
      </c>
      <c r="F79" s="66" t="str">
        <v/>
      </c>
    </row>
    <row r="80" customFormat="false" ht="15" hidden="false" customHeight="true" outlineLevel="0" collapsed="false">
      <c r="A80" s="5"/>
      <c r="B80" s="51" t="n">
        <v>2023</v>
      </c>
      <c r="C80" s="51" t="inlineStr">
        <is>
          <t xml:space="preserve">H</t>
        </is>
      </c>
      <c r="D80" s="51" t="n">
        <v>311</v>
      </c>
      <c r="E80" s="51" t="n">
        <v>217</v>
      </c>
      <c r="F80" s="66" t="n">
        <v>0.697749196141479</v>
      </c>
    </row>
    <row r="81" customFormat="false" ht="15" hidden="false" customHeight="true" outlineLevel="0" collapsed="false">
      <c r="A81" s="5"/>
      <c r="B81" s="51" t="n">
        <v>2023</v>
      </c>
      <c r="C81" s="51" t="inlineStr">
        <is>
          <t xml:space="preserve">M</t>
        </is>
      </c>
      <c r="D81" s="51" t="n">
        <v>55</v>
      </c>
      <c r="E81" s="51" t="n">
        <v>41</v>
      </c>
      <c r="F81" s="66" t="n">
        <v>0.745454545454546</v>
      </c>
    </row>
    <row r="82" customFormat="false" ht="15" hidden="false" customHeight="true" outlineLevel="0" collapsed="false">
      <c r="A82" s="5"/>
      <c r="B82" s="51" t="n">
        <v>2023</v>
      </c>
      <c r="C82" s="51" t="inlineStr">
        <is>
          <t xml:space="preserve">NB</t>
        </is>
      </c>
      <c r="D82" s="51" t="n">
        <v>0</v>
      </c>
      <c r="E82" s="51" t="n">
        <v>0</v>
      </c>
      <c r="F82" s="66" t="str">
        <v/>
      </c>
    </row>
    <row r="83" customFormat="false" ht="15" hidden="false" customHeight="true" outlineLevel="0" collapsed="false">
      <c r="A83" s="5"/>
      <c r="B83" s="51" t="n">
        <v>2024</v>
      </c>
      <c r="C83" s="51" t="inlineStr">
        <is>
          <t xml:space="preserve">H</t>
        </is>
      </c>
      <c r="D83" s="51" t="n">
        <v>456</v>
      </c>
      <c r="E83" s="51" t="n">
        <v>264</v>
      </c>
      <c r="F83" s="66" t="n">
        <v>0.578947368421053</v>
      </c>
    </row>
    <row r="84" customFormat="false" ht="15" hidden="false" customHeight="true" outlineLevel="0" collapsed="false">
      <c r="A84" s="5"/>
      <c r="B84" s="51" t="n">
        <v>2024</v>
      </c>
      <c r="C84" s="51" t="inlineStr">
        <is>
          <t xml:space="preserve">M</t>
        </is>
      </c>
      <c r="D84" s="51" t="n">
        <v>102</v>
      </c>
      <c r="E84" s="51" t="n">
        <v>62</v>
      </c>
      <c r="F84" s="66" t="n">
        <v>0.607843137254902</v>
      </c>
    </row>
    <row r="85" customFormat="false" ht="15" hidden="false" customHeight="true" outlineLevel="0" collapsed="false">
      <c r="A85" s="5"/>
      <c r="B85" s="51" t="n">
        <v>2024</v>
      </c>
      <c r="C85" s="51" t="inlineStr">
        <is>
          <t xml:space="preserve">NB</t>
        </is>
      </c>
      <c r="D85" s="51" t="n">
        <v>0</v>
      </c>
      <c r="E85" s="51" t="n">
        <v>0</v>
      </c>
      <c r="F85" s="66" t="str">
        <v/>
      </c>
    </row>
    <row r="86" customFormat="false" ht="15" hidden="false" customHeight="true" outlineLevel="0" collapsed="false">
      <c r="A86" s="5"/>
      <c r="B86" s="51" t="n">
        <v>2025</v>
      </c>
      <c r="C86" s="51" t="inlineStr">
        <is>
          <t xml:space="preserve">H</t>
        </is>
      </c>
      <c r="D86" s="51" t="n">
        <v>730</v>
      </c>
      <c r="E86" s="51" t="n">
        <v>414</v>
      </c>
      <c r="F86" s="66" t="n">
        <v>0.567123287671233</v>
      </c>
    </row>
    <row r="87" customFormat="false" ht="15" hidden="false" customHeight="true" outlineLevel="0" collapsed="false">
      <c r="A87" s="5"/>
      <c r="B87" s="51" t="n">
        <v>2025</v>
      </c>
      <c r="C87" s="51" t="inlineStr">
        <is>
          <t xml:space="preserve">M</t>
        </is>
      </c>
      <c r="D87" s="51" t="n">
        <v>419</v>
      </c>
      <c r="E87" s="51" t="n">
        <v>254</v>
      </c>
      <c r="F87" s="66" t="n">
        <v>0.606205250596659</v>
      </c>
    </row>
    <row r="88" customFormat="false" ht="15" hidden="false" customHeight="true" outlineLevel="0" collapsed="false">
      <c r="A88" s="5"/>
      <c r="B88" s="51" t="n">
        <v>2025</v>
      </c>
      <c r="C88" s="51" t="inlineStr">
        <is>
          <t xml:space="preserve">NB</t>
        </is>
      </c>
      <c r="D88" s="51" t="n">
        <v>1</v>
      </c>
      <c r="E88" s="51" t="n">
        <v>0</v>
      </c>
      <c r="F88" s="66" t="n">
        <v>0</v>
      </c>
    </row>
    <row r="89" customFormat="false" ht="15" hidden="false" customHeight="true" outlineLevel="0" collapsed="false">
      <c r="A89" s="5"/>
    </row>
    <row r="90" customFormat="false" ht="15" hidden="false" customHeight="true" outlineLevel="0" collapsed="false">
      <c r="A90" s="5"/>
      <c r="B90" s="64" t="inlineStr">
        <is>
          <t xml:space="preserve">D. Retención por tramo de edad y cohorte</t>
        </is>
      </c>
    </row>
    <row r="91" customFormat="false" ht="23.25" hidden="false" customHeight="true" outlineLevel="0" collapsed="false">
      <c r="A91" s="5"/>
      <c r="B91" s="65" t="inlineStr">
        <is>
          <t xml:space="preserve">Cohorte</t>
        </is>
      </c>
      <c r="C91" s="65" t="inlineStr">
        <is>
          <t xml:space="preserve">Tramo Edad</t>
        </is>
      </c>
      <c r="D91" s="65" t="inlineStr">
        <is>
          <t xml:space="preserve">Estudiantes</t>
        </is>
      </c>
      <c r="E91" s="65" t="inlineStr">
        <is>
          <t xml:space="preserve">Retenidos</t>
        </is>
      </c>
      <c r="F91" s="65" t="inlineStr">
        <is>
          <t xml:space="preserve">Tasa de retención</t>
        </is>
      </c>
    </row>
    <row r="92" customFormat="false" ht="15" hidden="false" customHeight="true" outlineLevel="0" collapsed="false">
      <c r="A92" s="5"/>
      <c r="B92" s="51" t="n">
        <v>2022</v>
      </c>
      <c r="C92" s="51" t="inlineStr">
        <is>
          <t xml:space="preserve">Menos de 20</t>
        </is>
      </c>
      <c r="D92" s="51" t="n">
        <v>11</v>
      </c>
      <c r="E92" s="51" t="n">
        <v>7</v>
      </c>
      <c r="F92" s="66" t="n">
        <v>0.636363636363636</v>
      </c>
    </row>
    <row r="93" customFormat="false" ht="15" hidden="false" customHeight="true" outlineLevel="0" collapsed="false">
      <c r="A93" s="5"/>
      <c r="B93" s="51" t="n">
        <v>2022</v>
      </c>
      <c r="C93" s="51" t="inlineStr">
        <is>
          <t xml:space="preserve">20-24</t>
        </is>
      </c>
      <c r="D93" s="51" t="n">
        <v>53</v>
      </c>
      <c r="E93" s="51" t="n">
        <v>42</v>
      </c>
      <c r="F93" s="66" t="n">
        <v>0.792452830188679</v>
      </c>
    </row>
    <row r="94" customFormat="false" ht="15" hidden="false" customHeight="true" outlineLevel="0" collapsed="false">
      <c r="A94" s="5"/>
      <c r="B94" s="51" t="n">
        <v>2022</v>
      </c>
      <c r="C94" s="51" t="inlineStr">
        <is>
          <t xml:space="preserve">25-29</t>
        </is>
      </c>
      <c r="D94" s="51" t="n">
        <v>76</v>
      </c>
      <c r="E94" s="51" t="n">
        <v>56</v>
      </c>
      <c r="F94" s="66" t="n">
        <v>0.736842105263158</v>
      </c>
    </row>
    <row r="95" customFormat="false" ht="15" hidden="false" customHeight="true" outlineLevel="0" collapsed="false">
      <c r="A95" s="5"/>
      <c r="B95" s="51" t="n">
        <v>2022</v>
      </c>
      <c r="C95" s="51" t="inlineStr">
        <is>
          <t xml:space="preserve">30-39</t>
        </is>
      </c>
      <c r="D95" s="51" t="n">
        <v>129</v>
      </c>
      <c r="E95" s="51" t="n">
        <v>89</v>
      </c>
      <c r="F95" s="66" t="n">
        <v>0.689922480620155</v>
      </c>
    </row>
    <row r="96" customFormat="false" ht="15" hidden="false" customHeight="true" outlineLevel="0" collapsed="false">
      <c r="A96" s="5"/>
      <c r="B96" s="51" t="n">
        <v>2022</v>
      </c>
      <c r="C96" s="51" t="inlineStr">
        <is>
          <t xml:space="preserve">40+</t>
        </is>
      </c>
      <c r="D96" s="51" t="n">
        <v>36</v>
      </c>
      <c r="E96" s="51" t="n">
        <v>30</v>
      </c>
      <c r="F96" s="66" t="n">
        <v>0.833333333333333</v>
      </c>
    </row>
    <row r="97" customFormat="false" ht="15" hidden="false" customHeight="true" outlineLevel="0" collapsed="false">
      <c r="A97" s="5"/>
      <c r="B97" s="51" t="n">
        <v>2023</v>
      </c>
      <c r="C97" s="51" t="inlineStr">
        <is>
          <t xml:space="preserve">Menos de 20</t>
        </is>
      </c>
      <c r="D97" s="51" t="n">
        <v>15</v>
      </c>
      <c r="E97" s="51" t="n">
        <v>11</v>
      </c>
      <c r="F97" s="66" t="n">
        <v>0.733333333333333</v>
      </c>
    </row>
    <row r="98" customFormat="false" ht="15" hidden="false" customHeight="true" outlineLevel="0" collapsed="false">
      <c r="A98" s="5"/>
      <c r="B98" s="51" t="n">
        <v>2023</v>
      </c>
      <c r="C98" s="51" t="inlineStr">
        <is>
          <t xml:space="preserve">20-24</t>
        </is>
      </c>
      <c r="D98" s="51" t="n">
        <v>54</v>
      </c>
      <c r="E98" s="51" t="n">
        <v>30</v>
      </c>
      <c r="F98" s="66" t="n">
        <v>0.555555555555556</v>
      </c>
    </row>
    <row r="99" customFormat="false" ht="15" hidden="false" customHeight="true" outlineLevel="0" collapsed="false">
      <c r="A99" s="5"/>
      <c r="B99" s="51" t="n">
        <v>2023</v>
      </c>
      <c r="C99" s="51" t="inlineStr">
        <is>
          <t xml:space="preserve">25-29</t>
        </is>
      </c>
      <c r="D99" s="51" t="n">
        <v>102</v>
      </c>
      <c r="E99" s="51" t="n">
        <v>75</v>
      </c>
      <c r="F99" s="66" t="n">
        <v>0.735294117647059</v>
      </c>
    </row>
    <row r="100" customFormat="false" ht="15" hidden="false" customHeight="true" outlineLevel="0" collapsed="false">
      <c r="A100" s="5"/>
      <c r="B100" s="51" t="n">
        <v>2023</v>
      </c>
      <c r="C100" s="51" t="inlineStr">
        <is>
          <t xml:space="preserve">30-39</t>
        </is>
      </c>
      <c r="D100" s="51" t="n">
        <v>159</v>
      </c>
      <c r="E100" s="51" t="n">
        <v>115</v>
      </c>
      <c r="F100" s="66" t="n">
        <v>0.723270440251572</v>
      </c>
    </row>
    <row r="101" customFormat="false" ht="15" hidden="false" customHeight="true" outlineLevel="0" collapsed="false">
      <c r="A101" s="5"/>
      <c r="B101" s="51" t="n">
        <v>2023</v>
      </c>
      <c r="C101" s="51" t="inlineStr">
        <is>
          <t xml:space="preserve">40+</t>
        </is>
      </c>
      <c r="D101" s="51" t="n">
        <v>36</v>
      </c>
      <c r="E101" s="51" t="n">
        <v>27</v>
      </c>
      <c r="F101" s="66" t="n">
        <v>0.75</v>
      </c>
    </row>
    <row r="102" customFormat="false" ht="15" hidden="false" customHeight="true" outlineLevel="0" collapsed="false">
      <c r="A102" s="5"/>
      <c r="B102" s="51" t="n">
        <v>2024</v>
      </c>
      <c r="C102" s="51" t="inlineStr">
        <is>
          <t xml:space="preserve">Menos de 20</t>
        </is>
      </c>
      <c r="D102" s="51" t="n">
        <v>22</v>
      </c>
      <c r="E102" s="51" t="n">
        <v>12</v>
      </c>
      <c r="F102" s="66" t="n">
        <v>0.545454545454545</v>
      </c>
    </row>
    <row r="103" customFormat="false" ht="15" hidden="false" customHeight="true" outlineLevel="0" collapsed="false">
      <c r="A103" s="5"/>
      <c r="B103" s="51" t="n">
        <v>2024</v>
      </c>
      <c r="C103" s="51" t="inlineStr">
        <is>
          <t xml:space="preserve">20-24</t>
        </is>
      </c>
      <c r="D103" s="51" t="n">
        <v>85</v>
      </c>
      <c r="E103" s="51" t="n">
        <v>50</v>
      </c>
      <c r="F103" s="66" t="n">
        <v>0.588235294117647</v>
      </c>
    </row>
    <row r="104" customFormat="false" ht="15" hidden="false" customHeight="true" outlineLevel="0" collapsed="false">
      <c r="A104" s="5"/>
      <c r="B104" s="51" t="n">
        <v>2024</v>
      </c>
      <c r="C104" s="51" t="inlineStr">
        <is>
          <t xml:space="preserve">25-29</t>
        </is>
      </c>
      <c r="D104" s="51" t="n">
        <v>138</v>
      </c>
      <c r="E104" s="51" t="n">
        <v>95</v>
      </c>
      <c r="F104" s="66" t="n">
        <v>0.688405797101449</v>
      </c>
    </row>
    <row r="105" customFormat="false" ht="15" hidden="false" customHeight="true" outlineLevel="0" collapsed="false">
      <c r="A105" s="5"/>
      <c r="B105" s="51" t="n">
        <v>2024</v>
      </c>
      <c r="C105" s="51" t="inlineStr">
        <is>
          <t xml:space="preserve">30-39</t>
        </is>
      </c>
      <c r="D105" s="51" t="n">
        <v>233</v>
      </c>
      <c r="E105" s="51" t="n">
        <v>128</v>
      </c>
      <c r="F105" s="66" t="n">
        <v>0.549356223175966</v>
      </c>
    </row>
    <row r="106" customFormat="false" ht="15" hidden="false" customHeight="true" outlineLevel="0" collapsed="false">
      <c r="A106" s="5"/>
      <c r="B106" s="51" t="n">
        <v>2024</v>
      </c>
      <c r="C106" s="51" t="inlineStr">
        <is>
          <t xml:space="preserve">40+</t>
        </is>
      </c>
      <c r="D106" s="51" t="n">
        <v>80</v>
      </c>
      <c r="E106" s="51" t="n">
        <v>41</v>
      </c>
      <c r="F106" s="66" t="n">
        <v>0.5125</v>
      </c>
    </row>
    <row r="107" customFormat="false" ht="15" hidden="false" customHeight="true" outlineLevel="0" collapsed="false">
      <c r="A107" s="5"/>
      <c r="B107" s="51" t="n">
        <v>2025</v>
      </c>
      <c r="C107" s="51" t="inlineStr">
        <is>
          <t xml:space="preserve">Menos de 20</t>
        </is>
      </c>
      <c r="D107" s="51" t="n">
        <v>43</v>
      </c>
      <c r="E107" s="51" t="n">
        <v>31</v>
      </c>
      <c r="F107" s="66" t="n">
        <v>0.72093023255814</v>
      </c>
    </row>
    <row r="108" customFormat="false" ht="15" hidden="false" customHeight="true" outlineLevel="0" collapsed="false">
      <c r="A108" s="5"/>
      <c r="B108" s="51" t="n">
        <v>2025</v>
      </c>
      <c r="C108" s="51" t="inlineStr">
        <is>
          <t xml:space="preserve">20-24</t>
        </is>
      </c>
      <c r="D108" s="51" t="n">
        <v>190</v>
      </c>
      <c r="E108" s="51" t="n">
        <v>147</v>
      </c>
      <c r="F108" s="66" t="n">
        <v>0.773684210526316</v>
      </c>
    </row>
    <row r="109" customFormat="false" ht="15" hidden="false" customHeight="true" outlineLevel="0" collapsed="false">
      <c r="A109" s="5"/>
      <c r="B109" s="51" t="n">
        <v>2025</v>
      </c>
      <c r="C109" s="51" t="inlineStr">
        <is>
          <t xml:space="preserve">25-29</t>
        </is>
      </c>
      <c r="D109" s="51" t="n">
        <v>283</v>
      </c>
      <c r="E109" s="51" t="n">
        <v>151</v>
      </c>
      <c r="F109" s="66" t="n">
        <v>0.53356890459364</v>
      </c>
    </row>
    <row r="110" customFormat="false" ht="15" hidden="false" customHeight="true" outlineLevel="0" collapsed="false">
      <c r="A110" s="5"/>
      <c r="B110" s="51" t="n">
        <v>2025</v>
      </c>
      <c r="C110" s="51" t="inlineStr">
        <is>
          <t xml:space="preserve">30-39</t>
        </is>
      </c>
      <c r="D110" s="51" t="n">
        <v>457</v>
      </c>
      <c r="E110" s="51" t="n">
        <v>252</v>
      </c>
      <c r="F110" s="66" t="n">
        <v>0.551422319474836</v>
      </c>
    </row>
    <row r="111" customFormat="false" ht="15" hidden="false" customHeight="true" outlineLevel="0" collapsed="false">
      <c r="A111" s="5"/>
      <c r="B111" s="51" t="n">
        <v>2025</v>
      </c>
      <c r="C111" s="51" t="inlineStr">
        <is>
          <t xml:space="preserve">40+</t>
        </is>
      </c>
      <c r="D111" s="51" t="n">
        <v>177</v>
      </c>
      <c r="E111" s="51" t="n">
        <v>87</v>
      </c>
      <c r="F111" s="66" t="n">
        <v>0.491525423728814</v>
      </c>
    </row>
    <row r="112" customFormat="false" ht="15" hidden="false" customHeight="true" outlineLevel="0" collapsed="false">
      <c r="A112" s="5"/>
    </row>
    <row r="113" customFormat="false" ht="45" hidden="false" customHeight="true" outlineLevel="0" collapsed="false">
      <c r="A113" s="5"/>
      <c r="B113" s="63" t="inlineStr">
        <is>
          <t xml:space="preserve">Hallazgo (dato observado): la caída de retención entre 2022-2023 y 2024-2025 es pareja en las tres jornadas, en los cinco tramos de edad y en ambos sexos — no se concentra en un segmento aislado que sugiera un problema de cobertura de datos. Ver hoja 6 (Limitaciones).</t>
        </is>
      </c>
      <c r="C113" s="63"/>
      <c r="D113" s="63"/>
      <c r="E113" s="63"/>
      <c r="F113" s="63"/>
      <c r="G113" s="63"/>
      <c r="H113" s="63"/>
    </row>
  </sheetData>
  <mergeCells count="3">
    <mergeCell ref="A1:H1"/>
    <mergeCell ref="B3:H3"/>
    <mergeCell ref="B113:H113"/>
  </mergeCells>
  <conditionalFormatting sqref="G8:G58">
    <cfRule type="top10" priority="2" aboveAverage="0" equalAverage="0" bottom="0" percent="0" rank="3" text="" dxfId="8"/>
    <cfRule type="top10" priority="3" aboveAverage="0" equalAverage="0" bottom="1" percent="0" rank="3" text="" dxfId="9"/>
  </conditionalFormatting>
  <conditionalFormatting sqref="G62:G73">
    <cfRule type="top10" priority="4" aboveAverage="0" equalAverage="0" bottom="0" percent="0" rank="3" text="" dxfId="8"/>
    <cfRule type="top10" priority="5" aboveAverage="0" equalAverage="0" bottom="1" percent="0" rank="3" text="" dxfId="9"/>
  </conditionalFormatting>
  <conditionalFormatting sqref="F77:F88">
    <cfRule type="top10" priority="6" aboveAverage="0" equalAverage="0" bottom="0" percent="0" rank="3" text="" dxfId="8"/>
    <cfRule type="top10" priority="7" aboveAverage="0" equalAverage="0" bottom="1" percent="0" rank="3" text="" dxfId="9"/>
  </conditionalFormatting>
  <conditionalFormatting sqref="F92:F111">
    <cfRule type="top10" priority="8" aboveAverage="0" equalAverage="0" bottom="0" percent="0" rank="3" text="" dxfId="8"/>
    <cfRule type="top10" priority="9" aboveAverage="0" equalAverage="0" bottom="1" percent="0" rank="3" text="" dxfId="9"/>
  </conditionalFormatting>
  <hyperlinks>
    <hyperlink ref="A3" location="'Portada'!B3" display="🏠 Portada / Índice"/>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 r:id="rId2"/>
    <tablePart r:id="rId3"/>
    <tablePart r:id="rId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808080"/>
    <pageSetUpPr fitToPage="true"/>
  </sheetPr>
  <dimension ref="A1:L183"/>
  <sheetViews>
    <sheetView showFormulas="false" showGridLines="true" showRowColHeaders="true" showZeros="true" rightToLeft="false" tabSelected="false" showOutlineSymbols="true" defaultGridColor="true" view="normal" topLeftCell="A18" colorId="64" zoomScale="100" zoomScaleNormal="100" zoomScalePageLayoutView="100" workbookViewId="0">
      <selection pane="topLeft" activeCell="I51" activeCellId="0" sqref="I51"/>
    </sheetView>
  </sheetViews>
  <sheetFormatPr defaultColWidth="8.66796875" defaultRowHeight="15" customHeight="false" zeroHeight="false" outlineLevelRow="0" outlineLevelCol="0"/>
  <cols>
    <col collapsed="false" customWidth="true" hidden="false" outlineLevel="0" max="1" min="1" style="1" width="13.34"/>
    <col collapsed="false" customWidth="true" hidden="false" outlineLevel="0" max="2" min="2" style="1" width="17"/>
    <col collapsed="false" customWidth="true" hidden="false" outlineLevel="0" max="4" min="3" style="1" width="37.34"/>
    <col collapsed="false" customWidth="true" hidden="false" outlineLevel="0" max="5" min="5" style="1" width="21.5"/>
    <col collapsed="false" customWidth="true" hidden="false" outlineLevel="0" max="7" min="6" style="1" width="15.16"/>
    <col collapsed="false" customWidth="true" hidden="false" outlineLevel="0" max="8" min="8" style="1" width="14.67"/>
    <col collapsed="false" customWidth="true" hidden="false" outlineLevel="0" max="9" min="9" style="1" width="14.83"/>
    <col collapsed="false" customWidth="true" hidden="false" outlineLevel="0" max="10" min="10" style="1" width="18.67"/>
    <col collapsed="false" customWidth="true" hidden="false" outlineLevel="0" max="11" min="11" style="1" width="19.83"/>
    <col collapsed="false" customWidth="true" hidden="false" outlineLevel="0" max="12" min="12" style="1" width="23.67"/>
  </cols>
  <sheetData>
    <row r="1" customFormat="false" ht="30" hidden="false" customHeight="true" outlineLevel="0" collapsed="false">
      <c r="A1" s="62" t="inlineStr">
        <is>
          <t xml:space="preserve">13. Retención granular por código único — interno vs SIES (soporte técnico)</t>
        </is>
      </c>
      <c r="B1" s="62"/>
      <c r="C1" s="62"/>
      <c r="D1" s="62"/>
      <c r="E1" s="62"/>
      <c r="F1" s="62"/>
      <c r="G1" s="62"/>
      <c r="H1" s="62"/>
      <c r="I1" s="62"/>
      <c r="J1" s="62"/>
      <c r="K1" s="62"/>
      <c r="L1" s="62"/>
    </row>
    <row r="3" customFormat="false" ht="109.5" hidden="false" customHeight="true" outlineLevel="0" collapsed="false">
      <c r="A3" s="35" t="inlineStr">
        <is>
          <t xml:space="preserve">🏠 Portada / Índice</t>
        </is>
      </c>
      <c r="B3" s="67" t="inlineStr">
        <is>
          <t xml:space="preserve">C · Foto de valores históricos preservados; detalle individual excluido. No recalcula con filtros en esta copia agregada.</t>
        </is>
      </c>
      <c r="C3" s="67"/>
      <c r="D3" s="67"/>
      <c r="E3" s="67"/>
      <c r="F3" s="67"/>
      <c r="G3" s="67"/>
      <c r="H3" s="67"/>
      <c r="I3" s="67"/>
      <c r="J3" s="67"/>
      <c r="K3" s="67"/>
      <c r="L3" s="67"/>
    </row>
    <row r="4" customFormat="false" ht="15" hidden="false" customHeight="true" outlineLevel="0" collapsed="false">
      <c r="A4" s="5"/>
      <c r="B4" s="21" t="inlineStr">
        <is>
          <t xml:space="preserve">Cohortes elegidas</t>
        </is>
      </c>
      <c r="C4" s="21" t="inlineStr">
        <is>
          <t xml:space="preserve">Sector</t>
        </is>
      </c>
      <c r="D4" s="21" t="inlineStr">
        <is>
          <t xml:space="preserve">Carrera</t>
        </is>
      </c>
      <c r="H4" s="21" t="inlineStr">
        <is>
          <t xml:space="preserve">Estudiantes</t>
        </is>
      </c>
      <c r="I4" s="21" t="inlineStr">
        <is>
          <t xml:space="preserve">Retenidos</t>
        </is>
      </c>
      <c r="J4" s="21" t="inlineStr">
        <is>
          <t xml:space="preserve">Tasa ponderada</t>
        </is>
      </c>
    </row>
    <row r="5" customFormat="false" ht="15" hidden="false" customHeight="true" outlineLevel="0" collapsed="false">
      <c r="A5" s="5"/>
      <c r="B5" s="22" t="str">
        <v>Acumulado 2022-2025</v>
      </c>
      <c r="C5" s="22" t="str">
        <v>Todos</v>
      </c>
      <c r="D5" s="22" t="str">
        <v>Todas</v>
      </c>
      <c r="H5" s="36" t="n">
        <v>2379</v>
      </c>
      <c r="I5" s="36" t="n">
        <v>1476</v>
      </c>
      <c r="J5" s="23" t="n">
        <v>0.620428751576293</v>
      </c>
    </row>
    <row r="6" customFormat="false" ht="15" hidden="false" customHeight="true" outlineLevel="0" collapsed="false">
      <c r="A6" s="5"/>
      <c r="B6" s="68" t="inlineStr">
        <is>
          <t xml:space="preserve">A. Validación 2025 — retención interna vs dato real enviado por SIES (hoja 10)</t>
        </is>
      </c>
      <c r="C6" s="68"/>
      <c r="D6" s="68"/>
    </row>
    <row r="7" customFormat="false" ht="31.5" hidden="false" customHeight="true" outlineLevel="0" collapsed="false">
      <c r="A7" s="5"/>
      <c r="B7" s="69" t="inlineStr">
        <is>
          <t xml:space="preserve">Código único</t>
        </is>
      </c>
      <c r="C7" s="69" t="inlineStr">
        <is>
          <t xml:space="preserve">Carrera</t>
        </is>
      </c>
      <c r="D7" s="69" t="inlineStr">
        <is>
          <t xml:space="preserve">Sector</t>
        </is>
      </c>
      <c r="E7" s="69" t="inlineStr">
        <is>
          <t xml:space="preserve">Jornada</t>
        </is>
      </c>
      <c r="F7" s="69" t="inlineStr">
        <is>
          <t xml:space="preserve">Modalidad</t>
        </is>
      </c>
      <c r="G7" s="69" t="inlineStr">
        <is>
          <t xml:space="preserve">Estudiantes</t>
        </is>
      </c>
      <c r="H7" s="69" t="inlineStr">
        <is>
          <t xml:space="preserve">Retenidos</t>
        </is>
      </c>
      <c r="I7" s="69" t="inlineStr">
        <is>
          <t xml:space="preserve">Estudiantes SIES 2025
(hoja 10)</t>
        </is>
      </c>
      <c r="J7" s="69" t="inlineStr">
        <is>
          <t xml:space="preserve">Retenidos SIES
(hoja 10)</t>
        </is>
      </c>
      <c r="K7" s="69" t="inlineStr">
        <is>
          <t xml:space="preserve">Diferencia estudiantes
(SIES − IPSS)</t>
        </is>
      </c>
      <c r="L7" s="69" t="inlineStr">
        <is>
          <t xml:space="preserve">Diferencia retenidos
(SIES − interno)</t>
        </is>
      </c>
    </row>
    <row r="8" customFormat="false" ht="15" hidden="true" customHeight="true" outlineLevel="0" collapsed="false">
      <c r="A8" s="5"/>
      <c r="B8" s="51" t="str">
        <v>I162S2C1J1V1</v>
      </c>
      <c r="C8" s="51" t="str">
        <v>Ingenieria En Informatica</v>
      </c>
      <c r="D8" s="51" t="str">
        <v>Tecnologías</v>
      </c>
      <c r="E8" s="51" t="str">
        <v>Diurno</v>
      </c>
      <c r="F8" s="51" t="str">
        <v>Presencial</v>
      </c>
      <c r="G8" s="51" t="n">
        <v>3</v>
      </c>
      <c r="H8" s="51" t="n">
        <v>3</v>
      </c>
      <c r="I8" s="51" t="n">
        <v>3</v>
      </c>
      <c r="J8" s="51" t="n">
        <v>3</v>
      </c>
      <c r="K8" s="51" t="n">
        <v>0</v>
      </c>
      <c r="L8" s="51" t="n">
        <v>0</v>
      </c>
    </row>
    <row r="9" customFormat="false" ht="15" hidden="true" customHeight="true" outlineLevel="0" collapsed="false">
      <c r="A9" s="5"/>
      <c r="B9" s="51" t="str">
        <v>I162S2C1J1V2</v>
      </c>
      <c r="C9" s="51" t="str">
        <v>Ingenieria En Informatica</v>
      </c>
      <c r="D9" s="51" t="str">
        <v>Tecnologías</v>
      </c>
      <c r="E9" s="51" t="str">
        <v>Diurno</v>
      </c>
      <c r="F9" s="51" t="str">
        <v>Presencial</v>
      </c>
      <c r="G9" s="51" t="n">
        <v>11</v>
      </c>
      <c r="H9" s="51" t="n">
        <v>7</v>
      </c>
      <c r="I9" s="51" t="n">
        <v>11</v>
      </c>
      <c r="J9" s="51" t="n">
        <v>7</v>
      </c>
      <c r="K9" s="51" t="n">
        <v>0</v>
      </c>
      <c r="L9" s="51" t="n">
        <v>0</v>
      </c>
    </row>
    <row r="10" customFormat="false" ht="15" hidden="true" customHeight="true" outlineLevel="0" collapsed="false">
      <c r="A10" s="5"/>
      <c r="B10" s="51" t="str">
        <v>I162S2C1J2V1</v>
      </c>
      <c r="C10" s="51" t="str">
        <v>Ingenieria En Informatica</v>
      </c>
      <c r="D10" s="51" t="str">
        <v>Tecnologías</v>
      </c>
      <c r="E10" s="51" t="str">
        <v>Vespertino</v>
      </c>
      <c r="F10" s="51" t="str">
        <v>Presencial</v>
      </c>
      <c r="G10" s="51" t="n">
        <v>4</v>
      </c>
      <c r="H10" s="51" t="n">
        <v>2</v>
      </c>
      <c r="I10" s="51" t="n">
        <v>4</v>
      </c>
      <c r="J10" s="51" t="n">
        <v>2</v>
      </c>
      <c r="K10" s="51" t="n">
        <v>0</v>
      </c>
      <c r="L10" s="51" t="n">
        <v>0</v>
      </c>
    </row>
    <row r="11" customFormat="false" ht="15" hidden="true" customHeight="true" outlineLevel="0" collapsed="false">
      <c r="A11" s="5"/>
      <c r="B11" s="51" t="str">
        <v>I162S2C1J2V4</v>
      </c>
      <c r="C11" s="51" t="str">
        <v>Ingenieria En Informatica</v>
      </c>
      <c r="D11" s="51" t="str">
        <v>Tecnologías</v>
      </c>
      <c r="E11" s="51" t="str">
        <v>Vespertino</v>
      </c>
      <c r="F11" s="51" t="str">
        <v>Presencial</v>
      </c>
      <c r="G11" s="51" t="n">
        <v>9</v>
      </c>
      <c r="H11" s="51" t="n">
        <v>5</v>
      </c>
      <c r="I11" s="51" t="n">
        <v>9</v>
      </c>
      <c r="J11" s="51" t="n">
        <v>5</v>
      </c>
      <c r="K11" s="51" t="n">
        <v>0</v>
      </c>
      <c r="L11" s="51" t="n">
        <v>0</v>
      </c>
    </row>
    <row r="12" customFormat="false" ht="15" hidden="true" customHeight="true" outlineLevel="0" collapsed="false">
      <c r="A12" s="5"/>
      <c r="B12" s="51" t="str">
        <v>I162S2C1J4V2</v>
      </c>
      <c r="C12" s="51" t="str">
        <v>Ingenieria En Informatica</v>
      </c>
      <c r="D12" s="51" t="str">
        <v>Tecnologías</v>
      </c>
      <c r="E12" s="51" t="str">
        <v>Virtual</v>
      </c>
      <c r="F12" s="51" t="str">
        <v>A distancia</v>
      </c>
      <c r="G12" s="51" t="n">
        <v>91</v>
      </c>
      <c r="H12" s="51" t="n">
        <v>64</v>
      </c>
      <c r="I12" s="51" t="n">
        <v>91</v>
      </c>
      <c r="J12" s="51" t="n">
        <v>64</v>
      </c>
      <c r="K12" s="51" t="n">
        <v>0</v>
      </c>
      <c r="L12" s="51" t="n">
        <v>0</v>
      </c>
    </row>
    <row r="13" customFormat="false" ht="15" hidden="true" customHeight="true" outlineLevel="0" collapsed="false">
      <c r="A13" s="5"/>
      <c r="B13" s="51" t="str">
        <v>I162S2C3J2V1</v>
      </c>
      <c r="C13" s="51" t="str">
        <v>Ingenieria En Conectividad Y Redes</v>
      </c>
      <c r="D13" s="51" t="str">
        <v>Tecnologías</v>
      </c>
      <c r="E13" s="51" t="str">
        <v>Vespertino</v>
      </c>
      <c r="F13" s="51" t="str">
        <v>Presencial</v>
      </c>
      <c r="G13" s="51" t="n">
        <v>3</v>
      </c>
      <c r="H13" s="51" t="n">
        <v>1</v>
      </c>
      <c r="I13" s="51" t="n">
        <v>3</v>
      </c>
      <c r="J13" s="51" t="n">
        <v>1</v>
      </c>
      <c r="K13" s="51" t="n">
        <v>0</v>
      </c>
      <c r="L13" s="51" t="n">
        <v>0</v>
      </c>
    </row>
    <row r="14" customFormat="false" ht="15" hidden="true" customHeight="true" outlineLevel="0" collapsed="false">
      <c r="A14" s="5"/>
      <c r="B14" s="51" t="str">
        <v>I162S2C3J2V4</v>
      </c>
      <c r="C14" s="51" t="str">
        <v>Ingenieria En Conectividad Y Redes</v>
      </c>
      <c r="D14" s="51" t="str">
        <v>Tecnologías</v>
      </c>
      <c r="E14" s="51" t="str">
        <v>Vespertino</v>
      </c>
      <c r="F14" s="51" t="str">
        <v>Presencial</v>
      </c>
      <c r="G14" s="51" t="n">
        <v>6</v>
      </c>
      <c r="H14" s="51" t="n">
        <v>5</v>
      </c>
      <c r="I14" s="51" t="n">
        <v>7</v>
      </c>
      <c r="J14" s="51" t="n">
        <v>5</v>
      </c>
      <c r="K14" s="51" t="n">
        <v>1</v>
      </c>
      <c r="L14" s="51" t="n">
        <v>0</v>
      </c>
    </row>
    <row r="15" customFormat="false" ht="15" hidden="false" customHeight="true" outlineLevel="0" collapsed="false">
      <c r="A15" s="5"/>
      <c r="B15" s="51" t="str">
        <v>I162S2C3J4V2</v>
      </c>
      <c r="C15" s="51" t="str">
        <v>Ingenieria En Conectividad Y Redes</v>
      </c>
      <c r="D15" s="51" t="str">
        <v>Tecnologías</v>
      </c>
      <c r="E15" s="51" t="str">
        <v>Virtual</v>
      </c>
      <c r="F15" s="51" t="str">
        <v>A distancia</v>
      </c>
      <c r="G15" s="51" t="n">
        <v>54</v>
      </c>
      <c r="H15" s="51" t="n">
        <v>37</v>
      </c>
      <c r="I15" s="51" t="n">
        <v>55</v>
      </c>
      <c r="J15" s="51" t="n">
        <v>38</v>
      </c>
      <c r="K15" s="51" t="n">
        <v>1</v>
      </c>
      <c r="L15" s="51" t="n">
        <v>1</v>
      </c>
    </row>
    <row r="16" customFormat="false" ht="15" hidden="true" customHeight="true" outlineLevel="0" collapsed="false">
      <c r="A16" s="5"/>
      <c r="B16" s="51" t="str">
        <v>I162S2C46J1V1</v>
      </c>
      <c r="C16" s="51" t="str">
        <v>Ingenieria En Ciberseguridad</v>
      </c>
      <c r="D16" s="51" t="str">
        <v>Tecnologías</v>
      </c>
      <c r="E16" s="51" t="str">
        <v>Diurno</v>
      </c>
      <c r="F16" s="51" t="str">
        <v>Presencial</v>
      </c>
      <c r="G16" s="51" t="n">
        <v>18</v>
      </c>
      <c r="H16" s="51" t="n">
        <v>16</v>
      </c>
      <c r="I16" s="51" t="n">
        <v>18</v>
      </c>
      <c r="J16" s="51" t="n">
        <v>16</v>
      </c>
      <c r="K16" s="51" t="n">
        <v>0</v>
      </c>
      <c r="L16" s="51" t="n">
        <v>0</v>
      </c>
    </row>
    <row r="17" customFormat="false" ht="15" hidden="true" customHeight="true" outlineLevel="0" collapsed="false">
      <c r="A17" s="5"/>
      <c r="B17" s="51" t="str">
        <v>I162S2C46J2V1</v>
      </c>
      <c r="C17" s="51" t="str">
        <v>Ingenieria En Ciberseguridad</v>
      </c>
      <c r="D17" s="51" t="str">
        <v>Tecnologías</v>
      </c>
      <c r="E17" s="51" t="str">
        <v>Vespertino</v>
      </c>
      <c r="F17" s="51" t="str">
        <v>Presencial</v>
      </c>
      <c r="G17" s="51" t="n">
        <v>11</v>
      </c>
      <c r="H17" s="51" t="n">
        <v>8</v>
      </c>
      <c r="I17" s="51" t="n">
        <v>11</v>
      </c>
      <c r="J17" s="51" t="n">
        <v>8</v>
      </c>
      <c r="K17" s="51" t="n">
        <v>0</v>
      </c>
      <c r="L17" s="51" t="n">
        <v>0</v>
      </c>
    </row>
    <row r="18" customFormat="false" ht="15" hidden="false" customHeight="true" outlineLevel="0" collapsed="false">
      <c r="A18" s="5"/>
      <c r="B18" s="51" t="str">
        <v>I162S2C46J4V3</v>
      </c>
      <c r="C18" s="51" t="str">
        <v>Ingenieria En Ciberseguridad</v>
      </c>
      <c r="D18" s="51" t="str">
        <v>Tecnologías</v>
      </c>
      <c r="E18" s="51" t="str">
        <v>Virtual</v>
      </c>
      <c r="F18" s="51" t="str">
        <v>A distancia</v>
      </c>
      <c r="G18" s="51" t="n">
        <v>73</v>
      </c>
      <c r="H18" s="51" t="n">
        <v>41</v>
      </c>
      <c r="I18" s="51" t="n">
        <v>75</v>
      </c>
      <c r="J18" s="51" t="n">
        <v>42</v>
      </c>
      <c r="K18" s="51" t="n">
        <v>2</v>
      </c>
      <c r="L18" s="51" t="n">
        <v>1</v>
      </c>
    </row>
    <row r="19" customFormat="false" ht="15" hidden="true" customHeight="true" outlineLevel="0" collapsed="false">
      <c r="A19" s="5"/>
      <c r="B19" s="51" t="str">
        <v>I162S2C47J1V1</v>
      </c>
      <c r="C19" s="51" t="str">
        <v>Tecnico En Ciberseguridad</v>
      </c>
      <c r="D19" s="51" t="str">
        <v>Tecnologías</v>
      </c>
      <c r="E19" s="51" t="str">
        <v>Diurno</v>
      </c>
      <c r="F19" s="51" t="str">
        <v>Presencial</v>
      </c>
      <c r="G19" s="51" t="n">
        <v>8</v>
      </c>
      <c r="H19" s="51" t="n">
        <v>7</v>
      </c>
      <c r="I19" s="51" t="n">
        <v>8</v>
      </c>
      <c r="J19" s="51" t="n">
        <v>7</v>
      </c>
      <c r="K19" s="51" t="n">
        <v>0</v>
      </c>
      <c r="L19" s="51" t="n">
        <v>0</v>
      </c>
    </row>
    <row r="20" customFormat="false" ht="15" hidden="true" customHeight="true" outlineLevel="0" collapsed="false">
      <c r="A20" s="5"/>
      <c r="B20" s="51" t="str">
        <v>I162S2C47J2V1</v>
      </c>
      <c r="C20" s="51" t="str">
        <v>Tecnico En Ciberseguridad</v>
      </c>
      <c r="D20" s="51" t="str">
        <v>Tecnologías</v>
      </c>
      <c r="E20" s="51" t="str">
        <v>Vespertino</v>
      </c>
      <c r="F20" s="51" t="str">
        <v>Presencial</v>
      </c>
      <c r="G20" s="51" t="n">
        <v>7</v>
      </c>
      <c r="H20" s="51" t="n">
        <v>6</v>
      </c>
      <c r="I20" s="51" t="n">
        <v>7</v>
      </c>
      <c r="J20" s="51" t="n">
        <v>6</v>
      </c>
      <c r="K20" s="51" t="n">
        <v>0</v>
      </c>
      <c r="L20" s="51" t="n">
        <v>0</v>
      </c>
    </row>
    <row r="21" customFormat="false" ht="15" hidden="true" customHeight="true" outlineLevel="0" collapsed="false">
      <c r="A21" s="5"/>
      <c r="B21" s="51" t="str">
        <v>I162S2C47J4V1</v>
      </c>
      <c r="C21" s="51" t="str">
        <v>Tecnico En Ciberseguridad</v>
      </c>
      <c r="D21" s="51" t="str">
        <v>Tecnologías</v>
      </c>
      <c r="E21" s="51" t="str">
        <v>Virtual</v>
      </c>
      <c r="F21" s="51" t="str">
        <v>A distancia</v>
      </c>
      <c r="G21" s="51" t="n">
        <v>65</v>
      </c>
      <c r="H21" s="51" t="n">
        <v>39</v>
      </c>
      <c r="I21" s="51" t="n">
        <v>65</v>
      </c>
      <c r="J21" s="51" t="n">
        <v>39</v>
      </c>
      <c r="K21" s="51" t="n">
        <v>0</v>
      </c>
      <c r="L21" s="51" t="n">
        <v>0</v>
      </c>
    </row>
    <row r="22" customFormat="false" ht="15" hidden="false" customHeight="true" outlineLevel="0" collapsed="false">
      <c r="A22" s="5"/>
      <c r="B22" s="51" t="str">
        <v>I162S2C57J1V1</v>
      </c>
      <c r="C22" s="51" t="str">
        <v>Tecnico En Programacion Y Analisis De Sistemas</v>
      </c>
      <c r="D22" s="51" t="str">
        <v>Tecnologías</v>
      </c>
      <c r="E22" s="51" t="str">
        <v>Diurno</v>
      </c>
      <c r="F22" s="51" t="str">
        <v>Presencial</v>
      </c>
      <c r="G22" s="51" t="n">
        <v>15</v>
      </c>
      <c r="H22" s="51" t="n">
        <v>10</v>
      </c>
      <c r="I22" s="51" t="n">
        <v>16</v>
      </c>
      <c r="J22" s="51" t="n">
        <v>11</v>
      </c>
      <c r="K22" s="51" t="n">
        <v>1</v>
      </c>
      <c r="L22" s="51" t="n">
        <v>1</v>
      </c>
    </row>
    <row r="23" customFormat="false" ht="15" hidden="true" customHeight="true" outlineLevel="0" collapsed="false">
      <c r="A23" s="5"/>
      <c r="B23" s="51" t="str">
        <v>I162S2C57J2V1</v>
      </c>
      <c r="C23" s="51" t="str">
        <v>Tecnico En Programacion Y Analisis De Sistemas</v>
      </c>
      <c r="D23" s="51" t="str">
        <v>Tecnologías</v>
      </c>
      <c r="E23" s="51" t="str">
        <v>Vespertino</v>
      </c>
      <c r="F23" s="51" t="str">
        <v>Presencial</v>
      </c>
      <c r="G23" s="51" t="n">
        <v>9</v>
      </c>
      <c r="H23" s="51" t="n">
        <v>4</v>
      </c>
      <c r="I23" s="51" t="n">
        <v>9</v>
      </c>
      <c r="J23" s="51" t="n">
        <v>4</v>
      </c>
      <c r="K23" s="51" t="n">
        <v>0</v>
      </c>
      <c r="L23" s="51" t="n">
        <v>0</v>
      </c>
    </row>
    <row r="24" customFormat="false" ht="15" hidden="true" customHeight="true" outlineLevel="0" collapsed="false">
      <c r="A24" s="5"/>
      <c r="B24" s="51" t="str">
        <v>I162S2C57J4V1</v>
      </c>
      <c r="C24" s="51" t="str">
        <v>Tecnico En Programacion Y Analisis De Sistemas</v>
      </c>
      <c r="D24" s="51" t="str">
        <v>Tecnologías</v>
      </c>
      <c r="E24" s="51" t="str">
        <v>Virtual</v>
      </c>
      <c r="F24" s="51" t="str">
        <v>A distancia</v>
      </c>
      <c r="G24" s="51" t="n">
        <v>106</v>
      </c>
      <c r="H24" s="51" t="n">
        <v>66</v>
      </c>
      <c r="I24" s="51" t="n">
        <v>108</v>
      </c>
      <c r="J24" s="51" t="n">
        <v>66</v>
      </c>
      <c r="K24" s="51" t="n">
        <v>2</v>
      </c>
      <c r="L24" s="51" t="n">
        <v>0</v>
      </c>
    </row>
    <row r="25" customFormat="false" ht="15" hidden="true" customHeight="true" outlineLevel="0" collapsed="false">
      <c r="A25" s="5"/>
      <c r="B25" s="51" t="str">
        <v>I162S2C6J2V1</v>
      </c>
      <c r="C25" s="51" t="str">
        <v>Tecnico En Conectividad Y Redes</v>
      </c>
      <c r="D25" s="51" t="str">
        <v>Tecnologías</v>
      </c>
      <c r="E25" s="51" t="str">
        <v>Vespertino</v>
      </c>
      <c r="F25" s="51" t="str">
        <v>Presencial</v>
      </c>
      <c r="G25" s="51" t="n">
        <v>2</v>
      </c>
      <c r="H25" s="51" t="n">
        <v>0</v>
      </c>
      <c r="I25" s="51" t="n">
        <v>2</v>
      </c>
      <c r="J25" s="51" t="n">
        <v>0</v>
      </c>
      <c r="K25" s="51" t="n">
        <v>0</v>
      </c>
      <c r="L25" s="51" t="n">
        <v>0</v>
      </c>
    </row>
    <row r="26" customFormat="false" ht="15" hidden="true" customHeight="true" outlineLevel="0" collapsed="false">
      <c r="A26" s="5"/>
      <c r="B26" s="51" t="str">
        <v>I162S2C6J2V2</v>
      </c>
      <c r="C26" s="51" t="str">
        <v>Tecnico En Conectividad Y Redes</v>
      </c>
      <c r="D26" s="51" t="str">
        <v>Tecnologías</v>
      </c>
      <c r="E26" s="51" t="str">
        <v>Vespertino</v>
      </c>
      <c r="F26" s="51" t="str">
        <v>Presencial</v>
      </c>
      <c r="G26" s="51" t="n">
        <v>5</v>
      </c>
      <c r="H26" s="51" t="n">
        <v>5</v>
      </c>
      <c r="I26" s="51" t="n">
        <v>5</v>
      </c>
      <c r="J26" s="51" t="n">
        <v>5</v>
      </c>
      <c r="K26" s="51" t="n">
        <v>0</v>
      </c>
      <c r="L26" s="51" t="n">
        <v>0</v>
      </c>
    </row>
    <row r="27" customFormat="false" ht="15" hidden="true" customHeight="true" outlineLevel="0" collapsed="false">
      <c r="A27" s="5"/>
      <c r="B27" s="51" t="str">
        <v>I162S2C6J4V2</v>
      </c>
      <c r="C27" s="51" t="str">
        <v>Tecnico En Conectividad Y Redes</v>
      </c>
      <c r="D27" s="51" t="str">
        <v>Tecnologías</v>
      </c>
      <c r="E27" s="51" t="str">
        <v>Virtual</v>
      </c>
      <c r="F27" s="51" t="str">
        <v>A distancia</v>
      </c>
      <c r="G27" s="51" t="n">
        <v>35</v>
      </c>
      <c r="H27" s="51" t="n">
        <v>21</v>
      </c>
      <c r="I27" s="51" t="n">
        <v>35</v>
      </c>
      <c r="J27" s="51" t="n">
        <v>21</v>
      </c>
      <c r="K27" s="51" t="n">
        <v>0</v>
      </c>
      <c r="L27" s="51" t="n">
        <v>0</v>
      </c>
    </row>
    <row r="28" customFormat="false" ht="15" hidden="false" customHeight="true" outlineLevel="0" collapsed="false">
      <c r="A28" s="5"/>
      <c r="B28" s="51" t="str">
        <v>I162S2C76J2V1</v>
      </c>
      <c r="C28" s="51" t="str">
        <v>Ingenieria En Administracion De Empresas</v>
      </c>
      <c r="D28" s="51" t="str">
        <v>Administración y Comercio</v>
      </c>
      <c r="E28" s="51" t="str">
        <v>Vespertino</v>
      </c>
      <c r="F28" s="51" t="str">
        <v>Presencial</v>
      </c>
      <c r="G28" s="51" t="n">
        <v>19</v>
      </c>
      <c r="H28" s="51" t="n">
        <v>7</v>
      </c>
      <c r="I28" s="51" t="n">
        <v>20</v>
      </c>
      <c r="J28" s="51" t="n">
        <v>8</v>
      </c>
      <c r="K28" s="51" t="n">
        <v>1</v>
      </c>
      <c r="L28" s="51" t="n">
        <v>1</v>
      </c>
    </row>
    <row r="29" customFormat="false" ht="15" hidden="true" customHeight="true" outlineLevel="0" collapsed="false">
      <c r="A29" s="5"/>
      <c r="B29" s="51" t="str">
        <v>I162S2C76J4V1</v>
      </c>
      <c r="C29" s="51" t="str">
        <v>Ingenieria En Administracion De Empresas</v>
      </c>
      <c r="D29" s="51" t="str">
        <v>Administración y Comercio</v>
      </c>
      <c r="E29" s="51" t="str">
        <v>Virtual</v>
      </c>
      <c r="F29" s="51" t="str">
        <v>A distancia</v>
      </c>
      <c r="G29" s="51" t="n">
        <v>72</v>
      </c>
      <c r="H29" s="51" t="n">
        <v>39</v>
      </c>
      <c r="I29" s="51" t="n">
        <v>72</v>
      </c>
      <c r="J29" s="51" t="n">
        <v>39</v>
      </c>
      <c r="K29" s="51" t="n">
        <v>0</v>
      </c>
      <c r="L29" s="51" t="n">
        <v>0</v>
      </c>
    </row>
    <row r="30" customFormat="false" ht="15" hidden="true" customHeight="true" outlineLevel="0" collapsed="false">
      <c r="A30" s="5"/>
      <c r="B30" s="51" t="str">
        <v>I162S2C77J2V1</v>
      </c>
      <c r="C30" s="51" t="str">
        <v>Ingenieria En Logistica</v>
      </c>
      <c r="D30" s="51" t="str">
        <v>Administración y Comercio</v>
      </c>
      <c r="E30" s="51" t="str">
        <v>Vespertino</v>
      </c>
      <c r="F30" s="51" t="str">
        <v>Presencial</v>
      </c>
      <c r="G30" s="51" t="n">
        <v>9</v>
      </c>
      <c r="H30" s="51" t="n">
        <v>5</v>
      </c>
      <c r="I30" s="51" t="n">
        <v>9</v>
      </c>
      <c r="J30" s="51" t="n">
        <v>5</v>
      </c>
      <c r="K30" s="51" t="n">
        <v>0</v>
      </c>
      <c r="L30" s="51" t="n">
        <v>0</v>
      </c>
    </row>
    <row r="31" customFormat="false" ht="15" hidden="true" customHeight="true" outlineLevel="0" collapsed="false">
      <c r="A31" s="5"/>
      <c r="B31" s="51" t="str">
        <v>I162S2C77J4V1</v>
      </c>
      <c r="C31" s="51" t="str">
        <v>Ingenieria En Logistica</v>
      </c>
      <c r="D31" s="51" t="str">
        <v>Administración y Comercio</v>
      </c>
      <c r="E31" s="51" t="str">
        <v>Virtual</v>
      </c>
      <c r="F31" s="51" t="str">
        <v>A distancia</v>
      </c>
      <c r="G31" s="51" t="n">
        <v>52</v>
      </c>
      <c r="H31" s="51" t="n">
        <v>32</v>
      </c>
      <c r="I31" s="51" t="n">
        <v>54</v>
      </c>
      <c r="J31" s="51" t="n">
        <v>34</v>
      </c>
      <c r="K31" s="51" t="n">
        <v>2</v>
      </c>
      <c r="L31" s="51" t="n">
        <v>2</v>
      </c>
    </row>
    <row r="32" customFormat="false" ht="15" hidden="true" customHeight="true" outlineLevel="0" collapsed="false">
      <c r="A32" s="5"/>
      <c r="B32" s="51" t="str">
        <v>I162S2C78J2V1</v>
      </c>
      <c r="C32" s="51" t="str">
        <v>Tecnico En Administracion De Empresas</v>
      </c>
      <c r="D32" s="51" t="str">
        <v>Administración y Comercio</v>
      </c>
      <c r="E32" s="51" t="str">
        <v>Vespertino</v>
      </c>
      <c r="F32" s="51" t="str">
        <v>Presencial</v>
      </c>
      <c r="G32" s="51" t="n">
        <v>9</v>
      </c>
      <c r="H32" s="51" t="n">
        <v>3</v>
      </c>
      <c r="I32" s="51" t="n">
        <v>9</v>
      </c>
      <c r="J32" s="51" t="n">
        <v>3</v>
      </c>
      <c r="K32" s="51" t="n">
        <v>0</v>
      </c>
      <c r="L32" s="51" t="n">
        <v>0</v>
      </c>
    </row>
    <row r="33" customFormat="false" ht="15" hidden="true" customHeight="true" outlineLevel="0" collapsed="false">
      <c r="A33" s="5"/>
      <c r="B33" s="51" t="str">
        <v>I162S2C78J4V1</v>
      </c>
      <c r="C33" s="51" t="str">
        <v>Tecnico En Administracion De Empresas</v>
      </c>
      <c r="D33" s="51" t="str">
        <v>Administración y Comercio</v>
      </c>
      <c r="E33" s="51" t="str">
        <v>Virtual</v>
      </c>
      <c r="F33" s="51" t="str">
        <v>A distancia</v>
      </c>
      <c r="G33" s="51" t="n">
        <v>64</v>
      </c>
      <c r="H33" s="51" t="n">
        <v>29</v>
      </c>
      <c r="I33" s="51" t="n">
        <v>64</v>
      </c>
      <c r="J33" s="51" t="n">
        <v>29</v>
      </c>
      <c r="K33" s="51" t="n">
        <v>0</v>
      </c>
      <c r="L33" s="51" t="n">
        <v>0</v>
      </c>
    </row>
    <row r="34" customFormat="false" ht="15" hidden="true" customHeight="true" outlineLevel="0" collapsed="false">
      <c r="A34" s="5"/>
      <c r="B34" s="51" t="str">
        <v>I162S2C79J2V1</v>
      </c>
      <c r="C34" s="51" t="str">
        <v>Tecnico En Logistica</v>
      </c>
      <c r="D34" s="51" t="str">
        <v>Administración y Comercio</v>
      </c>
      <c r="E34" s="51" t="str">
        <v>Vespertino</v>
      </c>
      <c r="F34" s="51" t="str">
        <v>Presencial</v>
      </c>
      <c r="G34" s="51" t="n">
        <v>17</v>
      </c>
      <c r="H34" s="51" t="n">
        <v>6</v>
      </c>
      <c r="I34" s="51" t="n">
        <v>17</v>
      </c>
      <c r="J34" s="51" t="n">
        <v>6</v>
      </c>
      <c r="K34" s="51" t="n">
        <v>0</v>
      </c>
      <c r="L34" s="51" t="n">
        <v>0</v>
      </c>
    </row>
    <row r="35" customFormat="false" ht="15" hidden="true" customHeight="true" outlineLevel="0" collapsed="false">
      <c r="A35" s="5"/>
      <c r="B35" s="51" t="str">
        <v>I162S2C79J4V1</v>
      </c>
      <c r="C35" s="51" t="str">
        <v>Tecnico En Logistica</v>
      </c>
      <c r="D35" s="51" t="str">
        <v>Administración y Comercio</v>
      </c>
      <c r="E35" s="51" t="str">
        <v>Virtual</v>
      </c>
      <c r="F35" s="51" t="str">
        <v>A distancia</v>
      </c>
      <c r="G35" s="51" t="n">
        <v>65</v>
      </c>
      <c r="H35" s="51" t="n">
        <v>41</v>
      </c>
      <c r="I35" s="51" t="n">
        <v>65</v>
      </c>
      <c r="J35" s="51" t="n">
        <v>41</v>
      </c>
      <c r="K35" s="51" t="n">
        <v>0</v>
      </c>
      <c r="L35" s="51" t="n">
        <v>0</v>
      </c>
    </row>
    <row r="36" customFormat="false" ht="15" hidden="true" customHeight="true" outlineLevel="0" collapsed="false">
      <c r="A36" s="5"/>
      <c r="B36" s="51" t="str">
        <v>I162S2C83J4V1</v>
      </c>
      <c r="C36" s="51" t="str">
        <v>Administracion Publica</v>
      </c>
      <c r="D36" s="51" t="str">
        <v>Administración y Comercio</v>
      </c>
      <c r="E36" s="51" t="str">
        <v>Virtual</v>
      </c>
      <c r="F36" s="51" t="str">
        <v>A distancia</v>
      </c>
      <c r="G36" s="51" t="n">
        <v>70</v>
      </c>
      <c r="H36" s="51" t="n">
        <v>33</v>
      </c>
      <c r="I36" s="51" t="n">
        <v>70</v>
      </c>
      <c r="J36" s="51" t="n">
        <v>33</v>
      </c>
      <c r="K36" s="51" t="n">
        <v>0</v>
      </c>
      <c r="L36" s="51" t="n">
        <v>0</v>
      </c>
    </row>
    <row r="37" customFormat="false" ht="15" hidden="true" customHeight="true" outlineLevel="0" collapsed="false">
      <c r="A37" s="5"/>
      <c r="B37" s="51" t="str">
        <v>I162S2C84J4V1</v>
      </c>
      <c r="C37" s="51" t="str">
        <v>Tecnico En Administracion Publica</v>
      </c>
      <c r="D37" s="51" t="str">
        <v>Administración y Comercio</v>
      </c>
      <c r="E37" s="51" t="str">
        <v>Virtual</v>
      </c>
      <c r="F37" s="51" t="str">
        <v>A distancia</v>
      </c>
      <c r="G37" s="51" t="n">
        <v>22</v>
      </c>
      <c r="H37" s="51" t="n">
        <v>11</v>
      </c>
      <c r="I37" s="51" t="n">
        <v>22</v>
      </c>
      <c r="J37" s="51" t="n">
        <v>11</v>
      </c>
      <c r="K37" s="51" t="n">
        <v>0</v>
      </c>
      <c r="L37" s="51" t="n">
        <v>0</v>
      </c>
    </row>
    <row r="38" customFormat="false" ht="15" hidden="true" customHeight="true" outlineLevel="0" collapsed="false">
      <c r="A38" s="5"/>
      <c r="B38" s="51" t="str">
        <v>I162S2C85J4V1</v>
      </c>
      <c r="C38" s="51" t="str">
        <v>Contabilidad General</v>
      </c>
      <c r="D38" s="51" t="str">
        <v>Administración y Comercio</v>
      </c>
      <c r="E38" s="51" t="str">
        <v>Virtual</v>
      </c>
      <c r="F38" s="51" t="str">
        <v>A distancia</v>
      </c>
      <c r="G38" s="51" t="n">
        <v>38</v>
      </c>
      <c r="H38" s="51" t="n">
        <v>19</v>
      </c>
      <c r="I38" s="51" t="n">
        <v>38</v>
      </c>
      <c r="J38" s="51" t="n">
        <v>19</v>
      </c>
      <c r="K38" s="51" t="n">
        <v>0</v>
      </c>
      <c r="L38" s="51" t="n">
        <v>0</v>
      </c>
    </row>
    <row r="39" customFormat="false" ht="15" hidden="false" customHeight="true" outlineLevel="0" collapsed="false">
      <c r="A39" s="5"/>
      <c r="B39" s="51" t="str">
        <v>I162S2C86J4V1</v>
      </c>
      <c r="C39" s="51" t="str">
        <v>Auditoria</v>
      </c>
      <c r="D39" s="51" t="str">
        <v>Administración y Comercio</v>
      </c>
      <c r="E39" s="51" t="str">
        <v>Virtual</v>
      </c>
      <c r="F39" s="51" t="str">
        <v>A distancia</v>
      </c>
      <c r="G39" s="51" t="n">
        <v>40</v>
      </c>
      <c r="H39" s="51" t="n">
        <v>27</v>
      </c>
      <c r="I39" s="51" t="n">
        <v>41</v>
      </c>
      <c r="J39" s="51" t="n">
        <v>28</v>
      </c>
      <c r="K39" s="51" t="n">
        <v>1</v>
      </c>
      <c r="L39" s="51" t="n">
        <v>1</v>
      </c>
    </row>
    <row r="40" customFormat="false" ht="15" hidden="true" customHeight="true" outlineLevel="0" collapsed="false">
      <c r="A40" s="5"/>
      <c r="B40" s="51" t="str">
        <v>I162S2C88J4V1</v>
      </c>
      <c r="C40" s="51" t="str">
        <v>Ingenieria En Ciencia De Datos</v>
      </c>
      <c r="D40" s="51" t="str">
        <v>Tecnologías</v>
      </c>
      <c r="E40" s="51" t="str">
        <v>Virtual</v>
      </c>
      <c r="F40" s="51" t="str">
        <v>A distancia</v>
      </c>
      <c r="G40" s="51" t="n">
        <v>40</v>
      </c>
      <c r="H40" s="51" t="n">
        <v>21</v>
      </c>
      <c r="I40" s="51" t="n">
        <v>42</v>
      </c>
      <c r="J40" s="51" t="n">
        <v>23</v>
      </c>
      <c r="K40" s="51" t="n">
        <v>2</v>
      </c>
      <c r="L40" s="51" t="n">
        <v>2</v>
      </c>
    </row>
    <row r="41" customFormat="false" ht="15" hidden="true" customHeight="true" outlineLevel="0" collapsed="false">
      <c r="A41" s="5"/>
      <c r="B41" s="51" t="str">
        <v>I162S2C89J4V1</v>
      </c>
      <c r="C41" s="51" t="str">
        <v>Tecnico En Ciencia De Datos</v>
      </c>
      <c r="D41" s="51" t="str">
        <v>Tecnologías</v>
      </c>
      <c r="E41" s="51" t="str">
        <v>Virtual</v>
      </c>
      <c r="F41" s="51" t="str">
        <v>A distancia</v>
      </c>
      <c r="G41" s="51" t="n">
        <v>23</v>
      </c>
      <c r="H41" s="51" t="n">
        <v>13</v>
      </c>
      <c r="I41" s="51" t="n">
        <v>23</v>
      </c>
      <c r="J41" s="51" t="n">
        <v>13</v>
      </c>
      <c r="K41" s="51" t="n">
        <v>0</v>
      </c>
      <c r="L41" s="51" t="n">
        <v>0</v>
      </c>
    </row>
    <row r="42" customFormat="false" ht="15" hidden="true" customHeight="true" outlineLevel="0" collapsed="false">
      <c r="A42" s="5"/>
      <c r="B42" s="51" t="str">
        <v>I162S2C91J1V1</v>
      </c>
      <c r="C42" s="51" t="str">
        <v>Tecnico En Enfermeria</v>
      </c>
      <c r="D42" s="51" t="str">
        <v>Salud</v>
      </c>
      <c r="E42" s="51" t="str">
        <v>Diurno</v>
      </c>
      <c r="F42" s="51" t="str">
        <v>Presencial</v>
      </c>
      <c r="G42" s="51" t="n">
        <v>34</v>
      </c>
      <c r="H42" s="51" t="n">
        <v>19</v>
      </c>
      <c r="I42" s="51" t="n">
        <v>34</v>
      </c>
      <c r="J42" s="51" t="n">
        <v>19</v>
      </c>
      <c r="K42" s="51" t="n">
        <v>0</v>
      </c>
      <c r="L42" s="51" t="n">
        <v>0</v>
      </c>
    </row>
    <row r="43" customFormat="false" ht="15" hidden="true" customHeight="true" outlineLevel="0" collapsed="false">
      <c r="A43" s="5"/>
      <c r="B43" s="1" t="str">
        <v>I162S2C91J2V1</v>
      </c>
      <c r="C43" s="1" t="str">
        <v>Tecnico En Enfermeria</v>
      </c>
      <c r="D43" s="1" t="str">
        <v>Salud</v>
      </c>
      <c r="E43" s="1" t="str">
        <v>Vespertino</v>
      </c>
      <c r="F43" s="1" t="str">
        <v>Presencial</v>
      </c>
      <c r="G43" s="1" t="n">
        <v>41</v>
      </c>
      <c r="H43" s="1" t="n">
        <v>16</v>
      </c>
      <c r="I43" s="1" t="n">
        <v>41</v>
      </c>
      <c r="J43" s="1" t="n">
        <v>16</v>
      </c>
      <c r="K43" s="1" t="n">
        <v>0</v>
      </c>
      <c r="L43" s="1" t="n">
        <v>0</v>
      </c>
    </row>
    <row r="44" customFormat="false" ht="15" hidden="false" customHeight="true" outlineLevel="0" collapsed="false">
      <c r="A44" s="5"/>
    </row>
    <row r="45" customFormat="false" ht="15" hidden="false" customHeight="true" outlineLevel="0" collapsed="false">
      <c r="A45" s="5"/>
      <c r="D45" s="60" t="inlineStr">
        <is>
          <t xml:space="preserve">TOTAL 2025 (suma de los 36 códigos)</t>
        </is>
      </c>
      <c r="G45" s="60" t="n">
        <v>1150</v>
      </c>
      <c r="H45" s="60" t="n">
        <v>668</v>
      </c>
      <c r="I45" s="60" t="n">
        <v>1163</v>
      </c>
      <c r="J45" s="60" t="n">
        <v>677</v>
      </c>
      <c r="K45" s="60" t="n">
        <v>13</v>
      </c>
      <c r="L45" s="60" t="n">
        <v>9</v>
      </c>
    </row>
    <row r="46" customFormat="false" ht="15" hidden="false" customHeight="true" outlineLevel="0" collapsed="false">
      <c r="A46" s="5"/>
      <c r="D46" s="70" t="inlineStr">
        <is>
          <t xml:space="preserve">Tasa de retención resultante</t>
        </is>
      </c>
      <c r="G46" s="71" t="n">
        <v>0.580869565217391</v>
      </c>
      <c r="I46" s="71" t="n">
        <v>0.582115219260533</v>
      </c>
    </row>
    <row r="47" customFormat="false" ht="15" hidden="false" customHeight="true" outlineLevel="0" collapsed="false">
      <c r="A47" s="5"/>
    </row>
    <row r="48" customFormat="false" ht="15" hidden="false" customHeight="true" outlineLevel="0" collapsed="false">
      <c r="A48" s="5"/>
    </row>
    <row r="49" customFormat="false" ht="15" hidden="false" customHeight="true" outlineLevel="0" collapsed="false">
      <c r="A49" s="5"/>
      <c r="B49" s="68" t="inlineStr">
        <is>
          <t xml:space="preserve">B. Retención interna por código único — todas las cohortes (2022-2025)</t>
        </is>
      </c>
      <c r="C49" s="68"/>
      <c r="D49" s="68"/>
    </row>
    <row r="50" customFormat="false" ht="30" hidden="false" customHeight="true" outlineLevel="0" collapsed="false">
      <c r="A50" s="5"/>
      <c r="B50" s="69" t="inlineStr">
        <is>
          <t xml:space="preserve">Cohorte</t>
        </is>
      </c>
      <c r="C50" s="69" t="inlineStr">
        <is>
          <t xml:space="preserve">Código único</t>
        </is>
      </c>
      <c r="D50" s="69" t="inlineStr">
        <is>
          <t xml:space="preserve">Carrera</t>
        </is>
      </c>
      <c r="E50" s="69" t="inlineStr">
        <is>
          <t xml:space="preserve">Sector</t>
        </is>
      </c>
      <c r="F50" s="69" t="inlineStr">
        <is>
          <t xml:space="preserve">Jornada</t>
        </is>
      </c>
      <c r="G50" s="69" t="inlineStr">
        <is>
          <t xml:space="preserve">Modalidad</t>
        </is>
      </c>
      <c r="H50" s="69" t="inlineStr">
        <is>
          <t xml:space="preserve">Estudiantes</t>
        </is>
      </c>
      <c r="I50" s="69" t="inlineStr">
        <is>
          <t xml:space="preserve">Retenidos</t>
        </is>
      </c>
      <c r="J50" s="69" t="inlineStr">
        <is>
          <t xml:space="preserve">Tasa
retención</t>
        </is>
      </c>
    </row>
    <row r="51" customFormat="false" ht="15" hidden="false" customHeight="true" outlineLevel="0" collapsed="false">
      <c r="A51" s="5"/>
      <c r="B51" s="51" t="n">
        <v>2022</v>
      </c>
      <c r="C51" s="51" t="inlineStr">
        <is>
          <t xml:space="preserve">I162S2C46J1V1</t>
        </is>
      </c>
      <c r="D51" s="51" t="str">
        <v>Ingenieria En Ciberseguridad</v>
      </c>
      <c r="E51" s="51" t="str">
        <v>Tecnologías</v>
      </c>
      <c r="F51" s="51" t="str">
        <v>Diurno</v>
      </c>
      <c r="G51" s="51" t="str">
        <v>Presencial</v>
      </c>
      <c r="H51" s="51" t="n">
        <v>5</v>
      </c>
      <c r="I51" s="51" t="n">
        <v>5</v>
      </c>
      <c r="J51" s="72" t="n">
        <v>1</v>
      </c>
    </row>
    <row r="52" customFormat="false" ht="15" hidden="false" customHeight="true" outlineLevel="0" collapsed="false">
      <c r="A52" s="5"/>
      <c r="B52" s="51" t="n">
        <v>2022</v>
      </c>
      <c r="C52" s="51" t="inlineStr">
        <is>
          <t xml:space="preserve">I162S2C46J2V1</t>
        </is>
      </c>
      <c r="D52" s="51" t="str">
        <v>Ingenieria En Ciberseguridad</v>
      </c>
      <c r="E52" s="51" t="str">
        <v>Tecnologías</v>
      </c>
      <c r="F52" s="51" t="str">
        <v>Vespertino</v>
      </c>
      <c r="G52" s="51" t="str">
        <v>Presencial</v>
      </c>
      <c r="H52" s="51" t="n">
        <v>10</v>
      </c>
      <c r="I52" s="51" t="n">
        <v>9</v>
      </c>
      <c r="J52" s="72" t="n">
        <v>0.9</v>
      </c>
    </row>
    <row r="53" customFormat="false" ht="15" hidden="false" customHeight="true" outlineLevel="0" collapsed="false">
      <c r="A53" s="5"/>
      <c r="B53" s="51" t="n">
        <v>2022</v>
      </c>
      <c r="C53" s="51" t="inlineStr">
        <is>
          <t xml:space="preserve">I162S2C46J4V3</t>
        </is>
      </c>
      <c r="D53" s="51" t="str">
        <v>Ingenieria En Ciberseguridad</v>
      </c>
      <c r="E53" s="51" t="str">
        <v>Tecnologías</v>
      </c>
      <c r="F53" s="51" t="str">
        <v>Virtual</v>
      </c>
      <c r="G53" s="51" t="str">
        <v>A distancia</v>
      </c>
      <c r="H53" s="51" t="n">
        <v>29</v>
      </c>
      <c r="I53" s="51" t="n">
        <v>24</v>
      </c>
      <c r="J53" s="72" t="n">
        <v>0.827586206896552</v>
      </c>
    </row>
    <row r="54" customFormat="false" ht="15" hidden="false" customHeight="true" outlineLevel="0" collapsed="false">
      <c r="A54" s="5"/>
      <c r="B54" s="51" t="n">
        <v>2022</v>
      </c>
      <c r="C54" s="51" t="inlineStr">
        <is>
          <t xml:space="preserve">I162S2C3J2V4</t>
        </is>
      </c>
      <c r="D54" s="51" t="str">
        <v>Ingenieria En Conectividad Y Redes</v>
      </c>
      <c r="E54" s="51" t="str">
        <v>Tecnologías</v>
      </c>
      <c r="F54" s="51" t="str">
        <v>Vespertino</v>
      </c>
      <c r="G54" s="51" t="str">
        <v>Presencial</v>
      </c>
      <c r="H54" s="51" t="n">
        <v>10</v>
      </c>
      <c r="I54" s="51" t="n">
        <v>9</v>
      </c>
      <c r="J54" s="72" t="n">
        <v>0.9</v>
      </c>
    </row>
    <row r="55" customFormat="false" ht="15" hidden="false" customHeight="true" outlineLevel="0" collapsed="false">
      <c r="A55" s="5"/>
      <c r="B55" s="51" t="n">
        <v>2022</v>
      </c>
      <c r="C55" s="51" t="inlineStr">
        <is>
          <t xml:space="preserve">I162S2C3J4V2</t>
        </is>
      </c>
      <c r="D55" s="51" t="str">
        <v>Ingenieria En Conectividad Y Redes</v>
      </c>
      <c r="E55" s="51" t="str">
        <v>Tecnologías</v>
      </c>
      <c r="F55" s="51" t="str">
        <v>Virtual</v>
      </c>
      <c r="G55" s="51" t="str">
        <v>A distancia</v>
      </c>
      <c r="H55" s="51" t="n">
        <v>60</v>
      </c>
      <c r="I55" s="51" t="n">
        <v>47</v>
      </c>
      <c r="J55" s="72" t="n">
        <v>0.783333333333333</v>
      </c>
    </row>
    <row r="56" customFormat="false" ht="15" hidden="false" customHeight="true" outlineLevel="0" collapsed="false">
      <c r="A56" s="5"/>
      <c r="B56" s="51" t="n">
        <v>2022</v>
      </c>
      <c r="C56" s="51" t="inlineStr">
        <is>
          <t xml:space="preserve">I162S2C1J1V2</t>
        </is>
      </c>
      <c r="D56" s="51" t="str">
        <v>Ingenieria En Informatica</v>
      </c>
      <c r="E56" s="51" t="str">
        <v>Tecnologías</v>
      </c>
      <c r="F56" s="51" t="str">
        <v>Diurno</v>
      </c>
      <c r="G56" s="51" t="str">
        <v>Presencial</v>
      </c>
      <c r="H56" s="51" t="n">
        <v>5</v>
      </c>
      <c r="I56" s="51" t="n">
        <v>3</v>
      </c>
      <c r="J56" s="72" t="n">
        <v>0.6</v>
      </c>
    </row>
    <row r="57" customFormat="false" ht="15" hidden="false" customHeight="true" outlineLevel="0" collapsed="false">
      <c r="A57" s="5"/>
      <c r="B57" s="51" t="n">
        <v>2022</v>
      </c>
      <c r="C57" s="51" t="inlineStr">
        <is>
          <t xml:space="preserve">I162S2C1J2V4</t>
        </is>
      </c>
      <c r="D57" s="51" t="str">
        <v>Ingenieria En Informatica</v>
      </c>
      <c r="E57" s="51" t="str">
        <v>Tecnologías</v>
      </c>
      <c r="F57" s="51" t="str">
        <v>Vespertino</v>
      </c>
      <c r="G57" s="51" t="str">
        <v>Presencial</v>
      </c>
      <c r="H57" s="51" t="n">
        <v>8</v>
      </c>
      <c r="I57" s="51" t="n">
        <v>4</v>
      </c>
      <c r="J57" s="72" t="n">
        <v>0.5</v>
      </c>
    </row>
    <row r="58" customFormat="false" ht="15" hidden="false" customHeight="true" outlineLevel="0" collapsed="false">
      <c r="A58" s="5"/>
      <c r="B58" s="51" t="n">
        <v>2022</v>
      </c>
      <c r="C58" s="51" t="inlineStr">
        <is>
          <t xml:space="preserve">I162S2C1J4V2</t>
        </is>
      </c>
      <c r="D58" s="51" t="str">
        <v>Ingenieria En Informatica</v>
      </c>
      <c r="E58" s="51" t="str">
        <v>Tecnologías</v>
      </c>
      <c r="F58" s="51" t="str">
        <v>Virtual</v>
      </c>
      <c r="G58" s="51" t="str">
        <v>A distancia</v>
      </c>
      <c r="H58" s="51" t="n">
        <v>31</v>
      </c>
      <c r="I58" s="51" t="n">
        <v>23</v>
      </c>
      <c r="J58" s="72" t="n">
        <v>0.741935483870968</v>
      </c>
    </row>
    <row r="59" customFormat="false" ht="15" hidden="false" customHeight="true" outlineLevel="0" collapsed="false">
      <c r="A59" s="5"/>
      <c r="B59" s="51" t="n">
        <v>2022</v>
      </c>
      <c r="C59" s="51" t="inlineStr">
        <is>
          <t xml:space="preserve">I162S2C47J1V1</t>
        </is>
      </c>
      <c r="D59" s="51" t="str">
        <v>Tecnico En Ciberseguridad</v>
      </c>
      <c r="E59" s="51" t="str">
        <v>Tecnologías</v>
      </c>
      <c r="F59" s="51" t="str">
        <v>Diurno</v>
      </c>
      <c r="G59" s="51" t="str">
        <v>Presencial</v>
      </c>
      <c r="H59" s="51" t="n">
        <v>8</v>
      </c>
      <c r="I59" s="51" t="n">
        <v>7</v>
      </c>
      <c r="J59" s="72" t="n">
        <v>0.875</v>
      </c>
    </row>
    <row r="60" customFormat="false" ht="15" hidden="false" customHeight="true" outlineLevel="0" collapsed="false">
      <c r="A60" s="5"/>
      <c r="B60" s="51" t="n">
        <v>2022</v>
      </c>
      <c r="C60" s="51" t="inlineStr">
        <is>
          <t xml:space="preserve">I162S2C47J2V1</t>
        </is>
      </c>
      <c r="D60" s="51" t="str">
        <v>Tecnico En Ciberseguridad</v>
      </c>
      <c r="E60" s="51" t="str">
        <v>Tecnologías</v>
      </c>
      <c r="F60" s="51" t="str">
        <v>Vespertino</v>
      </c>
      <c r="G60" s="51" t="str">
        <v>Presencial</v>
      </c>
      <c r="H60" s="51" t="n">
        <v>8</v>
      </c>
      <c r="I60" s="51" t="n">
        <v>6</v>
      </c>
      <c r="J60" s="72" t="n">
        <v>0.75</v>
      </c>
    </row>
    <row r="61" customFormat="false" ht="15" hidden="false" customHeight="true" outlineLevel="0" collapsed="false">
      <c r="A61" s="5"/>
      <c r="B61" s="51" t="n">
        <v>2022</v>
      </c>
      <c r="C61" s="51" t="inlineStr">
        <is>
          <t xml:space="preserve">I162S2C47J4V1</t>
        </is>
      </c>
      <c r="D61" s="51" t="str">
        <v>Tecnico En Ciberseguridad</v>
      </c>
      <c r="E61" s="51" t="str">
        <v>Tecnologías</v>
      </c>
      <c r="F61" s="51" t="str">
        <v>Virtual</v>
      </c>
      <c r="G61" s="51" t="str">
        <v>A distancia</v>
      </c>
      <c r="H61" s="51" t="n">
        <v>16</v>
      </c>
      <c r="I61" s="51" t="n">
        <v>11</v>
      </c>
      <c r="J61" s="72" t="n">
        <v>0.6875</v>
      </c>
    </row>
    <row r="62" customFormat="false" ht="15" hidden="false" customHeight="true" outlineLevel="0" collapsed="false">
      <c r="A62" s="5"/>
      <c r="B62" s="51" t="n">
        <v>2022</v>
      </c>
      <c r="C62" s="51" t="inlineStr">
        <is>
          <t xml:space="preserve">I162S2C6J1V1</t>
        </is>
      </c>
      <c r="D62" s="51" t="str">
        <v>Tecnico En Conectividad Y Redes</v>
      </c>
      <c r="E62" s="51" t="str">
        <v>Tecnologías</v>
      </c>
      <c r="F62" s="51" t="str">
        <v>Diurno</v>
      </c>
      <c r="G62" s="51" t="str">
        <v>Presencial</v>
      </c>
      <c r="H62" s="51" t="n">
        <v>2</v>
      </c>
      <c r="I62" s="51" t="n">
        <v>2</v>
      </c>
      <c r="J62" s="72" t="n">
        <v>1</v>
      </c>
    </row>
    <row r="63" customFormat="false" ht="15" hidden="false" customHeight="true" outlineLevel="0" collapsed="false">
      <c r="A63" s="5"/>
      <c r="B63" s="51" t="n">
        <v>2022</v>
      </c>
      <c r="C63" s="51" t="inlineStr">
        <is>
          <t xml:space="preserve">I162S2C6J2V1</t>
        </is>
      </c>
      <c r="D63" s="51" t="str">
        <v>Tecnico En Conectividad Y Redes</v>
      </c>
      <c r="E63" s="51" t="str">
        <v>Tecnologías</v>
      </c>
      <c r="F63" s="51" t="str">
        <v>Vespertino</v>
      </c>
      <c r="G63" s="51" t="str">
        <v>Presencial</v>
      </c>
      <c r="H63" s="51" t="n">
        <v>3</v>
      </c>
      <c r="I63" s="51" t="n">
        <v>2</v>
      </c>
      <c r="J63" s="72" t="n">
        <v>0.666666666666667</v>
      </c>
    </row>
    <row r="64" customFormat="false" ht="15" hidden="false" customHeight="true" outlineLevel="0" collapsed="false">
      <c r="A64" s="5"/>
      <c r="B64" s="51" t="n">
        <v>2022</v>
      </c>
      <c r="C64" s="51" t="inlineStr">
        <is>
          <t xml:space="preserve">I162S2C6J4V2</t>
        </is>
      </c>
      <c r="D64" s="51" t="str">
        <v>Tecnico En Conectividad Y Redes</v>
      </c>
      <c r="E64" s="51" t="str">
        <v>Tecnologías</v>
      </c>
      <c r="F64" s="51" t="str">
        <v>Virtual</v>
      </c>
      <c r="G64" s="51" t="str">
        <v>A distancia</v>
      </c>
      <c r="H64" s="51" t="n">
        <v>28</v>
      </c>
      <c r="I64" s="51" t="n">
        <v>17</v>
      </c>
      <c r="J64" s="72" t="n">
        <v>0.607142857142857</v>
      </c>
    </row>
    <row r="65" customFormat="false" ht="15" hidden="false" customHeight="true" outlineLevel="0" collapsed="false">
      <c r="A65" s="5"/>
      <c r="B65" s="51" t="n">
        <v>2022</v>
      </c>
      <c r="C65" s="51" t="inlineStr">
        <is>
          <t xml:space="preserve">I162S2C57J1V1</t>
        </is>
      </c>
      <c r="D65" s="51" t="str">
        <v>Tecnico En Programacion Y Analisis De Sistemas</v>
      </c>
      <c r="E65" s="51" t="str">
        <v>Tecnologías</v>
      </c>
      <c r="F65" s="51" t="str">
        <v>Diurno</v>
      </c>
      <c r="G65" s="51" t="str">
        <v>Presencial</v>
      </c>
      <c r="H65" s="51" t="n">
        <v>16</v>
      </c>
      <c r="I65" s="51" t="n">
        <v>10</v>
      </c>
      <c r="J65" s="72" t="n">
        <v>0.625</v>
      </c>
    </row>
    <row r="66" customFormat="false" ht="15" hidden="false" customHeight="true" outlineLevel="0" collapsed="false">
      <c r="A66" s="5"/>
      <c r="B66" s="51" t="n">
        <v>2022</v>
      </c>
      <c r="C66" s="51" t="inlineStr">
        <is>
          <t xml:space="preserve">I162S2C57J2V1</t>
        </is>
      </c>
      <c r="D66" s="51" t="str">
        <v>Tecnico En Programacion Y Analisis De Sistemas</v>
      </c>
      <c r="E66" s="51" t="str">
        <v>Tecnologías</v>
      </c>
      <c r="F66" s="51" t="str">
        <v>Vespertino</v>
      </c>
      <c r="G66" s="51" t="str">
        <v>Presencial</v>
      </c>
      <c r="H66" s="51" t="n">
        <v>8</v>
      </c>
      <c r="I66" s="51" t="n">
        <v>6</v>
      </c>
      <c r="J66" s="72" t="n">
        <v>0.75</v>
      </c>
    </row>
    <row r="67" customFormat="false" ht="15" hidden="false" customHeight="true" outlineLevel="0" collapsed="false">
      <c r="A67" s="5"/>
      <c r="B67" s="51" t="n">
        <v>2022</v>
      </c>
      <c r="C67" s="51" t="inlineStr">
        <is>
          <t xml:space="preserve">I162S2C57J4V1</t>
        </is>
      </c>
      <c r="D67" s="51" t="str">
        <v>Tecnico En Programacion Y Analisis De Sistemas</v>
      </c>
      <c r="E67" s="51" t="str">
        <v>Tecnologías</v>
      </c>
      <c r="F67" s="51" t="str">
        <v>Virtual</v>
      </c>
      <c r="G67" s="51" t="str">
        <v>A distancia</v>
      </c>
      <c r="H67" s="51" t="n">
        <v>58</v>
      </c>
      <c r="I67" s="51" t="n">
        <v>39</v>
      </c>
      <c r="J67" s="72" t="n">
        <v>0.672413793103448</v>
      </c>
    </row>
    <row r="68" customFormat="false" ht="15" hidden="false" customHeight="true" outlineLevel="0" collapsed="false">
      <c r="A68" s="5"/>
      <c r="B68" s="51" t="n">
        <v>2023</v>
      </c>
      <c r="C68" s="51" t="inlineStr">
        <is>
          <t xml:space="preserve">I162S2C46J2V1</t>
        </is>
      </c>
      <c r="D68" s="51" t="str">
        <v>Ingenieria En Ciberseguridad</v>
      </c>
      <c r="E68" s="51" t="str">
        <v>Tecnologías</v>
      </c>
      <c r="F68" s="51" t="str">
        <v>Vespertino</v>
      </c>
      <c r="G68" s="51" t="str">
        <v>Presencial</v>
      </c>
      <c r="H68" s="51" t="n">
        <v>13</v>
      </c>
      <c r="I68" s="51" t="n">
        <v>7</v>
      </c>
      <c r="J68" s="72" t="n">
        <v>0.538461538461538</v>
      </c>
    </row>
    <row r="69" customFormat="false" ht="15" hidden="false" customHeight="true" outlineLevel="0" collapsed="false">
      <c r="A69" s="5"/>
      <c r="B69" s="51" t="n">
        <v>2023</v>
      </c>
      <c r="C69" s="51" t="inlineStr">
        <is>
          <t xml:space="preserve">I162S2C46J4V3</t>
        </is>
      </c>
      <c r="D69" s="51" t="str">
        <v>Ingenieria En Ciberseguridad</v>
      </c>
      <c r="E69" s="51" t="str">
        <v>Tecnologías</v>
      </c>
      <c r="F69" s="51" t="str">
        <v>Virtual</v>
      </c>
      <c r="G69" s="51" t="str">
        <v>A distancia</v>
      </c>
      <c r="H69" s="51" t="n">
        <v>55</v>
      </c>
      <c r="I69" s="51" t="n">
        <v>39</v>
      </c>
      <c r="J69" s="72" t="n">
        <v>0.709090909090909</v>
      </c>
    </row>
    <row r="70" customFormat="false" ht="15" hidden="false" customHeight="true" outlineLevel="0" collapsed="false">
      <c r="A70" s="5"/>
      <c r="B70" s="51" t="n">
        <v>2023</v>
      </c>
      <c r="C70" s="51" t="inlineStr">
        <is>
          <t xml:space="preserve">I162S2C3J4V2</t>
        </is>
      </c>
      <c r="D70" s="51" t="str">
        <v>Ingenieria En Conectividad Y Redes</v>
      </c>
      <c r="E70" s="51" t="str">
        <v>Tecnologías</v>
      </c>
      <c r="F70" s="51" t="str">
        <v>Virtual</v>
      </c>
      <c r="G70" s="51" t="str">
        <v>A distancia</v>
      </c>
      <c r="H70" s="51" t="n">
        <v>36</v>
      </c>
      <c r="I70" s="51" t="n">
        <v>24</v>
      </c>
      <c r="J70" s="72" t="n">
        <v>0.666666666666667</v>
      </c>
    </row>
    <row r="71" customFormat="false" ht="15" hidden="false" customHeight="true" outlineLevel="0" collapsed="false">
      <c r="A71" s="5"/>
      <c r="B71" s="51" t="n">
        <v>2023</v>
      </c>
      <c r="C71" s="51" t="inlineStr">
        <is>
          <t xml:space="preserve">I162S2C1J2V4</t>
        </is>
      </c>
      <c r="D71" s="51" t="str">
        <v>Ingenieria En Informatica</v>
      </c>
      <c r="E71" s="51" t="str">
        <v>Tecnologías</v>
      </c>
      <c r="F71" s="51" t="str">
        <v>Vespertino</v>
      </c>
      <c r="G71" s="51" t="str">
        <v>Presencial</v>
      </c>
      <c r="H71" s="51" t="n">
        <v>11</v>
      </c>
      <c r="I71" s="51" t="n">
        <v>7</v>
      </c>
      <c r="J71" s="72" t="n">
        <v>0.636363636363636</v>
      </c>
    </row>
    <row r="72" customFormat="false" ht="15" hidden="false" customHeight="true" outlineLevel="0" collapsed="false">
      <c r="A72" s="5"/>
      <c r="B72" s="51" t="n">
        <v>2023</v>
      </c>
      <c r="C72" s="51" t="inlineStr">
        <is>
          <t xml:space="preserve">I162S2C1J4V2</t>
        </is>
      </c>
      <c r="D72" s="51" t="str">
        <v>Ingenieria En Informatica</v>
      </c>
      <c r="E72" s="51" t="str">
        <v>Tecnologías</v>
      </c>
      <c r="F72" s="51" t="str">
        <v>Virtual</v>
      </c>
      <c r="G72" s="51" t="str">
        <v>A distancia</v>
      </c>
      <c r="H72" s="51" t="n">
        <v>54</v>
      </c>
      <c r="I72" s="51" t="n">
        <v>33</v>
      </c>
      <c r="J72" s="72" t="n">
        <v>0.611111111111111</v>
      </c>
    </row>
    <row r="73" customFormat="false" ht="15" hidden="false" customHeight="true" outlineLevel="0" collapsed="false">
      <c r="A73" s="5"/>
      <c r="B73" s="51" t="n">
        <v>2023</v>
      </c>
      <c r="C73" s="51" t="inlineStr">
        <is>
          <t xml:space="preserve">I162S2C47J4V1</t>
        </is>
      </c>
      <c r="D73" s="51" t="str">
        <v>Tecnico En Ciberseguridad</v>
      </c>
      <c r="E73" s="51" t="str">
        <v>Tecnologías</v>
      </c>
      <c r="F73" s="51" t="str">
        <v>Virtual</v>
      </c>
      <c r="G73" s="51" t="str">
        <v>A distancia</v>
      </c>
      <c r="H73" s="51" t="n">
        <v>56</v>
      </c>
      <c r="I73" s="51" t="n">
        <v>42</v>
      </c>
      <c r="J73" s="72" t="n">
        <v>0.75</v>
      </c>
    </row>
    <row r="74" customFormat="false" ht="15" hidden="false" customHeight="true" outlineLevel="0" collapsed="false">
      <c r="A74" s="5"/>
      <c r="B74" s="51" t="n">
        <v>2023</v>
      </c>
      <c r="C74" s="51" t="inlineStr">
        <is>
          <t xml:space="preserve">I162S2C6J4V2</t>
        </is>
      </c>
      <c r="D74" s="51" t="str">
        <v>Tecnico En Conectividad Y Redes</v>
      </c>
      <c r="E74" s="51" t="str">
        <v>Tecnologías</v>
      </c>
      <c r="F74" s="51" t="str">
        <v>Virtual</v>
      </c>
      <c r="G74" s="51" t="str">
        <v>A distancia</v>
      </c>
      <c r="H74" s="51" t="n">
        <v>24</v>
      </c>
      <c r="I74" s="51" t="n">
        <v>17</v>
      </c>
      <c r="J74" s="72" t="n">
        <v>0.708333333333333</v>
      </c>
    </row>
    <row r="75" customFormat="false" ht="15" hidden="false" customHeight="true" outlineLevel="0" collapsed="false">
      <c r="A75" s="5"/>
      <c r="B75" s="51" t="n">
        <v>2023</v>
      </c>
      <c r="C75" s="51" t="inlineStr">
        <is>
          <t xml:space="preserve">I162S2C57J4V1</t>
        </is>
      </c>
      <c r="D75" s="51" t="str">
        <v>Tecnico En Programacion Y Analisis De Sistemas</v>
      </c>
      <c r="E75" s="51" t="str">
        <v>Tecnologías</v>
      </c>
      <c r="F75" s="51" t="str">
        <v>Virtual</v>
      </c>
      <c r="G75" s="51" t="str">
        <v>A distancia</v>
      </c>
      <c r="H75" s="51" t="n">
        <v>117</v>
      </c>
      <c r="I75" s="51" t="n">
        <v>89</v>
      </c>
      <c r="J75" s="72" t="n">
        <v>0.760683760683761</v>
      </c>
    </row>
    <row r="76" customFormat="false" ht="15" hidden="false" customHeight="true" outlineLevel="0" collapsed="false">
      <c r="A76" s="5"/>
      <c r="B76" s="51" t="n">
        <v>2024</v>
      </c>
      <c r="C76" s="51" t="inlineStr">
        <is>
          <t xml:space="preserve">I162S2C76J2V1</t>
        </is>
      </c>
      <c r="D76" s="51" t="str">
        <v>Ingenieria En Administracion De Empresas</v>
      </c>
      <c r="E76" s="51" t="str">
        <v>Administración y Comercio</v>
      </c>
      <c r="F76" s="51" t="str">
        <v>Vespertino</v>
      </c>
      <c r="G76" s="51" t="str">
        <v>Presencial</v>
      </c>
      <c r="H76" s="51" t="n">
        <v>1</v>
      </c>
      <c r="I76" s="51" t="n">
        <v>0</v>
      </c>
      <c r="J76" s="72" t="n">
        <v>0</v>
      </c>
    </row>
    <row r="77" customFormat="false" ht="15" hidden="false" customHeight="true" outlineLevel="0" collapsed="false">
      <c r="A77" s="5"/>
      <c r="B77" s="51" t="n">
        <v>2024</v>
      </c>
      <c r="C77" s="51" t="inlineStr">
        <is>
          <t xml:space="preserve">I162S2C76J4V1</t>
        </is>
      </c>
      <c r="D77" s="51" t="str">
        <v>Ingenieria En Administracion De Empresas</v>
      </c>
      <c r="E77" s="51" t="str">
        <v>Administración y Comercio</v>
      </c>
      <c r="F77" s="51" t="str">
        <v>Virtual</v>
      </c>
      <c r="G77" s="51" t="str">
        <v>A distancia</v>
      </c>
      <c r="H77" s="51" t="n">
        <v>7</v>
      </c>
      <c r="I77" s="51" t="n">
        <v>3</v>
      </c>
      <c r="J77" s="72" t="n">
        <v>0.428571428571429</v>
      </c>
    </row>
    <row r="78" customFormat="false" ht="15" hidden="false" customHeight="true" outlineLevel="0" collapsed="false">
      <c r="A78" s="5"/>
      <c r="B78" s="51" t="n">
        <v>2024</v>
      </c>
      <c r="C78" s="51" t="inlineStr">
        <is>
          <t xml:space="preserve">I162S2C77J2V1</t>
        </is>
      </c>
      <c r="D78" s="51" t="str">
        <v>Ingenieria En Logistica</v>
      </c>
      <c r="E78" s="51" t="str">
        <v>Administración y Comercio</v>
      </c>
      <c r="F78" s="51" t="str">
        <v>Vespertino</v>
      </c>
      <c r="G78" s="51" t="str">
        <v>Presencial</v>
      </c>
      <c r="H78" s="51" t="n">
        <v>6</v>
      </c>
      <c r="I78" s="51" t="n">
        <v>2</v>
      </c>
      <c r="J78" s="72" t="n">
        <v>0.333333333333333</v>
      </c>
    </row>
    <row r="79" customFormat="false" ht="15" hidden="false" customHeight="true" outlineLevel="0" collapsed="false">
      <c r="A79" s="5"/>
      <c r="B79" s="51" t="n">
        <v>2024</v>
      </c>
      <c r="C79" s="51" t="inlineStr">
        <is>
          <t xml:space="preserve">I162S2C77J4V1</t>
        </is>
      </c>
      <c r="D79" s="51" t="str">
        <v>Ingenieria En Logistica</v>
      </c>
      <c r="E79" s="51" t="str">
        <v>Administración y Comercio</v>
      </c>
      <c r="F79" s="51" t="str">
        <v>Virtual</v>
      </c>
      <c r="G79" s="51" t="str">
        <v>A distancia</v>
      </c>
      <c r="H79" s="51" t="n">
        <v>9</v>
      </c>
      <c r="I79" s="51" t="n">
        <v>5</v>
      </c>
      <c r="J79" s="72" t="n">
        <v>0.555555555555556</v>
      </c>
    </row>
    <row r="80" customFormat="false" ht="15" hidden="false" customHeight="true" outlineLevel="0" collapsed="false">
      <c r="A80" s="5"/>
      <c r="B80" s="51" t="n">
        <v>2024</v>
      </c>
      <c r="C80" s="51" t="inlineStr">
        <is>
          <t xml:space="preserve">I162S2C78J2V1</t>
        </is>
      </c>
      <c r="D80" s="51" t="str">
        <v>Tecnico En Administracion De Empresas</v>
      </c>
      <c r="E80" s="51" t="str">
        <v>Administración y Comercio</v>
      </c>
      <c r="F80" s="51" t="str">
        <v>Vespertino</v>
      </c>
      <c r="G80" s="51" t="str">
        <v>Presencial</v>
      </c>
      <c r="H80" s="51" t="n">
        <v>7</v>
      </c>
      <c r="I80" s="51" t="n">
        <v>2</v>
      </c>
      <c r="J80" s="72" t="n">
        <v>0.285714285714286</v>
      </c>
    </row>
    <row r="81" customFormat="false" ht="15" hidden="false" customHeight="true" outlineLevel="0" collapsed="false">
      <c r="A81" s="5"/>
      <c r="B81" s="51" t="n">
        <v>2024</v>
      </c>
      <c r="C81" s="51" t="inlineStr">
        <is>
          <t xml:space="preserve">I162S2C78J4V1</t>
        </is>
      </c>
      <c r="D81" s="51" t="str">
        <v>Tecnico En Administracion De Empresas</v>
      </c>
      <c r="E81" s="51" t="str">
        <v>Administración y Comercio</v>
      </c>
      <c r="F81" s="51" t="str">
        <v>Virtual</v>
      </c>
      <c r="G81" s="51" t="str">
        <v>A distancia</v>
      </c>
      <c r="H81" s="51" t="n">
        <v>8</v>
      </c>
      <c r="I81" s="51" t="n">
        <v>5</v>
      </c>
      <c r="J81" s="72" t="n">
        <v>0.625</v>
      </c>
    </row>
    <row r="82" customFormat="false" ht="15" hidden="false" customHeight="true" outlineLevel="0" collapsed="false">
      <c r="A82" s="5"/>
      <c r="B82" s="51" t="n">
        <v>2024</v>
      </c>
      <c r="C82" s="51" t="inlineStr">
        <is>
          <t xml:space="preserve">I162S2C79J2V1</t>
        </is>
      </c>
      <c r="D82" s="51" t="str">
        <v>Tecnico En Logistica</v>
      </c>
      <c r="E82" s="51" t="str">
        <v>Administración y Comercio</v>
      </c>
      <c r="F82" s="51" t="str">
        <v>Vespertino</v>
      </c>
      <c r="G82" s="51" t="str">
        <v>Presencial</v>
      </c>
      <c r="H82" s="51" t="n">
        <v>8</v>
      </c>
      <c r="I82" s="51" t="n">
        <v>3</v>
      </c>
      <c r="J82" s="72" t="n">
        <v>0.375</v>
      </c>
    </row>
    <row r="83" customFormat="false" ht="15" hidden="false" customHeight="true" outlineLevel="0" collapsed="false">
      <c r="A83" s="5"/>
      <c r="B83" s="51" t="n">
        <v>2024</v>
      </c>
      <c r="C83" s="51" t="inlineStr">
        <is>
          <t xml:space="preserve">I162S2C79J4V1</t>
        </is>
      </c>
      <c r="D83" s="51" t="str">
        <v>Tecnico En Logistica</v>
      </c>
      <c r="E83" s="51" t="str">
        <v>Administración y Comercio</v>
      </c>
      <c r="F83" s="51" t="str">
        <v>Virtual</v>
      </c>
      <c r="G83" s="51" t="str">
        <v>A distancia</v>
      </c>
      <c r="H83" s="51" t="n">
        <v>15</v>
      </c>
      <c r="I83" s="51" t="n">
        <v>7</v>
      </c>
      <c r="J83" s="72" t="n">
        <v>0.466666666666667</v>
      </c>
    </row>
    <row r="84" customFormat="false" ht="15" hidden="false" customHeight="true" outlineLevel="0" collapsed="false">
      <c r="A84" s="5"/>
      <c r="B84" s="51" t="n">
        <v>2024</v>
      </c>
      <c r="C84" s="51" t="inlineStr">
        <is>
          <t xml:space="preserve">I162S2C46J1V1</t>
        </is>
      </c>
      <c r="D84" s="51" t="str">
        <v>Ingenieria En Ciberseguridad</v>
      </c>
      <c r="E84" s="51" t="str">
        <v>Tecnologías</v>
      </c>
      <c r="F84" s="51" t="str">
        <v>Diurno</v>
      </c>
      <c r="G84" s="51" t="str">
        <v>Presencial</v>
      </c>
      <c r="H84" s="51" t="n">
        <v>21</v>
      </c>
      <c r="I84" s="51" t="n">
        <v>14</v>
      </c>
      <c r="J84" s="72" t="n">
        <v>0.666666666666667</v>
      </c>
    </row>
    <row r="85" customFormat="false" ht="15" hidden="false" customHeight="true" outlineLevel="0" collapsed="false">
      <c r="A85" s="5"/>
      <c r="B85" s="51" t="n">
        <v>2024</v>
      </c>
      <c r="C85" s="51" t="inlineStr">
        <is>
          <t xml:space="preserve">I162S2C46J2V1</t>
        </is>
      </c>
      <c r="D85" s="51" t="str">
        <v>Ingenieria En Ciberseguridad</v>
      </c>
      <c r="E85" s="51" t="str">
        <v>Tecnologías</v>
      </c>
      <c r="F85" s="51" t="str">
        <v>Vespertino</v>
      </c>
      <c r="G85" s="51" t="str">
        <v>Presencial</v>
      </c>
      <c r="H85" s="51" t="n">
        <v>14</v>
      </c>
      <c r="I85" s="51" t="n">
        <v>9</v>
      </c>
      <c r="J85" s="72" t="n">
        <v>0.642857142857143</v>
      </c>
    </row>
    <row r="86" customFormat="false" ht="15" hidden="false" customHeight="true" outlineLevel="0" collapsed="false">
      <c r="A86" s="5"/>
      <c r="B86" s="51" t="n">
        <v>2024</v>
      </c>
      <c r="C86" s="51" t="inlineStr">
        <is>
          <t xml:space="preserve">I162S2C46J4V3</t>
        </is>
      </c>
      <c r="D86" s="51" t="str">
        <v>Ingenieria En Ciberseguridad</v>
      </c>
      <c r="E86" s="51" t="str">
        <v>Tecnologías</v>
      </c>
      <c r="F86" s="51" t="str">
        <v>Virtual</v>
      </c>
      <c r="G86" s="51" t="str">
        <v>A distancia</v>
      </c>
      <c r="H86" s="51" t="n">
        <v>54</v>
      </c>
      <c r="I86" s="51" t="n">
        <v>26</v>
      </c>
      <c r="J86" s="72" t="n">
        <v>0.481481481481481</v>
      </c>
    </row>
    <row r="87" customFormat="false" ht="15" hidden="false" customHeight="true" outlineLevel="0" collapsed="false">
      <c r="A87" s="5"/>
      <c r="B87" s="51" t="n">
        <v>2024</v>
      </c>
      <c r="C87" s="51" t="inlineStr">
        <is>
          <t xml:space="preserve">I162S2C3J2V4</t>
        </is>
      </c>
      <c r="D87" s="51" t="str">
        <v>Ingenieria En Conectividad Y Redes</v>
      </c>
      <c r="E87" s="51" t="str">
        <v>Tecnologías</v>
      </c>
      <c r="F87" s="51" t="str">
        <v>Vespertino</v>
      </c>
      <c r="G87" s="51" t="str">
        <v>Presencial</v>
      </c>
      <c r="H87" s="51" t="n">
        <v>6</v>
      </c>
      <c r="I87" s="51" t="n">
        <v>4</v>
      </c>
      <c r="J87" s="72" t="n">
        <v>0.666666666666667</v>
      </c>
    </row>
    <row r="88" customFormat="false" ht="15" hidden="false" customHeight="true" outlineLevel="0" collapsed="false">
      <c r="A88" s="5"/>
      <c r="B88" s="51" t="n">
        <v>2024</v>
      </c>
      <c r="C88" s="51" t="inlineStr">
        <is>
          <t xml:space="preserve">I162S2C3J4V2</t>
        </is>
      </c>
      <c r="D88" s="51" t="str">
        <v>Ingenieria En Conectividad Y Redes</v>
      </c>
      <c r="E88" s="51" t="str">
        <v>Tecnologías</v>
      </c>
      <c r="F88" s="51" t="str">
        <v>Virtual</v>
      </c>
      <c r="G88" s="51" t="str">
        <v>A distancia</v>
      </c>
      <c r="H88" s="51" t="n">
        <v>62</v>
      </c>
      <c r="I88" s="51" t="n">
        <v>42</v>
      </c>
      <c r="J88" s="72" t="n">
        <v>0.67741935483871</v>
      </c>
    </row>
    <row r="89" customFormat="false" ht="15" hidden="false" customHeight="true" outlineLevel="0" collapsed="false">
      <c r="A89" s="5"/>
      <c r="B89" s="51" t="n">
        <v>2024</v>
      </c>
      <c r="C89" s="51" t="inlineStr">
        <is>
          <t xml:space="preserve">I162S2C1J1V2</t>
        </is>
      </c>
      <c r="D89" s="51" t="str">
        <v>Ingenieria En Informatica</v>
      </c>
      <c r="E89" s="51" t="str">
        <v>Tecnologías</v>
      </c>
      <c r="F89" s="51" t="str">
        <v>Diurno</v>
      </c>
      <c r="G89" s="51" t="str">
        <v>Presencial</v>
      </c>
      <c r="H89" s="51" t="n">
        <v>15</v>
      </c>
      <c r="I89" s="51" t="n">
        <v>12</v>
      </c>
      <c r="J89" s="72" t="n">
        <v>0.8</v>
      </c>
    </row>
    <row r="90" customFormat="false" ht="15" hidden="false" customHeight="true" outlineLevel="0" collapsed="false">
      <c r="A90" s="5"/>
      <c r="B90" s="51" t="n">
        <v>2024</v>
      </c>
      <c r="C90" s="51" t="inlineStr">
        <is>
          <t xml:space="preserve">I162S2C1J2V4</t>
        </is>
      </c>
      <c r="D90" s="51" t="str">
        <v>Ingenieria En Informatica</v>
      </c>
      <c r="E90" s="51" t="str">
        <v>Tecnologías</v>
      </c>
      <c r="F90" s="51" t="str">
        <v>Vespertino</v>
      </c>
      <c r="G90" s="51" t="str">
        <v>Presencial</v>
      </c>
      <c r="H90" s="51" t="n">
        <v>12</v>
      </c>
      <c r="I90" s="51" t="n">
        <v>8</v>
      </c>
      <c r="J90" s="72" t="n">
        <v>0.666666666666667</v>
      </c>
    </row>
    <row r="91" customFormat="false" ht="15" hidden="false" customHeight="true" outlineLevel="0" collapsed="false">
      <c r="A91" s="5"/>
      <c r="B91" s="51" t="n">
        <v>2024</v>
      </c>
      <c r="C91" s="51" t="inlineStr">
        <is>
          <t xml:space="preserve">I162S2C1J4V2</t>
        </is>
      </c>
      <c r="D91" s="51" t="str">
        <v>Ingenieria En Informatica</v>
      </c>
      <c r="E91" s="51" t="str">
        <v>Tecnologías</v>
      </c>
      <c r="F91" s="51" t="str">
        <v>Virtual</v>
      </c>
      <c r="G91" s="51" t="str">
        <v>A distancia</v>
      </c>
      <c r="H91" s="51" t="n">
        <v>80</v>
      </c>
      <c r="I91" s="51" t="n">
        <v>52</v>
      </c>
      <c r="J91" s="72" t="n">
        <v>0.65</v>
      </c>
    </row>
    <row r="92" customFormat="false" ht="15" hidden="false" customHeight="true" outlineLevel="0" collapsed="false">
      <c r="A92" s="5"/>
      <c r="B92" s="51" t="n">
        <v>2024</v>
      </c>
      <c r="C92" s="51" t="inlineStr">
        <is>
          <t xml:space="preserve">I162S2C47J1V1</t>
        </is>
      </c>
      <c r="D92" s="51" t="str">
        <v>Tecnico En Ciberseguridad</v>
      </c>
      <c r="E92" s="51" t="str">
        <v>Tecnologías</v>
      </c>
      <c r="F92" s="51" t="str">
        <v>Diurno</v>
      </c>
      <c r="G92" s="51" t="str">
        <v>Presencial</v>
      </c>
      <c r="H92" s="51" t="n">
        <v>5</v>
      </c>
      <c r="I92" s="51" t="n">
        <v>2</v>
      </c>
      <c r="J92" s="72" t="n">
        <v>0.4</v>
      </c>
    </row>
    <row r="93" customFormat="false" ht="15" hidden="false" customHeight="true" outlineLevel="0" collapsed="false">
      <c r="A93" s="5"/>
      <c r="B93" s="51" t="n">
        <v>2024</v>
      </c>
      <c r="C93" s="51" t="inlineStr">
        <is>
          <t xml:space="preserve">I162S2C47J2V1</t>
        </is>
      </c>
      <c r="D93" s="51" t="str">
        <v>Tecnico En Ciberseguridad</v>
      </c>
      <c r="E93" s="51" t="str">
        <v>Tecnologías</v>
      </c>
      <c r="F93" s="51" t="str">
        <v>Vespertino</v>
      </c>
      <c r="G93" s="51" t="str">
        <v>Presencial</v>
      </c>
      <c r="H93" s="51" t="n">
        <v>11</v>
      </c>
      <c r="I93" s="51" t="n">
        <v>5</v>
      </c>
      <c r="J93" s="72" t="n">
        <v>0.454545454545455</v>
      </c>
    </row>
    <row r="94" customFormat="false" ht="15" hidden="false" customHeight="true" outlineLevel="0" collapsed="false">
      <c r="A94" s="5"/>
      <c r="B94" s="51" t="n">
        <v>2024</v>
      </c>
      <c r="C94" s="51" t="inlineStr">
        <is>
          <t xml:space="preserve">I162S2C47J4V1</t>
        </is>
      </c>
      <c r="D94" s="51" t="str">
        <v>Tecnico En Ciberseguridad</v>
      </c>
      <c r="E94" s="51" t="str">
        <v>Tecnologías</v>
      </c>
      <c r="F94" s="51" t="str">
        <v>Virtual</v>
      </c>
      <c r="G94" s="51" t="str">
        <v>A distancia</v>
      </c>
      <c r="H94" s="51" t="n">
        <v>55</v>
      </c>
      <c r="I94" s="51" t="n">
        <v>30</v>
      </c>
      <c r="J94" s="72" t="n">
        <v>0.545454545454545</v>
      </c>
    </row>
    <row r="95" customFormat="false" ht="15" hidden="false" customHeight="true" outlineLevel="0" collapsed="false">
      <c r="A95" s="5"/>
      <c r="B95" s="51" t="n">
        <v>2024</v>
      </c>
      <c r="C95" s="51" t="inlineStr">
        <is>
          <t xml:space="preserve">I162S2C6J2V2</t>
        </is>
      </c>
      <c r="D95" s="51" t="str">
        <v>Tecnico En Conectividad Y Redes</v>
      </c>
      <c r="E95" s="51" t="str">
        <v>Tecnologías</v>
      </c>
      <c r="F95" s="51" t="str">
        <v>Vespertino</v>
      </c>
      <c r="G95" s="51" t="str">
        <v>Presencial</v>
      </c>
      <c r="H95" s="51" t="n">
        <v>2</v>
      </c>
      <c r="I95" s="51" t="n">
        <v>0</v>
      </c>
      <c r="J95" s="72" t="n">
        <v>0</v>
      </c>
    </row>
    <row r="96" customFormat="false" ht="15" hidden="false" customHeight="true" outlineLevel="0" collapsed="false">
      <c r="A96" s="5"/>
      <c r="B96" s="51" t="n">
        <v>2024</v>
      </c>
      <c r="C96" s="51" t="inlineStr">
        <is>
          <t xml:space="preserve">I162S2C6J4V2</t>
        </is>
      </c>
      <c r="D96" s="51" t="str">
        <v>Tecnico En Conectividad Y Redes</v>
      </c>
      <c r="E96" s="51" t="str">
        <v>Tecnologías</v>
      </c>
      <c r="F96" s="51" t="str">
        <v>Virtual</v>
      </c>
      <c r="G96" s="51" t="str">
        <v>A distancia</v>
      </c>
      <c r="H96" s="51" t="n">
        <v>23</v>
      </c>
      <c r="I96" s="51" t="n">
        <v>6</v>
      </c>
      <c r="J96" s="72" t="n">
        <v>0.260869565217391</v>
      </c>
    </row>
    <row r="97" customFormat="false" ht="15" hidden="false" customHeight="true" outlineLevel="0" collapsed="false">
      <c r="A97" s="5"/>
      <c r="B97" s="51" t="n">
        <v>2024</v>
      </c>
      <c r="C97" s="51" t="inlineStr">
        <is>
          <t xml:space="preserve">I162S2C57J1V1</t>
        </is>
      </c>
      <c r="D97" s="51" t="str">
        <v>Tecnico En Programacion Y Analisis De Sistemas</v>
      </c>
      <c r="E97" s="51" t="str">
        <v>Tecnologías</v>
      </c>
      <c r="F97" s="51" t="str">
        <v>Diurno</v>
      </c>
      <c r="G97" s="51" t="str">
        <v>Presencial</v>
      </c>
      <c r="H97" s="51" t="n">
        <v>11</v>
      </c>
      <c r="I97" s="51" t="n">
        <v>9</v>
      </c>
      <c r="J97" s="72" t="n">
        <v>0.818181818181818</v>
      </c>
    </row>
    <row r="98" customFormat="false" ht="15" hidden="false" customHeight="true" outlineLevel="0" collapsed="false">
      <c r="A98" s="5"/>
      <c r="B98" s="51" t="n">
        <v>2024</v>
      </c>
      <c r="C98" s="51" t="inlineStr">
        <is>
          <t xml:space="preserve">I162S2C57J2V1</t>
        </is>
      </c>
      <c r="D98" s="51" t="str">
        <v>Tecnico En Programacion Y Analisis De Sistemas</v>
      </c>
      <c r="E98" s="51" t="str">
        <v>Tecnologías</v>
      </c>
      <c r="F98" s="51" t="str">
        <v>Vespertino</v>
      </c>
      <c r="G98" s="51" t="str">
        <v>Presencial</v>
      </c>
      <c r="H98" s="51" t="n">
        <v>17</v>
      </c>
      <c r="I98" s="51" t="n">
        <v>9</v>
      </c>
      <c r="J98" s="72" t="n">
        <v>0.529411764705882</v>
      </c>
    </row>
    <row r="99" customFormat="false" ht="15" hidden="false" customHeight="true" outlineLevel="0" collapsed="false">
      <c r="A99" s="5"/>
      <c r="B99" s="51" t="n">
        <v>2024</v>
      </c>
      <c r="C99" s="51" t="inlineStr">
        <is>
          <t xml:space="preserve">I162S2C57J4V1</t>
        </is>
      </c>
      <c r="D99" s="51" t="str">
        <v>Tecnico En Programacion Y Analisis De Sistemas</v>
      </c>
      <c r="E99" s="51" t="str">
        <v>Tecnologías</v>
      </c>
      <c r="F99" s="51" t="str">
        <v>Virtual</v>
      </c>
      <c r="G99" s="51" t="str">
        <v>A distancia</v>
      </c>
      <c r="H99" s="51" t="n">
        <v>109</v>
      </c>
      <c r="I99" s="51" t="n">
        <v>71</v>
      </c>
      <c r="J99" s="72" t="n">
        <v>0.651376146788991</v>
      </c>
    </row>
    <row r="100" customFormat="false" ht="15" hidden="false" customHeight="true" outlineLevel="0" collapsed="false">
      <c r="A100" s="5"/>
      <c r="B100" s="51" t="n">
        <v>2025</v>
      </c>
      <c r="C100" s="51" t="inlineStr">
        <is>
          <t xml:space="preserve">I162S2C83J4V1</t>
        </is>
      </c>
      <c r="D100" s="51" t="str">
        <v>Administracion Publica</v>
      </c>
      <c r="E100" s="51" t="str">
        <v>Administración y Comercio</v>
      </c>
      <c r="F100" s="51" t="str">
        <v>Virtual</v>
      </c>
      <c r="G100" s="51" t="str">
        <v>A distancia</v>
      </c>
      <c r="H100" s="51" t="n">
        <v>70</v>
      </c>
      <c r="I100" s="51" t="n">
        <v>33</v>
      </c>
      <c r="J100" s="72" t="n">
        <v>0.471428571428571</v>
      </c>
    </row>
    <row r="101" customFormat="false" ht="15" hidden="false" customHeight="true" outlineLevel="0" collapsed="false">
      <c r="A101" s="5"/>
      <c r="B101" s="51" t="n">
        <v>2025</v>
      </c>
      <c r="C101" s="51" t="inlineStr">
        <is>
          <t xml:space="preserve">I162S2C86J4V1</t>
        </is>
      </c>
      <c r="D101" s="51" t="str">
        <v>Auditoria</v>
      </c>
      <c r="E101" s="51" t="str">
        <v>Administración y Comercio</v>
      </c>
      <c r="F101" s="51" t="str">
        <v>Virtual</v>
      </c>
      <c r="G101" s="51" t="str">
        <v>A distancia</v>
      </c>
      <c r="H101" s="51" t="n">
        <v>40</v>
      </c>
      <c r="I101" s="51" t="n">
        <v>27</v>
      </c>
      <c r="J101" s="72" t="n">
        <v>0.675</v>
      </c>
    </row>
    <row r="102" customFormat="false" ht="15" hidden="false" customHeight="true" outlineLevel="0" collapsed="false">
      <c r="A102" s="5"/>
      <c r="B102" s="51" t="n">
        <v>2025</v>
      </c>
      <c r="C102" s="51" t="inlineStr">
        <is>
          <t xml:space="preserve">I162S2C85J4V1</t>
        </is>
      </c>
      <c r="D102" s="51" t="str">
        <v>Contabilidad General</v>
      </c>
      <c r="E102" s="51" t="str">
        <v>Administración y Comercio</v>
      </c>
      <c r="F102" s="51" t="str">
        <v>Virtual</v>
      </c>
      <c r="G102" s="51" t="str">
        <v>A distancia</v>
      </c>
      <c r="H102" s="51" t="n">
        <v>38</v>
      </c>
      <c r="I102" s="51" t="n">
        <v>19</v>
      </c>
      <c r="J102" s="72" t="n">
        <v>0.5</v>
      </c>
    </row>
    <row r="103" customFormat="false" ht="15" hidden="false" customHeight="true" outlineLevel="0" collapsed="false">
      <c r="A103" s="5"/>
      <c r="B103" s="51" t="n">
        <v>2025</v>
      </c>
      <c r="C103" s="51" t="inlineStr">
        <is>
          <t xml:space="preserve">I162S2C76J2V1</t>
        </is>
      </c>
      <c r="D103" s="51" t="str">
        <v>Ingenieria En Administracion De Empresas</v>
      </c>
      <c r="E103" s="51" t="str">
        <v>Administración y Comercio</v>
      </c>
      <c r="F103" s="51" t="str">
        <v>Vespertino</v>
      </c>
      <c r="G103" s="51" t="str">
        <v>Presencial</v>
      </c>
      <c r="H103" s="51" t="n">
        <v>19</v>
      </c>
      <c r="I103" s="51" t="n">
        <v>7</v>
      </c>
      <c r="J103" s="72" t="n">
        <v>0.368421052631579</v>
      </c>
    </row>
    <row r="104" customFormat="false" ht="15" hidden="false" customHeight="true" outlineLevel="0" collapsed="false">
      <c r="A104" s="5"/>
      <c r="B104" s="51" t="n">
        <v>2025</v>
      </c>
      <c r="C104" s="51" t="inlineStr">
        <is>
          <t xml:space="preserve">I162S2C76J4V1</t>
        </is>
      </c>
      <c r="D104" s="51" t="str">
        <v>Ingenieria En Administracion De Empresas</v>
      </c>
      <c r="E104" s="51" t="str">
        <v>Administración y Comercio</v>
      </c>
      <c r="F104" s="51" t="str">
        <v>Virtual</v>
      </c>
      <c r="G104" s="51" t="str">
        <v>A distancia</v>
      </c>
      <c r="H104" s="51" t="n">
        <v>72</v>
      </c>
      <c r="I104" s="51" t="n">
        <v>39</v>
      </c>
      <c r="J104" s="72" t="n">
        <v>0.541666666666667</v>
      </c>
    </row>
    <row r="105" customFormat="false" ht="15" hidden="false" customHeight="true" outlineLevel="0" collapsed="false">
      <c r="A105" s="5"/>
      <c r="B105" s="51" t="n">
        <v>2025</v>
      </c>
      <c r="C105" s="51" t="inlineStr">
        <is>
          <t xml:space="preserve">I162S2C77J2V1</t>
        </is>
      </c>
      <c r="D105" s="51" t="str">
        <v>Ingenieria En Logistica</v>
      </c>
      <c r="E105" s="51" t="str">
        <v>Administración y Comercio</v>
      </c>
      <c r="F105" s="51" t="str">
        <v>Vespertino</v>
      </c>
      <c r="G105" s="51" t="str">
        <v>Presencial</v>
      </c>
      <c r="H105" s="51" t="n">
        <v>9</v>
      </c>
      <c r="I105" s="51" t="n">
        <v>5</v>
      </c>
      <c r="J105" s="72" t="n">
        <v>0.555555555555556</v>
      </c>
    </row>
    <row r="106" customFormat="false" ht="15" hidden="false" customHeight="true" outlineLevel="0" collapsed="false">
      <c r="A106" s="5"/>
      <c r="B106" s="51" t="n">
        <v>2025</v>
      </c>
      <c r="C106" s="51" t="inlineStr">
        <is>
          <t xml:space="preserve">I162S2C77J4V1</t>
        </is>
      </c>
      <c r="D106" s="51" t="str">
        <v>Ingenieria En Logistica</v>
      </c>
      <c r="E106" s="51" t="str">
        <v>Administración y Comercio</v>
      </c>
      <c r="F106" s="51" t="str">
        <v>Virtual</v>
      </c>
      <c r="G106" s="51" t="str">
        <v>A distancia</v>
      </c>
      <c r="H106" s="51" t="n">
        <v>52</v>
      </c>
      <c r="I106" s="51" t="n">
        <v>32</v>
      </c>
      <c r="J106" s="72" t="n">
        <v>0.615384615384615</v>
      </c>
    </row>
    <row r="107" customFormat="false" ht="15" hidden="false" customHeight="true" outlineLevel="0" collapsed="false">
      <c r="A107" s="5"/>
      <c r="B107" s="51" t="n">
        <v>2025</v>
      </c>
      <c r="C107" s="51" t="inlineStr">
        <is>
          <t xml:space="preserve">I162S2C78J2V1</t>
        </is>
      </c>
      <c r="D107" s="51" t="str">
        <v>Tecnico En Administracion De Empresas</v>
      </c>
      <c r="E107" s="51" t="str">
        <v>Administración y Comercio</v>
      </c>
      <c r="F107" s="51" t="str">
        <v>Vespertino</v>
      </c>
      <c r="G107" s="51" t="str">
        <v>Presencial</v>
      </c>
      <c r="H107" s="51" t="n">
        <v>9</v>
      </c>
      <c r="I107" s="51" t="n">
        <v>3</v>
      </c>
      <c r="J107" s="72" t="n">
        <v>0.333333333333333</v>
      </c>
    </row>
    <row r="108" customFormat="false" ht="15" hidden="false" customHeight="true" outlineLevel="0" collapsed="false">
      <c r="A108" s="5"/>
      <c r="B108" s="51" t="n">
        <v>2025</v>
      </c>
      <c r="C108" s="51" t="inlineStr">
        <is>
          <t xml:space="preserve">I162S2C78J4V1</t>
        </is>
      </c>
      <c r="D108" s="51" t="str">
        <v>Tecnico En Administracion De Empresas</v>
      </c>
      <c r="E108" s="51" t="str">
        <v>Administración y Comercio</v>
      </c>
      <c r="F108" s="51" t="str">
        <v>Virtual</v>
      </c>
      <c r="G108" s="51" t="str">
        <v>A distancia</v>
      </c>
      <c r="H108" s="51" t="n">
        <v>64</v>
      </c>
      <c r="I108" s="51" t="n">
        <v>29</v>
      </c>
      <c r="J108" s="72" t="n">
        <v>0.453125</v>
      </c>
    </row>
    <row r="109" customFormat="false" ht="15" hidden="false" customHeight="true" outlineLevel="0" collapsed="false">
      <c r="A109" s="5"/>
      <c r="B109" s="51" t="n">
        <v>2025</v>
      </c>
      <c r="C109" s="51" t="inlineStr">
        <is>
          <t xml:space="preserve">I162S2C84J4V1</t>
        </is>
      </c>
      <c r="D109" s="51" t="str">
        <v>Tecnico En Administracion Publica</v>
      </c>
      <c r="E109" s="51" t="str">
        <v>Administración y Comercio</v>
      </c>
      <c r="F109" s="51" t="str">
        <v>Virtual</v>
      </c>
      <c r="G109" s="51" t="str">
        <v>A distancia</v>
      </c>
      <c r="H109" s="51" t="n">
        <v>22</v>
      </c>
      <c r="I109" s="51" t="n">
        <v>11</v>
      </c>
      <c r="J109" s="72" t="n">
        <v>0.5</v>
      </c>
    </row>
    <row r="110" customFormat="false" ht="15" hidden="false" customHeight="true" outlineLevel="0" collapsed="false">
      <c r="A110" s="5"/>
      <c r="B110" s="51" t="n">
        <v>2025</v>
      </c>
      <c r="C110" s="51" t="inlineStr">
        <is>
          <t xml:space="preserve">I162S2C79J2V1</t>
        </is>
      </c>
      <c r="D110" s="51" t="str">
        <v>Tecnico En Logistica</v>
      </c>
      <c r="E110" s="51" t="str">
        <v>Administración y Comercio</v>
      </c>
      <c r="F110" s="51" t="str">
        <v>Vespertino</v>
      </c>
      <c r="G110" s="51" t="str">
        <v>Presencial</v>
      </c>
      <c r="H110" s="51" t="n">
        <v>17</v>
      </c>
      <c r="I110" s="51" t="n">
        <v>6</v>
      </c>
      <c r="J110" s="72" t="n">
        <v>0.352941176470588</v>
      </c>
    </row>
    <row r="111" customFormat="false" ht="15" hidden="false" customHeight="true" outlineLevel="0" collapsed="false">
      <c r="A111" s="5"/>
      <c r="B111" s="51" t="n">
        <v>2025</v>
      </c>
      <c r="C111" s="51" t="inlineStr">
        <is>
          <t xml:space="preserve">I162S2C79J4V1</t>
        </is>
      </c>
      <c r="D111" s="51" t="str">
        <v>Tecnico En Logistica</v>
      </c>
      <c r="E111" s="51" t="str">
        <v>Administración y Comercio</v>
      </c>
      <c r="F111" s="51" t="str">
        <v>Virtual</v>
      </c>
      <c r="G111" s="51" t="str">
        <v>A distancia</v>
      </c>
      <c r="H111" s="51" t="n">
        <v>65</v>
      </c>
      <c r="I111" s="51" t="n">
        <v>41</v>
      </c>
      <c r="J111" s="72" t="n">
        <v>0.630769230769231</v>
      </c>
    </row>
    <row r="112" customFormat="false" ht="15" hidden="false" customHeight="true" outlineLevel="0" collapsed="false">
      <c r="A112" s="5"/>
      <c r="B112" s="51" t="n">
        <v>2025</v>
      </c>
      <c r="C112" s="51" t="inlineStr">
        <is>
          <t xml:space="preserve">I162S2C91J1V1</t>
        </is>
      </c>
      <c r="D112" s="51" t="str">
        <v>Tecnico En Enfermeria</v>
      </c>
      <c r="E112" s="51" t="str">
        <v>Salud</v>
      </c>
      <c r="F112" s="51" t="str">
        <v>Diurno</v>
      </c>
      <c r="G112" s="51" t="str">
        <v>Presencial</v>
      </c>
      <c r="H112" s="51" t="n">
        <v>34</v>
      </c>
      <c r="I112" s="51" t="n">
        <v>19</v>
      </c>
      <c r="J112" s="72" t="n">
        <v>0.558823529411765</v>
      </c>
    </row>
    <row r="113" customFormat="false" ht="15" hidden="false" customHeight="true" outlineLevel="0" collapsed="false">
      <c r="A113" s="5"/>
      <c r="B113" s="51" t="n">
        <v>2025</v>
      </c>
      <c r="C113" s="51" t="inlineStr">
        <is>
          <t xml:space="preserve">I162S2C91J2V1</t>
        </is>
      </c>
      <c r="D113" s="51" t="str">
        <v>Tecnico En Enfermeria</v>
      </c>
      <c r="E113" s="51" t="str">
        <v>Salud</v>
      </c>
      <c r="F113" s="51" t="str">
        <v>Vespertino</v>
      </c>
      <c r="G113" s="51" t="str">
        <v>Presencial</v>
      </c>
      <c r="H113" s="51" t="n">
        <v>41</v>
      </c>
      <c r="I113" s="51" t="n">
        <v>16</v>
      </c>
      <c r="J113" s="72" t="n">
        <v>0.390243902439024</v>
      </c>
    </row>
    <row r="114" customFormat="false" ht="15" hidden="false" customHeight="true" outlineLevel="0" collapsed="false">
      <c r="A114" s="5"/>
      <c r="B114" s="51" t="n">
        <v>2025</v>
      </c>
      <c r="C114" s="51" t="inlineStr">
        <is>
          <t xml:space="preserve">I162S2C46J1V1</t>
        </is>
      </c>
      <c r="D114" s="51" t="str">
        <v>Ingenieria En Ciberseguridad</v>
      </c>
      <c r="E114" s="51" t="str">
        <v>Tecnologías</v>
      </c>
      <c r="F114" s="51" t="str">
        <v>Diurno</v>
      </c>
      <c r="G114" s="51" t="str">
        <v>Presencial</v>
      </c>
      <c r="H114" s="51" t="n">
        <v>18</v>
      </c>
      <c r="I114" s="51" t="n">
        <v>16</v>
      </c>
      <c r="J114" s="72" t="n">
        <v>0.888888888888889</v>
      </c>
    </row>
    <row r="115" customFormat="false" ht="15" hidden="false" customHeight="true" outlineLevel="0" collapsed="false">
      <c r="A115" s="5"/>
      <c r="B115" s="51" t="n">
        <v>2025</v>
      </c>
      <c r="C115" s="51" t="inlineStr">
        <is>
          <t xml:space="preserve">I162S2C46J2V1</t>
        </is>
      </c>
      <c r="D115" s="51" t="str">
        <v>Ingenieria En Ciberseguridad</v>
      </c>
      <c r="E115" s="51" t="str">
        <v>Tecnologías</v>
      </c>
      <c r="F115" s="51" t="str">
        <v>Vespertino</v>
      </c>
      <c r="G115" s="51" t="str">
        <v>Presencial</v>
      </c>
      <c r="H115" s="51" t="n">
        <v>11</v>
      </c>
      <c r="I115" s="51" t="n">
        <v>8</v>
      </c>
      <c r="J115" s="72" t="n">
        <v>0.727272727272727</v>
      </c>
    </row>
    <row r="116" customFormat="false" ht="15" hidden="false" customHeight="true" outlineLevel="0" collapsed="false">
      <c r="A116" s="5"/>
      <c r="B116" s="51" t="n">
        <v>2025</v>
      </c>
      <c r="C116" s="51" t="inlineStr">
        <is>
          <t xml:space="preserve">I162S2C46J4V3</t>
        </is>
      </c>
      <c r="D116" s="51" t="str">
        <v>Ingenieria En Ciberseguridad</v>
      </c>
      <c r="E116" s="51" t="str">
        <v>Tecnologías</v>
      </c>
      <c r="F116" s="51" t="str">
        <v>Virtual</v>
      </c>
      <c r="G116" s="51" t="str">
        <v>A distancia</v>
      </c>
      <c r="H116" s="51" t="n">
        <v>73</v>
      </c>
      <c r="I116" s="51" t="n">
        <v>41</v>
      </c>
      <c r="J116" s="72" t="n">
        <v>0.561643835616438</v>
      </c>
    </row>
    <row r="117" customFormat="false" ht="15" hidden="false" customHeight="true" outlineLevel="0" collapsed="false">
      <c r="A117" s="5"/>
      <c r="B117" s="51" t="n">
        <v>2025</v>
      </c>
      <c r="C117" s="51" t="inlineStr">
        <is>
          <t xml:space="preserve">I162S2C88J4V1</t>
        </is>
      </c>
      <c r="D117" s="51" t="str">
        <v>Ingenieria En Ciencia De Datos</v>
      </c>
      <c r="E117" s="51" t="str">
        <v>Tecnologías</v>
      </c>
      <c r="F117" s="51" t="str">
        <v>Virtual</v>
      </c>
      <c r="G117" s="51" t="str">
        <v>A distancia</v>
      </c>
      <c r="H117" s="51" t="n">
        <v>40</v>
      </c>
      <c r="I117" s="51" t="n">
        <v>21</v>
      </c>
      <c r="J117" s="72" t="n">
        <v>0.525</v>
      </c>
    </row>
    <row r="118" customFormat="false" ht="15" hidden="false" customHeight="true" outlineLevel="0" collapsed="false">
      <c r="A118" s="5"/>
      <c r="B118" s="51" t="n">
        <v>2025</v>
      </c>
      <c r="C118" s="51" t="inlineStr">
        <is>
          <t xml:space="preserve">I162S2C3J2V1</t>
        </is>
      </c>
      <c r="D118" s="51" t="str">
        <v>Ingenieria En Conectividad Y Redes</v>
      </c>
      <c r="E118" s="51" t="str">
        <v>Tecnologías</v>
      </c>
      <c r="F118" s="51" t="str">
        <v>Vespertino</v>
      </c>
      <c r="G118" s="51" t="str">
        <v>Presencial</v>
      </c>
      <c r="H118" s="51" t="n">
        <v>3</v>
      </c>
      <c r="I118" s="51" t="n">
        <v>1</v>
      </c>
      <c r="J118" s="72" t="n">
        <v>0.333333333333333</v>
      </c>
    </row>
    <row r="119" customFormat="false" ht="15" hidden="false" customHeight="true" outlineLevel="0" collapsed="false">
      <c r="A119" s="5"/>
      <c r="B119" s="51" t="n">
        <v>2025</v>
      </c>
      <c r="C119" s="51" t="inlineStr">
        <is>
          <t xml:space="preserve">I162S2C3J2V4</t>
        </is>
      </c>
      <c r="D119" s="51" t="str">
        <v>Ingenieria En Conectividad Y Redes</v>
      </c>
      <c r="E119" s="51" t="str">
        <v>Tecnologías</v>
      </c>
      <c r="F119" s="51" t="str">
        <v>Vespertino</v>
      </c>
      <c r="G119" s="51" t="str">
        <v>Presencial</v>
      </c>
      <c r="H119" s="51" t="n">
        <v>6</v>
      </c>
      <c r="I119" s="51" t="n">
        <v>5</v>
      </c>
      <c r="J119" s="72" t="n">
        <v>0.833333333333333</v>
      </c>
    </row>
    <row r="120" customFormat="false" ht="15" hidden="false" customHeight="true" outlineLevel="0" collapsed="false">
      <c r="A120" s="5"/>
      <c r="B120" s="51" t="n">
        <v>2025</v>
      </c>
      <c r="C120" s="51" t="inlineStr">
        <is>
          <t xml:space="preserve">I162S2C3J4V2</t>
        </is>
      </c>
      <c r="D120" s="51" t="str">
        <v>Ingenieria En Conectividad Y Redes</v>
      </c>
      <c r="E120" s="51" t="str">
        <v>Tecnologías</v>
      </c>
      <c r="F120" s="51" t="str">
        <v>Virtual</v>
      </c>
      <c r="G120" s="51" t="str">
        <v>A distancia</v>
      </c>
      <c r="H120" s="51" t="n">
        <v>54</v>
      </c>
      <c r="I120" s="51" t="n">
        <v>37</v>
      </c>
      <c r="J120" s="72" t="n">
        <v>0.685185185185185</v>
      </c>
    </row>
    <row r="121" customFormat="false" ht="15" hidden="false" customHeight="true" outlineLevel="0" collapsed="false">
      <c r="A121" s="5"/>
      <c r="B121" s="51" t="n">
        <v>2025</v>
      </c>
      <c r="C121" s="51" t="inlineStr">
        <is>
          <t xml:space="preserve">I162S2C1J1V1</t>
        </is>
      </c>
      <c r="D121" s="51" t="str">
        <v>Ingenieria En Informatica</v>
      </c>
      <c r="E121" s="51" t="str">
        <v>Tecnologías</v>
      </c>
      <c r="F121" s="51" t="str">
        <v>Diurno</v>
      </c>
      <c r="G121" s="51" t="str">
        <v>Presencial</v>
      </c>
      <c r="H121" s="51" t="n">
        <v>3</v>
      </c>
      <c r="I121" s="51" t="n">
        <v>3</v>
      </c>
      <c r="J121" s="72" t="n">
        <v>1</v>
      </c>
    </row>
    <row r="122" customFormat="false" ht="15" hidden="false" customHeight="true" outlineLevel="0" collapsed="false">
      <c r="A122" s="5"/>
      <c r="B122" s="51" t="n">
        <v>2025</v>
      </c>
      <c r="C122" s="51" t="inlineStr">
        <is>
          <t xml:space="preserve">I162S2C1J1V2</t>
        </is>
      </c>
      <c r="D122" s="51" t="str">
        <v>Ingenieria En Informatica</v>
      </c>
      <c r="E122" s="51" t="str">
        <v>Tecnologías</v>
      </c>
      <c r="F122" s="51" t="str">
        <v>Diurno</v>
      </c>
      <c r="G122" s="51" t="str">
        <v>Presencial</v>
      </c>
      <c r="H122" s="51" t="n">
        <v>11</v>
      </c>
      <c r="I122" s="51" t="n">
        <v>7</v>
      </c>
      <c r="J122" s="72" t="n">
        <v>0.636363636363636</v>
      </c>
    </row>
    <row r="123" customFormat="false" ht="15" hidden="false" customHeight="true" outlineLevel="0" collapsed="false">
      <c r="A123" s="5"/>
      <c r="B123" s="51" t="n">
        <v>2025</v>
      </c>
      <c r="C123" s="51" t="inlineStr">
        <is>
          <t xml:space="preserve">I162S2C1J2V1</t>
        </is>
      </c>
      <c r="D123" s="51" t="str">
        <v>Ingenieria En Informatica</v>
      </c>
      <c r="E123" s="51" t="str">
        <v>Tecnologías</v>
      </c>
      <c r="F123" s="51" t="str">
        <v>Vespertino</v>
      </c>
      <c r="G123" s="51" t="str">
        <v>Presencial</v>
      </c>
      <c r="H123" s="51" t="n">
        <v>4</v>
      </c>
      <c r="I123" s="51" t="n">
        <v>2</v>
      </c>
      <c r="J123" s="72" t="n">
        <v>0.5</v>
      </c>
    </row>
    <row r="124" customFormat="false" ht="15" hidden="false" customHeight="true" outlineLevel="0" collapsed="false">
      <c r="A124" s="5"/>
      <c r="B124" s="51" t="n">
        <v>2025</v>
      </c>
      <c r="C124" s="51" t="inlineStr">
        <is>
          <t xml:space="preserve">I162S2C1J2V4</t>
        </is>
      </c>
      <c r="D124" s="51" t="str">
        <v>Ingenieria En Informatica</v>
      </c>
      <c r="E124" s="51" t="str">
        <v>Tecnologías</v>
      </c>
      <c r="F124" s="51" t="str">
        <v>Vespertino</v>
      </c>
      <c r="G124" s="51" t="str">
        <v>Presencial</v>
      </c>
      <c r="H124" s="51" t="n">
        <v>9</v>
      </c>
      <c r="I124" s="51" t="n">
        <v>5</v>
      </c>
      <c r="J124" s="72" t="n">
        <v>0.555555555555556</v>
      </c>
    </row>
    <row r="125" customFormat="false" ht="15" hidden="false" customHeight="true" outlineLevel="0" collapsed="false">
      <c r="A125" s="5"/>
      <c r="B125" s="51" t="n">
        <v>2025</v>
      </c>
      <c r="C125" s="51" t="inlineStr">
        <is>
          <t xml:space="preserve">I162S2C1J4V2</t>
        </is>
      </c>
      <c r="D125" s="51" t="str">
        <v>Ingenieria En Informatica</v>
      </c>
      <c r="E125" s="51" t="str">
        <v>Tecnologías</v>
      </c>
      <c r="F125" s="51" t="str">
        <v>Virtual</v>
      </c>
      <c r="G125" s="51" t="str">
        <v>A distancia</v>
      </c>
      <c r="H125" s="51" t="n">
        <v>91</v>
      </c>
      <c r="I125" s="51" t="n">
        <v>64</v>
      </c>
      <c r="J125" s="72" t="n">
        <v>0.703296703296703</v>
      </c>
    </row>
    <row r="126" customFormat="false" ht="15" hidden="false" customHeight="true" outlineLevel="0" collapsed="false">
      <c r="A126" s="5"/>
      <c r="B126" s="51" t="n">
        <v>2025</v>
      </c>
      <c r="C126" s="51" t="inlineStr">
        <is>
          <t xml:space="preserve">I162S2C47J1V1</t>
        </is>
      </c>
      <c r="D126" s="51" t="str">
        <v>Tecnico En Ciberseguridad</v>
      </c>
      <c r="E126" s="51" t="str">
        <v>Tecnologías</v>
      </c>
      <c r="F126" s="51" t="str">
        <v>Diurno</v>
      </c>
      <c r="G126" s="51" t="str">
        <v>Presencial</v>
      </c>
      <c r="H126" s="51" t="n">
        <v>8</v>
      </c>
      <c r="I126" s="51" t="n">
        <v>7</v>
      </c>
      <c r="J126" s="72" t="n">
        <v>0.875</v>
      </c>
    </row>
    <row r="127" customFormat="false" ht="15" hidden="false" customHeight="true" outlineLevel="0" collapsed="false">
      <c r="A127" s="5"/>
      <c r="B127" s="51" t="n">
        <v>2025</v>
      </c>
      <c r="C127" s="51" t="inlineStr">
        <is>
          <t xml:space="preserve">I162S2C47J2V1</t>
        </is>
      </c>
      <c r="D127" s="51" t="str">
        <v>Tecnico En Ciberseguridad</v>
      </c>
      <c r="E127" s="51" t="str">
        <v>Tecnologías</v>
      </c>
      <c r="F127" s="51" t="str">
        <v>Vespertino</v>
      </c>
      <c r="G127" s="51" t="str">
        <v>Presencial</v>
      </c>
      <c r="H127" s="51" t="n">
        <v>7</v>
      </c>
      <c r="I127" s="51" t="n">
        <v>6</v>
      </c>
      <c r="J127" s="72" t="n">
        <v>0.857142857142857</v>
      </c>
    </row>
    <row r="128" customFormat="false" ht="15" hidden="false" customHeight="true" outlineLevel="0" collapsed="false">
      <c r="A128" s="5"/>
      <c r="B128" s="51" t="n">
        <v>2025</v>
      </c>
      <c r="C128" s="51" t="inlineStr">
        <is>
          <t xml:space="preserve">I162S2C47J4V1</t>
        </is>
      </c>
      <c r="D128" s="51" t="str">
        <v>Tecnico En Ciberseguridad</v>
      </c>
      <c r="E128" s="51" t="str">
        <v>Tecnologías</v>
      </c>
      <c r="F128" s="51" t="str">
        <v>Virtual</v>
      </c>
      <c r="G128" s="51" t="str">
        <v>A distancia</v>
      </c>
      <c r="H128" s="51" t="n">
        <v>65</v>
      </c>
      <c r="I128" s="51" t="n">
        <v>39</v>
      </c>
      <c r="J128" s="72" t="n">
        <v>0.6</v>
      </c>
    </row>
    <row r="129" customFormat="false" ht="15" hidden="false" customHeight="true" outlineLevel="0" collapsed="false">
      <c r="A129" s="5"/>
      <c r="B129" s="51" t="n">
        <v>2025</v>
      </c>
      <c r="C129" s="51" t="inlineStr">
        <is>
          <t xml:space="preserve">I162S2C89J4V1</t>
        </is>
      </c>
      <c r="D129" s="51" t="str">
        <v>Tecnico En Ciencia De Datos</v>
      </c>
      <c r="E129" s="51" t="str">
        <v>Tecnologías</v>
      </c>
      <c r="F129" s="51" t="str">
        <v>Virtual</v>
      </c>
      <c r="G129" s="51" t="str">
        <v>A distancia</v>
      </c>
      <c r="H129" s="51" t="n">
        <v>23</v>
      </c>
      <c r="I129" s="51" t="n">
        <v>13</v>
      </c>
      <c r="J129" s="72" t="n">
        <v>0.565217391304348</v>
      </c>
    </row>
    <row r="130" customFormat="false" ht="15" hidden="false" customHeight="true" outlineLevel="0" collapsed="false">
      <c r="A130" s="5"/>
      <c r="B130" s="51" t="n">
        <v>2025</v>
      </c>
      <c r="C130" s="51" t="inlineStr">
        <is>
          <t xml:space="preserve">I162S2C6J2V1</t>
        </is>
      </c>
      <c r="D130" s="51" t="str">
        <v>Tecnico En Conectividad Y Redes</v>
      </c>
      <c r="E130" s="51" t="str">
        <v>Tecnologías</v>
      </c>
      <c r="F130" s="51" t="str">
        <v>Vespertino</v>
      </c>
      <c r="G130" s="51" t="str">
        <v>Presencial</v>
      </c>
      <c r="H130" s="51" t="n">
        <v>2</v>
      </c>
      <c r="I130" s="51" t="n">
        <v>0</v>
      </c>
      <c r="J130" s="72" t="n">
        <v>0</v>
      </c>
    </row>
    <row r="131" customFormat="false" ht="15" hidden="false" customHeight="true" outlineLevel="0" collapsed="false">
      <c r="A131" s="5"/>
      <c r="B131" s="51" t="n">
        <v>2025</v>
      </c>
      <c r="C131" s="51" t="inlineStr">
        <is>
          <t xml:space="preserve">I162S2C6J2V2</t>
        </is>
      </c>
      <c r="D131" s="51" t="str">
        <v>Tecnico En Conectividad Y Redes</v>
      </c>
      <c r="E131" s="51" t="str">
        <v>Tecnologías</v>
      </c>
      <c r="F131" s="51" t="str">
        <v>Vespertino</v>
      </c>
      <c r="G131" s="51" t="str">
        <v>Presencial</v>
      </c>
      <c r="H131" s="51" t="n">
        <v>5</v>
      </c>
      <c r="I131" s="51" t="n">
        <v>5</v>
      </c>
      <c r="J131" s="72" t="n">
        <v>1</v>
      </c>
    </row>
    <row r="132" customFormat="false" ht="15" hidden="false" customHeight="true" outlineLevel="0" collapsed="false">
      <c r="A132" s="5"/>
      <c r="B132" s="51" t="n">
        <v>2025</v>
      </c>
      <c r="C132" s="51" t="inlineStr">
        <is>
          <t xml:space="preserve">I162S2C6J4V2</t>
        </is>
      </c>
      <c r="D132" s="51" t="str">
        <v>Tecnico En Conectividad Y Redes</v>
      </c>
      <c r="E132" s="51" t="str">
        <v>Tecnologías</v>
      </c>
      <c r="F132" s="51" t="str">
        <v>Virtual</v>
      </c>
      <c r="G132" s="51" t="str">
        <v>A distancia</v>
      </c>
      <c r="H132" s="51" t="n">
        <v>35</v>
      </c>
      <c r="I132" s="51" t="n">
        <v>21</v>
      </c>
      <c r="J132" s="72" t="n">
        <v>0.6</v>
      </c>
    </row>
    <row r="133" customFormat="false" ht="15" hidden="false" customHeight="true" outlineLevel="0" collapsed="false">
      <c r="A133" s="5"/>
      <c r="B133" s="51" t="n">
        <v>2025</v>
      </c>
      <c r="C133" s="51" t="inlineStr">
        <is>
          <t xml:space="preserve">I162S2C57J1V1</t>
        </is>
      </c>
      <c r="D133" s="51" t="str">
        <v>Tecnico En Programacion Y Analisis De Sistemas</v>
      </c>
      <c r="E133" s="51" t="str">
        <v>Tecnologías</v>
      </c>
      <c r="F133" s="51" t="str">
        <v>Diurno</v>
      </c>
      <c r="G133" s="51" t="str">
        <v>Presencial</v>
      </c>
      <c r="H133" s="51" t="n">
        <v>15</v>
      </c>
      <c r="I133" s="51" t="n">
        <v>10</v>
      </c>
      <c r="J133" s="72" t="n">
        <v>0.666666666666667</v>
      </c>
    </row>
    <row r="134" customFormat="false" ht="15" hidden="false" customHeight="true" outlineLevel="0" collapsed="false">
      <c r="A134" s="5"/>
      <c r="B134" s="51" t="n">
        <v>2025</v>
      </c>
      <c r="C134" s="51" t="inlineStr">
        <is>
          <t xml:space="preserve">I162S2C57J2V1</t>
        </is>
      </c>
      <c r="D134" s="51" t="str">
        <v>Tecnico En Programacion Y Analisis De Sistemas</v>
      </c>
      <c r="E134" s="51" t="str">
        <v>Tecnologías</v>
      </c>
      <c r="F134" s="51" t="str">
        <v>Vespertino</v>
      </c>
      <c r="G134" s="51" t="str">
        <v>Presencial</v>
      </c>
      <c r="H134" s="51" t="n">
        <v>9</v>
      </c>
      <c r="I134" s="51" t="n">
        <v>4</v>
      </c>
      <c r="J134" s="72" t="n">
        <v>0.444444444444444</v>
      </c>
    </row>
    <row r="135" customFormat="false" ht="15" hidden="false" customHeight="true" outlineLevel="0" collapsed="false">
      <c r="A135" s="5"/>
      <c r="B135" s="51" t="n">
        <v>2025</v>
      </c>
      <c r="C135" s="51" t="inlineStr">
        <is>
          <t xml:space="preserve">I162S2C57J4V1</t>
        </is>
      </c>
      <c r="D135" s="51" t="str">
        <v>Tecnico En Programacion Y Analisis De Sistemas</v>
      </c>
      <c r="E135" s="51" t="str">
        <v>Tecnologías</v>
      </c>
      <c r="F135" s="51" t="str">
        <v>Virtual</v>
      </c>
      <c r="G135" s="51" t="str">
        <v>A distancia</v>
      </c>
      <c r="H135" s="51" t="n">
        <v>106</v>
      </c>
      <c r="I135" s="51" t="n">
        <v>66</v>
      </c>
      <c r="J135" s="72" t="n">
        <v>0.622641509433962</v>
      </c>
    </row>
    <row r="136" customFormat="false" ht="15" hidden="false" customHeight="true" outlineLevel="0" collapsed="false">
      <c r="A136" s="5"/>
      <c r="B136" s="21" t="inlineStr">
        <is>
          <t xml:space="preserve">TOTAL VISIBLE (filtro)</t>
        </is>
      </c>
      <c r="H136" s="36" t="n">
        <v>2379</v>
      </c>
      <c r="I136" s="36" t="n">
        <v>1476</v>
      </c>
      <c r="J136" s="23" t="n">
        <v>0.620428751576293</v>
      </c>
    </row>
    <row r="137" customFormat="false" ht="54.75" hidden="false" customHeight="true" outlineLevel="0" collapsed="false">
      <c r="A137" s="5"/>
      <c r="B137" s="67" t="inlineStr">
        <is>
          <t xml:space="preserve">Hallazgo (dato B, observado): de los 36 códigos de SIES 2025, 27 coinciden exactamente con el cálculo interno; en 9 códigos (7 de ellos en jornada Virtual) el interno cuenta 1-2 estudiantes menos, sumando 13 estudiantes y 9 retenidos de diferencia. La suma de los 36 códigos SIES (1.163/677/58,2115%) coincide con el "Total general" de Meneses y con la tasa oficial — esos 13 estudiantes explican por completo la brecha 2025. Ver README del hito, Adenda 3, y hoja 14 para las vistas ejecutivas derivadas de esta hoja.</t>
        </is>
      </c>
      <c r="C137" s="67"/>
      <c r="D137" s="67"/>
      <c r="E137" s="67"/>
      <c r="F137" s="67"/>
      <c r="G137" s="67"/>
      <c r="H137" s="67"/>
      <c r="I137" s="67"/>
      <c r="J137" s="67"/>
      <c r="K137" s="67"/>
      <c r="L137" s="67"/>
    </row>
    <row r="140" customFormat="false" ht="24.75" hidden="false" customHeight="true" outlineLevel="0" collapsed="false">
      <c r="B140" s="73" t="inlineStr">
        <is>
          <t xml:space="preserve">C. Comparación por carrera, cohorte 2025 — IPSS frente a SIES</t>
        </is>
      </c>
    </row>
    <row r="141" customFormat="false" ht="42.75" hidden="false" customHeight="true" outlineLevel="0" collapsed="false">
      <c r="C141" s="69" t="inlineStr">
        <is>
          <t xml:space="preserve">Carrera</t>
        </is>
      </c>
      <c r="D141" s="69" t="inlineStr">
        <is>
          <t xml:space="preserve">Estudiantes IPSS 2025</t>
        </is>
      </c>
      <c r="E141" s="69" t="inlineStr">
        <is>
          <t xml:space="preserve">Retenidos IPSS 2025</t>
        </is>
      </c>
      <c r="F141" s="69" t="inlineStr">
        <is>
          <t xml:space="preserve">Tasa IPSS 2025</t>
        </is>
      </c>
      <c r="G141" s="69" t="inlineStr">
        <is>
          <t xml:space="preserve">Estudiantes SIES 2025</t>
        </is>
      </c>
      <c r="H141" s="69" t="inlineStr">
        <is>
          <t xml:space="preserve">Retenidos SIES 2025</t>
        </is>
      </c>
      <c r="I141" s="69" t="inlineStr">
        <is>
          <t xml:space="preserve">Tasa SIES 2025</t>
        </is>
      </c>
      <c r="J141" s="69" t="inlineStr">
        <is>
          <t xml:space="preserve">Brecha (pp)</t>
        </is>
      </c>
    </row>
    <row r="142" customFormat="false" ht="21.75" hidden="false" customHeight="true" outlineLevel="0" collapsed="false">
      <c r="C142" s="51" t="inlineStr">
        <is>
          <t xml:space="preserve">Ingenieria En Conectividad Y Redes</t>
        </is>
      </c>
      <c r="D142" s="51" t="n">
        <v>63</v>
      </c>
      <c r="E142" s="51" t="n">
        <v>43</v>
      </c>
      <c r="F142" s="72" t="n">
        <v>0.682539682539683</v>
      </c>
      <c r="G142" s="51" t="n">
        <v>65</v>
      </c>
      <c r="H142" s="51" t="n">
        <v>44</v>
      </c>
      <c r="I142" s="72" t="n">
        <v>0.676923076923077</v>
      </c>
      <c r="J142" s="24" t="n">
        <v>0.56166056166056</v>
      </c>
    </row>
    <row r="143" customFormat="false" ht="21.75" hidden="false" customHeight="true" outlineLevel="0" collapsed="false">
      <c r="C143" s="51" t="inlineStr">
        <is>
          <t xml:space="preserve">Auditoria</t>
        </is>
      </c>
      <c r="D143" s="51" t="n">
        <v>40</v>
      </c>
      <c r="E143" s="51" t="n">
        <v>27</v>
      </c>
      <c r="F143" s="72" t="n">
        <v>0.675</v>
      </c>
      <c r="G143" s="51" t="n">
        <v>41</v>
      </c>
      <c r="H143" s="51" t="n">
        <v>28</v>
      </c>
      <c r="I143" s="72" t="n">
        <v>0.682926829268293</v>
      </c>
      <c r="J143" s="24" t="n">
        <v>-0.792682926829269</v>
      </c>
    </row>
    <row r="144" customFormat="false" ht="21.75" hidden="false" customHeight="true" outlineLevel="0" collapsed="false">
      <c r="C144" s="51" t="inlineStr">
        <is>
          <t xml:space="preserve">Tecnico En Programacion Y Analisis De Sistemas</t>
        </is>
      </c>
      <c r="D144" s="51" t="n">
        <v>130</v>
      </c>
      <c r="E144" s="51" t="n">
        <v>80</v>
      </c>
      <c r="F144" s="72" t="n">
        <v>0.615384615384615</v>
      </c>
      <c r="G144" s="51" t="n">
        <v>133</v>
      </c>
      <c r="H144" s="51" t="n">
        <v>81</v>
      </c>
      <c r="I144" s="72" t="n">
        <v>0.609022556390978</v>
      </c>
      <c r="J144" s="24" t="n">
        <v>0.636205899363795</v>
      </c>
    </row>
    <row r="145" customFormat="false" ht="21.75" hidden="false" customHeight="true" outlineLevel="0" collapsed="false">
      <c r="C145" s="51" t="inlineStr">
        <is>
          <t xml:space="preserve">Ingenieria En Informatica</t>
        </is>
      </c>
      <c r="D145" s="51" t="n">
        <v>118</v>
      </c>
      <c r="E145" s="51" t="n">
        <v>81</v>
      </c>
      <c r="F145" s="72" t="n">
        <v>0.686440677966102</v>
      </c>
      <c r="G145" s="51" t="n">
        <v>118</v>
      </c>
      <c r="H145" s="51" t="n">
        <v>81</v>
      </c>
      <c r="I145" s="72" t="n">
        <v>0.686440677966102</v>
      </c>
      <c r="J145" s="24" t="n">
        <v>0</v>
      </c>
    </row>
    <row r="146" customFormat="false" ht="21.75" hidden="false" customHeight="true" outlineLevel="0" collapsed="false">
      <c r="C146" s="51" t="inlineStr">
        <is>
          <t xml:space="preserve">Ingenieria En Ciberseguridad</t>
        </is>
      </c>
      <c r="D146" s="51" t="n">
        <v>102</v>
      </c>
      <c r="E146" s="51" t="n">
        <v>65</v>
      </c>
      <c r="F146" s="72" t="n">
        <v>0.637254901960784</v>
      </c>
      <c r="G146" s="51" t="n">
        <v>104</v>
      </c>
      <c r="H146" s="51" t="n">
        <v>66</v>
      </c>
      <c r="I146" s="72" t="n">
        <v>0.634615384615385</v>
      </c>
      <c r="J146" s="24" t="n">
        <v>0.263951734539969</v>
      </c>
    </row>
    <row r="147" customFormat="false" ht="21.75" hidden="false" customHeight="true" outlineLevel="0" collapsed="false">
      <c r="C147" s="51" t="inlineStr">
        <is>
          <t xml:space="preserve">Tecnico En Ciberseguridad</t>
        </is>
      </c>
      <c r="D147" s="51" t="n">
        <v>80</v>
      </c>
      <c r="E147" s="51" t="n">
        <v>52</v>
      </c>
      <c r="F147" s="72" t="n">
        <v>0.65</v>
      </c>
      <c r="G147" s="51" t="n">
        <v>80</v>
      </c>
      <c r="H147" s="51" t="n">
        <v>52</v>
      </c>
      <c r="I147" s="72" t="n">
        <v>0.65</v>
      </c>
      <c r="J147" s="24" t="n">
        <v>0</v>
      </c>
    </row>
    <row r="148" customFormat="false" ht="21.75" hidden="false" customHeight="true" outlineLevel="0" collapsed="false">
      <c r="C148" s="51" t="inlineStr">
        <is>
          <t xml:space="preserve">Ingenieria En Logistica</t>
        </is>
      </c>
      <c r="D148" s="51" t="n">
        <v>61</v>
      </c>
      <c r="E148" s="51" t="n">
        <v>37</v>
      </c>
      <c r="F148" s="72" t="n">
        <v>0.60655737704918</v>
      </c>
      <c r="G148" s="51" t="n">
        <v>63</v>
      </c>
      <c r="H148" s="51" t="n">
        <v>39</v>
      </c>
      <c r="I148" s="72" t="n">
        <v>0.619047619047619</v>
      </c>
      <c r="J148" s="24" t="n">
        <v>-1.24902419984387</v>
      </c>
    </row>
    <row r="149" customFormat="false" ht="21.75" hidden="false" customHeight="true" outlineLevel="0" collapsed="false">
      <c r="C149" s="51" t="inlineStr">
        <is>
          <t xml:space="preserve">Tecnico En Ciencia De Datos</t>
        </is>
      </c>
      <c r="D149" s="51" t="n">
        <v>23</v>
      </c>
      <c r="E149" s="51" t="n">
        <v>13</v>
      </c>
      <c r="F149" s="72" t="n">
        <v>0.565217391304348</v>
      </c>
      <c r="G149" s="51" t="n">
        <v>23</v>
      </c>
      <c r="H149" s="51" t="n">
        <v>13</v>
      </c>
      <c r="I149" s="72" t="n">
        <v>0.565217391304348</v>
      </c>
      <c r="J149" s="24" t="n">
        <v>0</v>
      </c>
    </row>
    <row r="150" customFormat="false" ht="21.75" hidden="false" customHeight="true" outlineLevel="0" collapsed="false">
      <c r="C150" s="51" t="inlineStr">
        <is>
          <t xml:space="preserve">Tecnico En Conectividad Y Redes</t>
        </is>
      </c>
      <c r="D150" s="51" t="n">
        <v>42</v>
      </c>
      <c r="E150" s="51" t="n">
        <v>26</v>
      </c>
      <c r="F150" s="72" t="n">
        <v>0.619047619047619</v>
      </c>
      <c r="G150" s="51" t="n">
        <v>42</v>
      </c>
      <c r="H150" s="51" t="n">
        <v>26</v>
      </c>
      <c r="I150" s="72" t="n">
        <v>0.619047619047619</v>
      </c>
      <c r="J150" s="24" t="n">
        <v>0</v>
      </c>
    </row>
    <row r="151" customFormat="false" ht="21.75" hidden="false" customHeight="true" outlineLevel="0" collapsed="false">
      <c r="C151" s="51" t="inlineStr">
        <is>
          <t xml:space="preserve">Tecnico En Logistica</t>
        </is>
      </c>
      <c r="D151" s="51" t="n">
        <v>82</v>
      </c>
      <c r="E151" s="51" t="n">
        <v>47</v>
      </c>
      <c r="F151" s="72" t="n">
        <v>0.573170731707317</v>
      </c>
      <c r="G151" s="51" t="n">
        <v>82</v>
      </c>
      <c r="H151" s="51" t="n">
        <v>47</v>
      </c>
      <c r="I151" s="72" t="n">
        <v>0.573170731707317</v>
      </c>
      <c r="J151" s="24" t="n">
        <v>0</v>
      </c>
    </row>
    <row r="152" customFormat="false" ht="21.75" hidden="false" customHeight="true" outlineLevel="0" collapsed="false">
      <c r="C152" s="51" t="inlineStr">
        <is>
          <t xml:space="preserve">Ingenieria En Ciencia De Datos</t>
        </is>
      </c>
      <c r="D152" s="51" t="n">
        <v>40</v>
      </c>
      <c r="E152" s="51" t="n">
        <v>21</v>
      </c>
      <c r="F152" s="72" t="n">
        <v>0.525</v>
      </c>
      <c r="G152" s="51" t="n">
        <v>42</v>
      </c>
      <c r="H152" s="51" t="n">
        <v>23</v>
      </c>
      <c r="I152" s="72" t="n">
        <v>0.547619047619048</v>
      </c>
      <c r="J152" s="24" t="n">
        <v>-2.26190476190477</v>
      </c>
    </row>
    <row r="153" customFormat="false" ht="21.75" hidden="false" customHeight="true" outlineLevel="0" collapsed="false">
      <c r="C153" s="51" t="inlineStr">
        <is>
          <t xml:space="preserve">Tecnico En Administracion Publica</t>
        </is>
      </c>
      <c r="D153" s="51" t="n">
        <v>22</v>
      </c>
      <c r="E153" s="51" t="n">
        <v>11</v>
      </c>
      <c r="F153" s="72" t="n">
        <v>0.5</v>
      </c>
      <c r="G153" s="51" t="n">
        <v>22</v>
      </c>
      <c r="H153" s="51" t="n">
        <v>11</v>
      </c>
      <c r="I153" s="72" t="n">
        <v>0.5</v>
      </c>
      <c r="J153" s="24" t="n">
        <v>0</v>
      </c>
    </row>
    <row r="154" customFormat="false" ht="21.75" hidden="false" customHeight="true" outlineLevel="0" collapsed="false">
      <c r="C154" s="51" t="inlineStr">
        <is>
          <t xml:space="preserve">Contabilidad General</t>
        </is>
      </c>
      <c r="D154" s="51" t="n">
        <v>38</v>
      </c>
      <c r="E154" s="51" t="n">
        <v>19</v>
      </c>
      <c r="F154" s="72" t="n">
        <v>0.5</v>
      </c>
      <c r="G154" s="51" t="n">
        <v>38</v>
      </c>
      <c r="H154" s="51" t="n">
        <v>19</v>
      </c>
      <c r="I154" s="72" t="n">
        <v>0.5</v>
      </c>
      <c r="J154" s="24" t="n">
        <v>0</v>
      </c>
    </row>
    <row r="155" customFormat="false" ht="21.75" hidden="false" customHeight="true" outlineLevel="0" collapsed="false">
      <c r="C155" s="51" t="inlineStr">
        <is>
          <t xml:space="preserve">Ingenieria En Administracion De Empresas</t>
        </is>
      </c>
      <c r="D155" s="51" t="n">
        <v>91</v>
      </c>
      <c r="E155" s="51" t="n">
        <v>46</v>
      </c>
      <c r="F155" s="72" t="n">
        <v>0.505494505494506</v>
      </c>
      <c r="G155" s="51" t="n">
        <v>92</v>
      </c>
      <c r="H155" s="51" t="n">
        <v>47</v>
      </c>
      <c r="I155" s="72" t="n">
        <v>0.510869565217391</v>
      </c>
      <c r="J155" s="24" t="n">
        <v>-0.537505972288588</v>
      </c>
    </row>
    <row r="156" customFormat="false" ht="21.75" hidden="false" customHeight="true" outlineLevel="0" collapsed="false">
      <c r="C156" s="51" t="inlineStr">
        <is>
          <t xml:space="preserve">Administracion Publica</t>
        </is>
      </c>
      <c r="D156" s="51" t="n">
        <v>70</v>
      </c>
      <c r="E156" s="51" t="n">
        <v>33</v>
      </c>
      <c r="F156" s="72" t="n">
        <v>0.471428571428571</v>
      </c>
      <c r="G156" s="51" t="n">
        <v>70</v>
      </c>
      <c r="H156" s="51" t="n">
        <v>33</v>
      </c>
      <c r="I156" s="72" t="n">
        <v>0.471428571428571</v>
      </c>
      <c r="J156" s="24" t="n">
        <v>0</v>
      </c>
    </row>
    <row r="157" customFormat="false" ht="21.75" hidden="false" customHeight="true" outlineLevel="0" collapsed="false">
      <c r="C157" s="51" t="inlineStr">
        <is>
          <t xml:space="preserve">Tecnico En Enfermeria</t>
        </is>
      </c>
      <c r="D157" s="51" t="n">
        <v>75</v>
      </c>
      <c r="E157" s="51" t="n">
        <v>35</v>
      </c>
      <c r="F157" s="72" t="n">
        <v>0.466666666666667</v>
      </c>
      <c r="G157" s="51" t="n">
        <v>75</v>
      </c>
      <c r="H157" s="51" t="n">
        <v>35</v>
      </c>
      <c r="I157" s="72" t="n">
        <v>0.466666666666667</v>
      </c>
      <c r="J157" s="24" t="n">
        <v>0</v>
      </c>
    </row>
    <row r="158" customFormat="false" ht="21.75" hidden="false" customHeight="true" outlineLevel="0" collapsed="false">
      <c r="C158" s="51" t="inlineStr">
        <is>
          <t xml:space="preserve">Tecnico En Administracion De Empresas</t>
        </is>
      </c>
      <c r="D158" s="51" t="n">
        <v>73</v>
      </c>
      <c r="E158" s="51" t="n">
        <v>32</v>
      </c>
      <c r="F158" s="72" t="n">
        <v>0.438356164383562</v>
      </c>
      <c r="G158" s="51" t="n">
        <v>73</v>
      </c>
      <c r="H158" s="51" t="n">
        <v>32</v>
      </c>
      <c r="I158" s="72" t="n">
        <v>0.438356164383562</v>
      </c>
      <c r="J158" s="24" t="n">
        <v>0</v>
      </c>
    </row>
    <row r="159" customFormat="false" ht="24" hidden="false" customHeight="true" outlineLevel="0" collapsed="false">
      <c r="C159" s="60" t="inlineStr">
        <is>
          <t xml:space="preserve">TOTAL 2025</t>
        </is>
      </c>
      <c r="D159" s="60" t="n">
        <v>1150</v>
      </c>
      <c r="E159" s="60" t="n">
        <v>668</v>
      </c>
      <c r="F159" s="71" t="n">
        <v>0.580869565217391</v>
      </c>
      <c r="G159" s="60" t="n">
        <v>1163</v>
      </c>
      <c r="H159" s="60" t="n">
        <v>677</v>
      </c>
      <c r="I159" s="71" t="n">
        <v>0.582115219260533</v>
      </c>
      <c r="J159" s="24" t="n">
        <v>-0.124565404314181</v>
      </c>
    </row>
    <row r="161" customFormat="false" ht="24.75" hidden="false" customHeight="true" outlineLevel="0" collapsed="false">
      <c r="B161" s="73" t="inlineStr">
        <is>
          <t xml:space="preserve">D. Control del acumulado 2022–2025 — hoja 13 frente a vista ejecutiva</t>
        </is>
      </c>
    </row>
    <row r="162" customFormat="false" ht="42.75" hidden="false" customHeight="true" outlineLevel="0" collapsed="false">
      <c r="C162" s="69" t="inlineStr">
        <is>
          <t xml:space="preserve">Carrera</t>
        </is>
      </c>
      <c r="D162" s="69" t="inlineStr">
        <is>
          <t xml:space="preserve">Estudiantes hoja 13</t>
        </is>
      </c>
      <c r="E162" s="69" t="inlineStr">
        <is>
          <t xml:space="preserve">Retenidos hoja 13</t>
        </is>
      </c>
      <c r="F162" s="69" t="inlineStr">
        <is>
          <t xml:space="preserve">Tasa hoja 13</t>
        </is>
      </c>
      <c r="G162" s="69" t="inlineStr">
        <is>
          <t xml:space="preserve">Estudiantes base analítica (acumulado)</t>
        </is>
      </c>
      <c r="H162" s="69" t="inlineStr">
        <is>
          <t xml:space="preserve">Retenidos base analítica (acumulado)</t>
        </is>
      </c>
      <c r="I162" s="69" t="inlineStr">
        <is>
          <t xml:space="preserve">Tasa base analítica (acumulado)</t>
        </is>
      </c>
      <c r="J162" s="69" t="inlineStr">
        <is>
          <t xml:space="preserve">Diferencia (pp)</t>
        </is>
      </c>
    </row>
    <row r="163" customFormat="false" ht="21.75" hidden="false" customHeight="true" outlineLevel="0" collapsed="false">
      <c r="C163" s="51" t="inlineStr">
        <is>
          <t xml:space="preserve">Ingenieria En Conectividad Y Redes</t>
        </is>
      </c>
      <c r="D163" s="51" t="n">
        <v>237</v>
      </c>
      <c r="E163" s="51" t="n">
        <v>169</v>
      </c>
      <c r="F163" s="72" t="n">
        <v>0.713080168776371</v>
      </c>
      <c r="G163" s="51" t="n">
        <v>237</v>
      </c>
      <c r="H163" s="51" t="n">
        <v>169</v>
      </c>
      <c r="I163" s="72" t="n">
        <v>0.713080168776371</v>
      </c>
      <c r="J163" s="24" t="n">
        <v>0</v>
      </c>
    </row>
    <row r="164" customFormat="false" ht="21.75" hidden="false" customHeight="true" outlineLevel="0" collapsed="false">
      <c r="C164" s="51" t="inlineStr">
        <is>
          <t xml:space="preserve">Auditoria</t>
        </is>
      </c>
      <c r="D164" s="51" t="n">
        <v>40</v>
      </c>
      <c r="E164" s="51" t="n">
        <v>27</v>
      </c>
      <c r="F164" s="72" t="n">
        <v>0.675</v>
      </c>
      <c r="G164" s="51" t="n">
        <v>40</v>
      </c>
      <c r="H164" s="51" t="n">
        <v>27</v>
      </c>
      <c r="I164" s="72" t="n">
        <v>0.675</v>
      </c>
      <c r="J164" s="24" t="n">
        <v>0</v>
      </c>
    </row>
    <row r="165" customFormat="false" ht="21.75" hidden="false" customHeight="true" outlineLevel="0" collapsed="false">
      <c r="C165" s="51" t="inlineStr">
        <is>
          <t xml:space="preserve">Tecnico En Programacion Y Analisis De Sistemas</t>
        </is>
      </c>
      <c r="D165" s="51" t="n">
        <v>466</v>
      </c>
      <c r="E165" s="51" t="n">
        <v>313</v>
      </c>
      <c r="F165" s="72" t="n">
        <v>0.671673819742489</v>
      </c>
      <c r="G165" s="51" t="n">
        <v>466</v>
      </c>
      <c r="H165" s="51" t="n">
        <v>313</v>
      </c>
      <c r="I165" s="72" t="n">
        <v>0.671673819742489</v>
      </c>
      <c r="J165" s="24" t="n">
        <v>0</v>
      </c>
    </row>
    <row r="166" customFormat="false" ht="21.75" hidden="false" customHeight="true" outlineLevel="0" collapsed="false">
      <c r="C166" s="51" t="inlineStr">
        <is>
          <t xml:space="preserve">Ingenieria En Informatica</t>
        </is>
      </c>
      <c r="D166" s="51" t="n">
        <v>334</v>
      </c>
      <c r="E166" s="51" t="n">
        <v>223</v>
      </c>
      <c r="F166" s="72" t="n">
        <v>0.667664670658683</v>
      </c>
      <c r="G166" s="51" t="n">
        <v>334</v>
      </c>
      <c r="H166" s="51" t="n">
        <v>223</v>
      </c>
      <c r="I166" s="72" t="n">
        <v>0.667664670658683</v>
      </c>
      <c r="J166" s="24" t="n">
        <v>0</v>
      </c>
    </row>
    <row r="167" customFormat="false" ht="21.75" hidden="false" customHeight="true" outlineLevel="0" collapsed="false">
      <c r="C167" s="51" t="inlineStr">
        <is>
          <t xml:space="preserve">Ingenieria En Ciberseguridad</t>
        </is>
      </c>
      <c r="D167" s="51" t="n">
        <v>303</v>
      </c>
      <c r="E167" s="51" t="n">
        <v>198</v>
      </c>
      <c r="F167" s="72" t="n">
        <v>0.653465346534654</v>
      </c>
      <c r="G167" s="51" t="n">
        <v>303</v>
      </c>
      <c r="H167" s="51" t="n">
        <v>198</v>
      </c>
      <c r="I167" s="72" t="n">
        <v>0.653465346534654</v>
      </c>
      <c r="J167" s="24" t="n">
        <v>0</v>
      </c>
    </row>
    <row r="168" customFormat="false" ht="21.75" hidden="false" customHeight="true" outlineLevel="0" collapsed="false">
      <c r="C168" s="51" t="inlineStr">
        <is>
          <t xml:space="preserve">Tecnico En Ciberseguridad</t>
        </is>
      </c>
      <c r="D168" s="51" t="n">
        <v>239</v>
      </c>
      <c r="E168" s="51" t="n">
        <v>155</v>
      </c>
      <c r="F168" s="72" t="n">
        <v>0.648535564853557</v>
      </c>
      <c r="G168" s="51" t="n">
        <v>239</v>
      </c>
      <c r="H168" s="51" t="n">
        <v>155</v>
      </c>
      <c r="I168" s="72" t="n">
        <v>0.648535564853557</v>
      </c>
      <c r="J168" s="24" t="n">
        <v>0</v>
      </c>
    </row>
    <row r="169" customFormat="false" ht="21.75" hidden="false" customHeight="true" outlineLevel="0" collapsed="false">
      <c r="C169" s="51" t="inlineStr">
        <is>
          <t xml:space="preserve">Ingenieria En Logistica</t>
        </is>
      </c>
      <c r="D169" s="51" t="n">
        <v>76</v>
      </c>
      <c r="E169" s="51" t="n">
        <v>44</v>
      </c>
      <c r="F169" s="72" t="n">
        <v>0.578947368421053</v>
      </c>
      <c r="G169" s="51" t="n">
        <v>76</v>
      </c>
      <c r="H169" s="51" t="n">
        <v>44</v>
      </c>
      <c r="I169" s="72" t="n">
        <v>0.578947368421053</v>
      </c>
      <c r="J169" s="24" t="n">
        <v>0</v>
      </c>
    </row>
    <row r="170" customFormat="false" ht="21.75" hidden="false" customHeight="true" outlineLevel="0" collapsed="false">
      <c r="C170" s="51" t="inlineStr">
        <is>
          <t xml:space="preserve">Tecnico En Ciencia De Datos</t>
        </is>
      </c>
      <c r="D170" s="51" t="n">
        <v>23</v>
      </c>
      <c r="E170" s="51" t="n">
        <v>13</v>
      </c>
      <c r="F170" s="72" t="n">
        <v>0.565217391304348</v>
      </c>
      <c r="G170" s="51" t="n">
        <v>23</v>
      </c>
      <c r="H170" s="51" t="n">
        <v>13</v>
      </c>
      <c r="I170" s="72" t="n">
        <v>0.565217391304348</v>
      </c>
      <c r="J170" s="24" t="n">
        <v>0</v>
      </c>
    </row>
    <row r="171" customFormat="false" ht="21.75" hidden="false" customHeight="true" outlineLevel="0" collapsed="false">
      <c r="C171" s="51" t="inlineStr">
        <is>
          <t xml:space="preserve">Tecnico En Conectividad Y Redes</t>
        </is>
      </c>
      <c r="D171" s="51" t="n">
        <v>124</v>
      </c>
      <c r="E171" s="51" t="n">
        <v>70</v>
      </c>
      <c r="F171" s="72" t="n">
        <v>0.564516129032258</v>
      </c>
      <c r="G171" s="51" t="n">
        <v>124</v>
      </c>
      <c r="H171" s="51" t="n">
        <v>70</v>
      </c>
      <c r="I171" s="72" t="n">
        <v>0.564516129032258</v>
      </c>
      <c r="J171" s="24" t="n">
        <v>0</v>
      </c>
    </row>
    <row r="172" customFormat="false" ht="21.75" hidden="false" customHeight="true" outlineLevel="0" collapsed="false">
      <c r="C172" s="51" t="inlineStr">
        <is>
          <t xml:space="preserve">Tecnico En Logistica</t>
        </is>
      </c>
      <c r="D172" s="51" t="n">
        <v>105</v>
      </c>
      <c r="E172" s="51" t="n">
        <v>57</v>
      </c>
      <c r="F172" s="72" t="n">
        <v>0.542857142857143</v>
      </c>
      <c r="G172" s="51" t="n">
        <v>105</v>
      </c>
      <c r="H172" s="51" t="n">
        <v>57</v>
      </c>
      <c r="I172" s="72" t="n">
        <v>0.542857142857143</v>
      </c>
      <c r="J172" s="24" t="n">
        <v>0</v>
      </c>
    </row>
    <row r="173" customFormat="false" ht="21.75" hidden="false" customHeight="true" outlineLevel="0" collapsed="false">
      <c r="C173" s="51" t="inlineStr">
        <is>
          <t xml:space="preserve">Ingenieria En Ciencia De Datos</t>
        </is>
      </c>
      <c r="D173" s="51" t="n">
        <v>40</v>
      </c>
      <c r="E173" s="51" t="n">
        <v>21</v>
      </c>
      <c r="F173" s="72" t="n">
        <v>0.525</v>
      </c>
      <c r="G173" s="51" t="n">
        <v>40</v>
      </c>
      <c r="H173" s="51" t="n">
        <v>21</v>
      </c>
      <c r="I173" s="72" t="n">
        <v>0.525</v>
      </c>
      <c r="J173" s="24" t="n">
        <v>0</v>
      </c>
    </row>
    <row r="174" customFormat="false" ht="21.75" hidden="false" customHeight="true" outlineLevel="0" collapsed="false">
      <c r="C174" s="51" t="inlineStr">
        <is>
          <t xml:space="preserve">Tecnico En Administracion Publica</t>
        </is>
      </c>
      <c r="D174" s="51" t="n">
        <v>22</v>
      </c>
      <c r="E174" s="51" t="n">
        <v>11</v>
      </c>
      <c r="F174" s="72" t="n">
        <v>0.5</v>
      </c>
      <c r="G174" s="51" t="n">
        <v>22</v>
      </c>
      <c r="H174" s="51" t="n">
        <v>11</v>
      </c>
      <c r="I174" s="72" t="n">
        <v>0.5</v>
      </c>
      <c r="J174" s="24" t="n">
        <v>0</v>
      </c>
    </row>
    <row r="175" customFormat="false" ht="21.75" hidden="false" customHeight="true" outlineLevel="0" collapsed="false">
      <c r="C175" s="51" t="inlineStr">
        <is>
          <t xml:space="preserve">Contabilidad General</t>
        </is>
      </c>
      <c r="D175" s="51" t="n">
        <v>38</v>
      </c>
      <c r="E175" s="51" t="n">
        <v>19</v>
      </c>
      <c r="F175" s="72" t="n">
        <v>0.5</v>
      </c>
      <c r="G175" s="51" t="n">
        <v>38</v>
      </c>
      <c r="H175" s="51" t="n">
        <v>19</v>
      </c>
      <c r="I175" s="72" t="n">
        <v>0.5</v>
      </c>
      <c r="J175" s="24" t="n">
        <v>0</v>
      </c>
    </row>
    <row r="176" customFormat="false" ht="21.75" hidden="false" customHeight="true" outlineLevel="0" collapsed="false">
      <c r="C176" s="51" t="inlineStr">
        <is>
          <t xml:space="preserve">Ingenieria En Administracion De Empresas</t>
        </is>
      </c>
      <c r="D176" s="51" t="n">
        <v>99</v>
      </c>
      <c r="E176" s="51" t="n">
        <v>49</v>
      </c>
      <c r="F176" s="72" t="n">
        <v>0.494949494949495</v>
      </c>
      <c r="G176" s="51" t="n">
        <v>99</v>
      </c>
      <c r="H176" s="51" t="n">
        <v>49</v>
      </c>
      <c r="I176" s="72" t="n">
        <v>0.494949494949495</v>
      </c>
      <c r="J176" s="24" t="n">
        <v>0</v>
      </c>
    </row>
    <row r="177" customFormat="false" ht="21.75" hidden="false" customHeight="true" outlineLevel="0" collapsed="false">
      <c r="C177" s="51" t="inlineStr">
        <is>
          <t xml:space="preserve">Administracion Publica</t>
        </is>
      </c>
      <c r="D177" s="51" t="n">
        <v>70</v>
      </c>
      <c r="E177" s="51" t="n">
        <v>33</v>
      </c>
      <c r="F177" s="72" t="n">
        <v>0.471428571428571</v>
      </c>
      <c r="G177" s="51" t="n">
        <v>70</v>
      </c>
      <c r="H177" s="51" t="n">
        <v>33</v>
      </c>
      <c r="I177" s="72" t="n">
        <v>0.471428571428571</v>
      </c>
      <c r="J177" s="24" t="n">
        <v>0</v>
      </c>
    </row>
    <row r="178" customFormat="false" ht="21.75" hidden="false" customHeight="true" outlineLevel="0" collapsed="false">
      <c r="C178" s="51" t="inlineStr">
        <is>
          <t xml:space="preserve">Tecnico En Enfermeria</t>
        </is>
      </c>
      <c r="D178" s="51" t="n">
        <v>75</v>
      </c>
      <c r="E178" s="51" t="n">
        <v>35</v>
      </c>
      <c r="F178" s="72" t="n">
        <v>0.466666666666667</v>
      </c>
      <c r="G178" s="51" t="n">
        <v>75</v>
      </c>
      <c r="H178" s="51" t="n">
        <v>35</v>
      </c>
      <c r="I178" s="72" t="n">
        <v>0.466666666666667</v>
      </c>
      <c r="J178" s="24" t="n">
        <v>0</v>
      </c>
    </row>
    <row r="179" customFormat="false" ht="21.75" hidden="false" customHeight="true" outlineLevel="0" collapsed="false">
      <c r="C179" s="51" t="inlineStr">
        <is>
          <t xml:space="preserve">Tecnico En Administracion De Empresas</t>
        </is>
      </c>
      <c r="D179" s="51" t="n">
        <v>88</v>
      </c>
      <c r="E179" s="51" t="n">
        <v>39</v>
      </c>
      <c r="F179" s="72" t="n">
        <v>0.443181818181818</v>
      </c>
      <c r="G179" s="51" t="n">
        <v>88</v>
      </c>
      <c r="H179" s="51" t="n">
        <v>39</v>
      </c>
      <c r="I179" s="72" t="n">
        <v>0.443181818181818</v>
      </c>
      <c r="J179" s="24" t="n">
        <v>0</v>
      </c>
    </row>
    <row r="181" customFormat="false" ht="24.75" hidden="false" customHeight="true" outlineLevel="0" collapsed="false">
      <c r="B181" s="74" t="inlineStr">
        <is>
          <t xml:space="preserve">Control: 17 de 17 carreras coinciden en estudiantes, retenidos y tasa al comparar 2022–2025.</t>
        </is>
      </c>
    </row>
    <row r="182" customFormat="false" ht="34.5" hidden="false" customHeight="true" outlineLevel="0" collapsed="false">
      <c r="B182" s="74" t="inlineStr">
        <is>
          <t xml:space="preserve">La sección C usa solo la cohorte 2025; la vista ejecutiva por carrera reúne 2022–2025. Sus tasas no son comparables sin igualar el período.</t>
        </is>
      </c>
    </row>
    <row r="183" customFormat="false" ht="34.5" hidden="false" customHeight="true" outlineLevel="0" collapsed="false">
      <c r="B183" s="74" t="inlineStr">
        <is>
          <t xml:space="preserve">Trazabilidad: hoja 11 = RAW completo; hoja 9 = candidatos incluidos según reglas oficiales; hoja 13 y vista ejecutiva calculan sobre hoja 9.</t>
        </is>
      </c>
    </row>
  </sheetData>
  <autoFilter ref="B7:L43">
    <filterColumn colId="10">
      <filters>
        <filter val="1"/>
      </filters>
    </filterColumn>
  </autoFilter>
  <mergeCells count="5">
    <mergeCell ref="A1:L1"/>
    <mergeCell ref="B3:L3"/>
    <mergeCell ref="B6:D6"/>
    <mergeCell ref="B49:D49"/>
    <mergeCell ref="B137:L137"/>
  </mergeCells>
  <conditionalFormatting sqref="I51:I135">
    <cfRule type="top10" priority="2" aboveAverage="0" equalAverage="0" bottom="0" percent="0" rank="5" text="" dxfId="8"/>
    <cfRule type="top10" priority="3" aboveAverage="0" equalAverage="0" bottom="1" percent="0" rank="5" text="" dxfId="9"/>
  </conditionalFormatting>
  <hyperlinks>
    <hyperlink ref="A3" location="'Portada'!B3" display="🏠 Portada / Índice"/>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2B42"/>
    <pageSetUpPr fitToPage="true"/>
  </sheetPr>
  <dimension ref="A1:GR260"/>
  <sheetViews>
    <sheetView showFormulas="false" showGridLines="false" showRowColHeaders="true" showZeros="true" rightToLeft="false" tabSelected="true" showOutlineSymbols="true" defaultGridColor="true" view="normal" topLeftCell="A5" colorId="64" zoomScale="100" zoomScaleNormal="100" zoomScalePageLayoutView="100" workbookViewId="0">
      <selection pane="topLeft" activeCell="F9" activeCellId="0" sqref="F9"/>
    </sheetView>
  </sheetViews>
  <sheetFormatPr defaultColWidth="8.66796875" defaultRowHeight="15" customHeight="false" zeroHeight="false" outlineLevelRow="0" outlineLevelCol="0"/>
  <cols>
    <col collapsed="false" customWidth="true" hidden="false" outlineLevel="0" max="1" min="1" style="1" width="13.34"/>
    <col collapsed="false" customWidth="true" hidden="false" outlineLevel="0" max="2" min="2" style="1" width="30"/>
    <col collapsed="false" customWidth="true" hidden="false" outlineLevel="0" max="5" min="3" style="1" width="18"/>
    <col collapsed="false" customWidth="true" hidden="false" outlineLevel="0" max="6" min="6" style="1" width="5"/>
    <col collapsed="false" customWidth="true" hidden="false" outlineLevel="0" max="7" min="7" style="1" width="32.5"/>
    <col collapsed="false" customWidth="true" hidden="false" outlineLevel="0" max="10" min="8" style="1" width="17.16"/>
    <col collapsed="false" customWidth="true" hidden="false" outlineLevel="0" max="11" min="11" style="1" width="5"/>
    <col collapsed="false" customWidth="true" hidden="false" outlineLevel="0" max="12" min="12" style="1" width="16.67"/>
    <col collapsed="false" customWidth="true" hidden="false" outlineLevel="0" max="13" min="13" style="1" width="13.34"/>
    <col collapsed="false" customWidth="true" hidden="false" outlineLevel="0" max="14" min="14" style="1" width="16.67"/>
    <col collapsed="false" customWidth="true" hidden="false" outlineLevel="0" max="15" min="15" style="1" width="18.34"/>
    <col collapsed="false" customWidth="true" hidden="false" outlineLevel="0" max="16" min="16" style="1" width="19"/>
    <col collapsed="false" customWidth="true" hidden="false" outlineLevel="0" max="17" min="17" style="1" width="5"/>
    <col collapsed="false" customWidth="true" hidden="false" outlineLevel="0" max="18" min="18" style="1" width="35.83"/>
    <col collapsed="false" customWidth="true" hidden="false" outlineLevel="0" max="19" min="19" style="1" width="17.5"/>
    <col collapsed="false" customWidth="true" hidden="false" outlineLevel="0" max="20" min="20" style="1" width="9.33"/>
    <col collapsed="false" customWidth="true" hidden="false" outlineLevel="0" max="21" min="21" style="1" width="10.33"/>
    <col collapsed="false" customWidth="true" hidden="false" outlineLevel="0" max="22" min="22" style="1" width="11"/>
    <col collapsed="false" customWidth="true" hidden="false" outlineLevel="0" max="23" min="23" style="1" width="5"/>
    <col collapsed="false" customWidth="true" hidden="false" outlineLevel="0" max="24" min="24" style="1" width="35.83"/>
    <col collapsed="false" customWidth="true" hidden="false" outlineLevel="0" max="25" min="25" style="1" width="13.34"/>
    <col collapsed="false" customWidth="true" hidden="false" outlineLevel="0" max="26" min="26" style="1" width="10"/>
    <col collapsed="false" customWidth="true" hidden="false" outlineLevel="0" max="27" min="27" style="1" width="12.5"/>
    <col collapsed="false" customWidth="true" hidden="false" outlineLevel="0" max="28" min="28" style="1" width="12.33"/>
    <col collapsed="false" customWidth="true" hidden="false" outlineLevel="0" max="29" min="29" style="1" width="31"/>
    <col collapsed="false" customWidth="true" hidden="false" outlineLevel="0" max="30" min="30" style="1" width="30"/>
    <col collapsed="false" customWidth="true" hidden="false" outlineLevel="0" max="33" min="31" style="1" width="18"/>
    <col collapsed="false" customWidth="true" hidden="false" outlineLevel="0" max="34" min="34" style="1" width="5"/>
    <col collapsed="false" customWidth="true" hidden="false" outlineLevel="0" max="35" min="35" style="1" width="30"/>
    <col collapsed="false" customWidth="true" hidden="false" outlineLevel="0" max="38" min="36" style="1" width="18"/>
    <col collapsed="false" customWidth="true" hidden="false" outlineLevel="0" max="39" min="39" style="1" width="5"/>
    <col collapsed="false" customWidth="true" hidden="false" outlineLevel="0" max="40" min="40" style="1" width="30"/>
    <col collapsed="false" customWidth="true" hidden="false" outlineLevel="0" max="43" min="41" style="1" width="18"/>
    <col collapsed="false" customWidth="true" hidden="false" outlineLevel="0" max="44" min="44" style="1" width="5"/>
    <col collapsed="false" customWidth="true" hidden="false" outlineLevel="0" max="45" min="45" style="1" width="20.83"/>
    <col collapsed="false" customWidth="true" hidden="false" outlineLevel="0" max="46" min="46" style="1" width="31.16"/>
    <col collapsed="false" customWidth="true" hidden="false" outlineLevel="0" max="47" min="47" style="1" width="10.83"/>
    <col collapsed="false" customWidth="true" hidden="false" outlineLevel="0" max="48" min="48" style="1" width="34.33"/>
    <col collapsed="false" customWidth="true" hidden="false" outlineLevel="0" max="49" min="49" style="1" width="13.16"/>
    <col collapsed="false" customWidth="true" hidden="false" outlineLevel="0" max="51" min="51" style="1" width="38.33"/>
    <col collapsed="false" customWidth="true" hidden="false" outlineLevel="0" max="52" min="52" style="1" width="15"/>
    <col collapsed="false" customWidth="true" hidden="false" outlineLevel="0" max="54" min="54" style="1" width="18.34"/>
    <col collapsed="false" customWidth="true" hidden="false" outlineLevel="0" max="55" min="55" style="1" width="15"/>
    <col collapsed="false" customWidth="true" hidden="false" outlineLevel="0" max="58" min="57" style="1" width="15"/>
    <col collapsed="false" customWidth="true" hidden="false" outlineLevel="0" max="61" min="60" style="1" width="15"/>
    <col collapsed="false" customWidth="true" hidden="true" outlineLevel="0" max="91" min="64" style="1" width="15"/>
  </cols>
  <sheetData>
    <row r="1" customFormat="false" ht="30" hidden="false" customHeight="true" outlineLevel="0" collapsed="false">
      <c r="A1" s="62" t="inlineStr">
        <is>
          <t xml:space="preserve">14. Vistas ejecutivas — de lo institucional a lo granular</t>
        </is>
      </c>
      <c r="B1" s="62"/>
      <c r="C1" s="62"/>
      <c r="D1" s="62"/>
      <c r="E1" s="62"/>
      <c r="F1" s="62"/>
      <c r="G1" s="62"/>
      <c r="H1" s="62"/>
    </row>
    <row r="2" customFormat="false" ht="15" hidden="false" customHeight="true" outlineLevel="0" collapsed="false">
      <c r="BL2" s="1" t="inlineStr">
        <is>
          <t xml:space="preserve">Acumulado 2022-2025</t>
        </is>
      </c>
      <c r="BM2" s="1" t="inlineStr">
        <is>
          <t xml:space="preserve">Todos</t>
        </is>
      </c>
      <c r="BN2" s="1" t="inlineStr">
        <is>
          <t xml:space="preserve">Todas</t>
        </is>
      </c>
    </row>
    <row r="3" customFormat="false" ht="84.75" hidden="false" customHeight="true" outlineLevel="0" collapsed="false">
      <c r="A3" s="35" t="inlineStr">
        <is>
          <t xml:space="preserve">🏠 Portada / Índice</t>
        </is>
      </c>
      <c r="B3" s="75" t="inlineStr">
        <is>
          <t xml:space="preserve">Elija cohortes, sector y, si desea, carrera. La tasa de un mismo grupo debe coincidir entre niveles; cada modalidad o carrera puede tener una tasa diferente. Para reunir grupos, sume retenidos y estudiantes y divida los totales. «Promedio» en Excel solo promedia porcentajes y no considera cuántos estudiantes tiene cada grupo. Los gráficos muestran las cohortes elegidas. La referencia oficial de matrícula es el 30 de abril.</t>
        </is>
      </c>
      <c r="C3" s="75"/>
      <c r="D3" s="75"/>
      <c r="E3" s="75"/>
      <c r="F3" s="75"/>
      <c r="G3" s="75"/>
      <c r="H3" s="75"/>
      <c r="BL3" s="1" t="inlineStr">
        <is>
          <t xml:space="preserve">Cohorte 2022</t>
        </is>
      </c>
      <c r="BM3" s="1" t="inlineStr">
        <is>
          <t xml:space="preserve">Tecnologías</t>
        </is>
      </c>
      <c r="BN3" s="1" t="inlineStr">
        <is>
          <t xml:space="preserve">Administracion Publica</t>
        </is>
      </c>
    </row>
    <row r="4" customFormat="false" ht="30" hidden="false" customHeight="true" outlineLevel="0" collapsed="false">
      <c r="A4" s="5"/>
      <c r="B4" s="21" t="inlineStr">
        <is>
          <t xml:space="preserve">COHORTE(S)</t>
        </is>
      </c>
      <c r="C4" s="22" t="inlineStr">
        <is>
          <t xml:space="preserve">Acumulado 2022-2025</t>
        </is>
      </c>
      <c r="D4" s="22"/>
      <c r="E4" s="22"/>
      <c r="F4" s="5"/>
      <c r="G4" s="21" t="inlineStr">
        <is>
          <t xml:space="preserve">SECTOR</t>
        </is>
      </c>
      <c r="H4" s="22" t="inlineStr">
        <is>
          <t xml:space="preserve">Todos</t>
        </is>
      </c>
      <c r="I4" s="22"/>
      <c r="J4" s="22"/>
      <c r="K4" s="5"/>
      <c r="L4" s="5"/>
      <c r="M4" s="5"/>
      <c r="N4" s="5"/>
      <c r="O4" s="5"/>
      <c r="P4" s="5"/>
      <c r="Q4" s="5"/>
      <c r="R4" s="21" t="inlineStr">
        <is>
          <t xml:space="preserve">CARRERA</t>
        </is>
      </c>
      <c r="S4" s="22" t="inlineStr">
        <is>
          <t xml:space="preserve">Todas</t>
        </is>
      </c>
      <c r="T4" s="22"/>
      <c r="U4" s="22"/>
      <c r="V4" s="22"/>
      <c r="W4" s="5"/>
      <c r="X4" s="76" t="str">
        <v/>
      </c>
      <c r="Y4" s="76"/>
      <c r="Z4" s="76"/>
      <c r="AA4" s="76"/>
      <c r="AB4" s="76"/>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t="inlineStr">
        <is>
          <t xml:space="preserve">Cohorte 2023</t>
        </is>
      </c>
      <c r="BM4" s="5" t="inlineStr">
        <is>
          <t xml:space="preserve">Administración y Comercio</t>
        </is>
      </c>
      <c r="BN4" s="5" t="inlineStr">
        <is>
          <t xml:space="preserve">Auditoria</t>
        </is>
      </c>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row>
    <row r="5" customFormat="false" ht="25.5" hidden="false" customHeight="true" outlineLevel="0" collapsed="false">
      <c r="A5" s="5"/>
      <c r="B5" s="77" t="inlineStr">
        <is>
          <t xml:space="preserve">Nivel 1 — Grupo seleccionado</t>
        </is>
      </c>
      <c r="C5" s="77"/>
      <c r="D5" s="77"/>
      <c r="E5" s="77"/>
      <c r="G5" s="77" t="inlineStr">
        <is>
          <t xml:space="preserve">Nivel 2 — Por sector (cohorte elegida)</t>
        </is>
      </c>
      <c r="H5" s="77"/>
      <c r="I5" s="77"/>
      <c r="J5" s="77"/>
      <c r="K5" s="5"/>
      <c r="L5" s="77" t="inlineStr">
        <is>
          <t xml:space="preserve">Nivel 4 — Por Modalidad</t>
        </is>
      </c>
      <c r="M5" s="77"/>
      <c r="N5" s="77"/>
      <c r="O5" s="77"/>
      <c r="P5" s="77"/>
      <c r="Q5" s="5"/>
      <c r="R5" s="77" t="inlineStr">
        <is>
          <t xml:space="preserve">Nivel 5 — Por carrera (cohorte elegida)</t>
        </is>
      </c>
      <c r="S5" s="77"/>
      <c r="T5" s="77"/>
      <c r="U5" s="77"/>
      <c r="V5" s="77"/>
      <c r="W5" s="5"/>
      <c r="X5" s="77" t="inlineStr">
        <is>
          <t xml:space="preserve">Nivel 6 — Por carrera y modalidad (cohorte elegida)</t>
        </is>
      </c>
      <c r="Y5" s="77"/>
      <c r="Z5" s="77"/>
      <c r="AA5" s="77"/>
      <c r="AB5" s="77"/>
      <c r="AC5" s="5"/>
      <c r="AD5" s="77" t="inlineStr">
        <is>
          <t xml:space="preserve">Nivel 7 — Por Jornada</t>
        </is>
      </c>
      <c r="AE5" s="77"/>
      <c r="AF5" s="77"/>
      <c r="AG5" s="77"/>
      <c r="AH5" s="5"/>
      <c r="AI5" s="77" t="inlineStr">
        <is>
          <t xml:space="preserve">Nivel 7 — Por Sexo</t>
        </is>
      </c>
      <c r="AJ5" s="77"/>
      <c r="AK5" s="77"/>
      <c r="AL5" s="77"/>
      <c r="AM5" s="5"/>
      <c r="AN5" s="77" t="inlineStr">
        <is>
          <t xml:space="preserve">Nivel 7 — Por Tramo de edad</t>
        </is>
      </c>
      <c r="AO5" s="77"/>
      <c r="AP5" s="77"/>
      <c r="AQ5" s="77"/>
      <c r="AR5" s="5"/>
      <c r="AS5" s="77" t="inlineStr">
        <is>
          <t xml:space="preserve">Vista — Mejores y menores tasas en la cohorte elegida</t>
        </is>
      </c>
      <c r="AT5" s="77"/>
      <c r="AU5" s="77"/>
      <c r="AV5" s="77"/>
      <c r="AW5" s="77"/>
      <c r="AX5" s="5"/>
      <c r="AY5" s="78" t="inlineStr">
        <is>
          <t xml:space="preserve">Datos auxiliares de gráficos — orden ascendente por tasa (se actualizan solos)</t>
        </is>
      </c>
      <c r="AZ5" s="5"/>
      <c r="BA5" s="5"/>
      <c r="BB5" s="5"/>
      <c r="BC5" s="5"/>
      <c r="BD5" s="5"/>
      <c r="BE5" s="5"/>
      <c r="BF5" s="5"/>
      <c r="BG5" s="5"/>
      <c r="BH5" s="5"/>
      <c r="BI5" s="5"/>
      <c r="BJ5" s="5"/>
      <c r="BK5" s="5"/>
      <c r="BL5" s="5" t="inlineStr">
        <is>
          <t xml:space="preserve">Cohorte 2024</t>
        </is>
      </c>
      <c r="BM5" s="5" t="inlineStr">
        <is>
          <t xml:space="preserve">Salud</t>
        </is>
      </c>
      <c r="BN5" s="5" t="inlineStr">
        <is>
          <t xml:space="preserve">Contabilidad General</t>
        </is>
      </c>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row>
    <row r="6" customFormat="false" ht="27.75" hidden="false" customHeight="true" outlineLevel="0" collapsed="false">
      <c r="A6" s="5"/>
      <c r="B6" s="21" t="inlineStr">
        <is>
          <t xml:space="preserve">Cohorte</t>
        </is>
      </c>
      <c r="C6" s="21" t="inlineStr">
        <is>
          <t xml:space="preserve">Estudiantes</t>
        </is>
      </c>
      <c r="D6" s="21" t="inlineStr">
        <is>
          <t xml:space="preserve">Retenidos</t>
        </is>
      </c>
      <c r="E6" s="21" t="inlineStr">
        <is>
          <t xml:space="preserve">Tasa de retención</t>
        </is>
      </c>
      <c r="F6" s="5"/>
      <c r="G6" s="21" t="inlineStr">
        <is>
          <t xml:space="preserve">Sector</t>
        </is>
      </c>
      <c r="H6" s="21" t="inlineStr">
        <is>
          <t xml:space="preserve">Estudiantes</t>
        </is>
      </c>
      <c r="I6" s="21" t="inlineStr">
        <is>
          <t xml:space="preserve">Retenidos</t>
        </is>
      </c>
      <c r="J6" s="21" t="inlineStr">
        <is>
          <t xml:space="preserve">Tasa de retención</t>
        </is>
      </c>
      <c r="K6" s="5"/>
      <c r="L6" s="21" t="inlineStr">
        <is>
          <t xml:space="preserve">Modalidad</t>
        </is>
      </c>
      <c r="M6" s="21" t="inlineStr">
        <is>
          <t xml:space="preserve">Cohorte</t>
        </is>
      </c>
      <c r="N6" s="21" t="inlineStr">
        <is>
          <t xml:space="preserve">Estudiantes</t>
        </is>
      </c>
      <c r="O6" s="21" t="inlineStr">
        <is>
          <t xml:space="preserve">Retenidos</t>
        </is>
      </c>
      <c r="P6" s="21" t="inlineStr">
        <is>
          <t xml:space="preserve">Tasa de retención</t>
        </is>
      </c>
      <c r="Q6" s="5"/>
      <c r="R6" s="21" t="inlineStr">
        <is>
          <t xml:space="preserve">Carrera</t>
        </is>
      </c>
      <c r="S6" s="21" t="inlineStr">
        <is>
          <t xml:space="preserve">Sector</t>
        </is>
      </c>
      <c r="T6" s="21" t="inlineStr">
        <is>
          <t xml:space="preserve">Estudiantes</t>
        </is>
      </c>
      <c r="U6" s="21" t="inlineStr">
        <is>
          <t xml:space="preserve">Retenidos</t>
        </is>
      </c>
      <c r="V6" s="21" t="inlineStr">
        <is>
          <t xml:space="preserve">Tasa de retención</t>
        </is>
      </c>
      <c r="W6" s="5"/>
      <c r="X6" s="21" t="inlineStr">
        <is>
          <t xml:space="preserve">Carrera</t>
        </is>
      </c>
      <c r="Y6" s="21" t="inlineStr">
        <is>
          <t xml:space="preserve">Modalidad</t>
        </is>
      </c>
      <c r="Z6" s="21" t="inlineStr">
        <is>
          <t xml:space="preserve">Estudiantes</t>
        </is>
      </c>
      <c r="AA6" s="21" t="inlineStr">
        <is>
          <t xml:space="preserve">Retenidos</t>
        </is>
      </c>
      <c r="AB6" s="21" t="inlineStr">
        <is>
          <t xml:space="preserve">Tasa de retención</t>
        </is>
      </c>
      <c r="AC6" s="5"/>
      <c r="AD6" s="21" t="inlineStr">
        <is>
          <t xml:space="preserve">Jornada</t>
        </is>
      </c>
      <c r="AE6" s="21" t="inlineStr">
        <is>
          <t xml:space="preserve">Estudiantes</t>
        </is>
      </c>
      <c r="AF6" s="21" t="inlineStr">
        <is>
          <t xml:space="preserve">Retenidos</t>
        </is>
      </c>
      <c r="AG6" s="21" t="inlineStr">
        <is>
          <t xml:space="preserve">Tasa de retención</t>
        </is>
      </c>
      <c r="AH6" s="5"/>
      <c r="AI6" s="21" t="inlineStr">
        <is>
          <t xml:space="preserve">Sexo</t>
        </is>
      </c>
      <c r="AJ6" s="21" t="inlineStr">
        <is>
          <t xml:space="preserve">Estudiantes</t>
        </is>
      </c>
      <c r="AK6" s="21" t="inlineStr">
        <is>
          <t xml:space="preserve">Retenidos</t>
        </is>
      </c>
      <c r="AL6" s="21" t="inlineStr">
        <is>
          <t xml:space="preserve">Tasa de retención</t>
        </is>
      </c>
      <c r="AM6" s="5"/>
      <c r="AN6" s="21" t="inlineStr">
        <is>
          <t xml:space="preserve">Tramo Edad</t>
        </is>
      </c>
      <c r="AO6" s="21" t="inlineStr">
        <is>
          <t xml:space="preserve">Estudiantes</t>
        </is>
      </c>
      <c r="AP6" s="21" t="inlineStr">
        <is>
          <t xml:space="preserve">Retenidos</t>
        </is>
      </c>
      <c r="AQ6" s="21" t="inlineStr">
        <is>
          <t xml:space="preserve">Tasa de retención</t>
        </is>
      </c>
      <c r="AR6" s="5"/>
      <c r="AS6" s="21" t="inlineStr">
        <is>
          <t xml:space="preserve">Dimensión</t>
        </is>
      </c>
      <c r="AT6" s="21" t="inlineStr">
        <is>
          <t xml:space="preserve">Mejor</t>
        </is>
      </c>
      <c r="AU6" s="21" t="inlineStr">
        <is>
          <t xml:space="preserve">Tasa (mejor)</t>
        </is>
      </c>
      <c r="AV6" s="21" t="inlineStr">
        <is>
          <t xml:space="preserve">Peor</t>
        </is>
      </c>
      <c r="AW6" s="21" t="inlineStr">
        <is>
          <t xml:space="preserve">Tasa (peor)</t>
        </is>
      </c>
      <c r="AX6" s="5"/>
      <c r="AY6" s="79" t="inlineStr">
        <is>
          <t xml:space="preserve">Carrera — Modalidad</t>
        </is>
      </c>
      <c r="AZ6" s="79" t="inlineStr">
        <is>
          <t xml:space="preserve">Tasa de retención</t>
        </is>
      </c>
      <c r="BA6" s="5"/>
      <c r="BB6" s="79" t="inlineStr">
        <is>
          <t xml:space="preserve">Jornada</t>
        </is>
      </c>
      <c r="BC6" s="79" t="inlineStr">
        <is>
          <t xml:space="preserve">Tasa de retención</t>
        </is>
      </c>
      <c r="BD6" s="5"/>
      <c r="BE6" s="79" t="inlineStr">
        <is>
          <t xml:space="preserve">Sexo</t>
        </is>
      </c>
      <c r="BF6" s="79" t="inlineStr">
        <is>
          <t xml:space="preserve">Tasa de retención</t>
        </is>
      </c>
      <c r="BG6" s="5"/>
      <c r="BH6" s="79" t="inlineStr">
        <is>
          <t xml:space="preserve">Tramo Edad</t>
        </is>
      </c>
      <c r="BI6" s="79" t="inlineStr">
        <is>
          <t xml:space="preserve">Tasa de retención</t>
        </is>
      </c>
      <c r="BJ6" s="5"/>
      <c r="BK6" s="5"/>
      <c r="BL6" s="5" t="inlineStr">
        <is>
          <t xml:space="preserve">Cohorte 2025</t>
        </is>
      </c>
      <c r="BM6" s="5"/>
      <c r="BN6" s="5" t="inlineStr">
        <is>
          <t xml:space="preserve">Ingenieria En Administracion De Empresas</t>
        </is>
      </c>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row>
    <row r="7" customFormat="false" ht="25.5" hidden="false" customHeight="true" outlineLevel="0" collapsed="false">
      <c r="A7" s="5"/>
      <c r="B7" s="80" t="str">
        <v>Acumulado 2022-2025</v>
      </c>
      <c r="C7" s="81" t="n">
        <v>2379</v>
      </c>
      <c r="D7" s="81" t="n">
        <v>1476</v>
      </c>
      <c r="E7" s="82" t="n">
        <v>0.620428751576293</v>
      </c>
      <c r="F7" s="5"/>
      <c r="G7" s="80" t="str">
        <v>Tecnologías</v>
      </c>
      <c r="H7" s="81" t="n">
        <v>1766</v>
      </c>
      <c r="I7" s="81" t="n">
        <v>1162</v>
      </c>
      <c r="J7" s="82" t="n">
        <v>0.657984144960362</v>
      </c>
      <c r="K7" s="5"/>
      <c r="L7" s="80" t="str">
        <v>Presencial</v>
      </c>
      <c r="M7" s="80" t="str">
        <v>2022-25</v>
      </c>
      <c r="N7" s="81" t="n">
        <v>483</v>
      </c>
      <c r="O7" s="81" t="n">
        <v>291</v>
      </c>
      <c r="P7" s="82" t="n">
        <v>0.60248447204969</v>
      </c>
      <c r="Q7" s="5"/>
      <c r="R7" s="80" t="str">
        <v>Ingenieria En Conectividad Y Redes</v>
      </c>
      <c r="S7" s="80" t="str">
        <v>Tecnologías</v>
      </c>
      <c r="T7" s="81" t="n">
        <v>237</v>
      </c>
      <c r="U7" s="81" t="n">
        <v>169</v>
      </c>
      <c r="V7" s="82" t="n">
        <v>0.713080168776371</v>
      </c>
      <c r="W7" s="5"/>
      <c r="X7" s="80" t="str">
        <v>Administracion Publica</v>
      </c>
      <c r="Y7" s="80" t="str">
        <v>A distancia</v>
      </c>
      <c r="Z7" s="81" t="n">
        <v>70</v>
      </c>
      <c r="AA7" s="81" t="n">
        <v>33</v>
      </c>
      <c r="AB7" s="82" t="n">
        <v>0.471428571428571</v>
      </c>
      <c r="AC7" s="83" t="str">
        <v>Administracion Publica — A distancia</v>
      </c>
      <c r="AD7" s="80" t="str">
        <v>Presencial-Diurno</v>
      </c>
      <c r="AE7" s="81" t="n">
        <v>177</v>
      </c>
      <c r="AF7" s="81" t="n">
        <v>126</v>
      </c>
      <c r="AG7" s="82" t="n">
        <v>0.711864406779661</v>
      </c>
      <c r="AH7" s="5"/>
      <c r="AI7" s="80" t="str">
        <v>Hombre</v>
      </c>
      <c r="AJ7" s="81" t="n">
        <v>1768</v>
      </c>
      <c r="AK7" s="81" t="n">
        <v>1094</v>
      </c>
      <c r="AL7" s="82" t="n">
        <v>0.618778280542986</v>
      </c>
      <c r="AM7" s="5"/>
      <c r="AN7" s="80" t="str">
        <v>Menos de 20</v>
      </c>
      <c r="AO7" s="81" t="n">
        <v>91</v>
      </c>
      <c r="AP7" s="81" t="n">
        <v>61</v>
      </c>
      <c r="AQ7" s="82" t="n">
        <v>0.67032967032967</v>
      </c>
      <c r="AR7" s="5"/>
      <c r="AS7" s="84" t="inlineStr">
        <is>
          <t xml:space="preserve">Sector</t>
        </is>
      </c>
      <c r="AT7" s="84" t="str">
        <v>Tecnologías</v>
      </c>
      <c r="AU7" s="85" t="n">
        <v>0.657984144960362</v>
      </c>
      <c r="AV7" s="84" t="str">
        <v>Salud</v>
      </c>
      <c r="AW7" s="85" t="n">
        <v>0.466666666666667</v>
      </c>
      <c r="AX7" s="5"/>
      <c r="AY7" s="5" t="str">
        <v>Tecnico En Administracion De Empresas — Presencial</v>
      </c>
      <c r="AZ7" s="86" t="n">
        <v>0.3125</v>
      </c>
      <c r="BA7" s="5"/>
      <c r="BB7" s="5" t="str">
        <v>Presencial-Vespertino</v>
      </c>
      <c r="BC7" s="86" t="n">
        <v>0.53921568627451</v>
      </c>
      <c r="BD7" s="5"/>
      <c r="BE7" s="5" t="str">
        <v>No binario</v>
      </c>
      <c r="BF7" s="86" t="n">
        <v>0</v>
      </c>
      <c r="BG7" s="5"/>
      <c r="BH7" s="5" t="str">
        <v>40+</v>
      </c>
      <c r="BI7" s="86" t="n">
        <v>0.562310030395137</v>
      </c>
      <c r="BJ7" s="5"/>
      <c r="BK7" s="5"/>
      <c r="BL7" s="5" t="inlineStr">
        <is>
          <t xml:space="preserve">Cohortes 2022 + 2023</t>
        </is>
      </c>
      <c r="BM7" s="5"/>
      <c r="BN7" s="5" t="inlineStr">
        <is>
          <t xml:space="preserve">Ingenieria En Ciberseguridad</t>
        </is>
      </c>
      <c r="BO7" s="5"/>
      <c r="BP7" s="5"/>
      <c r="BQ7" s="5"/>
      <c r="BR7" s="5" t="inlineStr">
        <is>
          <t xml:space="preserve">Ingenieria En Conectividad Y Redes</t>
        </is>
      </c>
      <c r="BS7" s="5" t="n">
        <v>237</v>
      </c>
      <c r="BT7" s="5" t="n">
        <v>169</v>
      </c>
      <c r="BU7" s="5" t="n">
        <v>1</v>
      </c>
      <c r="BV7" s="5" t="inlineStr">
        <is>
          <t xml:space="preserve">Administracion Publica</t>
        </is>
      </c>
      <c r="BW7" s="5" t="inlineStr">
        <is>
          <t xml:space="preserve">A distancia</t>
        </is>
      </c>
      <c r="BX7" s="5" t="n">
        <v>70</v>
      </c>
      <c r="BY7" s="5" t="n">
        <v>33</v>
      </c>
      <c r="BZ7" s="5" t="n">
        <v>1</v>
      </c>
      <c r="CA7" s="30" t="n">
        <v>0.620428751576293</v>
      </c>
      <c r="CB7" s="30" t="n">
        <v>0.657984144960362</v>
      </c>
      <c r="CC7" s="5"/>
      <c r="CD7" s="5"/>
      <c r="CE7" s="30" t="n">
        <v>0.713080168776371</v>
      </c>
      <c r="CF7" s="5" t="inlineStr">
        <is>
          <t xml:space="preserve">Presencial</t>
        </is>
      </c>
      <c r="CG7" s="5" t="inlineStr">
        <is>
          <t xml:space="preserve">Presencial-Diurno</t>
        </is>
      </c>
      <c r="CH7" s="5" t="inlineStr">
        <is>
          <t xml:space="preserve">Hombre</t>
        </is>
      </c>
      <c r="CI7" s="5" t="inlineStr">
        <is>
          <t xml:space="preserve">Menos de 20</t>
        </is>
      </c>
      <c r="CJ7" s="5" t="n">
        <v>6</v>
      </c>
      <c r="CK7" s="5" t="n">
        <v>3</v>
      </c>
      <c r="CL7" s="5" t="n">
        <v>2</v>
      </c>
      <c r="CM7" s="5" t="n">
        <v>4</v>
      </c>
      <c r="CN7" s="5" t="n">
        <v>2022</v>
      </c>
      <c r="CO7" s="5" t="n">
        <v>0.734426229508197</v>
      </c>
      <c r="CP7" s="5" t="n">
        <v>1</v>
      </c>
      <c r="CQ7" s="5" t="str">
        <v>Tecnologías</v>
      </c>
      <c r="CR7" s="30" t="n">
        <v>0.657984144960362</v>
      </c>
      <c r="CS7" s="5" t="n">
        <v>1</v>
      </c>
      <c r="CT7" s="5" t="n">
        <v>2022</v>
      </c>
      <c r="CU7" s="5" t="n">
        <v>0.759036144578313</v>
      </c>
      <c r="CV7" s="5" t="n">
        <v>0.725225225225225</v>
      </c>
      <c r="CW7" s="5" t="n">
        <v>1</v>
      </c>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row>
    <row r="8" customFormat="false" ht="25.5" hidden="false" customHeight="true" outlineLevel="0" collapsed="false">
      <c r="A8" s="5"/>
      <c r="B8" s="80"/>
      <c r="C8" s="81"/>
      <c r="D8" s="81"/>
      <c r="E8" s="82"/>
      <c r="F8" s="5"/>
      <c r="G8" s="80" t="str">
        <v>Administración y Comercio</v>
      </c>
      <c r="H8" s="81" t="n">
        <v>538</v>
      </c>
      <c r="I8" s="81" t="n">
        <v>279</v>
      </c>
      <c r="J8" s="82" t="n">
        <v>0.518587360594796</v>
      </c>
      <c r="K8" s="5"/>
      <c r="L8" s="80" t="str">
        <v>A distancia</v>
      </c>
      <c r="M8" s="80" t="str">
        <v>2022-25</v>
      </c>
      <c r="N8" s="81" t="n">
        <v>1896</v>
      </c>
      <c r="O8" s="81" t="n">
        <v>1185</v>
      </c>
      <c r="P8" s="82" t="n">
        <v>0.625</v>
      </c>
      <c r="Q8" s="5"/>
      <c r="R8" s="80" t="str">
        <v>Auditoria</v>
      </c>
      <c r="S8" s="80" t="str">
        <v>Administración y Comercio</v>
      </c>
      <c r="T8" s="81" t="n">
        <v>40</v>
      </c>
      <c r="U8" s="81" t="n">
        <v>27</v>
      </c>
      <c r="V8" s="82" t="n">
        <v>0.675</v>
      </c>
      <c r="W8" s="5"/>
      <c r="X8" s="80" t="str">
        <v>Auditoria</v>
      </c>
      <c r="Y8" s="80" t="str">
        <v>A distancia</v>
      </c>
      <c r="Z8" s="81" t="n">
        <v>40</v>
      </c>
      <c r="AA8" s="81" t="n">
        <v>27</v>
      </c>
      <c r="AB8" s="82" t="n">
        <v>0.675</v>
      </c>
      <c r="AC8" s="83" t="str">
        <v>Auditoria — A distancia</v>
      </c>
      <c r="AD8" s="80" t="str">
        <v>Presencial-Vespertino</v>
      </c>
      <c r="AE8" s="81" t="n">
        <v>306</v>
      </c>
      <c r="AF8" s="81" t="n">
        <v>165</v>
      </c>
      <c r="AG8" s="82" t="n">
        <v>0.53921568627451</v>
      </c>
      <c r="AH8" s="5"/>
      <c r="AI8" s="80" t="str">
        <v>Mujer</v>
      </c>
      <c r="AJ8" s="81" t="n">
        <v>610</v>
      </c>
      <c r="AK8" s="81" t="n">
        <v>382</v>
      </c>
      <c r="AL8" s="82" t="n">
        <v>0.626229508196721</v>
      </c>
      <c r="AM8" s="5"/>
      <c r="AN8" s="80" t="str">
        <v>20-24</v>
      </c>
      <c r="AO8" s="81" t="n">
        <v>382</v>
      </c>
      <c r="AP8" s="81" t="n">
        <v>269</v>
      </c>
      <c r="AQ8" s="82" t="n">
        <v>0.704188481675393</v>
      </c>
      <c r="AR8" s="5"/>
      <c r="AS8" s="87" t="inlineStr">
        <is>
          <t xml:space="preserve">Modalidad</t>
        </is>
      </c>
      <c r="AT8" s="87" t="str">
        <v>Presencial</v>
      </c>
      <c r="AU8" s="88" t="n">
        <v>0.60248447204969</v>
      </c>
      <c r="AV8" s="87" t="str">
        <v>Presencial</v>
      </c>
      <c r="AW8" s="88" t="n">
        <v>0.60248447204969</v>
      </c>
      <c r="AX8" s="5"/>
      <c r="AY8" s="5" t="str">
        <v>Ingenieria En Administracion De Empresas — Presencial</v>
      </c>
      <c r="AZ8" s="86" t="n">
        <v>0.35</v>
      </c>
      <c r="BA8" s="5"/>
      <c r="BB8" s="5" t="str">
        <v>Virtual</v>
      </c>
      <c r="BC8" s="86" t="n">
        <v>0.625</v>
      </c>
      <c r="BD8" s="5"/>
      <c r="BE8" s="5" t="str">
        <v>Hombre</v>
      </c>
      <c r="BF8" s="86" t="n">
        <v>0.618778280542986</v>
      </c>
      <c r="BG8" s="5"/>
      <c r="BH8" s="5" t="str">
        <v>30-39</v>
      </c>
      <c r="BI8" s="86" t="n">
        <v>0.597137014314928</v>
      </c>
      <c r="BJ8" s="5"/>
      <c r="BK8" s="5"/>
      <c r="BL8" s="5" t="inlineStr">
        <is>
          <t xml:space="preserve">Cohortes 2022 + 2024</t>
        </is>
      </c>
      <c r="BM8" s="5"/>
      <c r="BN8" s="5" t="inlineStr">
        <is>
          <t xml:space="preserve">Ingenieria En Ciencia De Datos</t>
        </is>
      </c>
      <c r="BO8" s="5"/>
      <c r="BP8" s="5"/>
      <c r="BQ8" s="5"/>
      <c r="BR8" s="5" t="inlineStr">
        <is>
          <t xml:space="preserve">Auditoria</t>
        </is>
      </c>
      <c r="BS8" s="5" t="n">
        <v>40</v>
      </c>
      <c r="BT8" s="5" t="n">
        <v>27</v>
      </c>
      <c r="BU8" s="5" t="n">
        <v>2</v>
      </c>
      <c r="BV8" s="5" t="inlineStr">
        <is>
          <t xml:space="preserve">Auditoria</t>
        </is>
      </c>
      <c r="BW8" s="5" t="inlineStr">
        <is>
          <t xml:space="preserve">A distancia</t>
        </is>
      </c>
      <c r="BX8" s="5" t="n">
        <v>40</v>
      </c>
      <c r="BY8" s="5" t="n">
        <v>27</v>
      </c>
      <c r="BZ8" s="5" t="n">
        <v>2</v>
      </c>
      <c r="CA8" s="5" t="str">
        <v/>
      </c>
      <c r="CB8" s="30" t="n">
        <v>0.518587360594796</v>
      </c>
      <c r="CC8" s="30" t="n">
        <v>0.625</v>
      </c>
      <c r="CD8" s="5"/>
      <c r="CE8" s="30" t="n">
        <v>0.675</v>
      </c>
      <c r="CF8" s="5" t="inlineStr">
        <is>
          <t xml:space="preserve">Presencial</t>
        </is>
      </c>
      <c r="CG8" s="5" t="inlineStr">
        <is>
          <t xml:space="preserve">Presencial-Vespertino</t>
        </is>
      </c>
      <c r="CH8" s="5" t="inlineStr">
        <is>
          <t xml:space="preserve">Mujer</t>
        </is>
      </c>
      <c r="CI8" s="5" t="inlineStr">
        <is>
          <t xml:space="preserve">20-24</t>
        </is>
      </c>
      <c r="CJ8" s="5" t="n">
        <v>22</v>
      </c>
      <c r="CK8" s="5" t="n">
        <v>1</v>
      </c>
      <c r="CL8" s="5" t="n">
        <v>3</v>
      </c>
      <c r="CM8" s="5" t="n">
        <v>5</v>
      </c>
      <c r="CN8" s="5" t="n">
        <v>2023</v>
      </c>
      <c r="CO8" s="5" t="n">
        <v>0.704918032786885</v>
      </c>
      <c r="CP8" s="5" t="str">
        <v/>
      </c>
      <c r="CQ8" s="5" t="str">
        <v>Administración y Comercio</v>
      </c>
      <c r="CR8" s="30" t="n">
        <v>0.518587360594796</v>
      </c>
      <c r="CS8" s="5" t="n">
        <v>2</v>
      </c>
      <c r="CT8" s="5" t="n">
        <v>2023</v>
      </c>
      <c r="CU8" s="5" t="n">
        <v>0.583333333333333</v>
      </c>
      <c r="CV8" s="5" t="n">
        <v>0.713450292397661</v>
      </c>
      <c r="CW8" s="5" t="str">
        <v/>
      </c>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row>
    <row r="9" customFormat="false" ht="25.5" hidden="false" customHeight="true" outlineLevel="0" collapsed="false">
      <c r="A9" s="5"/>
      <c r="B9" s="80"/>
      <c r="C9" s="81"/>
      <c r="D9" s="81"/>
      <c r="E9" s="82"/>
      <c r="F9" s="5"/>
      <c r="G9" s="80" t="str">
        <v>Salud</v>
      </c>
      <c r="H9" s="81" t="n">
        <v>75</v>
      </c>
      <c r="I9" s="81" t="n">
        <v>35</v>
      </c>
      <c r="J9" s="82" t="n">
        <v>0.466666666666667</v>
      </c>
      <c r="K9" s="5"/>
      <c r="L9" s="80"/>
      <c r="M9" s="80"/>
      <c r="N9" s="81"/>
      <c r="O9" s="81"/>
      <c r="P9" s="82"/>
      <c r="Q9" s="5"/>
      <c r="R9" s="80" t="str">
        <v>Tecnico En Programacion Y Analisis De Sistemas</v>
      </c>
      <c r="S9" s="80" t="str">
        <v>Tecnologías</v>
      </c>
      <c r="T9" s="81" t="n">
        <v>466</v>
      </c>
      <c r="U9" s="81" t="n">
        <v>313</v>
      </c>
      <c r="V9" s="82" t="n">
        <v>0.671673819742489</v>
      </c>
      <c r="W9" s="5"/>
      <c r="X9" s="80" t="str">
        <v>Contabilidad General</v>
      </c>
      <c r="Y9" s="80" t="str">
        <v>A distancia</v>
      </c>
      <c r="Z9" s="81" t="n">
        <v>38</v>
      </c>
      <c r="AA9" s="81" t="n">
        <v>19</v>
      </c>
      <c r="AB9" s="82" t="n">
        <v>0.5</v>
      </c>
      <c r="AC9" s="83" t="str">
        <v>Contabilidad General — A distancia</v>
      </c>
      <c r="AD9" s="80" t="str">
        <v>Virtual</v>
      </c>
      <c r="AE9" s="81" t="n">
        <v>1896</v>
      </c>
      <c r="AF9" s="81" t="n">
        <v>1185</v>
      </c>
      <c r="AG9" s="82" t="n">
        <v>0.625</v>
      </c>
      <c r="AH9" s="5"/>
      <c r="AI9" s="80" t="str">
        <v>No binario</v>
      </c>
      <c r="AJ9" s="81" t="n">
        <v>1</v>
      </c>
      <c r="AK9" s="81" t="n">
        <v>0</v>
      </c>
      <c r="AL9" s="82" t="n">
        <v>0</v>
      </c>
      <c r="AM9" s="5"/>
      <c r="AN9" s="80" t="str">
        <v>25-29</v>
      </c>
      <c r="AO9" s="81" t="n">
        <v>599</v>
      </c>
      <c r="AP9" s="81" t="n">
        <v>377</v>
      </c>
      <c r="AQ9" s="82" t="n">
        <v>0.629382303839733</v>
      </c>
      <c r="AR9" s="5"/>
      <c r="AS9" s="84" t="inlineStr">
        <is>
          <t xml:space="preserve">Carrera</t>
        </is>
      </c>
      <c r="AT9" s="84" t="str">
        <v>Ingenieria En Conectividad Y Redes</v>
      </c>
      <c r="AU9" s="85" t="n">
        <v>0.713080168776371</v>
      </c>
      <c r="AV9" s="84" t="str">
        <v>Tecnico En Administracion De Empresas</v>
      </c>
      <c r="AW9" s="85" t="n">
        <v>0.443181818181818</v>
      </c>
      <c r="AX9" s="5"/>
      <c r="AY9" s="5" t="str">
        <v>Tecnico En Logistica — Presencial</v>
      </c>
      <c r="AZ9" s="86" t="n">
        <v>0.36</v>
      </c>
      <c r="BA9" s="5"/>
      <c r="BB9" s="5" t="str">
        <v>Presencial-Diurno</v>
      </c>
      <c r="BC9" s="86" t="n">
        <v>0.711864406779661</v>
      </c>
      <c r="BD9" s="5"/>
      <c r="BE9" s="5" t="str">
        <v>Mujer</v>
      </c>
      <c r="BF9" s="86" t="n">
        <v>0.626229508196721</v>
      </c>
      <c r="BG9" s="5"/>
      <c r="BH9" s="5" t="str">
        <v>25-29</v>
      </c>
      <c r="BI9" s="86" t="n">
        <v>0.629382303839733</v>
      </c>
      <c r="BJ9" s="5"/>
      <c r="BK9" s="5"/>
      <c r="BL9" s="5" t="inlineStr">
        <is>
          <t xml:space="preserve">Cohortes 2022 + 2025</t>
        </is>
      </c>
      <c r="BM9" s="5"/>
      <c r="BN9" s="5" t="inlineStr">
        <is>
          <t xml:space="preserve">Ingenieria En Conectividad Y Redes</t>
        </is>
      </c>
      <c r="BO9" s="5"/>
      <c r="BP9" s="5"/>
      <c r="BQ9" s="5"/>
      <c r="BR9" s="5" t="inlineStr">
        <is>
          <t xml:space="preserve">Tecnico En Programacion Y Analisis De Sistemas</t>
        </is>
      </c>
      <c r="BS9" s="5" t="n">
        <v>466</v>
      </c>
      <c r="BT9" s="5" t="n">
        <v>313</v>
      </c>
      <c r="BU9" s="5" t="n">
        <v>3</v>
      </c>
      <c r="BV9" s="5" t="inlineStr">
        <is>
          <t xml:space="preserve">Contabilidad General</t>
        </is>
      </c>
      <c r="BW9" s="5" t="inlineStr">
        <is>
          <t xml:space="preserve">A distancia</t>
        </is>
      </c>
      <c r="BX9" s="5" t="n">
        <v>38</v>
      </c>
      <c r="BY9" s="5" t="n">
        <v>19</v>
      </c>
      <c r="BZ9" s="5" t="n">
        <v>3</v>
      </c>
      <c r="CA9" s="5" t="str">
        <v/>
      </c>
      <c r="CB9" s="30" t="n">
        <v>0.466666666666667</v>
      </c>
      <c r="CC9" s="5" t="str">
        <v/>
      </c>
      <c r="CD9" s="5"/>
      <c r="CE9" s="30" t="n">
        <v>0.671673819742489</v>
      </c>
      <c r="CF9" s="5" t="inlineStr">
        <is>
          <t xml:space="preserve">Presencial</t>
        </is>
      </c>
      <c r="CG9" s="5" t="inlineStr">
        <is>
          <t xml:space="preserve">Virtual</t>
        </is>
      </c>
      <c r="CH9" s="5" t="inlineStr">
        <is>
          <t xml:space="preserve">No binario</t>
        </is>
      </c>
      <c r="CI9" s="5" t="inlineStr">
        <is>
          <t xml:space="preserve">25-29</t>
        </is>
      </c>
      <c r="CJ9" s="5" t="n">
        <v>8</v>
      </c>
      <c r="CK9" s="5" t="n">
        <v>2</v>
      </c>
      <c r="CL9" s="5" t="n">
        <v>1</v>
      </c>
      <c r="CM9" s="5" t="n">
        <v>3</v>
      </c>
      <c r="CN9" s="5" t="n">
        <v>2024</v>
      </c>
      <c r="CO9" s="5" t="n">
        <v>0.584229390681004</v>
      </c>
      <c r="CP9" s="5" t="str">
        <v/>
      </c>
      <c r="CQ9" s="5" t="str">
        <v>Salud</v>
      </c>
      <c r="CR9" s="30" t="n">
        <v>0.466666666666667</v>
      </c>
      <c r="CS9" s="5" t="n">
        <v>3</v>
      </c>
      <c r="CT9" s="5" t="n">
        <v>2024</v>
      </c>
      <c r="CU9" s="5" t="n">
        <v>0.580882352941177</v>
      </c>
      <c r="CV9" s="5" t="n">
        <v>0.585308056872038</v>
      </c>
      <c r="CW9" s="5" t="str">
        <v/>
      </c>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row>
    <row r="10" customFormat="false" ht="25.5" hidden="false" customHeight="true" outlineLevel="0" collapsed="false">
      <c r="A10" s="5"/>
      <c r="B10" s="80"/>
      <c r="C10" s="81"/>
      <c r="D10" s="81"/>
      <c r="E10" s="82"/>
      <c r="F10" s="5"/>
      <c r="G10" s="5"/>
      <c r="H10" s="5"/>
      <c r="I10" s="5"/>
      <c r="J10" s="5"/>
      <c r="K10" s="5"/>
      <c r="L10" s="80"/>
      <c r="M10" s="80"/>
      <c r="N10" s="81"/>
      <c r="O10" s="81"/>
      <c r="P10" s="82"/>
      <c r="Q10" s="5"/>
      <c r="R10" s="80" t="str">
        <v>Ingenieria En Informatica</v>
      </c>
      <c r="S10" s="80" t="str">
        <v>Tecnologías</v>
      </c>
      <c r="T10" s="81" t="n">
        <v>334</v>
      </c>
      <c r="U10" s="81" t="n">
        <v>223</v>
      </c>
      <c r="V10" s="82" t="n">
        <v>0.667664670658683</v>
      </c>
      <c r="W10" s="5"/>
      <c r="X10" s="80" t="str">
        <v>Ingenieria En Administracion De Empresas</v>
      </c>
      <c r="Y10" s="80" t="str">
        <v>A distancia</v>
      </c>
      <c r="Z10" s="81" t="n">
        <v>79</v>
      </c>
      <c r="AA10" s="81" t="n">
        <v>42</v>
      </c>
      <c r="AB10" s="82" t="n">
        <v>0.531645569620253</v>
      </c>
      <c r="AC10" s="83" t="str">
        <v>Ingenieria En Administracion De Empresas — A distancia</v>
      </c>
      <c r="AD10" s="5"/>
      <c r="AE10" s="5"/>
      <c r="AF10" s="5"/>
      <c r="AG10" s="5"/>
      <c r="AH10" s="5"/>
      <c r="AI10" s="5"/>
      <c r="AJ10" s="5"/>
      <c r="AK10" s="5"/>
      <c r="AL10" s="5"/>
      <c r="AM10" s="5"/>
      <c r="AN10" s="80" t="str">
        <v>30-39</v>
      </c>
      <c r="AO10" s="81" t="n">
        <v>978</v>
      </c>
      <c r="AP10" s="81" t="n">
        <v>584</v>
      </c>
      <c r="AQ10" s="82" t="n">
        <v>0.597137014314928</v>
      </c>
      <c r="AR10" s="5"/>
      <c r="AS10" s="87" t="inlineStr">
        <is>
          <t xml:space="preserve">Carrera × Modalidad</t>
        </is>
      </c>
      <c r="AT10" s="87" t="str">
        <v>Ingenieria En Conectividad Y Redes — Presencial</v>
      </c>
      <c r="AU10" s="88" t="n">
        <v>0.76</v>
      </c>
      <c r="AV10" s="87" t="str">
        <v>Tecnico En Administracion De Empresas — Presencial</v>
      </c>
      <c r="AW10" s="88" t="n">
        <v>0.3125</v>
      </c>
      <c r="AX10" s="5"/>
      <c r="AY10" s="5" t="str">
        <v>Ingenieria En Logistica — Presencial</v>
      </c>
      <c r="AZ10" s="86" t="n">
        <v>0.466666666666667</v>
      </c>
      <c r="BA10" s="5"/>
      <c r="BB10" s="5"/>
      <c r="BC10" s="86"/>
      <c r="BD10" s="5"/>
      <c r="BE10" s="5"/>
      <c r="BF10" s="86"/>
      <c r="BG10" s="5"/>
      <c r="BH10" s="5" t="str">
        <v>Menos de 20</v>
      </c>
      <c r="BI10" s="86" t="n">
        <v>0.67032967032967</v>
      </c>
      <c r="BJ10" s="5"/>
      <c r="BK10" s="5"/>
      <c r="BL10" s="5" t="inlineStr">
        <is>
          <t xml:space="preserve">Cohortes 2023 + 2024</t>
        </is>
      </c>
      <c r="BM10" s="5"/>
      <c r="BN10" s="5" t="inlineStr">
        <is>
          <t xml:space="preserve">Ingenieria En Informatica</t>
        </is>
      </c>
      <c r="BO10" s="5" t="n">
        <v>2022</v>
      </c>
      <c r="BP10" s="5"/>
      <c r="BQ10" s="5"/>
      <c r="BR10" s="5" t="inlineStr">
        <is>
          <t xml:space="preserve">Ingenieria En Informatica</t>
        </is>
      </c>
      <c r="BS10" s="5" t="n">
        <v>334</v>
      </c>
      <c r="BT10" s="5" t="n">
        <v>223</v>
      </c>
      <c r="BU10" s="5" t="n">
        <v>4</v>
      </c>
      <c r="BV10" s="5" t="inlineStr">
        <is>
          <t xml:space="preserve">Ingenieria En Administracion De Empresas</t>
        </is>
      </c>
      <c r="BW10" s="5" t="inlineStr">
        <is>
          <t xml:space="preserve">A distancia</t>
        </is>
      </c>
      <c r="BX10" s="5" t="n">
        <v>79</v>
      </c>
      <c r="BY10" s="5" t="n">
        <v>42</v>
      </c>
      <c r="BZ10" s="5" t="n">
        <v>4</v>
      </c>
      <c r="CA10" s="5" t="str">
        <v/>
      </c>
      <c r="CB10" s="5"/>
      <c r="CC10" s="5" t="str">
        <v/>
      </c>
      <c r="CD10" s="5"/>
      <c r="CE10" s="30" t="n">
        <v>0.667664670658683</v>
      </c>
      <c r="CF10" s="5" t="inlineStr">
        <is>
          <t xml:space="preserve">Presencial</t>
        </is>
      </c>
      <c r="CG10" s="5"/>
      <c r="CH10" s="5"/>
      <c r="CI10" s="5" t="inlineStr">
        <is>
          <t xml:space="preserve">30-39</t>
        </is>
      </c>
      <c r="CJ10" s="5" t="n">
        <v>11</v>
      </c>
      <c r="CK10" s="5"/>
      <c r="CL10" s="5"/>
      <c r="CM10" s="5" t="n">
        <v>2</v>
      </c>
      <c r="CN10" s="5" t="n">
        <v>2025</v>
      </c>
      <c r="CO10" s="5" t="n">
        <v>0.580869565217391</v>
      </c>
      <c r="CP10" s="5" t="str">
        <v/>
      </c>
      <c r="CQ10" s="5"/>
      <c r="CR10" s="5"/>
      <c r="CS10" s="5"/>
      <c r="CT10" s="5" t="n">
        <v>2025</v>
      </c>
      <c r="CU10" s="5" t="n">
        <v>0.5625</v>
      </c>
      <c r="CV10" s="5" t="n">
        <v>0.585714285714286</v>
      </c>
      <c r="CW10" s="5" t="str">
        <v/>
      </c>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row>
    <row r="11" customFormat="false" ht="25.5" hidden="false" customHeight="true" outlineLevel="0" collapsed="false">
      <c r="A11" s="5"/>
      <c r="B11" s="80"/>
      <c r="C11" s="81"/>
      <c r="D11" s="81"/>
      <c r="E11" s="82"/>
      <c r="F11" s="5"/>
      <c r="G11" s="5"/>
      <c r="H11" s="5"/>
      <c r="I11" s="5"/>
      <c r="J11" s="5"/>
      <c r="K11" s="5"/>
      <c r="L11" s="80"/>
      <c r="M11" s="80"/>
      <c r="N11" s="81"/>
      <c r="O11" s="81"/>
      <c r="P11" s="82"/>
      <c r="Q11" s="5"/>
      <c r="R11" s="80" t="str">
        <v>Ingenieria En Ciberseguridad</v>
      </c>
      <c r="S11" s="80" t="str">
        <v>Tecnologías</v>
      </c>
      <c r="T11" s="81" t="n">
        <v>303</v>
      </c>
      <c r="U11" s="81" t="n">
        <v>198</v>
      </c>
      <c r="V11" s="82" t="n">
        <v>0.653465346534654</v>
      </c>
      <c r="W11" s="5"/>
      <c r="X11" s="80" t="str">
        <v>Ingenieria En Administracion De Empresas</v>
      </c>
      <c r="Y11" s="80" t="str">
        <v>Presencial</v>
      </c>
      <c r="Z11" s="81" t="n">
        <v>20</v>
      </c>
      <c r="AA11" s="81" t="n">
        <v>7</v>
      </c>
      <c r="AB11" s="82" t="n">
        <v>0.35</v>
      </c>
      <c r="AC11" s="83" t="str">
        <v>Ingenieria En Administracion De Empresas — Presencial</v>
      </c>
      <c r="AD11" s="5"/>
      <c r="AE11" s="5"/>
      <c r="AF11" s="5"/>
      <c r="AG11" s="5"/>
      <c r="AH11" s="5"/>
      <c r="AI11" s="5"/>
      <c r="AJ11" s="5"/>
      <c r="AK11" s="5"/>
      <c r="AL11" s="5"/>
      <c r="AM11" s="5"/>
      <c r="AN11" s="80" t="str">
        <v>40+</v>
      </c>
      <c r="AO11" s="81" t="n">
        <v>329</v>
      </c>
      <c r="AP11" s="81" t="n">
        <v>185</v>
      </c>
      <c r="AQ11" s="82" t="n">
        <v>0.562310030395137</v>
      </c>
      <c r="AR11" s="5"/>
      <c r="AS11" s="84" t="inlineStr">
        <is>
          <t xml:space="preserve">Jornada</t>
        </is>
      </c>
      <c r="AT11" s="84" t="str">
        <v>Presencial-Diurno</v>
      </c>
      <c r="AU11" s="85" t="n">
        <v>0.711864406779661</v>
      </c>
      <c r="AV11" s="84" t="str">
        <v>Presencial-Vespertino</v>
      </c>
      <c r="AW11" s="85" t="n">
        <v>0.53921568627451</v>
      </c>
      <c r="AX11" s="5"/>
      <c r="AY11" s="5" t="str">
        <v>Tecnico En Enfermeria — Presencial</v>
      </c>
      <c r="AZ11" s="86" t="n">
        <v>0.466666666666667</v>
      </c>
      <c r="BA11" s="5"/>
      <c r="BB11" s="5"/>
      <c r="BC11" s="86"/>
      <c r="BD11" s="5"/>
      <c r="BE11" s="5"/>
      <c r="BF11" s="86"/>
      <c r="BG11" s="5"/>
      <c r="BH11" s="5" t="str">
        <v>20-24</v>
      </c>
      <c r="BI11" s="86" t="n">
        <v>0.704188481675393</v>
      </c>
      <c r="BJ11" s="5"/>
      <c r="BK11" s="5"/>
      <c r="BL11" s="5" t="inlineStr">
        <is>
          <t xml:space="preserve">Cohortes 2023 + 2025</t>
        </is>
      </c>
      <c r="BM11" s="5"/>
      <c r="BN11" s="5" t="inlineStr">
        <is>
          <t xml:space="preserve">Ingenieria En Logistica</t>
        </is>
      </c>
      <c r="BO11" s="5" t="n">
        <v>2025</v>
      </c>
      <c r="BP11" s="5"/>
      <c r="BQ11" s="5"/>
      <c r="BR11" s="5" t="inlineStr">
        <is>
          <t xml:space="preserve">Ingenieria En Ciberseguridad</t>
        </is>
      </c>
      <c r="BS11" s="5" t="n">
        <v>303</v>
      </c>
      <c r="BT11" s="5" t="n">
        <v>198</v>
      </c>
      <c r="BU11" s="5" t="n">
        <v>5</v>
      </c>
      <c r="BV11" s="5" t="inlineStr">
        <is>
          <t xml:space="preserve">Ingenieria En Administracion De Empresas</t>
        </is>
      </c>
      <c r="BW11" s="5" t="inlineStr">
        <is>
          <t xml:space="preserve">Presencial</t>
        </is>
      </c>
      <c r="BX11" s="5" t="n">
        <v>20</v>
      </c>
      <c r="BY11" s="5" t="n">
        <v>7</v>
      </c>
      <c r="BZ11" s="5" t="n">
        <v>5</v>
      </c>
      <c r="CA11" s="5"/>
      <c r="CB11" s="5"/>
      <c r="CC11" s="5" t="str">
        <v/>
      </c>
      <c r="CD11" s="5"/>
      <c r="CE11" s="30" t="n">
        <v>0.653465346534654</v>
      </c>
      <c r="CF11" s="5" t="inlineStr">
        <is>
          <t xml:space="preserve">Presencial</t>
        </is>
      </c>
      <c r="CG11" s="5"/>
      <c r="CH11" s="5"/>
      <c r="CI11" s="5" t="inlineStr">
        <is>
          <t xml:space="preserve">40+</t>
        </is>
      </c>
      <c r="CJ11" s="5" t="n">
        <v>2</v>
      </c>
      <c r="CK11" s="5"/>
      <c r="CL11" s="5"/>
      <c r="CM11" s="5" t="n">
        <v>1</v>
      </c>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row>
    <row r="12" customFormat="false" ht="25.5" hidden="false" customHeight="true" outlineLevel="0" collapsed="false">
      <c r="A12" s="5"/>
      <c r="B12" s="5"/>
      <c r="C12" s="5"/>
      <c r="D12" s="5"/>
      <c r="E12" s="30"/>
      <c r="F12" s="5"/>
      <c r="G12" s="5"/>
      <c r="H12" s="5"/>
      <c r="I12" s="5"/>
      <c r="J12" s="5"/>
      <c r="K12" s="5"/>
      <c r="L12" s="80"/>
      <c r="M12" s="80"/>
      <c r="N12" s="81"/>
      <c r="O12" s="81"/>
      <c r="P12" s="82"/>
      <c r="Q12" s="5"/>
      <c r="R12" s="80" t="str">
        <v>Tecnico En Ciberseguridad</v>
      </c>
      <c r="S12" s="80" t="str">
        <v>Tecnologías</v>
      </c>
      <c r="T12" s="81" t="n">
        <v>239</v>
      </c>
      <c r="U12" s="81" t="n">
        <v>155</v>
      </c>
      <c r="V12" s="82" t="n">
        <v>0.648535564853557</v>
      </c>
      <c r="W12" s="5"/>
      <c r="X12" s="80" t="str">
        <v>Ingenieria En Ciberseguridad</v>
      </c>
      <c r="Y12" s="80" t="str">
        <v>A distancia</v>
      </c>
      <c r="Z12" s="81" t="n">
        <v>211</v>
      </c>
      <c r="AA12" s="81" t="n">
        <v>130</v>
      </c>
      <c r="AB12" s="82" t="n">
        <v>0.616113744075829</v>
      </c>
      <c r="AC12" s="83" t="str">
        <v>Ingenieria En Ciberseguridad — A distancia</v>
      </c>
      <c r="AD12" s="5"/>
      <c r="AE12" s="5"/>
      <c r="AF12" s="5"/>
      <c r="AG12" s="5"/>
      <c r="AH12" s="5"/>
      <c r="AI12" s="5"/>
      <c r="AJ12" s="5"/>
      <c r="AK12" s="5"/>
      <c r="AL12" s="5"/>
      <c r="AM12" s="5"/>
      <c r="AN12" s="5"/>
      <c r="AO12" s="5"/>
      <c r="AP12" s="5"/>
      <c r="AQ12" s="5"/>
      <c r="AR12" s="5"/>
      <c r="AS12" s="87" t="inlineStr">
        <is>
          <t xml:space="preserve">Sexo (H/M; NB se muestra aparte por tamaño muestral)</t>
        </is>
      </c>
      <c r="AT12" s="87" t="str">
        <v>Mujer</v>
      </c>
      <c r="AU12" s="88" t="n">
        <v>0.626229508196721</v>
      </c>
      <c r="AV12" s="87" t="str">
        <v>Hombre</v>
      </c>
      <c r="AW12" s="88" t="n">
        <v>0.618778280542986</v>
      </c>
      <c r="AX12" s="5"/>
      <c r="AY12" s="5" t="str">
        <v>Administracion Publica — A distancia</v>
      </c>
      <c r="AZ12" s="86" t="n">
        <v>0.471428571428571</v>
      </c>
      <c r="BA12" s="5"/>
      <c r="BB12" s="5"/>
      <c r="BC12" s="86"/>
      <c r="BD12" s="5"/>
      <c r="BE12" s="5"/>
      <c r="BF12" s="86"/>
      <c r="BG12" s="5"/>
      <c r="BH12" s="5"/>
      <c r="BI12" s="86"/>
      <c r="BJ12" s="5"/>
      <c r="BK12" s="5"/>
      <c r="BL12" s="5" t="inlineStr">
        <is>
          <t xml:space="preserve">Cohortes 2024 + 2025</t>
        </is>
      </c>
      <c r="BM12" s="5"/>
      <c r="BN12" s="5" t="inlineStr">
        <is>
          <t xml:space="preserve">Tecnico En Administracion De Empresas</t>
        </is>
      </c>
      <c r="BO12" s="5" t="str">
        <v>*</v>
      </c>
      <c r="BP12" s="5"/>
      <c r="BQ12" s="5"/>
      <c r="BR12" s="5" t="inlineStr">
        <is>
          <t xml:space="preserve">Tecnico En Ciberseguridad</t>
        </is>
      </c>
      <c r="BS12" s="5" t="n">
        <v>239</v>
      </c>
      <c r="BT12" s="5" t="n">
        <v>155</v>
      </c>
      <c r="BU12" s="5" t="n">
        <v>6</v>
      </c>
      <c r="BV12" s="5" t="inlineStr">
        <is>
          <t xml:space="preserve">Ingenieria En Ciberseguridad</t>
        </is>
      </c>
      <c r="BW12" s="5" t="inlineStr">
        <is>
          <t xml:space="preserve">A distancia</t>
        </is>
      </c>
      <c r="BX12" s="5" t="n">
        <v>211</v>
      </c>
      <c r="BY12" s="5" t="n">
        <v>130</v>
      </c>
      <c r="BZ12" s="5" t="n">
        <v>6</v>
      </c>
      <c r="CA12" s="5"/>
      <c r="CB12" s="5"/>
      <c r="CC12" s="5"/>
      <c r="CD12" s="5"/>
      <c r="CE12" s="30" t="n">
        <v>0.648535564853557</v>
      </c>
      <c r="CF12" s="5" t="inlineStr">
        <is>
          <t xml:space="preserve">A distancia</t>
        </is>
      </c>
      <c r="CG12" s="5"/>
      <c r="CH12" s="5"/>
      <c r="CI12" s="5"/>
      <c r="CJ12" s="5" t="n">
        <v>16</v>
      </c>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row>
    <row r="13" customFormat="false" ht="25.5" hidden="false" customHeight="true" outlineLevel="0" collapsed="false">
      <c r="A13" s="5"/>
      <c r="B13" s="5"/>
      <c r="C13" s="5"/>
      <c r="D13" s="5"/>
      <c r="E13" s="5"/>
      <c r="F13" s="5"/>
      <c r="G13" s="5"/>
      <c r="H13" s="5"/>
      <c r="I13" s="5"/>
      <c r="J13" s="5"/>
      <c r="K13" s="5"/>
      <c r="L13" s="80"/>
      <c r="M13" s="80"/>
      <c r="N13" s="81"/>
      <c r="O13" s="81"/>
      <c r="P13" s="82"/>
      <c r="Q13" s="5"/>
      <c r="R13" s="80" t="str">
        <v>Ingenieria En Logistica</v>
      </c>
      <c r="S13" s="80" t="str">
        <v>Administración y Comercio</v>
      </c>
      <c r="T13" s="81" t="n">
        <v>76</v>
      </c>
      <c r="U13" s="81" t="n">
        <v>44</v>
      </c>
      <c r="V13" s="82" t="n">
        <v>0.578947368421053</v>
      </c>
      <c r="W13" s="5"/>
      <c r="X13" s="80" t="str">
        <v>Ingenieria En Ciberseguridad</v>
      </c>
      <c r="Y13" s="80" t="str">
        <v>Presencial</v>
      </c>
      <c r="Z13" s="81" t="n">
        <v>92</v>
      </c>
      <c r="AA13" s="81" t="n">
        <v>68</v>
      </c>
      <c r="AB13" s="82" t="n">
        <v>0.739130434782609</v>
      </c>
      <c r="AC13" s="83" t="str">
        <v>Ingenieria En Ciberseguridad — Presencial</v>
      </c>
      <c r="AD13" s="5"/>
      <c r="AE13" s="5"/>
      <c r="AF13" s="5"/>
      <c r="AG13" s="5"/>
      <c r="AH13" s="5"/>
      <c r="AI13" s="5"/>
      <c r="AJ13" s="5"/>
      <c r="AK13" s="5"/>
      <c r="AL13" s="5"/>
      <c r="AM13" s="5"/>
      <c r="AN13" s="5"/>
      <c r="AO13" s="5"/>
      <c r="AP13" s="5"/>
      <c r="AQ13" s="5"/>
      <c r="AR13" s="5"/>
      <c r="AS13" s="84" t="inlineStr">
        <is>
          <t xml:space="preserve">Tramo de Edad</t>
        </is>
      </c>
      <c r="AT13" s="84" t="str">
        <v>20-24</v>
      </c>
      <c r="AU13" s="85" t="n">
        <v>0.704188481675393</v>
      </c>
      <c r="AV13" s="84" t="str">
        <v>40+</v>
      </c>
      <c r="AW13" s="85" t="n">
        <v>0.562310030395137</v>
      </c>
      <c r="AX13" s="5"/>
      <c r="AY13" s="5" t="str">
        <v>Tecnico En Administracion De Empresas — A distancia</v>
      </c>
      <c r="AZ13" s="86" t="n">
        <v>0.472222222222222</v>
      </c>
      <c r="BA13" s="5"/>
      <c r="BB13" s="5"/>
      <c r="BC13" s="86"/>
      <c r="BD13" s="5"/>
      <c r="BE13" s="5"/>
      <c r="BF13" s="86"/>
      <c r="BG13" s="5"/>
      <c r="BH13" s="5"/>
      <c r="BI13" s="86"/>
      <c r="BJ13" s="5"/>
      <c r="BK13" s="5"/>
      <c r="BL13" s="5" t="inlineStr">
        <is>
          <t xml:space="preserve">Cohortes 2022 + 2023 + 2024</t>
        </is>
      </c>
      <c r="BM13" s="5"/>
      <c r="BN13" s="5" t="inlineStr">
        <is>
          <t xml:space="preserve">Tecnico En Administracion Publica</t>
        </is>
      </c>
      <c r="BO13" s="5" t="str">
        <v>*</v>
      </c>
      <c r="BP13" s="5"/>
      <c r="BQ13" s="5"/>
      <c r="BR13" s="5" t="inlineStr">
        <is>
          <t xml:space="preserve">Ingenieria En Logistica</t>
        </is>
      </c>
      <c r="BS13" s="5" t="n">
        <v>76</v>
      </c>
      <c r="BT13" s="5" t="n">
        <v>44</v>
      </c>
      <c r="BU13" s="5" t="n">
        <v>7</v>
      </c>
      <c r="BV13" s="5" t="inlineStr">
        <is>
          <t xml:space="preserve">Ingenieria En Ciberseguridad</t>
        </is>
      </c>
      <c r="BW13" s="5" t="inlineStr">
        <is>
          <t xml:space="preserve">Presencial</t>
        </is>
      </c>
      <c r="BX13" s="5" t="n">
        <v>92</v>
      </c>
      <c r="BY13" s="5" t="n">
        <v>68</v>
      </c>
      <c r="BZ13" s="5" t="n">
        <v>7</v>
      </c>
      <c r="CA13" s="5"/>
      <c r="CB13" s="5"/>
      <c r="CC13" s="5"/>
      <c r="CD13" s="5" t="str">
        <v/>
      </c>
      <c r="CE13" s="30" t="n">
        <v>0.578947368421053</v>
      </c>
      <c r="CF13" s="5" t="inlineStr">
        <is>
          <t xml:space="preserve">A distancia</t>
        </is>
      </c>
      <c r="CG13" s="5"/>
      <c r="CH13" s="5"/>
      <c r="CI13" s="5"/>
      <c r="CJ13" s="5" t="n">
        <v>26</v>
      </c>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row>
    <row r="14" customFormat="false" ht="15" hidden="false" customHeight="true" outlineLevel="0" collapsed="false">
      <c r="A14" s="5"/>
      <c r="B14" s="5"/>
      <c r="C14" s="5"/>
      <c r="D14" s="5"/>
      <c r="E14" s="5"/>
      <c r="F14" s="5"/>
      <c r="G14" s="5"/>
      <c r="H14" s="5"/>
      <c r="I14" s="5"/>
      <c r="J14" s="5"/>
      <c r="K14" s="5"/>
      <c r="L14" s="80"/>
      <c r="M14" s="80"/>
      <c r="N14" s="81"/>
      <c r="O14" s="81"/>
      <c r="P14" s="82"/>
      <c r="Q14" s="5"/>
      <c r="R14" s="80" t="str">
        <v>Tecnico En Ciencia De Datos</v>
      </c>
      <c r="S14" s="80" t="str">
        <v>Tecnologías</v>
      </c>
      <c r="T14" s="81" t="n">
        <v>23</v>
      </c>
      <c r="U14" s="81" t="n">
        <v>13</v>
      </c>
      <c r="V14" s="82" t="n">
        <v>0.565217391304348</v>
      </c>
      <c r="W14" s="5"/>
      <c r="X14" s="80" t="str">
        <v>Ingenieria En Ciencia De Datos</v>
      </c>
      <c r="Y14" s="80" t="str">
        <v>A distancia</v>
      </c>
      <c r="Z14" s="81" t="n">
        <v>40</v>
      </c>
      <c r="AA14" s="81" t="n">
        <v>21</v>
      </c>
      <c r="AB14" s="82" t="n">
        <v>0.525</v>
      </c>
      <c r="AC14" s="83" t="str">
        <v>Ingenieria En Ciencia De Datos — A distancia</v>
      </c>
      <c r="AD14" s="5"/>
      <c r="AE14" s="5"/>
      <c r="AF14" s="5"/>
      <c r="AG14" s="5"/>
      <c r="AH14" s="5"/>
      <c r="AI14" s="5"/>
      <c r="AJ14" s="5"/>
      <c r="AK14" s="5"/>
      <c r="AL14" s="5"/>
      <c r="AM14" s="5"/>
      <c r="AN14" s="5"/>
      <c r="AO14" s="5"/>
      <c r="AP14" s="5"/>
      <c r="AQ14" s="5"/>
      <c r="AR14" s="5"/>
      <c r="AS14" s="5"/>
      <c r="AT14" s="5"/>
      <c r="AU14" s="5"/>
      <c r="AV14" s="5"/>
      <c r="AW14" s="5"/>
      <c r="AX14" s="5"/>
      <c r="AY14" s="5" t="str">
        <v>Contabilidad General — A distancia</v>
      </c>
      <c r="AZ14" s="86" t="n">
        <v>0.5</v>
      </c>
      <c r="BA14" s="5"/>
      <c r="BB14" s="5"/>
      <c r="BC14" s="86"/>
      <c r="BD14" s="5"/>
      <c r="BE14" s="5"/>
      <c r="BF14" s="86"/>
      <c r="BG14" s="5"/>
      <c r="BH14" s="5"/>
      <c r="BI14" s="86"/>
      <c r="BJ14" s="5"/>
      <c r="BK14" s="5"/>
      <c r="BL14" s="5" t="inlineStr">
        <is>
          <t xml:space="preserve">Cohortes 2022 + 2023 + 2025</t>
        </is>
      </c>
      <c r="BM14" s="5"/>
      <c r="BN14" s="5" t="inlineStr">
        <is>
          <t xml:space="preserve">Tecnico En Ciberseguridad</t>
        </is>
      </c>
      <c r="BO14" s="5"/>
      <c r="BP14" s="5" t="n">
        <v>2022</v>
      </c>
      <c r="BQ14" s="5" t="n">
        <v>1</v>
      </c>
      <c r="BR14" s="5" t="inlineStr">
        <is>
          <t xml:space="preserve">Tecnico En Ciencia De Datos</t>
        </is>
      </c>
      <c r="BS14" s="5" t="n">
        <v>23</v>
      </c>
      <c r="BT14" s="5" t="n">
        <v>13</v>
      </c>
      <c r="BU14" s="5" t="n">
        <v>8</v>
      </c>
      <c r="BV14" s="5" t="inlineStr">
        <is>
          <t xml:space="preserve">Ingenieria En Ciencia De Datos</t>
        </is>
      </c>
      <c r="BW14" s="5" t="inlineStr">
        <is>
          <t xml:space="preserve">A distancia</t>
        </is>
      </c>
      <c r="BX14" s="5" t="n">
        <v>40</v>
      </c>
      <c r="BY14" s="5" t="n">
        <v>21</v>
      </c>
      <c r="BZ14" s="5" t="n">
        <v>8</v>
      </c>
      <c r="CA14" s="5"/>
      <c r="CB14" s="5"/>
      <c r="CC14" s="5"/>
      <c r="CD14" s="5" t="str">
        <v/>
      </c>
      <c r="CE14" s="30" t="n">
        <v>0.565217391304348</v>
      </c>
      <c r="CF14" s="5" t="inlineStr">
        <is>
          <t xml:space="preserve">A distancia</t>
        </is>
      </c>
      <c r="CG14" s="5"/>
      <c r="CH14" s="5"/>
      <c r="CI14" s="5"/>
      <c r="CJ14" s="5" t="n">
        <v>10</v>
      </c>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row>
    <row r="15" customFormat="false" ht="15" hidden="false" customHeight="true" outlineLevel="0" collapsed="false">
      <c r="A15" s="5"/>
      <c r="B15" s="5"/>
      <c r="C15" s="5"/>
      <c r="D15" s="5"/>
      <c r="E15" s="5"/>
      <c r="F15" s="5"/>
      <c r="G15" s="5"/>
      <c r="H15" s="5"/>
      <c r="I15" s="5"/>
      <c r="J15" s="5"/>
      <c r="K15" s="5"/>
      <c r="L15" s="80"/>
      <c r="M15" s="80"/>
      <c r="N15" s="81"/>
      <c r="O15" s="81"/>
      <c r="P15" s="82"/>
      <c r="Q15" s="5"/>
      <c r="R15" s="80" t="str">
        <v>Tecnico En Conectividad Y Redes</v>
      </c>
      <c r="S15" s="80" t="str">
        <v>Tecnologías</v>
      </c>
      <c r="T15" s="81" t="n">
        <v>124</v>
      </c>
      <c r="U15" s="81" t="n">
        <v>70</v>
      </c>
      <c r="V15" s="82" t="n">
        <v>0.564516129032258</v>
      </c>
      <c r="W15" s="5"/>
      <c r="X15" s="80" t="str">
        <v>Ingenieria En Conectividad Y Redes</v>
      </c>
      <c r="Y15" s="80" t="str">
        <v>A distancia</v>
      </c>
      <c r="Z15" s="81" t="n">
        <v>212</v>
      </c>
      <c r="AA15" s="81" t="n">
        <v>150</v>
      </c>
      <c r="AB15" s="82" t="n">
        <v>0.707547169811321</v>
      </c>
      <c r="AC15" s="83" t="str">
        <v>Ingenieria En Conectividad Y Redes — A distancia</v>
      </c>
      <c r="AD15" s="5"/>
      <c r="AE15" s="5"/>
      <c r="AF15" s="5"/>
      <c r="AG15" s="5"/>
      <c r="AH15" s="5"/>
      <c r="AI15" s="5"/>
      <c r="AJ15" s="5"/>
      <c r="AK15" s="5"/>
      <c r="AL15" s="5"/>
      <c r="AM15" s="5"/>
      <c r="AN15" s="5"/>
      <c r="AO15" s="5"/>
      <c r="AP15" s="5"/>
      <c r="AQ15" s="5"/>
      <c r="AR15" s="5"/>
      <c r="AS15" s="28" t="inlineStr">
        <is>
          <t xml:space="preserve">Antes de comparar los extremos, mire cuántos estudiantes hay detrás de cada porcentaje. En grupos pequeños, unas pocas personas pueden cambiar mucho la tasa.</t>
        </is>
      </c>
      <c r="AT15" s="28"/>
      <c r="AU15" s="28"/>
      <c r="AV15" s="28"/>
      <c r="AW15" s="28"/>
      <c r="AX15" s="5"/>
      <c r="AY15" s="5" t="str">
        <v>Tecnico En Administracion Publica — A distancia</v>
      </c>
      <c r="AZ15" s="86" t="n">
        <v>0.5</v>
      </c>
      <c r="BA15" s="5"/>
      <c r="BB15" s="5"/>
      <c r="BC15" s="86"/>
      <c r="BD15" s="5"/>
      <c r="BE15" s="5"/>
      <c r="BF15" s="86"/>
      <c r="BG15" s="5"/>
      <c r="BH15" s="5"/>
      <c r="BI15" s="86"/>
      <c r="BJ15" s="5"/>
      <c r="BK15" s="5"/>
      <c r="BL15" s="5" t="inlineStr">
        <is>
          <t xml:space="preserve">Cohortes 2022 + 2024 + 2025</t>
        </is>
      </c>
      <c r="BM15" s="5"/>
      <c r="BN15" s="5" t="inlineStr">
        <is>
          <t xml:space="preserve">Tecnico En Ciencia De Datos</t>
        </is>
      </c>
      <c r="BO15" s="5"/>
      <c r="BP15" s="5" t="n">
        <v>2023</v>
      </c>
      <c r="BQ15" s="5" t="n">
        <v>1</v>
      </c>
      <c r="BR15" s="5" t="inlineStr">
        <is>
          <t xml:space="preserve">Tecnico En Conectividad Y Redes</t>
        </is>
      </c>
      <c r="BS15" s="5" t="n">
        <v>124</v>
      </c>
      <c r="BT15" s="5" t="n">
        <v>70</v>
      </c>
      <c r="BU15" s="5" t="n">
        <v>9</v>
      </c>
      <c r="BV15" s="5" t="inlineStr">
        <is>
          <t xml:space="preserve">Ingenieria En Conectividad Y Redes</t>
        </is>
      </c>
      <c r="BW15" s="5" t="inlineStr">
        <is>
          <t xml:space="preserve">A distancia</t>
        </is>
      </c>
      <c r="BX15" s="5" t="n">
        <v>212</v>
      </c>
      <c r="BY15" s="5" t="n">
        <v>150</v>
      </c>
      <c r="BZ15" s="5" t="n">
        <v>9</v>
      </c>
      <c r="CA15" s="5"/>
      <c r="CB15" s="5"/>
      <c r="CC15" s="5"/>
      <c r="CD15" s="5" t="str">
        <v/>
      </c>
      <c r="CE15" s="30" t="n">
        <v>0.564516129032258</v>
      </c>
      <c r="CF15" s="5" t="inlineStr">
        <is>
          <t xml:space="preserve">A distancia</t>
        </is>
      </c>
      <c r="CG15" s="5"/>
      <c r="CH15" s="5"/>
      <c r="CI15" s="5"/>
      <c r="CJ15" s="5" t="n">
        <v>25</v>
      </c>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row>
    <row r="16" customFormat="false" ht="26.25" hidden="false" customHeight="true" outlineLevel="0" collapsed="false">
      <c r="A16" s="5"/>
      <c r="B16" s="5"/>
      <c r="C16" s="5"/>
      <c r="D16" s="5"/>
      <c r="E16" s="5"/>
      <c r="F16" s="5"/>
      <c r="G16" s="5"/>
      <c r="H16" s="5"/>
      <c r="I16" s="5"/>
      <c r="J16" s="5"/>
      <c r="K16" s="5"/>
      <c r="L16" s="80"/>
      <c r="M16" s="80"/>
      <c r="N16" s="81"/>
      <c r="O16" s="81"/>
      <c r="P16" s="82"/>
      <c r="Q16" s="5"/>
      <c r="R16" s="80" t="str">
        <v>Tecnico En Logistica</v>
      </c>
      <c r="S16" s="80" t="str">
        <v>Administración y Comercio</v>
      </c>
      <c r="T16" s="81" t="n">
        <v>105</v>
      </c>
      <c r="U16" s="81" t="n">
        <v>57</v>
      </c>
      <c r="V16" s="82" t="n">
        <v>0.542857142857143</v>
      </c>
      <c r="W16" s="5"/>
      <c r="X16" s="80" t="str">
        <v>Ingenieria En Conectividad Y Redes</v>
      </c>
      <c r="Y16" s="80" t="str">
        <v>Presencial</v>
      </c>
      <c r="Z16" s="81" t="n">
        <v>25</v>
      </c>
      <c r="AA16" s="81" t="n">
        <v>19</v>
      </c>
      <c r="AB16" s="82" t="n">
        <v>0.76</v>
      </c>
      <c r="AC16" s="83" t="str">
        <v>Ingenieria En Conectividad Y Redes — Presencial</v>
      </c>
      <c r="AD16" s="5"/>
      <c r="AE16" s="5"/>
      <c r="AF16" s="5"/>
      <c r="AG16" s="5"/>
      <c r="AH16" s="5"/>
      <c r="AI16" s="5"/>
      <c r="AJ16" s="5"/>
      <c r="AK16" s="5"/>
      <c r="AL16" s="5"/>
      <c r="AM16" s="5"/>
      <c r="AN16" s="5"/>
      <c r="AO16" s="5"/>
      <c r="AP16" s="5"/>
      <c r="AQ16" s="5"/>
      <c r="AR16" s="5"/>
      <c r="AS16" s="28"/>
      <c r="AT16" s="28"/>
      <c r="AU16" s="28"/>
      <c r="AV16" s="28"/>
      <c r="AW16" s="28"/>
      <c r="AX16" s="5"/>
      <c r="AY16" s="5" t="str">
        <v>Ingenieria En Ciencia De Datos — A distancia</v>
      </c>
      <c r="AZ16" s="86" t="n">
        <v>0.525</v>
      </c>
      <c r="BA16" s="5"/>
      <c r="BB16" s="5"/>
      <c r="BC16" s="86"/>
      <c r="BD16" s="5"/>
      <c r="BE16" s="5"/>
      <c r="BF16" s="86"/>
      <c r="BG16" s="5"/>
      <c r="BH16" s="5"/>
      <c r="BI16" s="86"/>
      <c r="BJ16" s="5"/>
      <c r="BK16" s="5"/>
      <c r="BL16" s="5" t="inlineStr">
        <is>
          <t xml:space="preserve">Cohortes 2023 + 2024 + 2025</t>
        </is>
      </c>
      <c r="BM16" s="5"/>
      <c r="BN16" s="5" t="inlineStr">
        <is>
          <t xml:space="preserve">Tecnico En Conectividad Y Redes</t>
        </is>
      </c>
      <c r="BO16" s="5"/>
      <c r="BP16" s="5" t="n">
        <v>2024</v>
      </c>
      <c r="BQ16" s="5" t="n">
        <v>1</v>
      </c>
      <c r="BR16" s="5" t="inlineStr">
        <is>
          <t xml:space="preserve">Tecnico En Logistica</t>
        </is>
      </c>
      <c r="BS16" s="5" t="n">
        <v>105</v>
      </c>
      <c r="BT16" s="5" t="n">
        <v>57</v>
      </c>
      <c r="BU16" s="5" t="n">
        <v>10</v>
      </c>
      <c r="BV16" s="5" t="inlineStr">
        <is>
          <t xml:space="preserve">Ingenieria En Conectividad Y Redes</t>
        </is>
      </c>
      <c r="BW16" s="5" t="inlineStr">
        <is>
          <t xml:space="preserve">Presencial</t>
        </is>
      </c>
      <c r="BX16" s="5" t="n">
        <v>25</v>
      </c>
      <c r="BY16" s="5" t="n">
        <v>19</v>
      </c>
      <c r="BZ16" s="5" t="n">
        <v>10</v>
      </c>
      <c r="CA16" s="5"/>
      <c r="CB16" s="5"/>
      <c r="CC16" s="5"/>
      <c r="CD16" s="5" t="str">
        <v/>
      </c>
      <c r="CE16" s="30" t="n">
        <v>0.542857142857143</v>
      </c>
      <c r="CF16" s="5" t="inlineStr">
        <is>
          <t xml:space="preserve">A distancia</t>
        </is>
      </c>
      <c r="CG16" s="5"/>
      <c r="CH16" s="5"/>
      <c r="CI16" s="5"/>
      <c r="CJ16" s="5" t="n">
        <v>27</v>
      </c>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row>
    <row r="17" customFormat="false" ht="15" hidden="false" customHeight="true" outlineLevel="0" collapsed="false">
      <c r="A17" s="5"/>
      <c r="B17" s="5"/>
      <c r="C17" s="5"/>
      <c r="D17" s="5"/>
      <c r="E17" s="30"/>
      <c r="F17" s="5"/>
      <c r="G17" s="5"/>
      <c r="H17" s="5"/>
      <c r="I17" s="5"/>
      <c r="J17" s="5"/>
      <c r="K17" s="5"/>
      <c r="L17" s="5"/>
      <c r="M17" s="5"/>
      <c r="N17" s="5"/>
      <c r="O17" s="5"/>
      <c r="P17" s="5"/>
      <c r="Q17" s="5"/>
      <c r="R17" s="80" t="str">
        <v>Ingenieria En Ciencia De Datos</v>
      </c>
      <c r="S17" s="80" t="str">
        <v>Tecnologías</v>
      </c>
      <c r="T17" s="81" t="n">
        <v>40</v>
      </c>
      <c r="U17" s="81" t="n">
        <v>21</v>
      </c>
      <c r="V17" s="82" t="n">
        <v>0.525</v>
      </c>
      <c r="W17" s="5"/>
      <c r="X17" s="80" t="str">
        <v>Ingenieria En Informatica</v>
      </c>
      <c r="Y17" s="80" t="str">
        <v>A distancia</v>
      </c>
      <c r="Z17" s="81" t="n">
        <v>256</v>
      </c>
      <c r="AA17" s="81" t="n">
        <v>172</v>
      </c>
      <c r="AB17" s="82" t="n">
        <v>0.671875</v>
      </c>
      <c r="AC17" s="83" t="str">
        <v>Ingenieria En Informatica — A distancia</v>
      </c>
      <c r="AD17" s="5"/>
      <c r="AE17" s="5"/>
      <c r="AF17" s="5"/>
      <c r="AG17" s="5"/>
      <c r="AH17" s="5"/>
      <c r="AI17" s="5"/>
      <c r="AJ17" s="5"/>
      <c r="AK17" s="5"/>
      <c r="AL17" s="5"/>
      <c r="AM17" s="5"/>
      <c r="AN17" s="5"/>
      <c r="AO17" s="5"/>
      <c r="AP17" s="5"/>
      <c r="AQ17" s="5"/>
      <c r="AR17" s="5"/>
      <c r="AS17" s="28"/>
      <c r="AT17" s="28"/>
      <c r="AU17" s="28"/>
      <c r="AV17" s="28"/>
      <c r="AW17" s="28"/>
      <c r="AX17" s="5"/>
      <c r="AY17" s="5" t="str">
        <v>Ingenieria En Administracion De Empresas — A distancia</v>
      </c>
      <c r="AZ17" s="86" t="n">
        <v>0.531645569620253</v>
      </c>
      <c r="BA17" s="5"/>
      <c r="BB17" s="5"/>
      <c r="BC17" s="86"/>
      <c r="BD17" s="5"/>
      <c r="BE17" s="5"/>
      <c r="BF17" s="86"/>
      <c r="BG17" s="5"/>
      <c r="BH17" s="5"/>
      <c r="BI17" s="86"/>
      <c r="BJ17" s="5"/>
      <c r="BK17" s="5"/>
      <c r="BL17" s="5"/>
      <c r="BM17" s="5"/>
      <c r="BN17" s="5" t="inlineStr">
        <is>
          <t xml:space="preserve">Tecnico En Enfermeria</t>
        </is>
      </c>
      <c r="BO17" s="5"/>
      <c r="BP17" s="5" t="n">
        <v>2025</v>
      </c>
      <c r="BQ17" s="5" t="n">
        <v>1</v>
      </c>
      <c r="BR17" s="5" t="inlineStr">
        <is>
          <t xml:space="preserve">Ingenieria En Ciencia De Datos</t>
        </is>
      </c>
      <c r="BS17" s="5" t="n">
        <v>40</v>
      </c>
      <c r="BT17" s="5" t="n">
        <v>21</v>
      </c>
      <c r="BU17" s="5" t="n">
        <v>11</v>
      </c>
      <c r="BV17" s="5" t="inlineStr">
        <is>
          <t xml:space="preserve">Ingenieria En Informatica</t>
        </is>
      </c>
      <c r="BW17" s="5" t="inlineStr">
        <is>
          <t xml:space="preserve">A distancia</t>
        </is>
      </c>
      <c r="BX17" s="5" t="n">
        <v>256</v>
      </c>
      <c r="BY17" s="5" t="n">
        <v>172</v>
      </c>
      <c r="BZ17" s="5" t="n">
        <v>11</v>
      </c>
      <c r="CA17" s="5"/>
      <c r="CB17" s="5"/>
      <c r="CC17" s="5"/>
      <c r="CD17" s="5"/>
      <c r="CE17" s="30" t="n">
        <v>0.525</v>
      </c>
      <c r="CF17" s="5"/>
      <c r="CG17" s="5"/>
      <c r="CH17" s="5"/>
      <c r="CI17" s="5"/>
      <c r="CJ17" s="5" t="n">
        <v>21</v>
      </c>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row>
    <row r="18" customFormat="false" ht="15" hidden="false" customHeight="true" outlineLevel="0" collapsed="false">
      <c r="A18" s="5"/>
      <c r="B18" s="5"/>
      <c r="C18" s="5"/>
      <c r="D18" s="5"/>
      <c r="E18" s="30"/>
      <c r="F18" s="5"/>
      <c r="G18" s="5"/>
      <c r="H18" s="5"/>
      <c r="I18" s="5"/>
      <c r="J18" s="5"/>
      <c r="K18" s="5"/>
      <c r="L18" s="5"/>
      <c r="M18" s="5"/>
      <c r="N18" s="5"/>
      <c r="O18" s="5"/>
      <c r="P18" s="5"/>
      <c r="Q18" s="5"/>
      <c r="R18" s="80" t="str">
        <v>Tecnico En Administracion Publica</v>
      </c>
      <c r="S18" s="80" t="str">
        <v>Administración y Comercio</v>
      </c>
      <c r="T18" s="81" t="n">
        <v>22</v>
      </c>
      <c r="U18" s="81" t="n">
        <v>11</v>
      </c>
      <c r="V18" s="82" t="n">
        <v>0.5</v>
      </c>
      <c r="W18" s="5"/>
      <c r="X18" s="80" t="str">
        <v>Ingenieria En Informatica</v>
      </c>
      <c r="Y18" s="80" t="str">
        <v>Presencial</v>
      </c>
      <c r="Z18" s="81" t="n">
        <v>78</v>
      </c>
      <c r="AA18" s="81" t="n">
        <v>51</v>
      </c>
      <c r="AB18" s="82" t="n">
        <v>0.653846153846154</v>
      </c>
      <c r="AC18" s="83" t="str">
        <v>Ingenieria En Informatica — Presencial</v>
      </c>
      <c r="AD18" s="5"/>
      <c r="AE18" s="5"/>
      <c r="AF18" s="5"/>
      <c r="AG18" s="5"/>
      <c r="AH18" s="5"/>
      <c r="AI18" s="5"/>
      <c r="AJ18" s="5"/>
      <c r="AK18" s="5"/>
      <c r="AL18" s="5"/>
      <c r="AM18" s="5"/>
      <c r="AN18" s="5"/>
      <c r="AO18" s="5"/>
      <c r="AP18" s="5"/>
      <c r="AQ18" s="5"/>
      <c r="AR18" s="5"/>
      <c r="AS18" s="28"/>
      <c r="AT18" s="28"/>
      <c r="AU18" s="28"/>
      <c r="AV18" s="28"/>
      <c r="AW18" s="28"/>
      <c r="AX18" s="5"/>
      <c r="AY18" s="5" t="str">
        <v>Tecnico En Conectividad Y Redes — A distancia</v>
      </c>
      <c r="AZ18" s="86" t="n">
        <v>0.554545454545455</v>
      </c>
      <c r="BA18" s="5"/>
      <c r="BB18" s="5"/>
      <c r="BC18" s="86"/>
      <c r="BD18" s="5"/>
      <c r="BE18" s="5"/>
      <c r="BF18" s="86"/>
      <c r="BG18" s="5"/>
      <c r="BH18" s="5"/>
      <c r="BI18" s="86"/>
      <c r="BJ18" s="5"/>
      <c r="BK18" s="5"/>
      <c r="BL18" s="5"/>
      <c r="BM18" s="5"/>
      <c r="BN18" s="5" t="inlineStr">
        <is>
          <t xml:space="preserve">Tecnico En Logistica</t>
        </is>
      </c>
      <c r="BO18" s="5"/>
      <c r="BP18" s="5"/>
      <c r="BQ18" s="5"/>
      <c r="BR18" s="5" t="inlineStr">
        <is>
          <t xml:space="preserve">Tecnico En Administracion Publica</t>
        </is>
      </c>
      <c r="BS18" s="5" t="n">
        <v>22</v>
      </c>
      <c r="BT18" s="5" t="n">
        <v>11</v>
      </c>
      <c r="BU18" s="5" t="n">
        <v>12</v>
      </c>
      <c r="BV18" s="5" t="inlineStr">
        <is>
          <t xml:space="preserve">Ingenieria En Informatica</t>
        </is>
      </c>
      <c r="BW18" s="5" t="inlineStr">
        <is>
          <t xml:space="preserve">Presencial</t>
        </is>
      </c>
      <c r="BX18" s="5" t="n">
        <v>78</v>
      </c>
      <c r="BY18" s="5" t="n">
        <v>51</v>
      </c>
      <c r="BZ18" s="5" t="n">
        <v>12</v>
      </c>
      <c r="CA18" s="5"/>
      <c r="CB18" s="5"/>
      <c r="CC18" s="5"/>
      <c r="CD18" s="5"/>
      <c r="CE18" s="30" t="n">
        <v>0.5</v>
      </c>
      <c r="CF18" s="5"/>
      <c r="CG18" s="5"/>
      <c r="CH18" s="5"/>
      <c r="CI18" s="5"/>
      <c r="CJ18" s="5" t="n">
        <v>20</v>
      </c>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row>
    <row r="19" customFormat="false" ht="15" hidden="false" customHeight="true" outlineLevel="0" collapsed="false">
      <c r="A19" s="5"/>
      <c r="B19" s="5"/>
      <c r="C19" s="5"/>
      <c r="D19" s="5"/>
      <c r="E19" s="30"/>
      <c r="F19" s="5"/>
      <c r="G19" s="5"/>
      <c r="H19" s="5"/>
      <c r="I19" s="5"/>
      <c r="J19" s="5"/>
      <c r="K19" s="5"/>
      <c r="L19" s="5"/>
      <c r="M19" s="5"/>
      <c r="N19" s="5"/>
      <c r="O19" s="5"/>
      <c r="P19" s="5"/>
      <c r="Q19" s="5"/>
      <c r="R19" s="80" t="str">
        <v>Contabilidad General</v>
      </c>
      <c r="S19" s="80" t="str">
        <v>Administración y Comercio</v>
      </c>
      <c r="T19" s="81" t="n">
        <v>38</v>
      </c>
      <c r="U19" s="81" t="n">
        <v>19</v>
      </c>
      <c r="V19" s="82" t="n">
        <v>0.5</v>
      </c>
      <c r="W19" s="5"/>
      <c r="X19" s="80" t="str">
        <v>Ingenieria En Logistica</v>
      </c>
      <c r="Y19" s="80" t="str">
        <v>A distancia</v>
      </c>
      <c r="Z19" s="81" t="n">
        <v>61</v>
      </c>
      <c r="AA19" s="81" t="n">
        <v>37</v>
      </c>
      <c r="AB19" s="82" t="n">
        <v>0.60655737704918</v>
      </c>
      <c r="AC19" s="83" t="str">
        <v>Ingenieria En Logistica — A distancia</v>
      </c>
      <c r="AD19" s="5"/>
      <c r="AE19" s="5"/>
      <c r="AF19" s="5"/>
      <c r="AG19" s="5"/>
      <c r="AH19" s="5"/>
      <c r="AI19" s="5"/>
      <c r="AJ19" s="5"/>
      <c r="AK19" s="5"/>
      <c r="AL19" s="5"/>
      <c r="AM19" s="5"/>
      <c r="AN19" s="5"/>
      <c r="AO19" s="5"/>
      <c r="AP19" s="5"/>
      <c r="AQ19" s="5"/>
      <c r="AR19" s="5"/>
      <c r="AS19" s="5"/>
      <c r="AT19" s="5"/>
      <c r="AU19" s="5"/>
      <c r="AV19" s="5"/>
      <c r="AW19" s="5"/>
      <c r="AX19" s="5"/>
      <c r="AY19" s="5" t="str">
        <v>Tecnico En Ciencia De Datos — A distancia</v>
      </c>
      <c r="AZ19" s="86" t="n">
        <v>0.565217391304348</v>
      </c>
      <c r="BA19" s="5"/>
      <c r="BB19" s="5"/>
      <c r="BC19" s="86"/>
      <c r="BD19" s="5"/>
      <c r="BE19" s="5"/>
      <c r="BF19" s="86"/>
      <c r="BG19" s="5"/>
      <c r="BH19" s="5"/>
      <c r="BI19" s="86"/>
      <c r="BJ19" s="5"/>
      <c r="BK19" s="5"/>
      <c r="BL19" s="5"/>
      <c r="BM19" s="5"/>
      <c r="BN19" s="5" t="inlineStr">
        <is>
          <t xml:space="preserve">Tecnico En Programacion Y Analisis De Sistemas</t>
        </is>
      </c>
      <c r="BO19" s="5"/>
      <c r="BP19" s="5"/>
      <c r="BQ19" s="5"/>
      <c r="BR19" s="5" t="inlineStr">
        <is>
          <t xml:space="preserve">Contabilidad General</t>
        </is>
      </c>
      <c r="BS19" s="5" t="n">
        <v>38</v>
      </c>
      <c r="BT19" s="5" t="n">
        <v>19</v>
      </c>
      <c r="BU19" s="5" t="n">
        <v>13</v>
      </c>
      <c r="BV19" s="5" t="inlineStr">
        <is>
          <t xml:space="preserve">Ingenieria En Logistica</t>
        </is>
      </c>
      <c r="BW19" s="5" t="inlineStr">
        <is>
          <t xml:space="preserve">A distancia</t>
        </is>
      </c>
      <c r="BX19" s="5" t="n">
        <v>61</v>
      </c>
      <c r="BY19" s="5" t="n">
        <v>37</v>
      </c>
      <c r="BZ19" s="5" t="n">
        <v>13</v>
      </c>
      <c r="CA19" s="5"/>
      <c r="CB19" s="5"/>
      <c r="CC19" s="5"/>
      <c r="CD19" s="5"/>
      <c r="CE19" s="30" t="n">
        <v>0.5</v>
      </c>
      <c r="CF19" s="5"/>
      <c r="CG19" s="5"/>
      <c r="CH19" s="5"/>
      <c r="CI19" s="5"/>
      <c r="CJ19" s="5" t="n">
        <v>15</v>
      </c>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row>
    <row r="20" customFormat="false" ht="15" hidden="false" customHeight="true" outlineLevel="0" collapsed="false">
      <c r="A20" s="5"/>
      <c r="B20" s="5"/>
      <c r="C20" s="5"/>
      <c r="D20" s="5"/>
      <c r="E20" s="5"/>
      <c r="F20" s="5"/>
      <c r="G20" s="5"/>
      <c r="H20" s="5"/>
      <c r="I20" s="5"/>
      <c r="J20" s="5"/>
      <c r="K20" s="5"/>
      <c r="L20" s="5"/>
      <c r="M20" s="5"/>
      <c r="N20" s="5"/>
      <c r="O20" s="5"/>
      <c r="P20" s="5"/>
      <c r="Q20" s="5"/>
      <c r="R20" s="80" t="str">
        <v>Ingenieria En Administracion De Empresas</v>
      </c>
      <c r="S20" s="80" t="str">
        <v>Administración y Comercio</v>
      </c>
      <c r="T20" s="81" t="n">
        <v>99</v>
      </c>
      <c r="U20" s="81" t="n">
        <v>49</v>
      </c>
      <c r="V20" s="82" t="n">
        <v>0.494949494949495</v>
      </c>
      <c r="W20" s="5"/>
      <c r="X20" s="80" t="str">
        <v>Ingenieria En Logistica</v>
      </c>
      <c r="Y20" s="80" t="str">
        <v>Presencial</v>
      </c>
      <c r="Z20" s="81" t="n">
        <v>15</v>
      </c>
      <c r="AA20" s="81" t="n">
        <v>7</v>
      </c>
      <c r="AB20" s="82" t="n">
        <v>0.466666666666667</v>
      </c>
      <c r="AC20" s="83" t="str">
        <v>Ingenieria En Logistica — Presencial</v>
      </c>
      <c r="AD20" s="5"/>
      <c r="AE20" s="5"/>
      <c r="AF20" s="5"/>
      <c r="AG20" s="5"/>
      <c r="AH20" s="5"/>
      <c r="AI20" s="5"/>
      <c r="AJ20" s="5"/>
      <c r="AK20" s="5"/>
      <c r="AL20" s="5"/>
      <c r="AM20" s="5"/>
      <c r="AN20" s="5"/>
      <c r="AO20" s="5"/>
      <c r="AP20" s="5"/>
      <c r="AQ20" s="5"/>
      <c r="AR20" s="5"/>
      <c r="AS20" s="89" t="inlineStr">
        <is>
          <t xml:space="preserve">Claves para leer la cohorte elegida</t>
        </is>
      </c>
      <c r="AT20" s="89"/>
      <c r="AU20" s="89"/>
      <c r="AV20" s="89"/>
      <c r="AW20" s="89"/>
      <c r="AX20" s="5"/>
      <c r="AY20" s="5" t="str">
        <v>Tecnico En Logistica — A distancia</v>
      </c>
      <c r="AZ20" s="86" t="n">
        <v>0.6</v>
      </c>
      <c r="BA20" s="5"/>
      <c r="BB20" s="5"/>
      <c r="BC20" s="86"/>
      <c r="BD20" s="5"/>
      <c r="BE20" s="5"/>
      <c r="BF20" s="86"/>
      <c r="BG20" s="5"/>
      <c r="BH20" s="5"/>
      <c r="BI20" s="86"/>
      <c r="BJ20" s="5"/>
      <c r="BK20" s="5"/>
      <c r="BL20" s="5"/>
      <c r="BM20" s="5"/>
      <c r="BN20" s="5" t="inlineStr">
        <is>
          <t xml:space="preserve">Todas</t>
        </is>
      </c>
      <c r="BO20" s="5"/>
      <c r="BP20" s="5"/>
      <c r="BQ20" s="5"/>
      <c r="BR20" s="5" t="inlineStr">
        <is>
          <t xml:space="preserve">Ingenieria En Administracion De Empresas</t>
        </is>
      </c>
      <c r="BS20" s="5" t="n">
        <v>99</v>
      </c>
      <c r="BT20" s="5" t="n">
        <v>49</v>
      </c>
      <c r="BU20" s="5" t="n">
        <v>14</v>
      </c>
      <c r="BV20" s="5" t="inlineStr">
        <is>
          <t xml:space="preserve">Ingenieria En Logistica</t>
        </is>
      </c>
      <c r="BW20" s="5" t="inlineStr">
        <is>
          <t xml:space="preserve">Presencial</t>
        </is>
      </c>
      <c r="BX20" s="5" t="n">
        <v>15</v>
      </c>
      <c r="BY20" s="5" t="n">
        <v>7</v>
      </c>
      <c r="BZ20" s="5" t="n">
        <v>14</v>
      </c>
      <c r="CA20" s="5"/>
      <c r="CB20" s="5"/>
      <c r="CC20" s="5"/>
      <c r="CD20" s="5"/>
      <c r="CE20" s="30" t="n">
        <v>0.494949494949495</v>
      </c>
      <c r="CF20" s="5"/>
      <c r="CG20" s="5"/>
      <c r="CH20" s="5"/>
      <c r="CI20" s="5"/>
      <c r="CJ20" s="5" t="n">
        <v>4</v>
      </c>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row>
    <row r="21" customFormat="false" ht="15" hidden="false" customHeight="true" outlineLevel="0" collapsed="false">
      <c r="A21" s="5"/>
      <c r="B21" s="5"/>
      <c r="C21" s="5"/>
      <c r="D21" s="5"/>
      <c r="E21" s="5"/>
      <c r="F21" s="5"/>
      <c r="G21" s="5"/>
      <c r="H21" s="5"/>
      <c r="I21" s="5"/>
      <c r="J21" s="5"/>
      <c r="K21" s="5"/>
      <c r="L21" s="5"/>
      <c r="M21" s="5"/>
      <c r="N21" s="5"/>
      <c r="O21" s="5"/>
      <c r="P21" s="5"/>
      <c r="Q21" s="5"/>
      <c r="R21" s="80" t="str">
        <v>Administracion Publica</v>
      </c>
      <c r="S21" s="80" t="str">
        <v>Administración y Comercio</v>
      </c>
      <c r="T21" s="81" t="n">
        <v>70</v>
      </c>
      <c r="U21" s="81" t="n">
        <v>33</v>
      </c>
      <c r="V21" s="82" t="n">
        <v>0.471428571428571</v>
      </c>
      <c r="W21" s="5"/>
      <c r="X21" s="80" t="str">
        <v>Tecnico En Administracion De Empresas</v>
      </c>
      <c r="Y21" s="80" t="str">
        <v>A distancia</v>
      </c>
      <c r="Z21" s="81" t="n">
        <v>72</v>
      </c>
      <c r="AA21" s="81" t="n">
        <v>34</v>
      </c>
      <c r="AB21" s="82" t="n">
        <v>0.472222222222222</v>
      </c>
      <c r="AC21" s="83" t="str">
        <v>Tecnico En Administracion De Empresas — A distancia</v>
      </c>
      <c r="AD21" s="5"/>
      <c r="AE21" s="5"/>
      <c r="AF21" s="5"/>
      <c r="AG21" s="5"/>
      <c r="AH21" s="5"/>
      <c r="AI21" s="5"/>
      <c r="AJ21" s="5"/>
      <c r="AK21" s="5"/>
      <c r="AL21" s="5"/>
      <c r="AM21" s="5"/>
      <c r="AN21" s="5"/>
      <c r="AO21" s="5"/>
      <c r="AP21" s="5"/>
      <c r="AQ21" s="5"/>
      <c r="AR21" s="5"/>
      <c r="AS21" s="34" t="inlineStr">
        <is>
          <t xml:space="preserve">Cambie la cohorte o combinación, el sector o la carrera. Todas las tablas de esta vista usan la misma selección. Para comparar tasas entre hojas, sume primero estudiantes y retenidos del mismo grupo y divida; el promedio que muestra la barra de Excel al seleccionar porcentajes no es la tasa total.</t>
        </is>
      </c>
      <c r="AT21" s="34"/>
      <c r="AU21" s="34"/>
      <c r="AV21" s="34"/>
      <c r="AW21" s="34"/>
      <c r="AX21" s="5"/>
      <c r="AY21" s="5" t="str">
        <v>Ingenieria En Logistica — A distancia</v>
      </c>
      <c r="AZ21" s="86" t="n">
        <v>0.60655737704918</v>
      </c>
      <c r="BA21" s="5"/>
      <c r="BB21" s="5"/>
      <c r="BC21" s="86"/>
      <c r="BD21" s="5"/>
      <c r="BE21" s="5"/>
      <c r="BF21" s="86"/>
      <c r="BG21" s="5"/>
      <c r="BH21" s="5"/>
      <c r="BI21" s="86"/>
      <c r="BJ21" s="5"/>
      <c r="BK21" s="5"/>
      <c r="BL21" s="5"/>
      <c r="BM21" s="5"/>
      <c r="BN21" s="5" t="inlineStr">
        <is>
          <t xml:space="preserve">Ingenieria En Ciberseguridad</t>
        </is>
      </c>
      <c r="BO21" s="5"/>
      <c r="BP21" s="5"/>
      <c r="BQ21" s="5"/>
      <c r="BR21" s="5" t="inlineStr">
        <is>
          <t xml:space="preserve">Administracion Publica</t>
        </is>
      </c>
      <c r="BS21" s="5" t="n">
        <v>70</v>
      </c>
      <c r="BT21" s="5" t="n">
        <v>33</v>
      </c>
      <c r="BU21" s="5" t="n">
        <v>15</v>
      </c>
      <c r="BV21" s="5" t="inlineStr">
        <is>
          <t xml:space="preserve">Tecnico En Administracion De Empresas</t>
        </is>
      </c>
      <c r="BW21" s="5" t="inlineStr">
        <is>
          <t xml:space="preserve">A distancia</t>
        </is>
      </c>
      <c r="BX21" s="5" t="n">
        <v>72</v>
      </c>
      <c r="BY21" s="5" t="n">
        <v>34</v>
      </c>
      <c r="BZ21" s="5" t="n">
        <v>15</v>
      </c>
      <c r="CA21" s="5"/>
      <c r="CB21" s="5"/>
      <c r="CC21" s="5"/>
      <c r="CD21" s="5"/>
      <c r="CE21" s="30" t="n">
        <v>0.471428571428571</v>
      </c>
      <c r="CF21" s="5"/>
      <c r="CG21" s="5"/>
      <c r="CH21" s="5"/>
      <c r="CI21" s="5"/>
      <c r="CJ21" s="5" t="n">
        <v>7</v>
      </c>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row>
    <row r="22" customFormat="false" ht="15" hidden="false" customHeight="true" outlineLevel="0" collapsed="false">
      <c r="A22" s="5"/>
      <c r="B22" s="5"/>
      <c r="C22" s="5"/>
      <c r="D22" s="5"/>
      <c r="E22" s="5"/>
      <c r="F22" s="5"/>
      <c r="G22" s="5"/>
      <c r="H22" s="5"/>
      <c r="I22" s="5"/>
      <c r="J22" s="5"/>
      <c r="K22" s="5"/>
      <c r="L22" s="5"/>
      <c r="M22" s="5"/>
      <c r="N22" s="5"/>
      <c r="O22" s="5"/>
      <c r="P22" s="5"/>
      <c r="Q22" s="5"/>
      <c r="R22" s="80" t="str">
        <v>Tecnico En Enfermeria</v>
      </c>
      <c r="S22" s="80" t="str">
        <v>Salud</v>
      </c>
      <c r="T22" s="81" t="n">
        <v>75</v>
      </c>
      <c r="U22" s="81" t="n">
        <v>35</v>
      </c>
      <c r="V22" s="82" t="n">
        <v>0.466666666666667</v>
      </c>
      <c r="W22" s="5"/>
      <c r="X22" s="80" t="str">
        <v>Tecnico En Administracion De Empresas</v>
      </c>
      <c r="Y22" s="80" t="str">
        <v>Presencial</v>
      </c>
      <c r="Z22" s="81" t="n">
        <v>16</v>
      </c>
      <c r="AA22" s="81" t="n">
        <v>5</v>
      </c>
      <c r="AB22" s="82" t="n">
        <v>0.3125</v>
      </c>
      <c r="AC22" s="83" t="str">
        <v>Tecnico En Administracion De Empresas — Presencial</v>
      </c>
      <c r="AD22" s="5"/>
      <c r="AE22" s="5"/>
      <c r="AF22" s="5"/>
      <c r="AG22" s="5"/>
      <c r="AH22" s="5"/>
      <c r="AI22" s="5"/>
      <c r="AJ22" s="5"/>
      <c r="AK22" s="5"/>
      <c r="AL22" s="5"/>
      <c r="AM22" s="5"/>
      <c r="AN22" s="5"/>
      <c r="AO22" s="5"/>
      <c r="AP22" s="5"/>
      <c r="AQ22" s="5"/>
      <c r="AR22" s="5"/>
      <c r="AS22" s="34"/>
      <c r="AT22" s="34"/>
      <c r="AU22" s="34"/>
      <c r="AV22" s="34"/>
      <c r="AW22" s="34"/>
      <c r="AX22" s="5"/>
      <c r="AY22" s="5" t="str">
        <v>Ingenieria En Ciberseguridad — A distancia</v>
      </c>
      <c r="AZ22" s="86" t="n">
        <v>0.616113744075829</v>
      </c>
      <c r="BA22" s="5"/>
      <c r="BB22" s="5"/>
      <c r="BC22" s="86"/>
      <c r="BD22" s="5"/>
      <c r="BE22" s="5"/>
      <c r="BF22" s="86"/>
      <c r="BG22" s="5"/>
      <c r="BH22" s="5"/>
      <c r="BI22" s="86"/>
      <c r="BJ22" s="5"/>
      <c r="BK22" s="5"/>
      <c r="BL22" s="5"/>
      <c r="BM22" s="5"/>
      <c r="BN22" s="5" t="inlineStr">
        <is>
          <t xml:space="preserve">Ingenieria En Ciencia De Datos</t>
        </is>
      </c>
      <c r="BO22" s="5"/>
      <c r="BP22" s="5"/>
      <c r="BQ22" s="5"/>
      <c r="BR22" s="5" t="inlineStr">
        <is>
          <t xml:space="preserve">Tecnico En Enfermeria</t>
        </is>
      </c>
      <c r="BS22" s="5" t="n">
        <v>75</v>
      </c>
      <c r="BT22" s="5" t="n">
        <v>35</v>
      </c>
      <c r="BU22" s="5" t="n">
        <v>16</v>
      </c>
      <c r="BV22" s="5" t="inlineStr">
        <is>
          <t xml:space="preserve">Tecnico En Administracion De Empresas</t>
        </is>
      </c>
      <c r="BW22" s="5" t="inlineStr">
        <is>
          <t xml:space="preserve">Presencial</t>
        </is>
      </c>
      <c r="BX22" s="5" t="n">
        <v>16</v>
      </c>
      <c r="BY22" s="5" t="n">
        <v>5</v>
      </c>
      <c r="BZ22" s="5" t="n">
        <v>16</v>
      </c>
      <c r="CA22" s="5"/>
      <c r="CB22" s="5"/>
      <c r="CC22" s="5"/>
      <c r="CD22" s="5"/>
      <c r="CE22" s="30" t="n">
        <v>0.466666666666667</v>
      </c>
      <c r="CF22" s="5"/>
      <c r="CG22" s="5"/>
      <c r="CH22" s="5"/>
      <c r="CI22" s="5"/>
      <c r="CJ22" s="5" t="n">
        <v>1</v>
      </c>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row>
    <row r="23" customFormat="false" ht="39.75" hidden="false" customHeight="true" outlineLevel="0" collapsed="false">
      <c r="A23" s="5"/>
      <c r="B23" s="5"/>
      <c r="C23" s="5"/>
      <c r="D23" s="5"/>
      <c r="E23" s="5"/>
      <c r="F23" s="5"/>
      <c r="G23" s="5"/>
      <c r="H23" s="5"/>
      <c r="I23" s="5"/>
      <c r="J23" s="5"/>
      <c r="K23" s="5"/>
      <c r="L23" s="5"/>
      <c r="M23" s="5"/>
      <c r="N23" s="5"/>
      <c r="O23" s="5"/>
      <c r="P23" s="5"/>
      <c r="Q23" s="5"/>
      <c r="R23" s="80" t="str">
        <v>Tecnico En Administracion De Empresas</v>
      </c>
      <c r="S23" s="80" t="str">
        <v>Administración y Comercio</v>
      </c>
      <c r="T23" s="81" t="n">
        <v>88</v>
      </c>
      <c r="U23" s="81" t="n">
        <v>39</v>
      </c>
      <c r="V23" s="82" t="n">
        <v>0.443181818181818</v>
      </c>
      <c r="W23" s="5"/>
      <c r="X23" s="80" t="str">
        <v>Tecnico En Administracion Publica</v>
      </c>
      <c r="Y23" s="80" t="str">
        <v>A distancia</v>
      </c>
      <c r="Z23" s="81" t="n">
        <v>22</v>
      </c>
      <c r="AA23" s="81" t="n">
        <v>11</v>
      </c>
      <c r="AB23" s="82" t="n">
        <v>0.5</v>
      </c>
      <c r="AC23" s="83" t="str">
        <v>Tecnico En Administracion Publica — A distancia</v>
      </c>
      <c r="AD23" s="5"/>
      <c r="AE23" s="5"/>
      <c r="AF23" s="5"/>
      <c r="AG23" s="5"/>
      <c r="AH23" s="5"/>
      <c r="AI23" s="5"/>
      <c r="AJ23" s="5"/>
      <c r="AK23" s="5"/>
      <c r="AL23" s="5"/>
      <c r="AM23" s="5"/>
      <c r="AN23" s="5"/>
      <c r="AO23" s="5"/>
      <c r="AP23" s="5"/>
      <c r="AQ23" s="5"/>
      <c r="AR23" s="5"/>
      <c r="AS23" s="90" t="inlineStr">
        <is>
          <t xml:space="preserve">• Grupo seleccionado: la tasa es retenidos divididos por estudiantes. Sin filtros de sector ni carrera, representa a la institución; el acumulado no es un promedio de porcentajes.</t>
        </is>
      </c>
      <c r="AT23" s="90"/>
      <c r="AU23" s="90"/>
      <c r="AV23" s="90"/>
      <c r="AW23" s="90"/>
      <c r="AX23" s="5"/>
      <c r="AY23" s="5" t="str">
        <v>Tecnico En Programacion Y Analisis De Sistemas — Presencial</v>
      </c>
      <c r="AZ23" s="86" t="n">
        <v>0.631578947368421</v>
      </c>
      <c r="BA23" s="5"/>
      <c r="BB23" s="5"/>
      <c r="BC23" s="86"/>
      <c r="BD23" s="5"/>
      <c r="BE23" s="5"/>
      <c r="BF23" s="86"/>
      <c r="BG23" s="5"/>
      <c r="BH23" s="5"/>
      <c r="BI23" s="86"/>
      <c r="BJ23" s="5"/>
      <c r="BK23" s="5"/>
      <c r="BL23" s="5"/>
      <c r="BM23" s="5"/>
      <c r="BN23" s="5" t="inlineStr">
        <is>
          <t xml:space="preserve">Ingenieria En Conectividad Y Redes</t>
        </is>
      </c>
      <c r="BO23" s="5"/>
      <c r="BP23" s="5"/>
      <c r="BQ23" s="5"/>
      <c r="BR23" s="5" t="inlineStr">
        <is>
          <t xml:space="preserve">Tecnico En Administracion De Empresas</t>
        </is>
      </c>
      <c r="BS23" s="5" t="n">
        <v>88</v>
      </c>
      <c r="BT23" s="5" t="n">
        <v>39</v>
      </c>
      <c r="BU23" s="5" t="n">
        <v>17</v>
      </c>
      <c r="BV23" s="5" t="inlineStr">
        <is>
          <t xml:space="preserve">Tecnico En Administracion Publica</t>
        </is>
      </c>
      <c r="BW23" s="5" t="inlineStr">
        <is>
          <t xml:space="preserve">A distancia</t>
        </is>
      </c>
      <c r="BX23" s="5" t="n">
        <v>22</v>
      </c>
      <c r="BY23" s="5" t="n">
        <v>11</v>
      </c>
      <c r="BZ23" s="5" t="n">
        <v>17</v>
      </c>
      <c r="CA23" s="5"/>
      <c r="CB23" s="5"/>
      <c r="CC23" s="5"/>
      <c r="CD23" s="5"/>
      <c r="CE23" s="30" t="n">
        <v>0.443181818181818</v>
      </c>
      <c r="CF23" s="5"/>
      <c r="CG23" s="5"/>
      <c r="CH23" s="5"/>
      <c r="CI23" s="5"/>
      <c r="CJ23" s="5" t="n">
        <v>9</v>
      </c>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row>
    <row r="24" customFormat="false" ht="15" hidden="false" customHeight="true" outlineLevel="0" collapsed="false">
      <c r="A24" s="5"/>
      <c r="B24" s="5"/>
      <c r="I24" s="5"/>
      <c r="J24" s="5"/>
      <c r="K24" s="5"/>
      <c r="L24" s="5"/>
      <c r="M24" s="5"/>
      <c r="N24" s="5"/>
      <c r="O24" s="5"/>
      <c r="P24" s="5"/>
      <c r="Q24" s="5"/>
      <c r="R24" s="5"/>
      <c r="S24" s="5"/>
      <c r="T24" s="5"/>
      <c r="U24" s="5"/>
      <c r="V24" s="5"/>
      <c r="W24" s="5"/>
      <c r="X24" s="80" t="str">
        <v>Tecnico En Ciberseguridad</v>
      </c>
      <c r="Y24" s="80" t="str">
        <v>A distancia</v>
      </c>
      <c r="Z24" s="81" t="n">
        <v>192</v>
      </c>
      <c r="AA24" s="81" t="n">
        <v>122</v>
      </c>
      <c r="AB24" s="82" t="n">
        <v>0.635416666666667</v>
      </c>
      <c r="AC24" s="83" t="str">
        <v>Tecnico En Ciberseguridad — A distancia</v>
      </c>
      <c r="AD24" s="5"/>
      <c r="AE24" s="5"/>
      <c r="AF24" s="5"/>
      <c r="AG24" s="5"/>
      <c r="AH24" s="5"/>
      <c r="AI24" s="5"/>
      <c r="AJ24" s="5"/>
      <c r="AK24" s="5"/>
      <c r="AL24" s="5"/>
      <c r="AM24" s="5"/>
      <c r="AN24" s="5"/>
      <c r="AO24" s="5"/>
      <c r="AP24" s="5"/>
      <c r="AQ24" s="5"/>
      <c r="AR24" s="5"/>
      <c r="AS24" s="90"/>
      <c r="AT24" s="90"/>
      <c r="AU24" s="90"/>
      <c r="AV24" s="90"/>
      <c r="AW24" s="90"/>
      <c r="AX24" s="5"/>
      <c r="AY24" s="5" t="str">
        <v>Tecnico En Ciberseguridad — A distancia</v>
      </c>
      <c r="AZ24" s="86" t="n">
        <v>0.635416666666667</v>
      </c>
      <c r="BA24" s="5"/>
      <c r="BB24" s="5"/>
      <c r="BC24" s="86"/>
      <c r="BD24" s="5"/>
      <c r="BE24" s="5"/>
      <c r="BF24" s="86"/>
      <c r="BG24" s="5"/>
      <c r="BH24" s="5"/>
      <c r="BI24" s="86"/>
      <c r="BJ24" s="5"/>
      <c r="BK24" s="5"/>
      <c r="BL24" s="5"/>
      <c r="BM24" s="5"/>
      <c r="BN24" s="5" t="inlineStr">
        <is>
          <t xml:space="preserve">Ingenieria En Informatica</t>
        </is>
      </c>
      <c r="BO24" s="5"/>
      <c r="BP24" s="5"/>
      <c r="BQ24" s="5"/>
      <c r="BR24" s="5"/>
      <c r="BS24" s="5"/>
      <c r="BT24" s="5"/>
      <c r="BU24" s="5"/>
      <c r="BV24" s="5" t="inlineStr">
        <is>
          <t xml:space="preserve">Tecnico En Ciberseguridad</t>
        </is>
      </c>
      <c r="BW24" s="5" t="inlineStr">
        <is>
          <t xml:space="preserve">A distancia</t>
        </is>
      </c>
      <c r="BX24" s="5" t="n">
        <v>192</v>
      </c>
      <c r="BY24" s="5" t="n">
        <v>122</v>
      </c>
      <c r="BZ24" s="5" t="n">
        <v>18</v>
      </c>
      <c r="CA24" s="5"/>
      <c r="CB24" s="5"/>
      <c r="CC24" s="5"/>
      <c r="CD24" s="5"/>
      <c r="CE24" s="5"/>
      <c r="CF24" s="5"/>
      <c r="CG24" s="5"/>
      <c r="CH24" s="5"/>
      <c r="CI24" s="5"/>
      <c r="CJ24" s="5" t="n">
        <v>18</v>
      </c>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row>
    <row r="25" customFormat="false" ht="15" hidden="false" customHeight="true" outlineLevel="0" collapsed="false">
      <c r="A25" s="5"/>
      <c r="I25" s="5"/>
      <c r="J25" s="5"/>
      <c r="K25" s="5"/>
      <c r="L25" s="5"/>
      <c r="M25" s="5"/>
      <c r="N25" s="5"/>
      <c r="O25" s="5"/>
      <c r="P25" s="5"/>
      <c r="Q25" s="5"/>
      <c r="R25" s="5"/>
      <c r="S25" s="5"/>
      <c r="T25" s="5"/>
      <c r="U25" s="5"/>
      <c r="V25" s="5"/>
      <c r="W25" s="5"/>
      <c r="X25" s="80" t="str">
        <v>Tecnico En Ciberseguridad</v>
      </c>
      <c r="Y25" s="80" t="str">
        <v>Presencial</v>
      </c>
      <c r="Z25" s="81" t="n">
        <v>47</v>
      </c>
      <c r="AA25" s="81" t="n">
        <v>33</v>
      </c>
      <c r="AB25" s="82" t="n">
        <v>0.702127659574468</v>
      </c>
      <c r="AC25" s="83" t="str">
        <v>Tecnico En Ciberseguridad — Presencial</v>
      </c>
      <c r="AD25" s="5"/>
      <c r="AE25" s="5"/>
      <c r="AF25" s="5"/>
      <c r="AG25" s="5"/>
      <c r="AH25" s="5"/>
      <c r="AI25" s="5"/>
      <c r="AJ25" s="5"/>
      <c r="AK25" s="5"/>
      <c r="AL25" s="5"/>
      <c r="AM25" s="5"/>
      <c r="AN25" s="5"/>
      <c r="AO25" s="5"/>
      <c r="AP25" s="5"/>
      <c r="AQ25" s="5"/>
      <c r="AR25" s="5"/>
      <c r="AS25" s="90"/>
      <c r="AT25" s="90"/>
      <c r="AU25" s="90"/>
      <c r="AV25" s="90"/>
      <c r="AW25" s="90"/>
      <c r="AX25" s="5"/>
      <c r="AY25" s="5" t="str">
        <v>Tecnico En Conectividad Y Redes — Presencial</v>
      </c>
      <c r="AZ25" s="86" t="n">
        <v>0.642857142857143</v>
      </c>
      <c r="BA25" s="5"/>
      <c r="BB25" s="5"/>
      <c r="BC25" s="86"/>
      <c r="BD25" s="5"/>
      <c r="BE25" s="5"/>
      <c r="BF25" s="86"/>
      <c r="BG25" s="5"/>
      <c r="BH25" s="5"/>
      <c r="BI25" s="86"/>
      <c r="BJ25" s="5"/>
      <c r="BK25" s="5"/>
      <c r="BL25" s="5"/>
      <c r="BM25" s="5"/>
      <c r="BN25" s="5" t="inlineStr">
        <is>
          <t xml:space="preserve">Tecnico En Ciberseguridad</t>
        </is>
      </c>
      <c r="BO25" s="5"/>
      <c r="BP25" s="5"/>
      <c r="BQ25" s="5"/>
      <c r="BR25" s="5"/>
      <c r="BS25" s="5"/>
      <c r="BT25" s="5"/>
      <c r="BU25" s="5"/>
      <c r="BV25" s="5" t="inlineStr">
        <is>
          <t xml:space="preserve">Tecnico En Ciberseguridad</t>
        </is>
      </c>
      <c r="BW25" s="5" t="inlineStr">
        <is>
          <t xml:space="preserve">Presencial</t>
        </is>
      </c>
      <c r="BX25" s="5" t="n">
        <v>47</v>
      </c>
      <c r="BY25" s="5" t="n">
        <v>33</v>
      </c>
      <c r="BZ25" s="5" t="n">
        <v>19</v>
      </c>
      <c r="CA25" s="5"/>
      <c r="CB25" s="5"/>
      <c r="CC25" s="5"/>
      <c r="CD25" s="5"/>
      <c r="CE25" s="5"/>
      <c r="CF25" s="5"/>
      <c r="CG25" s="5"/>
      <c r="CH25" s="5"/>
      <c r="CI25" s="5"/>
      <c r="CJ25" s="5" t="n">
        <v>24</v>
      </c>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row>
    <row r="26" customFormat="false" ht="15" hidden="false" customHeight="true" outlineLevel="0" collapsed="false">
      <c r="A26" s="5"/>
      <c r="I26" s="5"/>
      <c r="J26" s="5"/>
      <c r="K26" s="5"/>
      <c r="L26" s="5"/>
      <c r="M26" s="5"/>
      <c r="N26" s="5"/>
      <c r="O26" s="5"/>
      <c r="P26" s="5"/>
      <c r="Q26" s="5"/>
      <c r="R26" s="5"/>
      <c r="S26" s="5"/>
      <c r="T26" s="5"/>
      <c r="U26" s="5"/>
      <c r="V26" s="5"/>
      <c r="W26" s="5"/>
      <c r="X26" s="80" t="str">
        <v>Tecnico En Ciencia De Datos</v>
      </c>
      <c r="Y26" s="80" t="str">
        <v>A distancia</v>
      </c>
      <c r="Z26" s="81" t="n">
        <v>23</v>
      </c>
      <c r="AA26" s="81" t="n">
        <v>13</v>
      </c>
      <c r="AB26" s="82" t="n">
        <v>0.565217391304348</v>
      </c>
      <c r="AC26" s="83" t="str">
        <v>Tecnico En Ciencia De Datos — A distancia</v>
      </c>
      <c r="AD26" s="5"/>
      <c r="AE26" s="5"/>
      <c r="AF26" s="5"/>
      <c r="AG26" s="5"/>
      <c r="AH26" s="5"/>
      <c r="AI26" s="5"/>
      <c r="AJ26" s="5"/>
      <c r="AK26" s="5"/>
      <c r="AL26" s="5"/>
      <c r="AM26" s="5"/>
      <c r="AN26" s="5"/>
      <c r="AO26" s="5"/>
      <c r="AP26" s="5"/>
      <c r="AQ26" s="5"/>
      <c r="AR26" s="5"/>
      <c r="AS26" s="90" t="inlineStr">
        <is>
          <t xml:space="preserve">• Sector: compare la continuidad junto con el número de estudiantes. Si un sector no tiene estudiantes en este cohorte, su tasa queda sin calcular.</t>
        </is>
      </c>
      <c r="AT26" s="90"/>
      <c r="AU26" s="90"/>
      <c r="AV26" s="90"/>
      <c r="AW26" s="90"/>
      <c r="AX26" s="5"/>
      <c r="AY26" s="5" t="str">
        <v>Ingenieria En Informatica — Presencial</v>
      </c>
      <c r="AZ26" s="86" t="n">
        <v>0.653846153846154</v>
      </c>
      <c r="BA26" s="5"/>
      <c r="BB26" s="5"/>
      <c r="BC26" s="86"/>
      <c r="BD26" s="5"/>
      <c r="BE26" s="5"/>
      <c r="BF26" s="86"/>
      <c r="BG26" s="5"/>
      <c r="BH26" s="5"/>
      <c r="BI26" s="86"/>
      <c r="BJ26" s="5"/>
      <c r="BK26" s="5"/>
      <c r="BL26" s="5"/>
      <c r="BM26" s="5"/>
      <c r="BN26" s="5" t="inlineStr">
        <is>
          <t xml:space="preserve">Tecnico En Ciencia De Datos</t>
        </is>
      </c>
      <c r="BO26" s="5"/>
      <c r="BP26" s="5"/>
      <c r="BQ26" s="5"/>
      <c r="BR26" s="5"/>
      <c r="BS26" s="5"/>
      <c r="BT26" s="5"/>
      <c r="BU26" s="5"/>
      <c r="BV26" s="5" t="inlineStr">
        <is>
          <t xml:space="preserve">Tecnico En Ciencia De Datos</t>
        </is>
      </c>
      <c r="BW26" s="5" t="inlineStr">
        <is>
          <t xml:space="preserve">A distancia</t>
        </is>
      </c>
      <c r="BX26" s="5" t="n">
        <v>23</v>
      </c>
      <c r="BY26" s="5" t="n">
        <v>13</v>
      </c>
      <c r="BZ26" s="5" t="n">
        <v>20</v>
      </c>
      <c r="CA26" s="5"/>
      <c r="CB26" s="5"/>
      <c r="CC26" s="5"/>
      <c r="CD26" s="5"/>
      <c r="CE26" s="5"/>
      <c r="CF26" s="5"/>
      <c r="CG26" s="5"/>
      <c r="CH26" s="5"/>
      <c r="CI26" s="5"/>
      <c r="CJ26" s="5" t="n">
        <v>13</v>
      </c>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row>
    <row r="27" customFormat="false" ht="26.25" hidden="false" customHeight="true" outlineLevel="0" collapsed="false">
      <c r="A27" s="5"/>
      <c r="B27" s="5"/>
      <c r="C27" s="5"/>
      <c r="D27" s="5"/>
      <c r="E27" s="5"/>
      <c r="F27" s="5"/>
      <c r="G27" s="5"/>
      <c r="H27" s="5"/>
      <c r="I27" s="5"/>
      <c r="J27" s="5"/>
      <c r="K27" s="5"/>
      <c r="L27" s="5"/>
      <c r="M27" s="5"/>
      <c r="N27" s="5"/>
      <c r="O27" s="5"/>
      <c r="P27" s="5"/>
      <c r="Q27" s="5"/>
      <c r="R27" s="5"/>
      <c r="S27" s="5"/>
      <c r="T27" s="5"/>
      <c r="U27" s="5"/>
      <c r="V27" s="5"/>
      <c r="W27" s="5"/>
      <c r="X27" s="80" t="str">
        <v>Tecnico En Conectividad Y Redes</v>
      </c>
      <c r="Y27" s="80" t="str">
        <v>A distancia</v>
      </c>
      <c r="Z27" s="81" t="n">
        <v>110</v>
      </c>
      <c r="AA27" s="81" t="n">
        <v>61</v>
      </c>
      <c r="AB27" s="82" t="n">
        <v>0.554545454545455</v>
      </c>
      <c r="AC27" s="83" t="str">
        <v>Tecnico En Conectividad Y Redes — A distancia</v>
      </c>
      <c r="AD27" s="5"/>
      <c r="AE27" s="5"/>
      <c r="AF27" s="5"/>
      <c r="AG27" s="5"/>
      <c r="AH27" s="5"/>
      <c r="AI27" s="5"/>
      <c r="AJ27" s="5"/>
      <c r="AK27" s="5"/>
      <c r="AL27" s="5"/>
      <c r="AM27" s="5"/>
      <c r="AN27" s="5"/>
      <c r="AO27" s="5"/>
      <c r="AP27" s="5"/>
      <c r="AQ27" s="5"/>
      <c r="AR27" s="5"/>
      <c r="AS27" s="90"/>
      <c r="AT27" s="90"/>
      <c r="AU27" s="90"/>
      <c r="AV27" s="90"/>
      <c r="AW27" s="90"/>
      <c r="AX27" s="5"/>
      <c r="AY27" s="5" t="str">
        <v>Ingenieria En Informatica — A distancia</v>
      </c>
      <c r="AZ27" s="86" t="n">
        <v>0.671875</v>
      </c>
      <c r="BA27" s="5"/>
      <c r="BB27" s="5"/>
      <c r="BC27" s="86"/>
      <c r="BD27" s="5"/>
      <c r="BE27" s="5"/>
      <c r="BF27" s="86"/>
      <c r="BG27" s="5"/>
      <c r="BH27" s="5"/>
      <c r="BI27" s="86"/>
      <c r="BJ27" s="5"/>
      <c r="BK27" s="5"/>
      <c r="BL27" s="5"/>
      <c r="BM27" s="5"/>
      <c r="BN27" s="5" t="inlineStr">
        <is>
          <t xml:space="preserve">Tecnico En Conectividad Y Redes</t>
        </is>
      </c>
      <c r="BO27" s="5"/>
      <c r="BP27" s="5"/>
      <c r="BQ27" s="5"/>
      <c r="BR27" s="5"/>
      <c r="BS27" s="5"/>
      <c r="BT27" s="5"/>
      <c r="BU27" s="5"/>
      <c r="BV27" s="5" t="inlineStr">
        <is>
          <t xml:space="preserve">Tecnico En Conectividad Y Redes</t>
        </is>
      </c>
      <c r="BW27" s="5" t="inlineStr">
        <is>
          <t xml:space="preserve">A distancia</t>
        </is>
      </c>
      <c r="BX27" s="5" t="n">
        <v>110</v>
      </c>
      <c r="BY27" s="5" t="n">
        <v>61</v>
      </c>
      <c r="BZ27" s="5" t="n">
        <v>21</v>
      </c>
      <c r="CA27" s="5"/>
      <c r="CB27" s="5"/>
      <c r="CC27" s="5"/>
      <c r="CD27" s="5"/>
      <c r="CE27" s="5"/>
      <c r="CF27" s="5"/>
      <c r="CG27" s="5"/>
      <c r="CH27" s="5"/>
      <c r="CI27" s="5"/>
      <c r="CJ27" s="5" t="n">
        <v>12</v>
      </c>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row>
    <row r="28" customFormat="false" ht="21.75" hidden="false" customHeight="true" outlineLevel="0" collapsed="false">
      <c r="A28" s="5"/>
      <c r="B28" s="5"/>
      <c r="I28" s="5"/>
      <c r="J28" s="5"/>
      <c r="K28" s="5"/>
      <c r="L28" s="5"/>
      <c r="M28" s="5"/>
      <c r="N28" s="5"/>
      <c r="O28" s="5"/>
      <c r="P28" s="5"/>
      <c r="Q28" s="5"/>
      <c r="R28" s="5"/>
      <c r="S28" s="5"/>
      <c r="T28" s="5"/>
      <c r="U28" s="5"/>
      <c r="V28" s="5"/>
      <c r="W28" s="5"/>
      <c r="X28" s="80" t="str">
        <v>Tecnico En Conectividad Y Redes</v>
      </c>
      <c r="Y28" s="80" t="str">
        <v>Presencial</v>
      </c>
      <c r="Z28" s="81" t="n">
        <v>14</v>
      </c>
      <c r="AA28" s="81" t="n">
        <v>9</v>
      </c>
      <c r="AB28" s="82" t="n">
        <v>0.642857142857143</v>
      </c>
      <c r="AC28" s="83" t="str">
        <v>Tecnico En Conectividad Y Redes — Presencial</v>
      </c>
      <c r="AD28" s="5"/>
      <c r="AE28" s="5"/>
      <c r="AF28" s="5"/>
      <c r="AG28" s="5"/>
      <c r="AH28" s="5"/>
      <c r="AI28" s="5"/>
      <c r="AJ28" s="5"/>
      <c r="AK28" s="5"/>
      <c r="AL28" s="5"/>
      <c r="AM28" s="5"/>
      <c r="AN28" s="5"/>
      <c r="AO28" s="5"/>
      <c r="AP28" s="5"/>
      <c r="AQ28" s="5"/>
      <c r="AR28" s="5"/>
      <c r="AS28" s="90"/>
      <c r="AT28" s="90"/>
      <c r="AU28" s="90"/>
      <c r="AV28" s="90"/>
      <c r="AW28" s="90"/>
      <c r="AX28" s="5"/>
      <c r="AY28" s="5" t="str">
        <v>Auditoria — A distancia</v>
      </c>
      <c r="AZ28" s="86" t="n">
        <v>0.675</v>
      </c>
      <c r="BA28" s="5"/>
      <c r="BB28" s="5"/>
      <c r="BC28" s="86"/>
      <c r="BD28" s="5"/>
      <c r="BE28" s="5"/>
      <c r="BF28" s="86"/>
      <c r="BG28" s="5"/>
      <c r="BH28" s="5"/>
      <c r="BI28" s="86"/>
      <c r="BJ28" s="5"/>
      <c r="BK28" s="5"/>
      <c r="BL28" s="5"/>
      <c r="BM28" s="5"/>
      <c r="BN28" s="5" t="inlineStr">
        <is>
          <t xml:space="preserve">Tecnico En Programacion Y Analisis De Sistemas</t>
        </is>
      </c>
      <c r="BO28" s="5"/>
      <c r="BP28" s="5"/>
      <c r="BQ28" s="5"/>
      <c r="BR28" s="5"/>
      <c r="BS28" s="5"/>
      <c r="BT28" s="5"/>
      <c r="BU28" s="5"/>
      <c r="BV28" s="5" t="inlineStr">
        <is>
          <t xml:space="preserve">Tecnico En Conectividad Y Redes</t>
        </is>
      </c>
      <c r="BW28" s="5" t="inlineStr">
        <is>
          <t xml:space="preserve">Presencial</t>
        </is>
      </c>
      <c r="BX28" s="5" t="n">
        <v>14</v>
      </c>
      <c r="BY28" s="5" t="n">
        <v>9</v>
      </c>
      <c r="BZ28" s="5" t="n">
        <v>22</v>
      </c>
      <c r="CA28" s="5"/>
      <c r="CB28" s="5"/>
      <c r="CC28" s="5"/>
      <c r="CD28" s="5"/>
      <c r="CE28" s="5"/>
      <c r="CF28" s="5"/>
      <c r="CG28" s="5"/>
      <c r="CH28" s="5"/>
      <c r="CI28" s="5"/>
      <c r="CJ28" s="5" t="n">
        <v>19</v>
      </c>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row>
    <row r="29" customFormat="false" ht="15" hidden="false" customHeight="true" outlineLevel="0" collapsed="false">
      <c r="A29" s="5"/>
      <c r="B29" s="5"/>
      <c r="C29" s="5"/>
      <c r="D29" s="5"/>
      <c r="E29" s="5"/>
      <c r="F29" s="30"/>
      <c r="K29" s="5"/>
      <c r="L29" s="5"/>
      <c r="M29" s="5"/>
      <c r="N29" s="5"/>
      <c r="O29" s="5"/>
      <c r="P29" s="5"/>
      <c r="Q29" s="5"/>
      <c r="R29" s="5"/>
      <c r="S29" s="5"/>
      <c r="T29" s="5"/>
      <c r="U29" s="5"/>
      <c r="V29" s="5"/>
      <c r="W29" s="5"/>
      <c r="X29" s="80" t="str">
        <v>Tecnico En Enfermeria</v>
      </c>
      <c r="Y29" s="80" t="str">
        <v>Presencial</v>
      </c>
      <c r="Z29" s="81" t="n">
        <v>75</v>
      </c>
      <c r="AA29" s="81" t="n">
        <v>35</v>
      </c>
      <c r="AB29" s="82" t="n">
        <v>0.466666666666667</v>
      </c>
      <c r="AC29" s="83" t="str">
        <v>Tecnico En Enfermeria — Presencial</v>
      </c>
      <c r="AH29" s="5"/>
      <c r="AM29" s="5"/>
      <c r="AN29" s="5"/>
      <c r="AO29" s="5"/>
      <c r="AP29" s="5"/>
      <c r="AQ29" s="5"/>
      <c r="AR29" s="5"/>
      <c r="AS29" s="90" t="inlineStr">
        <is>
          <t xml:space="preserve">• Sede: esta base analítica contiene estudiantes de Casa Central. Aquí no es posible comparar sedes.</t>
        </is>
      </c>
      <c r="AT29" s="90"/>
      <c r="AU29" s="90"/>
      <c r="AV29" s="90"/>
      <c r="AW29" s="90"/>
      <c r="AX29" s="5"/>
      <c r="AY29" s="5" t="str">
        <v>Tecnico En Programacion Y Analisis De Sistemas — A distancia</v>
      </c>
      <c r="AZ29" s="86" t="n">
        <v>0.67948717948718</v>
      </c>
      <c r="BA29" s="5"/>
      <c r="BB29" s="5"/>
      <c r="BC29" s="86"/>
      <c r="BD29" s="5"/>
      <c r="BE29" s="5"/>
      <c r="BF29" s="86"/>
      <c r="BG29" s="5"/>
      <c r="BH29" s="5"/>
      <c r="BI29" s="86"/>
      <c r="BJ29" s="5"/>
      <c r="BK29" s="5"/>
      <c r="BL29" s="5"/>
      <c r="BM29" s="5"/>
      <c r="BN29" s="5" t="inlineStr">
        <is>
          <t xml:space="preserve">Todas</t>
        </is>
      </c>
      <c r="BO29" s="5"/>
      <c r="BP29" s="5"/>
      <c r="BQ29" s="5"/>
      <c r="BR29" s="5"/>
      <c r="BS29" s="5"/>
      <c r="BT29" s="5"/>
      <c r="BU29" s="5"/>
      <c r="BV29" s="5" t="inlineStr">
        <is>
          <t xml:space="preserve">Tecnico En Enfermeria</t>
        </is>
      </c>
      <c r="BW29" s="5" t="inlineStr">
        <is>
          <t xml:space="preserve">Presencial</t>
        </is>
      </c>
      <c r="BX29" s="5" t="n">
        <v>75</v>
      </c>
      <c r="BY29" s="5" t="n">
        <v>35</v>
      </c>
      <c r="BZ29" s="5" t="n">
        <v>23</v>
      </c>
      <c r="CA29" s="5"/>
      <c r="CB29" s="5"/>
      <c r="CC29" s="5"/>
      <c r="CD29" s="5"/>
      <c r="CE29" s="5"/>
      <c r="CF29" s="5"/>
      <c r="CG29" s="5"/>
      <c r="CH29" s="5"/>
      <c r="CI29" s="5"/>
      <c r="CJ29" s="5" t="n">
        <v>5</v>
      </c>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row>
    <row r="30" customFormat="false" ht="15" hidden="false" customHeight="true" outlineLevel="0" collapsed="false">
      <c r="A30" s="5"/>
      <c r="B30" s="5"/>
      <c r="C30" s="5"/>
      <c r="D30" s="5"/>
      <c r="E30" s="5"/>
      <c r="F30" s="30"/>
      <c r="K30" s="5"/>
      <c r="L30" s="5"/>
      <c r="M30" s="5"/>
      <c r="N30" s="5"/>
      <c r="O30" s="5"/>
      <c r="P30" s="5"/>
      <c r="Q30" s="5"/>
      <c r="R30" s="5"/>
      <c r="S30" s="5"/>
      <c r="T30" s="5"/>
      <c r="U30" s="5"/>
      <c r="V30" s="5"/>
      <c r="W30" s="5"/>
      <c r="X30" s="80" t="str">
        <v>Tecnico En Logistica</v>
      </c>
      <c r="Y30" s="80" t="str">
        <v>A distancia</v>
      </c>
      <c r="Z30" s="81" t="n">
        <v>80</v>
      </c>
      <c r="AA30" s="81" t="n">
        <v>48</v>
      </c>
      <c r="AB30" s="82" t="n">
        <v>0.6</v>
      </c>
      <c r="AC30" s="83" t="str">
        <v>Tecnico En Logistica — A distancia</v>
      </c>
      <c r="AH30" s="5"/>
      <c r="AM30" s="5"/>
      <c r="AN30" s="5"/>
      <c r="AO30" s="5"/>
      <c r="AP30" s="5"/>
      <c r="AQ30" s="5"/>
      <c r="AR30" s="5"/>
      <c r="AS30" s="90"/>
      <c r="AT30" s="90"/>
      <c r="AU30" s="90"/>
      <c r="AV30" s="90"/>
      <c r="AW30" s="90"/>
      <c r="AX30" s="5"/>
      <c r="AY30" s="5" t="str">
        <v>Tecnico En Ciberseguridad — Presencial</v>
      </c>
      <c r="AZ30" s="86" t="n">
        <v>0.702127659574468</v>
      </c>
      <c r="BA30" s="5"/>
      <c r="BB30" s="5"/>
      <c r="BC30" s="86"/>
      <c r="BD30" s="5"/>
      <c r="BE30" s="5"/>
      <c r="BF30" s="86"/>
      <c r="BG30" s="5"/>
      <c r="BH30" s="5"/>
      <c r="BI30" s="86"/>
      <c r="BJ30" s="5"/>
      <c r="BK30" s="5"/>
      <c r="BL30" s="5"/>
      <c r="BM30" s="5"/>
      <c r="BN30" s="5" t="inlineStr">
        <is>
          <t xml:space="preserve">Administracion Publica</t>
        </is>
      </c>
      <c r="BO30" s="5"/>
      <c r="BP30" s="5"/>
      <c r="BQ30" s="5"/>
      <c r="BR30" s="5"/>
      <c r="BS30" s="5"/>
      <c r="BT30" s="5"/>
      <c r="BU30" s="5"/>
      <c r="BV30" s="5" t="inlineStr">
        <is>
          <t xml:space="preserve">Tecnico En Logistica</t>
        </is>
      </c>
      <c r="BW30" s="5" t="inlineStr">
        <is>
          <t xml:space="preserve">A distancia</t>
        </is>
      </c>
      <c r="BX30" s="5" t="n">
        <v>80</v>
      </c>
      <c r="BY30" s="5" t="n">
        <v>48</v>
      </c>
      <c r="BZ30" s="5" t="n">
        <v>24</v>
      </c>
      <c r="CA30" s="5"/>
      <c r="CB30" s="5"/>
      <c r="CC30" s="5"/>
      <c r="CD30" s="5"/>
      <c r="CE30" s="5"/>
      <c r="CF30" s="5"/>
      <c r="CG30" s="5"/>
      <c r="CH30" s="5"/>
      <c r="CI30" s="5"/>
      <c r="CJ30" s="5" t="n">
        <v>14</v>
      </c>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row>
    <row r="31" customFormat="false" ht="15" hidden="false" customHeight="true" outlineLevel="0" collapsed="false">
      <c r="A31" s="5"/>
      <c r="F31" s="30"/>
      <c r="G31" s="34" t="inlineStr">
        <is>
          <t xml:space="preserve">Lectura por sector: compare las tasas junto con sus denominadores. Un sector con pocos estudiantes puede variar mucho de una cohorte a otro.</t>
        </is>
      </c>
      <c r="H31" s="34"/>
      <c r="I31" s="34"/>
      <c r="J31" s="34"/>
      <c r="K31" s="5"/>
      <c r="L31" s="5"/>
      <c r="M31" s="5"/>
      <c r="N31" s="5"/>
      <c r="O31" s="5"/>
      <c r="P31" s="5"/>
      <c r="Q31" s="5"/>
      <c r="R31" s="5"/>
      <c r="S31" s="5"/>
      <c r="T31" s="5"/>
      <c r="U31" s="5"/>
      <c r="V31" s="5"/>
      <c r="W31" s="5"/>
      <c r="X31" s="80" t="str">
        <v>Tecnico En Logistica</v>
      </c>
      <c r="Y31" s="80" t="str">
        <v>Presencial</v>
      </c>
      <c r="Z31" s="81" t="n">
        <v>25</v>
      </c>
      <c r="AA31" s="81" t="n">
        <v>9</v>
      </c>
      <c r="AB31" s="82" t="n">
        <v>0.36</v>
      </c>
      <c r="AC31" s="83" t="str">
        <v>Tecnico En Logistica — Presencial</v>
      </c>
      <c r="AD31" s="34" t="inlineStr">
        <is>
          <t xml:space="preserve">Lectura por jornada: una diferencia en porcentaje merece revisar el tamaño de cada jornada y la carrera que la compone.</t>
        </is>
      </c>
      <c r="AE31" s="34"/>
      <c r="AF31" s="34"/>
      <c r="AG31" s="34"/>
      <c r="AH31" s="5"/>
      <c r="AI31" s="34" t="inlineStr">
        <is>
          <t xml:space="preserve">Lectura por sexo: compare grupos del mismo cohorte y trate con cautela los que tienen muy pocos estudiantes.</t>
        </is>
      </c>
      <c r="AJ31" s="34"/>
      <c r="AK31" s="34"/>
      <c r="AL31" s="34"/>
      <c r="AM31" s="5"/>
      <c r="AR31" s="5"/>
      <c r="AS31" s="90"/>
      <c r="AT31" s="90"/>
      <c r="AU31" s="90"/>
      <c r="AV31" s="90"/>
      <c r="AW31" s="90"/>
      <c r="AX31" s="5"/>
      <c r="AY31" s="5" t="str">
        <v>Ingenieria En Conectividad Y Redes — A distancia</v>
      </c>
      <c r="AZ31" s="86" t="n">
        <v>0.707547169811321</v>
      </c>
      <c r="BA31" s="5"/>
      <c r="BB31" s="5"/>
      <c r="BC31" s="86"/>
      <c r="BD31" s="5"/>
      <c r="BE31" s="5"/>
      <c r="BF31" s="86"/>
      <c r="BG31" s="5"/>
      <c r="BH31" s="5"/>
      <c r="BI31" s="86"/>
      <c r="BJ31" s="5"/>
      <c r="BK31" s="5"/>
      <c r="BL31" s="5"/>
      <c r="BM31" s="5"/>
      <c r="BN31" s="5" t="inlineStr">
        <is>
          <t xml:space="preserve">Auditoria</t>
        </is>
      </c>
      <c r="BO31" s="5"/>
      <c r="BP31" s="5"/>
      <c r="BQ31" s="5"/>
      <c r="BR31" s="5"/>
      <c r="BS31" s="5"/>
      <c r="BT31" s="5"/>
      <c r="BU31" s="5"/>
      <c r="BV31" s="5" t="inlineStr">
        <is>
          <t xml:space="preserve">Tecnico En Logistica</t>
        </is>
      </c>
      <c r="BW31" s="5" t="inlineStr">
        <is>
          <t xml:space="preserve">Presencial</t>
        </is>
      </c>
      <c r="BX31" s="5" t="n">
        <v>25</v>
      </c>
      <c r="BY31" s="5" t="n">
        <v>9</v>
      </c>
      <c r="BZ31" s="5" t="n">
        <v>25</v>
      </c>
      <c r="CA31" s="5"/>
      <c r="CB31" s="5"/>
      <c r="CC31" s="5"/>
      <c r="CD31" s="5"/>
      <c r="CE31" s="5"/>
      <c r="CF31" s="5"/>
      <c r="CG31" s="5"/>
      <c r="CH31" s="5"/>
      <c r="CI31" s="5"/>
      <c r="CJ31" s="5" t="n">
        <v>3</v>
      </c>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row>
    <row r="32" customFormat="false" ht="15" hidden="false" customHeight="true" outlineLevel="0" collapsed="false">
      <c r="A32" s="5"/>
      <c r="F32" s="30"/>
      <c r="G32" s="34"/>
      <c r="H32" s="34"/>
      <c r="I32" s="34"/>
      <c r="J32" s="34"/>
      <c r="K32" s="5"/>
      <c r="L32" s="5"/>
      <c r="M32" s="5"/>
      <c r="N32" s="5"/>
      <c r="O32" s="5"/>
      <c r="P32" s="5"/>
      <c r="Q32" s="5"/>
      <c r="R32" s="5"/>
      <c r="S32" s="5"/>
      <c r="T32" s="5"/>
      <c r="U32" s="5"/>
      <c r="V32" s="5"/>
      <c r="W32" s="5"/>
      <c r="X32" s="80" t="str">
        <v>Tecnico En Programacion Y Analisis De Sistemas</v>
      </c>
      <c r="Y32" s="80" t="str">
        <v>A distancia</v>
      </c>
      <c r="Z32" s="81" t="n">
        <v>390</v>
      </c>
      <c r="AA32" s="81" t="n">
        <v>265</v>
      </c>
      <c r="AB32" s="82" t="n">
        <v>0.67948717948718</v>
      </c>
      <c r="AC32" s="83" t="str">
        <v>Tecnico En Programacion Y Analisis De Sistemas — A distancia</v>
      </c>
      <c r="AD32" s="34"/>
      <c r="AE32" s="34"/>
      <c r="AF32" s="34"/>
      <c r="AG32" s="34"/>
      <c r="AH32" s="5"/>
      <c r="AI32" s="34"/>
      <c r="AJ32" s="34"/>
      <c r="AK32" s="34"/>
      <c r="AL32" s="34"/>
      <c r="AM32" s="5"/>
      <c r="AR32" s="5"/>
      <c r="AS32" s="90" t="inlineStr">
        <is>
          <t xml:space="preserve">• Modalidad: presencial y a distancia pueden tener tamaños diferentes. Lea el porcentaje junto con el total de estudiantes.</t>
        </is>
      </c>
      <c r="AT32" s="90"/>
      <c r="AU32" s="90"/>
      <c r="AV32" s="90"/>
      <c r="AW32" s="90"/>
      <c r="AX32" s="5"/>
      <c r="AY32" s="5" t="str">
        <v>Ingenieria En Ciberseguridad — Presencial</v>
      </c>
      <c r="AZ32" s="86" t="n">
        <v>0.739130434782609</v>
      </c>
      <c r="BA32" s="5"/>
      <c r="BB32" s="5"/>
      <c r="BC32" s="86"/>
      <c r="BD32" s="5"/>
      <c r="BE32" s="5"/>
      <c r="BF32" s="86"/>
      <c r="BG32" s="5"/>
      <c r="BH32" s="5"/>
      <c r="BI32" s="86"/>
      <c r="BJ32" s="5"/>
      <c r="BK32" s="5"/>
      <c r="BL32" s="5"/>
      <c r="BM32" s="5"/>
      <c r="BN32" s="5" t="inlineStr">
        <is>
          <t xml:space="preserve">Contabilidad General</t>
        </is>
      </c>
      <c r="BO32" s="5"/>
      <c r="BP32" s="5"/>
      <c r="BQ32" s="5"/>
      <c r="BR32" s="5"/>
      <c r="BS32" s="5"/>
      <c r="BT32" s="5"/>
      <c r="BU32" s="5"/>
      <c r="BV32" s="5" t="inlineStr">
        <is>
          <t xml:space="preserve">Tecnico En Programacion Y Analisis De Sistemas</t>
        </is>
      </c>
      <c r="BW32" s="5" t="inlineStr">
        <is>
          <t xml:space="preserve">A distancia</t>
        </is>
      </c>
      <c r="BX32" s="5" t="n">
        <v>390</v>
      </c>
      <c r="BY32" s="5" t="n">
        <v>265</v>
      </c>
      <c r="BZ32" s="5" t="n">
        <v>26</v>
      </c>
      <c r="CA32" s="5"/>
      <c r="CB32" s="5"/>
      <c r="CC32" s="5"/>
      <c r="CD32" s="5"/>
      <c r="CE32" s="5"/>
      <c r="CF32" s="5"/>
      <c r="CG32" s="5"/>
      <c r="CH32" s="5"/>
      <c r="CI32" s="5"/>
      <c r="CJ32" s="5" t="n">
        <v>23</v>
      </c>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row>
    <row r="33" customFormat="false" ht="15" hidden="false" customHeight="true" outlineLevel="0" collapsed="false">
      <c r="A33" s="5"/>
      <c r="F33" s="30"/>
      <c r="G33" s="34"/>
      <c r="H33" s="34"/>
      <c r="I33" s="34"/>
      <c r="J33" s="34"/>
      <c r="K33" s="5"/>
      <c r="L33" s="5"/>
      <c r="M33" s="5"/>
      <c r="N33" s="5"/>
      <c r="O33" s="5"/>
      <c r="P33" s="5"/>
      <c r="Q33" s="5"/>
      <c r="R33" s="5"/>
      <c r="S33" s="5"/>
      <c r="T33" s="5"/>
      <c r="U33" s="5"/>
      <c r="V33" s="5"/>
      <c r="W33" s="5"/>
      <c r="X33" s="80" t="str">
        <v>Tecnico En Programacion Y Analisis De Sistemas</v>
      </c>
      <c r="Y33" s="80" t="str">
        <v>Presencial</v>
      </c>
      <c r="Z33" s="81" t="n">
        <v>76</v>
      </c>
      <c r="AA33" s="81" t="n">
        <v>48</v>
      </c>
      <c r="AB33" s="82" t="n">
        <v>0.631578947368421</v>
      </c>
      <c r="AC33" s="83" t="str">
        <v>Tecnico En Programacion Y Analisis De Sistemas — Presencial</v>
      </c>
      <c r="AD33" s="34"/>
      <c r="AE33" s="34"/>
      <c r="AF33" s="34"/>
      <c r="AG33" s="34"/>
      <c r="AH33" s="5"/>
      <c r="AI33" s="34"/>
      <c r="AJ33" s="34"/>
      <c r="AK33" s="34"/>
      <c r="AL33" s="34"/>
      <c r="AM33" s="5"/>
      <c r="AR33" s="5"/>
      <c r="AS33" s="90"/>
      <c r="AT33" s="90"/>
      <c r="AU33" s="90"/>
      <c r="AV33" s="90"/>
      <c r="AW33" s="90"/>
      <c r="AX33" s="5"/>
      <c r="AY33" s="5" t="str">
        <v>Ingenieria En Conectividad Y Redes — Presencial</v>
      </c>
      <c r="AZ33" s="86" t="n">
        <v>0.76</v>
      </c>
      <c r="BA33" s="5"/>
      <c r="BB33" s="5"/>
      <c r="BC33" s="86"/>
      <c r="BD33" s="5"/>
      <c r="BE33" s="5"/>
      <c r="BF33" s="86"/>
      <c r="BG33" s="5"/>
      <c r="BH33" s="5"/>
      <c r="BI33" s="86"/>
      <c r="BJ33" s="5"/>
      <c r="BK33" s="5"/>
      <c r="BL33" s="5"/>
      <c r="BM33" s="5"/>
      <c r="BN33" s="5" t="inlineStr">
        <is>
          <t xml:space="preserve">Ingenieria En Administracion De Empresas</t>
        </is>
      </c>
      <c r="BO33" s="5"/>
      <c r="BP33" s="5"/>
      <c r="BQ33" s="5"/>
      <c r="BR33" s="5"/>
      <c r="BS33" s="5"/>
      <c r="BT33" s="5"/>
      <c r="BU33" s="5"/>
      <c r="BV33" s="5" t="inlineStr">
        <is>
          <t xml:space="preserve">Tecnico En Programacion Y Analisis De Sistemas</t>
        </is>
      </c>
      <c r="BW33" s="5" t="inlineStr">
        <is>
          <t xml:space="preserve">Presencial</t>
        </is>
      </c>
      <c r="BX33" s="5" t="n">
        <v>76</v>
      </c>
      <c r="BY33" s="5" t="n">
        <v>48</v>
      </c>
      <c r="BZ33" s="5" t="n">
        <v>27</v>
      </c>
      <c r="CA33" s="5"/>
      <c r="CB33" s="5"/>
      <c r="CC33" s="5"/>
      <c r="CD33" s="5"/>
      <c r="CE33" s="5"/>
      <c r="CF33" s="5"/>
      <c r="CG33" s="5"/>
      <c r="CH33" s="5"/>
      <c r="CI33" s="5"/>
      <c r="CJ33" s="5" t="n">
        <v>17</v>
      </c>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row>
    <row r="34" customFormat="false" ht="15" hidden="false" customHeight="true" outlineLevel="0" collapsed="false">
      <c r="A34" s="5"/>
      <c r="B34" s="91" t="inlineStr">
        <is>
          <t xml:space="preserve">Ejemplo fijo: Tecnologías, acumulado 2022–2025.
Presencial: 228/332 = 68,7%. A distancia: 934/1.434 = 65,1%.
Excel «Promedio»: 66,9%. Tasa de todo el sector: (228+934)/(332+1.434) = 65,8%. Cada estudiante cuenta una vez.</t>
        </is>
      </c>
      <c r="C34" s="91"/>
      <c r="D34" s="91"/>
      <c r="E34" s="91"/>
      <c r="F34" s="30"/>
      <c r="G34" s="34"/>
      <c r="H34" s="34"/>
      <c r="I34" s="34"/>
      <c r="J34" s="34"/>
      <c r="K34" s="5"/>
      <c r="L34" s="5"/>
      <c r="M34" s="5"/>
      <c r="N34" s="5"/>
      <c r="O34" s="5"/>
      <c r="P34" s="5"/>
      <c r="Q34" s="5"/>
      <c r="R34" s="5"/>
      <c r="S34" s="5"/>
      <c r="T34" s="5"/>
      <c r="U34" s="5"/>
      <c r="V34" s="5"/>
      <c r="W34" s="5"/>
      <c r="X34" s="5"/>
      <c r="Y34" s="5"/>
      <c r="Z34" s="5"/>
      <c r="AA34" s="5"/>
      <c r="AB34" s="5"/>
      <c r="AC34" s="5"/>
      <c r="AD34" s="34"/>
      <c r="AE34" s="34"/>
      <c r="AF34" s="34"/>
      <c r="AG34" s="34"/>
      <c r="AH34" s="5"/>
      <c r="AI34" s="34"/>
      <c r="AJ34" s="34"/>
      <c r="AK34" s="34"/>
      <c r="AL34" s="34"/>
      <c r="AM34" s="5"/>
      <c r="AN34" s="34" t="inlineStr">
        <is>
          <t xml:space="preserve">Lectura por edad: la cohorte elegida permite observar cómo cambia la continuidad entre tramos, sin suponer que la edad sea la causa.</t>
        </is>
      </c>
      <c r="AO34" s="34"/>
      <c r="AP34" s="34"/>
      <c r="AQ34" s="34"/>
      <c r="AR34" s="5"/>
      <c r="AS34" s="90"/>
      <c r="AT34" s="90"/>
      <c r="AU34" s="90"/>
      <c r="AV34" s="90"/>
      <c r="AW34" s="90"/>
      <c r="AX34" s="5"/>
      <c r="AY34" s="5"/>
      <c r="AZ34" s="5"/>
      <c r="BA34" s="5"/>
      <c r="BB34" s="5"/>
      <c r="BC34" s="5"/>
      <c r="BD34" s="5"/>
      <c r="BE34" s="5"/>
      <c r="BF34" s="5"/>
      <c r="BG34" s="5"/>
      <c r="BH34" s="5"/>
      <c r="BI34" s="5"/>
      <c r="BJ34" s="5"/>
      <c r="BK34" s="5"/>
      <c r="BL34" s="5"/>
      <c r="BM34" s="5"/>
      <c r="BN34" s="5" t="inlineStr">
        <is>
          <t xml:space="preserve">Ingenieria En Logistica</t>
        </is>
      </c>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row>
    <row r="35" customFormat="false" ht="15" hidden="false" customHeight="true" outlineLevel="0" collapsed="false">
      <c r="A35" s="5"/>
      <c r="B35" s="91"/>
      <c r="C35" s="91"/>
      <c r="D35" s="91"/>
      <c r="E35" s="91"/>
      <c r="F35" s="30"/>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34"/>
      <c r="AO35" s="34"/>
      <c r="AP35" s="34"/>
      <c r="AQ35" s="34"/>
      <c r="AR35" s="5"/>
      <c r="AS35" s="90" t="inlineStr">
        <is>
          <t xml:space="preserve">• Carrera: elija primero un sector y después una carrera. Si cambia de sector, seleccione de nuevo la carrera para evitar comparar grupos distintos.</t>
        </is>
      </c>
      <c r="AT35" s="90"/>
      <c r="AU35" s="90"/>
      <c r="AV35" s="90"/>
      <c r="AW35" s="90"/>
      <c r="AX35" s="5"/>
      <c r="AY35" s="5"/>
      <c r="AZ35" s="5"/>
      <c r="BA35" s="5"/>
      <c r="BB35" s="5"/>
      <c r="BC35" s="5"/>
      <c r="BD35" s="5"/>
      <c r="BE35" s="5"/>
      <c r="BF35" s="5"/>
      <c r="BG35" s="5"/>
      <c r="BH35" s="5"/>
      <c r="BI35" s="5"/>
      <c r="BJ35" s="5"/>
      <c r="BK35" s="5"/>
      <c r="BL35" s="5"/>
      <c r="BM35" s="5"/>
      <c r="BN35" s="5" t="inlineStr">
        <is>
          <t xml:space="preserve">Tecnico En Administracion De Empresas</t>
        </is>
      </c>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row>
    <row r="36" customFormat="false" ht="15" hidden="false" customHeight="true" outlineLevel="0" collapsed="false">
      <c r="A36" s="5"/>
      <c r="B36" s="91"/>
      <c r="C36" s="91"/>
      <c r="D36" s="91"/>
      <c r="E36" s="91"/>
      <c r="F36" s="30"/>
      <c r="G36" s="5"/>
      <c r="H36" s="5"/>
      <c r="I36" s="5"/>
      <c r="J36" s="5"/>
      <c r="K36" s="5"/>
      <c r="Q36" s="5"/>
      <c r="R36" s="5"/>
      <c r="S36" s="5"/>
      <c r="T36" s="5"/>
      <c r="U36" s="5"/>
      <c r="V36" s="5"/>
      <c r="W36" s="5"/>
      <c r="X36" s="5"/>
      <c r="Y36" s="5"/>
      <c r="Z36" s="5"/>
      <c r="AA36" s="5"/>
      <c r="AB36" s="5"/>
      <c r="AC36" s="5"/>
      <c r="AD36" s="5"/>
      <c r="AE36" s="5"/>
      <c r="AF36" s="5"/>
      <c r="AG36" s="5"/>
      <c r="AH36" s="5"/>
      <c r="AI36" s="5"/>
      <c r="AJ36" s="5"/>
      <c r="AK36" s="5"/>
      <c r="AL36" s="5"/>
      <c r="AM36" s="5"/>
      <c r="AN36" s="34"/>
      <c r="AO36" s="34"/>
      <c r="AP36" s="34"/>
      <c r="AQ36" s="34"/>
      <c r="AR36" s="5"/>
      <c r="AS36" s="90"/>
      <c r="AT36" s="90"/>
      <c r="AU36" s="90"/>
      <c r="AV36" s="90"/>
      <c r="AW36" s="90"/>
      <c r="AX36" s="5"/>
      <c r="AY36" s="5"/>
      <c r="AZ36" s="5"/>
      <c r="BA36" s="5"/>
      <c r="BB36" s="5"/>
      <c r="BC36" s="5"/>
      <c r="BD36" s="5"/>
      <c r="BE36" s="5"/>
      <c r="BF36" s="5"/>
      <c r="BG36" s="5"/>
      <c r="BH36" s="5"/>
      <c r="BI36" s="5"/>
      <c r="BJ36" s="5"/>
      <c r="BK36" s="5"/>
      <c r="BL36" s="5"/>
      <c r="BM36" s="5"/>
      <c r="BN36" s="5" t="inlineStr">
        <is>
          <t xml:space="preserve">Tecnico En Administracion Publica</t>
        </is>
      </c>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row>
    <row r="37" customFormat="false" ht="15" hidden="false" customHeight="true" outlineLevel="0" collapsed="false">
      <c r="A37" s="5"/>
      <c r="B37" s="91"/>
      <c r="C37" s="91"/>
      <c r="D37" s="91"/>
      <c r="E37" s="91"/>
      <c r="F37" s="30"/>
      <c r="G37" s="5"/>
      <c r="H37" s="5"/>
      <c r="I37" s="5"/>
      <c r="J37" s="5"/>
      <c r="K37" s="5"/>
      <c r="Q37" s="5"/>
      <c r="R37" s="5"/>
      <c r="S37" s="5"/>
      <c r="T37" s="5"/>
      <c r="U37" s="5"/>
      <c r="V37" s="5"/>
      <c r="W37" s="5"/>
      <c r="X37" s="5"/>
      <c r="Y37" s="5"/>
      <c r="Z37" s="5"/>
      <c r="AA37" s="5"/>
      <c r="AB37" s="5"/>
      <c r="AC37" s="5"/>
      <c r="AD37" s="5"/>
      <c r="AE37" s="5"/>
      <c r="AF37" s="5"/>
      <c r="AG37" s="5"/>
      <c r="AH37" s="5"/>
      <c r="AI37" s="5"/>
      <c r="AJ37" s="5"/>
      <c r="AK37" s="5"/>
      <c r="AL37" s="5"/>
      <c r="AM37" s="5"/>
      <c r="AN37" s="34"/>
      <c r="AO37" s="34"/>
      <c r="AP37" s="34"/>
      <c r="AQ37" s="34"/>
      <c r="AR37" s="5"/>
      <c r="AS37" s="90"/>
      <c r="AT37" s="90"/>
      <c r="AU37" s="90"/>
      <c r="AV37" s="90"/>
      <c r="AW37" s="90"/>
      <c r="AX37" s="5"/>
      <c r="AY37" s="5"/>
      <c r="AZ37" s="5"/>
      <c r="BA37" s="5"/>
      <c r="BB37" s="5"/>
      <c r="BC37" s="5"/>
      <c r="BD37" s="5"/>
      <c r="BE37" s="5"/>
      <c r="BF37" s="5"/>
      <c r="BG37" s="5"/>
      <c r="BH37" s="5"/>
      <c r="BI37" s="5"/>
      <c r="BJ37" s="5"/>
      <c r="BK37" s="5"/>
      <c r="BL37" s="5"/>
      <c r="BM37" s="5"/>
      <c r="BN37" s="5" t="inlineStr">
        <is>
          <t xml:space="preserve">Tecnico En Logistica</t>
        </is>
      </c>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row>
    <row r="38" customFormat="false" ht="15" hidden="false" customHeight="true" outlineLevel="0" collapsed="false">
      <c r="A38" s="5"/>
      <c r="B38" s="5"/>
      <c r="C38" s="5"/>
      <c r="D38" s="5"/>
      <c r="E38" s="5"/>
      <c r="F38" s="5"/>
      <c r="G38" s="5"/>
      <c r="H38" s="5"/>
      <c r="I38" s="5"/>
      <c r="J38" s="5"/>
      <c r="K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90" t="inlineStr">
        <is>
          <t xml:space="preserve">• Carrera y modalidad: esta vista permite mirar ambas dimensiones juntas. Una diferencia de tasa, por sí sola, no demuestra su causa.</t>
        </is>
      </c>
      <c r="AT38" s="90"/>
      <c r="AU38" s="90"/>
      <c r="AV38" s="90"/>
      <c r="AW38" s="90"/>
      <c r="AX38" s="5"/>
      <c r="AY38" s="5"/>
      <c r="AZ38" s="5"/>
      <c r="BA38" s="5"/>
      <c r="BB38" s="5"/>
      <c r="BC38" s="5"/>
      <c r="BD38" s="5"/>
      <c r="BE38" s="5"/>
      <c r="BF38" s="5"/>
      <c r="BG38" s="5"/>
      <c r="BH38" s="5"/>
      <c r="BI38" s="5"/>
      <c r="BJ38" s="5"/>
      <c r="BK38" s="5"/>
      <c r="BL38" s="5"/>
      <c r="BM38" s="5"/>
      <c r="BN38" s="5" t="inlineStr">
        <is>
          <t xml:space="preserve">Todas</t>
        </is>
      </c>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row>
    <row r="39" customFormat="false" ht="15" hidden="false" customHeight="true" outlineLevel="0" collapsed="false">
      <c r="A39" s="5"/>
      <c r="B39" s="5"/>
      <c r="C39" s="5"/>
      <c r="D39" s="5"/>
      <c r="E39" s="5"/>
      <c r="F39" s="5"/>
      <c r="G39" s="5"/>
      <c r="H39" s="5"/>
      <c r="I39" s="5"/>
      <c r="J39" s="5"/>
      <c r="K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90"/>
      <c r="AT39" s="90"/>
      <c r="AU39" s="90"/>
      <c r="AV39" s="90"/>
      <c r="AW39" s="90"/>
      <c r="AX39" s="5"/>
      <c r="AY39" s="5"/>
      <c r="AZ39" s="5"/>
      <c r="BA39" s="5"/>
      <c r="BB39" s="5"/>
      <c r="BC39" s="5"/>
      <c r="BD39" s="5"/>
      <c r="BE39" s="5"/>
      <c r="BF39" s="5"/>
      <c r="BG39" s="5"/>
      <c r="BH39" s="5"/>
      <c r="BI39" s="5"/>
      <c r="BJ39" s="5"/>
      <c r="BK39" s="5"/>
      <c r="BL39" s="5"/>
      <c r="BM39" s="5"/>
      <c r="BN39" s="5" t="inlineStr">
        <is>
          <t xml:space="preserve">Tecnico En Enfermeria</t>
        </is>
      </c>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row>
    <row r="40" customFormat="false" ht="15" hidden="false" customHeight="true" outlineLevel="0" collapsed="false">
      <c r="A40" s="5"/>
      <c r="B40" s="5"/>
      <c r="C40" s="5"/>
      <c r="D40" s="5"/>
      <c r="E40" s="5"/>
      <c r="F40" s="5"/>
      <c r="G40" s="5"/>
      <c r="H40" s="5"/>
      <c r="I40" s="5"/>
      <c r="J40" s="5"/>
      <c r="K40" s="5"/>
      <c r="L40" s="34" t="inlineStr">
        <is>
          <t xml:space="preserve">Lectura por modalidad: la comparación es más útil dentro de una misma carrera y un mismo cohorte; los tamaños de grupo pueden ser distintos.</t>
        </is>
      </c>
      <c r="M40" s="34"/>
      <c r="N40" s="34"/>
      <c r="O40" s="34"/>
      <c r="P40" s="34"/>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90"/>
      <c r="AT40" s="90"/>
      <c r="AU40" s="90"/>
      <c r="AV40" s="90"/>
      <c r="AW40" s="90"/>
      <c r="AX40" s="5"/>
      <c r="AY40" s="5"/>
      <c r="AZ40" s="5"/>
      <c r="BA40" s="5"/>
      <c r="BB40" s="5"/>
      <c r="BC40" s="5"/>
      <c r="BD40" s="5"/>
      <c r="BE40" s="5"/>
      <c r="BF40" s="5"/>
      <c r="BG40" s="5"/>
      <c r="BH40" s="5"/>
      <c r="BI40" s="5"/>
      <c r="BJ40" s="5"/>
      <c r="BK40" s="5"/>
      <c r="BL40" s="5"/>
      <c r="BM40" s="5"/>
      <c r="BN40" s="5"/>
      <c r="BO40" s="5"/>
      <c r="BP40" s="5" t="n">
        <v>2022</v>
      </c>
      <c r="BQ40" s="5" t="n">
        <v>1</v>
      </c>
      <c r="BR40" s="5" t="n">
        <v>305</v>
      </c>
      <c r="BS40" s="5" t="n">
        <v>224</v>
      </c>
      <c r="BT40" s="5" t="n">
        <v>83</v>
      </c>
      <c r="BU40" s="5" t="n">
        <v>63</v>
      </c>
      <c r="BV40" s="5" t="n">
        <v>222</v>
      </c>
      <c r="BW40" s="5" t="n">
        <v>161</v>
      </c>
      <c r="BX40" s="5" t="n">
        <v>1</v>
      </c>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row>
    <row r="41" customFormat="false" ht="26.25" hidden="false" customHeight="true" outlineLevel="0" collapsed="false">
      <c r="A41" s="5"/>
      <c r="B41" s="5"/>
      <c r="C41" s="5"/>
      <c r="D41" s="5"/>
      <c r="E41" s="5"/>
      <c r="F41" s="5"/>
      <c r="G41" s="5"/>
      <c r="H41" s="5"/>
      <c r="I41" s="5"/>
      <c r="J41" s="5"/>
      <c r="K41" s="5"/>
      <c r="L41" s="34"/>
      <c r="M41" s="34"/>
      <c r="N41" s="34"/>
      <c r="O41" s="34"/>
      <c r="P41" s="34"/>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90" t="inlineStr">
        <is>
          <t xml:space="preserve">• Jornada: Diurno, Vespertino y Virtual se comparan dentro de la cohorte elegida. Revise cuántos estudiantes aporta cada una.</t>
        </is>
      </c>
      <c r="AT41" s="90"/>
      <c r="AU41" s="90"/>
      <c r="AV41" s="90"/>
      <c r="AW41" s="90"/>
      <c r="AX41" s="5"/>
      <c r="AY41" s="5"/>
      <c r="AZ41" s="5"/>
      <c r="BA41" s="5"/>
      <c r="BB41" s="5"/>
      <c r="BC41" s="5"/>
      <c r="BD41" s="5"/>
      <c r="BE41" s="5"/>
      <c r="BF41" s="5"/>
      <c r="BG41" s="5"/>
      <c r="BH41" s="5"/>
      <c r="BI41" s="5"/>
      <c r="BJ41" s="5"/>
      <c r="BK41" s="5"/>
      <c r="BL41" s="5"/>
      <c r="BM41" s="5"/>
      <c r="BN41" s="5"/>
      <c r="BO41" s="5"/>
      <c r="BP41" s="5" t="n">
        <v>2023</v>
      </c>
      <c r="BQ41" s="5" t="n">
        <v>1</v>
      </c>
      <c r="BR41" s="5" t="n">
        <v>366</v>
      </c>
      <c r="BS41" s="5" t="n">
        <v>258</v>
      </c>
      <c r="BT41" s="5" t="n">
        <v>24</v>
      </c>
      <c r="BU41" s="5" t="n">
        <v>14</v>
      </c>
      <c r="BV41" s="5" t="n">
        <v>342</v>
      </c>
      <c r="BW41" s="5" t="n">
        <v>244</v>
      </c>
      <c r="BX41" s="5" t="n">
        <v>2</v>
      </c>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row>
    <row r="42" customFormat="false" ht="15" hidden="false" customHeight="true" outlineLevel="0" collapsed="false">
      <c r="A42" s="5"/>
      <c r="B42" s="5"/>
      <c r="C42" s="5"/>
      <c r="D42" s="5"/>
      <c r="E42" s="5"/>
      <c r="F42" s="30"/>
      <c r="G42" s="5"/>
      <c r="H42" s="5"/>
      <c r="I42" s="5"/>
      <c r="J42" s="5"/>
      <c r="K42" s="5"/>
      <c r="L42" s="34"/>
      <c r="M42" s="34"/>
      <c r="N42" s="34"/>
      <c r="O42" s="34"/>
      <c r="P42" s="34"/>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90"/>
      <c r="AT42" s="90"/>
      <c r="AU42" s="90"/>
      <c r="AV42" s="90"/>
      <c r="AW42" s="90"/>
      <c r="AX42" s="5"/>
      <c r="AY42" s="5"/>
      <c r="AZ42" s="5"/>
      <c r="BA42" s="5"/>
      <c r="BB42" s="5"/>
      <c r="BC42" s="5"/>
      <c r="BD42" s="5"/>
      <c r="BE42" s="5"/>
      <c r="BF42" s="5"/>
      <c r="BG42" s="5"/>
      <c r="BH42" s="5"/>
      <c r="BI42" s="5"/>
      <c r="BJ42" s="5"/>
      <c r="BK42" s="5"/>
      <c r="BL42" s="5"/>
      <c r="BM42" s="5"/>
      <c r="BN42" s="5"/>
      <c r="BO42" s="5"/>
      <c r="BP42" s="5" t="n">
        <v>2024</v>
      </c>
      <c r="BQ42" s="5" t="n">
        <v>1</v>
      </c>
      <c r="BR42" s="5" t="n">
        <v>558</v>
      </c>
      <c r="BS42" s="5" t="n">
        <v>326</v>
      </c>
      <c r="BT42" s="5" t="n">
        <v>136</v>
      </c>
      <c r="BU42" s="5" t="n">
        <v>79</v>
      </c>
      <c r="BV42" s="5" t="n">
        <v>422</v>
      </c>
      <c r="BW42" s="5" t="n">
        <v>247</v>
      </c>
      <c r="BX42" s="5" t="n">
        <v>3</v>
      </c>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row>
    <row r="43" customFormat="false" ht="15" hidden="false" customHeight="true" outlineLevel="0" collapsed="false">
      <c r="A43" s="5"/>
      <c r="B43" s="5"/>
      <c r="C43" s="5"/>
      <c r="D43" s="5"/>
      <c r="E43" s="5"/>
      <c r="F43" s="30"/>
      <c r="G43" s="5"/>
      <c r="H43" s="5"/>
      <c r="I43" s="5"/>
      <c r="J43" s="5"/>
      <c r="K43" s="5"/>
      <c r="L43" s="34"/>
      <c r="M43" s="34"/>
      <c r="N43" s="34"/>
      <c r="O43" s="34"/>
      <c r="P43" s="34"/>
      <c r="Q43" s="5"/>
      <c r="W43" s="5"/>
      <c r="X43" s="5"/>
      <c r="Y43" s="5"/>
      <c r="Z43" s="5"/>
      <c r="AA43" s="5"/>
      <c r="AB43" s="5"/>
      <c r="AC43" s="5"/>
      <c r="AD43" s="5"/>
      <c r="AE43" s="5"/>
      <c r="AF43" s="5"/>
      <c r="AG43" s="5"/>
      <c r="AH43" s="5"/>
      <c r="AI43" s="5"/>
      <c r="AJ43" s="5"/>
      <c r="AK43" s="5"/>
      <c r="AL43" s="5"/>
      <c r="AM43" s="5"/>
      <c r="AN43" s="5"/>
      <c r="AO43" s="5"/>
      <c r="AP43" s="5"/>
      <c r="AQ43" s="5"/>
      <c r="AR43" s="5"/>
      <c r="AS43" s="90"/>
      <c r="AT43" s="90"/>
      <c r="AU43" s="90"/>
      <c r="AV43" s="90"/>
      <c r="AW43" s="90"/>
      <c r="AX43" s="5"/>
      <c r="AY43" s="5"/>
      <c r="AZ43" s="5"/>
      <c r="BA43" s="5"/>
      <c r="BB43" s="5"/>
      <c r="BC43" s="5"/>
      <c r="BD43" s="5"/>
      <c r="BE43" s="5"/>
      <c r="BF43" s="5"/>
      <c r="BG43" s="5"/>
      <c r="BH43" s="5"/>
      <c r="BI43" s="5"/>
      <c r="BJ43" s="5"/>
      <c r="BK43" s="5"/>
      <c r="BL43" s="5"/>
      <c r="BM43" s="5"/>
      <c r="BN43" s="5"/>
      <c r="BO43" s="5"/>
      <c r="BP43" s="5" t="n">
        <v>2025</v>
      </c>
      <c r="BQ43" s="5" t="n">
        <v>1</v>
      </c>
      <c r="BR43" s="5" t="n">
        <v>1150</v>
      </c>
      <c r="BS43" s="5" t="n">
        <v>668</v>
      </c>
      <c r="BT43" s="5" t="n">
        <v>240</v>
      </c>
      <c r="BU43" s="5" t="n">
        <v>135</v>
      </c>
      <c r="BV43" s="5" t="n">
        <v>910</v>
      </c>
      <c r="BW43" s="5" t="n">
        <v>533</v>
      </c>
      <c r="BX43" s="5" t="n">
        <v>4</v>
      </c>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row>
    <row r="44" customFormat="false" ht="15" hidden="false" customHeight="true" outlineLevel="0" collapsed="false">
      <c r="A44" s="5"/>
      <c r="B44" s="5"/>
      <c r="C44" s="5"/>
      <c r="D44" s="5"/>
      <c r="E44" s="5"/>
      <c r="F44" s="30"/>
      <c r="G44" s="5"/>
      <c r="H44" s="5"/>
      <c r="I44" s="5"/>
      <c r="J44" s="5"/>
      <c r="K44" s="5"/>
      <c r="L44" s="5"/>
      <c r="M44" s="5"/>
      <c r="N44" s="5"/>
      <c r="O44" s="5"/>
      <c r="P44" s="5"/>
      <c r="Q44" s="5"/>
      <c r="W44" s="5"/>
      <c r="X44" s="5"/>
      <c r="Y44" s="5"/>
      <c r="Z44" s="5"/>
      <c r="AA44" s="5"/>
      <c r="AB44" s="5"/>
      <c r="AC44" s="5"/>
      <c r="AD44" s="5"/>
      <c r="AE44" s="5"/>
      <c r="AF44" s="5"/>
      <c r="AG44" s="5"/>
      <c r="AH44" s="5"/>
      <c r="AI44" s="5"/>
      <c r="AJ44" s="5"/>
      <c r="AK44" s="5"/>
      <c r="AL44" s="5"/>
      <c r="AM44" s="5"/>
      <c r="AN44" s="5"/>
      <c r="AO44" s="5"/>
      <c r="AP44" s="5"/>
      <c r="AQ44" s="5"/>
      <c r="AR44" s="5"/>
      <c r="AS44" s="90" t="inlineStr">
        <is>
          <t xml:space="preserve">• Sexo: los grupos muy pequeños requieren cautela. Un porcentaje aislado puede no representar un patrón estable.</t>
        </is>
      </c>
      <c r="AT44" s="90"/>
      <c r="AU44" s="90"/>
      <c r="AV44" s="90"/>
      <c r="AW44" s="90"/>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row>
    <row r="45" customFormat="false" ht="15" hidden="false" customHeight="true" outlineLevel="0" collapsed="false">
      <c r="A45" s="5"/>
      <c r="B45" s="5"/>
      <c r="I45" s="5"/>
      <c r="J45" s="5"/>
      <c r="K45" s="5"/>
      <c r="L45" s="5"/>
      <c r="M45" s="5"/>
      <c r="N45" s="5"/>
      <c r="O45" s="5"/>
      <c r="P45" s="5"/>
      <c r="Q45" s="5"/>
      <c r="W45" s="5"/>
      <c r="X45" s="5"/>
      <c r="Y45" s="5"/>
      <c r="Z45" s="5"/>
      <c r="AA45" s="5"/>
      <c r="AB45" s="5"/>
      <c r="AC45" s="5"/>
      <c r="AD45" s="5"/>
      <c r="AE45" s="5"/>
      <c r="AF45" s="5"/>
      <c r="AG45" s="5"/>
      <c r="AH45" s="5"/>
      <c r="AI45" s="5"/>
      <c r="AJ45" s="5"/>
      <c r="AK45" s="5"/>
      <c r="AL45" s="5"/>
      <c r="AM45" s="5"/>
      <c r="AN45" s="5"/>
      <c r="AO45" s="5"/>
      <c r="AP45" s="5"/>
      <c r="AQ45" s="5"/>
      <c r="AR45" s="5"/>
      <c r="AS45" s="90"/>
      <c r="AT45" s="90"/>
      <c r="AU45" s="90"/>
      <c r="AV45" s="90"/>
      <c r="AW45" s="90"/>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row>
    <row r="46" customFormat="false" ht="15" hidden="false" customHeight="true" outlineLevel="0" collapsed="false">
      <c r="A46" s="5"/>
      <c r="I46" s="5"/>
      <c r="J46" s="5"/>
      <c r="K46" s="5"/>
      <c r="L46" s="5"/>
      <c r="M46" s="5"/>
      <c r="N46" s="5"/>
      <c r="O46" s="5"/>
      <c r="P46" s="5"/>
      <c r="Q46" s="5"/>
      <c r="W46" s="5"/>
      <c r="X46" s="5"/>
      <c r="Y46" s="5"/>
      <c r="Z46" s="5"/>
      <c r="AA46" s="5"/>
      <c r="AB46" s="5"/>
      <c r="AC46" s="5"/>
      <c r="AD46" s="5"/>
      <c r="AE46" s="5"/>
      <c r="AF46" s="5"/>
      <c r="AG46" s="5"/>
      <c r="AH46" s="5"/>
      <c r="AI46" s="5"/>
      <c r="AJ46" s="5"/>
      <c r="AK46" s="5"/>
      <c r="AL46" s="5"/>
      <c r="AM46" s="5"/>
      <c r="AN46" s="5"/>
      <c r="AO46" s="5"/>
      <c r="AP46" s="5"/>
      <c r="AQ46" s="5"/>
      <c r="AR46" s="5"/>
      <c r="AS46" s="90"/>
      <c r="AT46" s="90"/>
      <c r="AU46" s="90"/>
      <c r="AV46" s="90"/>
      <c r="AW46" s="90"/>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row>
    <row r="47" customFormat="false" ht="15" hidden="false" customHeight="true" outlineLevel="0" collapsed="false">
      <c r="A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90" t="inlineStr">
        <is>
          <t xml:space="preserve">• Edad: compare los tramos dentro de un mismo cohorte. La composición por edades también influye en el acumulado.</t>
        </is>
      </c>
      <c r="AT47" s="90"/>
      <c r="AU47" s="90"/>
      <c r="AV47" s="90"/>
      <c r="AW47" s="90"/>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row>
    <row r="48" customFormat="false" ht="15" hidden="false" customHeight="true" outlineLevel="0" collapsed="false">
      <c r="A48" s="5"/>
      <c r="B48" s="5"/>
      <c r="C48" s="5"/>
      <c r="D48" s="5"/>
      <c r="E48" s="5"/>
      <c r="F48" s="30"/>
      <c r="G48" s="5"/>
      <c r="H48" s="5"/>
      <c r="I48" s="5"/>
      <c r="J48" s="5"/>
      <c r="K48" s="5"/>
      <c r="L48" s="5"/>
      <c r="M48" s="5"/>
      <c r="N48" s="5"/>
      <c r="O48" s="5"/>
      <c r="P48" s="5"/>
      <c r="Q48" s="5"/>
      <c r="R48" s="34" t="inlineStr">
        <is>
          <t xml:space="preserve">Lectura por carrera: compare cada tasa con su número de estudiantes. Se muestran las carreras del sector y las cohortes elegidas que tienen estudiantes.</t>
        </is>
      </c>
      <c r="S48" s="34"/>
      <c r="T48" s="34"/>
      <c r="U48" s="34"/>
      <c r="V48" s="34"/>
      <c r="W48" s="5"/>
      <c r="X48" s="5"/>
      <c r="Y48" s="5"/>
      <c r="Z48" s="5"/>
      <c r="AA48" s="5"/>
      <c r="AB48" s="5"/>
      <c r="AC48" s="5"/>
      <c r="AD48" s="5"/>
      <c r="AE48" s="5"/>
      <c r="AF48" s="5"/>
      <c r="AG48" s="5"/>
      <c r="AH48" s="5"/>
      <c r="AI48" s="5"/>
      <c r="AJ48" s="5"/>
      <c r="AK48" s="5"/>
      <c r="AL48" s="5"/>
      <c r="AM48" s="5"/>
      <c r="AN48" s="5"/>
      <c r="AO48" s="5"/>
      <c r="AP48" s="5"/>
      <c r="AQ48" s="5"/>
      <c r="AR48" s="5"/>
      <c r="AS48" s="90"/>
      <c r="AT48" s="90"/>
      <c r="AU48" s="90"/>
      <c r="AV48" s="90"/>
      <c r="AW48" s="90"/>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row>
    <row r="49" customFormat="false" ht="21.75" hidden="false" customHeight="true" outlineLevel="0" collapsed="false">
      <c r="A49" s="5"/>
      <c r="B49" s="5"/>
      <c r="I49" s="5"/>
      <c r="J49" s="5"/>
      <c r="K49" s="5"/>
      <c r="L49" s="5"/>
      <c r="M49" s="5"/>
      <c r="N49" s="5"/>
      <c r="O49" s="5"/>
      <c r="P49" s="5"/>
      <c r="Q49" s="5"/>
      <c r="R49" s="34"/>
      <c r="S49" s="34"/>
      <c r="T49" s="34"/>
      <c r="U49" s="34"/>
      <c r="V49" s="34"/>
      <c r="W49" s="5"/>
      <c r="X49" s="5"/>
      <c r="Y49" s="5"/>
      <c r="Z49" s="5"/>
      <c r="AA49" s="5"/>
      <c r="AB49" s="5"/>
      <c r="AC49" s="5"/>
      <c r="AD49" s="5"/>
      <c r="AE49" s="5"/>
      <c r="AF49" s="5"/>
      <c r="AG49" s="5"/>
      <c r="AH49" s="5"/>
      <c r="AI49" s="5"/>
      <c r="AJ49" s="5"/>
      <c r="AK49" s="5"/>
      <c r="AL49" s="5"/>
      <c r="AM49" s="5"/>
      <c r="AN49" s="5"/>
      <c r="AO49" s="5"/>
      <c r="AP49" s="5"/>
      <c r="AQ49" s="5"/>
      <c r="AR49" s="5"/>
      <c r="AS49" s="90"/>
      <c r="AT49" s="90"/>
      <c r="AU49" s="90"/>
      <c r="AV49" s="90"/>
      <c r="AW49" s="90"/>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row>
    <row r="50" customFormat="false" ht="15" hidden="false" customHeight="true" outlineLevel="0" collapsed="false">
      <c r="A50" s="5"/>
      <c r="B50" s="5"/>
      <c r="I50" s="5"/>
      <c r="J50" s="5"/>
      <c r="K50" s="5"/>
      <c r="L50" s="5"/>
      <c r="M50" s="5"/>
      <c r="N50" s="5"/>
      <c r="O50" s="5"/>
      <c r="P50" s="5"/>
      <c r="Q50" s="5"/>
      <c r="R50" s="34"/>
      <c r="S50" s="34"/>
      <c r="T50" s="34"/>
      <c r="U50" s="34"/>
      <c r="V50" s="34"/>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row>
    <row r="51" customFormat="false" ht="15" hidden="false" customHeight="true" outlineLevel="0" collapsed="false">
      <c r="A51" s="5"/>
      <c r="I51" s="5"/>
      <c r="J51" s="5"/>
      <c r="K51" s="5"/>
      <c r="L51" s="5"/>
      <c r="M51" s="5"/>
      <c r="N51" s="5"/>
      <c r="O51" s="5"/>
      <c r="P51" s="5"/>
      <c r="Q51" s="5"/>
      <c r="R51" s="34"/>
      <c r="S51" s="34"/>
      <c r="T51" s="34"/>
      <c r="U51" s="34"/>
      <c r="V51" s="34"/>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row>
    <row r="52" customFormat="false" ht="15" hidden="false" customHeight="true" outlineLevel="0" collapsed="false">
      <c r="A52" s="5"/>
      <c r="B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row>
    <row r="53" customFormat="false" ht="15" hidden="false" customHeight="true" outlineLevel="0" collapsed="false">
      <c r="A53" s="5"/>
      <c r="I53" s="5"/>
      <c r="J53" s="5"/>
      <c r="K53" s="5"/>
      <c r="L53" s="5"/>
      <c r="M53" s="5"/>
      <c r="N53" s="5"/>
      <c r="O53" s="5"/>
      <c r="P53" s="5"/>
      <c r="Q53" s="5"/>
      <c r="R53" s="5"/>
      <c r="S53" s="5"/>
      <c r="T53" s="5"/>
      <c r="U53" s="5"/>
      <c r="V53" s="5"/>
      <c r="W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row>
    <row r="54" customFormat="false" ht="15" hidden="false" customHeight="true" outlineLevel="0" collapsed="false">
      <c r="A54" s="5"/>
      <c r="I54" s="5"/>
      <c r="J54" s="5"/>
      <c r="K54" s="5"/>
      <c r="L54" s="5"/>
      <c r="M54" s="5"/>
      <c r="N54" s="5"/>
      <c r="O54" s="5"/>
      <c r="P54" s="5"/>
      <c r="Q54" s="5"/>
      <c r="R54" s="5"/>
      <c r="S54" s="5"/>
      <c r="T54" s="5"/>
      <c r="U54" s="5"/>
      <c r="V54" s="5"/>
      <c r="W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row>
    <row r="55" customFormat="false" ht="15" hidden="false" customHeight="true" outlineLevel="0" collapsed="false">
      <c r="A55" s="5"/>
      <c r="B55" s="5"/>
      <c r="C55" s="5"/>
      <c r="D55" s="5"/>
      <c r="E55" s="5"/>
      <c r="F55" s="30"/>
      <c r="G55" s="5"/>
      <c r="H55" s="5"/>
      <c r="I55" s="5"/>
      <c r="J55" s="5"/>
      <c r="K55" s="5"/>
      <c r="L55" s="5"/>
      <c r="M55" s="5"/>
      <c r="N55" s="5"/>
      <c r="O55" s="5"/>
      <c r="P55" s="5"/>
      <c r="Q55" s="5"/>
      <c r="R55" s="5"/>
      <c r="S55" s="5"/>
      <c r="T55" s="5"/>
      <c r="U55" s="5"/>
      <c r="V55" s="5"/>
      <c r="W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row>
    <row r="56" customFormat="false" ht="21.75" hidden="false" customHeight="true" outlineLevel="0" collapsed="false">
      <c r="A56" s="5"/>
      <c r="B56" s="5"/>
      <c r="I56" s="5"/>
      <c r="J56" s="5"/>
      <c r="K56" s="5"/>
      <c r="L56" s="5"/>
      <c r="M56" s="5"/>
      <c r="N56" s="5"/>
      <c r="O56" s="5"/>
      <c r="P56" s="5"/>
      <c r="Q56" s="5"/>
      <c r="R56" s="5"/>
      <c r="S56" s="5"/>
      <c r="T56" s="5"/>
      <c r="U56" s="5"/>
      <c r="V56" s="5"/>
      <c r="W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row>
    <row r="57" customFormat="false" ht="15" hidden="false" customHeight="true" outlineLevel="0" collapsed="false">
      <c r="A57" s="5"/>
      <c r="B57" s="5"/>
      <c r="C57" s="5"/>
      <c r="D57" s="5"/>
      <c r="E57" s="5"/>
      <c r="F57" s="30"/>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row>
    <row r="58" customFormat="false" ht="15" hidden="false" customHeight="true" outlineLevel="0" collapsed="false">
      <c r="A58" s="5"/>
      <c r="B58" s="5"/>
      <c r="C58" s="5"/>
      <c r="D58" s="5"/>
      <c r="E58" s="5"/>
      <c r="F58" s="30"/>
      <c r="G58" s="5"/>
      <c r="H58" s="5"/>
      <c r="I58" s="5"/>
      <c r="J58" s="5"/>
      <c r="K58" s="5"/>
      <c r="L58" s="5"/>
      <c r="M58" s="5"/>
      <c r="N58" s="5"/>
      <c r="O58" s="5"/>
      <c r="P58" s="5"/>
      <c r="Q58" s="5"/>
      <c r="R58" s="5"/>
      <c r="S58" s="5"/>
      <c r="T58" s="5"/>
      <c r="U58" s="5"/>
      <c r="V58" s="5"/>
      <c r="W58" s="5"/>
      <c r="X58" s="34" t="inlineStr">
        <is>
          <t xml:space="preserve">Lectura por carrera y modalidad: aquí aparecen las combinaciones con estudiantes en las cohortes elegidas. Revise estudiantes y retenidos antes de comparar porcentajes.</t>
        </is>
      </c>
      <c r="Y58" s="34"/>
      <c r="Z58" s="34"/>
      <c r="AA58" s="34"/>
      <c r="AB58" s="34"/>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row>
    <row r="59" customFormat="false" ht="15" hidden="false" customHeight="true" outlineLevel="0" collapsed="false">
      <c r="A59" s="5"/>
      <c r="B59" s="5"/>
      <c r="C59" s="5"/>
      <c r="D59" s="5"/>
      <c r="E59" s="5"/>
      <c r="F59" s="5"/>
      <c r="G59" s="5"/>
      <c r="H59" s="5"/>
      <c r="I59" s="5"/>
      <c r="J59" s="5"/>
      <c r="K59" s="5"/>
      <c r="L59" s="5"/>
      <c r="M59" s="5"/>
      <c r="N59" s="5"/>
      <c r="O59" s="5"/>
      <c r="P59" s="5"/>
      <c r="Q59" s="5"/>
      <c r="R59" s="5"/>
      <c r="S59" s="5"/>
      <c r="T59" s="5"/>
      <c r="U59" s="5"/>
      <c r="V59" s="5"/>
      <c r="W59" s="5"/>
      <c r="X59" s="34"/>
      <c r="Y59" s="34"/>
      <c r="Z59" s="34"/>
      <c r="AA59" s="34"/>
      <c r="AB59" s="34"/>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row>
    <row r="60" customFormat="false" ht="15" hidden="false" customHeight="true" outlineLevel="0" collapsed="false">
      <c r="A60" s="5"/>
      <c r="B60" s="5"/>
      <c r="C60" s="5"/>
      <c r="D60" s="5"/>
      <c r="E60" s="5"/>
      <c r="F60" s="5"/>
      <c r="G60" s="5"/>
      <c r="H60" s="5"/>
      <c r="I60" s="5"/>
      <c r="J60" s="5"/>
      <c r="K60" s="5"/>
      <c r="L60" s="5"/>
      <c r="M60" s="5"/>
      <c r="N60" s="5"/>
      <c r="O60" s="5"/>
      <c r="P60" s="5"/>
      <c r="Q60" s="5"/>
      <c r="R60" s="5"/>
      <c r="S60" s="5"/>
      <c r="T60" s="5"/>
      <c r="U60" s="5"/>
      <c r="V60" s="5"/>
      <c r="W60" s="5"/>
      <c r="X60" s="34"/>
      <c r="Y60" s="34"/>
      <c r="Z60" s="34"/>
      <c r="AA60" s="34"/>
      <c r="AB60" s="34"/>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row>
    <row r="61" customFormat="false" ht="15" hidden="false" customHeight="true" outlineLevel="0" collapsed="false">
      <c r="A61" s="5"/>
      <c r="B61" s="5"/>
      <c r="C61" s="5"/>
      <c r="D61" s="5"/>
      <c r="E61" s="5"/>
      <c r="F61" s="5"/>
      <c r="G61" s="5"/>
      <c r="H61" s="5"/>
      <c r="I61" s="5"/>
      <c r="J61" s="5"/>
      <c r="K61" s="5"/>
      <c r="L61" s="5"/>
      <c r="M61" s="5"/>
      <c r="N61" s="5"/>
      <c r="O61" s="5"/>
      <c r="P61" s="5"/>
      <c r="Q61" s="5"/>
      <c r="R61" s="5"/>
      <c r="S61" s="5"/>
      <c r="T61" s="5"/>
      <c r="U61" s="5"/>
      <c r="V61" s="5"/>
      <c r="W61" s="5"/>
      <c r="X61" s="34"/>
      <c r="Y61" s="34"/>
      <c r="Z61" s="34"/>
      <c r="AA61" s="34"/>
      <c r="AB61" s="34"/>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row>
    <row r="62" customFormat="false" ht="26.25" hidden="false" customHeight="tru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row>
    <row r="63" customFormat="false" ht="15" hidden="false" customHeight="true" outlineLevel="0" collapsed="false">
      <c r="A63" s="5"/>
      <c r="B63" s="5"/>
      <c r="C63" s="5"/>
      <c r="D63" s="5"/>
      <c r="E63" s="5"/>
      <c r="F63" s="30"/>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row>
    <row r="64" customFormat="false" ht="15" hidden="false" customHeight="true" outlineLevel="0" collapsed="false">
      <c r="A64" s="5"/>
      <c r="B64" s="5"/>
      <c r="C64" s="5"/>
      <c r="D64" s="5"/>
      <c r="E64" s="5"/>
      <c r="F64" s="30"/>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row>
    <row r="65" customFormat="false" ht="15" hidden="false" customHeight="true" outlineLevel="0" collapsed="false">
      <c r="A65" s="5"/>
      <c r="B65" s="5"/>
      <c r="C65" s="5"/>
      <c r="D65" s="5"/>
      <c r="E65" s="5"/>
      <c r="F65" s="30"/>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row>
    <row r="66" customFormat="false" ht="15" hidden="false" customHeight="true" outlineLevel="0" collapsed="false">
      <c r="A66" s="5"/>
      <c r="B66" s="5"/>
      <c r="C66" s="5"/>
      <c r="D66" s="5"/>
      <c r="E66" s="5"/>
      <c r="F66" s="30"/>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row>
    <row r="67" customFormat="false" ht="15" hidden="false" customHeight="true" outlineLevel="0" collapsed="false">
      <c r="A67" s="5"/>
      <c r="B67" s="5"/>
      <c r="C67" s="5"/>
      <c r="D67" s="5"/>
      <c r="E67" s="5"/>
      <c r="F67" s="30"/>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row>
    <row r="68" customFormat="false" ht="15" hidden="false" customHeight="true" outlineLevel="0" collapsed="false">
      <c r="A68" s="5"/>
      <c r="B68" s="5"/>
      <c r="C68" s="5"/>
      <c r="D68" s="5"/>
      <c r="E68" s="5"/>
      <c r="F68" s="30"/>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row>
    <row r="69" customFormat="false" ht="15" hidden="false" customHeight="true" outlineLevel="0" collapsed="false">
      <c r="A69" s="5"/>
      <c r="B69" s="5"/>
      <c r="C69" s="5"/>
      <c r="D69" s="5"/>
      <c r="E69" s="5"/>
      <c r="F69" s="30"/>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row>
    <row r="70" customFormat="false" ht="15" hidden="false" customHeight="true" outlineLevel="0" collapsed="false">
      <c r="A70" s="5"/>
      <c r="B70" s="5"/>
      <c r="C70" s="5"/>
      <c r="D70" s="5"/>
      <c r="E70" s="5"/>
      <c r="F70" s="30"/>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row>
    <row r="71" customFormat="false" ht="15" hidden="false" customHeight="true" outlineLevel="0" collapsed="false">
      <c r="A71" s="5"/>
      <c r="B71" s="5"/>
      <c r="C71" s="5"/>
      <c r="D71" s="5"/>
      <c r="E71" s="5"/>
      <c r="F71" s="30"/>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row>
    <row r="72" customFormat="false" ht="15" hidden="false" customHeight="true" outlineLevel="0" collapsed="false">
      <c r="A72" s="5"/>
      <c r="B72" s="5"/>
      <c r="C72" s="5"/>
      <c r="D72" s="5"/>
      <c r="E72" s="5"/>
      <c r="F72" s="30"/>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row>
    <row r="73" customFormat="false" ht="15" hidden="false" customHeight="true" outlineLevel="0" collapsed="false">
      <c r="A73" s="5"/>
      <c r="B73" s="5"/>
      <c r="C73" s="5"/>
      <c r="D73" s="5"/>
      <c r="E73" s="5"/>
      <c r="F73" s="30"/>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row>
    <row r="74" customFormat="false" ht="15" hidden="false" customHeight="true" outlineLevel="0" collapsed="false">
      <c r="A74" s="5"/>
      <c r="B74" s="5"/>
      <c r="C74" s="5"/>
      <c r="D74" s="5"/>
      <c r="E74" s="5"/>
      <c r="F74" s="30"/>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row>
    <row r="75" customFormat="false" ht="15" hidden="false" customHeight="true" outlineLevel="0" collapsed="false">
      <c r="A75" s="5"/>
      <c r="B75" s="5"/>
      <c r="C75" s="5"/>
      <c r="D75" s="5"/>
      <c r="E75" s="5"/>
      <c r="F75" s="30"/>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row>
    <row r="76" customFormat="false" ht="15" hidden="false" customHeight="true" outlineLevel="0" collapsed="false">
      <c r="A76" s="5"/>
      <c r="B76" s="5"/>
      <c r="C76" s="5"/>
      <c r="D76" s="5"/>
      <c r="E76" s="5"/>
      <c r="F76" s="30"/>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row>
    <row r="77" customFormat="false" ht="15" hidden="false" customHeight="true" outlineLevel="0" collapsed="false">
      <c r="A77" s="5"/>
      <c r="B77" s="5"/>
      <c r="C77" s="5"/>
      <c r="D77" s="5"/>
      <c r="E77" s="5"/>
      <c r="F77" s="30"/>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row>
    <row r="78" customFormat="false" ht="15" hidden="false" customHeight="true" outlineLevel="0" collapsed="false">
      <c r="A78" s="5"/>
      <c r="B78" s="5"/>
      <c r="C78" s="5"/>
      <c r="D78" s="5"/>
      <c r="E78" s="5"/>
      <c r="F78" s="30"/>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row>
    <row r="79" customFormat="false" ht="15" hidden="false" customHeight="true" outlineLevel="0" collapsed="false">
      <c r="A79" s="5"/>
      <c r="B79" s="5"/>
      <c r="C79" s="5"/>
      <c r="D79" s="5"/>
      <c r="E79" s="5"/>
      <c r="F79" s="30"/>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row>
    <row r="80" customFormat="false" ht="15" hidden="false" customHeight="true" outlineLevel="0" collapsed="false">
      <c r="A80" s="5"/>
      <c r="B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row>
    <row r="81" customFormat="false" ht="15" hidden="false" customHeight="true" outlineLevel="0" collapsed="false">
      <c r="A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row>
    <row r="82" customFormat="false" ht="15" hidden="false" customHeight="true" outlineLevel="0" collapsed="false">
      <c r="A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row>
    <row r="83" customFormat="false" ht="15" hidden="false" customHeight="true" outlineLevel="0" collapsed="false">
      <c r="A83" s="5"/>
      <c r="B83" s="5"/>
      <c r="C83" s="5"/>
      <c r="D83" s="5"/>
      <c r="E83" s="5"/>
      <c r="F83" s="30"/>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row>
    <row r="84" customFormat="false" ht="21.75" hidden="false" customHeight="true" outlineLevel="0" collapsed="false">
      <c r="A84" s="5"/>
      <c r="B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row>
    <row r="85" customFormat="false" ht="15" hidden="false" customHeight="true" outlineLevel="0" collapsed="false">
      <c r="A85" s="5"/>
      <c r="B85" s="5"/>
      <c r="C85" s="5"/>
      <c r="D85" s="5"/>
      <c r="E85" s="5"/>
      <c r="F85" s="30"/>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row>
    <row r="86" customFormat="false" ht="15" hidden="false" customHeight="true" outlineLevel="0" collapsed="false">
      <c r="A86" s="5"/>
      <c r="B86" s="5"/>
      <c r="C86" s="5"/>
      <c r="D86" s="5"/>
      <c r="E86" s="5"/>
      <c r="F86" s="30"/>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row>
    <row r="87" customFormat="false" ht="15" hidden="false" customHeight="true" outlineLevel="0" collapsed="false">
      <c r="A87" s="5"/>
      <c r="B87" s="5"/>
      <c r="C87" s="5"/>
      <c r="D87" s="5"/>
      <c r="E87" s="5"/>
      <c r="F87" s="30"/>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row>
    <row r="88" customFormat="false" ht="15" hidden="false" customHeight="true" outlineLevel="0" collapsed="false">
      <c r="A88" s="5"/>
      <c r="B88" s="5"/>
      <c r="C88" s="5"/>
      <c r="D88" s="5"/>
      <c r="E88" s="5"/>
      <c r="F88" s="30"/>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row>
    <row r="89" customFormat="false" ht="15" hidden="false" customHeight="true" outlineLevel="0" collapsed="false">
      <c r="A89" s="5"/>
      <c r="B89" s="5"/>
      <c r="C89" s="5"/>
      <c r="D89" s="5"/>
      <c r="E89" s="5"/>
      <c r="F89" s="30"/>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row>
    <row r="90" customFormat="false" ht="15" hidden="false" customHeight="tru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row>
    <row r="91" customFormat="false" ht="15" hidden="false" customHeight="tru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row>
    <row r="92" customFormat="false" ht="15" hidden="false" customHeight="tru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row>
    <row r="93" customFormat="false" ht="15" hidden="false" customHeight="tru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row>
    <row r="94" customFormat="false" ht="15" hidden="false" customHeight="tru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row>
    <row r="95" customFormat="false" ht="26.25" hidden="false" customHeight="tru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row>
    <row r="96" customFormat="false" ht="15" hidden="false" customHeight="true" outlineLevel="0" collapsed="false">
      <c r="A96" s="5"/>
      <c r="B96" s="5"/>
      <c r="C96" s="5"/>
      <c r="D96" s="5"/>
      <c r="E96" s="30"/>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row>
    <row r="97" customFormat="false" ht="15" hidden="false" customHeight="true" outlineLevel="0" collapsed="false">
      <c r="A97" s="5"/>
      <c r="B97" s="5"/>
      <c r="C97" s="5"/>
      <c r="D97" s="5"/>
      <c r="E97" s="30"/>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row>
    <row r="98" customFormat="false" ht="15" hidden="false" customHeight="true" outlineLevel="0" collapsed="false">
      <c r="A98" s="5"/>
      <c r="B98" s="5"/>
      <c r="C98" s="5"/>
      <c r="D98" s="5"/>
      <c r="E98" s="30"/>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row>
    <row r="99" customFormat="false" ht="15" hidden="false" customHeight="tru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row>
    <row r="100" customFormat="false" ht="26.25" hidden="false" customHeight="tru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row>
    <row r="101" customFormat="false" ht="15" hidden="false" customHeight="true" outlineLevel="0" collapsed="false">
      <c r="A101" s="5"/>
      <c r="B101" s="5"/>
      <c r="C101" s="5"/>
      <c r="D101" s="5"/>
      <c r="E101" s="30"/>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row>
    <row r="102" customFormat="false" ht="15" hidden="false" customHeight="true" outlineLevel="0" collapsed="false">
      <c r="A102" s="5"/>
      <c r="B102" s="5"/>
      <c r="C102" s="5"/>
      <c r="D102" s="5"/>
      <c r="E102" s="30"/>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row>
    <row r="103" customFormat="false" ht="15" hidden="false" customHeight="true" outlineLevel="0" collapsed="false">
      <c r="A103" s="5"/>
      <c r="B103" s="5"/>
      <c r="C103" s="5"/>
      <c r="D103" s="5"/>
      <c r="E103" s="30"/>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row>
    <row r="104" customFormat="false" ht="15" hidden="false" customHeight="tru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row>
    <row r="105" customFormat="false" ht="26.25" hidden="false" customHeight="tru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row>
    <row r="106" customFormat="false" ht="15" hidden="false" customHeight="true" outlineLevel="0" collapsed="false">
      <c r="A106" s="5"/>
      <c r="B106" s="5"/>
      <c r="C106" s="5"/>
      <c r="D106" s="5"/>
      <c r="E106" s="30"/>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row>
    <row r="107" customFormat="false" ht="15" hidden="false" customHeight="true" outlineLevel="0" collapsed="false">
      <c r="A107" s="5"/>
      <c r="B107" s="5"/>
      <c r="C107" s="5"/>
      <c r="D107" s="5"/>
      <c r="E107" s="30"/>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row>
    <row r="108" customFormat="false" ht="15" hidden="false" customHeight="true" outlineLevel="0" collapsed="false">
      <c r="A108" s="5"/>
      <c r="B108" s="5"/>
      <c r="C108" s="5"/>
      <c r="D108" s="5"/>
      <c r="E108" s="30"/>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row>
    <row r="109" customFormat="false" ht="15" hidden="false" customHeight="true" outlineLevel="0" collapsed="false">
      <c r="A109" s="5"/>
      <c r="B109" s="5"/>
      <c r="C109" s="5"/>
      <c r="D109" s="5"/>
      <c r="E109" s="30"/>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row>
    <row r="110" customFormat="false" ht="15" hidden="false" customHeight="true" outlineLevel="0" collapsed="false">
      <c r="A110" s="5"/>
      <c r="B110" s="5"/>
      <c r="C110" s="5"/>
      <c r="D110" s="5"/>
      <c r="E110" s="30"/>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row>
    <row r="111" customFormat="false" ht="15" hidden="false" customHeight="tru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row>
    <row r="112" customFormat="false" ht="15" hidden="false" customHeight="tru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row>
    <row r="113" customFormat="false" ht="15" hidden="false" customHeight="tru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row>
    <row r="114" customFormat="false" ht="15" hidden="false" customHeight="tru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row>
    <row r="115" customFormat="false" ht="15" hidden="false" customHeight="true" outlineLevel="0" collapsed="false">
      <c r="A115" s="5"/>
      <c r="B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row>
    <row r="116" customFormat="false" ht="15" hidden="false" customHeight="true" outlineLevel="0" collapsed="false">
      <c r="A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row>
    <row r="117" customFormat="false" ht="15" hidden="false" customHeight="true" outlineLevel="0" collapsed="false">
      <c r="A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row>
    <row r="118" customFormat="false" ht="15" hidden="false" customHeight="true" outlineLevel="0" collapsed="false">
      <c r="A118" s="5"/>
      <c r="B118" s="5"/>
      <c r="C118" s="5"/>
      <c r="D118" s="30"/>
      <c r="E118" s="5"/>
      <c r="F118" s="30"/>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row>
    <row r="119" customFormat="false" ht="21.75" hidden="false" customHeight="true" outlineLevel="0" collapsed="false">
      <c r="A119" s="5"/>
      <c r="B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row>
    <row r="120" customFormat="false" ht="15" hidden="false" customHeight="true" outlineLevel="0" collapsed="false">
      <c r="A120" s="5"/>
      <c r="B120" s="5"/>
      <c r="C120" s="5"/>
      <c r="D120" s="30"/>
      <c r="E120" s="5"/>
      <c r="F120" s="30"/>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row>
    <row r="121" customFormat="false" ht="15" hidden="false" customHeight="true" outlineLevel="0" collapsed="false">
      <c r="A121" s="5"/>
      <c r="B121" s="5"/>
      <c r="C121" s="5"/>
      <c r="D121" s="30"/>
      <c r="E121" s="5"/>
      <c r="F121" s="30"/>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row>
    <row r="122" customFormat="false" ht="15" hidden="false" customHeight="true" outlineLevel="0" collapsed="false">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row>
    <row r="123" customFormat="false" ht="39.75" hidden="false" customHeight="true" outlineLevel="0" collapsed="false">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row>
    <row r="124" customFormat="false" ht="15" hidden="false" customHeight="true" outlineLevel="0" collapsed="false">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row>
    <row r="125" customFormat="false" ht="15" hidden="false" customHeight="true" outlineLevel="0" collapsed="false">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row>
    <row r="126" customFormat="false" ht="15" hidden="false" customHeight="true" outlineLevel="0" collapsed="false">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row>
    <row r="127" customFormat="false" ht="43.5" hidden="false" customHeight="true" outlineLevel="0" collapsed="false">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row>
    <row r="128" customFormat="false" ht="43.5" hidden="false" customHeight="true" outlineLevel="0" collapsed="false">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row>
    <row r="129" customFormat="false" ht="43.5" hidden="false" customHeight="true" outlineLevel="0" collapsed="false">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row>
    <row r="130" customFormat="false" ht="43.5" hidden="false" customHeight="true" outlineLevel="0" collapsed="false">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row>
    <row r="131" customFormat="false" ht="43.5" hidden="false" customHeight="true" outlineLevel="0" collapsed="false">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row>
    <row r="132" customFormat="false" ht="43.5" hidden="false" customHeight="true" outlineLevel="0" collapsed="false">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row>
    <row r="133" customFormat="false" ht="43.5" hidden="false" customHeight="true" outlineLevel="0" collapsed="false">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row>
    <row r="134" customFormat="false" ht="15" hidden="false" customHeight="true" outlineLevel="0" collapsed="false">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row>
    <row r="135" customFormat="false" ht="15" hidden="false" customHeight="true" outlineLevel="0" collapsed="false">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row>
    <row r="136" customFormat="false" ht="15" hidden="false" customHeight="true" outlineLevel="0" collapsed="false">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row>
    <row r="137" customFormat="false" ht="15" hidden="false" customHeight="true" outlineLevel="0" collapsed="false">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row>
    <row r="138" customFormat="false" ht="15" hidden="false" customHeight="true" outlineLevel="0" collapsed="false">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row>
    <row r="139" customFormat="false" ht="15" hidden="false" customHeight="true" outlineLevel="0" collapsed="false">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row>
    <row r="140" customFormat="false" ht="15" hidden="false" customHeight="true" outlineLevel="0" collapsed="false">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row>
    <row r="141" customFormat="false" ht="15" hidden="false" customHeight="true" outlineLevel="0" collapsed="false">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row>
    <row r="142" customFormat="false" ht="15" hidden="false" customHeight="true" outlineLevel="0" collapsed="false">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row>
    <row r="143" customFormat="false" ht="15" hidden="false" customHeight="true" outlineLevel="0" collapsed="false">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row>
    <row r="144" customFormat="false" ht="15" hidden="false" customHeight="true" outlineLevel="0" collapsed="false">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row>
    <row r="145" customFormat="false" ht="15" hidden="false" customHeight="true" outlineLevel="0" collapsed="false">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row>
    <row r="146" customFormat="false" ht="15" hidden="false" customHeight="true" outlineLevel="0" collapsed="false">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row>
    <row r="147" customFormat="false" ht="15" hidden="false" customHeight="true" outlineLevel="0" collapsed="false">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row>
    <row r="148" customFormat="false" ht="15" hidden="false" customHeight="true" outlineLevel="0" collapsed="false">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row>
    <row r="149" customFormat="false" ht="15" hidden="false" customHeight="true" outlineLevel="0" collapsed="false">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row>
    <row r="150" customFormat="false" ht="15" hidden="false" customHeight="true" outlineLevel="0" collapsed="false">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row>
    <row r="151" customFormat="false" ht="15" hidden="false" customHeight="true" outlineLevel="0" collapsed="false">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row>
    <row r="152" customFormat="false" ht="15" hidden="false" customHeight="true" outlineLevel="0" collapsed="false">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row>
    <row r="153" customFormat="false" ht="15" hidden="false" customHeight="true" outlineLevel="0" collapsed="false">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row>
    <row r="154" customFormat="false" ht="15" hidden="false" customHeight="true" outlineLevel="0" collapsed="false">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row>
    <row r="155" customFormat="false" ht="15" hidden="false" customHeight="true" outlineLevel="0" collapsed="false">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row>
    <row r="156" customFormat="false" ht="15" hidden="false" customHeight="true" outlineLevel="0" collapsed="false">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row>
    <row r="157" customFormat="false" ht="15" hidden="false" customHeight="true" outlineLevel="0" collapsed="false">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row>
    <row r="158" customFormat="false" ht="15" hidden="false" customHeight="true" outlineLevel="0" collapsed="false">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row>
    <row r="159" customFormat="false" ht="15" hidden="false" customHeight="true" outlineLevel="0" collapsed="false">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row>
    <row r="160" customFormat="false" ht="15" hidden="false" customHeight="true" outlineLevel="0" collapsed="false">
      <c r="A160" s="5"/>
      <c r="B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row>
    <row r="161" customFormat="false" ht="15" hidden="false" customHeight="true" outlineLevel="0" collapsed="false">
      <c r="A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row>
    <row r="162" customFormat="false" ht="15" hidden="false" customHeight="true" outlineLevel="0" collapsed="false">
      <c r="A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row>
    <row r="163" customFormat="false" ht="15" hidden="false" customHeight="true" outlineLevel="0" collapsed="false">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row>
    <row r="164" customFormat="false" ht="21.75" hidden="false" customHeight="true" outlineLevel="0" collapsed="false">
      <c r="A164" s="5"/>
      <c r="B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row>
    <row r="165" customFormat="false" ht="15" hidden="false" customHeight="true" outlineLevel="0" collapsed="false">
      <c r="A165" s="5"/>
      <c r="B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row>
    <row r="166" customFormat="false" ht="15" hidden="false" customHeight="true" outlineLevel="0" collapsed="false">
      <c r="A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row>
    <row r="167" customFormat="false" ht="15" hidden="false" customHeight="true" outlineLevel="0" collapsed="false">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row>
    <row r="168" customFormat="false" ht="15" hidden="false" customHeight="true" outlineLevel="0" collapsed="false">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row>
    <row r="169" customFormat="false" ht="15" hidden="false" customHeight="true" outlineLevel="0" collapsed="false">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row>
    <row r="170" customFormat="false" ht="15" hidden="false" customHeight="true" outlineLevel="0" collapsed="false">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row>
    <row r="171" customFormat="false" ht="15" hidden="false" customHeight="true" outlineLevel="0" collapsed="false">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row>
    <row r="172" customFormat="false" ht="15" hidden="false" customHeight="true" outlineLevel="0" collapsed="false">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row>
    <row r="173" customFormat="false" ht="15" hidden="false" customHeight="true" outlineLevel="0" collapsed="false">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row>
    <row r="174" customFormat="false" ht="15" hidden="false" customHeight="true" outlineLevel="0" collapsed="false">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row>
    <row r="175" customFormat="false" ht="15" hidden="false" customHeight="true" outlineLevel="0" collapsed="false">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row>
    <row r="176" customFormat="false" ht="15" hidden="false" customHeight="true" outlineLevel="0" collapsed="false">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row>
    <row r="177" customFormat="false" ht="15" hidden="false" customHeight="true" outlineLevel="0" collapsed="false">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row>
    <row r="178" customFormat="false" ht="15" hidden="false" customHeight="true" outlineLevel="0" collapsed="false">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row>
    <row r="179" customFormat="false" ht="15" hidden="false" customHeight="true" outlineLevel="0" collapsed="false">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row>
    <row r="180" customFormat="false" ht="15" hidden="false" customHeight="true" outlineLevel="0" collapsed="false">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row>
    <row r="181" customFormat="false" ht="15" hidden="false" customHeight="true" outlineLevel="0" collapsed="false">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row>
    <row r="182" customFormat="false" ht="15" hidden="false" customHeight="true" outlineLevel="0" collapsed="false">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row>
    <row r="183" customFormat="false" ht="15" hidden="false" customHeight="true" outlineLevel="0" collapsed="false">
      <c r="A183" s="5"/>
      <c r="B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row>
    <row r="184" customFormat="false" ht="15" hidden="false" customHeight="true" outlineLevel="0" collapsed="false">
      <c r="A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row>
    <row r="185" customFormat="false" ht="15" hidden="false" customHeight="true" outlineLevel="0" collapsed="false">
      <c r="A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row>
    <row r="186" customFormat="false" ht="15" hidden="false" customHeight="true" outlineLevel="0" collapsed="false">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row>
    <row r="187" customFormat="false" ht="15" hidden="false" customHeight="true" outlineLevel="0" collapsed="false">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row>
    <row r="188" customFormat="false" ht="15" hidden="false" customHeight="true" outlineLevel="0" collapsed="false">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row>
    <row r="189" customFormat="false" ht="15" hidden="false" customHeight="true" outlineLevel="0" collapsed="false">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row>
    <row r="190" customFormat="false" ht="15" hidden="false" customHeight="true" outlineLevel="0" collapsed="false">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row>
    <row r="191" customFormat="false" ht="15" hidden="false" customHeight="true" outlineLevel="0" collapsed="false">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row>
    <row r="192" customFormat="false" ht="15" hidden="false" customHeight="true" outlineLevel="0" collapsed="false">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row>
    <row r="193" customFormat="false" ht="15" hidden="false" customHeight="true" outlineLevel="0" collapsed="false">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row>
    <row r="194" customFormat="false" ht="15" hidden="false" customHeight="true" outlineLevel="0" collapsed="false">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row>
    <row r="195" customFormat="false" ht="15" hidden="false" customHeight="true" outlineLevel="0" collapsed="false">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row>
    <row r="196" customFormat="false" ht="15" hidden="false" customHeight="true" outlineLevel="0" collapsed="false">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row>
    <row r="197" customFormat="false" ht="15" hidden="false" customHeight="true" outlineLevel="0" collapsed="false">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row>
    <row r="198" customFormat="false" ht="15" hidden="false" customHeight="true" outlineLevel="0" collapsed="false">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row>
    <row r="199" customFormat="false" ht="15" hidden="false" customHeight="true" outlineLevel="0" collapsed="false">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row>
    <row r="200" customFormat="false" ht="15" hidden="false" customHeight="true" outlineLevel="0" collapsed="false">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row>
    <row r="201" customFormat="false" ht="15" hidden="false" customHeight="true" outlineLevel="0" collapsed="false">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row>
    <row r="202" customFormat="false" ht="15" hidden="false" customHeight="true" outlineLevel="0" collapsed="false">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row>
    <row r="203" customFormat="false" ht="15" hidden="false" customHeight="true" outlineLevel="0" collapsed="false">
      <c r="A203" s="5"/>
      <c r="B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row>
    <row r="204" customFormat="false" ht="15" hidden="false" customHeight="true" outlineLevel="0" collapsed="false">
      <c r="A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row>
    <row r="205" customFormat="false" ht="15" hidden="false" customHeight="true" outlineLevel="0" collapsed="false">
      <c r="A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row>
    <row r="206" customFormat="false" ht="15" hidden="false" customHeight="true" outlineLevel="0" collapsed="false">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row>
    <row r="207" customFormat="false" ht="15" hidden="false" customHeight="true" outlineLevel="0" collapsed="false">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row>
    <row r="208" customFormat="false" ht="15" hidden="false" customHeight="true" outlineLevel="0" collapsed="false">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row>
    <row r="209" customFormat="false" ht="15" hidden="false" customHeight="true" outlineLevel="0" collapsed="false">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row>
    <row r="210" customFormat="false" ht="15" hidden="false" customHeight="true" outlineLevel="0" collapsed="false">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row>
    <row r="211" customFormat="false" ht="15" hidden="false" customHeight="true" outlineLevel="0" collapsed="false">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row>
    <row r="212" customFormat="false" ht="15" hidden="false" customHeight="true" outlineLevel="0" collapsed="false">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row>
    <row r="213" customFormat="false" ht="15" hidden="false" customHeight="true" outlineLevel="0" collapsed="false">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row>
    <row r="214" customFormat="false" ht="15" hidden="false" customHeight="true" outlineLevel="0" collapsed="false">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row>
    <row r="215" customFormat="false" ht="15" hidden="false" customHeight="true" outlineLevel="0" collapsed="false">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row>
    <row r="216" customFormat="false" ht="15" hidden="false" customHeight="true" outlineLevel="0" collapsed="false">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row>
    <row r="217" customFormat="false" ht="15" hidden="false" customHeight="true" outlineLevel="0" collapsed="false">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row>
    <row r="218" customFormat="false" ht="15" hidden="false" customHeight="true" outlineLevel="0" collapsed="false">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row>
    <row r="219" customFormat="false" ht="15" hidden="false" customHeight="true" outlineLevel="0" collapsed="false">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row>
    <row r="220" customFormat="false" ht="15" hidden="false" customHeight="true" outlineLevel="0" collapsed="false">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row>
    <row r="221" customFormat="false" ht="15" hidden="false" customHeight="true" outlineLevel="0" collapsed="false">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row>
    <row r="222" customFormat="false" ht="15" hidden="false" customHeight="true" outlineLevel="0" collapsed="false">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row>
    <row r="223" customFormat="false" ht="15" hidden="false" customHeight="true" outlineLevel="0" collapsed="false">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row>
    <row r="224" customFormat="false" ht="15" hidden="false" customHeight="true" outlineLevel="0" collapsed="false">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row>
    <row r="225" customFormat="false" ht="15" hidden="false" customHeight="true" outlineLevel="0" collapsed="false">
      <c r="A225" s="5"/>
      <c r="B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row>
    <row r="226" customFormat="false" ht="15" hidden="false" customHeight="true" outlineLevel="0" collapsed="false">
      <c r="A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row>
    <row r="227" customFormat="false" ht="15" hidden="false" customHeight="true" outlineLevel="0" collapsed="false">
      <c r="A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row>
    <row r="228" customFormat="false" ht="15" hidden="false" customHeight="true" outlineLevel="0" collapsed="false">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row>
    <row r="229" customFormat="false" ht="21.75" hidden="false" customHeight="true" outlineLevel="0" collapsed="false">
      <c r="A229" s="5"/>
      <c r="B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row>
    <row r="230" customFormat="false" ht="15" hidden="false" customHeight="true" outlineLevel="0" collapsed="false">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row>
    <row r="231" customFormat="false" ht="15" hidden="false" customHeight="true" outlineLevel="0" collapsed="false">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row>
    <row r="232" customFormat="false" ht="15" hidden="false" customHeight="true" outlineLevel="0" collapsed="false">
      <c r="A232" s="5"/>
      <c r="B232" s="5"/>
      <c r="C232" s="5"/>
      <c r="D232" s="92"/>
      <c r="E232" s="5"/>
      <c r="F232" s="92"/>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row>
    <row r="233" customFormat="false" ht="15" hidden="false" customHeight="true" outlineLevel="0" collapsed="false">
      <c r="A233" s="5"/>
      <c r="B233" s="5"/>
      <c r="C233" s="5"/>
      <c r="D233" s="92"/>
      <c r="E233" s="5"/>
      <c r="F233" s="92"/>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row>
    <row r="234" customFormat="false" ht="15" hidden="false" customHeight="true" outlineLevel="0" collapsed="false">
      <c r="A234" s="5"/>
      <c r="B234" s="5"/>
      <c r="C234" s="5"/>
      <c r="D234" s="92"/>
      <c r="E234" s="5"/>
      <c r="F234" s="92"/>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row>
    <row r="235" customFormat="false" ht="15" hidden="false" customHeight="true" outlineLevel="0" collapsed="false">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row>
    <row r="236" customFormat="false" ht="15" hidden="false" customHeight="true" outlineLevel="0" collapsed="false">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row>
    <row r="237" customFormat="false" ht="15" hidden="false" customHeight="true" outlineLevel="0" collapsed="false">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row>
    <row r="238" customFormat="false" ht="15" hidden="false" customHeight="true" outlineLevel="0" collapsed="false">
      <c r="A238" s="5"/>
      <c r="B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row>
    <row r="239" customFormat="false" ht="15" hidden="false" customHeight="true" outlineLevel="0" collapsed="false">
      <c r="A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row>
    <row r="240" customFormat="false" ht="15" hidden="false" customHeight="true" outlineLevel="0" collapsed="false">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row>
    <row r="241" customFormat="false" ht="21.75" hidden="false" customHeight="true" outlineLevel="0" collapsed="false">
      <c r="A241" s="5"/>
      <c r="B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row>
    <row r="242" customFormat="false" ht="15" hidden="false" customHeight="true" outlineLevel="0" collapsed="false">
      <c r="A242" s="5"/>
      <c r="B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row>
    <row r="243" customFormat="false" ht="15" hidden="false" customHeight="true" outlineLevel="0" collapsed="false">
      <c r="A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row>
    <row r="244" customFormat="false" ht="27.75" hidden="false" customHeight="true" outlineLevel="0" collapsed="false">
      <c r="A244" s="5"/>
      <c r="B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row>
    <row r="245" customFormat="false" ht="27.75" hidden="false" customHeight="true" outlineLevel="0" collapsed="false">
      <c r="A245" s="5"/>
      <c r="B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row>
    <row r="246" customFormat="false" ht="27.75" hidden="false" customHeight="true" outlineLevel="0" collapsed="false">
      <c r="A246" s="5"/>
      <c r="B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row>
    <row r="247" customFormat="false" ht="27.75" hidden="false" customHeight="true" outlineLevel="0" collapsed="false">
      <c r="A247" s="5"/>
      <c r="B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row>
    <row r="248" customFormat="false" ht="27.75" hidden="false" customHeight="true" outlineLevel="0" collapsed="false">
      <c r="A248" s="5"/>
      <c r="B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row>
    <row r="249" customFormat="false" ht="27.75" hidden="false" customHeight="true" outlineLevel="0" collapsed="false">
      <c r="A249" s="5"/>
      <c r="B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row>
    <row r="250" customFormat="false" ht="27.75" hidden="false" customHeight="true" outlineLevel="0" collapsed="false">
      <c r="A250" s="5"/>
      <c r="B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5"/>
      <c r="EG250" s="5"/>
      <c r="EH250" s="5"/>
      <c r="EI250" s="5"/>
      <c r="EJ250" s="5"/>
      <c r="EK250" s="5"/>
      <c r="EL250" s="5"/>
      <c r="EM250" s="5"/>
      <c r="EN250" s="5"/>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row>
    <row r="251" customFormat="false" ht="27.75" hidden="false" customHeight="true" outlineLevel="0" collapsed="false">
      <c r="A251" s="5"/>
      <c r="B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row>
    <row r="252" customFormat="false" ht="27.75" hidden="false" customHeight="true" outlineLevel="0" collapsed="false">
      <c r="A252" s="5"/>
      <c r="B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c r="EF252" s="5"/>
      <c r="EG252" s="5"/>
      <c r="EH252" s="5"/>
      <c r="EI252" s="5"/>
      <c r="EJ252" s="5"/>
      <c r="EK252" s="5"/>
      <c r="EL252" s="5"/>
      <c r="EM252" s="5"/>
      <c r="EN252" s="5"/>
      <c r="EO252" s="5"/>
      <c r="EP252" s="5"/>
      <c r="EQ252" s="5"/>
      <c r="ER252" s="5"/>
      <c r="ES252" s="5"/>
      <c r="ET252" s="5"/>
      <c r="EU252" s="5"/>
      <c r="EV252" s="5"/>
      <c r="EW252" s="5"/>
      <c r="EX252" s="5"/>
      <c r="EY252" s="5"/>
      <c r="EZ252" s="5"/>
      <c r="FA252" s="5"/>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row>
    <row r="253" customFormat="false" ht="15" hidden="false" customHeight="true" outlineLevel="0" collapsed="false">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c r="EF253" s="5"/>
      <c r="EG253" s="5"/>
      <c r="EH253" s="5"/>
      <c r="EI253" s="5"/>
      <c r="EJ253" s="5"/>
      <c r="EK253" s="5"/>
      <c r="EL253" s="5"/>
      <c r="EM253" s="5"/>
      <c r="EN253" s="5"/>
      <c r="EO253" s="5"/>
      <c r="EP253" s="5"/>
      <c r="EQ253" s="5"/>
      <c r="ER253" s="5"/>
      <c r="ES253" s="5"/>
      <c r="ET253" s="5"/>
      <c r="EU253" s="5"/>
      <c r="EV253" s="5"/>
      <c r="EW253" s="5"/>
      <c r="EX253" s="5"/>
      <c r="EY253" s="5"/>
      <c r="EZ253" s="5"/>
      <c r="FA253" s="5"/>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row>
    <row r="254" customFormat="false" ht="15" hidden="false" customHeight="tru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c r="EF254" s="5"/>
      <c r="EG254" s="5"/>
      <c r="EH254" s="5"/>
      <c r="EI254" s="5"/>
      <c r="EJ254" s="5"/>
      <c r="EK254" s="5"/>
      <c r="EL254" s="5"/>
      <c r="EM254" s="5"/>
      <c r="EN254" s="5"/>
      <c r="EO254" s="5"/>
      <c r="EP254" s="5"/>
      <c r="EQ254" s="5"/>
      <c r="ER254" s="5"/>
      <c r="ES254" s="5"/>
      <c r="ET254" s="5"/>
      <c r="EU254" s="5"/>
      <c r="EV254" s="5"/>
      <c r="EW254" s="5"/>
      <c r="EX254" s="5"/>
      <c r="EY254" s="5"/>
      <c r="EZ254" s="5"/>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row>
    <row r="255" customFormat="false" ht="15" hidden="false" customHeight="true" outlineLevel="0" collapsed="false">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c r="EF255" s="5"/>
      <c r="EG255" s="5"/>
      <c r="EH255" s="5"/>
      <c r="EI255" s="5"/>
      <c r="EJ255" s="5"/>
      <c r="EK255" s="5"/>
      <c r="EL255" s="5"/>
      <c r="EM255" s="5"/>
      <c r="EN255" s="5"/>
      <c r="EO255" s="5"/>
      <c r="EP255" s="5"/>
      <c r="EQ255" s="5"/>
      <c r="ER255" s="5"/>
      <c r="ES255" s="5"/>
      <c r="ET255" s="5"/>
      <c r="EU255" s="5"/>
      <c r="EV255" s="5"/>
      <c r="EW255" s="5"/>
      <c r="EX255" s="5"/>
      <c r="EY255" s="5"/>
      <c r="EZ255" s="5"/>
      <c r="FA255" s="5"/>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row>
    <row r="256" customFormat="false" ht="15" hidden="false" customHeight="true" outlineLevel="0" collapsed="false">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5"/>
      <c r="EX256" s="5"/>
      <c r="EY256" s="5"/>
      <c r="EZ256" s="5"/>
      <c r="FA256" s="5"/>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row>
    <row r="257" customFormat="false" ht="15" hidden="false" customHeight="true" outlineLevel="0" collapsed="false">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5"/>
      <c r="EX257" s="5"/>
      <c r="EY257" s="5"/>
      <c r="EZ257" s="5"/>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row>
    <row r="258" customFormat="false" ht="15" hidden="false" customHeight="tru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5"/>
      <c r="EX258" s="5"/>
      <c r="EY258" s="5"/>
      <c r="EZ258" s="5"/>
      <c r="FA258" s="5"/>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row>
    <row r="259" customFormat="false" ht="15" hidden="false" customHeight="true" outlineLevel="0" collapsed="false">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5"/>
      <c r="EG259" s="5"/>
      <c r="EH259" s="5"/>
      <c r="EI259" s="5"/>
      <c r="EJ259" s="5"/>
      <c r="EK259" s="5"/>
      <c r="EL259" s="5"/>
      <c r="EM259" s="5"/>
      <c r="EN259" s="5"/>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row>
    <row r="260" customFormat="false" ht="15" hidden="false" customHeight="tru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row>
  </sheetData>
  <mergeCells count="35">
    <mergeCell ref="A1:H1"/>
    <mergeCell ref="B3:H3"/>
    <mergeCell ref="C4:E4"/>
    <mergeCell ref="H4:J4"/>
    <mergeCell ref="S4:V4"/>
    <mergeCell ref="X4:AB4"/>
    <mergeCell ref="B5:E5"/>
    <mergeCell ref="G5:J5"/>
    <mergeCell ref="L5:P5"/>
    <mergeCell ref="R5:V5"/>
    <mergeCell ref="X5:AB5"/>
    <mergeCell ref="AD5:AG5"/>
    <mergeCell ref="AI5:AL5"/>
    <mergeCell ref="AN5:AQ5"/>
    <mergeCell ref="AS5:AW5"/>
    <mergeCell ref="AS15:AW18"/>
    <mergeCell ref="AS20:AW20"/>
    <mergeCell ref="AS21:AW22"/>
    <mergeCell ref="AS23:AW25"/>
    <mergeCell ref="AS26:AW28"/>
    <mergeCell ref="AS29:AW31"/>
    <mergeCell ref="G31:J34"/>
    <mergeCell ref="AD31:AG34"/>
    <mergeCell ref="AI31:AL34"/>
    <mergeCell ref="AS32:AW34"/>
    <mergeCell ref="B34:E37"/>
    <mergeCell ref="AN34:AQ37"/>
    <mergeCell ref="AS35:AW37"/>
    <mergeCell ref="AS38:AW40"/>
    <mergeCell ref="L40:P43"/>
    <mergeCell ref="AS41:AW43"/>
    <mergeCell ref="AS44:AW46"/>
    <mergeCell ref="AS47:AW49"/>
    <mergeCell ref="R48:V51"/>
    <mergeCell ref="X58:AB61"/>
  </mergeCells>
  <conditionalFormatting sqref="F121:F147">
    <cfRule type="top10" priority="2" aboveAverage="0" equalAverage="0" bottom="0" percent="0" rank="3" text="" dxfId="8"/>
    <cfRule type="top10" priority="3" aboveAverage="0" equalAverage="0" bottom="1" percent="0" rank="3" text="" dxfId="9"/>
  </conditionalFormatting>
  <conditionalFormatting sqref="E168:E170">
    <cfRule type="top10" priority="4" aboveAverage="0" equalAverage="0" bottom="0" percent="0" rank="1" text="" dxfId="8"/>
    <cfRule type="top10" priority="5" aboveAverage="0" equalAverage="0" bottom="1" percent="0" rank="1" text="" dxfId="9"/>
  </conditionalFormatting>
  <conditionalFormatting sqref="E188:E189">
    <cfRule type="top10" priority="6" aboveAverage="0" equalAverage="0" bottom="0" percent="0" rank="1" text="" dxfId="8"/>
    <cfRule type="top10" priority="7" aboveAverage="0" equalAverage="0" bottom="1" percent="0" rank="1" text="" dxfId="9"/>
  </conditionalFormatting>
  <conditionalFormatting sqref="E208:E212">
    <cfRule type="top10" priority="8" aboveAverage="0" equalAverage="0" bottom="0" percent="0" rank="1" text="" dxfId="8"/>
    <cfRule type="top10" priority="9" aboveAverage="0" equalAverage="0" bottom="1" percent="0" rank="1" text="" dxfId="9"/>
  </conditionalFormatting>
  <conditionalFormatting sqref="E7:E10">
    <cfRule type="top10" priority="10" aboveAverage="0" equalAverage="0" bottom="0" percent="0" rank="1" text="" dxfId="8"/>
    <cfRule type="top10" priority="11" aboveAverage="0" equalAverage="0" bottom="1" percent="0" rank="1" text="" dxfId="9"/>
  </conditionalFormatting>
  <conditionalFormatting sqref="J7:J9">
    <cfRule type="top10" priority="12" aboveAverage="0" equalAverage="0" bottom="0" percent="0" rank="1" text="" dxfId="8"/>
    <cfRule type="top10" priority="13" aboveAverage="0" equalAverage="0" bottom="1" percent="0" rank="1" text="" dxfId="9"/>
  </conditionalFormatting>
  <conditionalFormatting sqref="P8:P11 P13:P16">
    <cfRule type="top10" priority="14" aboveAverage="0" equalAverage="0" bottom="0" percent="0" rank="3" text="" dxfId="8"/>
    <cfRule type="top10" priority="15" aboveAverage="0" equalAverage="0" bottom="1" percent="0" rank="3" text="" dxfId="9"/>
  </conditionalFormatting>
  <conditionalFormatting sqref="V7:V23">
    <cfRule type="top10" priority="16" aboveAverage="0" equalAverage="0" bottom="0" percent="0" rank="3" text="" dxfId="8"/>
    <cfRule type="top10" priority="17" aboveAverage="0" equalAverage="0" bottom="1" percent="0" rank="3" text="" dxfId="9"/>
  </conditionalFormatting>
  <conditionalFormatting sqref="AB7:AB33">
    <cfRule type="top10" priority="18" aboveAverage="0" equalAverage="0" bottom="0" percent="0" rank="3" text="" dxfId="8"/>
    <cfRule type="top10" priority="19" aboveAverage="0" equalAverage="0" bottom="1" percent="0" rank="3" text="" dxfId="9"/>
  </conditionalFormatting>
  <conditionalFormatting sqref="AG7:AG9">
    <cfRule type="top10" priority="20" aboveAverage="0" equalAverage="0" bottom="0" percent="0" rank="1" text="" dxfId="8"/>
    <cfRule type="top10" priority="21" aboveAverage="0" equalAverage="0" bottom="1" percent="0" rank="1" text="" dxfId="9"/>
  </conditionalFormatting>
  <conditionalFormatting sqref="AL7:AL8">
    <cfRule type="top10" priority="22" aboveAverage="0" equalAverage="0" bottom="0" percent="0" rank="1" text="" dxfId="8"/>
    <cfRule type="top10" priority="23" aboveAverage="0" equalAverage="0" bottom="1" percent="0" rank="1" text="" dxfId="9"/>
  </conditionalFormatting>
  <conditionalFormatting sqref="AQ7:AQ11">
    <cfRule type="top10" priority="24" aboveAverage="0" equalAverage="0" bottom="0" percent="0" rank="1" text="" dxfId="8"/>
    <cfRule type="top10" priority="25" aboveAverage="0" equalAverage="0" bottom="1" percent="0" rank="1" text="" dxfId="9"/>
  </conditionalFormatting>
  <conditionalFormatting sqref="B7:E10">
    <cfRule type="expression" priority="26" aboveAverage="0" equalAverage="0" bottom="0" percent="0" rank="0" text="" dxfId="14">
      <formula>N($C7)&gt;0</formula>
    </cfRule>
    <cfRule type="expression" priority="27" aboveAverage="0" equalAverage="0" bottom="0" percent="0" rank="0" text="" dxfId="15">
      <formula>AND(N($C7)&gt;0,MOD(COUNTIF($C$7:$C7,"&gt;0"),2)=0)</formula>
    </cfRule>
  </conditionalFormatting>
  <conditionalFormatting sqref="G7:J9">
    <cfRule type="expression" priority="28" aboveAverage="0" equalAverage="0" bottom="0" percent="0" rank="0" text="" dxfId="14">
      <formula>N($H7)&gt;0</formula>
    </cfRule>
    <cfRule type="expression" priority="29" aboveAverage="0" equalAverage="0" bottom="0" percent="0" rank="0" text="" dxfId="15">
      <formula>AND(N($H7)&gt;0,MOD(COUNTIF($H$7:$H7,"&gt;0"),2)=0)</formula>
    </cfRule>
  </conditionalFormatting>
  <conditionalFormatting sqref="L7:P16">
    <cfRule type="expression" priority="30" aboveAverage="0" equalAverage="0" bottom="0" percent="0" rank="0" text="" dxfId="14">
      <formula>N($N7)&gt;0</formula>
    </cfRule>
    <cfRule type="expression" priority="31" aboveAverage="0" equalAverage="0" bottom="0" percent="0" rank="0" text="" dxfId="15">
      <formula>AND(N($N7)&gt;0,MOD(COUNTIF($N$7:$N7,"&gt;0"),2)=0)</formula>
    </cfRule>
  </conditionalFormatting>
  <conditionalFormatting sqref="R7:V23">
    <cfRule type="expression" priority="32" aboveAverage="0" equalAverage="0" bottom="0" percent="0" rank="0" text="" dxfId="14">
      <formula>N($T7)&gt;0</formula>
    </cfRule>
    <cfRule type="expression" priority="33" aboveAverage="0" equalAverage="0" bottom="0" percent="0" rank="0" text="" dxfId="15">
      <formula>AND(N($T7)&gt;0,MOD(COUNTIF($T$7:$T7,"&gt;0"),2)=0)</formula>
    </cfRule>
  </conditionalFormatting>
  <conditionalFormatting sqref="X7:AB33">
    <cfRule type="expression" priority="34" aboveAverage="0" equalAverage="0" bottom="0" percent="0" rank="0" text="" dxfId="14">
      <formula>N($Z7)&gt;0</formula>
    </cfRule>
    <cfRule type="expression" priority="35" aboveAverage="0" equalAverage="0" bottom="0" percent="0" rank="0" text="" dxfId="15">
      <formula>AND(N($Z7)&gt;0,MOD(COUNTIF($Z$7:$Z7,"&gt;0"),2)=0)</formula>
    </cfRule>
  </conditionalFormatting>
  <conditionalFormatting sqref="AD7:AG9">
    <cfRule type="expression" priority="36" aboveAverage="0" equalAverage="0" bottom="0" percent="0" rank="0" text="" dxfId="14">
      <formula>N($AE7)&gt;0</formula>
    </cfRule>
    <cfRule type="expression" priority="37" aboveAverage="0" equalAverage="0" bottom="0" percent="0" rank="0" text="" dxfId="15">
      <formula>AND(N($AE7)&gt;0,MOD(COUNTIF($AE$7:$AE7,"&gt;0"),2)=0)</formula>
    </cfRule>
  </conditionalFormatting>
  <conditionalFormatting sqref="AI7:AL9">
    <cfRule type="expression" priority="38" aboveAverage="0" equalAverage="0" bottom="0" percent="0" rank="0" text="" dxfId="14">
      <formula>N($AJ7)&gt;0</formula>
    </cfRule>
    <cfRule type="expression" priority="39" aboveAverage="0" equalAverage="0" bottom="0" percent="0" rank="0" text="" dxfId="15">
      <formula>AND(N($AJ7)&gt;0,MOD(COUNTIF($AJ$7:$AJ7,"&gt;0"),2)=0)</formula>
    </cfRule>
  </conditionalFormatting>
  <conditionalFormatting sqref="AN7:AQ11">
    <cfRule type="expression" priority="40" aboveAverage="0" equalAverage="0" bottom="0" percent="0" rank="0" text="" dxfId="14">
      <formula>N($AO7)&gt;0</formula>
    </cfRule>
    <cfRule type="expression" priority="41" aboveAverage="0" equalAverage="0" bottom="0" percent="0" rank="0" text="" dxfId="15">
      <formula>AND(N($AO7)&gt;0,MOD(COUNTIF($AO$7:$AO7,"&gt;0"),2)=0)</formula>
    </cfRule>
  </conditionalFormatting>
  <hyperlinks>
    <hyperlink ref="A3" location="'Portada'!B3" display="🏠 Portada / Índice"/>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tableParts>
    <tablePart r:id="rId2"/>
    <tablePart r:id="rId3"/>
    <tablePart r:id="rId4"/>
    <tablePart r:id="rId5"/>
    <tablePart r:id="rId6"/>
    <tablePart r:id="rId7"/>
    <tablePart r:id="rId8"/>
    <tablePart r:id="rId9"/>
    <tablePart r:id="rId10"/>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S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19" activeCellId="0" sqref="J19"/>
    </sheetView>
  </sheetViews>
  <sheetFormatPr defaultColWidth="8.66796875" defaultRowHeight="15" customHeight="false" zeroHeight="false" outlineLevelRow="0" outlineLevelCol="0"/>
  <cols>
    <col collapsed="false" customWidth="true" hidden="false" outlineLevel="0" max="1" min="1" style="1" width="13.34"/>
    <col collapsed="false" customWidth="true" hidden="false" outlineLevel="0" max="2" min="2" style="1" width="42.5"/>
    <col collapsed="false" customWidth="true" hidden="false" outlineLevel="0" max="3" min="3" style="1" width="11.33"/>
    <col collapsed="false" customWidth="true" hidden="false" outlineLevel="0" max="4" min="4" style="1" width="9.83"/>
    <col collapsed="false" customWidth="true" hidden="false" outlineLevel="0" max="5" min="5" style="1" width="12.67"/>
    <col collapsed="false" customWidth="true" hidden="false" outlineLevel="0" max="6" min="6" style="1" width="17.16"/>
    <col collapsed="false" customWidth="true" hidden="false" outlineLevel="0" max="8" min="8" style="1" width="17.67"/>
    <col collapsed="false" customWidth="true" hidden="false" outlineLevel="0" max="9" min="9" style="1" width="19.16"/>
    <col collapsed="false" customWidth="true" hidden="false" outlineLevel="0" max="10" min="10" style="1" width="22.16"/>
    <col collapsed="false" customWidth="true" hidden="false" outlineLevel="0" max="11" min="11" style="1" width="17.33"/>
    <col collapsed="false" customWidth="true" hidden="false" outlineLevel="0" max="12" min="12" style="1" width="16.16"/>
    <col collapsed="false" customWidth="true" hidden="false" outlineLevel="0" max="13" min="13" style="1" width="19"/>
    <col collapsed="false" customWidth="true" hidden="false" outlineLevel="0" max="14" min="14" style="1" width="15.16"/>
    <col collapsed="false" customWidth="true" hidden="false" outlineLevel="0" max="15" min="15" style="1" width="13.5"/>
    <col collapsed="false" customWidth="true" hidden="false" outlineLevel="0" max="17" min="17" style="1" width="11.33"/>
    <col collapsed="false" customWidth="true" hidden="false" outlineLevel="0" max="18" min="18" style="1" width="15.51"/>
    <col collapsed="false" customWidth="true" hidden="false" outlineLevel="0" max="19" min="19" style="1" width="18.34"/>
    <col collapsed="false" customWidth="true" hidden="false" outlineLevel="0" max="20" min="20" style="1" width="13.67"/>
    <col collapsed="false" customWidth="true" hidden="false" outlineLevel="0" max="21" min="21" style="1" width="17.83"/>
    <col collapsed="false" customWidth="true" hidden="false" outlineLevel="0" max="22" min="22" style="1" width="13.5"/>
    <col collapsed="false" customWidth="true" hidden="false" outlineLevel="0" max="24" min="24" style="1" width="17.67"/>
    <col collapsed="false" customWidth="true" hidden="false" outlineLevel="0" max="25" min="25" style="1" width="30.67"/>
    <col collapsed="false" customWidth="true" hidden="false" outlineLevel="0" max="26" min="26" style="1" width="14.52"/>
    <col collapsed="false" customWidth="true" hidden="false" outlineLevel="0" max="27" min="27" style="1" width="9.83"/>
    <col collapsed="false" customWidth="true" hidden="false" outlineLevel="0" max="28" min="28" style="1" width="12.67"/>
    <col collapsed="false" customWidth="true" hidden="false" outlineLevel="0" max="29" min="29" style="1" width="17.16"/>
    <col collapsed="false" customWidth="false" hidden="false" outlineLevel="0" max="31" min="31" style="1" width="8.67"/>
    <col collapsed="false" customWidth="true" hidden="false" outlineLevel="0" max="32" min="32" style="1" width="14.52"/>
    <col collapsed="false" customWidth="true" hidden="false" outlineLevel="0" max="33" min="33" style="1" width="9.83"/>
    <col collapsed="false" customWidth="true" hidden="false" outlineLevel="0" max="34" min="34" style="1" width="12.16"/>
    <col collapsed="false" customWidth="true" hidden="false" outlineLevel="0" max="35" min="35" style="1" width="12.67"/>
    <col collapsed="false" customWidth="true" hidden="false" outlineLevel="0" max="36" min="36" style="1" width="17.16"/>
    <col collapsed="false" customWidth="false" hidden="false" outlineLevel="0" max="38" min="38" style="1" width="8.67"/>
    <col collapsed="false" customWidth="true" hidden="false" outlineLevel="0" max="39" min="39" style="1" width="9.16"/>
    <col collapsed="false" customWidth="true" hidden="false" outlineLevel="0" max="40" min="40" style="1" width="9.83"/>
    <col collapsed="false" customWidth="true" hidden="false" outlineLevel="0" max="41" min="41" style="1" width="12.67"/>
    <col collapsed="false" customWidth="true" hidden="false" outlineLevel="0" max="42" min="42" style="1" width="17.16"/>
    <col collapsed="false" customWidth="false" hidden="false" outlineLevel="0" max="44" min="44" style="1" width="8.67"/>
    <col collapsed="false" customWidth="true" hidden="false" outlineLevel="0" max="45" min="45" style="1" width="13.34"/>
    <col collapsed="false" customWidth="true" hidden="false" outlineLevel="0" max="46" min="46" style="1" width="9.83"/>
    <col collapsed="false" customWidth="true" hidden="false" outlineLevel="0" max="47" min="47" style="1" width="12.67"/>
    <col collapsed="false" customWidth="true" hidden="false" outlineLevel="0" max="48" min="48" style="1" width="17.16"/>
    <col collapsed="false" customWidth="true" hidden="false" outlineLevel="0" max="50" min="50" style="1" width="12.5"/>
    <col collapsed="false" customWidth="true" hidden="false" outlineLevel="0" max="51" min="51" style="1" width="9.83"/>
    <col collapsed="false" customWidth="true" hidden="false" outlineLevel="0" max="52" min="52" style="1" width="12.67"/>
    <col collapsed="false" customWidth="true" hidden="false" outlineLevel="0" max="53" min="53" style="1" width="17.16"/>
    <col collapsed="false" customWidth="true" hidden="false" outlineLevel="0" max="55" min="55" style="1" width="17.67"/>
    <col collapsed="false" customWidth="true" hidden="false" outlineLevel="0" max="56" min="56" style="1" width="9.83"/>
    <col collapsed="false" customWidth="true" hidden="false" outlineLevel="0" max="57" min="57" style="1" width="12.67"/>
    <col collapsed="false" customWidth="true" hidden="false" outlineLevel="0" max="58" min="58" style="1" width="17.16"/>
    <col collapsed="false" customWidth="true" hidden="false" outlineLevel="0" max="60" min="60" style="1" width="12.83"/>
    <col collapsed="false" customWidth="true" hidden="false" outlineLevel="0" max="61" min="61" style="1" width="11.33"/>
    <col collapsed="false" customWidth="true" hidden="false" outlineLevel="0" max="62" min="62" style="1" width="9.83"/>
    <col collapsed="false" customWidth="true" hidden="false" outlineLevel="0" max="63" min="63" style="1" width="12.67"/>
    <col collapsed="false" customWidth="true" hidden="false" outlineLevel="0" max="64" min="64" style="1" width="17.16"/>
    <col collapsed="false" customWidth="true" hidden="false" outlineLevel="0" max="66" min="66" style="1" width="30.67"/>
    <col collapsed="false" customWidth="true" hidden="false" outlineLevel="0" max="67" min="67" style="1" width="17.67"/>
    <col collapsed="false" customWidth="true" hidden="false" outlineLevel="0" max="68" min="68" style="1" width="9.83"/>
    <col collapsed="false" customWidth="true" hidden="false" outlineLevel="0" max="69" min="69" style="1" width="12.67"/>
    <col collapsed="false" customWidth="true" hidden="false" outlineLevel="0" max="70" min="70" style="1" width="17.16"/>
    <col collapsed="false" customWidth="true" hidden="false" outlineLevel="0" max="72" min="72" style="1" width="30.67"/>
    <col collapsed="false" customWidth="true" hidden="false" outlineLevel="0" max="73" min="73" style="1" width="12.83"/>
    <col collapsed="false" customWidth="true" hidden="false" outlineLevel="0" max="74" min="74" style="1" width="9.83"/>
    <col collapsed="false" customWidth="true" hidden="false" outlineLevel="0" max="75" min="75" style="1" width="12.67"/>
    <col collapsed="false" customWidth="true" hidden="false" outlineLevel="0" max="76" min="76" style="1" width="17.16"/>
    <col collapsed="false" customWidth="true" hidden="false" outlineLevel="0" max="78" min="78" style="1" width="14.52"/>
    <col collapsed="false" customWidth="true" hidden="false" outlineLevel="0" max="79" min="79" style="1" width="9.83"/>
    <col collapsed="false" customWidth="true" hidden="false" outlineLevel="0" max="80" min="80" style="1" width="12.67"/>
    <col collapsed="false" customWidth="true" hidden="false" outlineLevel="0" max="81" min="81" style="1" width="17.16"/>
    <col collapsed="false" customWidth="true" hidden="false" outlineLevel="0" max="83" min="83" style="1" width="9.16"/>
    <col collapsed="false" customWidth="true" hidden="false" outlineLevel="0" max="84" min="84" style="1" width="9.83"/>
    <col collapsed="false" customWidth="true" hidden="false" outlineLevel="0" max="85" min="85" style="1" width="12.67"/>
    <col collapsed="false" customWidth="true" hidden="false" outlineLevel="0" max="86" min="86" style="1" width="17.16"/>
    <col collapsed="false" customWidth="true" hidden="false" outlineLevel="0" max="88" min="88" style="1" width="13.34"/>
    <col collapsed="false" customWidth="true" hidden="false" outlineLevel="0" max="89" min="89" style="1" width="9.83"/>
    <col collapsed="false" customWidth="true" hidden="false" outlineLevel="0" max="90" min="90" style="1" width="12.67"/>
    <col collapsed="false" customWidth="true" hidden="false" outlineLevel="0" max="91" min="91" style="1" width="17.16"/>
    <col collapsed="false" customWidth="true" hidden="false" outlineLevel="0" max="93" min="93" style="1" width="20.83"/>
    <col collapsed="false" customWidth="true" hidden="false" outlineLevel="0" max="94" min="94" style="1" width="31.16"/>
    <col collapsed="false" customWidth="true" hidden="false" outlineLevel="0" max="95" min="95" style="1" width="13.83"/>
    <col collapsed="false" customWidth="true" hidden="false" outlineLevel="0" max="96" min="96" style="1" width="34.33"/>
    <col collapsed="false" customWidth="true" hidden="false" outlineLevel="0" max="97" min="97" style="1" width="13.16"/>
  </cols>
  <sheetData>
    <row r="1" customFormat="false" ht="16.5" hidden="false" customHeight="true" outlineLevel="0" collapsed="false">
      <c r="A1" s="35" t="inlineStr">
        <is>
          <t xml:space="preserve">🏠 Portada / Índice</t>
        </is>
      </c>
      <c r="B1" s="93" t="inlineStr">
        <is>
          <t xml:space="preserve">C · Foto de valores históricos preservados; detalle individual excluido. No recalcula con filtros en esta copia agregada.</t>
        </is>
      </c>
    </row>
    <row r="2" customFormat="false" ht="52.5" hidden="false" customHeight="true" outlineLevel="0" collapsed="false">
      <c r="B2" s="94" t="inlineStr">
        <is>
          <t xml:space="preserve">Los bloques derivados de la hoja 14 responden a su selección de cohortes, sector y carrera. Las tablas históricas de apoyo conservan todas las cohortes indicadas en sus títulos. Para comparar grupos, use retenidos ÷ estudiantes; el promedio simple de porcentajes que muestra Excel no pondera por tamaño de cohorte.</t>
        </is>
      </c>
      <c r="C2" s="94"/>
      <c r="D2" s="94"/>
      <c r="E2" s="94"/>
      <c r="F2" s="94"/>
    </row>
    <row r="4" customFormat="false" ht="15" hidden="false" customHeight="true" outlineLevel="0" collapsed="false">
      <c r="A4" s="5"/>
    </row>
    <row r="5" customFormat="false" ht="27.75" hidden="false" customHeight="true" outlineLevel="0" collapsed="false">
      <c r="A5" s="5"/>
      <c r="B5" s="95" t="inlineStr">
        <is>
          <t xml:space="preserve">4A. Retención interna por sector y cohorte</t>
        </is>
      </c>
      <c r="C5" s="95"/>
      <c r="D5" s="95"/>
      <c r="E5" s="95"/>
      <c r="F5" s="95"/>
      <c r="H5" s="95" t="inlineStr">
        <is>
          <t xml:space="preserve">4B. Comparación 2025 — interna vs. SIES granular, por sector</t>
        </is>
      </c>
      <c r="I5" s="95"/>
      <c r="J5" s="95"/>
      <c r="K5" s="95"/>
      <c r="L5" s="95"/>
      <c r="M5" s="95"/>
      <c r="N5" s="95"/>
      <c r="O5" s="95"/>
      <c r="Q5" s="95" t="inlineStr">
        <is>
          <t xml:space="preserve">5. Evolución institucional 2022-2025 (interna vs. SIES publicada)</t>
        </is>
      </c>
      <c r="R5" s="95"/>
      <c r="S5" s="95"/>
      <c r="T5" s="95"/>
      <c r="U5" s="95"/>
      <c r="V5" s="95"/>
      <c r="X5" s="95" t="inlineStr">
        <is>
          <t xml:space="preserve">12A. Retención por carrera y jornada (2022-2025 combinado)</t>
        </is>
      </c>
      <c r="Y5" s="95"/>
      <c r="Z5" s="95"/>
      <c r="AA5" s="95"/>
      <c r="AB5" s="95"/>
      <c r="AC5" s="95"/>
      <c r="AE5" s="95" t="inlineStr">
        <is>
          <t xml:space="preserve">12B. Retención por jornada y cohorte</t>
        </is>
      </c>
      <c r="AF5" s="95"/>
      <c r="AG5" s="95"/>
      <c r="AH5" s="95"/>
      <c r="AI5" s="95"/>
      <c r="AJ5" s="95"/>
      <c r="AL5" s="95" t="inlineStr">
        <is>
          <t xml:space="preserve">12C. Retención por sexo y cohorte</t>
        </is>
      </c>
      <c r="AM5" s="95"/>
      <c r="AN5" s="95"/>
      <c r="AO5" s="95"/>
      <c r="AP5" s="95"/>
      <c r="AR5" s="95" t="inlineStr">
        <is>
          <t xml:space="preserve">12D. Retención por tramo de edad y cohorte</t>
        </is>
      </c>
      <c r="AS5" s="95"/>
      <c r="AT5" s="95"/>
      <c r="AU5" s="95"/>
      <c r="AV5" s="95"/>
      <c r="AX5" s="95" t="inlineStr">
        <is>
          <t xml:space="preserve">14·N1. Institucional (por cohorte)</t>
        </is>
      </c>
      <c r="AY5" s="95"/>
      <c r="AZ5" s="95"/>
      <c r="BA5" s="95"/>
      <c r="BC5" s="95" t="inlineStr">
        <is>
          <t xml:space="preserve">14·N2. Por sector (cohorte elegida)</t>
        </is>
      </c>
      <c r="BD5" s="95"/>
      <c r="BE5" s="95"/>
      <c r="BF5" s="95"/>
      <c r="BH5" s="95" t="inlineStr">
        <is>
          <t xml:space="preserve">14·N4. Por Modalidad</t>
        </is>
      </c>
      <c r="BI5" s="95"/>
      <c r="BJ5" s="95"/>
      <c r="BK5" s="95"/>
      <c r="BL5" s="95"/>
      <c r="BN5" s="95" t="inlineStr">
        <is>
          <t xml:space="preserve">14·N5. Por carrera (cohorte elegida)</t>
        </is>
      </c>
      <c r="BO5" s="95"/>
      <c r="BP5" s="95"/>
      <c r="BQ5" s="95"/>
      <c r="BR5" s="95"/>
      <c r="BT5" s="95" t="inlineStr">
        <is>
          <t xml:space="preserve">14·N6. Por Carrera × Modalidad</t>
        </is>
      </c>
      <c r="BU5" s="95"/>
      <c r="BV5" s="95"/>
      <c r="BW5" s="95"/>
      <c r="BX5" s="95"/>
      <c r="BZ5" s="95" t="inlineStr">
        <is>
          <t xml:space="preserve">14·N7. Por Jornada</t>
        </is>
      </c>
      <c r="CA5" s="95"/>
      <c r="CB5" s="95"/>
      <c r="CC5" s="95"/>
      <c r="CE5" s="95" t="inlineStr">
        <is>
          <t xml:space="preserve">14·N7. Por Sexo</t>
        </is>
      </c>
      <c r="CF5" s="95"/>
      <c r="CG5" s="95"/>
      <c r="CH5" s="95"/>
      <c r="CJ5" s="95" t="inlineStr">
        <is>
          <t xml:space="preserve">14·N7. Por Tramo de edad</t>
        </is>
      </c>
      <c r="CK5" s="95"/>
      <c r="CL5" s="95"/>
      <c r="CM5" s="95"/>
      <c r="CO5" s="95" t="inlineStr">
        <is>
          <t xml:space="preserve">14·Vista. Mejores y menores tasas (cohorte elegida)</t>
        </is>
      </c>
      <c r="CP5" s="95"/>
      <c r="CQ5" s="95"/>
      <c r="CR5" s="95"/>
      <c r="CS5" s="95"/>
    </row>
    <row r="6" customFormat="false" ht="30" hidden="false" customHeight="true" outlineLevel="0" collapsed="false">
      <c r="A6" s="5"/>
      <c r="B6" s="21" t="inlineStr">
        <is>
          <t xml:space="preserve">Sector</t>
        </is>
      </c>
      <c r="C6" s="21" t="inlineStr">
        <is>
          <t xml:space="preserve">Cohorte</t>
        </is>
      </c>
      <c r="D6" s="21" t="inlineStr">
        <is>
          <t xml:space="preserve">Estudiantes</t>
        </is>
      </c>
      <c r="E6" s="21" t="inlineStr">
        <is>
          <t xml:space="preserve">Retenidos</t>
        </is>
      </c>
      <c r="F6" s="21" t="inlineStr">
        <is>
          <t xml:space="preserve">Tasa de retención</t>
        </is>
      </c>
      <c r="H6" s="21" t="inlineStr">
        <is>
          <t xml:space="preserve">Sector</t>
        </is>
      </c>
      <c r="I6" s="21" t="inlineStr">
        <is>
          <t xml:space="preserve">Estudiantes IPSS 2025</t>
        </is>
      </c>
      <c r="J6" s="21" t="inlineStr">
        <is>
          <t xml:space="preserve">Retenidos internos 2025</t>
        </is>
      </c>
      <c r="K6" s="21" t="inlineStr">
        <is>
          <t xml:space="preserve">Tasa interna 2025</t>
        </is>
      </c>
      <c r="L6" s="21" t="inlineStr">
        <is>
          <t xml:space="preserve">Estudiantes SIES 2025</t>
        </is>
      </c>
      <c r="M6" s="21" t="inlineStr">
        <is>
          <t xml:space="preserve">Retenidos SIES 2025</t>
        </is>
      </c>
      <c r="N6" s="21" t="inlineStr">
        <is>
          <t xml:space="preserve">Tasa SIES 2025</t>
        </is>
      </c>
      <c r="O6" s="21" t="inlineStr">
        <is>
          <t xml:space="preserve">Brecha (pp)</t>
        </is>
      </c>
      <c r="Q6" s="21" t="inlineStr">
        <is>
          <t xml:space="preserve">Cohorte</t>
        </is>
      </c>
      <c r="R6" s="21" t="inlineStr">
        <is>
          <t xml:space="preserve">Estudiantes IPSS</t>
        </is>
      </c>
      <c r="S6" s="21" t="inlineStr">
        <is>
          <t xml:space="preserve">Retenidos internos</t>
        </is>
      </c>
      <c r="T6" s="21" t="inlineStr">
        <is>
          <t xml:space="preserve">Tasa interna</t>
        </is>
      </c>
      <c r="U6" s="21" t="inlineStr">
        <is>
          <t xml:space="preserve">Tasa SIES publicada</t>
        </is>
      </c>
      <c r="V6" s="21" t="inlineStr">
        <is>
          <t xml:space="preserve">Brecha (pp)</t>
        </is>
      </c>
      <c r="X6" s="21" t="inlineStr">
        <is>
          <t xml:space="preserve">Sector</t>
        </is>
      </c>
      <c r="Y6" s="21" t="inlineStr">
        <is>
          <t xml:space="preserve">Carrera</t>
        </is>
      </c>
      <c r="Z6" s="21" t="inlineStr">
        <is>
          <t xml:space="preserve">Jornada</t>
        </is>
      </c>
      <c r="AA6" s="21" t="inlineStr">
        <is>
          <t xml:space="preserve">Estudiantes</t>
        </is>
      </c>
      <c r="AB6" s="21" t="inlineStr">
        <is>
          <t xml:space="preserve">Retenidos</t>
        </is>
      </c>
      <c r="AC6" s="21" t="inlineStr">
        <is>
          <t xml:space="preserve">Tasa de retención</t>
        </is>
      </c>
      <c r="AE6" s="21" t="inlineStr">
        <is>
          <t xml:space="preserve">Cohorte</t>
        </is>
      </c>
      <c r="AF6" s="21" t="inlineStr">
        <is>
          <t xml:space="preserve">Jornada</t>
        </is>
      </c>
      <c r="AG6" s="21" t="inlineStr">
        <is>
          <t xml:space="preserve">Estudiantes</t>
        </is>
      </c>
      <c r="AH6" s="21" t="inlineStr">
        <is>
          <t xml:space="preserve">% de la cohorte</t>
        </is>
      </c>
      <c r="AI6" s="21" t="inlineStr">
        <is>
          <t xml:space="preserve">Retenidos</t>
        </is>
      </c>
      <c r="AJ6" s="21" t="inlineStr">
        <is>
          <t xml:space="preserve">Tasa de retención</t>
        </is>
      </c>
      <c r="AL6" s="21" t="inlineStr">
        <is>
          <t xml:space="preserve">Cohorte</t>
        </is>
      </c>
      <c r="AM6" s="21" t="inlineStr">
        <is>
          <t xml:space="preserve">Sexo</t>
        </is>
      </c>
      <c r="AN6" s="21" t="inlineStr">
        <is>
          <t xml:space="preserve">Estudiantes</t>
        </is>
      </c>
      <c r="AO6" s="21" t="inlineStr">
        <is>
          <t xml:space="preserve">Retenidos</t>
        </is>
      </c>
      <c r="AP6" s="21" t="inlineStr">
        <is>
          <t xml:space="preserve">Tasa de retención</t>
        </is>
      </c>
      <c r="AR6" s="21" t="inlineStr">
        <is>
          <t xml:space="preserve">Cohorte</t>
        </is>
      </c>
      <c r="AS6" s="21" t="inlineStr">
        <is>
          <t xml:space="preserve">Tramo Edad</t>
        </is>
      </c>
      <c r="AT6" s="21" t="inlineStr">
        <is>
          <t xml:space="preserve">Estudiantes</t>
        </is>
      </c>
      <c r="AU6" s="21" t="inlineStr">
        <is>
          <t xml:space="preserve">Retenidos</t>
        </is>
      </c>
      <c r="AV6" s="21" t="inlineStr">
        <is>
          <t xml:space="preserve">Tasa de retención</t>
        </is>
      </c>
      <c r="AX6" s="21" t="inlineStr">
        <is>
          <t xml:space="preserve">Cohorte</t>
        </is>
      </c>
      <c r="AY6" s="21" t="inlineStr">
        <is>
          <t xml:space="preserve">Estudiantes</t>
        </is>
      </c>
      <c r="AZ6" s="21" t="inlineStr">
        <is>
          <t xml:space="preserve">Retenidos</t>
        </is>
      </c>
      <c r="BA6" s="21" t="inlineStr">
        <is>
          <t xml:space="preserve">Tasa de retención</t>
        </is>
      </c>
      <c r="BC6" s="21" t="inlineStr">
        <is>
          <t xml:space="preserve">Sector</t>
        </is>
      </c>
      <c r="BD6" s="21" t="inlineStr">
        <is>
          <t xml:space="preserve">Estudiantes</t>
        </is>
      </c>
      <c r="BE6" s="21" t="inlineStr">
        <is>
          <t xml:space="preserve">Retenidos</t>
        </is>
      </c>
      <c r="BF6" s="21" t="inlineStr">
        <is>
          <t xml:space="preserve">Tasa de retención</t>
        </is>
      </c>
      <c r="BH6" s="21" t="inlineStr">
        <is>
          <t xml:space="preserve">Modalidad</t>
        </is>
      </c>
      <c r="BI6" s="21" t="inlineStr">
        <is>
          <t xml:space="preserve">Cohorte</t>
        </is>
      </c>
      <c r="BJ6" s="21" t="inlineStr">
        <is>
          <t xml:space="preserve">Estudiantes</t>
        </is>
      </c>
      <c r="BK6" s="21" t="inlineStr">
        <is>
          <t xml:space="preserve">Retenidos</t>
        </is>
      </c>
      <c r="BL6" s="21" t="inlineStr">
        <is>
          <t xml:space="preserve">Tasa de retención</t>
        </is>
      </c>
      <c r="BN6" s="21" t="inlineStr">
        <is>
          <t xml:space="preserve">Carrera</t>
        </is>
      </c>
      <c r="BO6" s="21" t="inlineStr">
        <is>
          <t xml:space="preserve">Sector</t>
        </is>
      </c>
      <c r="BP6" s="21" t="inlineStr">
        <is>
          <t xml:space="preserve">Estudiantes</t>
        </is>
      </c>
      <c r="BQ6" s="21" t="inlineStr">
        <is>
          <t xml:space="preserve">Retenidos</t>
        </is>
      </c>
      <c r="BR6" s="21" t="inlineStr">
        <is>
          <t xml:space="preserve">Tasa de retención</t>
        </is>
      </c>
      <c r="BT6" s="21" t="inlineStr">
        <is>
          <t xml:space="preserve">Carrera</t>
        </is>
      </c>
      <c r="BU6" s="21" t="inlineStr">
        <is>
          <t xml:space="preserve">Modalidad</t>
        </is>
      </c>
      <c r="BV6" s="21" t="inlineStr">
        <is>
          <t xml:space="preserve">Estudiantes</t>
        </is>
      </c>
      <c r="BW6" s="21" t="inlineStr">
        <is>
          <t xml:space="preserve">Retenidos</t>
        </is>
      </c>
      <c r="BX6" s="21" t="inlineStr">
        <is>
          <t xml:space="preserve">Tasa de retención</t>
        </is>
      </c>
      <c r="BZ6" s="21" t="inlineStr">
        <is>
          <t xml:space="preserve">Jornada</t>
        </is>
      </c>
      <c r="CA6" s="21" t="inlineStr">
        <is>
          <t xml:space="preserve">Estudiantes</t>
        </is>
      </c>
      <c r="CB6" s="21" t="inlineStr">
        <is>
          <t xml:space="preserve">Retenidos</t>
        </is>
      </c>
      <c r="CC6" s="21" t="inlineStr">
        <is>
          <t xml:space="preserve">Tasa de retención</t>
        </is>
      </c>
      <c r="CE6" s="21" t="inlineStr">
        <is>
          <t xml:space="preserve">Sexo</t>
        </is>
      </c>
      <c r="CF6" s="21" t="inlineStr">
        <is>
          <t xml:space="preserve">Estudiantes</t>
        </is>
      </c>
      <c r="CG6" s="21" t="inlineStr">
        <is>
          <t xml:space="preserve">Retenidos</t>
        </is>
      </c>
      <c r="CH6" s="21" t="inlineStr">
        <is>
          <t xml:space="preserve">Tasa de retención</t>
        </is>
      </c>
      <c r="CJ6" s="21" t="inlineStr">
        <is>
          <t xml:space="preserve">Tramo Edad</t>
        </is>
      </c>
      <c r="CK6" s="21" t="inlineStr">
        <is>
          <t xml:space="preserve">Estudiantes</t>
        </is>
      </c>
      <c r="CL6" s="21" t="inlineStr">
        <is>
          <t xml:space="preserve">Retenidos</t>
        </is>
      </c>
      <c r="CM6" s="21" t="inlineStr">
        <is>
          <t xml:space="preserve">Tasa de retención</t>
        </is>
      </c>
      <c r="CO6" s="21" t="inlineStr">
        <is>
          <t xml:space="preserve">Dimensión</t>
        </is>
      </c>
      <c r="CP6" s="21" t="inlineStr">
        <is>
          <t xml:space="preserve">Mejor</t>
        </is>
      </c>
      <c r="CQ6" s="21" t="inlineStr">
        <is>
          <t xml:space="preserve">Tasa (mejor)</t>
        </is>
      </c>
      <c r="CR6" s="21" t="inlineStr">
        <is>
          <t xml:space="preserve">Peor</t>
        </is>
      </c>
      <c r="CS6" s="21" t="inlineStr">
        <is>
          <t xml:space="preserve">Tasa (peor)</t>
        </is>
      </c>
    </row>
    <row r="7" customFormat="false" ht="15" hidden="false" customHeight="true" outlineLevel="0" collapsed="false">
      <c r="A7" s="5"/>
      <c r="B7" s="22" t="str">
        <v>Tecnologías</v>
      </c>
      <c r="C7" s="22" t="n">
        <v>2022</v>
      </c>
      <c r="D7" s="36" t="n">
        <v>305</v>
      </c>
      <c r="E7" s="36" t="n">
        <v>224</v>
      </c>
      <c r="F7" s="23" t="n">
        <v>0.734426229508197</v>
      </c>
      <c r="H7" s="22" t="str">
        <v>Tecnologías</v>
      </c>
      <c r="I7" s="36" t="n">
        <v>598</v>
      </c>
      <c r="J7" s="36" t="n">
        <v>381</v>
      </c>
      <c r="K7" s="23" t="n">
        <v>0.637123745819398</v>
      </c>
      <c r="L7" s="36" t="n">
        <v>607</v>
      </c>
      <c r="M7" s="36" t="n">
        <v>386</v>
      </c>
      <c r="N7" s="23" t="n">
        <v>0.635914332784185</v>
      </c>
      <c r="O7" s="24" t="n">
        <v>0.120941303521349</v>
      </c>
      <c r="Q7" s="22" t="n">
        <v>2022</v>
      </c>
      <c r="R7" s="36" t="n">
        <v>305</v>
      </c>
      <c r="S7" s="36" t="n">
        <v>224</v>
      </c>
      <c r="T7" s="23" t="n">
        <v>0.734426229508197</v>
      </c>
      <c r="U7" s="23" t="n">
        <v>0.689516129032258</v>
      </c>
      <c r="V7" s="24" t="n">
        <v>4.49101004759387</v>
      </c>
      <c r="X7" s="22" t="str">
        <v>Administración y Comercio</v>
      </c>
      <c r="Y7" s="22" t="str">
        <v>Administracion Publica</v>
      </c>
      <c r="Z7" s="22" t="str">
        <v>Presencial-Diurno</v>
      </c>
      <c r="AA7" s="36" t="n">
        <v>0</v>
      </c>
      <c r="AB7" s="36" t="n">
        <v>0</v>
      </c>
      <c r="AC7" s="23" t="str">
        <v/>
      </c>
      <c r="AE7" s="22" t="n">
        <v>2022</v>
      </c>
      <c r="AF7" s="22" t="str">
        <v>Presencial-Diurno</v>
      </c>
      <c r="AG7" s="36" t="n">
        <v>36</v>
      </c>
      <c r="AH7" s="23" t="n">
        <v>0.118032786885246</v>
      </c>
      <c r="AI7" s="36" t="n">
        <v>27</v>
      </c>
      <c r="AJ7" s="23" t="n">
        <v>0.75</v>
      </c>
      <c r="AL7" s="22" t="n">
        <v>2022</v>
      </c>
      <c r="AM7" s="22" t="str">
        <v>H</v>
      </c>
      <c r="AN7" s="36" t="n">
        <v>271</v>
      </c>
      <c r="AO7" s="36" t="n">
        <v>199</v>
      </c>
      <c r="AP7" s="23" t="n">
        <v>0.734317343173432</v>
      </c>
      <c r="AR7" s="22" t="n">
        <v>2022</v>
      </c>
      <c r="AS7" s="22" t="str">
        <v>Menos de 20</v>
      </c>
      <c r="AT7" s="36" t="n">
        <v>11</v>
      </c>
      <c r="AU7" s="36" t="n">
        <v>7</v>
      </c>
      <c r="AV7" s="23" t="n">
        <v>0.636363636363636</v>
      </c>
      <c r="AX7" s="22" t="str">
        <v>Acumulado 2022-2025</v>
      </c>
      <c r="AY7" s="36" t="n">
        <v>2379</v>
      </c>
      <c r="AZ7" s="36" t="n">
        <v>1476</v>
      </c>
      <c r="BA7" s="23" t="n">
        <v>0.620428751576293</v>
      </c>
      <c r="BC7" s="22" t="str">
        <v>Tecnologías</v>
      </c>
      <c r="BD7" s="36" t="n">
        <v>1766</v>
      </c>
      <c r="BE7" s="36" t="n">
        <v>1162</v>
      </c>
      <c r="BF7" s="23" t="n">
        <v>0.657984144960362</v>
      </c>
      <c r="BH7" s="22" t="str">
        <v>Presencial</v>
      </c>
      <c r="BI7" s="22" t="str">
        <v>2022-25</v>
      </c>
      <c r="BJ7" s="36" t="n">
        <v>483</v>
      </c>
      <c r="BK7" s="36" t="n">
        <v>291</v>
      </c>
      <c r="BL7" s="23" t="n">
        <v>0.60248447204969</v>
      </c>
      <c r="BN7" s="22" t="str">
        <v>Ingenieria En Conectividad Y Redes</v>
      </c>
      <c r="BO7" s="22" t="str">
        <v>Tecnologías</v>
      </c>
      <c r="BP7" s="36" t="n">
        <v>237</v>
      </c>
      <c r="BQ7" s="36" t="n">
        <v>169</v>
      </c>
      <c r="BR7" s="23" t="n">
        <v>0.713080168776371</v>
      </c>
      <c r="BT7" s="22" t="str">
        <v>Administracion Publica</v>
      </c>
      <c r="BU7" s="22" t="str">
        <v>A distancia</v>
      </c>
      <c r="BV7" s="36" t="n">
        <v>70</v>
      </c>
      <c r="BW7" s="36" t="n">
        <v>33</v>
      </c>
      <c r="BX7" s="23" t="n">
        <v>0.471428571428571</v>
      </c>
      <c r="BZ7" s="22" t="str">
        <v>Presencial-Diurno</v>
      </c>
      <c r="CA7" s="36" t="n">
        <v>177</v>
      </c>
      <c r="CB7" s="36" t="n">
        <v>126</v>
      </c>
      <c r="CC7" s="23" t="n">
        <v>0.711864406779661</v>
      </c>
      <c r="CE7" s="22" t="str">
        <v>Hombre</v>
      </c>
      <c r="CF7" s="36" t="n">
        <v>1768</v>
      </c>
      <c r="CG7" s="36" t="n">
        <v>1094</v>
      </c>
      <c r="CH7" s="23" t="n">
        <v>0.618778280542986</v>
      </c>
      <c r="CJ7" s="22" t="str">
        <v>Menos de 20</v>
      </c>
      <c r="CK7" s="36" t="n">
        <v>91</v>
      </c>
      <c r="CL7" s="36" t="n">
        <v>61</v>
      </c>
      <c r="CM7" s="23" t="n">
        <v>0.67032967032967</v>
      </c>
      <c r="CO7" s="22" t="str">
        <v>Sector</v>
      </c>
      <c r="CP7" s="22" t="str">
        <v>Tecnologías</v>
      </c>
      <c r="CQ7" s="23" t="n">
        <v>0.657984144960362</v>
      </c>
      <c r="CR7" s="22" t="str">
        <v>Salud</v>
      </c>
      <c r="CS7" s="23" t="n">
        <v>0.466666666666667</v>
      </c>
    </row>
    <row r="8" customFormat="false" ht="15" hidden="false" customHeight="true" outlineLevel="0" collapsed="false">
      <c r="A8" s="5"/>
      <c r="B8" s="25" t="str">
        <v>Tecnologías</v>
      </c>
      <c r="C8" s="25" t="n">
        <v>2023</v>
      </c>
      <c r="D8" s="37" t="n">
        <v>366</v>
      </c>
      <c r="E8" s="37" t="n">
        <v>258</v>
      </c>
      <c r="F8" s="26" t="n">
        <v>0.704918032786885</v>
      </c>
      <c r="H8" s="25" t="str">
        <v>Administración y Comercio</v>
      </c>
      <c r="I8" s="37" t="n">
        <v>477</v>
      </c>
      <c r="J8" s="37" t="n">
        <v>252</v>
      </c>
      <c r="K8" s="26" t="n">
        <v>0.528301886792453</v>
      </c>
      <c r="L8" s="37" t="n">
        <v>481</v>
      </c>
      <c r="M8" s="37" t="n">
        <v>256</v>
      </c>
      <c r="N8" s="26" t="n">
        <v>0.532224532224532</v>
      </c>
      <c r="O8" s="27" t="n">
        <v>-0.392264543207943</v>
      </c>
      <c r="Q8" s="25" t="n">
        <v>2023</v>
      </c>
      <c r="R8" s="37" t="n">
        <v>366</v>
      </c>
      <c r="S8" s="37" t="n">
        <v>258</v>
      </c>
      <c r="T8" s="26" t="n">
        <v>0.704918032786885</v>
      </c>
      <c r="U8" s="26" t="n">
        <v>0.705722070844687</v>
      </c>
      <c r="V8" s="27" t="n">
        <v>-0.0804038057801715</v>
      </c>
      <c r="X8" s="25" t="str">
        <v>Administración y Comercio</v>
      </c>
      <c r="Y8" s="25" t="str">
        <v>Administracion Publica</v>
      </c>
      <c r="Z8" s="25" t="str">
        <v>Presencial-Vespertino</v>
      </c>
      <c r="AA8" s="37" t="n">
        <v>0</v>
      </c>
      <c r="AB8" s="37" t="n">
        <v>0</v>
      </c>
      <c r="AC8" s="26" t="str">
        <v/>
      </c>
      <c r="AE8" s="25" t="n">
        <v>2022</v>
      </c>
      <c r="AF8" s="25" t="str">
        <v>Presencial-Vespertino</v>
      </c>
      <c r="AG8" s="37" t="n">
        <v>47</v>
      </c>
      <c r="AH8" s="26" t="n">
        <v>0.154098360655738</v>
      </c>
      <c r="AI8" s="37" t="n">
        <v>36</v>
      </c>
      <c r="AJ8" s="26" t="n">
        <v>0.765957446808511</v>
      </c>
      <c r="AL8" s="25" t="n">
        <v>2022</v>
      </c>
      <c r="AM8" s="25" t="str">
        <v>M</v>
      </c>
      <c r="AN8" s="37" t="n">
        <v>34</v>
      </c>
      <c r="AO8" s="37" t="n">
        <v>25</v>
      </c>
      <c r="AP8" s="26" t="n">
        <v>0.735294117647059</v>
      </c>
      <c r="AR8" s="25" t="n">
        <v>2022</v>
      </c>
      <c r="AS8" s="25" t="str">
        <v>20-24</v>
      </c>
      <c r="AT8" s="37" t="n">
        <v>53</v>
      </c>
      <c r="AU8" s="37" t="n">
        <v>42</v>
      </c>
      <c r="AV8" s="26" t="n">
        <v>0.792452830188679</v>
      </c>
      <c r="AX8" s="25" t="str">
        <v/>
      </c>
      <c r="AY8" s="37" t="str">
        <v/>
      </c>
      <c r="AZ8" s="37" t="str">
        <v/>
      </c>
      <c r="BA8" s="26" t="str">
        <v/>
      </c>
      <c r="BC8" s="25" t="str">
        <v>Administración y Comercio</v>
      </c>
      <c r="BD8" s="37" t="n">
        <v>538</v>
      </c>
      <c r="BE8" s="37" t="n">
        <v>279</v>
      </c>
      <c r="BF8" s="26" t="n">
        <v>0.518587360594796</v>
      </c>
      <c r="BH8" s="25" t="str">
        <v>A distancia</v>
      </c>
      <c r="BI8" s="25" t="str">
        <v>2022-25</v>
      </c>
      <c r="BJ8" s="37" t="n">
        <v>1896</v>
      </c>
      <c r="BK8" s="37" t="n">
        <v>1185</v>
      </c>
      <c r="BL8" s="26" t="n">
        <v>0.625</v>
      </c>
      <c r="BN8" s="25" t="str">
        <v>Auditoria</v>
      </c>
      <c r="BO8" s="25" t="str">
        <v>Administración y Comercio</v>
      </c>
      <c r="BP8" s="37" t="n">
        <v>40</v>
      </c>
      <c r="BQ8" s="37" t="n">
        <v>27</v>
      </c>
      <c r="BR8" s="26" t="n">
        <v>0.675</v>
      </c>
      <c r="BT8" s="25" t="str">
        <v>Auditoria</v>
      </c>
      <c r="BU8" s="25" t="str">
        <v>A distancia</v>
      </c>
      <c r="BV8" s="37" t="n">
        <v>40</v>
      </c>
      <c r="BW8" s="37" t="n">
        <v>27</v>
      </c>
      <c r="BX8" s="26" t="n">
        <v>0.675</v>
      </c>
      <c r="BZ8" s="25" t="str">
        <v>Presencial-Vespertino</v>
      </c>
      <c r="CA8" s="37" t="n">
        <v>306</v>
      </c>
      <c r="CB8" s="37" t="n">
        <v>165</v>
      </c>
      <c r="CC8" s="26" t="n">
        <v>0.53921568627451</v>
      </c>
      <c r="CE8" s="25" t="str">
        <v>Mujer</v>
      </c>
      <c r="CF8" s="37" t="n">
        <v>610</v>
      </c>
      <c r="CG8" s="37" t="n">
        <v>382</v>
      </c>
      <c r="CH8" s="26" t="n">
        <v>0.626229508196721</v>
      </c>
      <c r="CJ8" s="25" t="str">
        <v>20-24</v>
      </c>
      <c r="CK8" s="37" t="n">
        <v>382</v>
      </c>
      <c r="CL8" s="37" t="n">
        <v>269</v>
      </c>
      <c r="CM8" s="26" t="n">
        <v>0.704188481675393</v>
      </c>
      <c r="CO8" s="25" t="str">
        <v>Modalidad</v>
      </c>
      <c r="CP8" s="25" t="str">
        <v>Presencial</v>
      </c>
      <c r="CQ8" s="26" t="n">
        <v>0.60248447204969</v>
      </c>
      <c r="CR8" s="25" t="str">
        <v>Presencial</v>
      </c>
      <c r="CS8" s="26" t="n">
        <v>0.60248447204969</v>
      </c>
    </row>
    <row r="9" customFormat="false" ht="15" hidden="false" customHeight="true" outlineLevel="0" collapsed="false">
      <c r="A9" s="5"/>
      <c r="B9" s="22" t="str">
        <v>Tecnologías</v>
      </c>
      <c r="C9" s="22" t="n">
        <v>2024</v>
      </c>
      <c r="D9" s="36" t="n">
        <v>497</v>
      </c>
      <c r="E9" s="36" t="n">
        <v>299</v>
      </c>
      <c r="F9" s="23" t="n">
        <v>0.601609657947686</v>
      </c>
      <c r="H9" s="22" t="str">
        <v>Salud</v>
      </c>
      <c r="I9" s="36" t="n">
        <v>75</v>
      </c>
      <c r="J9" s="36" t="n">
        <v>35</v>
      </c>
      <c r="K9" s="23" t="n">
        <v>0.466666666666667</v>
      </c>
      <c r="L9" s="36" t="n">
        <v>75</v>
      </c>
      <c r="M9" s="36" t="n">
        <v>35</v>
      </c>
      <c r="N9" s="23" t="n">
        <v>0.466666666666667</v>
      </c>
      <c r="O9" s="24" t="n">
        <v>0</v>
      </c>
      <c r="Q9" s="22" t="n">
        <v>2024</v>
      </c>
      <c r="R9" s="36" t="n">
        <v>558</v>
      </c>
      <c r="S9" s="36" t="n">
        <v>326</v>
      </c>
      <c r="T9" s="23" t="n">
        <v>0.584229390681004</v>
      </c>
      <c r="U9" s="23" t="n">
        <v>0.675</v>
      </c>
      <c r="V9" s="24" t="n">
        <v>-9.07706093189965</v>
      </c>
      <c r="X9" s="22" t="str">
        <v>Administración y Comercio</v>
      </c>
      <c r="Y9" s="22" t="str">
        <v>Administracion Publica</v>
      </c>
      <c r="Z9" s="22" t="str">
        <v>Virtual</v>
      </c>
      <c r="AA9" s="36" t="n">
        <v>70</v>
      </c>
      <c r="AB9" s="36" t="n">
        <v>33</v>
      </c>
      <c r="AC9" s="23" t="n">
        <v>0.471428571428571</v>
      </c>
      <c r="AE9" s="22" t="n">
        <v>2022</v>
      </c>
      <c r="AF9" s="22" t="str">
        <v>Virtual</v>
      </c>
      <c r="AG9" s="36" t="n">
        <v>222</v>
      </c>
      <c r="AH9" s="23" t="n">
        <v>0.727868852459016</v>
      </c>
      <c r="AI9" s="36" t="n">
        <v>161</v>
      </c>
      <c r="AJ9" s="23" t="n">
        <v>0.725225225225225</v>
      </c>
      <c r="AL9" s="22" t="n">
        <v>2022</v>
      </c>
      <c r="AM9" s="22" t="str">
        <v>NB</v>
      </c>
      <c r="AN9" s="36" t="n">
        <v>0</v>
      </c>
      <c r="AO9" s="36" t="n">
        <v>0</v>
      </c>
      <c r="AP9" s="23" t="str">
        <v/>
      </c>
      <c r="AR9" s="22" t="n">
        <v>2022</v>
      </c>
      <c r="AS9" s="22" t="str">
        <v>25-29</v>
      </c>
      <c r="AT9" s="36" t="n">
        <v>76</v>
      </c>
      <c r="AU9" s="36" t="n">
        <v>56</v>
      </c>
      <c r="AV9" s="23" t="n">
        <v>0.736842105263158</v>
      </c>
      <c r="AX9" s="22" t="str">
        <v/>
      </c>
      <c r="AY9" s="36" t="str">
        <v/>
      </c>
      <c r="AZ9" s="36" t="str">
        <v/>
      </c>
      <c r="BA9" s="23" t="str">
        <v/>
      </c>
      <c r="BC9" s="22" t="str">
        <v>Salud</v>
      </c>
      <c r="BD9" s="36" t="n">
        <v>75</v>
      </c>
      <c r="BE9" s="36" t="n">
        <v>35</v>
      </c>
      <c r="BF9" s="23" t="n">
        <v>0.466666666666667</v>
      </c>
      <c r="BH9" s="22" t="str">
        <v/>
      </c>
      <c r="BI9" s="22" t="str">
        <v/>
      </c>
      <c r="BJ9" s="36" t="str">
        <v/>
      </c>
      <c r="BK9" s="36" t="str">
        <v/>
      </c>
      <c r="BL9" s="23" t="str">
        <v/>
      </c>
      <c r="BN9" s="22" t="str">
        <v>Tecnico En Programacion Y Analisis De Sistemas</v>
      </c>
      <c r="BO9" s="22" t="str">
        <v>Tecnologías</v>
      </c>
      <c r="BP9" s="36" t="n">
        <v>466</v>
      </c>
      <c r="BQ9" s="36" t="n">
        <v>313</v>
      </c>
      <c r="BR9" s="23" t="n">
        <v>0.671673819742489</v>
      </c>
      <c r="BT9" s="22" t="str">
        <v>Contabilidad General</v>
      </c>
      <c r="BU9" s="22" t="str">
        <v>A distancia</v>
      </c>
      <c r="BV9" s="36" t="n">
        <v>38</v>
      </c>
      <c r="BW9" s="36" t="n">
        <v>19</v>
      </c>
      <c r="BX9" s="23" t="n">
        <v>0.5</v>
      </c>
      <c r="BZ9" s="22" t="str">
        <v>Virtual</v>
      </c>
      <c r="CA9" s="36" t="n">
        <v>1896</v>
      </c>
      <c r="CB9" s="36" t="n">
        <v>1185</v>
      </c>
      <c r="CC9" s="23" t="n">
        <v>0.625</v>
      </c>
      <c r="CE9" s="22" t="str">
        <v>No binario</v>
      </c>
      <c r="CF9" s="36" t="n">
        <v>1</v>
      </c>
      <c r="CG9" s="36" t="n">
        <v>0</v>
      </c>
      <c r="CH9" s="23" t="n">
        <v>0</v>
      </c>
      <c r="CJ9" s="22" t="str">
        <v>25-29</v>
      </c>
      <c r="CK9" s="36" t="n">
        <v>599</v>
      </c>
      <c r="CL9" s="36" t="n">
        <v>377</v>
      </c>
      <c r="CM9" s="23" t="n">
        <v>0.629382303839733</v>
      </c>
      <c r="CO9" s="22" t="str">
        <v>Carrera</v>
      </c>
      <c r="CP9" s="22" t="str">
        <v>Ingenieria En Conectividad Y Redes</v>
      </c>
      <c r="CQ9" s="23" t="n">
        <v>0.713080168776371</v>
      </c>
      <c r="CR9" s="22" t="str">
        <v>Tecnico En Administracion De Empresas</v>
      </c>
      <c r="CS9" s="23" t="n">
        <v>0.443181818181818</v>
      </c>
    </row>
    <row r="10" customFormat="false" ht="15" hidden="false" customHeight="true" outlineLevel="0" collapsed="false">
      <c r="A10" s="5"/>
      <c r="B10" s="25" t="str">
        <v>Tecnologías</v>
      </c>
      <c r="C10" s="25" t="n">
        <v>2025</v>
      </c>
      <c r="D10" s="37" t="n">
        <v>598</v>
      </c>
      <c r="E10" s="37" t="n">
        <v>381</v>
      </c>
      <c r="F10" s="26" t="n">
        <v>0.637123745819398</v>
      </c>
      <c r="Q10" s="25" t="n">
        <v>2025</v>
      </c>
      <c r="R10" s="37" t="n">
        <v>1150</v>
      </c>
      <c r="S10" s="37" t="n">
        <v>668</v>
      </c>
      <c r="T10" s="26" t="n">
        <v>0.580869565217391</v>
      </c>
      <c r="U10" s="26" t="n">
        <v>0.582115219260533</v>
      </c>
      <c r="V10" s="27" t="n">
        <v>-0.12456540431417</v>
      </c>
      <c r="X10" s="25" t="str">
        <v>Administración y Comercio</v>
      </c>
      <c r="Y10" s="25" t="str">
        <v>Auditoria</v>
      </c>
      <c r="Z10" s="25" t="str">
        <v>Presencial-Diurno</v>
      </c>
      <c r="AA10" s="37" t="n">
        <v>0</v>
      </c>
      <c r="AB10" s="37" t="n">
        <v>0</v>
      </c>
      <c r="AC10" s="26" t="str">
        <v/>
      </c>
      <c r="AE10" s="25" t="n">
        <v>2023</v>
      </c>
      <c r="AF10" s="25" t="str">
        <v>Presencial-Diurno</v>
      </c>
      <c r="AG10" s="37" t="n">
        <v>0</v>
      </c>
      <c r="AH10" s="26" t="n">
        <v>0</v>
      </c>
      <c r="AI10" s="37" t="n">
        <v>0</v>
      </c>
      <c r="AJ10" s="26" t="str">
        <v/>
      </c>
      <c r="AL10" s="25" t="n">
        <v>2023</v>
      </c>
      <c r="AM10" s="25" t="str">
        <v>H</v>
      </c>
      <c r="AN10" s="37" t="n">
        <v>311</v>
      </c>
      <c r="AO10" s="37" t="n">
        <v>217</v>
      </c>
      <c r="AP10" s="26" t="n">
        <v>0.697749196141479</v>
      </c>
      <c r="AR10" s="25" t="n">
        <v>2022</v>
      </c>
      <c r="AS10" s="25" t="str">
        <v>30-39</v>
      </c>
      <c r="AT10" s="37" t="n">
        <v>129</v>
      </c>
      <c r="AU10" s="37" t="n">
        <v>89</v>
      </c>
      <c r="AV10" s="26" t="n">
        <v>0.689922480620155</v>
      </c>
      <c r="AX10" s="25" t="str">
        <v/>
      </c>
      <c r="AY10" s="37" t="str">
        <v/>
      </c>
      <c r="AZ10" s="37" t="str">
        <v/>
      </c>
      <c r="BA10" s="26" t="str">
        <v/>
      </c>
      <c r="BH10" s="25" t="str">
        <v/>
      </c>
      <c r="BI10" s="25" t="str">
        <v/>
      </c>
      <c r="BJ10" s="37" t="str">
        <v/>
      </c>
      <c r="BK10" s="37" t="str">
        <v/>
      </c>
      <c r="BL10" s="26" t="str">
        <v/>
      </c>
      <c r="BN10" s="25" t="str">
        <v>Ingenieria En Informatica</v>
      </c>
      <c r="BO10" s="25" t="str">
        <v>Tecnologías</v>
      </c>
      <c r="BP10" s="37" t="n">
        <v>334</v>
      </c>
      <c r="BQ10" s="37" t="n">
        <v>223</v>
      </c>
      <c r="BR10" s="26" t="n">
        <v>0.667664670658683</v>
      </c>
      <c r="BT10" s="25" t="str">
        <v>Ingenieria En Administracion De Empresas</v>
      </c>
      <c r="BU10" s="25" t="str">
        <v>A distancia</v>
      </c>
      <c r="BV10" s="37" t="n">
        <v>79</v>
      </c>
      <c r="BW10" s="37" t="n">
        <v>42</v>
      </c>
      <c r="BX10" s="26" t="n">
        <v>0.531645569620253</v>
      </c>
      <c r="CJ10" s="25" t="str">
        <v>30-39</v>
      </c>
      <c r="CK10" s="37" t="n">
        <v>978</v>
      </c>
      <c r="CL10" s="37" t="n">
        <v>584</v>
      </c>
      <c r="CM10" s="26" t="n">
        <v>0.597137014314928</v>
      </c>
      <c r="CO10" s="25" t="str">
        <v>Carrera × Modalidad</v>
      </c>
      <c r="CP10" s="25" t="str">
        <v>Ingenieria En Conectividad Y Redes — Presencial</v>
      </c>
      <c r="CQ10" s="26" t="n">
        <v>0.76</v>
      </c>
      <c r="CR10" s="25" t="str">
        <v>Tecnico En Administracion De Empresas — Presencial</v>
      </c>
      <c r="CS10" s="26" t="n">
        <v>0.3125</v>
      </c>
    </row>
    <row r="11" customFormat="false" ht="15" hidden="false" customHeight="true" outlineLevel="0" collapsed="false">
      <c r="A11" s="5"/>
      <c r="B11" s="22" t="str">
        <v>Administración y Comercio</v>
      </c>
      <c r="C11" s="22" t="n">
        <v>2022</v>
      </c>
      <c r="D11" s="36" t="n">
        <v>0</v>
      </c>
      <c r="E11" s="36" t="n">
        <v>0</v>
      </c>
      <c r="F11" s="23" t="str">
        <v/>
      </c>
      <c r="X11" s="22" t="str">
        <v>Administración y Comercio</v>
      </c>
      <c r="Y11" s="22" t="str">
        <v>Auditoria</v>
      </c>
      <c r="Z11" s="22" t="str">
        <v>Presencial-Vespertino</v>
      </c>
      <c r="AA11" s="36" t="n">
        <v>0</v>
      </c>
      <c r="AB11" s="36" t="n">
        <v>0</v>
      </c>
      <c r="AC11" s="23" t="str">
        <v/>
      </c>
      <c r="AE11" s="22" t="n">
        <v>2023</v>
      </c>
      <c r="AF11" s="22" t="str">
        <v>Presencial-Vespertino</v>
      </c>
      <c r="AG11" s="36" t="n">
        <v>24</v>
      </c>
      <c r="AH11" s="23" t="n">
        <v>0.0655737704918033</v>
      </c>
      <c r="AI11" s="36" t="n">
        <v>14</v>
      </c>
      <c r="AJ11" s="23" t="n">
        <v>0.583333333333333</v>
      </c>
      <c r="AL11" s="22" t="n">
        <v>2023</v>
      </c>
      <c r="AM11" s="22" t="str">
        <v>M</v>
      </c>
      <c r="AN11" s="36" t="n">
        <v>55</v>
      </c>
      <c r="AO11" s="36" t="n">
        <v>41</v>
      </c>
      <c r="AP11" s="23" t="n">
        <v>0.745454545454546</v>
      </c>
      <c r="AR11" s="22" t="n">
        <v>2022</v>
      </c>
      <c r="AS11" s="22" t="str">
        <v>40+</v>
      </c>
      <c r="AT11" s="36" t="n">
        <v>36</v>
      </c>
      <c r="AU11" s="36" t="n">
        <v>30</v>
      </c>
      <c r="AV11" s="23" t="n">
        <v>0.833333333333333</v>
      </c>
      <c r="AX11" s="22" t="str">
        <v/>
      </c>
      <c r="AY11" s="36" t="str">
        <v/>
      </c>
      <c r="AZ11" s="36" t="str">
        <v/>
      </c>
      <c r="BA11" s="23" t="str">
        <v/>
      </c>
      <c r="BH11" s="22" t="str">
        <v/>
      </c>
      <c r="BI11" s="22" t="str">
        <v/>
      </c>
      <c r="BJ11" s="36" t="str">
        <v/>
      </c>
      <c r="BK11" s="36" t="str">
        <v/>
      </c>
      <c r="BL11" s="23" t="str">
        <v/>
      </c>
      <c r="BN11" s="22" t="str">
        <v>Ingenieria En Ciberseguridad</v>
      </c>
      <c r="BO11" s="22" t="str">
        <v>Tecnologías</v>
      </c>
      <c r="BP11" s="36" t="n">
        <v>303</v>
      </c>
      <c r="BQ11" s="36" t="n">
        <v>198</v>
      </c>
      <c r="BR11" s="23" t="n">
        <v>0.653465346534654</v>
      </c>
      <c r="BT11" s="22" t="str">
        <v>Ingenieria En Administracion De Empresas</v>
      </c>
      <c r="BU11" s="22" t="str">
        <v>Presencial</v>
      </c>
      <c r="BV11" s="36" t="n">
        <v>20</v>
      </c>
      <c r="BW11" s="36" t="n">
        <v>7</v>
      </c>
      <c r="BX11" s="23" t="n">
        <v>0.35</v>
      </c>
      <c r="CJ11" s="22" t="str">
        <v>40+</v>
      </c>
      <c r="CK11" s="36" t="n">
        <v>329</v>
      </c>
      <c r="CL11" s="36" t="n">
        <v>185</v>
      </c>
      <c r="CM11" s="23" t="n">
        <v>0.562310030395137</v>
      </c>
      <c r="CO11" s="22" t="str">
        <v>Jornada</v>
      </c>
      <c r="CP11" s="22" t="str">
        <v>Presencial-Diurno</v>
      </c>
      <c r="CQ11" s="23" t="n">
        <v>0.711864406779661</v>
      </c>
      <c r="CR11" s="22" t="str">
        <v>Presencial-Vespertino</v>
      </c>
      <c r="CS11" s="23" t="n">
        <v>0.53921568627451</v>
      </c>
    </row>
    <row r="12" customFormat="false" ht="15" hidden="false" customHeight="true" outlineLevel="0" collapsed="false">
      <c r="A12" s="5"/>
      <c r="B12" s="25" t="str">
        <v>Administración y Comercio</v>
      </c>
      <c r="C12" s="25" t="n">
        <v>2023</v>
      </c>
      <c r="D12" s="37" t="n">
        <v>0</v>
      </c>
      <c r="E12" s="37" t="n">
        <v>0</v>
      </c>
      <c r="F12" s="26" t="str">
        <v/>
      </c>
      <c r="X12" s="25" t="str">
        <v>Administración y Comercio</v>
      </c>
      <c r="Y12" s="25" t="str">
        <v>Auditoria</v>
      </c>
      <c r="Z12" s="25" t="str">
        <v>Virtual</v>
      </c>
      <c r="AA12" s="37" t="n">
        <v>40</v>
      </c>
      <c r="AB12" s="37" t="n">
        <v>27</v>
      </c>
      <c r="AC12" s="26" t="n">
        <v>0.675</v>
      </c>
      <c r="AE12" s="25" t="n">
        <v>2023</v>
      </c>
      <c r="AF12" s="25" t="str">
        <v>Virtual</v>
      </c>
      <c r="AG12" s="37" t="n">
        <v>342</v>
      </c>
      <c r="AH12" s="26" t="n">
        <v>0.934426229508197</v>
      </c>
      <c r="AI12" s="37" t="n">
        <v>244</v>
      </c>
      <c r="AJ12" s="26" t="n">
        <v>0.713450292397661</v>
      </c>
      <c r="AL12" s="25" t="n">
        <v>2023</v>
      </c>
      <c r="AM12" s="25" t="str">
        <v>NB</v>
      </c>
      <c r="AN12" s="37" t="n">
        <v>0</v>
      </c>
      <c r="AO12" s="37" t="n">
        <v>0</v>
      </c>
      <c r="AP12" s="26" t="str">
        <v/>
      </c>
      <c r="AR12" s="25" t="n">
        <v>2023</v>
      </c>
      <c r="AS12" s="25" t="str">
        <v>Menos de 20</v>
      </c>
      <c r="AT12" s="37" t="n">
        <v>15</v>
      </c>
      <c r="AU12" s="37" t="n">
        <v>11</v>
      </c>
      <c r="AV12" s="26" t="n">
        <v>0.733333333333333</v>
      </c>
      <c r="BH12" s="25" t="str">
        <v/>
      </c>
      <c r="BI12" s="25" t="str">
        <v/>
      </c>
      <c r="BJ12" s="37" t="str">
        <v/>
      </c>
      <c r="BK12" s="37" t="str">
        <v/>
      </c>
      <c r="BL12" s="26" t="str">
        <v/>
      </c>
      <c r="BN12" s="25" t="str">
        <v>Tecnico En Ciberseguridad</v>
      </c>
      <c r="BO12" s="25" t="str">
        <v>Tecnologías</v>
      </c>
      <c r="BP12" s="37" t="n">
        <v>239</v>
      </c>
      <c r="BQ12" s="37" t="n">
        <v>155</v>
      </c>
      <c r="BR12" s="26" t="n">
        <v>0.648535564853557</v>
      </c>
      <c r="BT12" s="25" t="str">
        <v>Ingenieria En Ciberseguridad</v>
      </c>
      <c r="BU12" s="25" t="str">
        <v>A distancia</v>
      </c>
      <c r="BV12" s="37" t="n">
        <v>211</v>
      </c>
      <c r="BW12" s="37" t="n">
        <v>130</v>
      </c>
      <c r="BX12" s="26" t="n">
        <v>0.616113744075829</v>
      </c>
      <c r="CO12" s="25" t="str">
        <v>Sexo (H/M; NB se muestra aparte por tamaño muestral)</v>
      </c>
      <c r="CP12" s="25" t="str">
        <v>Mujer</v>
      </c>
      <c r="CQ12" s="26" t="n">
        <v>0.626229508196721</v>
      </c>
      <c r="CR12" s="25" t="str">
        <v>Hombre</v>
      </c>
      <c r="CS12" s="26" t="n">
        <v>0.618778280542986</v>
      </c>
    </row>
    <row r="13" customFormat="false" ht="15" hidden="false" customHeight="true" outlineLevel="0" collapsed="false">
      <c r="A13" s="5"/>
      <c r="B13" s="22" t="str">
        <v>Administración y Comercio</v>
      </c>
      <c r="C13" s="22" t="n">
        <v>2024</v>
      </c>
      <c r="D13" s="36" t="n">
        <v>61</v>
      </c>
      <c r="E13" s="36" t="n">
        <v>27</v>
      </c>
      <c r="F13" s="23" t="n">
        <v>0.442622950819672</v>
      </c>
      <c r="X13" s="22" t="str">
        <v>Administración y Comercio</v>
      </c>
      <c r="Y13" s="22" t="str">
        <v>Contabilidad General</v>
      </c>
      <c r="Z13" s="22" t="str">
        <v>Presencial-Diurno</v>
      </c>
      <c r="AA13" s="36" t="n">
        <v>0</v>
      </c>
      <c r="AB13" s="36" t="n">
        <v>0</v>
      </c>
      <c r="AC13" s="23" t="str">
        <v/>
      </c>
      <c r="AE13" s="22" t="n">
        <v>2024</v>
      </c>
      <c r="AF13" s="22" t="str">
        <v>Presencial-Diurno</v>
      </c>
      <c r="AG13" s="36" t="n">
        <v>52</v>
      </c>
      <c r="AH13" s="23" t="n">
        <v>0.0931899641577061</v>
      </c>
      <c r="AI13" s="36" t="n">
        <v>37</v>
      </c>
      <c r="AJ13" s="23" t="n">
        <v>0.711538461538462</v>
      </c>
      <c r="AL13" s="22" t="n">
        <v>2024</v>
      </c>
      <c r="AM13" s="22" t="str">
        <v>H</v>
      </c>
      <c r="AN13" s="36" t="n">
        <v>456</v>
      </c>
      <c r="AO13" s="36" t="n">
        <v>264</v>
      </c>
      <c r="AP13" s="23" t="n">
        <v>0.578947368421053</v>
      </c>
      <c r="AR13" s="22" t="n">
        <v>2023</v>
      </c>
      <c r="AS13" s="22" t="str">
        <v>20-24</v>
      </c>
      <c r="AT13" s="36" t="n">
        <v>54</v>
      </c>
      <c r="AU13" s="36" t="n">
        <v>30</v>
      </c>
      <c r="AV13" s="23" t="n">
        <v>0.555555555555556</v>
      </c>
      <c r="BH13" s="22" t="str">
        <v/>
      </c>
      <c r="BI13" s="22" t="str">
        <v/>
      </c>
      <c r="BJ13" s="36" t="str">
        <v/>
      </c>
      <c r="BK13" s="36" t="str">
        <v/>
      </c>
      <c r="BL13" s="23" t="str">
        <v/>
      </c>
      <c r="BN13" s="22" t="str">
        <v>Ingenieria En Logistica</v>
      </c>
      <c r="BO13" s="22" t="str">
        <v>Administración y Comercio</v>
      </c>
      <c r="BP13" s="36" t="n">
        <v>76</v>
      </c>
      <c r="BQ13" s="36" t="n">
        <v>44</v>
      </c>
      <c r="BR13" s="23" t="n">
        <v>0.578947368421053</v>
      </c>
      <c r="BT13" s="22" t="str">
        <v>Ingenieria En Ciberseguridad</v>
      </c>
      <c r="BU13" s="22" t="str">
        <v>Presencial</v>
      </c>
      <c r="BV13" s="36" t="n">
        <v>92</v>
      </c>
      <c r="BW13" s="36" t="n">
        <v>68</v>
      </c>
      <c r="BX13" s="23" t="n">
        <v>0.739130434782609</v>
      </c>
      <c r="CO13" s="22" t="str">
        <v>Tramo de Edad</v>
      </c>
      <c r="CP13" s="22" t="str">
        <v>20-24</v>
      </c>
      <c r="CQ13" s="23" t="n">
        <v>0.704188481675393</v>
      </c>
      <c r="CR13" s="22" t="str">
        <v>40+</v>
      </c>
      <c r="CS13" s="23" t="n">
        <v>0.562310030395137</v>
      </c>
    </row>
    <row r="14" customFormat="false" ht="15" hidden="false" customHeight="true" outlineLevel="0" collapsed="false">
      <c r="A14" s="5"/>
      <c r="B14" s="25" t="str">
        <v>Administración y Comercio</v>
      </c>
      <c r="C14" s="25" t="n">
        <v>2025</v>
      </c>
      <c r="D14" s="37" t="n">
        <v>477</v>
      </c>
      <c r="E14" s="37" t="n">
        <v>252</v>
      </c>
      <c r="F14" s="26" t="n">
        <v>0.528301886792453</v>
      </c>
      <c r="X14" s="25" t="str">
        <v>Administración y Comercio</v>
      </c>
      <c r="Y14" s="25" t="str">
        <v>Contabilidad General</v>
      </c>
      <c r="Z14" s="25" t="str">
        <v>Presencial-Vespertino</v>
      </c>
      <c r="AA14" s="37" t="n">
        <v>0</v>
      </c>
      <c r="AB14" s="37" t="n">
        <v>0</v>
      </c>
      <c r="AC14" s="26" t="str">
        <v/>
      </c>
      <c r="AE14" s="25" t="n">
        <v>2024</v>
      </c>
      <c r="AF14" s="25" t="str">
        <v>Presencial-Vespertino</v>
      </c>
      <c r="AG14" s="37" t="n">
        <v>84</v>
      </c>
      <c r="AH14" s="26" t="n">
        <v>0.150537634408602</v>
      </c>
      <c r="AI14" s="37" t="n">
        <v>42</v>
      </c>
      <c r="AJ14" s="26" t="n">
        <v>0.5</v>
      </c>
      <c r="AL14" s="25" t="n">
        <v>2024</v>
      </c>
      <c r="AM14" s="25" t="str">
        <v>M</v>
      </c>
      <c r="AN14" s="37" t="n">
        <v>102</v>
      </c>
      <c r="AO14" s="37" t="n">
        <v>62</v>
      </c>
      <c r="AP14" s="26" t="n">
        <v>0.607843137254902</v>
      </c>
      <c r="AR14" s="25" t="n">
        <v>2023</v>
      </c>
      <c r="AS14" s="25" t="str">
        <v>25-29</v>
      </c>
      <c r="AT14" s="37" t="n">
        <v>102</v>
      </c>
      <c r="AU14" s="37" t="n">
        <v>75</v>
      </c>
      <c r="AV14" s="26" t="n">
        <v>0.735294117647059</v>
      </c>
      <c r="BH14" s="25" t="str">
        <v/>
      </c>
      <c r="BI14" s="25" t="str">
        <v/>
      </c>
      <c r="BJ14" s="37" t="str">
        <v/>
      </c>
      <c r="BK14" s="37" t="str">
        <v/>
      </c>
      <c r="BL14" s="26" t="str">
        <v/>
      </c>
      <c r="BN14" s="25" t="str">
        <v>Tecnico En Ciencia De Datos</v>
      </c>
      <c r="BO14" s="25" t="str">
        <v>Tecnologías</v>
      </c>
      <c r="BP14" s="37" t="n">
        <v>23</v>
      </c>
      <c r="BQ14" s="37" t="n">
        <v>13</v>
      </c>
      <c r="BR14" s="26" t="n">
        <v>0.565217391304348</v>
      </c>
      <c r="BT14" s="25" t="str">
        <v>Ingenieria En Ciencia De Datos</v>
      </c>
      <c r="BU14" s="25" t="str">
        <v>A distancia</v>
      </c>
      <c r="BV14" s="37" t="n">
        <v>40</v>
      </c>
      <c r="BW14" s="37" t="n">
        <v>21</v>
      </c>
      <c r="BX14" s="26" t="n">
        <v>0.525</v>
      </c>
    </row>
    <row r="15" customFormat="false" ht="15" hidden="false" customHeight="true" outlineLevel="0" collapsed="false">
      <c r="A15" s="5"/>
      <c r="B15" s="22" t="str">
        <v>Salud</v>
      </c>
      <c r="C15" s="22" t="n">
        <v>2022</v>
      </c>
      <c r="D15" s="36" t="n">
        <v>0</v>
      </c>
      <c r="E15" s="36" t="n">
        <v>0</v>
      </c>
      <c r="F15" s="23" t="str">
        <v/>
      </c>
      <c r="X15" s="22" t="str">
        <v>Administración y Comercio</v>
      </c>
      <c r="Y15" s="22" t="str">
        <v>Contabilidad General</v>
      </c>
      <c r="Z15" s="22" t="str">
        <v>Virtual</v>
      </c>
      <c r="AA15" s="36" t="n">
        <v>38</v>
      </c>
      <c r="AB15" s="36" t="n">
        <v>19</v>
      </c>
      <c r="AC15" s="23" t="n">
        <v>0.5</v>
      </c>
      <c r="AE15" s="22" t="n">
        <v>2024</v>
      </c>
      <c r="AF15" s="22" t="str">
        <v>Virtual</v>
      </c>
      <c r="AG15" s="36" t="n">
        <v>422</v>
      </c>
      <c r="AH15" s="23" t="n">
        <v>0.756272401433692</v>
      </c>
      <c r="AI15" s="36" t="n">
        <v>247</v>
      </c>
      <c r="AJ15" s="23" t="n">
        <v>0.585308056872038</v>
      </c>
      <c r="AL15" s="22" t="n">
        <v>2024</v>
      </c>
      <c r="AM15" s="22" t="str">
        <v>NB</v>
      </c>
      <c r="AN15" s="36" t="n">
        <v>0</v>
      </c>
      <c r="AO15" s="36" t="n">
        <v>0</v>
      </c>
      <c r="AP15" s="23" t="str">
        <v/>
      </c>
      <c r="AR15" s="22" t="n">
        <v>2023</v>
      </c>
      <c r="AS15" s="22" t="str">
        <v>30-39</v>
      </c>
      <c r="AT15" s="36" t="n">
        <v>159</v>
      </c>
      <c r="AU15" s="36" t="n">
        <v>115</v>
      </c>
      <c r="AV15" s="23" t="n">
        <v>0.723270440251572</v>
      </c>
      <c r="BH15" s="22" t="str">
        <v/>
      </c>
      <c r="BI15" s="22" t="str">
        <v/>
      </c>
      <c r="BJ15" s="36" t="str">
        <v/>
      </c>
      <c r="BK15" s="36" t="str">
        <v/>
      </c>
      <c r="BL15" s="23" t="str">
        <v/>
      </c>
      <c r="BN15" s="22" t="str">
        <v>Tecnico En Conectividad Y Redes</v>
      </c>
      <c r="BO15" s="22" t="str">
        <v>Tecnologías</v>
      </c>
      <c r="BP15" s="36" t="n">
        <v>124</v>
      </c>
      <c r="BQ15" s="36" t="n">
        <v>70</v>
      </c>
      <c r="BR15" s="23" t="n">
        <v>0.564516129032258</v>
      </c>
      <c r="BT15" s="22" t="str">
        <v>Ingenieria En Conectividad Y Redes</v>
      </c>
      <c r="BU15" s="22" t="str">
        <v>A distancia</v>
      </c>
      <c r="BV15" s="36" t="n">
        <v>212</v>
      </c>
      <c r="BW15" s="36" t="n">
        <v>150</v>
      </c>
      <c r="BX15" s="23" t="n">
        <v>0.707547169811321</v>
      </c>
    </row>
    <row r="16" customFormat="false" ht="15" hidden="false" customHeight="true" outlineLevel="0" collapsed="false">
      <c r="A16" s="5"/>
      <c r="B16" s="25" t="str">
        <v>Salud</v>
      </c>
      <c r="C16" s="25" t="n">
        <v>2023</v>
      </c>
      <c r="D16" s="37" t="n">
        <v>0</v>
      </c>
      <c r="E16" s="37" t="n">
        <v>0</v>
      </c>
      <c r="F16" s="26" t="str">
        <v/>
      </c>
      <c r="X16" s="25" t="str">
        <v>Administración y Comercio</v>
      </c>
      <c r="Y16" s="25" t="str">
        <v>Ingenieria En Administracion De Empresas</v>
      </c>
      <c r="Z16" s="25" t="str">
        <v>Presencial-Diurno</v>
      </c>
      <c r="AA16" s="37" t="n">
        <v>0</v>
      </c>
      <c r="AB16" s="37" t="n">
        <v>0</v>
      </c>
      <c r="AC16" s="26" t="str">
        <v/>
      </c>
      <c r="AE16" s="25" t="n">
        <v>2025</v>
      </c>
      <c r="AF16" s="25" t="str">
        <v>Presencial-Diurno</v>
      </c>
      <c r="AG16" s="37" t="n">
        <v>89</v>
      </c>
      <c r="AH16" s="26" t="n">
        <v>0.0773913043478261</v>
      </c>
      <c r="AI16" s="37" t="n">
        <v>62</v>
      </c>
      <c r="AJ16" s="26" t="n">
        <v>0.696629213483146</v>
      </c>
      <c r="AL16" s="25" t="n">
        <v>2025</v>
      </c>
      <c r="AM16" s="25" t="str">
        <v>H</v>
      </c>
      <c r="AN16" s="37" t="n">
        <v>730</v>
      </c>
      <c r="AO16" s="37" t="n">
        <v>414</v>
      </c>
      <c r="AP16" s="26" t="n">
        <v>0.567123287671233</v>
      </c>
      <c r="AR16" s="25" t="n">
        <v>2023</v>
      </c>
      <c r="AS16" s="25" t="str">
        <v>40+</v>
      </c>
      <c r="AT16" s="37" t="n">
        <v>36</v>
      </c>
      <c r="AU16" s="37" t="n">
        <v>27</v>
      </c>
      <c r="AV16" s="26" t="n">
        <v>0.75</v>
      </c>
      <c r="BH16" s="25" t="str">
        <v/>
      </c>
      <c r="BI16" s="25" t="str">
        <v/>
      </c>
      <c r="BJ16" s="37" t="str">
        <v/>
      </c>
      <c r="BK16" s="37" t="str">
        <v/>
      </c>
      <c r="BL16" s="26" t="str">
        <v/>
      </c>
      <c r="BN16" s="25" t="str">
        <v>Tecnico En Logistica</v>
      </c>
      <c r="BO16" s="25" t="str">
        <v>Administración y Comercio</v>
      </c>
      <c r="BP16" s="37" t="n">
        <v>105</v>
      </c>
      <c r="BQ16" s="37" t="n">
        <v>57</v>
      </c>
      <c r="BR16" s="26" t="n">
        <v>0.542857142857143</v>
      </c>
      <c r="BT16" s="25" t="str">
        <v>Ingenieria En Conectividad Y Redes</v>
      </c>
      <c r="BU16" s="25" t="str">
        <v>Presencial</v>
      </c>
      <c r="BV16" s="37" t="n">
        <v>25</v>
      </c>
      <c r="BW16" s="37" t="n">
        <v>19</v>
      </c>
      <c r="BX16" s="26" t="n">
        <v>0.76</v>
      </c>
    </row>
    <row r="17" customFormat="false" ht="15" hidden="false" customHeight="true" outlineLevel="0" collapsed="false">
      <c r="A17" s="5"/>
      <c r="B17" s="22" t="str">
        <v>Salud</v>
      </c>
      <c r="C17" s="22" t="n">
        <v>2024</v>
      </c>
      <c r="D17" s="36" t="n">
        <v>0</v>
      </c>
      <c r="E17" s="36" t="n">
        <v>0</v>
      </c>
      <c r="F17" s="23" t="str">
        <v/>
      </c>
      <c r="X17" s="22" t="str">
        <v>Administración y Comercio</v>
      </c>
      <c r="Y17" s="22" t="str">
        <v>Ingenieria En Administracion De Empresas</v>
      </c>
      <c r="Z17" s="22" t="str">
        <v>Presencial-Vespertino</v>
      </c>
      <c r="AA17" s="36" t="n">
        <v>20</v>
      </c>
      <c r="AB17" s="36" t="n">
        <v>7</v>
      </c>
      <c r="AC17" s="23" t="n">
        <v>0.35</v>
      </c>
      <c r="AE17" s="22" t="n">
        <v>2025</v>
      </c>
      <c r="AF17" s="22" t="str">
        <v>Presencial-Vespertino</v>
      </c>
      <c r="AG17" s="36" t="n">
        <v>151</v>
      </c>
      <c r="AH17" s="23" t="n">
        <v>0.131304347826087</v>
      </c>
      <c r="AI17" s="36" t="n">
        <v>73</v>
      </c>
      <c r="AJ17" s="23" t="n">
        <v>0.483443708609272</v>
      </c>
      <c r="AL17" s="22" t="n">
        <v>2025</v>
      </c>
      <c r="AM17" s="22" t="str">
        <v>M</v>
      </c>
      <c r="AN17" s="36" t="n">
        <v>419</v>
      </c>
      <c r="AO17" s="36" t="n">
        <v>254</v>
      </c>
      <c r="AP17" s="23" t="n">
        <v>0.606205250596659</v>
      </c>
      <c r="AR17" s="22" t="n">
        <v>2024</v>
      </c>
      <c r="AS17" s="22" t="str">
        <v>Menos de 20</v>
      </c>
      <c r="AT17" s="36" t="n">
        <v>22</v>
      </c>
      <c r="AU17" s="36" t="n">
        <v>12</v>
      </c>
      <c r="AV17" s="23" t="n">
        <v>0.545454545454545</v>
      </c>
      <c r="BN17" s="22" t="str">
        <v>Ingenieria En Ciencia De Datos</v>
      </c>
      <c r="BO17" s="22" t="str">
        <v>Tecnologías</v>
      </c>
      <c r="BP17" s="36" t="n">
        <v>40</v>
      </c>
      <c r="BQ17" s="36" t="n">
        <v>21</v>
      </c>
      <c r="BR17" s="23" t="n">
        <v>0.525</v>
      </c>
      <c r="BT17" s="22" t="str">
        <v>Ingenieria En Informatica</v>
      </c>
      <c r="BU17" s="22" t="str">
        <v>A distancia</v>
      </c>
      <c r="BV17" s="36" t="n">
        <v>256</v>
      </c>
      <c r="BW17" s="36" t="n">
        <v>172</v>
      </c>
      <c r="BX17" s="23" t="n">
        <v>0.671875</v>
      </c>
    </row>
    <row r="18" customFormat="false" ht="15" hidden="false" customHeight="true" outlineLevel="0" collapsed="false">
      <c r="A18" s="5"/>
      <c r="B18" s="25" t="str">
        <v>Salud</v>
      </c>
      <c r="C18" s="25" t="n">
        <v>2025</v>
      </c>
      <c r="D18" s="37" t="n">
        <v>75</v>
      </c>
      <c r="E18" s="37" t="n">
        <v>35</v>
      </c>
      <c r="F18" s="26" t="n">
        <v>0.466666666666667</v>
      </c>
      <c r="X18" s="25" t="str">
        <v>Administración y Comercio</v>
      </c>
      <c r="Y18" s="25" t="str">
        <v>Ingenieria En Administracion De Empresas</v>
      </c>
      <c r="Z18" s="25" t="str">
        <v>Virtual</v>
      </c>
      <c r="AA18" s="37" t="n">
        <v>79</v>
      </c>
      <c r="AB18" s="37" t="n">
        <v>42</v>
      </c>
      <c r="AC18" s="26" t="n">
        <v>0.531645569620253</v>
      </c>
      <c r="AE18" s="25" t="n">
        <v>2025</v>
      </c>
      <c r="AF18" s="25" t="str">
        <v>Virtual</v>
      </c>
      <c r="AG18" s="37" t="n">
        <v>910</v>
      </c>
      <c r="AH18" s="26" t="n">
        <v>0.791304347826087</v>
      </c>
      <c r="AI18" s="37" t="n">
        <v>533</v>
      </c>
      <c r="AJ18" s="26" t="n">
        <v>0.585714285714286</v>
      </c>
      <c r="AL18" s="25" t="n">
        <v>2025</v>
      </c>
      <c r="AM18" s="25" t="str">
        <v>NB</v>
      </c>
      <c r="AN18" s="37" t="n">
        <v>1</v>
      </c>
      <c r="AO18" s="37" t="n">
        <v>0</v>
      </c>
      <c r="AP18" s="26" t="n">
        <v>0</v>
      </c>
      <c r="AR18" s="25" t="n">
        <v>2024</v>
      </c>
      <c r="AS18" s="25" t="str">
        <v>20-24</v>
      </c>
      <c r="AT18" s="37" t="n">
        <v>85</v>
      </c>
      <c r="AU18" s="37" t="n">
        <v>50</v>
      </c>
      <c r="AV18" s="26" t="n">
        <v>0.588235294117647</v>
      </c>
      <c r="BN18" s="25" t="str">
        <v>Tecnico En Administracion Publica</v>
      </c>
      <c r="BO18" s="25" t="str">
        <v>Administración y Comercio</v>
      </c>
      <c r="BP18" s="37" t="n">
        <v>22</v>
      </c>
      <c r="BQ18" s="37" t="n">
        <v>11</v>
      </c>
      <c r="BR18" s="26" t="n">
        <v>0.5</v>
      </c>
      <c r="BT18" s="25" t="str">
        <v>Ingenieria En Informatica</v>
      </c>
      <c r="BU18" s="25" t="str">
        <v>Presencial</v>
      </c>
      <c r="BV18" s="37" t="n">
        <v>78</v>
      </c>
      <c r="BW18" s="37" t="n">
        <v>51</v>
      </c>
      <c r="BX18" s="26" t="n">
        <v>0.653846153846154</v>
      </c>
    </row>
    <row r="19" customFormat="false" ht="15" hidden="false" customHeight="true" outlineLevel="0" collapsed="false">
      <c r="A19" s="5"/>
      <c r="X19" s="22" t="str">
        <v>Tecnologías</v>
      </c>
      <c r="Y19" s="22" t="str">
        <v>Ingenieria En Ciberseguridad</v>
      </c>
      <c r="Z19" s="22" t="str">
        <v>Presencial-Diurno</v>
      </c>
      <c r="AA19" s="36" t="n">
        <v>44</v>
      </c>
      <c r="AB19" s="36" t="n">
        <v>35</v>
      </c>
      <c r="AC19" s="23" t="n">
        <v>0.795454545454545</v>
      </c>
      <c r="AR19" s="22" t="n">
        <v>2024</v>
      </c>
      <c r="AS19" s="22" t="str">
        <v>25-29</v>
      </c>
      <c r="AT19" s="36" t="n">
        <v>138</v>
      </c>
      <c r="AU19" s="36" t="n">
        <v>95</v>
      </c>
      <c r="AV19" s="23" t="n">
        <v>0.688405797101449</v>
      </c>
      <c r="BN19" s="22" t="str">
        <v>Contabilidad General</v>
      </c>
      <c r="BO19" s="22" t="str">
        <v>Administración y Comercio</v>
      </c>
      <c r="BP19" s="36" t="n">
        <v>38</v>
      </c>
      <c r="BQ19" s="36" t="n">
        <v>19</v>
      </c>
      <c r="BR19" s="23" t="n">
        <v>0.5</v>
      </c>
      <c r="BT19" s="22" t="str">
        <v>Ingenieria En Logistica</v>
      </c>
      <c r="BU19" s="22" t="str">
        <v>A distancia</v>
      </c>
      <c r="BV19" s="36" t="n">
        <v>61</v>
      </c>
      <c r="BW19" s="36" t="n">
        <v>37</v>
      </c>
      <c r="BX19" s="23" t="n">
        <v>0.60655737704918</v>
      </c>
    </row>
    <row r="20" customFormat="false" ht="15" hidden="false" customHeight="true" outlineLevel="0" collapsed="false">
      <c r="A20" s="5"/>
      <c r="X20" s="25" t="str">
        <v>Tecnologías</v>
      </c>
      <c r="Y20" s="25" t="str">
        <v>Ingenieria En Ciberseguridad</v>
      </c>
      <c r="Z20" s="25" t="str">
        <v>Presencial-Vespertino</v>
      </c>
      <c r="AA20" s="37" t="n">
        <v>48</v>
      </c>
      <c r="AB20" s="37" t="n">
        <v>33</v>
      </c>
      <c r="AC20" s="26" t="n">
        <v>0.6875</v>
      </c>
      <c r="AR20" s="25" t="n">
        <v>2024</v>
      </c>
      <c r="AS20" s="25" t="str">
        <v>30-39</v>
      </c>
      <c r="AT20" s="37" t="n">
        <v>233</v>
      </c>
      <c r="AU20" s="37" t="n">
        <v>128</v>
      </c>
      <c r="AV20" s="26" t="n">
        <v>0.549356223175966</v>
      </c>
      <c r="BN20" s="25" t="str">
        <v>Ingenieria En Administracion De Empresas</v>
      </c>
      <c r="BO20" s="25" t="str">
        <v>Administración y Comercio</v>
      </c>
      <c r="BP20" s="37" t="n">
        <v>99</v>
      </c>
      <c r="BQ20" s="37" t="n">
        <v>49</v>
      </c>
      <c r="BR20" s="26" t="n">
        <v>0.494949494949495</v>
      </c>
      <c r="BT20" s="25" t="str">
        <v>Ingenieria En Logistica</v>
      </c>
      <c r="BU20" s="25" t="str">
        <v>Presencial</v>
      </c>
      <c r="BV20" s="37" t="n">
        <v>15</v>
      </c>
      <c r="BW20" s="37" t="n">
        <v>7</v>
      </c>
      <c r="BX20" s="26" t="n">
        <v>0.466666666666667</v>
      </c>
    </row>
    <row r="21" customFormat="false" ht="15" hidden="false" customHeight="true" outlineLevel="0" collapsed="false">
      <c r="A21" s="5"/>
      <c r="X21" s="22" t="str">
        <v>Tecnologías</v>
      </c>
      <c r="Y21" s="22" t="str">
        <v>Ingenieria En Ciberseguridad</v>
      </c>
      <c r="Z21" s="22" t="str">
        <v>Virtual</v>
      </c>
      <c r="AA21" s="36" t="n">
        <v>211</v>
      </c>
      <c r="AB21" s="36" t="n">
        <v>130</v>
      </c>
      <c r="AC21" s="23" t="n">
        <v>0.616113744075829</v>
      </c>
      <c r="AR21" s="22" t="n">
        <v>2024</v>
      </c>
      <c r="AS21" s="22" t="str">
        <v>40+</v>
      </c>
      <c r="AT21" s="36" t="n">
        <v>80</v>
      </c>
      <c r="AU21" s="36" t="n">
        <v>41</v>
      </c>
      <c r="AV21" s="23" t="n">
        <v>0.5125</v>
      </c>
      <c r="BN21" s="22" t="str">
        <v>Administracion Publica</v>
      </c>
      <c r="BO21" s="22" t="str">
        <v>Administración y Comercio</v>
      </c>
      <c r="BP21" s="36" t="n">
        <v>70</v>
      </c>
      <c r="BQ21" s="36" t="n">
        <v>33</v>
      </c>
      <c r="BR21" s="23" t="n">
        <v>0.471428571428571</v>
      </c>
      <c r="BT21" s="22" t="str">
        <v>Tecnico En Administracion De Empresas</v>
      </c>
      <c r="BU21" s="22" t="str">
        <v>A distancia</v>
      </c>
      <c r="BV21" s="36" t="n">
        <v>72</v>
      </c>
      <c r="BW21" s="36" t="n">
        <v>34</v>
      </c>
      <c r="BX21" s="23" t="n">
        <v>0.472222222222222</v>
      </c>
    </row>
    <row r="22" customFormat="false" ht="15" hidden="false" customHeight="true" outlineLevel="0" collapsed="false">
      <c r="A22" s="5"/>
      <c r="X22" s="25" t="str">
        <v>Tecnologías</v>
      </c>
      <c r="Y22" s="25" t="str">
        <v>Ingenieria En Ciencia De Datos</v>
      </c>
      <c r="Z22" s="25" t="str">
        <v>Presencial-Diurno</v>
      </c>
      <c r="AA22" s="37" t="n">
        <v>0</v>
      </c>
      <c r="AB22" s="37" t="n">
        <v>0</v>
      </c>
      <c r="AC22" s="26" t="str">
        <v/>
      </c>
      <c r="AR22" s="25" t="n">
        <v>2025</v>
      </c>
      <c r="AS22" s="25" t="str">
        <v>Menos de 20</v>
      </c>
      <c r="AT22" s="37" t="n">
        <v>43</v>
      </c>
      <c r="AU22" s="37" t="n">
        <v>31</v>
      </c>
      <c r="AV22" s="26" t="n">
        <v>0.72093023255814</v>
      </c>
      <c r="BN22" s="25" t="str">
        <v>Tecnico En Enfermeria</v>
      </c>
      <c r="BO22" s="25" t="str">
        <v>Salud</v>
      </c>
      <c r="BP22" s="37" t="n">
        <v>75</v>
      </c>
      <c r="BQ22" s="37" t="n">
        <v>35</v>
      </c>
      <c r="BR22" s="26" t="n">
        <v>0.466666666666667</v>
      </c>
      <c r="BT22" s="25" t="str">
        <v>Tecnico En Administracion De Empresas</v>
      </c>
      <c r="BU22" s="25" t="str">
        <v>Presencial</v>
      </c>
      <c r="BV22" s="37" t="n">
        <v>16</v>
      </c>
      <c r="BW22" s="37" t="n">
        <v>5</v>
      </c>
      <c r="BX22" s="26" t="n">
        <v>0.3125</v>
      </c>
    </row>
    <row r="23" customFormat="false" ht="15" hidden="false" customHeight="true" outlineLevel="0" collapsed="false">
      <c r="A23" s="5"/>
      <c r="X23" s="22" t="str">
        <v>Tecnologías</v>
      </c>
      <c r="Y23" s="22" t="str">
        <v>Ingenieria En Ciencia De Datos</v>
      </c>
      <c r="Z23" s="22" t="str">
        <v>Presencial-Vespertino</v>
      </c>
      <c r="AA23" s="36" t="n">
        <v>0</v>
      </c>
      <c r="AB23" s="36" t="n">
        <v>0</v>
      </c>
      <c r="AC23" s="23" t="str">
        <v/>
      </c>
      <c r="AR23" s="22" t="n">
        <v>2025</v>
      </c>
      <c r="AS23" s="22" t="str">
        <v>20-24</v>
      </c>
      <c r="AT23" s="36" t="n">
        <v>190</v>
      </c>
      <c r="AU23" s="36" t="n">
        <v>147</v>
      </c>
      <c r="AV23" s="23" t="n">
        <v>0.773684210526316</v>
      </c>
      <c r="BN23" s="22" t="str">
        <v>Tecnico En Administracion De Empresas</v>
      </c>
      <c r="BO23" s="22" t="str">
        <v>Administración y Comercio</v>
      </c>
      <c r="BP23" s="36" t="n">
        <v>88</v>
      </c>
      <c r="BQ23" s="36" t="n">
        <v>39</v>
      </c>
      <c r="BR23" s="23" t="n">
        <v>0.443181818181818</v>
      </c>
      <c r="BT23" s="22" t="str">
        <v>Tecnico En Administracion Publica</v>
      </c>
      <c r="BU23" s="22" t="str">
        <v>A distancia</v>
      </c>
      <c r="BV23" s="36" t="n">
        <v>22</v>
      </c>
      <c r="BW23" s="36" t="n">
        <v>11</v>
      </c>
      <c r="BX23" s="23" t="n">
        <v>0.5</v>
      </c>
    </row>
    <row r="24" customFormat="false" ht="15" hidden="false" customHeight="true" outlineLevel="0" collapsed="false">
      <c r="A24" s="5"/>
      <c r="X24" s="25" t="str">
        <v>Tecnologías</v>
      </c>
      <c r="Y24" s="25" t="str">
        <v>Ingenieria En Ciencia De Datos</v>
      </c>
      <c r="Z24" s="25" t="str">
        <v>Virtual</v>
      </c>
      <c r="AA24" s="37" t="n">
        <v>40</v>
      </c>
      <c r="AB24" s="37" t="n">
        <v>21</v>
      </c>
      <c r="AC24" s="26" t="n">
        <v>0.525</v>
      </c>
      <c r="AR24" s="25" t="n">
        <v>2025</v>
      </c>
      <c r="AS24" s="25" t="str">
        <v>25-29</v>
      </c>
      <c r="AT24" s="37" t="n">
        <v>283</v>
      </c>
      <c r="AU24" s="37" t="n">
        <v>151</v>
      </c>
      <c r="AV24" s="26" t="n">
        <v>0.53356890459364</v>
      </c>
      <c r="BT24" s="25" t="str">
        <v>Tecnico En Ciberseguridad</v>
      </c>
      <c r="BU24" s="25" t="str">
        <v>A distancia</v>
      </c>
      <c r="BV24" s="37" t="n">
        <v>192</v>
      </c>
      <c r="BW24" s="37" t="n">
        <v>122</v>
      </c>
      <c r="BX24" s="26" t="n">
        <v>0.635416666666667</v>
      </c>
    </row>
    <row r="25" customFormat="false" ht="15" hidden="false" customHeight="true" outlineLevel="0" collapsed="false">
      <c r="A25" s="5"/>
      <c r="X25" s="22" t="str">
        <v>Tecnologías</v>
      </c>
      <c r="Y25" s="22" t="str">
        <v>Ingenieria En Conectividad Y Redes</v>
      </c>
      <c r="Z25" s="22" t="str">
        <v>Presencial-Diurno</v>
      </c>
      <c r="AA25" s="36" t="n">
        <v>0</v>
      </c>
      <c r="AB25" s="36" t="n">
        <v>0</v>
      </c>
      <c r="AC25" s="23" t="str">
        <v/>
      </c>
      <c r="AR25" s="22" t="n">
        <v>2025</v>
      </c>
      <c r="AS25" s="22" t="str">
        <v>30-39</v>
      </c>
      <c r="AT25" s="36" t="n">
        <v>457</v>
      </c>
      <c r="AU25" s="36" t="n">
        <v>252</v>
      </c>
      <c r="AV25" s="23" t="n">
        <v>0.551422319474836</v>
      </c>
      <c r="BT25" s="22" t="str">
        <v>Tecnico En Ciberseguridad</v>
      </c>
      <c r="BU25" s="22" t="str">
        <v>Presencial</v>
      </c>
      <c r="BV25" s="36" t="n">
        <v>47</v>
      </c>
      <c r="BW25" s="36" t="n">
        <v>33</v>
      </c>
      <c r="BX25" s="23" t="n">
        <v>0.702127659574468</v>
      </c>
    </row>
    <row r="26" customFormat="false" ht="15" hidden="false" customHeight="true" outlineLevel="0" collapsed="false">
      <c r="A26" s="5"/>
      <c r="X26" s="25" t="str">
        <v>Tecnologías</v>
      </c>
      <c r="Y26" s="25" t="str">
        <v>Ingenieria En Conectividad Y Redes</v>
      </c>
      <c r="Z26" s="25" t="str">
        <v>Presencial-Vespertino</v>
      </c>
      <c r="AA26" s="37" t="n">
        <v>25</v>
      </c>
      <c r="AB26" s="37" t="n">
        <v>19</v>
      </c>
      <c r="AC26" s="26" t="n">
        <v>0.76</v>
      </c>
      <c r="AR26" s="25" t="n">
        <v>2025</v>
      </c>
      <c r="AS26" s="25" t="str">
        <v>40+</v>
      </c>
      <c r="AT26" s="37" t="n">
        <v>177</v>
      </c>
      <c r="AU26" s="37" t="n">
        <v>87</v>
      </c>
      <c r="AV26" s="26" t="n">
        <v>0.491525423728814</v>
      </c>
      <c r="BT26" s="25" t="str">
        <v>Tecnico En Ciencia De Datos</v>
      </c>
      <c r="BU26" s="25" t="str">
        <v>A distancia</v>
      </c>
      <c r="BV26" s="37" t="n">
        <v>23</v>
      </c>
      <c r="BW26" s="37" t="n">
        <v>13</v>
      </c>
      <c r="BX26" s="26" t="n">
        <v>0.565217391304348</v>
      </c>
    </row>
    <row r="27" customFormat="false" ht="15" hidden="false" customHeight="true" outlineLevel="0" collapsed="false">
      <c r="A27" s="5"/>
      <c r="X27" s="22" t="str">
        <v>Tecnologías</v>
      </c>
      <c r="Y27" s="22" t="str">
        <v>Ingenieria En Conectividad Y Redes</v>
      </c>
      <c r="Z27" s="22" t="str">
        <v>Virtual</v>
      </c>
      <c r="AA27" s="36" t="n">
        <v>212</v>
      </c>
      <c r="AB27" s="36" t="n">
        <v>150</v>
      </c>
      <c r="AC27" s="23" t="n">
        <v>0.707547169811321</v>
      </c>
      <c r="BT27" s="22" t="str">
        <v>Tecnico En Conectividad Y Redes</v>
      </c>
      <c r="BU27" s="22" t="str">
        <v>A distancia</v>
      </c>
      <c r="BV27" s="36" t="n">
        <v>110</v>
      </c>
      <c r="BW27" s="36" t="n">
        <v>61</v>
      </c>
      <c r="BX27" s="23" t="n">
        <v>0.554545454545455</v>
      </c>
    </row>
    <row r="28" customFormat="false" ht="15" hidden="false" customHeight="true" outlineLevel="0" collapsed="false">
      <c r="A28" s="5"/>
      <c r="X28" s="25" t="str">
        <v>Tecnologías</v>
      </c>
      <c r="Y28" s="25" t="str">
        <v>Ingenieria En Informatica</v>
      </c>
      <c r="Z28" s="25" t="str">
        <v>Presencial-Diurno</v>
      </c>
      <c r="AA28" s="37" t="n">
        <v>34</v>
      </c>
      <c r="AB28" s="37" t="n">
        <v>25</v>
      </c>
      <c r="AC28" s="26" t="n">
        <v>0.735294117647059</v>
      </c>
      <c r="BT28" s="25" t="str">
        <v>Tecnico En Conectividad Y Redes</v>
      </c>
      <c r="BU28" s="25" t="str">
        <v>Presencial</v>
      </c>
      <c r="BV28" s="37" t="n">
        <v>14</v>
      </c>
      <c r="BW28" s="37" t="n">
        <v>9</v>
      </c>
      <c r="BX28" s="26" t="n">
        <v>0.642857142857143</v>
      </c>
    </row>
    <row r="29" customFormat="false" ht="15" hidden="false" customHeight="true" outlineLevel="0" collapsed="false">
      <c r="A29" s="5"/>
      <c r="X29" s="22" t="str">
        <v>Tecnologías</v>
      </c>
      <c r="Y29" s="22" t="str">
        <v>Ingenieria En Informatica</v>
      </c>
      <c r="Z29" s="22" t="str">
        <v>Presencial-Vespertino</v>
      </c>
      <c r="AA29" s="36" t="n">
        <v>44</v>
      </c>
      <c r="AB29" s="36" t="n">
        <v>26</v>
      </c>
      <c r="AC29" s="23" t="n">
        <v>0.590909090909091</v>
      </c>
      <c r="BT29" s="22" t="str">
        <v>Tecnico En Enfermeria</v>
      </c>
      <c r="BU29" s="22" t="str">
        <v>Presencial</v>
      </c>
      <c r="BV29" s="36" t="n">
        <v>75</v>
      </c>
      <c r="BW29" s="36" t="n">
        <v>35</v>
      </c>
      <c r="BX29" s="23" t="n">
        <v>0.466666666666667</v>
      </c>
    </row>
    <row r="30" customFormat="false" ht="15" hidden="false" customHeight="true" outlineLevel="0" collapsed="false">
      <c r="A30" s="5"/>
      <c r="X30" s="25" t="str">
        <v>Tecnologías</v>
      </c>
      <c r="Y30" s="25" t="str">
        <v>Ingenieria En Informatica</v>
      </c>
      <c r="Z30" s="25" t="str">
        <v>Virtual</v>
      </c>
      <c r="AA30" s="37" t="n">
        <v>256</v>
      </c>
      <c r="AB30" s="37" t="n">
        <v>172</v>
      </c>
      <c r="AC30" s="26" t="n">
        <v>0.671875</v>
      </c>
      <c r="BT30" s="25" t="str">
        <v>Tecnico En Logistica</v>
      </c>
      <c r="BU30" s="25" t="str">
        <v>A distancia</v>
      </c>
      <c r="BV30" s="37" t="n">
        <v>80</v>
      </c>
      <c r="BW30" s="37" t="n">
        <v>48</v>
      </c>
      <c r="BX30" s="26" t="n">
        <v>0.6</v>
      </c>
    </row>
    <row r="31" customFormat="false" ht="15" hidden="false" customHeight="true" outlineLevel="0" collapsed="false">
      <c r="A31" s="5"/>
      <c r="X31" s="22" t="str">
        <v>Administración y Comercio</v>
      </c>
      <c r="Y31" s="22" t="str">
        <v>Ingenieria En Logistica</v>
      </c>
      <c r="Z31" s="22" t="str">
        <v>Presencial-Diurno</v>
      </c>
      <c r="AA31" s="36" t="n">
        <v>0</v>
      </c>
      <c r="AB31" s="36" t="n">
        <v>0</v>
      </c>
      <c r="AC31" s="23" t="str">
        <v/>
      </c>
      <c r="BT31" s="22" t="str">
        <v>Tecnico En Logistica</v>
      </c>
      <c r="BU31" s="22" t="str">
        <v>Presencial</v>
      </c>
      <c r="BV31" s="36" t="n">
        <v>25</v>
      </c>
      <c r="BW31" s="36" t="n">
        <v>9</v>
      </c>
      <c r="BX31" s="23" t="n">
        <v>0.36</v>
      </c>
    </row>
    <row r="32" customFormat="false" ht="15" hidden="false" customHeight="true" outlineLevel="0" collapsed="false">
      <c r="A32" s="5"/>
      <c r="X32" s="25" t="str">
        <v>Administración y Comercio</v>
      </c>
      <c r="Y32" s="25" t="str">
        <v>Ingenieria En Logistica</v>
      </c>
      <c r="Z32" s="25" t="str">
        <v>Presencial-Vespertino</v>
      </c>
      <c r="AA32" s="37" t="n">
        <v>15</v>
      </c>
      <c r="AB32" s="37" t="n">
        <v>7</v>
      </c>
      <c r="AC32" s="26" t="n">
        <v>0.466666666666667</v>
      </c>
      <c r="BT32" s="25" t="str">
        <v>Tecnico En Programacion Y Analisis De Sistemas</v>
      </c>
      <c r="BU32" s="25" t="str">
        <v>A distancia</v>
      </c>
      <c r="BV32" s="37" t="n">
        <v>390</v>
      </c>
      <c r="BW32" s="37" t="n">
        <v>265</v>
      </c>
      <c r="BX32" s="26" t="n">
        <v>0.67948717948718</v>
      </c>
    </row>
    <row r="33" customFormat="false" ht="15" hidden="false" customHeight="true" outlineLevel="0" collapsed="false">
      <c r="A33" s="5"/>
      <c r="X33" s="22" t="str">
        <v>Administración y Comercio</v>
      </c>
      <c r="Y33" s="22" t="str">
        <v>Ingenieria En Logistica</v>
      </c>
      <c r="Z33" s="22" t="str">
        <v>Virtual</v>
      </c>
      <c r="AA33" s="36" t="n">
        <v>61</v>
      </c>
      <c r="AB33" s="36" t="n">
        <v>37</v>
      </c>
      <c r="AC33" s="23" t="n">
        <v>0.60655737704918</v>
      </c>
      <c r="BT33" s="22" t="str">
        <v>Tecnico En Programacion Y Analisis De Sistemas</v>
      </c>
      <c r="BU33" s="22" t="str">
        <v>Presencial</v>
      </c>
      <c r="BV33" s="36" t="n">
        <v>76</v>
      </c>
      <c r="BW33" s="36" t="n">
        <v>48</v>
      </c>
      <c r="BX33" s="23" t="n">
        <v>0.631578947368421</v>
      </c>
    </row>
    <row r="34" customFormat="false" ht="15" hidden="false" customHeight="true" outlineLevel="0" collapsed="false">
      <c r="A34" s="5"/>
      <c r="X34" s="25" t="str">
        <v>Administración y Comercio</v>
      </c>
      <c r="Y34" s="25" t="str">
        <v>Tecnico En Administracion De Empresas</v>
      </c>
      <c r="Z34" s="25" t="str">
        <v>Presencial-Diurno</v>
      </c>
      <c r="AA34" s="37" t="n">
        <v>0</v>
      </c>
      <c r="AB34" s="37" t="n">
        <v>0</v>
      </c>
      <c r="AC34" s="26" t="str">
        <v/>
      </c>
    </row>
    <row r="35" customFormat="false" ht="15" hidden="false" customHeight="true" outlineLevel="0" collapsed="false">
      <c r="A35" s="5"/>
      <c r="X35" s="22" t="str">
        <v>Administración y Comercio</v>
      </c>
      <c r="Y35" s="22" t="str">
        <v>Tecnico En Administracion De Empresas</v>
      </c>
      <c r="Z35" s="22" t="str">
        <v>Presencial-Vespertino</v>
      </c>
      <c r="AA35" s="36" t="n">
        <v>16</v>
      </c>
      <c r="AB35" s="36" t="n">
        <v>5</v>
      </c>
      <c r="AC35" s="23" t="n">
        <v>0.3125</v>
      </c>
    </row>
    <row r="36" customFormat="false" ht="15" hidden="false" customHeight="true" outlineLevel="0" collapsed="false">
      <c r="A36" s="5"/>
      <c r="X36" s="25" t="str">
        <v>Administración y Comercio</v>
      </c>
      <c r="Y36" s="25" t="str">
        <v>Tecnico En Administracion De Empresas</v>
      </c>
      <c r="Z36" s="25" t="str">
        <v>Virtual</v>
      </c>
      <c r="AA36" s="37" t="n">
        <v>72</v>
      </c>
      <c r="AB36" s="37" t="n">
        <v>34</v>
      </c>
      <c r="AC36" s="26" t="n">
        <v>0.472222222222222</v>
      </c>
    </row>
    <row r="37" customFormat="false" ht="15" hidden="false" customHeight="true" outlineLevel="0" collapsed="false">
      <c r="A37" s="5"/>
      <c r="X37" s="22" t="str">
        <v>Administración y Comercio</v>
      </c>
      <c r="Y37" s="22" t="str">
        <v>Tecnico En Administracion Publica</v>
      </c>
      <c r="Z37" s="22" t="str">
        <v>Presencial-Diurno</v>
      </c>
      <c r="AA37" s="36" t="n">
        <v>0</v>
      </c>
      <c r="AB37" s="36" t="n">
        <v>0</v>
      </c>
      <c r="AC37" s="23" t="str">
        <v/>
      </c>
    </row>
    <row r="38" customFormat="false" ht="15" hidden="false" customHeight="true" outlineLevel="0" collapsed="false">
      <c r="A38" s="5"/>
      <c r="X38" s="25" t="str">
        <v>Administración y Comercio</v>
      </c>
      <c r="Y38" s="25" t="str">
        <v>Tecnico En Administracion Publica</v>
      </c>
      <c r="Z38" s="25" t="str">
        <v>Presencial-Vespertino</v>
      </c>
      <c r="AA38" s="37" t="n">
        <v>0</v>
      </c>
      <c r="AB38" s="37" t="n">
        <v>0</v>
      </c>
      <c r="AC38" s="26" t="str">
        <v/>
      </c>
    </row>
    <row r="39" customFormat="false" ht="15" hidden="false" customHeight="true" outlineLevel="0" collapsed="false">
      <c r="A39" s="5"/>
      <c r="X39" s="22" t="str">
        <v>Administración y Comercio</v>
      </c>
      <c r="Y39" s="22" t="str">
        <v>Tecnico En Administracion Publica</v>
      </c>
      <c r="Z39" s="22" t="str">
        <v>Virtual</v>
      </c>
      <c r="AA39" s="36" t="n">
        <v>22</v>
      </c>
      <c r="AB39" s="36" t="n">
        <v>11</v>
      </c>
      <c r="AC39" s="23" t="n">
        <v>0.5</v>
      </c>
    </row>
    <row r="40" customFormat="false" ht="15" hidden="false" customHeight="true" outlineLevel="0" collapsed="false">
      <c r="A40" s="5"/>
      <c r="X40" s="25" t="str">
        <v>Tecnologías</v>
      </c>
      <c r="Y40" s="25" t="str">
        <v>Tecnico En Ciberseguridad</v>
      </c>
      <c r="Z40" s="25" t="str">
        <v>Presencial-Diurno</v>
      </c>
      <c r="AA40" s="37" t="n">
        <v>21</v>
      </c>
      <c r="AB40" s="37" t="n">
        <v>16</v>
      </c>
      <c r="AC40" s="26" t="n">
        <v>0.761904761904762</v>
      </c>
    </row>
    <row r="41" customFormat="false" ht="15" hidden="false" customHeight="true" outlineLevel="0" collapsed="false">
      <c r="A41" s="5"/>
      <c r="X41" s="22" t="str">
        <v>Tecnologías</v>
      </c>
      <c r="Y41" s="22" t="str">
        <v>Tecnico En Ciberseguridad</v>
      </c>
      <c r="Z41" s="22" t="str">
        <v>Presencial-Vespertino</v>
      </c>
      <c r="AA41" s="36" t="n">
        <v>26</v>
      </c>
      <c r="AB41" s="36" t="n">
        <v>17</v>
      </c>
      <c r="AC41" s="23" t="n">
        <v>0.653846153846154</v>
      </c>
    </row>
    <row r="42" customFormat="false" ht="15" hidden="false" customHeight="true" outlineLevel="0" collapsed="false">
      <c r="A42" s="5"/>
      <c r="X42" s="25" t="str">
        <v>Tecnologías</v>
      </c>
      <c r="Y42" s="25" t="str">
        <v>Tecnico En Ciberseguridad</v>
      </c>
      <c r="Z42" s="25" t="str">
        <v>Virtual</v>
      </c>
      <c r="AA42" s="37" t="n">
        <v>192</v>
      </c>
      <c r="AB42" s="37" t="n">
        <v>122</v>
      </c>
      <c r="AC42" s="26" t="n">
        <v>0.635416666666667</v>
      </c>
    </row>
    <row r="43" customFormat="false" ht="15" hidden="false" customHeight="true" outlineLevel="0" collapsed="false">
      <c r="A43" s="5"/>
      <c r="X43" s="22" t="str">
        <v>Tecnologías</v>
      </c>
      <c r="Y43" s="22" t="str">
        <v>Tecnico En Ciencia De Datos</v>
      </c>
      <c r="Z43" s="22" t="str">
        <v>Presencial-Diurno</v>
      </c>
      <c r="AA43" s="36" t="n">
        <v>0</v>
      </c>
      <c r="AB43" s="36" t="n">
        <v>0</v>
      </c>
      <c r="AC43" s="23" t="str">
        <v/>
      </c>
    </row>
    <row r="44" customFormat="false" ht="15" hidden="false" customHeight="true" outlineLevel="0" collapsed="false">
      <c r="A44" s="5"/>
      <c r="X44" s="25" t="str">
        <v>Tecnologías</v>
      </c>
      <c r="Y44" s="25" t="str">
        <v>Tecnico En Ciencia De Datos</v>
      </c>
      <c r="Z44" s="25" t="str">
        <v>Presencial-Vespertino</v>
      </c>
      <c r="AA44" s="37" t="n">
        <v>0</v>
      </c>
      <c r="AB44" s="37" t="n">
        <v>0</v>
      </c>
      <c r="AC44" s="26" t="str">
        <v/>
      </c>
    </row>
    <row r="45" customFormat="false" ht="15" hidden="false" customHeight="true" outlineLevel="0" collapsed="false">
      <c r="A45" s="5"/>
      <c r="X45" s="22" t="str">
        <v>Tecnologías</v>
      </c>
      <c r="Y45" s="22" t="str">
        <v>Tecnico En Ciencia De Datos</v>
      </c>
      <c r="Z45" s="22" t="str">
        <v>Virtual</v>
      </c>
      <c r="AA45" s="36" t="n">
        <v>23</v>
      </c>
      <c r="AB45" s="36" t="n">
        <v>13</v>
      </c>
      <c r="AC45" s="23" t="n">
        <v>0.565217391304348</v>
      </c>
    </row>
    <row r="46" customFormat="false" ht="15" hidden="false" customHeight="true" outlineLevel="0" collapsed="false">
      <c r="A46" s="5"/>
      <c r="X46" s="25" t="str">
        <v>Tecnologías</v>
      </c>
      <c r="Y46" s="25" t="str">
        <v>Tecnico En Conectividad Y Redes</v>
      </c>
      <c r="Z46" s="25" t="str">
        <v>Presencial-Diurno</v>
      </c>
      <c r="AA46" s="37" t="n">
        <v>2</v>
      </c>
      <c r="AB46" s="37" t="n">
        <v>2</v>
      </c>
      <c r="AC46" s="26" t="n">
        <v>1</v>
      </c>
    </row>
    <row r="47" customFormat="false" ht="15" hidden="false" customHeight="true" outlineLevel="0" collapsed="false">
      <c r="A47" s="5"/>
      <c r="X47" s="22" t="str">
        <v>Tecnologías</v>
      </c>
      <c r="Y47" s="22" t="str">
        <v>Tecnico En Conectividad Y Redes</v>
      </c>
      <c r="Z47" s="22" t="str">
        <v>Presencial-Vespertino</v>
      </c>
      <c r="AA47" s="36" t="n">
        <v>12</v>
      </c>
      <c r="AB47" s="36" t="n">
        <v>7</v>
      </c>
      <c r="AC47" s="23" t="n">
        <v>0.583333333333333</v>
      </c>
    </row>
    <row r="48" customFormat="false" ht="15" hidden="false" customHeight="true" outlineLevel="0" collapsed="false">
      <c r="A48" s="5"/>
      <c r="X48" s="25" t="str">
        <v>Tecnologías</v>
      </c>
      <c r="Y48" s="25" t="str">
        <v>Tecnico En Conectividad Y Redes</v>
      </c>
      <c r="Z48" s="25" t="str">
        <v>Virtual</v>
      </c>
      <c r="AA48" s="37" t="n">
        <v>110</v>
      </c>
      <c r="AB48" s="37" t="n">
        <v>61</v>
      </c>
      <c r="AC48" s="26" t="n">
        <v>0.554545454545455</v>
      </c>
    </row>
    <row r="49" customFormat="false" ht="15" hidden="false" customHeight="true" outlineLevel="0" collapsed="false">
      <c r="A49" s="5"/>
      <c r="X49" s="22" t="str">
        <v>Salud</v>
      </c>
      <c r="Y49" s="22" t="str">
        <v>Tecnico En Enfermeria</v>
      </c>
      <c r="Z49" s="22" t="str">
        <v>Presencial-Diurno</v>
      </c>
      <c r="AA49" s="36" t="n">
        <v>34</v>
      </c>
      <c r="AB49" s="36" t="n">
        <v>19</v>
      </c>
      <c r="AC49" s="23" t="n">
        <v>0.558823529411765</v>
      </c>
    </row>
    <row r="50" customFormat="false" ht="15" hidden="false" customHeight="true" outlineLevel="0" collapsed="false">
      <c r="A50" s="5"/>
      <c r="X50" s="25" t="str">
        <v>Salud</v>
      </c>
      <c r="Y50" s="25" t="str">
        <v>Tecnico En Enfermeria</v>
      </c>
      <c r="Z50" s="25" t="str">
        <v>Presencial-Vespertino</v>
      </c>
      <c r="AA50" s="37" t="n">
        <v>41</v>
      </c>
      <c r="AB50" s="37" t="n">
        <v>16</v>
      </c>
      <c r="AC50" s="26" t="n">
        <v>0.390243902439024</v>
      </c>
    </row>
    <row r="51" customFormat="false" ht="15" hidden="false" customHeight="true" outlineLevel="0" collapsed="false">
      <c r="A51" s="5"/>
      <c r="X51" s="22" t="str">
        <v>Salud</v>
      </c>
      <c r="Y51" s="22" t="str">
        <v>Tecnico En Enfermeria</v>
      </c>
      <c r="Z51" s="22" t="str">
        <v>Virtual</v>
      </c>
      <c r="AA51" s="36" t="n">
        <v>0</v>
      </c>
      <c r="AB51" s="36" t="n">
        <v>0</v>
      </c>
      <c r="AC51" s="23" t="str">
        <v/>
      </c>
    </row>
    <row r="52" customFormat="false" ht="15" hidden="false" customHeight="true" outlineLevel="0" collapsed="false">
      <c r="A52" s="5"/>
      <c r="X52" s="25" t="str">
        <v>Administración y Comercio</v>
      </c>
      <c r="Y52" s="25" t="str">
        <v>Tecnico En Logistica</v>
      </c>
      <c r="Z52" s="25" t="str">
        <v>Presencial-Diurno</v>
      </c>
      <c r="AA52" s="37" t="n">
        <v>0</v>
      </c>
      <c r="AB52" s="37" t="n">
        <v>0</v>
      </c>
      <c r="AC52" s="26" t="str">
        <v/>
      </c>
    </row>
    <row r="53" customFormat="false" ht="15" hidden="false" customHeight="true" outlineLevel="0" collapsed="false">
      <c r="A53" s="5"/>
      <c r="X53" s="22" t="str">
        <v>Administración y Comercio</v>
      </c>
      <c r="Y53" s="22" t="str">
        <v>Tecnico En Logistica</v>
      </c>
      <c r="Z53" s="22" t="str">
        <v>Presencial-Vespertino</v>
      </c>
      <c r="AA53" s="36" t="n">
        <v>25</v>
      </c>
      <c r="AB53" s="36" t="n">
        <v>9</v>
      </c>
      <c r="AC53" s="23" t="n">
        <v>0.36</v>
      </c>
    </row>
    <row r="54" customFormat="false" ht="15" hidden="false" customHeight="true" outlineLevel="0" collapsed="false">
      <c r="A54" s="5"/>
      <c r="X54" s="25" t="str">
        <v>Administración y Comercio</v>
      </c>
      <c r="Y54" s="25" t="str">
        <v>Tecnico En Logistica</v>
      </c>
      <c r="Z54" s="25" t="str">
        <v>Virtual</v>
      </c>
      <c r="AA54" s="37" t="n">
        <v>80</v>
      </c>
      <c r="AB54" s="37" t="n">
        <v>48</v>
      </c>
      <c r="AC54" s="26" t="n">
        <v>0.6</v>
      </c>
    </row>
    <row r="55" customFormat="false" ht="15" hidden="false" customHeight="true" outlineLevel="0" collapsed="false">
      <c r="A55" s="5"/>
      <c r="X55" s="22" t="str">
        <v>Tecnologías</v>
      </c>
      <c r="Y55" s="22" t="str">
        <v>Tecnico En Programacion Y Analisis De Sistemas</v>
      </c>
      <c r="Z55" s="22" t="str">
        <v>Presencial-Diurno</v>
      </c>
      <c r="AA55" s="36" t="n">
        <v>42</v>
      </c>
      <c r="AB55" s="36" t="n">
        <v>29</v>
      </c>
      <c r="AC55" s="23" t="n">
        <v>0.690476190476191</v>
      </c>
    </row>
    <row r="56" customFormat="false" ht="15" hidden="false" customHeight="true" outlineLevel="0" collapsed="false">
      <c r="A56" s="5"/>
      <c r="X56" s="25" t="str">
        <v>Tecnologías</v>
      </c>
      <c r="Y56" s="25" t="str">
        <v>Tecnico En Programacion Y Analisis De Sistemas</v>
      </c>
      <c r="Z56" s="25" t="str">
        <v>Presencial-Vespertino</v>
      </c>
      <c r="AA56" s="37" t="n">
        <v>34</v>
      </c>
      <c r="AB56" s="37" t="n">
        <v>19</v>
      </c>
      <c r="AC56" s="26" t="n">
        <v>0.558823529411765</v>
      </c>
    </row>
    <row r="57" customFormat="false" ht="15" hidden="false" customHeight="true" outlineLevel="0" collapsed="false">
      <c r="A57" s="5"/>
      <c r="X57" s="22" t="str">
        <v>Tecnologías</v>
      </c>
      <c r="Y57" s="22" t="str">
        <v>Tecnico En Programacion Y Analisis De Sistemas</v>
      </c>
      <c r="Z57" s="22" t="str">
        <v>Virtual</v>
      </c>
      <c r="AA57" s="36" t="n">
        <v>390</v>
      </c>
      <c r="AB57" s="36" t="n">
        <v>265</v>
      </c>
      <c r="AC57" s="23" t="n">
        <v>0.67948717948718</v>
      </c>
    </row>
  </sheetData>
  <mergeCells count="17">
    <mergeCell ref="B2:F2"/>
    <mergeCell ref="B5:F5"/>
    <mergeCell ref="H5:O5"/>
    <mergeCell ref="Q5:V5"/>
    <mergeCell ref="X5:AC5"/>
    <mergeCell ref="AE5:AJ5"/>
    <mergeCell ref="AL5:AP5"/>
    <mergeCell ref="AR5:AV5"/>
    <mergeCell ref="AX5:BA5"/>
    <mergeCell ref="BC5:BF5"/>
    <mergeCell ref="BH5:BL5"/>
    <mergeCell ref="BN5:BR5"/>
    <mergeCell ref="BT5:BX5"/>
    <mergeCell ref="BZ5:CC5"/>
    <mergeCell ref="CE5:CH5"/>
    <mergeCell ref="CJ5:CM5"/>
    <mergeCell ref="CO5:CS5"/>
  </mergeCells>
  <hyperlinks>
    <hyperlink ref="A1" location="'Portada'!B3" display="🏠 Portada / Índi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4273"/>
    <pageSetUpPr fitToPage="true"/>
  </sheetPr>
  <dimension ref="B1:U12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83203125" defaultRowHeight="15" customHeight="false"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3" min="3" style="1" width="23"/>
    <col collapsed="false" customWidth="true" hidden="false" outlineLevel="0" max="4" min="4" style="1" width="22"/>
    <col collapsed="false" customWidth="true" hidden="false" outlineLevel="0" max="5" min="5" style="1" width="20"/>
    <col collapsed="false" customWidth="true" hidden="false" outlineLevel="0" max="6" min="6" style="1" width="23"/>
    <col collapsed="false" customWidth="true" hidden="false" outlineLevel="0" max="7" min="7" style="1" width="25"/>
    <col collapsed="false" customWidth="true" hidden="false" outlineLevel="0" max="8" min="8" style="1" width="24"/>
    <col collapsed="false" customWidth="true" hidden="false" outlineLevel="0" max="9" min="9" style="1" width="28"/>
    <col collapsed="false" customWidth="true" hidden="false" outlineLevel="0" max="10" min="10" style="1" width="35"/>
    <col collapsed="false" customWidth="true" hidden="false" outlineLevel="0" max="12" min="11" style="1" width="3"/>
    <col collapsed="false" customWidth="true" hidden="false" outlineLevel="0" max="21" min="13" style="1" width="15"/>
  </cols>
  <sheetData>
    <row r="1" customFormat="false" ht="22.5" hidden="false" customHeight="true" outlineLevel="0" collapsed="false">
      <c r="B1" s="96" t="inlineStr">
        <is>
          <t xml:space="preserve">16. Retención IPSS frente al informe nacional SIES — cohortes 2022–2025</t>
        </is>
      </c>
      <c r="C1" s="96"/>
      <c r="D1" s="96"/>
      <c r="E1" s="96"/>
      <c r="F1" s="96"/>
      <c r="G1" s="96"/>
      <c r="H1" s="96"/>
      <c r="I1" s="96"/>
      <c r="J1" s="96"/>
    </row>
    <row r="2" customFormat="false" ht="33" hidden="false" customHeight="true" outlineLevel="0" collapsed="false">
      <c r="B2" s="97" t="inlineStr">
        <is>
          <t xml:space="preserve">La brecha se calcula en puntos porcentuales: tasa IPSS − tasa publicada del grupo comparado. Cada cohorte se lee por separado; el acumulado IPSS no se compara con un promedio de tasas SIES.</t>
        </is>
      </c>
      <c r="C2" s="97"/>
      <c r="D2" s="97"/>
      <c r="E2" s="97"/>
      <c r="F2" s="97"/>
      <c r="G2" s="97"/>
      <c r="H2" s="97"/>
      <c r="I2" s="97"/>
      <c r="J2" s="97"/>
    </row>
    <row r="4" customFormat="false" ht="15" hidden="false" customHeight="true" outlineLevel="0" collapsed="false">
      <c r="B4" s="98" t="inlineStr">
        <is>
          <t xml:space="preserve">IP de referencia</t>
        </is>
      </c>
      <c r="D4" s="99" t="inlineStr">
        <is>
          <t xml:space="preserve">IP INACAP</t>
        </is>
      </c>
      <c r="F4" s="98" t="inlineStr">
        <is>
          <t xml:space="preserve">Carrera genérica</t>
        </is>
      </c>
      <c r="G4" s="99" t="inlineStr">
        <is>
          <t xml:space="preserve">Técnico en Computación e Informática</t>
        </is>
      </c>
    </row>
    <row r="5" customFormat="false" ht="15" hidden="false" customHeight="true" outlineLevel="0" collapsed="false">
      <c r="B5" s="98" t="inlineStr">
        <is>
          <t xml:space="preserve">Cohorte carreras genéricas</t>
        </is>
      </c>
      <c r="D5" s="100" t="n">
        <v>2025</v>
      </c>
    </row>
    <row r="6" customFormat="false" ht="22.5" hidden="false" customHeight="true" outlineLevel="0" collapsed="false">
      <c r="B6" s="96" t="inlineStr">
        <is>
          <t xml:space="preserve">Retención institucional y referencia del subsistema IP</t>
        </is>
      </c>
      <c r="C6" s="96"/>
      <c r="D6" s="96"/>
      <c r="E6" s="96"/>
      <c r="F6" s="96"/>
      <c r="G6" s="96"/>
      <c r="H6" s="96"/>
      <c r="I6" s="96"/>
      <c r="J6" s="96"/>
    </row>
    <row r="7" customFormat="false" ht="30" hidden="false" customHeight="true" outlineLevel="0" collapsed="false">
      <c r="B7" s="101" t="inlineStr">
        <is>
          <t xml:space="preserve">Cohorte</t>
        </is>
      </c>
      <c r="C7" s="101" t="inlineStr">
        <is>
          <t xml:space="preserve">Estudiantes IPSS</t>
        </is>
      </c>
      <c r="D7" s="101" t="inlineStr">
        <is>
          <t xml:space="preserve">Retenidos IPSS</t>
        </is>
      </c>
      <c r="E7" s="101" t="inlineStr">
        <is>
          <t xml:space="preserve">Tasa IPSS interna</t>
        </is>
      </c>
      <c r="F7" s="101" t="inlineStr">
        <is>
          <t xml:space="preserve">SIES IPSS publicado</t>
        </is>
      </c>
      <c r="G7" s="101" t="inlineStr">
        <is>
          <t xml:space="preserve">Brecha interna − SIES IPSS (pp)</t>
        </is>
      </c>
      <c r="H7" s="101" t="inlineStr">
        <is>
          <t xml:space="preserve">SIES subsistema IP</t>
        </is>
      </c>
      <c r="I7" s="101" t="inlineStr">
        <is>
          <t xml:space="preserve">IPSS − subsistema (pp)</t>
        </is>
      </c>
      <c r="J7" s="101" t="inlineStr">
        <is>
          <t xml:space="preserve">IP de referencia</t>
        </is>
      </c>
    </row>
    <row r="8" customFormat="false" ht="18.75" hidden="false" customHeight="true" outlineLevel="0" collapsed="false">
      <c r="B8" s="102" t="n">
        <v>2022</v>
      </c>
      <c r="C8" s="102" t="n">
        <v>305</v>
      </c>
      <c r="D8" s="102" t="n">
        <v>224</v>
      </c>
      <c r="E8" s="103" t="n">
        <v>0.734426229508197</v>
      </c>
      <c r="F8" s="103" t="n">
        <v>0.689516129032258</v>
      </c>
      <c r="G8" s="104" t="n">
        <v>4.49101004759387</v>
      </c>
      <c r="H8" s="103" t="n">
        <v>0.720331451903447</v>
      </c>
      <c r="I8" s="104" t="n">
        <v>1.40947776047496</v>
      </c>
      <c r="J8" s="103" t="n">
        <v>0.79525053043904</v>
      </c>
    </row>
    <row r="9" customFormat="false" ht="18.75" hidden="false" customHeight="true" outlineLevel="0" collapsed="false">
      <c r="B9" s="105" t="n">
        <v>2023</v>
      </c>
      <c r="C9" s="105" t="n">
        <v>366</v>
      </c>
      <c r="D9" s="105" t="n">
        <v>258</v>
      </c>
      <c r="E9" s="106" t="n">
        <v>0.704918032786885</v>
      </c>
      <c r="F9" s="106" t="n">
        <v>0.705722070844687</v>
      </c>
      <c r="G9" s="107" t="n">
        <v>-0.0804038057801715</v>
      </c>
      <c r="H9" s="106" t="n">
        <v>0.721774009407395</v>
      </c>
      <c r="I9" s="107" t="n">
        <v>-1.68559766205098</v>
      </c>
      <c r="J9" s="106" t="n">
        <v>0.81321453914689</v>
      </c>
    </row>
    <row r="10" customFormat="false" ht="18.75" hidden="false" customHeight="true" outlineLevel="0" collapsed="false">
      <c r="B10" s="102" t="n">
        <v>2024</v>
      </c>
      <c r="C10" s="102" t="n">
        <v>558</v>
      </c>
      <c r="D10" s="102" t="n">
        <v>326</v>
      </c>
      <c r="E10" s="103" t="n">
        <v>0.584229390681004</v>
      </c>
      <c r="F10" s="103" t="n">
        <v>0.675</v>
      </c>
      <c r="G10" s="104" t="n">
        <v>-9.07706093189965</v>
      </c>
      <c r="H10" s="103" t="n">
        <v>0.727343470838131</v>
      </c>
      <c r="I10" s="104" t="n">
        <v>-14.3114080157127</v>
      </c>
      <c r="J10" s="103" t="n">
        <v>0.802948855782522</v>
      </c>
    </row>
    <row r="11" customFormat="false" ht="18.75" hidden="false" customHeight="true" outlineLevel="0" collapsed="false">
      <c r="B11" s="105" t="n">
        <v>2025</v>
      </c>
      <c r="C11" s="105" t="n">
        <v>1150</v>
      </c>
      <c r="D11" s="105" t="n">
        <v>668</v>
      </c>
      <c r="E11" s="106" t="n">
        <v>0.580869565217391</v>
      </c>
      <c r="F11" s="106" t="n">
        <v>0.582115219260533</v>
      </c>
      <c r="G11" s="107" t="n">
        <v>-0.12456540431417</v>
      </c>
      <c r="H11" s="106" t="n">
        <v>0.724543202229793</v>
      </c>
      <c r="I11" s="107" t="n">
        <v>-14.3673637012402</v>
      </c>
      <c r="J11" s="106" t="n">
        <v>0.799374600241632</v>
      </c>
    </row>
    <row r="12" customFormat="false" ht="18.75" hidden="false" customHeight="true" outlineLevel="0" collapsed="false">
      <c r="B12" s="102" t="inlineStr">
        <is>
          <t xml:space="preserve">Variación 2024→2025</t>
        </is>
      </c>
      <c r="C12" s="102"/>
      <c r="D12" s="102"/>
      <c r="E12" s="104" t="n">
        <v>-0.335982546361224</v>
      </c>
      <c r="F12" s="104" t="n">
        <v>-9.2884780739467</v>
      </c>
      <c r="G12" s="102"/>
      <c r="H12" s="104" t="n">
        <v>-0.280026860833804</v>
      </c>
      <c r="I12" s="102"/>
      <c r="J12" s="104" t="n">
        <v>-0.357425554088997</v>
      </c>
    </row>
    <row r="13" customFormat="false" ht="30" hidden="false" customHeight="true" outlineLevel="0" collapsed="false">
      <c r="C13" s="108" t="inlineStr">
        <is>
          <t xml:space="preserve">B/C · 2022 y 2024 conservan sus brechas internas frente al dato IPSS publicado. La referencia «Todos los IP» describe el subsistema: su diferencia no es una conciliación de la misma población.</t>
        </is>
      </c>
      <c r="D13" s="108"/>
      <c r="E13" s="108"/>
      <c r="F13" s="108"/>
      <c r="G13" s="108"/>
      <c r="H13" s="108"/>
      <c r="I13" s="108"/>
      <c r="J13" s="108"/>
    </row>
    <row r="16" customFormat="false" ht="22.5" hidden="false" customHeight="true" outlineLevel="0" collapsed="false">
      <c r="B16" s="96" t="inlineStr">
        <is>
          <t xml:space="preserve">Técnicas y profesionales: clasificación oficial del programa, mismo código único</t>
        </is>
      </c>
      <c r="C16" s="96"/>
      <c r="D16" s="96"/>
      <c r="E16" s="96"/>
      <c r="F16" s="96"/>
      <c r="G16" s="96"/>
      <c r="H16" s="96"/>
      <c r="I16" s="96"/>
      <c r="J16" s="96"/>
    </row>
    <row r="17" customFormat="false" ht="30" hidden="false" customHeight="true" outlineLevel="0" collapsed="false">
      <c r="B17" s="101" t="inlineStr">
        <is>
          <t xml:space="preserve">Cohorte</t>
        </is>
      </c>
      <c r="C17" s="101" t="inlineStr">
        <is>
          <t xml:space="preserve">Tipo de carrera</t>
        </is>
      </c>
      <c r="D17" s="101" t="inlineStr">
        <is>
          <t xml:space="preserve">Estudiantes IPSS</t>
        </is>
      </c>
      <c r="E17" s="101" t="inlineStr">
        <is>
          <t xml:space="preserve">Retenidos IPSS</t>
        </is>
      </c>
      <c r="F17" s="101" t="inlineStr">
        <is>
          <t xml:space="preserve">Tasa IPSS interna</t>
        </is>
      </c>
      <c r="G17" s="101" t="inlineStr">
        <is>
          <t xml:space="preserve">SIES IP del tipo</t>
        </is>
      </c>
      <c r="H17" s="101" t="inlineStr">
        <is>
          <t xml:space="preserve">Brecha descriptiva (pp)</t>
        </is>
      </c>
      <c r="I17" s="101" t="inlineStr">
        <is>
          <t xml:space="preserve">Ámbito SIES</t>
        </is>
      </c>
      <c r="J17" s="101" t="inlineStr">
        <is>
          <t xml:space="preserve">Validación</t>
        </is>
      </c>
    </row>
    <row r="18" customFormat="false" ht="18.75" hidden="false" customHeight="true" outlineLevel="0" collapsed="false">
      <c r="B18" s="102" t="n">
        <v>2022</v>
      </c>
      <c r="C18" s="102" t="inlineStr">
        <is>
          <t xml:space="preserve">Técnico de Nivel Superior</t>
        </is>
      </c>
      <c r="D18" s="102" t="n">
        <v>147</v>
      </c>
      <c r="E18" s="102" t="n">
        <v>100</v>
      </c>
      <c r="F18" s="103" t="n">
        <v>0.680272108843537</v>
      </c>
      <c r="G18" s="103" t="n">
        <v>0.687160397466302</v>
      </c>
      <c r="H18" s="104" t="n">
        <v>-0.688828862276458</v>
      </c>
      <c r="I18" s="102" t="inlineStr">
        <is>
          <t xml:space="preserve">Subsistema IP</t>
        </is>
      </c>
      <c r="J18" s="102" t="inlineStr">
        <is>
          <t xml:space="preserve">C · 1:1 por código único/año</t>
        </is>
      </c>
    </row>
    <row r="19" customFormat="false" ht="18.75" hidden="false" customHeight="true" outlineLevel="0" collapsed="false">
      <c r="B19" s="105" t="n">
        <v>2022</v>
      </c>
      <c r="C19" s="105" t="inlineStr">
        <is>
          <t xml:space="preserve">Profesional sin licenciatura</t>
        </is>
      </c>
      <c r="D19" s="105" t="n">
        <v>158</v>
      </c>
      <c r="E19" s="105" t="n">
        <v>124</v>
      </c>
      <c r="F19" s="106" t="n">
        <v>0.784810126582278</v>
      </c>
      <c r="G19" s="106" t="n">
        <v>0.758248545888166</v>
      </c>
      <c r="H19" s="107" t="n">
        <v>2.65615806941124</v>
      </c>
      <c r="I19" s="105" t="inlineStr">
        <is>
          <t xml:space="preserve">Subsistema IP</t>
        </is>
      </c>
      <c r="J19" s="105" t="inlineStr">
        <is>
          <t xml:space="preserve">C · 1:1 por código único/año</t>
        </is>
      </c>
    </row>
    <row r="20" customFormat="false" ht="18.75" hidden="false" customHeight="true" outlineLevel="0" collapsed="false">
      <c r="B20" s="102" t="n">
        <v>2023</v>
      </c>
      <c r="C20" s="102" t="inlineStr">
        <is>
          <t xml:space="preserve">Técnico de Nivel Superior</t>
        </is>
      </c>
      <c r="D20" s="102" t="n">
        <v>197</v>
      </c>
      <c r="E20" s="102" t="n">
        <v>148</v>
      </c>
      <c r="F20" s="103" t="n">
        <v>0.751269035532995</v>
      </c>
      <c r="G20" s="103" t="n">
        <v>0.687071771818323</v>
      </c>
      <c r="H20" s="104" t="n">
        <v>6.41972637146719</v>
      </c>
      <c r="I20" s="102" t="inlineStr">
        <is>
          <t xml:space="preserve">Subsistema IP</t>
        </is>
      </c>
      <c r="J20" s="102" t="inlineStr">
        <is>
          <t xml:space="preserve">C · 1:1 por código único/año</t>
        </is>
      </c>
    </row>
    <row r="21" customFormat="false" ht="18.75" hidden="false" customHeight="true" outlineLevel="0" collapsed="false">
      <c r="B21" s="105" t="n">
        <v>2023</v>
      </c>
      <c r="C21" s="105" t="inlineStr">
        <is>
          <t xml:space="preserve">Profesional sin licenciatura</t>
        </is>
      </c>
      <c r="D21" s="105" t="n">
        <v>169</v>
      </c>
      <c r="E21" s="105" t="n">
        <v>110</v>
      </c>
      <c r="F21" s="106" t="n">
        <v>0.650887573964497</v>
      </c>
      <c r="G21" s="106" t="n">
        <v>0.755248519648304</v>
      </c>
      <c r="H21" s="107" t="n">
        <v>-10.4360945683807</v>
      </c>
      <c r="I21" s="105" t="inlineStr">
        <is>
          <t xml:space="preserve">Subsistema IP</t>
        </is>
      </c>
      <c r="J21" s="105" t="inlineStr">
        <is>
          <t xml:space="preserve">C · 1:1 por código único/año</t>
        </is>
      </c>
    </row>
    <row r="22" customFormat="false" ht="18.75" hidden="false" customHeight="true" outlineLevel="0" collapsed="false">
      <c r="B22" s="102" t="n">
        <v>2024</v>
      </c>
      <c r="C22" s="102" t="inlineStr">
        <is>
          <t xml:space="preserve">Técnico de Nivel Superior</t>
        </is>
      </c>
      <c r="D22" s="102" t="n">
        <v>271</v>
      </c>
      <c r="E22" s="102" t="n">
        <v>149</v>
      </c>
      <c r="F22" s="103" t="n">
        <v>0.549815498154982</v>
      </c>
      <c r="G22" s="103" t="n">
        <v>0.693784391089722</v>
      </c>
      <c r="H22" s="104" t="n">
        <v>-14.396889293474</v>
      </c>
      <c r="I22" s="102" t="inlineStr">
        <is>
          <t xml:space="preserve">Subsistema IP</t>
        </is>
      </c>
      <c r="J22" s="102" t="inlineStr">
        <is>
          <t xml:space="preserve">C · 1:1 por código único/año</t>
        </is>
      </c>
    </row>
    <row r="23" customFormat="false" ht="18.75" hidden="false" customHeight="true" outlineLevel="0" collapsed="false">
      <c r="B23" s="105" t="n">
        <v>2024</v>
      </c>
      <c r="C23" s="105" t="inlineStr">
        <is>
          <t xml:space="preserve">Profesional sin licenciatura</t>
        </is>
      </c>
      <c r="D23" s="105" t="n">
        <v>287</v>
      </c>
      <c r="E23" s="105" t="n">
        <v>177</v>
      </c>
      <c r="F23" s="106" t="n">
        <v>0.616724738675958</v>
      </c>
      <c r="G23" s="106" t="n">
        <v>0.754667511812839</v>
      </c>
      <c r="H23" s="107" t="n">
        <v>-13.7942773136881</v>
      </c>
      <c r="I23" s="105" t="inlineStr">
        <is>
          <t xml:space="preserve">Subsistema IP</t>
        </is>
      </c>
      <c r="J23" s="105" t="inlineStr">
        <is>
          <t xml:space="preserve">C · 1:1 por código único/año</t>
        </is>
      </c>
    </row>
    <row r="24" customFormat="false" ht="18.75" hidden="false" customHeight="true" outlineLevel="0" collapsed="false">
      <c r="B24" s="102" t="n">
        <v>2025</v>
      </c>
      <c r="C24" s="102" t="inlineStr">
        <is>
          <t xml:space="preserve">Técnico de Nivel Superior</t>
        </is>
      </c>
      <c r="D24" s="102" t="n">
        <v>565</v>
      </c>
      <c r="E24" s="102" t="n">
        <v>315</v>
      </c>
      <c r="F24" s="103" t="n">
        <v>0.557522123893805</v>
      </c>
      <c r="G24" s="103" t="n">
        <v>0.686439484615926</v>
      </c>
      <c r="H24" s="104" t="n">
        <v>-12.8917360722121</v>
      </c>
      <c r="I24" s="102" t="inlineStr">
        <is>
          <t xml:space="preserve">Subsistema IP</t>
        </is>
      </c>
      <c r="J24" s="102" t="inlineStr">
        <is>
          <t xml:space="preserve">C · 1:1 por código único/año</t>
        </is>
      </c>
    </row>
    <row r="25" customFormat="false" ht="18.75" hidden="false" customHeight="true" outlineLevel="0" collapsed="false">
      <c r="B25" s="105" t="n">
        <v>2025</v>
      </c>
      <c r="C25" s="105" t="inlineStr">
        <is>
          <t xml:space="preserve">Profesional sin licenciatura</t>
        </is>
      </c>
      <c r="D25" s="105" t="n">
        <v>585</v>
      </c>
      <c r="E25" s="105" t="n">
        <v>353</v>
      </c>
      <c r="F25" s="106" t="n">
        <v>0.603418803418803</v>
      </c>
      <c r="G25" s="106" t="n">
        <v>0.754464532537181</v>
      </c>
      <c r="H25" s="107" t="n">
        <v>-15.1045729118378</v>
      </c>
      <c r="I25" s="105" t="inlineStr">
        <is>
          <t xml:space="preserve">Subsistema IP</t>
        </is>
      </c>
      <c r="J25" s="105" t="inlineStr">
        <is>
          <t xml:space="preserve">C · 1:1 por código único/año</t>
        </is>
      </c>
    </row>
    <row r="29" customFormat="false" ht="22.5" hidden="false" customHeight="true" outlineLevel="0" collapsed="false">
      <c r="B29" s="96" t="inlineStr">
        <is>
          <t xml:space="preserve">Sexo: comparación con mujeres y hombres del subsistema IP</t>
        </is>
      </c>
      <c r="C29" s="96"/>
      <c r="D29" s="96"/>
      <c r="E29" s="96"/>
      <c r="F29" s="96"/>
      <c r="G29" s="96"/>
      <c r="H29" s="96"/>
      <c r="I29" s="96"/>
      <c r="J29" s="96"/>
    </row>
    <row r="30" customFormat="false" ht="30" hidden="false" customHeight="true" outlineLevel="0" collapsed="false">
      <c r="B30" s="101" t="inlineStr">
        <is>
          <t xml:space="preserve">Cohorte</t>
        </is>
      </c>
      <c r="C30" s="101" t="inlineStr">
        <is>
          <t xml:space="preserve">Sexo</t>
        </is>
      </c>
      <c r="D30" s="101" t="inlineStr">
        <is>
          <t xml:space="preserve">Estudiantes IPSS</t>
        </is>
      </c>
      <c r="E30" s="101" t="inlineStr">
        <is>
          <t xml:space="preserve">Retenidos IPSS</t>
        </is>
      </c>
      <c r="F30" s="101" t="inlineStr">
        <is>
          <t xml:space="preserve">Tasa IPSS interna</t>
        </is>
      </c>
      <c r="G30" s="101" t="inlineStr">
        <is>
          <t xml:space="preserve">SIES IP sexo</t>
        </is>
      </c>
      <c r="H30" s="101" t="inlineStr">
        <is>
          <t xml:space="preserve">Brecha descriptiva (pp)</t>
        </is>
      </c>
      <c r="I30" s="101" t="inlineStr">
        <is>
          <t xml:space="preserve">Ámbito SIES</t>
        </is>
      </c>
      <c r="J30" s="101" t="inlineStr">
        <is>
          <t xml:space="preserve">Nota</t>
        </is>
      </c>
      <c r="L30" s="98" t="inlineStr">
        <is>
          <t xml:space="preserve">Lectura del gráfico</t>
        </is>
      </c>
    </row>
    <row r="31" customFormat="false" ht="18.75" hidden="false" customHeight="true" outlineLevel="0" collapsed="false">
      <c r="B31" s="105" t="n">
        <v>2022</v>
      </c>
      <c r="C31" s="105" t="inlineStr">
        <is>
          <t xml:space="preserve">Mujeres</t>
        </is>
      </c>
      <c r="D31" s="105" t="n">
        <v>34</v>
      </c>
      <c r="E31" s="105" t="n">
        <v>25</v>
      </c>
      <c r="F31" s="106" t="n">
        <v>0.735294117647059</v>
      </c>
      <c r="G31" s="106" t="n">
        <v>0.732127046475314</v>
      </c>
      <c r="H31" s="107" t="n">
        <v>0.316707117174486</v>
      </c>
      <c r="I31" s="105" t="inlineStr">
        <is>
          <t xml:space="preserve">Subsistema IP</t>
        </is>
      </c>
      <c r="J31" s="105" t="inlineStr">
        <is>
          <t xml:space="preserve">C · NB no se incorpora a M/H</t>
        </is>
      </c>
      <c r="L31" s="109" t="inlineStr">
        <is>
          <t xml:space="preserve">C · Elija un instituto en D4. La línea de IPSS interno compara el cálculo del libro con el IPSS publicado, el total del subsistema IP y el instituto elegido. Son tasas de cohortes anuales; no se promedian para obtener el acumulado.</t>
        </is>
      </c>
      <c r="M31" s="109"/>
      <c r="N31" s="109"/>
      <c r="O31" s="109"/>
      <c r="P31" s="109"/>
      <c r="Q31" s="109"/>
      <c r="R31" s="109"/>
      <c r="S31" s="109"/>
      <c r="T31" s="109"/>
      <c r="U31" s="109"/>
    </row>
    <row r="32" customFormat="false" ht="18.75" hidden="false" customHeight="true" outlineLevel="0" collapsed="false">
      <c r="B32" s="102" t="n">
        <v>2022</v>
      </c>
      <c r="C32" s="102" t="inlineStr">
        <is>
          <t xml:space="preserve">Hombres</t>
        </is>
      </c>
      <c r="D32" s="102" t="n">
        <v>271</v>
      </c>
      <c r="E32" s="102" t="n">
        <v>199</v>
      </c>
      <c r="F32" s="103" t="n">
        <v>0.734317343173432</v>
      </c>
      <c r="G32" s="103" t="n">
        <v>0.708661166502086</v>
      </c>
      <c r="H32" s="104" t="n">
        <v>2.56561766713458</v>
      </c>
      <c r="I32" s="102" t="inlineStr">
        <is>
          <t xml:space="preserve">Subsistema IP</t>
        </is>
      </c>
      <c r="J32" s="102" t="inlineStr">
        <is>
          <t xml:space="preserve">C · NB no se incorpora a M/H</t>
        </is>
      </c>
      <c r="L32" s="109"/>
      <c r="M32" s="109"/>
      <c r="N32" s="109"/>
      <c r="O32" s="109"/>
      <c r="P32" s="109"/>
      <c r="Q32" s="109"/>
      <c r="R32" s="109"/>
      <c r="S32" s="109"/>
      <c r="T32" s="109"/>
      <c r="U32" s="109"/>
    </row>
    <row r="33" customFormat="false" ht="18.75" hidden="false" customHeight="true" outlineLevel="0" collapsed="false">
      <c r="B33" s="105" t="n">
        <v>2023</v>
      </c>
      <c r="C33" s="105" t="inlineStr">
        <is>
          <t xml:space="preserve">Mujeres</t>
        </is>
      </c>
      <c r="D33" s="105" t="n">
        <v>55</v>
      </c>
      <c r="E33" s="105" t="n">
        <v>41</v>
      </c>
      <c r="F33" s="106" t="n">
        <v>0.745454545454546</v>
      </c>
      <c r="G33" s="106" t="n">
        <v>0.730178947699469</v>
      </c>
      <c r="H33" s="107" t="n">
        <v>1.52755977550765</v>
      </c>
      <c r="I33" s="105" t="inlineStr">
        <is>
          <t xml:space="preserve">Subsistema IP</t>
        </is>
      </c>
      <c r="J33" s="105" t="inlineStr">
        <is>
          <t xml:space="preserve">C · NB no se incorpora a M/H</t>
        </is>
      </c>
      <c r="L33" s="109"/>
      <c r="M33" s="109"/>
      <c r="N33" s="109"/>
      <c r="O33" s="109"/>
      <c r="P33" s="109"/>
      <c r="Q33" s="109"/>
      <c r="R33" s="109"/>
      <c r="S33" s="109"/>
      <c r="T33" s="109"/>
      <c r="U33" s="109"/>
    </row>
    <row r="34" customFormat="false" ht="18.75" hidden="false" customHeight="true" outlineLevel="0" collapsed="false">
      <c r="B34" s="102" t="n">
        <v>2023</v>
      </c>
      <c r="C34" s="102" t="inlineStr">
        <is>
          <t xml:space="preserve">Hombres</t>
        </is>
      </c>
      <c r="D34" s="102" t="n">
        <v>311</v>
      </c>
      <c r="E34" s="102" t="n">
        <v>217</v>
      </c>
      <c r="F34" s="103" t="n">
        <v>0.697749196141479</v>
      </c>
      <c r="G34" s="103" t="n">
        <v>0.713889544489025</v>
      </c>
      <c r="H34" s="104" t="n">
        <v>-1.61403483475459</v>
      </c>
      <c r="I34" s="102" t="inlineStr">
        <is>
          <t xml:space="preserve">Subsistema IP</t>
        </is>
      </c>
      <c r="J34" s="102" t="inlineStr">
        <is>
          <t xml:space="preserve">C · NB no se incorpora a M/H</t>
        </is>
      </c>
      <c r="L34" s="109"/>
      <c r="M34" s="109"/>
      <c r="N34" s="109"/>
      <c r="O34" s="109"/>
      <c r="P34" s="109"/>
      <c r="Q34" s="109"/>
      <c r="R34" s="109"/>
      <c r="S34" s="109"/>
      <c r="T34" s="109"/>
      <c r="U34" s="109"/>
    </row>
    <row r="35" customFormat="false" ht="18.75" hidden="false" customHeight="true" outlineLevel="0" collapsed="false">
      <c r="B35" s="105" t="n">
        <v>2024</v>
      </c>
      <c r="C35" s="105" t="inlineStr">
        <is>
          <t xml:space="preserve">Mujeres</t>
        </is>
      </c>
      <c r="D35" s="105" t="n">
        <v>102</v>
      </c>
      <c r="E35" s="105" t="n">
        <v>62</v>
      </c>
      <c r="F35" s="106" t="n">
        <v>0.607843137254902</v>
      </c>
      <c r="G35" s="106" t="n">
        <v>0.735775955645363</v>
      </c>
      <c r="H35" s="107" t="n">
        <v>-12.7932818390461</v>
      </c>
      <c r="I35" s="105" t="inlineStr">
        <is>
          <t xml:space="preserve">Subsistema IP</t>
        </is>
      </c>
      <c r="J35" s="105" t="inlineStr">
        <is>
          <t xml:space="preserve">C · NB no se incorpora a M/H</t>
        </is>
      </c>
    </row>
    <row r="36" customFormat="false" ht="18.75" hidden="false" customHeight="true" outlineLevel="0" collapsed="false">
      <c r="B36" s="102" t="n">
        <v>2024</v>
      </c>
      <c r="C36" s="102" t="inlineStr">
        <is>
          <t xml:space="preserve">Hombres</t>
        </is>
      </c>
      <c r="D36" s="102" t="n">
        <v>456</v>
      </c>
      <c r="E36" s="102" t="n">
        <v>264</v>
      </c>
      <c r="F36" s="103" t="n">
        <v>0.578947368421053</v>
      </c>
      <c r="G36" s="103" t="n">
        <v>0.719694790546985</v>
      </c>
      <c r="H36" s="104" t="n">
        <v>-14.0747422125932</v>
      </c>
      <c r="I36" s="102" t="inlineStr">
        <is>
          <t xml:space="preserve">Subsistema IP</t>
        </is>
      </c>
      <c r="J36" s="102" t="inlineStr">
        <is>
          <t xml:space="preserve">C · NB no se incorpora a M/H</t>
        </is>
      </c>
    </row>
    <row r="37" customFormat="false" ht="18.75" hidden="false" customHeight="true" outlineLevel="0" collapsed="false">
      <c r="B37" s="105" t="n">
        <v>2025</v>
      </c>
      <c r="C37" s="105" t="inlineStr">
        <is>
          <t xml:space="preserve">Mujeres</t>
        </is>
      </c>
      <c r="D37" s="105" t="n">
        <v>419</v>
      </c>
      <c r="E37" s="105" t="n">
        <v>254</v>
      </c>
      <c r="F37" s="106" t="n">
        <v>0.606205250596659</v>
      </c>
      <c r="G37" s="106" t="n">
        <v>0.734705844028927</v>
      </c>
      <c r="H37" s="107" t="n">
        <v>-12.8500593432268</v>
      </c>
      <c r="I37" s="105" t="inlineStr">
        <is>
          <t xml:space="preserve">Subsistema IP</t>
        </is>
      </c>
      <c r="J37" s="105" t="inlineStr">
        <is>
          <t xml:space="preserve">C · NB no se incorpora a M/H</t>
        </is>
      </c>
      <c r="L37" s="101" t="inlineStr">
        <is>
          <t xml:space="preserve">Cohorte</t>
        </is>
      </c>
      <c r="M37" s="101" t="inlineStr">
        <is>
          <t xml:space="preserve">Estudiantes IPSS</t>
        </is>
      </c>
      <c r="N37" s="101" t="inlineStr">
        <is>
          <t xml:space="preserve">Retenidos IPSS</t>
        </is>
      </c>
      <c r="O37" s="101" t="inlineStr">
        <is>
          <t xml:space="preserve">Tasa IPSS</t>
        </is>
      </c>
      <c r="P37" s="101" t="inlineStr">
        <is>
          <t xml:space="preserve">SIES IP genérica</t>
        </is>
      </c>
      <c r="Q37" s="101" t="inlineStr">
        <is>
          <t xml:space="preserve">Brecha (pp)</t>
        </is>
      </c>
    </row>
    <row r="38" customFormat="false" ht="18.75" hidden="false" customHeight="true" outlineLevel="0" collapsed="false">
      <c r="B38" s="102" t="n">
        <v>2025</v>
      </c>
      <c r="C38" s="102" t="inlineStr">
        <is>
          <t xml:space="preserve">Hombres</t>
        </is>
      </c>
      <c r="D38" s="102" t="n">
        <v>730</v>
      </c>
      <c r="E38" s="102" t="n">
        <v>414</v>
      </c>
      <c r="F38" s="103" t="n">
        <v>0.567123287671233</v>
      </c>
      <c r="G38" s="103" t="n">
        <v>0.715335576412254</v>
      </c>
      <c r="H38" s="104" t="n">
        <v>-14.8212288741021</v>
      </c>
      <c r="I38" s="102" t="inlineStr">
        <is>
          <t xml:space="preserve">Subsistema IP</t>
        </is>
      </c>
      <c r="J38" s="102" t="inlineStr">
        <is>
          <t xml:space="preserve">C · NB no se incorpora a M/H</t>
        </is>
      </c>
      <c r="L38" s="102" t="n">
        <v>2022</v>
      </c>
      <c r="M38" s="102" t="n">
        <v>82</v>
      </c>
      <c r="N38" s="102" t="n">
        <v>55</v>
      </c>
      <c r="O38" s="103" t="n">
        <v>0.670731707317073</v>
      </c>
      <c r="P38" s="103" t="n">
        <v>0.665366146458583</v>
      </c>
      <c r="Q38" s="104" t="n">
        <v>0.536556085849016</v>
      </c>
    </row>
    <row r="39" customFormat="false" ht="15" hidden="false" customHeight="true" outlineLevel="0" collapsed="false">
      <c r="L39" s="102" t="n">
        <v>2023</v>
      </c>
      <c r="M39" s="102" t="n">
        <v>117</v>
      </c>
      <c r="N39" s="102" t="n">
        <v>89</v>
      </c>
      <c r="O39" s="103" t="n">
        <v>0.760683760683761</v>
      </c>
      <c r="P39" s="103" t="n">
        <v>0.691192560175055</v>
      </c>
      <c r="Q39" s="104" t="n">
        <v>6.94912005087056</v>
      </c>
    </row>
    <row r="40" customFormat="false" ht="15" hidden="false" customHeight="true" outlineLevel="0" collapsed="false">
      <c r="B40" s="110" t="inlineStr">
        <is>
          <t xml:space="preserve">B · La base IPSS tiene 1 registro NB en 2025; permanece en el total institucional, fuera de las dos filas M/H publicadas por SIES.</t>
        </is>
      </c>
      <c r="C40" s="110"/>
      <c r="D40" s="110"/>
      <c r="E40" s="110"/>
      <c r="F40" s="110"/>
      <c r="G40" s="110"/>
      <c r="H40" s="110"/>
      <c r="I40" s="110"/>
      <c r="J40" s="110"/>
      <c r="L40" s="102" t="n">
        <v>2024</v>
      </c>
      <c r="M40" s="102" t="n">
        <v>137</v>
      </c>
      <c r="N40" s="102" t="n">
        <v>89</v>
      </c>
      <c r="O40" s="103" t="n">
        <v>0.64963503649635</v>
      </c>
      <c r="P40" s="103" t="n">
        <v>0.692974588938715</v>
      </c>
      <c r="Q40" s="104" t="n">
        <v>-4.33395524423647</v>
      </c>
    </row>
    <row r="41" customFormat="false" ht="15" hidden="false" customHeight="true" outlineLevel="0" collapsed="false">
      <c r="L41" s="102" t="n">
        <v>2025</v>
      </c>
      <c r="M41" s="102" t="n">
        <v>130</v>
      </c>
      <c r="N41" s="102" t="n">
        <v>80</v>
      </c>
      <c r="O41" s="103" t="n">
        <v>0.615384615384615</v>
      </c>
      <c r="P41" s="103" t="n">
        <v>0.655947441217151</v>
      </c>
      <c r="Q41" s="104" t="n">
        <v>-4.05628258325356</v>
      </c>
    </row>
    <row r="42" customFormat="false" ht="22.5" hidden="false" customHeight="true" outlineLevel="0" collapsed="false">
      <c r="B42" s="96" t="inlineStr">
        <is>
          <t xml:space="preserve">Carreras genéricas IPSS: cruce con las tres tablas de carreras publicadas por SIES</t>
        </is>
      </c>
      <c r="C42" s="96"/>
      <c r="D42" s="96"/>
      <c r="E42" s="96"/>
      <c r="F42" s="96"/>
      <c r="G42" s="96"/>
      <c r="H42" s="96"/>
      <c r="I42" s="96"/>
      <c r="J42" s="96"/>
    </row>
    <row r="43" customFormat="false" ht="30" hidden="false" customHeight="true" outlineLevel="0" collapsed="false">
      <c r="B43" s="108" t="inlineStr">
        <is>
          <t xml:space="preserve">C · Se agrupa por código único y oferta académica del año de cohorte. Las 15 carreras genéricas IPSS quedan visibles; la brecha se calcula únicamente para las categorías que SIES publica en alguna de sus tres tablas IP.</t>
        </is>
      </c>
      <c r="C43" s="108"/>
      <c r="D43" s="108"/>
      <c r="E43" s="108"/>
      <c r="F43" s="108"/>
      <c r="G43" s="108"/>
      <c r="H43" s="108"/>
      <c r="I43" s="108"/>
      <c r="J43" s="108"/>
    </row>
    <row r="44" customFormat="false" ht="30" hidden="false" customHeight="true" outlineLevel="0" collapsed="false">
      <c r="B44" s="101" t="inlineStr">
        <is>
          <t xml:space="preserve">Carrera genérica IPSS</t>
        </is>
      </c>
      <c r="C44" s="101" t="inlineStr">
        <is>
          <t xml:space="preserve">Estudiantes IPSS</t>
        </is>
      </c>
      <c r="D44" s="101" t="inlineStr">
        <is>
          <t xml:space="preserve">Retenidos IPSS</t>
        </is>
      </c>
      <c r="E44" s="101" t="inlineStr">
        <is>
          <t xml:space="preserve">Tasa IPSS interna</t>
        </is>
      </c>
      <c r="F44" s="101" t="inlineStr">
        <is>
          <t xml:space="preserve">SIES IP carrera genérica</t>
        </is>
      </c>
      <c r="G44" s="101" t="inlineStr">
        <is>
          <t xml:space="preserve">Brecha descriptiva (pp)</t>
        </is>
      </c>
      <c r="H44" s="101" t="inlineStr">
        <is>
          <t xml:space="preserve">Estado del cruce</t>
        </is>
      </c>
      <c r="I44" s="101" t="inlineStr">
        <is>
          <t xml:space="preserve">Cohorte</t>
        </is>
      </c>
      <c r="J44" s="101" t="inlineStr">
        <is>
          <t xml:space="preserve">Bloque y fila SIES</t>
        </is>
      </c>
    </row>
    <row r="45" customFormat="false" ht="18.75" hidden="false" customHeight="true" outlineLevel="0" collapsed="false">
      <c r="B45" s="105" t="inlineStr">
        <is>
          <t xml:space="preserve">Ingeniería en Conectividad y Redes</t>
        </is>
      </c>
      <c r="C45" s="105" t="n">
        <v>165</v>
      </c>
      <c r="D45" s="105" t="n">
        <v>108</v>
      </c>
      <c r="E45" s="106" t="n">
        <v>0.654545454545455</v>
      </c>
      <c r="F45" s="106" t="str">
        <v/>
      </c>
      <c r="G45" s="107" t="str">
        <v/>
      </c>
      <c r="H45" s="105" t="str">
        <v>Sin tasa publicada para esta categoría</v>
      </c>
      <c r="I45" s="105" t="n">
        <v>2025</v>
      </c>
      <c r="J45" s="105" t="str">
        <v>No publicado</v>
      </c>
    </row>
    <row r="46" customFormat="false" ht="18.75" hidden="false" customHeight="true" outlineLevel="0" collapsed="false">
      <c r="B46" s="102" t="inlineStr">
        <is>
          <t xml:space="preserve">Técnico en Computación e Informática</t>
        </is>
      </c>
      <c r="C46" s="102" t="n">
        <v>130</v>
      </c>
      <c r="D46" s="102" t="n">
        <v>80</v>
      </c>
      <c r="E46" s="103" t="n">
        <v>0.615384615384615</v>
      </c>
      <c r="F46" s="103" t="n">
        <v>0.655947441217151</v>
      </c>
      <c r="G46" s="104" t="n">
        <v>-4.05628258325356</v>
      </c>
      <c r="H46" s="102" t="str">
        <v>Publicado por SIES</v>
      </c>
      <c r="I46" s="102" t="n">
        <v>2025</v>
      </c>
      <c r="J46" s="102" t="str">
        <v>20 mayor matrícula · fila 49</v>
      </c>
    </row>
    <row r="47" customFormat="false" ht="18.75" hidden="false" customHeight="true" outlineLevel="0" collapsed="false">
      <c r="B47" s="105" t="inlineStr">
        <is>
          <t xml:space="preserve">Técnico en Administración de Redes y Soporte</t>
        </is>
      </c>
      <c r="C47" s="105" t="n">
        <v>122</v>
      </c>
      <c r="D47" s="105" t="n">
        <v>78</v>
      </c>
      <c r="E47" s="106" t="n">
        <v>0.639344262295082</v>
      </c>
      <c r="F47" s="106" t="n">
        <v>0.620104438642298</v>
      </c>
      <c r="G47" s="107" t="n">
        <v>1.9239823652784</v>
      </c>
      <c r="H47" s="105" t="str">
        <v>Publicado por SIES</v>
      </c>
      <c r="I47" s="105" t="n">
        <v>2025</v>
      </c>
      <c r="J47" s="105" t="str">
        <v>10 menor retención · fila 139</v>
      </c>
    </row>
    <row r="48" customFormat="false" ht="18.75" hidden="false" customHeight="true" outlineLevel="0" collapsed="false">
      <c r="B48" s="102" t="inlineStr">
        <is>
          <t xml:space="preserve">Ingeniería en Computación e Informática</t>
        </is>
      </c>
      <c r="C48" s="102" t="n">
        <v>118</v>
      </c>
      <c r="D48" s="102" t="n">
        <v>81</v>
      </c>
      <c r="E48" s="103" t="n">
        <v>0.686440677966102</v>
      </c>
      <c r="F48" s="103" t="n">
        <v>0.755828563451068</v>
      </c>
      <c r="G48" s="104" t="n">
        <v>-6.93878854849663</v>
      </c>
      <c r="H48" s="102" t="str">
        <v>Publicado por SIES</v>
      </c>
      <c r="I48" s="102" t="n">
        <v>2025</v>
      </c>
      <c r="J48" s="102" t="str">
        <v>20 mayor matrícula · fila 35</v>
      </c>
    </row>
    <row r="49" customFormat="false" ht="18.75" hidden="false" customHeight="true" outlineLevel="0" collapsed="false">
      <c r="B49" s="105" t="inlineStr">
        <is>
          <t xml:space="preserve">Administración de Empresas e Ing. Asociadas</t>
        </is>
      </c>
      <c r="C49" s="105" t="n">
        <v>91</v>
      </c>
      <c r="D49" s="105" t="n">
        <v>46</v>
      </c>
      <c r="E49" s="106" t="n">
        <v>0.505494505494506</v>
      </c>
      <c r="F49" s="106" t="n">
        <v>0.718343383052999</v>
      </c>
      <c r="G49" s="107" t="n">
        <v>-21.2848877558494</v>
      </c>
      <c r="H49" s="105" t="str">
        <v>Publicado por SIES</v>
      </c>
      <c r="I49" s="105" t="n">
        <v>2025</v>
      </c>
      <c r="J49" s="105" t="str">
        <v>20 mayor matrícula · fila 41</v>
      </c>
    </row>
    <row r="50" customFormat="false" ht="18.75" hidden="false" customHeight="true" outlineLevel="0" collapsed="false">
      <c r="B50" s="102" t="inlineStr">
        <is>
          <t xml:space="preserve">Técnico en Logística</t>
        </is>
      </c>
      <c r="C50" s="102" t="n">
        <v>82</v>
      </c>
      <c r="D50" s="102" t="n">
        <v>47</v>
      </c>
      <c r="E50" s="103" t="n">
        <v>0.573170731707317</v>
      </c>
      <c r="F50" s="103" t="n">
        <v>0.689810017271157</v>
      </c>
      <c r="G50" s="104" t="n">
        <v>-11.663928556384</v>
      </c>
      <c r="H50" s="102" t="str">
        <v>Publicado por SIES</v>
      </c>
      <c r="I50" s="102" t="n">
        <v>2025</v>
      </c>
      <c r="J50" s="102" t="str">
        <v>20 mayor matrícula · fila 47</v>
      </c>
    </row>
    <row r="51" customFormat="false" ht="18.75" hidden="false" customHeight="true" outlineLevel="0" collapsed="false">
      <c r="B51" s="105" t="inlineStr">
        <is>
          <t xml:space="preserve">Técnico en Enfermería</t>
        </is>
      </c>
      <c r="C51" s="105" t="n">
        <v>75</v>
      </c>
      <c r="D51" s="105" t="n">
        <v>35</v>
      </c>
      <c r="E51" s="106" t="n">
        <v>0.466666666666667</v>
      </c>
      <c r="F51" s="106" t="n">
        <v>0.720228530619532</v>
      </c>
      <c r="G51" s="107" t="n">
        <v>-25.3561863952865</v>
      </c>
      <c r="H51" s="105" t="str">
        <v>Publicado por SIES</v>
      </c>
      <c r="I51" s="105" t="n">
        <v>2025</v>
      </c>
      <c r="J51" s="105" t="str">
        <v>20 mayor matrícula · fila 40</v>
      </c>
    </row>
    <row r="52" customFormat="false" ht="18.75" hidden="false" customHeight="true" outlineLevel="0" collapsed="false">
      <c r="B52" s="102" t="inlineStr">
        <is>
          <t xml:space="preserve">Técnico en Administración de Empresas</t>
        </is>
      </c>
      <c r="C52" s="102" t="n">
        <v>73</v>
      </c>
      <c r="D52" s="102" t="n">
        <v>32</v>
      </c>
      <c r="E52" s="103" t="n">
        <v>0.438356164383562</v>
      </c>
      <c r="F52" s="103" t="n">
        <v>0.684527518172378</v>
      </c>
      <c r="G52" s="104" t="n">
        <v>-24.6171353788816</v>
      </c>
      <c r="H52" s="102" t="str">
        <v>Publicado por SIES</v>
      </c>
      <c r="I52" s="102" t="n">
        <v>2025</v>
      </c>
      <c r="J52" s="102" t="str">
        <v>20 mayor matrícula · fila 48</v>
      </c>
    </row>
    <row r="53" customFormat="false" ht="18.75" hidden="false" customHeight="true" outlineLevel="0" collapsed="false">
      <c r="B53" s="105" t="inlineStr">
        <is>
          <t xml:space="preserve">Administración Pública</t>
        </is>
      </c>
      <c r="C53" s="105" t="n">
        <v>70</v>
      </c>
      <c r="D53" s="105" t="n">
        <v>33</v>
      </c>
      <c r="E53" s="106" t="n">
        <v>0.471428571428571</v>
      </c>
      <c r="F53" s="106" t="str">
        <v/>
      </c>
      <c r="G53" s="107" t="str">
        <v/>
      </c>
      <c r="H53" s="105" t="str">
        <v>Sin tasa publicada para esta categoría</v>
      </c>
      <c r="I53" s="105" t="n">
        <v>2025</v>
      </c>
      <c r="J53" s="105" t="str">
        <v>No publicado</v>
      </c>
    </row>
    <row r="54" customFormat="false" ht="18.75" hidden="false" customHeight="true" outlineLevel="0" collapsed="false">
      <c r="B54" s="102" t="inlineStr">
        <is>
          <t xml:space="preserve">Ingeniería en Logística</t>
        </is>
      </c>
      <c r="C54" s="102" t="n">
        <v>61</v>
      </c>
      <c r="D54" s="102" t="n">
        <v>37</v>
      </c>
      <c r="E54" s="103" t="n">
        <v>0.60655737704918</v>
      </c>
      <c r="F54" s="103" t="n">
        <v>0.778733866011063</v>
      </c>
      <c r="G54" s="104" t="n">
        <v>-17.2176488961883</v>
      </c>
      <c r="H54" s="102" t="str">
        <v>Publicado por SIES</v>
      </c>
      <c r="I54" s="102" t="n">
        <v>2025</v>
      </c>
      <c r="J54" s="102" t="str">
        <v>20 mayor matrícula · fila 34</v>
      </c>
    </row>
    <row r="55" customFormat="false" ht="18.75" hidden="false" customHeight="true" outlineLevel="0" collapsed="false">
      <c r="B55" s="105" t="inlineStr">
        <is>
          <t xml:space="preserve">Contador Auditor</t>
        </is>
      </c>
      <c r="C55" s="105" t="n">
        <v>40</v>
      </c>
      <c r="D55" s="105" t="n">
        <v>27</v>
      </c>
      <c r="E55" s="106" t="n">
        <v>0.675</v>
      </c>
      <c r="F55" s="106" t="n">
        <v>0.743840701991225</v>
      </c>
      <c r="G55" s="107" t="n">
        <v>-6.88407019912249</v>
      </c>
      <c r="H55" s="105" t="str">
        <v>Publicado por SIES</v>
      </c>
      <c r="I55" s="105" t="n">
        <v>2025</v>
      </c>
      <c r="J55" s="105" t="str">
        <v>20 mayor matrícula · fila 37</v>
      </c>
    </row>
    <row r="56" customFormat="false" ht="18.75" hidden="false" customHeight="true" outlineLevel="0" collapsed="false">
      <c r="B56" s="102" t="inlineStr">
        <is>
          <t xml:space="preserve">Ingeniería en Matemática y Estadística</t>
        </is>
      </c>
      <c r="C56" s="102" t="n">
        <v>40</v>
      </c>
      <c r="D56" s="102" t="n">
        <v>21</v>
      </c>
      <c r="E56" s="103" t="n">
        <v>0.525</v>
      </c>
      <c r="F56" s="103" t="str">
        <v/>
      </c>
      <c r="G56" s="104" t="str">
        <v/>
      </c>
      <c r="H56" s="102" t="str">
        <v>Sin tasa publicada para esta categoría</v>
      </c>
      <c r="I56" s="102" t="n">
        <v>2025</v>
      </c>
      <c r="J56" s="102" t="str">
        <v>No publicado</v>
      </c>
    </row>
    <row r="57" customFormat="false" ht="18.75" hidden="false" customHeight="true" outlineLevel="0" collapsed="false">
      <c r="B57" s="105" t="inlineStr">
        <is>
          <t xml:space="preserve">Técnico en Contabilidad General</t>
        </is>
      </c>
      <c r="C57" s="105" t="n">
        <v>38</v>
      </c>
      <c r="D57" s="105" t="n">
        <v>19</v>
      </c>
      <c r="E57" s="106" t="n">
        <v>0.5</v>
      </c>
      <c r="F57" s="106" t="str">
        <v/>
      </c>
      <c r="G57" s="107" t="str">
        <v/>
      </c>
      <c r="H57" s="105" t="str">
        <v>Sin tasa publicada para esta categoría</v>
      </c>
      <c r="I57" s="105" t="n">
        <v>2025</v>
      </c>
      <c r="J57" s="105" t="str">
        <v>No publicado</v>
      </c>
    </row>
    <row r="58" customFormat="false" ht="18.75" hidden="false" customHeight="true" outlineLevel="0" collapsed="false">
      <c r="B58" s="102" t="inlineStr">
        <is>
          <t xml:space="preserve">Técnico en Análisis de Datos</t>
        </is>
      </c>
      <c r="C58" s="102" t="n">
        <v>23</v>
      </c>
      <c r="D58" s="102" t="n">
        <v>13</v>
      </c>
      <c r="E58" s="103" t="n">
        <v>0.565217391304348</v>
      </c>
      <c r="F58" s="103" t="n">
        <v>0.615120274914089</v>
      </c>
      <c r="G58" s="104" t="n">
        <v>-4.99028836097413</v>
      </c>
      <c r="H58" s="102" t="str">
        <v>Publicado por SIES</v>
      </c>
      <c r="I58" s="102" t="n">
        <v>2025</v>
      </c>
      <c r="J58" s="102" t="str">
        <v>10 menor retención · fila 137</v>
      </c>
    </row>
    <row r="59" customFormat="false" ht="18.75" hidden="false" customHeight="true" outlineLevel="0" collapsed="false">
      <c r="B59" s="105" t="inlineStr">
        <is>
          <t xml:space="preserve">Técnico en Administración Pública o Municipal</t>
        </is>
      </c>
      <c r="C59" s="105" t="n">
        <v>22</v>
      </c>
      <c r="D59" s="105" t="n">
        <v>11</v>
      </c>
      <c r="E59" s="106" t="n">
        <v>0.5</v>
      </c>
      <c r="F59" s="106" t="str">
        <v/>
      </c>
      <c r="G59" s="107" t="str">
        <v/>
      </c>
      <c r="H59" s="105" t="str">
        <v>Sin tasa publicada para esta categoría</v>
      </c>
      <c r="I59" s="105" t="n">
        <v>2025</v>
      </c>
      <c r="J59" s="105" t="str">
        <v>No publicado</v>
      </c>
    </row>
    <row r="60" customFormat="false" ht="18.75" hidden="false" customHeight="true" outlineLevel="0" collapsed="false">
      <c r="B60" s="102"/>
      <c r="C60" s="102"/>
      <c r="D60" s="102"/>
      <c r="E60" s="103"/>
      <c r="F60" s="103"/>
      <c r="G60" s="104"/>
      <c r="H60" s="102"/>
      <c r="I60" s="102"/>
      <c r="J60" s="102"/>
    </row>
    <row r="61" customFormat="false" ht="18.75" hidden="false" customHeight="true" outlineLevel="0" collapsed="false">
      <c r="B61" s="102" t="inlineStr">
        <is>
          <t xml:space="preserve">Categorías publicadas</t>
        </is>
      </c>
      <c r="C61" s="102" t="n">
        <v>10</v>
      </c>
      <c r="D61" s="102" t="n">
        <v>815</v>
      </c>
      <c r="E61" s="103" t="inlineStr">
        <is>
          <t xml:space="preserve">estudiantes IPSS cubiertos</t>
        </is>
      </c>
      <c r="F61" s="106"/>
      <c r="G61" s="107"/>
      <c r="H61" s="105"/>
      <c r="I61" s="105"/>
      <c r="J61" s="105"/>
    </row>
    <row r="62" customFormat="false" ht="18.75" hidden="false" customHeight="true" outlineLevel="0" collapsed="false">
      <c r="B62" s="102" t="inlineStr">
        <is>
          <t xml:space="preserve">Sin tasa SIES</t>
        </is>
      </c>
      <c r="C62" s="102" t="n">
        <v>5</v>
      </c>
      <c r="D62" s="102" t="n">
        <v>335</v>
      </c>
      <c r="E62" s="103" t="inlineStr">
        <is>
          <t xml:space="preserve">estudiantes IPSS sin comparación genérica</t>
        </is>
      </c>
      <c r="F62" s="103"/>
      <c r="G62" s="104"/>
      <c r="H62" s="102"/>
      <c r="I62" s="102"/>
      <c r="J62" s="102"/>
    </row>
    <row r="63" customFormat="false" ht="18.75" hidden="false" customHeight="true" outlineLevel="0" collapsed="false">
      <c r="B63" s="105"/>
      <c r="C63" s="105"/>
      <c r="D63" s="105"/>
      <c r="E63" s="106"/>
      <c r="F63" s="106"/>
      <c r="G63" s="107"/>
      <c r="H63" s="105"/>
      <c r="I63" s="105"/>
      <c r="J63" s="105"/>
    </row>
    <row r="64" customFormat="false" ht="18.75" hidden="false" customHeight="true" outlineLevel="0" collapsed="false">
      <c r="B64" s="102"/>
      <c r="C64" s="102"/>
      <c r="D64" s="102"/>
      <c r="E64" s="103"/>
      <c r="F64" s="103"/>
      <c r="G64" s="104"/>
      <c r="H64" s="102"/>
      <c r="I64" s="102"/>
      <c r="J64" s="102"/>
    </row>
    <row r="67" customFormat="false" ht="22.5" hidden="false" customHeight="true" outlineLevel="0" collapsed="false">
      <c r="B67" s="96" t="inlineStr">
        <is>
          <t xml:space="preserve">Cobertura del análisis y límites de comparación</t>
        </is>
      </c>
      <c r="C67" s="96"/>
      <c r="D67" s="96"/>
      <c r="E67" s="96"/>
      <c r="F67" s="96"/>
      <c r="G67" s="96"/>
      <c r="H67" s="96"/>
      <c r="I67" s="96"/>
      <c r="J67" s="96"/>
    </row>
    <row r="68" customFormat="false" ht="31.5" hidden="false" customHeight="true" outlineLevel="0" collapsed="false">
      <c r="B68" s="102" t="inlineStr">
        <is>
          <t xml:space="preserve">A/B/C · General IPSS</t>
        </is>
      </c>
      <c r="C68" s="111" t="inlineStr">
        <is>
          <t xml:space="preserve">Comparación interna vs. IPSS publicado y frente al total de IP por cohorte; fuente SIES x IES fila 59 y General fila 35.</t>
        </is>
      </c>
      <c r="D68" s="111"/>
      <c r="E68" s="111"/>
      <c r="F68" s="111"/>
      <c r="G68" s="111"/>
      <c r="H68" s="111"/>
      <c r="I68" s="111"/>
      <c r="J68" s="111"/>
    </row>
    <row r="69" customFormat="false" ht="31.5" hidden="false" customHeight="true" outlineLevel="0" collapsed="false">
      <c r="B69" s="105" t="inlineStr">
        <is>
          <t xml:space="preserve">B/C · Tipo de carrera</t>
        </is>
      </c>
      <c r="C69" s="112" t="inlineStr">
        <is>
          <t xml:space="preserve">Los 37 códigos únicos del libro tienen NIVEL_CARRERA 1 o 2 no ambiguo en DURACION_ESTUDIOS; cada código/año tiene carrera genérica única en oferta histórica.</t>
        </is>
      </c>
      <c r="D69" s="112"/>
      <c r="E69" s="112"/>
      <c r="F69" s="112"/>
      <c r="G69" s="112"/>
      <c r="H69" s="112"/>
      <c r="I69" s="112"/>
      <c r="J69" s="112"/>
    </row>
    <row r="70" customFormat="false" ht="31.5" hidden="false" customHeight="true" outlineLevel="0" collapsed="false">
      <c r="B70" s="102" t="inlineStr">
        <is>
          <t xml:space="preserve">B/C · Carrera genérica</t>
        </is>
      </c>
      <c r="C70" s="111" t="inlineStr">
        <is>
          <t xml:space="preserve">Se cruzan las 15 categorías IPSS con las 40 filas de carreras genéricas IP publicadas en el informe (mayor matrícula y mayor/menor retención). Sin tasa publicada se mantiene el total interno y se deja la brecha vacía.</t>
        </is>
      </c>
      <c r="D70" s="111"/>
      <c r="E70" s="111"/>
      <c r="F70" s="111"/>
      <c r="G70" s="111"/>
      <c r="H70" s="111"/>
      <c r="I70" s="111"/>
      <c r="J70" s="111"/>
    </row>
    <row r="71" customFormat="false" ht="31.5" hidden="false" customHeight="true" outlineLevel="0" collapsed="false">
      <c r="B71" s="105" t="inlineStr">
        <is>
          <t xml:space="preserve">B/C · Sexo</t>
        </is>
      </c>
      <c r="C71" s="112" t="inlineStr">
        <is>
          <t xml:space="preserve">Se comparan M/H con mujeres/hombres del subsistema IP. Un registro NB de 2025 no tiene categoría homóloga en esas dos filas.</t>
        </is>
      </c>
      <c r="D71" s="112"/>
      <c r="E71" s="112"/>
      <c r="F71" s="112"/>
      <c r="G71" s="112"/>
      <c r="H71" s="112"/>
      <c r="I71" s="112"/>
      <c r="J71" s="112"/>
    </row>
    <row r="72" customFormat="false" ht="31.5" hidden="false" customHeight="true" outlineLevel="0" collapsed="false">
      <c r="B72" s="102" t="inlineStr">
        <is>
          <t xml:space="preserve">E · Origen secundario</t>
        </is>
      </c>
      <c r="C72" s="111" t="inlineStr">
        <is>
          <t xml:space="preserve">BASE_RETENCION_MU tiene PAIS_EST_SEC, pero no dependencia ni tipo HC/TP del establecimiento; no se calcula brecha.</t>
        </is>
      </c>
      <c r="D72" s="111"/>
      <c r="E72" s="111"/>
      <c r="F72" s="111"/>
      <c r="G72" s="111"/>
      <c r="H72" s="111"/>
      <c r="I72" s="111"/>
      <c r="J72" s="111"/>
    </row>
    <row r="73" customFormat="false" ht="31.5" hidden="false" customHeight="true" outlineLevel="0" collapsed="false">
      <c r="B73" s="105" t="inlineStr">
        <is>
          <t xml:space="preserve">E · Área y tipo × área</t>
        </is>
      </c>
      <c r="C73" s="112" t="inlineStr">
        <is>
          <t xml:space="preserve">El informe SIES presenta estos cortes para todas las IES, no para el subsistema IP. Se conservan sus tasas en la hoja de fuentes, sin llamarlas brecha IP.</t>
        </is>
      </c>
      <c r="D73" s="112"/>
      <c r="E73" s="112"/>
      <c r="F73" s="112"/>
      <c r="G73" s="112"/>
      <c r="H73" s="112"/>
      <c r="I73" s="112"/>
      <c r="J73" s="112"/>
    </row>
    <row r="74" customFormat="false" ht="31.5" hidden="false" customHeight="true" outlineLevel="0" collapsed="false">
      <c r="B74" s="102" t="inlineStr">
        <is>
          <t xml:space="preserve">E · Jornada / modalidad</t>
        </is>
      </c>
      <c r="C74" s="111" t="inlineStr">
        <is>
          <t xml:space="preserve">La vista IPSS combina modalidad y jornada; el reporte SIES publica jornadas de todas las IES. Falta una equivalencia documentada y misma población de referencia.</t>
        </is>
      </c>
      <c r="D74" s="111"/>
      <c r="E74" s="111"/>
      <c r="F74" s="111"/>
      <c r="G74" s="111"/>
      <c r="H74" s="111"/>
      <c r="I74" s="111"/>
      <c r="J74" s="111"/>
    </row>
    <row r="75" customFormat="false" ht="31.5" hidden="false" customHeight="true" outlineLevel="0" collapsed="false">
      <c r="B75" s="105" t="inlineStr">
        <is>
          <t xml:space="preserve">E · Rangos de edad</t>
        </is>
      </c>
      <c r="C75" s="112" t="inlineStr">
        <is>
          <t xml:space="preserve">La edad interna se deriva del año de nacimiento y se agrupa distinto de la tabla SIES; no hay corte de edad comparable verificado.</t>
        </is>
      </c>
      <c r="D75" s="112"/>
      <c r="E75" s="112"/>
      <c r="F75" s="112"/>
      <c r="G75" s="112"/>
      <c r="H75" s="112"/>
      <c r="I75" s="112"/>
      <c r="J75" s="112"/>
    </row>
    <row r="76" customFormat="false" ht="31.5" hidden="false" customHeight="true" outlineLevel="0" collapsed="false">
      <c r="B76" s="102" t="inlineStr">
        <is>
          <t xml:space="preserve">E · Región y carrera × región</t>
        </is>
      </c>
      <c r="C76" s="111" t="inlineStr">
        <is>
          <t xml:space="preserve">El catálogo asigna región de sede; falta confirmar que coincide con la definición regional del informe SIES y esa tabla abarca todas las IES.</t>
        </is>
      </c>
      <c r="D76" s="111"/>
      <c r="E76" s="111"/>
      <c r="F76" s="111"/>
      <c r="G76" s="111"/>
      <c r="H76" s="111"/>
      <c r="I76" s="111"/>
      <c r="J76" s="111"/>
    </row>
    <row r="77" customFormat="false" ht="31.5" hidden="false" customHeight="true" outlineLevel="0" collapsed="false">
      <c r="B77" s="105" t="inlineStr">
        <is>
          <t xml:space="preserve">C · Acumulados</t>
        </is>
      </c>
      <c r="C77" s="112" t="inlineStr">
        <is>
          <t xml:space="preserve">Sólo el acumulado IPSS puede calcularse sumando estudiantes y retenidos. El informe nacional no incluye denominadores por cada corte publicado; no se promedian tasas para crear un acumulado SIES.</t>
        </is>
      </c>
      <c r="D77" s="112"/>
      <c r="E77" s="112"/>
      <c r="F77" s="112"/>
      <c r="G77" s="112"/>
      <c r="H77" s="112"/>
      <c r="I77" s="112"/>
      <c r="J77" s="112"/>
    </row>
    <row r="80" customFormat="false" ht="22.5" hidden="false" customHeight="true" outlineLevel="0" collapsed="false">
      <c r="B80" s="96" t="inlineStr">
        <is>
          <t xml:space="preserve">Todos los institutos profesionales publicados por SIES — tasas por cohorte</t>
        </is>
      </c>
      <c r="C80" s="96"/>
      <c r="D80" s="96"/>
      <c r="E80" s="96"/>
      <c r="F80" s="96"/>
      <c r="G80" s="96"/>
      <c r="H80" s="96"/>
      <c r="I80" s="96"/>
      <c r="J80" s="96"/>
    </row>
    <row r="81" customFormat="false" ht="30" hidden="false" customHeight="true" outlineLevel="0" collapsed="false">
      <c r="B81" s="101" t="inlineStr">
        <is>
          <t xml:space="preserve">Código IES</t>
        </is>
      </c>
      <c r="C81" s="101" t="inlineStr">
        <is>
          <t xml:space="preserve">Instituto profesional</t>
        </is>
      </c>
      <c r="D81" s="101" t="inlineStr">
        <is>
          <t xml:space="preserve">2022</t>
        </is>
      </c>
      <c r="E81" s="101" t="inlineStr">
        <is>
          <t xml:space="preserve">2023</t>
        </is>
      </c>
      <c r="F81" s="101" t="inlineStr">
        <is>
          <t xml:space="preserve">2024</t>
        </is>
      </c>
      <c r="G81" s="101" t="inlineStr">
        <is>
          <t xml:space="preserve">2025</t>
        </is>
      </c>
      <c r="H81" s="101" t="inlineStr">
        <is>
          <t xml:space="preserve">Variación 2024→2025 (pp)</t>
        </is>
      </c>
      <c r="I81" s="101" t="inlineStr">
        <is>
          <t xml:space="preserve">Ámbito</t>
        </is>
      </c>
      <c r="J81" s="101" t="inlineStr">
        <is>
          <t xml:space="preserve">Fuente</t>
        </is>
      </c>
    </row>
    <row r="82" customFormat="false" ht="18.75" hidden="false" customHeight="true" outlineLevel="0" collapsed="false">
      <c r="B82" s="102" t="n">
        <v>99</v>
      </c>
      <c r="C82" s="102" t="str">
        <v>IP AGRARIO ADOLFO MATTHEI</v>
      </c>
      <c r="D82" s="103" t="n">
        <v>0.79746835443038</v>
      </c>
      <c r="E82" s="103" t="n">
        <v>0.825</v>
      </c>
      <c r="F82" s="103" t="n">
        <v>0.835365853658537</v>
      </c>
      <c r="G82" s="103" t="n">
        <v>0.776223776223776</v>
      </c>
      <c r="H82" s="104" t="n">
        <v>-5.9142077434761</v>
      </c>
      <c r="I82" s="102" t="inlineStr">
        <is>
          <t xml:space="preserve">IP individual</t>
        </is>
      </c>
      <c r="J82" s="102" t="inlineStr">
        <is>
          <t xml:space="preserve">'Retención 1er año x IES'!A43:U43</t>
        </is>
      </c>
    </row>
    <row r="83" customFormat="false" ht="18.75" hidden="false" customHeight="true" outlineLevel="0" collapsed="false">
      <c r="B83" s="105" t="n">
        <v>100</v>
      </c>
      <c r="C83" s="105" t="str">
        <v>IP INACAP</v>
      </c>
      <c r="D83" s="106" t="n">
        <v>0.79525053043904</v>
      </c>
      <c r="E83" s="106" t="n">
        <v>0.81321453914689</v>
      </c>
      <c r="F83" s="106" t="n">
        <v>0.802948855782522</v>
      </c>
      <c r="G83" s="106" t="n">
        <v>0.799374600241632</v>
      </c>
      <c r="H83" s="107" t="n">
        <v>-0.357425554088997</v>
      </c>
      <c r="I83" s="105" t="inlineStr">
        <is>
          <t xml:space="preserve">IP individual</t>
        </is>
      </c>
      <c r="J83" s="105" t="inlineStr">
        <is>
          <t xml:space="preserve">'Retención 1er año x IES'!A44:U44</t>
        </is>
      </c>
    </row>
    <row r="84" customFormat="false" ht="18.75" hidden="false" customHeight="true" outlineLevel="0" collapsed="false">
      <c r="B84" s="102" t="n">
        <v>104</v>
      </c>
      <c r="C84" s="102" t="str">
        <v>IP ESCUELA DE CONTADORES AUDITORES DE SANTIAGO</v>
      </c>
      <c r="D84" s="103" t="n">
        <v>0.786057692307692</v>
      </c>
      <c r="E84" s="103" t="n">
        <v>0.807600950118765</v>
      </c>
      <c r="F84" s="103" t="n">
        <v>0.797101449275362</v>
      </c>
      <c r="G84" s="103" t="n">
        <v>0.791767554479419</v>
      </c>
      <c r="H84" s="104" t="n">
        <v>-0.533389479594293</v>
      </c>
      <c r="I84" s="102" t="inlineStr">
        <is>
          <t xml:space="preserve">IP individual</t>
        </is>
      </c>
      <c r="J84" s="102" t="inlineStr">
        <is>
          <t xml:space="preserve">'Retención 1er año x IES'!A45:U45</t>
        </is>
      </c>
    </row>
    <row r="85" customFormat="false" ht="18.75" hidden="false" customHeight="true" outlineLevel="0" collapsed="false">
      <c r="B85" s="105" t="n">
        <v>106</v>
      </c>
      <c r="C85" s="105" t="str">
        <v>IP PROVIDENCIA</v>
      </c>
      <c r="D85" s="106" t="n">
        <v>0.590976698066435</v>
      </c>
      <c r="E85" s="106" t="n">
        <v>0.604769230769231</v>
      </c>
      <c r="F85" s="106" t="n">
        <v>0.615707098937954</v>
      </c>
      <c r="G85" s="106" t="n">
        <v>0.576060654944346</v>
      </c>
      <c r="H85" s="107" t="n">
        <v>-3.9646443993608</v>
      </c>
      <c r="I85" s="105" t="inlineStr">
        <is>
          <t xml:space="preserve">IP individual</t>
        </is>
      </c>
      <c r="J85" s="105" t="inlineStr">
        <is>
          <t xml:space="preserve">'Retención 1er año x IES'!A46:U46</t>
        </is>
      </c>
    </row>
    <row r="86" customFormat="false" ht="18.75" hidden="false" customHeight="true" outlineLevel="0" collapsed="false">
      <c r="B86" s="102" t="n">
        <v>108</v>
      </c>
      <c r="C86" s="102" t="str">
        <v>IP CHILENO BRITANICO DE CULTURA</v>
      </c>
      <c r="D86" s="103" t="n">
        <v>0.51004016064257</v>
      </c>
      <c r="E86" s="103" t="n">
        <v>0.41696113074205</v>
      </c>
      <c r="F86" s="103" t="n">
        <v>0.25625</v>
      </c>
      <c r="G86" s="103" t="n">
        <v>0.119047619047619</v>
      </c>
      <c r="H86" s="104" t="n">
        <v>-13.7202380952381</v>
      </c>
      <c r="I86" s="102" t="inlineStr">
        <is>
          <t xml:space="preserve">IP individual</t>
        </is>
      </c>
      <c r="J86" s="102" t="inlineStr">
        <is>
          <t xml:space="preserve">'Retención 1er año x IES'!A47:U47</t>
        </is>
      </c>
    </row>
    <row r="87" customFormat="false" ht="18.75" hidden="false" customHeight="true" outlineLevel="0" collapsed="false">
      <c r="B87" s="105" t="n">
        <v>111</v>
      </c>
      <c r="C87" s="105" t="str">
        <v>IP DUOC UC</v>
      </c>
      <c r="D87" s="106" t="n">
        <v>0.788989909081826</v>
      </c>
      <c r="E87" s="106" t="n">
        <v>0.796312284163789</v>
      </c>
      <c r="F87" s="106" t="n">
        <v>0.792212111134625</v>
      </c>
      <c r="G87" s="106" t="n">
        <v>0.780402741553952</v>
      </c>
      <c r="H87" s="107" t="n">
        <v>-1.1809369580673</v>
      </c>
      <c r="I87" s="105" t="inlineStr">
        <is>
          <t xml:space="preserve">IP individual</t>
        </is>
      </c>
      <c r="J87" s="105" t="inlineStr">
        <is>
          <t xml:space="preserve">'Retención 1er año x IES'!A48:U48</t>
        </is>
      </c>
    </row>
    <row r="88" customFormat="false" ht="18.75" hidden="false" customHeight="true" outlineLevel="0" collapsed="false">
      <c r="B88" s="102" t="n">
        <v>113</v>
      </c>
      <c r="C88" s="102" t="str">
        <v>IP IPG</v>
      </c>
      <c r="D88" s="103" t="n">
        <v>0.559873949579832</v>
      </c>
      <c r="E88" s="103" t="n">
        <v>0.511015583019882</v>
      </c>
      <c r="F88" s="103" t="n">
        <v>0.580624187256177</v>
      </c>
      <c r="G88" s="103" t="n">
        <v>0.579741379310345</v>
      </c>
      <c r="H88" s="104" t="n">
        <v>-0.0882807945832065</v>
      </c>
      <c r="I88" s="102" t="inlineStr">
        <is>
          <t xml:space="preserve">IP individual</t>
        </is>
      </c>
      <c r="J88" s="102" t="inlineStr">
        <is>
          <t xml:space="preserve">'Retención 1er año x IES'!A49:U49</t>
        </is>
      </c>
    </row>
    <row r="89" customFormat="false" ht="18.75" hidden="false" customHeight="true" outlineLevel="0" collapsed="false">
      <c r="B89" s="105" t="n">
        <v>116</v>
      </c>
      <c r="C89" s="105" t="str">
        <v>IP SANTO TOMAS</v>
      </c>
      <c r="D89" s="106" t="n">
        <v>0.769476203137464</v>
      </c>
      <c r="E89" s="106" t="n">
        <v>0.760185662712739</v>
      </c>
      <c r="F89" s="106" t="n">
        <v>0.74645875491013</v>
      </c>
      <c r="G89" s="106" t="n">
        <v>0.738619676945668</v>
      </c>
      <c r="H89" s="107" t="n">
        <v>-0.783907796446204</v>
      </c>
      <c r="I89" s="105" t="inlineStr">
        <is>
          <t xml:space="preserve">IP individual</t>
        </is>
      </c>
      <c r="J89" s="105" t="inlineStr">
        <is>
          <t xml:space="preserve">'Retención 1er año x IES'!A50:U50</t>
        </is>
      </c>
    </row>
    <row r="90" customFormat="false" ht="18.75" hidden="false" customHeight="true" outlineLevel="0" collapsed="false">
      <c r="B90" s="102" t="n">
        <v>117</v>
      </c>
      <c r="C90" s="102" t="str">
        <v>IP IACC</v>
      </c>
      <c r="D90" s="103" t="n">
        <v>0.618426724137931</v>
      </c>
      <c r="E90" s="103" t="n">
        <v>0.614698031364698</v>
      </c>
      <c r="F90" s="103" t="n">
        <v>0.634637454355764</v>
      </c>
      <c r="G90" s="103" t="n">
        <v>0.655200323755565</v>
      </c>
      <c r="H90" s="104" t="n">
        <v>2.0562869399801</v>
      </c>
      <c r="I90" s="102" t="inlineStr">
        <is>
          <t xml:space="preserve">IP individual</t>
        </is>
      </c>
      <c r="J90" s="102" t="inlineStr">
        <is>
          <t xml:space="preserve">'Retención 1er año x IES'!A51:U51</t>
        </is>
      </c>
    </row>
    <row r="91" customFormat="false" ht="18.75" hidden="false" customHeight="true" outlineLevel="0" collapsed="false">
      <c r="B91" s="105" t="n">
        <v>123</v>
      </c>
      <c r="C91" s="105" t="str">
        <v>IP DE CHILE</v>
      </c>
      <c r="D91" s="106" t="n">
        <v>0.70551724137931</v>
      </c>
      <c r="E91" s="106" t="n">
        <v>0.722080291970803</v>
      </c>
      <c r="F91" s="106" t="n">
        <v>0.744206008583691</v>
      </c>
      <c r="G91" s="106" t="n">
        <v>0.721157080390178</v>
      </c>
      <c r="H91" s="107" t="n">
        <v>-2.3048928193513</v>
      </c>
      <c r="I91" s="105" t="inlineStr">
        <is>
          <t xml:space="preserve">IP individual</t>
        </is>
      </c>
      <c r="J91" s="105" t="inlineStr">
        <is>
          <t xml:space="preserve">'Retención 1er año x IES'!A52:U52</t>
        </is>
      </c>
    </row>
    <row r="92" customFormat="false" ht="18.75" hidden="false" customHeight="true" outlineLevel="0" collapsed="false">
      <c r="B92" s="102" t="n">
        <v>129</v>
      </c>
      <c r="C92" s="102" t="str">
        <v>IP ESCUELA MODERNA DE MUSICA</v>
      </c>
      <c r="D92" s="103" t="n">
        <v>0.713114754098361</v>
      </c>
      <c r="E92" s="103" t="n">
        <v>0.703252032520325</v>
      </c>
      <c r="F92" s="103" t="n">
        <v>0.732217573221757</v>
      </c>
      <c r="G92" s="103" t="n">
        <v>0.777777777777778</v>
      </c>
      <c r="H92" s="104" t="n">
        <v>4.55602045560211</v>
      </c>
      <c r="I92" s="102" t="inlineStr">
        <is>
          <t xml:space="preserve">IP individual</t>
        </is>
      </c>
      <c r="J92" s="102" t="inlineStr">
        <is>
          <t xml:space="preserve">'Retención 1er año x IES'!A53:U53</t>
        </is>
      </c>
    </row>
    <row r="93" customFormat="false" ht="18.75" hidden="false" customHeight="true" outlineLevel="0" collapsed="false">
      <c r="B93" s="105" t="n">
        <v>137</v>
      </c>
      <c r="C93" s="105" t="str">
        <v>IP EATRI</v>
      </c>
      <c r="D93" s="106" t="n">
        <v>0.635714285714286</v>
      </c>
      <c r="E93" s="106" t="n">
        <v>0.650485436893204</v>
      </c>
      <c r="F93" s="106" t="n">
        <v>0.547368421052632</v>
      </c>
      <c r="G93" s="106" t="n">
        <v>0.545112781954887</v>
      </c>
      <c r="H93" s="107" t="n">
        <v>-0.225563909774495</v>
      </c>
      <c r="I93" s="105" t="inlineStr">
        <is>
          <t xml:space="preserve">IP individual</t>
        </is>
      </c>
      <c r="J93" s="105" t="inlineStr">
        <is>
          <t xml:space="preserve">'Retención 1er año x IES'!A54:U54</t>
        </is>
      </c>
    </row>
    <row r="94" customFormat="false" ht="18.75" hidden="false" customHeight="true" outlineLevel="0" collapsed="false">
      <c r="B94" s="102" t="n">
        <v>139</v>
      </c>
      <c r="C94" s="102" t="str">
        <v>IP DR. VIRGINIO GOMEZ G.</v>
      </c>
      <c r="D94" s="103" t="n">
        <v>0.701904761904762</v>
      </c>
      <c r="E94" s="103" t="n">
        <v>0.766245765321836</v>
      </c>
      <c r="F94" s="103" t="n">
        <v>0.756631299734748</v>
      </c>
      <c r="G94" s="103" t="n">
        <v>0.744186046511628</v>
      </c>
      <c r="H94" s="104" t="n">
        <v>-1.244525322312</v>
      </c>
      <c r="I94" s="102" t="inlineStr">
        <is>
          <t xml:space="preserve">IP individual</t>
        </is>
      </c>
      <c r="J94" s="102" t="inlineStr">
        <is>
          <t xml:space="preserve">'Retención 1er año x IES'!A55:U55</t>
        </is>
      </c>
    </row>
    <row r="95" customFormat="false" ht="18.75" hidden="false" customHeight="true" outlineLevel="0" collapsed="false">
      <c r="B95" s="105" t="n">
        <v>143</v>
      </c>
      <c r="C95" s="105" t="str">
        <v>IP AIEP</v>
      </c>
      <c r="D95" s="106" t="n">
        <v>0.675694155419466</v>
      </c>
      <c r="E95" s="106" t="n">
        <v>0.686905027221497</v>
      </c>
      <c r="F95" s="106" t="n">
        <v>0.673640167364017</v>
      </c>
      <c r="G95" s="106" t="n">
        <v>0.678537918655407</v>
      </c>
      <c r="H95" s="107" t="n">
        <v>0.489775129139003</v>
      </c>
      <c r="I95" s="105" t="inlineStr">
        <is>
          <t xml:space="preserve">IP individual</t>
        </is>
      </c>
      <c r="J95" s="105" t="inlineStr">
        <is>
          <t xml:space="preserve">'Retención 1er año x IES'!A56:U56</t>
        </is>
      </c>
    </row>
    <row r="96" customFormat="false" ht="18.75" hidden="false" customHeight="true" outlineLevel="0" collapsed="false">
      <c r="B96" s="102" t="n">
        <v>152</v>
      </c>
      <c r="C96" s="102" t="str">
        <v>IP LATINOAMERICANO DE COMERCIO EXTERIOR - IPLACEX</v>
      </c>
      <c r="D96" s="103" t="n">
        <v>0.795104261106074</v>
      </c>
      <c r="E96" s="103" t="n">
        <v>0.747649411001837</v>
      </c>
      <c r="F96" s="103" t="n">
        <v>0.761167956076866</v>
      </c>
      <c r="G96" s="103" t="n">
        <v>0.738540010598834</v>
      </c>
      <c r="H96" s="104" t="n">
        <v>-2.2627945478032</v>
      </c>
      <c r="I96" s="102" t="inlineStr">
        <is>
          <t xml:space="preserve">IP individual</t>
        </is>
      </c>
      <c r="J96" s="102" t="inlineStr">
        <is>
          <t xml:space="preserve">'Retención 1er año x IES'!A57:U57</t>
        </is>
      </c>
    </row>
    <row r="97" customFormat="false" ht="18.75" hidden="false" customHeight="true" outlineLevel="0" collapsed="false">
      <c r="B97" s="105" t="n">
        <v>155</v>
      </c>
      <c r="C97" s="105" t="str">
        <v>IP LOS LEONES</v>
      </c>
      <c r="D97" s="106" t="n">
        <v>0.722202858138724</v>
      </c>
      <c r="E97" s="106" t="n">
        <v>0.657183499288762</v>
      </c>
      <c r="F97" s="106" t="n">
        <v>0.71183800623053</v>
      </c>
      <c r="G97" s="106" t="n">
        <v>0.759733036707453</v>
      </c>
      <c r="H97" s="107" t="n">
        <v>4.7895030476923</v>
      </c>
      <c r="I97" s="105" t="inlineStr">
        <is>
          <t xml:space="preserve">IP individual</t>
        </is>
      </c>
      <c r="J97" s="105" t="inlineStr">
        <is>
          <t xml:space="preserve">'Retención 1er año x IES'!A58:U58</t>
        </is>
      </c>
    </row>
    <row r="98" customFormat="false" ht="18.75" hidden="false" customHeight="true" outlineLevel="0" collapsed="false">
      <c r="B98" s="102" t="n">
        <v>162</v>
      </c>
      <c r="C98" s="102" t="str">
        <v>IP SAN SEBASTIAN</v>
      </c>
      <c r="D98" s="103" t="n">
        <v>0.689516129032258</v>
      </c>
      <c r="E98" s="103" t="n">
        <v>0.705722070844687</v>
      </c>
      <c r="F98" s="103" t="n">
        <v>0.675</v>
      </c>
      <c r="G98" s="103" t="n">
        <v>0.582115219260533</v>
      </c>
      <c r="H98" s="104" t="n">
        <v>-9.2884780739467</v>
      </c>
      <c r="I98" s="102" t="inlineStr">
        <is>
          <t xml:space="preserve">IP individual</t>
        </is>
      </c>
      <c r="J98" s="102" t="inlineStr">
        <is>
          <t xml:space="preserve">'Retención 1er año x IES'!A59:U59</t>
        </is>
      </c>
    </row>
    <row r="99" customFormat="false" ht="18.75" hidden="false" customHeight="true" outlineLevel="0" collapsed="false">
      <c r="B99" s="105" t="n">
        <v>171</v>
      </c>
      <c r="C99" s="105" t="str">
        <v>IP ESCUELA DE COMERCIO DE SANTIAGO</v>
      </c>
      <c r="D99" s="106" t="n">
        <v>0.531380753138075</v>
      </c>
      <c r="E99" s="106" t="n">
        <v>0.578947368421053</v>
      </c>
      <c r="F99" s="106" t="n">
        <v>0.693658536585366</v>
      </c>
      <c r="G99" s="106" t="n">
        <v>0.709754163362411</v>
      </c>
      <c r="H99" s="107" t="n">
        <v>1.6095626777045</v>
      </c>
      <c r="I99" s="105" t="inlineStr">
        <is>
          <t xml:space="preserve">IP individual</t>
        </is>
      </c>
      <c r="J99" s="105" t="inlineStr">
        <is>
          <t xml:space="preserve">'Retención 1er año x IES'!A60:U60</t>
        </is>
      </c>
    </row>
    <row r="100" customFormat="false" ht="18.75" hidden="false" customHeight="true" outlineLevel="0" collapsed="false">
      <c r="B100" s="102" t="n">
        <v>193</v>
      </c>
      <c r="C100" s="102" t="str">
        <v>IP INSTITUTO NACIONAL DEL FUTBOL</v>
      </c>
      <c r="D100" s="103" t="n">
        <v>0.75</v>
      </c>
      <c r="E100" s="103" t="n">
        <v>0.809885931558935</v>
      </c>
      <c r="F100" s="103" t="n">
        <v>0.793233082706767</v>
      </c>
      <c r="G100" s="103" t="n">
        <v>0.742990654205608</v>
      </c>
      <c r="H100" s="104" t="n">
        <v>-5.0242428501159</v>
      </c>
      <c r="I100" s="102" t="inlineStr">
        <is>
          <t xml:space="preserve">IP individual</t>
        </is>
      </c>
      <c r="J100" s="102" t="inlineStr">
        <is>
          <t xml:space="preserve">'Retención 1er año x IES'!A61:U61</t>
        </is>
      </c>
    </row>
    <row r="101" customFormat="false" ht="18.75" hidden="false" customHeight="true" outlineLevel="0" collapsed="false">
      <c r="B101" s="105" t="n">
        <v>676</v>
      </c>
      <c r="C101" s="105" t="str">
        <v>IP INSTITUTO INTERNACIONAL DE ARTES CULINARIAS Y SERVICIOS</v>
      </c>
      <c r="D101" s="106" t="n">
        <v>0.820276497695853</v>
      </c>
      <c r="E101" s="106" t="n">
        <v>0.850340136054422</v>
      </c>
      <c r="F101" s="106" t="n">
        <v>0.814606741573034</v>
      </c>
      <c r="G101" s="106" t="n">
        <v>0.874074074074074</v>
      </c>
      <c r="H101" s="107" t="n">
        <v>5.946733250104</v>
      </c>
      <c r="I101" s="105" t="inlineStr">
        <is>
          <t xml:space="preserve">IP individual</t>
        </is>
      </c>
      <c r="J101" s="105" t="inlineStr">
        <is>
          <t xml:space="preserve">'Retención 1er año x IES'!A62:U62</t>
        </is>
      </c>
    </row>
    <row r="102" customFormat="false" ht="18.75" hidden="false" customHeight="true" outlineLevel="0" collapsed="false">
      <c r="B102" s="102" t="n">
        <v>693</v>
      </c>
      <c r="C102" s="102" t="str">
        <v>IP PROJAZZ</v>
      </c>
      <c r="D102" s="103" t="n">
        <v>0.710743801652893</v>
      </c>
      <c r="E102" s="103" t="n">
        <v>0.787037037037037</v>
      </c>
      <c r="F102" s="103" t="n">
        <v>0.641666666666667</v>
      </c>
      <c r="G102" s="103" t="n">
        <v>0.7</v>
      </c>
      <c r="H102" s="104" t="n">
        <v>5.83333333333329</v>
      </c>
      <c r="I102" s="102" t="inlineStr">
        <is>
          <t xml:space="preserve">IP individual</t>
        </is>
      </c>
      <c r="J102" s="102" t="inlineStr">
        <is>
          <t xml:space="preserve">'Retención 1er año x IES'!A63:U63</t>
        </is>
      </c>
    </row>
    <row r="103" customFormat="false" ht="18.75" hidden="false" customHeight="true" outlineLevel="0" collapsed="false">
      <c r="B103" s="105" t="n">
        <v>754</v>
      </c>
      <c r="C103" s="105" t="str">
        <v>IP ESCUELA DE MARINA MERCANTE PILOTO PARDO</v>
      </c>
      <c r="D103" s="106" t="n">
        <v>0.692307692307692</v>
      </c>
      <c r="E103" s="106" t="n">
        <v>0.658536585365854</v>
      </c>
      <c r="F103" s="106" t="n">
        <v>0.942307692307692</v>
      </c>
      <c r="G103" s="106" t="n">
        <v>0.727272727272727</v>
      </c>
      <c r="H103" s="107" t="n">
        <v>-21.5034965034965</v>
      </c>
      <c r="I103" s="105" t="inlineStr">
        <is>
          <t xml:space="preserve">IP individual</t>
        </is>
      </c>
      <c r="J103" s="105" t="inlineStr">
        <is>
          <t xml:space="preserve">'Retención 1er año x IES'!A64:U64</t>
        </is>
      </c>
    </row>
    <row r="104" customFormat="false" ht="18.75" hidden="false" customHeight="true" outlineLevel="0" collapsed="false">
      <c r="B104" s="102" t="n">
        <v>951</v>
      </c>
      <c r="C104" s="102" t="str">
        <v>IP CICERON</v>
      </c>
      <c r="D104" s="103" t="str">
        <v>n/a</v>
      </c>
      <c r="E104" s="103" t="n">
        <v>0.9</v>
      </c>
      <c r="F104" s="103" t="n">
        <v>0.818181818181818</v>
      </c>
      <c r="G104" s="103" t="n">
        <v>0.733333333333333</v>
      </c>
      <c r="H104" s="104" t="n">
        <v>-8.48484848484851</v>
      </c>
      <c r="I104" s="102" t="inlineStr">
        <is>
          <t xml:space="preserve">IP individual</t>
        </is>
      </c>
      <c r="J104" s="102" t="inlineStr">
        <is>
          <t xml:space="preserve">'Retención 1er año x IES'!A65:U65</t>
        </is>
      </c>
    </row>
    <row r="106" customFormat="false" ht="22.5" hidden="false" customHeight="true" outlineLevel="0" collapsed="false">
      <c r="B106" s="96" t="inlineStr">
        <is>
          <t xml:space="preserve">Área del conocimiento — comparación descriptiva con todas las IES</t>
        </is>
      </c>
      <c r="C106" s="96"/>
      <c r="D106" s="96"/>
      <c r="E106" s="96"/>
      <c r="F106" s="96"/>
      <c r="G106" s="96"/>
      <c r="H106" s="96"/>
      <c r="I106" s="96"/>
      <c r="J106" s="96"/>
    </row>
    <row r="107" customFormat="false" ht="30" hidden="false" customHeight="true" outlineLevel="0" collapsed="false">
      <c r="B107" s="108" t="inlineStr">
        <is>
          <t xml:space="preserve">B/C · Categoría exacta de oferta histórica por código único/cohorte. SIES publica aquí la tasa de todo el sistema, no una tasa del subsistema IP: el contraste no debe leerse como brecha frente a los IP.</t>
        </is>
      </c>
      <c r="C107" s="108"/>
      <c r="D107" s="108"/>
      <c r="E107" s="108"/>
      <c r="F107" s="108"/>
      <c r="G107" s="108"/>
      <c r="H107" s="108"/>
      <c r="I107" s="108"/>
      <c r="J107" s="108"/>
    </row>
    <row r="108" customFormat="false" ht="30" hidden="false" customHeight="true" outlineLevel="0" collapsed="false">
      <c r="B108" s="101" t="inlineStr">
        <is>
          <t xml:space="preserve">Área SIES</t>
        </is>
      </c>
      <c r="C108" s="101" t="inlineStr">
        <is>
          <t xml:space="preserve">Estudiantes IPSS</t>
        </is>
      </c>
      <c r="D108" s="101" t="inlineStr">
        <is>
          <t xml:space="preserve">Retenidos IPSS</t>
        </is>
      </c>
      <c r="E108" s="101" t="inlineStr">
        <is>
          <t xml:space="preserve">Tasa IPSS interna</t>
        </is>
      </c>
      <c r="F108" s="101" t="inlineStr">
        <is>
          <t xml:space="preserve">SIES todas las IES</t>
        </is>
      </c>
      <c r="G108" s="101" t="inlineStr">
        <is>
          <t xml:space="preserve">Diferencia descriptiva (pp)</t>
        </is>
      </c>
      <c r="H108" s="101" t="inlineStr">
        <is>
          <t xml:space="preserve">Cohorte</t>
        </is>
      </c>
      <c r="I108" s="101" t="inlineStr">
        <is>
          <t xml:space="preserve">Ámbito SIES</t>
        </is>
      </c>
      <c r="J108" s="101" t="inlineStr">
        <is>
          <t xml:space="preserve">Fila SIES</t>
        </is>
      </c>
    </row>
    <row r="109" customFormat="false" ht="18.75" hidden="false" customHeight="true" outlineLevel="0" collapsed="false">
      <c r="B109" s="105" t="inlineStr">
        <is>
          <t xml:space="preserve">Administración y Comercio</t>
        </is>
      </c>
      <c r="C109" s="105" t="n">
        <v>385</v>
      </c>
      <c r="D109" s="105" t="n">
        <v>208</v>
      </c>
      <c r="E109" s="106" t="n">
        <v>0.54025974025974</v>
      </c>
      <c r="F109" s="106" t="n">
        <v>0.748091236494598</v>
      </c>
      <c r="G109" s="107" t="n">
        <v>-20.7831496234858</v>
      </c>
      <c r="H109" s="105" t="n">
        <v>2025</v>
      </c>
      <c r="I109" s="105" t="inlineStr">
        <is>
          <t xml:space="preserve">Todas las IES</t>
        </is>
      </c>
      <c r="J109" s="105" t="n">
        <v>48</v>
      </c>
    </row>
    <row r="110" customFormat="false" ht="18.75" hidden="false" customHeight="true" outlineLevel="0" collapsed="false">
      <c r="B110" s="102" t="inlineStr">
        <is>
          <t xml:space="preserve">Ciencias Básicas</t>
        </is>
      </c>
      <c r="C110" s="102" t="n">
        <v>63</v>
      </c>
      <c r="D110" s="102" t="n">
        <v>34</v>
      </c>
      <c r="E110" s="103" t="n">
        <v>0.53968253968254</v>
      </c>
      <c r="F110" s="103" t="n">
        <v>0.74907063197026</v>
      </c>
      <c r="G110" s="104" t="n">
        <v>-20.938809228772</v>
      </c>
      <c r="H110" s="102" t="n">
        <v>2025</v>
      </c>
      <c r="I110" s="102" t="inlineStr">
        <is>
          <t xml:space="preserve">Todas las IES</t>
        </is>
      </c>
      <c r="J110" s="102" t="n">
        <v>51</v>
      </c>
    </row>
    <row r="111" customFormat="false" ht="18.75" hidden="false" customHeight="true" outlineLevel="0" collapsed="false">
      <c r="B111" s="105" t="inlineStr">
        <is>
          <t xml:space="preserve">Ciencias Sociales</t>
        </is>
      </c>
      <c r="C111" s="105" t="n">
        <v>92</v>
      </c>
      <c r="D111" s="105" t="n">
        <v>44</v>
      </c>
      <c r="E111" s="106" t="n">
        <v>0.478260869565217</v>
      </c>
      <c r="F111" s="106" t="n">
        <v>0.809443978765018</v>
      </c>
      <c r="G111" s="107" t="n">
        <v>-33.1183109199801</v>
      </c>
      <c r="H111" s="105" t="n">
        <v>2025</v>
      </c>
      <c r="I111" s="105" t="inlineStr">
        <is>
          <t xml:space="preserve">Todas las IES</t>
        </is>
      </c>
      <c r="J111" s="105" t="n">
        <v>52</v>
      </c>
    </row>
    <row r="112" customFormat="false" ht="18.75" hidden="false" customHeight="true" outlineLevel="0" collapsed="false">
      <c r="B112" s="102" t="inlineStr">
        <is>
          <t xml:space="preserve">Salud</t>
        </is>
      </c>
      <c r="C112" s="102" t="n">
        <v>75</v>
      </c>
      <c r="D112" s="102" t="n">
        <v>35</v>
      </c>
      <c r="E112" s="103" t="n">
        <v>0.466666666666667</v>
      </c>
      <c r="F112" s="103" t="n">
        <v>0.819305473808123</v>
      </c>
      <c r="G112" s="104" t="n">
        <v>-35.2638807141456</v>
      </c>
      <c r="H112" s="102" t="n">
        <v>2025</v>
      </c>
      <c r="I112" s="102" t="inlineStr">
        <is>
          <t xml:space="preserve">Todas las IES</t>
        </is>
      </c>
      <c r="J112" s="102" t="n">
        <v>56</v>
      </c>
    </row>
    <row r="113" customFormat="false" ht="18.75" hidden="false" customHeight="true" outlineLevel="0" collapsed="false">
      <c r="B113" s="105" t="inlineStr">
        <is>
          <t xml:space="preserve">Tecnología</t>
        </is>
      </c>
      <c r="C113" s="105" t="n">
        <v>535</v>
      </c>
      <c r="D113" s="105" t="n">
        <v>347</v>
      </c>
      <c r="E113" s="106" t="n">
        <v>0.648598130841122</v>
      </c>
      <c r="F113" s="106" t="n">
        <v>0.751877315902806</v>
      </c>
      <c r="G113" s="107" t="n">
        <v>-10.3279185061685</v>
      </c>
      <c r="H113" s="105" t="n">
        <v>2025</v>
      </c>
      <c r="I113" s="105" t="inlineStr">
        <is>
          <t xml:space="preserve">Todas las IES</t>
        </is>
      </c>
      <c r="J113" s="105" t="n">
        <v>57</v>
      </c>
    </row>
    <row r="116" customFormat="false" ht="22.5" hidden="false" customHeight="true" outlineLevel="0" collapsed="false">
      <c r="B116" s="96" t="inlineStr">
        <is>
          <t xml:space="preserve">Tipo de carrera × área — referencia nacional de todas las IES</t>
        </is>
      </c>
      <c r="C116" s="96"/>
      <c r="D116" s="96"/>
      <c r="E116" s="96"/>
      <c r="F116" s="96"/>
      <c r="G116" s="96"/>
      <c r="H116" s="96"/>
      <c r="I116" s="96"/>
      <c r="J116" s="96"/>
    </row>
    <row r="117" customFormat="false" ht="30" hidden="false" customHeight="true" outlineLevel="0" collapsed="false">
      <c r="B117" s="101" t="inlineStr">
        <is>
          <t xml:space="preserve">Tipo de carrera</t>
        </is>
      </c>
      <c r="C117" s="101" t="inlineStr">
        <is>
          <t xml:space="preserve">Área SIES</t>
        </is>
      </c>
      <c r="D117" s="101" t="inlineStr">
        <is>
          <t xml:space="preserve">Estudiantes IPSS</t>
        </is>
      </c>
      <c r="E117" s="101" t="inlineStr">
        <is>
          <t xml:space="preserve">Retenidos IPSS</t>
        </is>
      </c>
      <c r="F117" s="101" t="inlineStr">
        <is>
          <t xml:space="preserve">Tasa IPSS interna</t>
        </is>
      </c>
      <c r="G117" s="101" t="inlineStr">
        <is>
          <t xml:space="preserve">SIES todas las IES</t>
        </is>
      </c>
      <c r="H117" s="101" t="inlineStr">
        <is>
          <t xml:space="preserve">Diferencia descriptiva (pp)</t>
        </is>
      </c>
      <c r="I117" s="101" t="inlineStr">
        <is>
          <t xml:space="preserve">Cohorte</t>
        </is>
      </c>
      <c r="J117" s="101" t="inlineStr">
        <is>
          <t xml:space="preserve">Fila SIES</t>
        </is>
      </c>
    </row>
    <row r="118" customFormat="false" ht="18.75" hidden="false" customHeight="true" outlineLevel="0" collapsed="false">
      <c r="B118" s="102" t="inlineStr">
        <is>
          <t xml:space="preserve">Técnico</t>
        </is>
      </c>
      <c r="C118" s="102" t="inlineStr">
        <is>
          <t xml:space="preserve">Administración y Comercio</t>
        </is>
      </c>
      <c r="D118" s="102" t="n">
        <v>193</v>
      </c>
      <c r="E118" s="102" t="n">
        <v>98</v>
      </c>
      <c r="F118" s="103" t="n">
        <v>0.507772020725389</v>
      </c>
      <c r="G118" s="103" t="n">
        <v>0.671274834437086</v>
      </c>
      <c r="H118" s="104" t="n">
        <v>-16.3502813711697</v>
      </c>
      <c r="I118" s="102" t="n">
        <v>2025</v>
      </c>
      <c r="J118" s="102" t="n">
        <v>74</v>
      </c>
    </row>
    <row r="119" customFormat="false" ht="18.75" hidden="false" customHeight="true" outlineLevel="0" collapsed="false">
      <c r="B119" s="105" t="inlineStr">
        <is>
          <t xml:space="preserve">Técnico</t>
        </is>
      </c>
      <c r="C119" s="105" t="inlineStr">
        <is>
          <t xml:space="preserve">Ciencias Básicas</t>
        </is>
      </c>
      <c r="D119" s="105" t="n">
        <v>23</v>
      </c>
      <c r="E119" s="105" t="n">
        <v>13</v>
      </c>
      <c r="F119" s="106" t="n">
        <v>0.565217391304348</v>
      </c>
      <c r="G119" s="106" t="n">
        <v>0.64527027027027</v>
      </c>
      <c r="H119" s="107" t="n">
        <v>-8.00528789659222</v>
      </c>
      <c r="I119" s="105" t="n">
        <v>2025</v>
      </c>
      <c r="J119" s="105" t="n">
        <v>77</v>
      </c>
    </row>
    <row r="120" customFormat="false" ht="18.75" hidden="false" customHeight="true" outlineLevel="0" collapsed="false">
      <c r="B120" s="102" t="inlineStr">
        <is>
          <t xml:space="preserve">Técnico</t>
        </is>
      </c>
      <c r="C120" s="102" t="inlineStr">
        <is>
          <t xml:space="preserve">Ciencias Sociales</t>
        </is>
      </c>
      <c r="D120" s="102" t="n">
        <v>22</v>
      </c>
      <c r="E120" s="102" t="n">
        <v>11</v>
      </c>
      <c r="F120" s="103" t="n">
        <v>0.5</v>
      </c>
      <c r="G120" s="103" t="n">
        <v>0.672463248476156</v>
      </c>
      <c r="H120" s="104" t="n">
        <v>-17.2463248476156</v>
      </c>
      <c r="I120" s="102" t="n">
        <v>2025</v>
      </c>
      <c r="J120" s="102" t="n">
        <v>78</v>
      </c>
    </row>
    <row r="121" customFormat="false" ht="18.75" hidden="false" customHeight="true" outlineLevel="0" collapsed="false">
      <c r="B121" s="105" t="inlineStr">
        <is>
          <t xml:space="preserve">Técnico</t>
        </is>
      </c>
      <c r="C121" s="105" t="inlineStr">
        <is>
          <t xml:space="preserve">Salud</t>
        </is>
      </c>
      <c r="D121" s="105" t="n">
        <v>75</v>
      </c>
      <c r="E121" s="105" t="n">
        <v>35</v>
      </c>
      <c r="F121" s="106" t="n">
        <v>0.466666666666667</v>
      </c>
      <c r="G121" s="106" t="n">
        <v>0.726340013424106</v>
      </c>
      <c r="H121" s="107" t="n">
        <v>-25.9673346757439</v>
      </c>
      <c r="I121" s="105" t="n">
        <v>2025</v>
      </c>
      <c r="J121" s="105" t="n">
        <v>82</v>
      </c>
    </row>
    <row r="122" customFormat="false" ht="18.75" hidden="false" customHeight="true" outlineLevel="0" collapsed="false">
      <c r="B122" s="102" t="inlineStr">
        <is>
          <t xml:space="preserve">Técnico</t>
        </is>
      </c>
      <c r="C122" s="102" t="inlineStr">
        <is>
          <t xml:space="preserve">Tecnología</t>
        </is>
      </c>
      <c r="D122" s="102" t="n">
        <v>252</v>
      </c>
      <c r="E122" s="102" t="n">
        <v>158</v>
      </c>
      <c r="F122" s="103" t="n">
        <v>0.626984126984127</v>
      </c>
      <c r="G122" s="103" t="n">
        <v>0.660619213944183</v>
      </c>
      <c r="H122" s="104" t="n">
        <v>-3.3635086960056</v>
      </c>
      <c r="I122" s="102" t="n">
        <v>2025</v>
      </c>
      <c r="J122" s="102" t="n">
        <v>83</v>
      </c>
    </row>
    <row r="123" customFormat="false" ht="18.75" hidden="false" customHeight="true" outlineLevel="0" collapsed="false">
      <c r="B123" s="105" t="inlineStr">
        <is>
          <t xml:space="preserve">Profesional</t>
        </is>
      </c>
      <c r="C123" s="105" t="inlineStr">
        <is>
          <t xml:space="preserve">Administración y Comercio</t>
        </is>
      </c>
      <c r="D123" s="105" t="n">
        <v>192</v>
      </c>
      <c r="E123" s="105" t="n">
        <v>110</v>
      </c>
      <c r="F123" s="106" t="n">
        <v>0.572916666666667</v>
      </c>
      <c r="G123" s="106" t="n">
        <v>0.796528774631345</v>
      </c>
      <c r="H123" s="107" t="n">
        <v>-22.3612107964678</v>
      </c>
      <c r="I123" s="105" t="n">
        <v>2025</v>
      </c>
      <c r="J123" s="105" t="n">
        <v>63</v>
      </c>
    </row>
    <row r="124" customFormat="false" ht="18.75" hidden="false" customHeight="true" outlineLevel="0" collapsed="false">
      <c r="B124" s="102" t="inlineStr">
        <is>
          <t xml:space="preserve">Profesional</t>
        </is>
      </c>
      <c r="C124" s="102" t="inlineStr">
        <is>
          <t xml:space="preserve">Ciencias Básicas</t>
        </is>
      </c>
      <c r="D124" s="102" t="n">
        <v>40</v>
      </c>
      <c r="E124" s="102" t="n">
        <v>21</v>
      </c>
      <c r="F124" s="103" t="n">
        <v>0.525</v>
      </c>
      <c r="G124" s="103" t="n">
        <v>0.759549795361528</v>
      </c>
      <c r="H124" s="104" t="n">
        <v>-23.4549795361528</v>
      </c>
      <c r="I124" s="102" t="n">
        <v>2025</v>
      </c>
      <c r="J124" s="102" t="n">
        <v>66</v>
      </c>
    </row>
    <row r="125" customFormat="false" ht="18.75" hidden="false" customHeight="true" outlineLevel="0" collapsed="false">
      <c r="B125" s="105" t="inlineStr">
        <is>
          <t xml:space="preserve">Profesional</t>
        </is>
      </c>
      <c r="C125" s="105" t="inlineStr">
        <is>
          <t xml:space="preserve">Ciencias Sociales</t>
        </is>
      </c>
      <c r="D125" s="105" t="n">
        <v>70</v>
      </c>
      <c r="E125" s="105" t="n">
        <v>33</v>
      </c>
      <c r="F125" s="106" t="n">
        <v>0.471428571428571</v>
      </c>
      <c r="G125" s="106" t="n">
        <v>0.838133143093155</v>
      </c>
      <c r="H125" s="107" t="n">
        <v>-36.6704571664584</v>
      </c>
      <c r="I125" s="105" t="n">
        <v>2025</v>
      </c>
      <c r="J125" s="105" t="n">
        <v>67</v>
      </c>
    </row>
    <row r="126" customFormat="false" ht="18.75" hidden="false" customHeight="true" outlineLevel="0" collapsed="false">
      <c r="B126" s="102" t="inlineStr">
        <is>
          <t xml:space="preserve">Profesional</t>
        </is>
      </c>
      <c r="C126" s="102" t="inlineStr">
        <is>
          <t xml:space="preserve">Salud</t>
        </is>
      </c>
      <c r="D126" s="102" t="n">
        <v>0</v>
      </c>
      <c r="E126" s="102" t="n">
        <v>0</v>
      </c>
      <c r="F126" s="103" t="str">
        <v/>
      </c>
      <c r="G126" s="103" t="n">
        <v>0.871843502763628</v>
      </c>
      <c r="H126" s="104" t="str">
        <v/>
      </c>
      <c r="I126" s="102" t="n">
        <v>2025</v>
      </c>
      <c r="J126" s="102" t="n">
        <v>71</v>
      </c>
    </row>
    <row r="127" customFormat="false" ht="18.75" hidden="false" customHeight="true" outlineLevel="0" collapsed="false">
      <c r="B127" s="105" t="inlineStr">
        <is>
          <t xml:space="preserve">Profesional</t>
        </is>
      </c>
      <c r="C127" s="105" t="inlineStr">
        <is>
          <t xml:space="preserve">Tecnología</t>
        </is>
      </c>
      <c r="D127" s="105" t="n">
        <v>283</v>
      </c>
      <c r="E127" s="105" t="n">
        <v>189</v>
      </c>
      <c r="F127" s="106" t="n">
        <v>0.667844522968198</v>
      </c>
      <c r="G127" s="106" t="n">
        <v>0.79528371882964</v>
      </c>
      <c r="H127" s="107" t="n">
        <v>-12.7439195861442</v>
      </c>
      <c r="I127" s="105" t="n">
        <v>2025</v>
      </c>
      <c r="J127" s="105" t="n">
        <v>72</v>
      </c>
    </row>
  </sheetData>
  <autoFilter ref="B81:J104"/>
  <mergeCells count="25">
    <mergeCell ref="B1:J1"/>
    <mergeCell ref="B2:J2"/>
    <mergeCell ref="B6:J6"/>
    <mergeCell ref="C13:J13"/>
    <mergeCell ref="B16:J16"/>
    <mergeCell ref="B29:J29"/>
    <mergeCell ref="L31:U34"/>
    <mergeCell ref="B40:J40"/>
    <mergeCell ref="B42:J42"/>
    <mergeCell ref="B43:J43"/>
    <mergeCell ref="B67:J67"/>
    <mergeCell ref="C68:J68"/>
    <mergeCell ref="C69:J69"/>
    <mergeCell ref="C70:J70"/>
    <mergeCell ref="C71:J71"/>
    <mergeCell ref="C72:J72"/>
    <mergeCell ref="C73:J73"/>
    <mergeCell ref="C74:J74"/>
    <mergeCell ref="C75:J75"/>
    <mergeCell ref="C76:J76"/>
    <mergeCell ref="C77:J77"/>
    <mergeCell ref="B80:J80"/>
    <mergeCell ref="B106:J106"/>
    <mergeCell ref="B107:J107"/>
    <mergeCell ref="B116:J11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2B42"/>
    <pageSetUpPr fitToPage="true"/>
  </sheetPr>
  <dimension ref="A1:Q32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7" topLeftCell="E8" activePane="bottomRight" state="frozen"/>
      <selection pane="topLeft" activeCell="A1" activeCellId="0" sqref="A1"/>
      <selection pane="topRight" activeCell="E1" activeCellId="0" sqref="E1"/>
      <selection pane="bottomLeft" activeCell="A8" activeCellId="0" sqref="A8"/>
      <selection pane="bottomRight" activeCell="A1" activeCellId="0" sqref="A1"/>
    </sheetView>
  </sheetViews>
  <sheetFormatPr defaultColWidth="8.83203125" defaultRowHeight="15" customHeight="false" zeroHeight="false" outlineLevelRow="0" outlineLevelCol="0"/>
  <cols>
    <col collapsed="false" customWidth="true" hidden="false" outlineLevel="0" max="1" min="1" style="1" width="28"/>
    <col collapsed="false" customWidth="true" hidden="false" outlineLevel="0" max="2" min="2" style="1" width="31"/>
    <col collapsed="false" customWidth="true" hidden="false" outlineLevel="0" max="3" min="3" style="1" width="26"/>
    <col collapsed="false" customWidth="true" hidden="false" outlineLevel="0" max="4" min="4" style="1" width="53"/>
    <col collapsed="false" customWidth="true" hidden="false" outlineLevel="0" max="8" min="5" style="1" width="18"/>
    <col collapsed="false" customWidth="true" hidden="false" outlineLevel="0" max="9" min="9" style="1" width="14"/>
    <col collapsed="false" customWidth="true" hidden="false" outlineLevel="0" max="11" min="11" style="1" width="27"/>
    <col collapsed="false" customWidth="true" hidden="false" outlineLevel="0" max="12" min="12" style="1" width="54"/>
    <col collapsed="false" customWidth="true" hidden="false" outlineLevel="0" max="16" min="13" style="1" width="17"/>
    <col collapsed="false" customWidth="true" hidden="false" outlineLevel="0" max="17" min="17" style="1" width="13"/>
  </cols>
  <sheetData>
    <row r="1" customFormat="false" ht="22.5" hidden="false" customHeight="true" outlineLevel="0" collapsed="false">
      <c r="A1" s="96" t="inlineStr">
        <is>
          <t xml:space="preserve">17. Entradas gobernadas y cruce técnico — SIES 2022–2025</t>
        </is>
      </c>
      <c r="B1" s="96"/>
      <c r="C1" s="96"/>
      <c r="D1" s="96"/>
      <c r="E1" s="96"/>
      <c r="F1" s="96"/>
      <c r="G1" s="96"/>
      <c r="H1" s="96"/>
      <c r="I1" s="96"/>
    </row>
    <row r="2" customFormat="false" ht="15" hidden="false" customHeight="true" outlineLevel="0" collapsed="false">
      <c r="A2" s="1" t="inlineStr">
        <is>
          <t xml:space="preserve">B · Informe nacional SIES: /Users/alexi/Documents/GitHub/CARACTERIZACIÓN/gobernanza/sies/RETENCION/Informe_Retencion_SIES_2026_270702026.xlsx</t>
        </is>
      </c>
    </row>
    <row r="3" customFormat="false" ht="15" hidden="false" customHeight="true" outlineLevel="0" collapsed="false">
      <c r="A3" s="1" t="inlineStr">
        <is>
          <t xml:space="preserve">B · SHA-256: 168ac8baea6aee65fa8a40dfca5a269993951142c89cb536805f550b1ac3297b</t>
        </is>
      </c>
    </row>
    <row r="4" customFormat="false" ht="15" hidden="false" customHeight="true" outlineLevel="0" collapsed="false">
      <c r="A4" s="1" t="inlineStr">
        <is>
          <t xml:space="preserve">B · Oferta histórica: /Users/alexi/Documents/GitHub/avance_curricular/oferta_academica_2027/06_validaciones/historico_comparativo_sies_162/REGISTROS_HISTORICO_SIES_162_20260817_161944.tsv · SHA-256 c3bc04a39816792c144e846c74da723b2c842627d5724141e1802a82407f455a</t>
        </is>
      </c>
    </row>
    <row r="5" customFormat="false" ht="15" hidden="false" customHeight="true" outlineLevel="0" collapsed="false">
      <c r="A5" s="1" t="inlineStr">
        <is>
          <t xml:space="preserve">B · DURACION_ESTUDIOS: /Users/alexi/Documents/GitHub/CARACTERIZACIÓN/gobernanza/sies/DURACION_ESTUDIOS.tsv · SHA-256 701025451acf2f84078cf185d6ae0be0d8483d37e3b3e9483f70070397aebc6e</t>
        </is>
      </c>
    </row>
    <row r="6" customFormat="false" ht="15" hidden="false" customHeight="true" outlineLevel="0" collapsed="false">
      <c r="A6" s="1" t="inlineStr">
        <is>
          <t xml:space="preserve">C · Las tasas SIES de esta hoja son entradas publicadas; estudiantes y retenidos internos se calculan desde la hoja 9. No se promedian tasas.</t>
        </is>
      </c>
    </row>
    <row r="7" customFormat="false" ht="30" hidden="false" customHeight="true" outlineLevel="0" collapsed="false">
      <c r="A7" s="101" t="inlineStr">
        <is>
          <t xml:space="preserve">Código IES</t>
        </is>
      </c>
      <c r="B7" s="101" t="inlineStr">
        <is>
          <t xml:space="preserve">Instituto profesional</t>
        </is>
      </c>
      <c r="C7" s="101" t="n">
        <v>2022</v>
      </c>
      <c r="D7" s="101" t="n">
        <v>2023</v>
      </c>
      <c r="E7" s="101" t="n">
        <v>2024</v>
      </c>
      <c r="F7" s="101" t="n">
        <v>2025</v>
      </c>
    </row>
    <row r="8" customFormat="false" ht="18.75" hidden="false" customHeight="true" outlineLevel="0" collapsed="false">
      <c r="A8" s="102" t="n">
        <v>99</v>
      </c>
      <c r="B8" s="102" t="inlineStr">
        <is>
          <t xml:space="preserve">IP AGRARIO ADOLFO MATTHEI</t>
        </is>
      </c>
      <c r="C8" s="103" t="n">
        <v>0.79746835443038</v>
      </c>
      <c r="D8" s="103" t="n">
        <v>0.825</v>
      </c>
      <c r="E8" s="103" t="n">
        <v>0.835365853658537</v>
      </c>
      <c r="F8" s="103" t="n">
        <v>0.776223776223776</v>
      </c>
    </row>
    <row r="9" customFormat="false" ht="18.75" hidden="false" customHeight="true" outlineLevel="0" collapsed="false">
      <c r="A9" s="105" t="n">
        <v>100</v>
      </c>
      <c r="B9" s="105" t="inlineStr">
        <is>
          <t xml:space="preserve">IP INACAP</t>
        </is>
      </c>
      <c r="C9" s="106" t="n">
        <v>0.79525053043904</v>
      </c>
      <c r="D9" s="106" t="n">
        <v>0.81321453914689</v>
      </c>
      <c r="E9" s="106" t="n">
        <v>0.802948855782522</v>
      </c>
      <c r="F9" s="106" t="n">
        <v>0.799374600241632</v>
      </c>
    </row>
    <row r="10" customFormat="false" ht="18.75" hidden="false" customHeight="true" outlineLevel="0" collapsed="false">
      <c r="A10" s="102" t="n">
        <v>104</v>
      </c>
      <c r="B10" s="102" t="inlineStr">
        <is>
          <t xml:space="preserve">IP ESCUELA DE CONTADORES AUDITORES DE SANTIAGO</t>
        </is>
      </c>
      <c r="C10" s="103" t="n">
        <v>0.786057692307692</v>
      </c>
      <c r="D10" s="103" t="n">
        <v>0.807600950118765</v>
      </c>
      <c r="E10" s="103" t="n">
        <v>0.797101449275362</v>
      </c>
      <c r="F10" s="103" t="n">
        <v>0.791767554479419</v>
      </c>
    </row>
    <row r="11" customFormat="false" ht="18.75" hidden="false" customHeight="true" outlineLevel="0" collapsed="false">
      <c r="A11" s="105" t="n">
        <v>106</v>
      </c>
      <c r="B11" s="105" t="inlineStr">
        <is>
          <t xml:space="preserve">IP PROVIDENCIA</t>
        </is>
      </c>
      <c r="C11" s="106" t="n">
        <v>0.590976698066435</v>
      </c>
      <c r="D11" s="106" t="n">
        <v>0.604769230769231</v>
      </c>
      <c r="E11" s="106" t="n">
        <v>0.615707098937954</v>
      </c>
      <c r="F11" s="106" t="n">
        <v>0.576060654944346</v>
      </c>
    </row>
    <row r="12" customFormat="false" ht="18.75" hidden="false" customHeight="true" outlineLevel="0" collapsed="false">
      <c r="A12" s="102" t="n">
        <v>108</v>
      </c>
      <c r="B12" s="102" t="inlineStr">
        <is>
          <t xml:space="preserve">IP CHILENO BRITANICO DE CULTURA</t>
        </is>
      </c>
      <c r="C12" s="103" t="n">
        <v>0.51004016064257</v>
      </c>
      <c r="D12" s="103" t="n">
        <v>0.41696113074205</v>
      </c>
      <c r="E12" s="103" t="n">
        <v>0.25625</v>
      </c>
      <c r="F12" s="103" t="n">
        <v>0.119047619047619</v>
      </c>
    </row>
    <row r="13" customFormat="false" ht="18.75" hidden="false" customHeight="true" outlineLevel="0" collapsed="false">
      <c r="A13" s="105" t="n">
        <v>111</v>
      </c>
      <c r="B13" s="105" t="inlineStr">
        <is>
          <t xml:space="preserve">IP DUOC UC</t>
        </is>
      </c>
      <c r="C13" s="106" t="n">
        <v>0.788989909081826</v>
      </c>
      <c r="D13" s="106" t="n">
        <v>0.796312284163789</v>
      </c>
      <c r="E13" s="106" t="n">
        <v>0.792212111134625</v>
      </c>
      <c r="F13" s="106" t="n">
        <v>0.780402741553952</v>
      </c>
    </row>
    <row r="14" customFormat="false" ht="18.75" hidden="false" customHeight="true" outlineLevel="0" collapsed="false">
      <c r="A14" s="102" t="n">
        <v>113</v>
      </c>
      <c r="B14" s="102" t="inlineStr">
        <is>
          <t xml:space="preserve">IP IPG</t>
        </is>
      </c>
      <c r="C14" s="103" t="n">
        <v>0.559873949579832</v>
      </c>
      <c r="D14" s="103" t="n">
        <v>0.511015583019882</v>
      </c>
      <c r="E14" s="103" t="n">
        <v>0.580624187256177</v>
      </c>
      <c r="F14" s="103" t="n">
        <v>0.579741379310345</v>
      </c>
    </row>
    <row r="15" customFormat="false" ht="18.75" hidden="false" customHeight="true" outlineLevel="0" collapsed="false">
      <c r="A15" s="105" t="n">
        <v>116</v>
      </c>
      <c r="B15" s="105" t="inlineStr">
        <is>
          <t xml:space="preserve">IP SANTO TOMAS</t>
        </is>
      </c>
      <c r="C15" s="106" t="n">
        <v>0.769476203137464</v>
      </c>
      <c r="D15" s="106" t="n">
        <v>0.760185662712739</v>
      </c>
      <c r="E15" s="106" t="n">
        <v>0.74645875491013</v>
      </c>
      <c r="F15" s="106" t="n">
        <v>0.738619676945668</v>
      </c>
    </row>
    <row r="16" customFormat="false" ht="18.75" hidden="false" customHeight="true" outlineLevel="0" collapsed="false">
      <c r="A16" s="102" t="n">
        <v>117</v>
      </c>
      <c r="B16" s="102" t="inlineStr">
        <is>
          <t xml:space="preserve">IP IACC</t>
        </is>
      </c>
      <c r="C16" s="103" t="n">
        <v>0.618426724137931</v>
      </c>
      <c r="D16" s="103" t="n">
        <v>0.614698031364698</v>
      </c>
      <c r="E16" s="103" t="n">
        <v>0.634637454355764</v>
      </c>
      <c r="F16" s="103" t="n">
        <v>0.655200323755565</v>
      </c>
    </row>
    <row r="17" customFormat="false" ht="18.75" hidden="false" customHeight="true" outlineLevel="0" collapsed="false">
      <c r="A17" s="105" t="n">
        <v>123</v>
      </c>
      <c r="B17" s="105" t="inlineStr">
        <is>
          <t xml:space="preserve">IP DE CHILE</t>
        </is>
      </c>
      <c r="C17" s="106" t="n">
        <v>0.70551724137931</v>
      </c>
      <c r="D17" s="106" t="n">
        <v>0.722080291970803</v>
      </c>
      <c r="E17" s="106" t="n">
        <v>0.744206008583691</v>
      </c>
      <c r="F17" s="106" t="n">
        <v>0.721157080390178</v>
      </c>
    </row>
    <row r="18" customFormat="false" ht="18.75" hidden="false" customHeight="true" outlineLevel="0" collapsed="false">
      <c r="A18" s="102" t="n">
        <v>129</v>
      </c>
      <c r="B18" s="102" t="inlineStr">
        <is>
          <t xml:space="preserve">IP ESCUELA MODERNA DE MUSICA</t>
        </is>
      </c>
      <c r="C18" s="103" t="n">
        <v>0.713114754098361</v>
      </c>
      <c r="D18" s="103" t="n">
        <v>0.703252032520325</v>
      </c>
      <c r="E18" s="103" t="n">
        <v>0.732217573221757</v>
      </c>
      <c r="F18" s="103" t="n">
        <v>0.777777777777778</v>
      </c>
    </row>
    <row r="19" customFormat="false" ht="18.75" hidden="false" customHeight="true" outlineLevel="0" collapsed="false">
      <c r="A19" s="105" t="n">
        <v>137</v>
      </c>
      <c r="B19" s="105" t="inlineStr">
        <is>
          <t xml:space="preserve">IP EATRI</t>
        </is>
      </c>
      <c r="C19" s="106" t="n">
        <v>0.635714285714286</v>
      </c>
      <c r="D19" s="106" t="n">
        <v>0.650485436893204</v>
      </c>
      <c r="E19" s="106" t="n">
        <v>0.547368421052632</v>
      </c>
      <c r="F19" s="106" t="n">
        <v>0.545112781954887</v>
      </c>
    </row>
    <row r="20" customFormat="false" ht="18.75" hidden="false" customHeight="true" outlineLevel="0" collapsed="false">
      <c r="A20" s="102" t="n">
        <v>139</v>
      </c>
      <c r="B20" s="102" t="inlineStr">
        <is>
          <t xml:space="preserve">IP DR. VIRGINIO GOMEZ G.</t>
        </is>
      </c>
      <c r="C20" s="103" t="n">
        <v>0.701904761904762</v>
      </c>
      <c r="D20" s="103" t="n">
        <v>0.766245765321836</v>
      </c>
      <c r="E20" s="103" t="n">
        <v>0.756631299734748</v>
      </c>
      <c r="F20" s="103" t="n">
        <v>0.744186046511628</v>
      </c>
    </row>
    <row r="21" customFormat="false" ht="18.75" hidden="false" customHeight="true" outlineLevel="0" collapsed="false">
      <c r="A21" s="105" t="n">
        <v>143</v>
      </c>
      <c r="B21" s="105" t="inlineStr">
        <is>
          <t xml:space="preserve">IP AIEP</t>
        </is>
      </c>
      <c r="C21" s="106" t="n">
        <v>0.675694155419466</v>
      </c>
      <c r="D21" s="106" t="n">
        <v>0.686905027221497</v>
      </c>
      <c r="E21" s="106" t="n">
        <v>0.673640167364017</v>
      </c>
      <c r="F21" s="106" t="n">
        <v>0.678537918655407</v>
      </c>
    </row>
    <row r="22" customFormat="false" ht="18.75" hidden="false" customHeight="true" outlineLevel="0" collapsed="false">
      <c r="A22" s="102" t="n">
        <v>152</v>
      </c>
      <c r="B22" s="102" t="inlineStr">
        <is>
          <t xml:space="preserve">IP LATINOAMERICANO DE COMERCIO EXTERIOR - IPLACEX</t>
        </is>
      </c>
      <c r="C22" s="103" t="n">
        <v>0.795104261106074</v>
      </c>
      <c r="D22" s="103" t="n">
        <v>0.747649411001837</v>
      </c>
      <c r="E22" s="103" t="n">
        <v>0.761167956076866</v>
      </c>
      <c r="F22" s="103" t="n">
        <v>0.738540010598834</v>
      </c>
    </row>
    <row r="23" customFormat="false" ht="18.75" hidden="false" customHeight="true" outlineLevel="0" collapsed="false">
      <c r="A23" s="105" t="n">
        <v>155</v>
      </c>
      <c r="B23" s="105" t="inlineStr">
        <is>
          <t xml:space="preserve">IP LOS LEONES</t>
        </is>
      </c>
      <c r="C23" s="106" t="n">
        <v>0.722202858138724</v>
      </c>
      <c r="D23" s="106" t="n">
        <v>0.657183499288762</v>
      </c>
      <c r="E23" s="106" t="n">
        <v>0.71183800623053</v>
      </c>
      <c r="F23" s="106" t="n">
        <v>0.759733036707453</v>
      </c>
    </row>
    <row r="24" customFormat="false" ht="18.75" hidden="false" customHeight="true" outlineLevel="0" collapsed="false">
      <c r="A24" s="102" t="n">
        <v>162</v>
      </c>
      <c r="B24" s="102" t="inlineStr">
        <is>
          <t xml:space="preserve">IP SAN SEBASTIAN</t>
        </is>
      </c>
      <c r="C24" s="103" t="n">
        <v>0.689516129032258</v>
      </c>
      <c r="D24" s="103" t="n">
        <v>0.705722070844687</v>
      </c>
      <c r="E24" s="103" t="n">
        <v>0.675</v>
      </c>
      <c r="F24" s="103" t="n">
        <v>0.582115219260533</v>
      </c>
    </row>
    <row r="25" customFormat="false" ht="18.75" hidden="false" customHeight="true" outlineLevel="0" collapsed="false">
      <c r="A25" s="105" t="n">
        <v>171</v>
      </c>
      <c r="B25" s="105" t="inlineStr">
        <is>
          <t xml:space="preserve">IP ESCUELA DE COMERCIO DE SANTIAGO</t>
        </is>
      </c>
      <c r="C25" s="106" t="n">
        <v>0.531380753138075</v>
      </c>
      <c r="D25" s="106" t="n">
        <v>0.578947368421053</v>
      </c>
      <c r="E25" s="106" t="n">
        <v>0.693658536585366</v>
      </c>
      <c r="F25" s="106" t="n">
        <v>0.709754163362411</v>
      </c>
    </row>
    <row r="26" customFormat="false" ht="18.75" hidden="false" customHeight="true" outlineLevel="0" collapsed="false">
      <c r="A26" s="102" t="n">
        <v>193</v>
      </c>
      <c r="B26" s="102" t="inlineStr">
        <is>
          <t xml:space="preserve">IP INSTITUTO NACIONAL DEL FUTBOL</t>
        </is>
      </c>
      <c r="C26" s="103" t="n">
        <v>0.75</v>
      </c>
      <c r="D26" s="103" t="n">
        <v>0.809885931558935</v>
      </c>
      <c r="E26" s="103" t="n">
        <v>0.793233082706767</v>
      </c>
      <c r="F26" s="103" t="n">
        <v>0.742990654205608</v>
      </c>
    </row>
    <row r="27" customFormat="false" ht="18.75" hidden="false" customHeight="true" outlineLevel="0" collapsed="false">
      <c r="A27" s="105" t="n">
        <v>676</v>
      </c>
      <c r="B27" s="105" t="inlineStr">
        <is>
          <t xml:space="preserve">IP INSTITUTO INTERNACIONAL DE ARTES CULINARIAS Y SERVICIOS</t>
        </is>
      </c>
      <c r="C27" s="106" t="n">
        <v>0.820276497695853</v>
      </c>
      <c r="D27" s="106" t="n">
        <v>0.850340136054422</v>
      </c>
      <c r="E27" s="106" t="n">
        <v>0.814606741573034</v>
      </c>
      <c r="F27" s="106" t="n">
        <v>0.874074074074074</v>
      </c>
    </row>
    <row r="28" customFormat="false" ht="18.75" hidden="false" customHeight="true" outlineLevel="0" collapsed="false">
      <c r="A28" s="102" t="n">
        <v>693</v>
      </c>
      <c r="B28" s="102" t="inlineStr">
        <is>
          <t xml:space="preserve">IP PROJAZZ</t>
        </is>
      </c>
      <c r="C28" s="103" t="n">
        <v>0.710743801652893</v>
      </c>
      <c r="D28" s="103" t="n">
        <v>0.787037037037037</v>
      </c>
      <c r="E28" s="103" t="n">
        <v>0.641666666666667</v>
      </c>
      <c r="F28" s="103" t="n">
        <v>0.7</v>
      </c>
    </row>
    <row r="29" customFormat="false" ht="18.75" hidden="false" customHeight="true" outlineLevel="0" collapsed="false">
      <c r="A29" s="105" t="n">
        <v>754</v>
      </c>
      <c r="B29" s="105" t="inlineStr">
        <is>
          <t xml:space="preserve">IP ESCUELA DE MARINA MERCANTE PILOTO PARDO</t>
        </is>
      </c>
      <c r="C29" s="106" t="n">
        <v>0.692307692307692</v>
      </c>
      <c r="D29" s="106" t="n">
        <v>0.658536585365854</v>
      </c>
      <c r="E29" s="106" t="n">
        <v>0.942307692307692</v>
      </c>
      <c r="F29" s="106" t="n">
        <v>0.727272727272727</v>
      </c>
    </row>
    <row r="30" customFormat="false" ht="18.75" hidden="false" customHeight="true" outlineLevel="0" collapsed="false">
      <c r="A30" s="102" t="n">
        <v>951</v>
      </c>
      <c r="B30" s="102" t="inlineStr">
        <is>
          <t xml:space="preserve">IP CICERON</t>
        </is>
      </c>
      <c r="C30" s="103" t="inlineStr">
        <is>
          <t xml:space="preserve">n/a</t>
        </is>
      </c>
      <c r="D30" s="103" t="n">
        <v>0.9</v>
      </c>
      <c r="E30" s="103" t="n">
        <v>0.818181818181818</v>
      </c>
      <c r="F30" s="103" t="n">
        <v>0.733333333333333</v>
      </c>
    </row>
    <row r="33" customFormat="false" ht="22.5" hidden="false" customHeight="true" outlineLevel="0" collapsed="false">
      <c r="A33" s="96" t="inlineStr">
        <is>
          <t xml:space="preserve">Tasas publicadas por cohorte (misma fuente; no acumulables sin denominadores)</t>
        </is>
      </c>
      <c r="B33" s="96"/>
      <c r="C33" s="96"/>
      <c r="D33" s="96"/>
      <c r="E33" s="96"/>
      <c r="F33" s="96"/>
      <c r="G33" s="96"/>
      <c r="H33" s="96"/>
      <c r="I33" s="96"/>
    </row>
    <row r="35" customFormat="false" ht="30" hidden="false" customHeight="true" outlineLevel="0" collapsed="false">
      <c r="A35" s="101" t="inlineStr">
        <is>
          <t xml:space="preserve">Cohorte</t>
        </is>
      </c>
      <c r="B35" s="101" t="inlineStr">
        <is>
          <t xml:space="preserve">IPSS publicado (x IES, fila 59)</t>
        </is>
      </c>
      <c r="C35" s="101" t="inlineStr">
        <is>
          <t xml:space="preserve">Todos los IP (general, fila 35)</t>
        </is>
      </c>
      <c r="D35" s="101" t="inlineStr">
        <is>
          <t xml:space="preserve">IP técnico (general, fila 36)</t>
        </is>
      </c>
      <c r="E35" s="101" t="inlineStr">
        <is>
          <t xml:space="preserve">IP profesional (general, fila 37)</t>
        </is>
      </c>
      <c r="F35" s="101" t="inlineStr">
        <is>
          <t xml:space="preserve">IP mujeres (Sexo, fila 65)</t>
        </is>
      </c>
      <c r="G35" s="101" t="inlineStr">
        <is>
          <t xml:space="preserve">IP hombres (Sexo, fila 68)</t>
        </is>
      </c>
    </row>
    <row r="36" customFormat="false" ht="18.75" hidden="false" customHeight="true" outlineLevel="0" collapsed="false">
      <c r="A36" s="102" t="n">
        <v>2022</v>
      </c>
      <c r="B36" s="103" t="n">
        <v>0.689516129032258</v>
      </c>
      <c r="C36" s="103" t="n">
        <v>0.720331451903447</v>
      </c>
      <c r="D36" s="103" t="n">
        <v>0.687160397466302</v>
      </c>
      <c r="E36" s="103" t="n">
        <v>0.758248545888166</v>
      </c>
      <c r="F36" s="103" t="n">
        <v>0.732127046475314</v>
      </c>
      <c r="G36" s="103" t="n">
        <v>0.708661166502086</v>
      </c>
    </row>
    <row r="37" customFormat="false" ht="18.75" hidden="false" customHeight="true" outlineLevel="0" collapsed="false">
      <c r="A37" s="105" t="n">
        <v>2023</v>
      </c>
      <c r="B37" s="106" t="n">
        <v>0.705722070844687</v>
      </c>
      <c r="C37" s="106" t="n">
        <v>0.721774009407395</v>
      </c>
      <c r="D37" s="106" t="n">
        <v>0.687071771818323</v>
      </c>
      <c r="E37" s="106" t="n">
        <v>0.755248519648304</v>
      </c>
      <c r="F37" s="106" t="n">
        <v>0.730178947699469</v>
      </c>
      <c r="G37" s="106" t="n">
        <v>0.713889544489025</v>
      </c>
    </row>
    <row r="38" customFormat="false" ht="18.75" hidden="false" customHeight="true" outlineLevel="0" collapsed="false">
      <c r="A38" s="102" t="n">
        <v>2024</v>
      </c>
      <c r="B38" s="103" t="n">
        <v>0.675</v>
      </c>
      <c r="C38" s="103" t="n">
        <v>0.727343470838131</v>
      </c>
      <c r="D38" s="103" t="n">
        <v>0.693784391089722</v>
      </c>
      <c r="E38" s="103" t="n">
        <v>0.754667511812839</v>
      </c>
      <c r="F38" s="103" t="n">
        <v>0.735775955645363</v>
      </c>
      <c r="G38" s="103" t="n">
        <v>0.719694790546985</v>
      </c>
    </row>
    <row r="39" customFormat="false" ht="18.75" hidden="false" customHeight="true" outlineLevel="0" collapsed="false">
      <c r="A39" s="105" t="n">
        <v>2025</v>
      </c>
      <c r="B39" s="106" t="n">
        <v>0.582115219260533</v>
      </c>
      <c r="C39" s="106" t="n">
        <v>0.724543202229793</v>
      </c>
      <c r="D39" s="106" t="n">
        <v>0.686439484615926</v>
      </c>
      <c r="E39" s="106" t="n">
        <v>0.754464532537181</v>
      </c>
      <c r="F39" s="106" t="n">
        <v>0.734705844028927</v>
      </c>
      <c r="G39" s="106" t="n">
        <v>0.715335576412254</v>
      </c>
    </row>
    <row r="42" customFormat="false" ht="22.5" hidden="false" customHeight="true" outlineLevel="0" collapsed="false">
      <c r="A42" s="96" t="inlineStr">
        <is>
          <t xml:space="preserve">20 carreras genéricas IP con mayor matrícula de primer año (informe SIES, filas 31–50)</t>
        </is>
      </c>
      <c r="B42" s="96"/>
      <c r="C42" s="96"/>
      <c r="D42" s="96"/>
      <c r="E42" s="96"/>
      <c r="F42" s="96"/>
      <c r="G42" s="96"/>
      <c r="H42" s="96"/>
      <c r="I42" s="96"/>
      <c r="K42" s="96" t="inlineStr">
        <is>
          <t xml:space="preserve">Carreras genéricas IP publicadas: 20 de mayor matrícula y 10 de mayor/menor retención</t>
        </is>
      </c>
      <c r="L42" s="96"/>
      <c r="M42" s="96"/>
      <c r="N42" s="96"/>
      <c r="O42" s="96"/>
      <c r="P42" s="96"/>
      <c r="Q42" s="96"/>
    </row>
    <row r="43" customFormat="false" ht="30" hidden="false" customHeight="true" outlineLevel="0" collapsed="false">
      <c r="A43" s="101" t="inlineStr">
        <is>
          <t xml:space="preserve">Carrera genérica SIES</t>
        </is>
      </c>
      <c r="B43" s="101" t="n">
        <v>2022</v>
      </c>
      <c r="C43" s="101" t="n">
        <v>2023</v>
      </c>
      <c r="D43" s="101" t="n">
        <v>2024</v>
      </c>
      <c r="E43" s="101" t="n">
        <v>2025</v>
      </c>
      <c r="F43" s="101" t="inlineStr">
        <is>
          <t xml:space="preserve">Fila de origen</t>
        </is>
      </c>
      <c r="K43" s="101" t="inlineStr">
        <is>
          <t xml:space="preserve">Bloque SIES</t>
        </is>
      </c>
      <c r="L43" s="101" t="inlineStr">
        <is>
          <t xml:space="preserve">Carrera genérica SIES</t>
        </is>
      </c>
      <c r="M43" s="101" t="n">
        <v>2022</v>
      </c>
      <c r="N43" s="101" t="n">
        <v>2023</v>
      </c>
      <c r="O43" s="101" t="n">
        <v>2024</v>
      </c>
      <c r="P43" s="101" t="n">
        <v>2025</v>
      </c>
      <c r="Q43" s="101" t="inlineStr">
        <is>
          <t xml:space="preserve">Fila SIES</t>
        </is>
      </c>
    </row>
    <row r="44" customFormat="false" ht="18.75" hidden="false" customHeight="true" outlineLevel="0" collapsed="false">
      <c r="A44" s="102" t="inlineStr">
        <is>
          <t xml:space="preserve">Ingeniería en Mecánica Automotriz</t>
        </is>
      </c>
      <c r="B44" s="103" t="n">
        <v>0.811259806183664</v>
      </c>
      <c r="C44" s="103" t="n">
        <v>0.830415309446254</v>
      </c>
      <c r="D44" s="103" t="n">
        <v>0.806445235270858</v>
      </c>
      <c r="E44" s="103" t="n">
        <v>0.799181785841338</v>
      </c>
      <c r="F44" s="102" t="n">
        <v>31</v>
      </c>
      <c r="K44" s="102" t="inlineStr">
        <is>
          <t xml:space="preserve">20 mayor matrícula</t>
        </is>
      </c>
      <c r="L44" s="103" t="inlineStr">
        <is>
          <t xml:space="preserve">Ingeniería en Mecánica Automotriz</t>
        </is>
      </c>
      <c r="M44" s="103" t="n">
        <v>0.811259806183664</v>
      </c>
      <c r="N44" s="103" t="n">
        <v>0.830415309446254</v>
      </c>
      <c r="O44" s="103" t="n">
        <v>0.806445235270858</v>
      </c>
      <c r="P44" s="103" t="n">
        <v>0.799181785841338</v>
      </c>
      <c r="Q44" s="102" t="n">
        <v>31</v>
      </c>
    </row>
    <row r="45" customFormat="false" ht="18.75" hidden="false" customHeight="true" outlineLevel="0" collapsed="false">
      <c r="A45" s="105" t="inlineStr">
        <is>
          <t xml:space="preserve">Ingeniería en Electricidad</t>
        </is>
      </c>
      <c r="B45" s="106" t="n">
        <v>0.798016230838593</v>
      </c>
      <c r="C45" s="106" t="n">
        <v>0.780614132445431</v>
      </c>
      <c r="D45" s="106" t="n">
        <v>0.780843640976847</v>
      </c>
      <c r="E45" s="106" t="n">
        <v>0.780924392198771</v>
      </c>
      <c r="F45" s="105" t="n">
        <v>32</v>
      </c>
      <c r="K45" s="102" t="inlineStr">
        <is>
          <t xml:space="preserve">20 mayor matrícula</t>
        </is>
      </c>
      <c r="L45" s="103" t="inlineStr">
        <is>
          <t xml:space="preserve">Ingeniería en Electricidad</t>
        </is>
      </c>
      <c r="M45" s="103" t="n">
        <v>0.798016230838593</v>
      </c>
      <c r="N45" s="103" t="n">
        <v>0.780614132445431</v>
      </c>
      <c r="O45" s="103" t="n">
        <v>0.780843640976847</v>
      </c>
      <c r="P45" s="103" t="n">
        <v>0.780924392198771</v>
      </c>
      <c r="Q45" s="102" t="n">
        <v>32</v>
      </c>
    </row>
    <row r="46" customFormat="false" ht="18.75" hidden="false" customHeight="true" outlineLevel="0" collapsed="false">
      <c r="A46" s="102" t="inlineStr">
        <is>
          <t xml:space="preserve">Ingeniería en Recursos Humanos</t>
        </is>
      </c>
      <c r="B46" s="103" t="n">
        <v>0.789804469273743</v>
      </c>
      <c r="C46" s="103" t="n">
        <v>0.756786102062975</v>
      </c>
      <c r="D46" s="103" t="n">
        <v>0.775782452539764</v>
      </c>
      <c r="E46" s="103" t="n">
        <v>0.779753086419753</v>
      </c>
      <c r="F46" s="102" t="n">
        <v>33</v>
      </c>
      <c r="K46" s="102" t="inlineStr">
        <is>
          <t xml:space="preserve">20 mayor matrícula</t>
        </is>
      </c>
      <c r="L46" s="103" t="inlineStr">
        <is>
          <t xml:space="preserve">Ingeniería en Recursos Humanos</t>
        </is>
      </c>
      <c r="M46" s="103" t="n">
        <v>0.789804469273743</v>
      </c>
      <c r="N46" s="103" t="n">
        <v>0.756786102062975</v>
      </c>
      <c r="O46" s="103" t="n">
        <v>0.775782452539764</v>
      </c>
      <c r="P46" s="103" t="n">
        <v>0.779753086419753</v>
      </c>
      <c r="Q46" s="102" t="n">
        <v>33</v>
      </c>
    </row>
    <row r="47" customFormat="false" ht="18.75" hidden="false" customHeight="true" outlineLevel="0" collapsed="false">
      <c r="A47" s="105" t="inlineStr">
        <is>
          <t xml:space="preserve">Ingeniería en Logística</t>
        </is>
      </c>
      <c r="B47" s="106" t="n">
        <v>0.747613997879109</v>
      </c>
      <c r="C47" s="106" t="n">
        <v>0.785365853658537</v>
      </c>
      <c r="D47" s="106" t="n">
        <v>0.773900907187718</v>
      </c>
      <c r="E47" s="106" t="n">
        <v>0.778733866011063</v>
      </c>
      <c r="F47" s="105" t="n">
        <v>34</v>
      </c>
      <c r="K47" s="102" t="inlineStr">
        <is>
          <t xml:space="preserve">20 mayor matrícula</t>
        </is>
      </c>
      <c r="L47" s="103" t="inlineStr">
        <is>
          <t xml:space="preserve">Ingeniería en Logística</t>
        </is>
      </c>
      <c r="M47" s="103" t="n">
        <v>0.747613997879109</v>
      </c>
      <c r="N47" s="103" t="n">
        <v>0.785365853658537</v>
      </c>
      <c r="O47" s="103" t="n">
        <v>0.773900907187718</v>
      </c>
      <c r="P47" s="103" t="n">
        <v>0.778733866011063</v>
      </c>
      <c r="Q47" s="102" t="n">
        <v>34</v>
      </c>
    </row>
    <row r="48" customFormat="false" ht="18.75" hidden="false" customHeight="true" outlineLevel="0" collapsed="false">
      <c r="A48" s="102" t="inlineStr">
        <is>
          <t xml:space="preserve">Ingeniería en Computación e Informática</t>
        </is>
      </c>
      <c r="B48" s="103" t="n">
        <v>0.763886529641583</v>
      </c>
      <c r="C48" s="103" t="n">
        <v>0.778014941302028</v>
      </c>
      <c r="D48" s="103" t="n">
        <v>0.787931034482759</v>
      </c>
      <c r="E48" s="103" t="n">
        <v>0.755828563451068</v>
      </c>
      <c r="F48" s="102" t="n">
        <v>35</v>
      </c>
      <c r="K48" s="102" t="inlineStr">
        <is>
          <t xml:space="preserve">20 mayor matrícula</t>
        </is>
      </c>
      <c r="L48" s="103" t="inlineStr">
        <is>
          <t xml:space="preserve">Ingeniería en Computación e Informática</t>
        </is>
      </c>
      <c r="M48" s="103" t="n">
        <v>0.763886529641583</v>
      </c>
      <c r="N48" s="103" t="n">
        <v>0.778014941302028</v>
      </c>
      <c r="O48" s="103" t="n">
        <v>0.787931034482759</v>
      </c>
      <c r="P48" s="103" t="n">
        <v>0.755828563451068</v>
      </c>
      <c r="Q48" s="102" t="n">
        <v>35</v>
      </c>
    </row>
    <row r="49" customFormat="false" ht="18.75" hidden="false" customHeight="true" outlineLevel="0" collapsed="false">
      <c r="A49" s="105" t="inlineStr">
        <is>
          <t xml:space="preserve">Trabajo Social</t>
        </is>
      </c>
      <c r="B49" s="106" t="n">
        <v>0.74480642115203</v>
      </c>
      <c r="C49" s="106" t="n">
        <v>0.725643382352941</v>
      </c>
      <c r="D49" s="106" t="n">
        <v>0.753838654642944</v>
      </c>
      <c r="E49" s="106" t="n">
        <v>0.74953488372093</v>
      </c>
      <c r="F49" s="105" t="n">
        <v>36</v>
      </c>
      <c r="K49" s="102" t="inlineStr">
        <is>
          <t xml:space="preserve">20 mayor matrícula</t>
        </is>
      </c>
      <c r="L49" s="103" t="inlineStr">
        <is>
          <t xml:space="preserve">Trabajo Social</t>
        </is>
      </c>
      <c r="M49" s="103" t="n">
        <v>0.74480642115203</v>
      </c>
      <c r="N49" s="103" t="n">
        <v>0.725643382352941</v>
      </c>
      <c r="O49" s="103" t="n">
        <v>0.753838654642944</v>
      </c>
      <c r="P49" s="103" t="n">
        <v>0.74953488372093</v>
      </c>
      <c r="Q49" s="102" t="n">
        <v>36</v>
      </c>
    </row>
    <row r="50" customFormat="false" ht="18.75" hidden="false" customHeight="true" outlineLevel="0" collapsed="false">
      <c r="A50" s="102" t="inlineStr">
        <is>
          <t xml:space="preserve">Contador Auditor</t>
        </is>
      </c>
      <c r="B50" s="103" t="n">
        <v>0.747699929228592</v>
      </c>
      <c r="C50" s="103" t="n">
        <v>0.748133061778683</v>
      </c>
      <c r="D50" s="103" t="n">
        <v>0.763776990009668</v>
      </c>
      <c r="E50" s="103" t="n">
        <v>0.743840701991225</v>
      </c>
      <c r="F50" s="102" t="n">
        <v>37</v>
      </c>
      <c r="K50" s="102" t="inlineStr">
        <is>
          <t xml:space="preserve">20 mayor matrícula</t>
        </is>
      </c>
      <c r="L50" s="103" t="inlineStr">
        <is>
          <t xml:space="preserve">Contador Auditor</t>
        </is>
      </c>
      <c r="M50" s="103" t="n">
        <v>0.747699929228592</v>
      </c>
      <c r="N50" s="103" t="n">
        <v>0.748133061778683</v>
      </c>
      <c r="O50" s="103" t="n">
        <v>0.763776990009668</v>
      </c>
      <c r="P50" s="103" t="n">
        <v>0.743840701991225</v>
      </c>
      <c r="Q50" s="102" t="n">
        <v>37</v>
      </c>
    </row>
    <row r="51" customFormat="false" ht="18.75" hidden="false" customHeight="true" outlineLevel="0" collapsed="false">
      <c r="A51" s="105" t="inlineStr">
        <is>
          <t xml:space="preserve">Ingeniería en Prevención de Riesgos</t>
        </is>
      </c>
      <c r="B51" s="106" t="n">
        <v>0.658615136876007</v>
      </c>
      <c r="C51" s="106" t="n">
        <v>0.699040090344438</v>
      </c>
      <c r="D51" s="106" t="n">
        <v>0.706411698537683</v>
      </c>
      <c r="E51" s="106" t="n">
        <v>0.731741573033708</v>
      </c>
      <c r="F51" s="105" t="n">
        <v>38</v>
      </c>
      <c r="K51" s="102" t="inlineStr">
        <is>
          <t xml:space="preserve">20 mayor matrícula</t>
        </is>
      </c>
      <c r="L51" s="103" t="inlineStr">
        <is>
          <t xml:space="preserve">Ingeniería en Prevención de Riesgos</t>
        </is>
      </c>
      <c r="M51" s="103" t="n">
        <v>0.658615136876007</v>
      </c>
      <c r="N51" s="103" t="n">
        <v>0.699040090344438</v>
      </c>
      <c r="O51" s="103" t="n">
        <v>0.706411698537683</v>
      </c>
      <c r="P51" s="103" t="n">
        <v>0.731741573033708</v>
      </c>
      <c r="Q51" s="102" t="n">
        <v>38</v>
      </c>
    </row>
    <row r="52" customFormat="false" ht="18.75" hidden="false" customHeight="true" outlineLevel="0" collapsed="false">
      <c r="A52" s="102" t="inlineStr">
        <is>
          <t xml:space="preserve">Ingeniería en Minas</t>
        </is>
      </c>
      <c r="B52" s="103" t="n">
        <v>0.74025974025974</v>
      </c>
      <c r="C52" s="103" t="n">
        <v>0.689591078066915</v>
      </c>
      <c r="D52" s="103" t="n">
        <v>0.728879072335726</v>
      </c>
      <c r="E52" s="103" t="n">
        <v>0.723151645979493</v>
      </c>
      <c r="F52" s="102" t="n">
        <v>39</v>
      </c>
      <c r="K52" s="102" t="inlineStr">
        <is>
          <t xml:space="preserve">20 mayor matrícula</t>
        </is>
      </c>
      <c r="L52" s="103" t="inlineStr">
        <is>
          <t xml:space="preserve">Ingeniería en Minas</t>
        </is>
      </c>
      <c r="M52" s="103" t="n">
        <v>0.74025974025974</v>
      </c>
      <c r="N52" s="103" t="n">
        <v>0.689591078066915</v>
      </c>
      <c r="O52" s="103" t="n">
        <v>0.728879072335726</v>
      </c>
      <c r="P52" s="103" t="n">
        <v>0.723151645979493</v>
      </c>
      <c r="Q52" s="102" t="n">
        <v>39</v>
      </c>
    </row>
    <row r="53" customFormat="false" ht="18.75" hidden="false" customHeight="true" outlineLevel="0" collapsed="false">
      <c r="A53" s="105" t="inlineStr">
        <is>
          <t xml:space="preserve">Técnico en Enfermería</t>
        </is>
      </c>
      <c r="B53" s="106" t="n">
        <v>0.714285714285714</v>
      </c>
      <c r="C53" s="106" t="n">
        <v>0.720081868528774</v>
      </c>
      <c r="D53" s="106" t="n">
        <v>0.729147141518276</v>
      </c>
      <c r="E53" s="106" t="n">
        <v>0.720228530619532</v>
      </c>
      <c r="F53" s="105" t="n">
        <v>40</v>
      </c>
      <c r="K53" s="102" t="inlineStr">
        <is>
          <t xml:space="preserve">20 mayor matrícula</t>
        </is>
      </c>
      <c r="L53" s="103" t="inlineStr">
        <is>
          <t xml:space="preserve">Técnico en Enfermería</t>
        </is>
      </c>
      <c r="M53" s="103" t="n">
        <v>0.714285714285714</v>
      </c>
      <c r="N53" s="103" t="n">
        <v>0.720081868528774</v>
      </c>
      <c r="O53" s="103" t="n">
        <v>0.729147141518276</v>
      </c>
      <c r="P53" s="103" t="n">
        <v>0.720228530619532</v>
      </c>
      <c r="Q53" s="102" t="n">
        <v>40</v>
      </c>
    </row>
    <row r="54" customFormat="false" ht="18.75" hidden="false" customHeight="true" outlineLevel="0" collapsed="false">
      <c r="A54" s="102" t="inlineStr">
        <is>
          <t xml:space="preserve">Administración de Empresas e Ing. Asociadas</t>
        </is>
      </c>
      <c r="B54" s="103" t="n">
        <v>0.701690821256039</v>
      </c>
      <c r="C54" s="103" t="n">
        <v>0.711560256894598</v>
      </c>
      <c r="D54" s="103" t="n">
        <v>0.713220940550133</v>
      </c>
      <c r="E54" s="103" t="n">
        <v>0.718343383052999</v>
      </c>
      <c r="F54" s="102" t="n">
        <v>41</v>
      </c>
      <c r="K54" s="102" t="inlineStr">
        <is>
          <t xml:space="preserve">20 mayor matrícula</t>
        </is>
      </c>
      <c r="L54" s="103" t="inlineStr">
        <is>
          <t xml:space="preserve">Administración de Empresas e Ing. Asociadas</t>
        </is>
      </c>
      <c r="M54" s="103" t="n">
        <v>0.701690821256039</v>
      </c>
      <c r="N54" s="103" t="n">
        <v>0.711560256894598</v>
      </c>
      <c r="O54" s="103" t="n">
        <v>0.713220940550133</v>
      </c>
      <c r="P54" s="103" t="n">
        <v>0.718343383052999</v>
      </c>
      <c r="Q54" s="102" t="n">
        <v>41</v>
      </c>
    </row>
    <row r="55" customFormat="false" ht="18.75" hidden="false" customHeight="true" outlineLevel="0" collapsed="false">
      <c r="A55" s="105" t="inlineStr">
        <is>
          <t xml:space="preserve">Técnico en Electricidad y Electricidad Industrial</t>
        </is>
      </c>
      <c r="B55" s="106" t="n">
        <v>0.679022403258656</v>
      </c>
      <c r="C55" s="106" t="n">
        <v>0.691287199713159</v>
      </c>
      <c r="D55" s="106" t="n">
        <v>0.705274806344522</v>
      </c>
      <c r="E55" s="106" t="n">
        <v>0.711133400200602</v>
      </c>
      <c r="F55" s="105" t="n">
        <v>42</v>
      </c>
      <c r="K55" s="102" t="inlineStr">
        <is>
          <t xml:space="preserve">20 mayor matrícula</t>
        </is>
      </c>
      <c r="L55" s="103" t="inlineStr">
        <is>
          <t xml:space="preserve">Técnico en Electricidad y Electricidad Industrial</t>
        </is>
      </c>
      <c r="M55" s="103" t="n">
        <v>0.679022403258656</v>
      </c>
      <c r="N55" s="103" t="n">
        <v>0.691287199713159</v>
      </c>
      <c r="O55" s="103" t="n">
        <v>0.705274806344522</v>
      </c>
      <c r="P55" s="103" t="n">
        <v>0.711133400200602</v>
      </c>
      <c r="Q55" s="102" t="n">
        <v>42</v>
      </c>
    </row>
    <row r="56" customFormat="false" ht="18.75" hidden="false" customHeight="true" outlineLevel="0" collapsed="false">
      <c r="A56" s="102" t="inlineStr">
        <is>
          <t xml:space="preserve">Ingeniería Industrial</t>
        </is>
      </c>
      <c r="B56" s="103" t="n">
        <v>0.730464326160815</v>
      </c>
      <c r="C56" s="103" t="n">
        <v>0.680947744238884</v>
      </c>
      <c r="D56" s="103" t="n">
        <v>0.715997603355303</v>
      </c>
      <c r="E56" s="103" t="n">
        <v>0.710820387026438</v>
      </c>
      <c r="F56" s="102" t="n">
        <v>43</v>
      </c>
      <c r="K56" s="102" t="inlineStr">
        <is>
          <t xml:space="preserve">20 mayor matrícula</t>
        </is>
      </c>
      <c r="L56" s="103" t="inlineStr">
        <is>
          <t xml:space="preserve">Ingeniería Industrial</t>
        </is>
      </c>
      <c r="M56" s="103" t="n">
        <v>0.730464326160815</v>
      </c>
      <c r="N56" s="103" t="n">
        <v>0.680947744238884</v>
      </c>
      <c r="O56" s="103" t="n">
        <v>0.715997603355303</v>
      </c>
      <c r="P56" s="103" t="n">
        <v>0.710820387026438</v>
      </c>
      <c r="Q56" s="102" t="n">
        <v>43</v>
      </c>
    </row>
    <row r="57" customFormat="false" ht="18.75" hidden="false" customHeight="true" outlineLevel="0" collapsed="false">
      <c r="A57" s="105" t="inlineStr">
        <is>
          <t xml:space="preserve">Psicopedagogía</t>
        </is>
      </c>
      <c r="B57" s="106" t="n">
        <v>0.735767057800956</v>
      </c>
      <c r="C57" s="106" t="n">
        <v>0.715228873239437</v>
      </c>
      <c r="D57" s="106" t="n">
        <v>0.696248856358646</v>
      </c>
      <c r="E57" s="106" t="n">
        <v>0.707678883071553</v>
      </c>
      <c r="F57" s="105" t="n">
        <v>44</v>
      </c>
      <c r="K57" s="102" t="inlineStr">
        <is>
          <t xml:space="preserve">20 mayor matrícula</t>
        </is>
      </c>
      <c r="L57" s="103" t="inlineStr">
        <is>
          <t xml:space="preserve">Psicopedagogía</t>
        </is>
      </c>
      <c r="M57" s="103" t="n">
        <v>0.735767057800956</v>
      </c>
      <c r="N57" s="103" t="n">
        <v>0.715228873239437</v>
      </c>
      <c r="O57" s="103" t="n">
        <v>0.696248856358646</v>
      </c>
      <c r="P57" s="103" t="n">
        <v>0.707678883071553</v>
      </c>
      <c r="Q57" s="102" t="n">
        <v>44</v>
      </c>
    </row>
    <row r="58" customFormat="false" ht="18.75" hidden="false" customHeight="true" outlineLevel="0" collapsed="false">
      <c r="A58" s="102" t="inlineStr">
        <is>
          <t xml:space="preserve">Técnico Asistente del Educador de Párvulos</t>
        </is>
      </c>
      <c r="B58" s="103" t="n">
        <v>0.693020561830293</v>
      </c>
      <c r="C58" s="103" t="n">
        <v>0.704218483296757</v>
      </c>
      <c r="D58" s="103" t="n">
        <v>0.699641209636084</v>
      </c>
      <c r="E58" s="103" t="n">
        <v>0.697233201581028</v>
      </c>
      <c r="F58" s="102" t="n">
        <v>45</v>
      </c>
      <c r="K58" s="102" t="inlineStr">
        <is>
          <t xml:space="preserve">20 mayor matrícula</t>
        </is>
      </c>
      <c r="L58" s="103" t="inlineStr">
        <is>
          <t xml:space="preserve">Técnico Asistente del Educador de Párvulos</t>
        </is>
      </c>
      <c r="M58" s="103" t="n">
        <v>0.693020561830293</v>
      </c>
      <c r="N58" s="103" t="n">
        <v>0.704218483296757</v>
      </c>
      <c r="O58" s="103" t="n">
        <v>0.699641209636084</v>
      </c>
      <c r="P58" s="103" t="n">
        <v>0.697233201581028</v>
      </c>
      <c r="Q58" s="102" t="n">
        <v>45</v>
      </c>
    </row>
    <row r="59" customFormat="false" ht="18.75" hidden="false" customHeight="true" outlineLevel="0" collapsed="false">
      <c r="A59" s="105" t="inlineStr">
        <is>
          <t xml:space="preserve">Técnico en Mecánica Automotriz</t>
        </is>
      </c>
      <c r="B59" s="106" t="n">
        <v>0.724729241877256</v>
      </c>
      <c r="C59" s="106" t="n">
        <v>0.696724797958316</v>
      </c>
      <c r="D59" s="106" t="n">
        <v>0.708603145235893</v>
      </c>
      <c r="E59" s="106" t="n">
        <v>0.691327780499755</v>
      </c>
      <c r="F59" s="105" t="n">
        <v>46</v>
      </c>
      <c r="K59" s="102" t="inlineStr">
        <is>
          <t xml:space="preserve">20 mayor matrícula</t>
        </is>
      </c>
      <c r="L59" s="103" t="inlineStr">
        <is>
          <t xml:space="preserve">Técnico en Mecánica Automotriz</t>
        </is>
      </c>
      <c r="M59" s="103" t="n">
        <v>0.724729241877256</v>
      </c>
      <c r="N59" s="103" t="n">
        <v>0.696724797958316</v>
      </c>
      <c r="O59" s="103" t="n">
        <v>0.708603145235893</v>
      </c>
      <c r="P59" s="103" t="n">
        <v>0.691327780499755</v>
      </c>
      <c r="Q59" s="102" t="n">
        <v>46</v>
      </c>
    </row>
    <row r="60" customFormat="false" ht="18.75" hidden="false" customHeight="true" outlineLevel="0" collapsed="false">
      <c r="A60" s="102" t="inlineStr">
        <is>
          <t xml:space="preserve">Técnico en Logística</t>
        </is>
      </c>
      <c r="B60" s="103" t="n">
        <v>0.65677374301676</v>
      </c>
      <c r="C60" s="103" t="n">
        <v>0.685785536159601</v>
      </c>
      <c r="D60" s="103" t="n">
        <v>0.685840707964602</v>
      </c>
      <c r="E60" s="103" t="n">
        <v>0.689810017271157</v>
      </c>
      <c r="F60" s="102" t="n">
        <v>47</v>
      </c>
      <c r="K60" s="102" t="inlineStr">
        <is>
          <t xml:space="preserve">20 mayor matrícula</t>
        </is>
      </c>
      <c r="L60" s="103" t="inlineStr">
        <is>
          <t xml:space="preserve">Técnico en Logística</t>
        </is>
      </c>
      <c r="M60" s="103" t="n">
        <v>0.65677374301676</v>
      </c>
      <c r="N60" s="103" t="n">
        <v>0.685785536159601</v>
      </c>
      <c r="O60" s="103" t="n">
        <v>0.685840707964602</v>
      </c>
      <c r="P60" s="103" t="n">
        <v>0.689810017271157</v>
      </c>
      <c r="Q60" s="102" t="n">
        <v>47</v>
      </c>
    </row>
    <row r="61" customFormat="false" ht="18.75" hidden="false" customHeight="true" outlineLevel="0" collapsed="false">
      <c r="A61" s="105" t="inlineStr">
        <is>
          <t xml:space="preserve">Técnico en Administración de Empresas</t>
        </is>
      </c>
      <c r="B61" s="106" t="n">
        <v>0.672437673130194</v>
      </c>
      <c r="C61" s="106" t="n">
        <v>0.670535887018766</v>
      </c>
      <c r="D61" s="106" t="n">
        <v>0.671671018276763</v>
      </c>
      <c r="E61" s="106" t="n">
        <v>0.684527518172378</v>
      </c>
      <c r="F61" s="105" t="n">
        <v>48</v>
      </c>
      <c r="K61" s="102" t="inlineStr">
        <is>
          <t xml:space="preserve">20 mayor matrícula</t>
        </is>
      </c>
      <c r="L61" s="103" t="inlineStr">
        <is>
          <t xml:space="preserve">Técnico en Administración de Empresas</t>
        </is>
      </c>
      <c r="M61" s="103" t="n">
        <v>0.672437673130194</v>
      </c>
      <c r="N61" s="103" t="n">
        <v>0.670535887018766</v>
      </c>
      <c r="O61" s="103" t="n">
        <v>0.671671018276763</v>
      </c>
      <c r="P61" s="103" t="n">
        <v>0.684527518172378</v>
      </c>
      <c r="Q61" s="102" t="n">
        <v>48</v>
      </c>
    </row>
    <row r="62" customFormat="false" ht="18.75" hidden="false" customHeight="true" outlineLevel="0" collapsed="false">
      <c r="A62" s="102" t="inlineStr">
        <is>
          <t xml:space="preserve">Técnico en Computación e Informática</t>
        </is>
      </c>
      <c r="B62" s="103" t="n">
        <v>0.665366146458583</v>
      </c>
      <c r="C62" s="103" t="n">
        <v>0.691192560175055</v>
      </c>
      <c r="D62" s="103" t="n">
        <v>0.692974588938715</v>
      </c>
      <c r="E62" s="103" t="n">
        <v>0.655947441217151</v>
      </c>
      <c r="F62" s="102" t="n">
        <v>49</v>
      </c>
      <c r="K62" s="102" t="inlineStr">
        <is>
          <t xml:space="preserve">20 mayor matrícula</t>
        </is>
      </c>
      <c r="L62" s="103" t="inlineStr">
        <is>
          <t xml:space="preserve">Técnico en Computación e Informática</t>
        </is>
      </c>
      <c r="M62" s="103" t="n">
        <v>0.665366146458583</v>
      </c>
      <c r="N62" s="103" t="n">
        <v>0.691192560175055</v>
      </c>
      <c r="O62" s="103" t="n">
        <v>0.692974588938715</v>
      </c>
      <c r="P62" s="103" t="n">
        <v>0.655947441217151</v>
      </c>
      <c r="Q62" s="102" t="n">
        <v>49</v>
      </c>
    </row>
    <row r="63" customFormat="false" ht="18.75" hidden="false" customHeight="true" outlineLevel="0" collapsed="false">
      <c r="A63" s="105" t="inlineStr">
        <is>
          <t xml:space="preserve">Técnico en Minería</t>
        </is>
      </c>
      <c r="B63" s="106" t="n">
        <v>0.663980660757454</v>
      </c>
      <c r="C63" s="106" t="n">
        <v>0.599352750809062</v>
      </c>
      <c r="D63" s="106" t="n">
        <v>0.611742424242424</v>
      </c>
      <c r="E63" s="106" t="n">
        <v>0.655369928400955</v>
      </c>
      <c r="F63" s="105" t="n">
        <v>50</v>
      </c>
      <c r="K63" s="102" t="inlineStr">
        <is>
          <t xml:space="preserve">20 mayor matrícula</t>
        </is>
      </c>
      <c r="L63" s="103" t="inlineStr">
        <is>
          <t xml:space="preserve">Técnico en Minería</t>
        </is>
      </c>
      <c r="M63" s="103" t="n">
        <v>0.663980660757454</v>
      </c>
      <c r="N63" s="103" t="n">
        <v>0.599352750809062</v>
      </c>
      <c r="O63" s="103" t="n">
        <v>0.611742424242424</v>
      </c>
      <c r="P63" s="103" t="n">
        <v>0.655369928400955</v>
      </c>
      <c r="Q63" s="102" t="n">
        <v>50</v>
      </c>
    </row>
    <row r="64" customFormat="false" ht="15" hidden="false" customHeight="true" outlineLevel="0" collapsed="false">
      <c r="K64" s="102" t="inlineStr">
        <is>
          <t xml:space="preserve">10 mayor retención</t>
        </is>
      </c>
      <c r="L64" s="103" t="inlineStr">
        <is>
          <t xml:space="preserve">Ingeniería en Medio Ambiente</t>
        </is>
      </c>
      <c r="M64" s="103" t="n">
        <v>0.783410138248848</v>
      </c>
      <c r="N64" s="103" t="n">
        <v>0.8</v>
      </c>
      <c r="O64" s="103" t="n">
        <v>0.804444444444444</v>
      </c>
      <c r="P64" s="103" t="n">
        <v>0.884892086330935</v>
      </c>
      <c r="Q64" s="102" t="n">
        <v>117</v>
      </c>
    </row>
    <row r="65" customFormat="false" ht="22.5" hidden="false" customHeight="true" outlineLevel="0" collapsed="false">
      <c r="A65" s="96" t="inlineStr">
        <is>
          <t xml:space="preserve">Puente por cohorte y código único: oferta histórica + nivel de carrera + cálculo IPSS</t>
        </is>
      </c>
      <c r="B65" s="96"/>
      <c r="C65" s="96"/>
      <c r="D65" s="96"/>
      <c r="E65" s="96"/>
      <c r="F65" s="96"/>
      <c r="G65" s="96"/>
      <c r="H65" s="96"/>
      <c r="I65" s="96"/>
      <c r="K65" s="102" t="inlineStr">
        <is>
          <t xml:space="preserve">10 mayor retención</t>
        </is>
      </c>
      <c r="L65" s="103" t="inlineStr">
        <is>
          <t xml:space="preserve">Ingeniería en Energía</t>
        </is>
      </c>
      <c r="M65" s="103" t="n">
        <v>0.839378238341969</v>
      </c>
      <c r="N65" s="103" t="n">
        <v>0.823529411764706</v>
      </c>
      <c r="O65" s="103" t="n">
        <v>0.846153846153846</v>
      </c>
      <c r="P65" s="103" t="n">
        <v>0.869918699186992</v>
      </c>
      <c r="Q65" s="102" t="n">
        <v>118</v>
      </c>
    </row>
    <row r="66" customFormat="false" ht="15" hidden="false" customHeight="true" outlineLevel="0" collapsed="false">
      <c r="A66" s="1" t="inlineStr">
        <is>
          <t xml:space="preserve">C · Llave exacta: cohorte + CODIGO_UNICO (hoja 9, columnas B/X). Las 4 cohortes tienen correspondencia única con OFE_año y NIVEL_CARRERA.</t>
        </is>
      </c>
      <c r="K66" s="102" t="inlineStr">
        <is>
          <t xml:space="preserve">10 mayor retención</t>
        </is>
      </c>
      <c r="L66" s="103" t="inlineStr">
        <is>
          <t xml:space="preserve">Administración Gastronómica</t>
        </is>
      </c>
      <c r="M66" s="103" t="n">
        <v>0.840383530738861</v>
      </c>
      <c r="N66" s="103" t="n">
        <v>0.847255369928401</v>
      </c>
      <c r="O66" s="103" t="n">
        <v>0.830210107893243</v>
      </c>
      <c r="P66" s="103" t="n">
        <v>0.845802398629355</v>
      </c>
      <c r="Q66" s="102" t="n">
        <v>119</v>
      </c>
    </row>
    <row r="67" customFormat="false" ht="30" hidden="false" customHeight="true" outlineLevel="0" collapsed="false">
      <c r="A67" s="101" t="inlineStr">
        <is>
          <t xml:space="preserve">Cohorte</t>
        </is>
      </c>
      <c r="B67" s="101" t="inlineStr">
        <is>
          <t xml:space="preserve">Código único</t>
        </is>
      </c>
      <c r="C67" s="101" t="inlineStr">
        <is>
          <t xml:space="preserve">Nivel carrera (1=TNS; 2=prof. sin licenciatura)</t>
        </is>
      </c>
      <c r="D67" s="101" t="inlineStr">
        <is>
          <t xml:space="preserve">Carrera genérica SIES</t>
        </is>
      </c>
      <c r="E67" s="101" t="inlineStr">
        <is>
          <t xml:space="preserve">Estudiantes IPSS</t>
        </is>
      </c>
      <c r="F67" s="101" t="inlineStr">
        <is>
          <t xml:space="preserve">Retenidos IPSS</t>
        </is>
      </c>
      <c r="G67" s="101" t="inlineStr">
        <is>
          <t xml:space="preserve">Tasa IPSS</t>
        </is>
      </c>
      <c r="H67" s="101" t="inlineStr">
        <is>
          <t xml:space="preserve">Área del conocimiento</t>
        </is>
      </c>
      <c r="K67" s="102" t="inlineStr">
        <is>
          <t xml:space="preserve">10 mayor retención</t>
        </is>
      </c>
      <c r="L67" s="103" t="inlineStr">
        <is>
          <t xml:space="preserve">Técnico Veterinario</t>
        </is>
      </c>
      <c r="M67" s="103" t="n">
        <v>0.804804804804805</v>
      </c>
      <c r="N67" s="103" t="n">
        <v>0.850533807829182</v>
      </c>
      <c r="O67" s="103" t="n">
        <v>0.824850299401198</v>
      </c>
      <c r="P67" s="103" t="n">
        <v>0.815827338129496</v>
      </c>
      <c r="Q67" s="102" t="n">
        <v>120</v>
      </c>
    </row>
    <row r="68" customFormat="false" ht="18.75" hidden="false" customHeight="true" outlineLevel="0" collapsed="false">
      <c r="A68" s="102" t="n">
        <v>2022</v>
      </c>
      <c r="B68" s="102" t="inlineStr">
        <is>
          <t xml:space="preserve">I162S2C1J1V2</t>
        </is>
      </c>
      <c r="C68" s="102" t="n">
        <v>2</v>
      </c>
      <c r="D68" s="102" t="inlineStr">
        <is>
          <t xml:space="preserve">Ingeniería en Computación e Informática</t>
        </is>
      </c>
      <c r="E68" s="102" t="n">
        <v>5</v>
      </c>
      <c r="F68" s="102" t="n">
        <v>3</v>
      </c>
      <c r="G68" s="103" t="n">
        <v>0.6</v>
      </c>
      <c r="H68" s="1" t="inlineStr">
        <is>
          <t xml:space="preserve">Tecnología</t>
        </is>
      </c>
      <c r="K68" s="102" t="inlineStr">
        <is>
          <t xml:space="preserve">10 mayor retención</t>
        </is>
      </c>
      <c r="L68" s="103" t="inlineStr">
        <is>
          <t xml:space="preserve">Ingeniería en Telecomunicaciones</t>
        </is>
      </c>
      <c r="M68" s="103" t="n">
        <v>0.774509803921569</v>
      </c>
      <c r="N68" s="103" t="n">
        <v>0.796610169491525</v>
      </c>
      <c r="O68" s="103" t="n">
        <v>0.830258302583026</v>
      </c>
      <c r="P68" s="103" t="n">
        <v>0.811023622047244</v>
      </c>
      <c r="Q68" s="102" t="n">
        <v>121</v>
      </c>
    </row>
    <row r="69" customFormat="false" ht="18.75" hidden="false" customHeight="true" outlineLevel="0" collapsed="false">
      <c r="A69" s="105" t="n">
        <v>2022</v>
      </c>
      <c r="B69" s="105" t="inlineStr">
        <is>
          <t xml:space="preserve">I162S2C1J2V4</t>
        </is>
      </c>
      <c r="C69" s="105" t="n">
        <v>2</v>
      </c>
      <c r="D69" s="105" t="inlineStr">
        <is>
          <t xml:space="preserve">Ingeniería en Computación e Informática</t>
        </is>
      </c>
      <c r="E69" s="105" t="n">
        <v>8</v>
      </c>
      <c r="F69" s="105" t="n">
        <v>4</v>
      </c>
      <c r="G69" s="106" t="n">
        <v>0.5</v>
      </c>
      <c r="H69" s="1" t="inlineStr">
        <is>
          <t xml:space="preserve">Tecnología</t>
        </is>
      </c>
      <c r="K69" s="102" t="inlineStr">
        <is>
          <t xml:space="preserve">10 mayor retención</t>
        </is>
      </c>
      <c r="L69" s="103" t="inlineStr">
        <is>
          <t xml:space="preserve">Fonoaudiología</t>
        </is>
      </c>
      <c r="M69" s="103" t="n">
        <v>0.708074534161491</v>
      </c>
      <c r="N69" s="103" t="n">
        <v>0.628272251308901</v>
      </c>
      <c r="O69" s="103" t="n">
        <v>0.790697674418605</v>
      </c>
      <c r="P69" s="103" t="n">
        <v>0.810975609756098</v>
      </c>
      <c r="Q69" s="102" t="n">
        <v>122</v>
      </c>
    </row>
    <row r="70" customFormat="false" ht="18.75" hidden="false" customHeight="true" outlineLevel="0" collapsed="false">
      <c r="A70" s="102" t="n">
        <v>2022</v>
      </c>
      <c r="B70" s="102" t="inlineStr">
        <is>
          <t xml:space="preserve">I162S2C1J4V2</t>
        </is>
      </c>
      <c r="C70" s="102" t="n">
        <v>2</v>
      </c>
      <c r="D70" s="102" t="inlineStr">
        <is>
          <t xml:space="preserve">Ingeniería en Computación e Informática</t>
        </is>
      </c>
      <c r="E70" s="102" t="n">
        <v>31</v>
      </c>
      <c r="F70" s="102" t="n">
        <v>23</v>
      </c>
      <c r="G70" s="103" t="n">
        <v>0.741935483870968</v>
      </c>
      <c r="H70" s="1" t="inlineStr">
        <is>
          <t xml:space="preserve">Tecnología</t>
        </is>
      </c>
      <c r="K70" s="102" t="inlineStr">
        <is>
          <t xml:space="preserve">10 mayor retención</t>
        </is>
      </c>
      <c r="L70" s="103" t="inlineStr">
        <is>
          <t xml:space="preserve">Comunicación Audiovisual y/o Multimedia</t>
        </is>
      </c>
      <c r="M70" s="103" t="n">
        <v>0.821173104434907</v>
      </c>
      <c r="N70" s="103" t="n">
        <v>0.820054945054945</v>
      </c>
      <c r="O70" s="103" t="n">
        <v>0.807854137447405</v>
      </c>
      <c r="P70" s="103" t="n">
        <v>0.809756097560976</v>
      </c>
      <c r="Q70" s="102" t="n">
        <v>123</v>
      </c>
    </row>
    <row r="71" customFormat="false" ht="18.75" hidden="false" customHeight="true" outlineLevel="0" collapsed="false">
      <c r="A71" s="105" t="n">
        <v>2022</v>
      </c>
      <c r="B71" s="105" t="inlineStr">
        <is>
          <t xml:space="preserve">I162S2C3J2V4</t>
        </is>
      </c>
      <c r="C71" s="105" t="n">
        <v>2</v>
      </c>
      <c r="D71" s="105" t="inlineStr">
        <is>
          <t xml:space="preserve">Ingeniería en Conectividad y Redes</t>
        </is>
      </c>
      <c r="E71" s="105" t="n">
        <v>10</v>
      </c>
      <c r="F71" s="105" t="n">
        <v>9</v>
      </c>
      <c r="G71" s="106" t="n">
        <v>0.9</v>
      </c>
      <c r="H71" s="1" t="inlineStr">
        <is>
          <t xml:space="preserve">Tecnología</t>
        </is>
      </c>
      <c r="K71" s="102" t="inlineStr">
        <is>
          <t xml:space="preserve">10 mayor retención</t>
        </is>
      </c>
      <c r="L71" s="103" t="inlineStr">
        <is>
          <t xml:space="preserve">Relaciones Públicas</t>
        </is>
      </c>
      <c r="M71" s="103" t="n">
        <v>0.740890688259109</v>
      </c>
      <c r="N71" s="103" t="n">
        <v>0.78448275862069</v>
      </c>
      <c r="O71" s="103" t="n">
        <v>0.818181818181818</v>
      </c>
      <c r="P71" s="103" t="n">
        <v>0.808219178082192</v>
      </c>
      <c r="Q71" s="102" t="n">
        <v>124</v>
      </c>
    </row>
    <row r="72" customFormat="false" ht="18.75" hidden="false" customHeight="true" outlineLevel="0" collapsed="false">
      <c r="A72" s="102" t="n">
        <v>2022</v>
      </c>
      <c r="B72" s="102" t="inlineStr">
        <is>
          <t xml:space="preserve">I162S2C3J4V2</t>
        </is>
      </c>
      <c r="C72" s="102" t="n">
        <v>2</v>
      </c>
      <c r="D72" s="102" t="inlineStr">
        <is>
          <t xml:space="preserve">Ingeniería en Conectividad y Redes</t>
        </is>
      </c>
      <c r="E72" s="102" t="n">
        <v>60</v>
      </c>
      <c r="F72" s="102" t="n">
        <v>47</v>
      </c>
      <c r="G72" s="103" t="n">
        <v>0.783333333333333</v>
      </c>
      <c r="H72" s="1" t="inlineStr">
        <is>
          <t xml:space="preserve">Tecnología</t>
        </is>
      </c>
      <c r="K72" s="102" t="inlineStr">
        <is>
          <t xml:space="preserve">10 mayor retención</t>
        </is>
      </c>
      <c r="L72" s="103" t="inlineStr">
        <is>
          <t xml:space="preserve">Animación Digital</t>
        </is>
      </c>
      <c r="M72" s="103" t="n">
        <v>0.826530612244898</v>
      </c>
      <c r="N72" s="103" t="n">
        <v>0.852207293666027</v>
      </c>
      <c r="O72" s="103" t="n">
        <v>0.783185840707965</v>
      </c>
      <c r="P72" s="103" t="n">
        <v>0.805168986083499</v>
      </c>
      <c r="Q72" s="102" t="n">
        <v>125</v>
      </c>
    </row>
    <row r="73" customFormat="false" ht="18.75" hidden="false" customHeight="true" outlineLevel="0" collapsed="false">
      <c r="A73" s="105" t="n">
        <v>2022</v>
      </c>
      <c r="B73" s="105" t="inlineStr">
        <is>
          <t xml:space="preserve">I162S2C46J1V1</t>
        </is>
      </c>
      <c r="C73" s="105" t="n">
        <v>2</v>
      </c>
      <c r="D73" s="105" t="inlineStr">
        <is>
          <t xml:space="preserve">Ingeniería en Conectividad y Redes</t>
        </is>
      </c>
      <c r="E73" s="105" t="n">
        <v>5</v>
      </c>
      <c r="F73" s="105" t="n">
        <v>5</v>
      </c>
      <c r="G73" s="106" t="n">
        <v>1</v>
      </c>
      <c r="H73" s="1" t="inlineStr">
        <is>
          <t xml:space="preserve">Tecnología</t>
        </is>
      </c>
      <c r="K73" s="102" t="inlineStr">
        <is>
          <t xml:space="preserve">10 mayor retención</t>
        </is>
      </c>
      <c r="L73" s="103" t="inlineStr">
        <is>
          <t xml:space="preserve">Naturopatía</t>
        </is>
      </c>
      <c r="M73" s="103" t="n">
        <v>0.773722627737226</v>
      </c>
      <c r="N73" s="103" t="n">
        <v>0.783018867924528</v>
      </c>
      <c r="O73" s="103" t="n">
        <v>0.802197802197802</v>
      </c>
      <c r="P73" s="103" t="n">
        <v>0.804878048780488</v>
      </c>
      <c r="Q73" s="102" t="n">
        <v>126</v>
      </c>
    </row>
    <row r="74" customFormat="false" ht="18.75" hidden="false" customHeight="true" outlineLevel="0" collapsed="false">
      <c r="A74" s="102" t="n">
        <v>2022</v>
      </c>
      <c r="B74" s="102" t="inlineStr">
        <is>
          <t xml:space="preserve">I162S2C46J2V1</t>
        </is>
      </c>
      <c r="C74" s="102" t="n">
        <v>2</v>
      </c>
      <c r="D74" s="102" t="inlineStr">
        <is>
          <t xml:space="preserve">Ingeniería en Conectividad y Redes</t>
        </is>
      </c>
      <c r="E74" s="102" t="n">
        <v>10</v>
      </c>
      <c r="F74" s="102" t="n">
        <v>9</v>
      </c>
      <c r="G74" s="103" t="n">
        <v>0.9</v>
      </c>
      <c r="H74" s="1" t="inlineStr">
        <is>
          <t xml:space="preserve">Tecnología</t>
        </is>
      </c>
      <c r="K74" s="102" t="inlineStr">
        <is>
          <t xml:space="preserve">10 menor retención</t>
        </is>
      </c>
      <c r="L74" s="103" t="inlineStr">
        <is>
          <t xml:space="preserve">Traducción e Interpretación</t>
        </is>
      </c>
      <c r="M74" s="103" t="n">
        <v>0.637873754152824</v>
      </c>
      <c r="N74" s="103" t="n">
        <v>0.62962962962963</v>
      </c>
      <c r="O74" s="103" t="n">
        <v>0.417721518987342</v>
      </c>
      <c r="P74" s="103" t="n">
        <v>0.408602150537634</v>
      </c>
      <c r="Q74" s="102" t="n">
        <v>131</v>
      </c>
    </row>
    <row r="75" customFormat="false" ht="18.75" hidden="false" customHeight="true" outlineLevel="0" collapsed="false">
      <c r="A75" s="105" t="n">
        <v>2022</v>
      </c>
      <c r="B75" s="105" t="inlineStr">
        <is>
          <t xml:space="preserve">I162S2C46J4V3</t>
        </is>
      </c>
      <c r="C75" s="105" t="n">
        <v>2</v>
      </c>
      <c r="D75" s="105" t="inlineStr">
        <is>
          <t xml:space="preserve">Ingeniería en Conectividad y Redes</t>
        </is>
      </c>
      <c r="E75" s="105" t="n">
        <v>29</v>
      </c>
      <c r="F75" s="105" t="n">
        <v>24</v>
      </c>
      <c r="G75" s="106" t="n">
        <v>0.827586206896552</v>
      </c>
      <c r="H75" s="1" t="inlineStr">
        <is>
          <t xml:space="preserve">Tecnología</t>
        </is>
      </c>
      <c r="K75" s="102" t="inlineStr">
        <is>
          <t xml:space="preserve">10 menor retención</t>
        </is>
      </c>
      <c r="L75" s="103" t="inlineStr">
        <is>
          <t xml:space="preserve">Técnico en Traducción e Interpretariado</t>
        </is>
      </c>
      <c r="M75" s="103" t="n">
        <v>0.505208333333333</v>
      </c>
      <c r="N75" s="103" t="n">
        <v>0.596153846153846</v>
      </c>
      <c r="O75" s="103" t="n">
        <v>0.502762430939227</v>
      </c>
      <c r="P75" s="103" t="n">
        <v>0.490445859872612</v>
      </c>
      <c r="Q75" s="102" t="n">
        <v>132</v>
      </c>
    </row>
    <row r="76" customFormat="false" ht="18.75" hidden="false" customHeight="true" outlineLevel="0" collapsed="false">
      <c r="A76" s="102" t="n">
        <v>2022</v>
      </c>
      <c r="B76" s="102" t="inlineStr">
        <is>
          <t xml:space="preserve">I162S2C47J1V1</t>
        </is>
      </c>
      <c r="C76" s="102" t="n">
        <v>1</v>
      </c>
      <c r="D76" s="102" t="inlineStr">
        <is>
          <t xml:space="preserve">Técnico en Administración de Redes y Soporte</t>
        </is>
      </c>
      <c r="E76" s="102" t="n">
        <v>8</v>
      </c>
      <c r="F76" s="102" t="n">
        <v>7</v>
      </c>
      <c r="G76" s="103" t="n">
        <v>0.875</v>
      </c>
      <c r="H76" s="1" t="inlineStr">
        <is>
          <t xml:space="preserve">Tecnología</t>
        </is>
      </c>
      <c r="K76" s="102" t="inlineStr">
        <is>
          <t xml:space="preserve">10 menor retención</t>
        </is>
      </c>
      <c r="L76" s="103" t="inlineStr">
        <is>
          <t xml:space="preserve">Técnico Jurídico</t>
        </is>
      </c>
      <c r="M76" s="103" t="n">
        <v>0.584331797235023</v>
      </c>
      <c r="N76" s="103" t="n">
        <v>0.565848214285714</v>
      </c>
      <c r="O76" s="103" t="n">
        <v>0.611961057023644</v>
      </c>
      <c r="P76" s="103" t="n">
        <v>0.546079779917469</v>
      </c>
      <c r="Q76" s="102" t="n">
        <v>133</v>
      </c>
    </row>
    <row r="77" customFormat="false" ht="18.75" hidden="false" customHeight="true" outlineLevel="0" collapsed="false">
      <c r="A77" s="105" t="n">
        <v>2022</v>
      </c>
      <c r="B77" s="105" t="inlineStr">
        <is>
          <t xml:space="preserve">I162S2C47J2V1</t>
        </is>
      </c>
      <c r="C77" s="105" t="n">
        <v>1</v>
      </c>
      <c r="D77" s="105" t="inlineStr">
        <is>
          <t xml:space="preserve">Técnico en Administración de Redes y Soporte</t>
        </is>
      </c>
      <c r="E77" s="105" t="n">
        <v>8</v>
      </c>
      <c r="F77" s="105" t="n">
        <v>6</v>
      </c>
      <c r="G77" s="106" t="n">
        <v>0.75</v>
      </c>
      <c r="H77" s="1" t="inlineStr">
        <is>
          <t xml:space="preserve">Tecnología</t>
        </is>
      </c>
      <c r="K77" s="102" t="inlineStr">
        <is>
          <t xml:space="preserve">10 menor retención</t>
        </is>
      </c>
      <c r="L77" s="103" t="inlineStr">
        <is>
          <t xml:space="preserve">Técnico en Administración en Marketing</t>
        </is>
      </c>
      <c r="M77" s="103" t="n">
        <v>0.602977667493797</v>
      </c>
      <c r="N77" s="103" t="n">
        <v>0.531914893617021</v>
      </c>
      <c r="O77" s="103" t="n">
        <v>0.574162679425837</v>
      </c>
      <c r="P77" s="103" t="n">
        <v>0.556687898089172</v>
      </c>
      <c r="Q77" s="102" t="n">
        <v>134</v>
      </c>
    </row>
    <row r="78" customFormat="false" ht="18.75" hidden="false" customHeight="true" outlineLevel="0" collapsed="false">
      <c r="A78" s="102" t="n">
        <v>2022</v>
      </c>
      <c r="B78" s="102" t="inlineStr">
        <is>
          <t xml:space="preserve">I162S2C47J4V1</t>
        </is>
      </c>
      <c r="C78" s="102" t="n">
        <v>1</v>
      </c>
      <c r="D78" s="102" t="inlineStr">
        <is>
          <t xml:space="preserve">Técnico en Administración de Redes y Soporte</t>
        </is>
      </c>
      <c r="E78" s="102" t="n">
        <v>16</v>
      </c>
      <c r="F78" s="102" t="n">
        <v>11</v>
      </c>
      <c r="G78" s="103" t="n">
        <v>0.6875</v>
      </c>
      <c r="H78" s="1" t="inlineStr">
        <is>
          <t xml:space="preserve">Tecnología</t>
        </is>
      </c>
      <c r="K78" s="102" t="inlineStr">
        <is>
          <t xml:space="preserve">10 menor retención</t>
        </is>
      </c>
      <c r="L78" s="103" t="inlineStr">
        <is>
          <t xml:space="preserve">Ingeniería en Gestión y Control de Calidad</t>
        </is>
      </c>
      <c r="M78" s="103" t="n">
        <v>0.644736842105263</v>
      </c>
      <c r="N78" s="103" t="n">
        <v>0.62085308056872</v>
      </c>
      <c r="O78" s="103" t="n">
        <v>0.758064516129032</v>
      </c>
      <c r="P78" s="103" t="n">
        <v>0.586206896551724</v>
      </c>
      <c r="Q78" s="102" t="n">
        <v>135</v>
      </c>
    </row>
    <row r="79" customFormat="false" ht="18.75" hidden="false" customHeight="true" outlineLevel="0" collapsed="false">
      <c r="A79" s="105" t="n">
        <v>2022</v>
      </c>
      <c r="B79" s="105" t="inlineStr">
        <is>
          <t xml:space="preserve">I162S2C57J1V1</t>
        </is>
      </c>
      <c r="C79" s="105" t="n">
        <v>1</v>
      </c>
      <c r="D79" s="105" t="inlineStr">
        <is>
          <t xml:space="preserve">Técnico en Computación e Informática</t>
        </is>
      </c>
      <c r="E79" s="105" t="n">
        <v>16</v>
      </c>
      <c r="F79" s="105" t="n">
        <v>10</v>
      </c>
      <c r="G79" s="106" t="n">
        <v>0.625</v>
      </c>
      <c r="H79" s="1" t="inlineStr">
        <is>
          <t xml:space="preserve">Tecnología</t>
        </is>
      </c>
      <c r="K79" s="102" t="inlineStr">
        <is>
          <t xml:space="preserve">10 menor retención</t>
        </is>
      </c>
      <c r="L79" s="103" t="inlineStr">
        <is>
          <t xml:space="preserve">Técnico en Diseño Gráfico</t>
        </is>
      </c>
      <c r="M79" s="103" t="n">
        <v>0.689277899343545</v>
      </c>
      <c r="N79" s="103" t="n">
        <v>0.633946830265849</v>
      </c>
      <c r="O79" s="103" t="n">
        <v>0.701421800947867</v>
      </c>
      <c r="P79" s="103" t="n">
        <v>0.603448275862069</v>
      </c>
      <c r="Q79" s="102" t="n">
        <v>136</v>
      </c>
    </row>
    <row r="80" customFormat="false" ht="18.75" hidden="false" customHeight="true" outlineLevel="0" collapsed="false">
      <c r="A80" s="102" t="n">
        <v>2022</v>
      </c>
      <c r="B80" s="102" t="inlineStr">
        <is>
          <t xml:space="preserve">I162S2C57J2V1</t>
        </is>
      </c>
      <c r="C80" s="102" t="n">
        <v>1</v>
      </c>
      <c r="D80" s="102" t="inlineStr">
        <is>
          <t xml:space="preserve">Técnico en Computación e Informática</t>
        </is>
      </c>
      <c r="E80" s="102" t="n">
        <v>8</v>
      </c>
      <c r="F80" s="102" t="n">
        <v>6</v>
      </c>
      <c r="G80" s="103" t="n">
        <v>0.75</v>
      </c>
      <c r="H80" s="1" t="inlineStr">
        <is>
          <t xml:space="preserve">Tecnología</t>
        </is>
      </c>
      <c r="K80" s="102" t="inlineStr">
        <is>
          <t xml:space="preserve">10 menor retención</t>
        </is>
      </c>
      <c r="L80" s="103" t="inlineStr">
        <is>
          <t xml:space="preserve">Técnico en Análisis de Datos</t>
        </is>
      </c>
      <c r="M80" s="103" t="n">
        <v>0.532467532467532</v>
      </c>
      <c r="N80" s="103" t="n">
        <v>0.5546875</v>
      </c>
      <c r="O80" s="103" t="n">
        <v>0.700507614213198</v>
      </c>
      <c r="P80" s="103" t="n">
        <v>0.615120274914089</v>
      </c>
      <c r="Q80" s="102" t="n">
        <v>137</v>
      </c>
    </row>
    <row r="81" customFormat="false" ht="18.75" hidden="false" customHeight="true" outlineLevel="0" collapsed="false">
      <c r="A81" s="105" t="n">
        <v>2022</v>
      </c>
      <c r="B81" s="105" t="inlineStr">
        <is>
          <t xml:space="preserve">I162S2C57J4V1</t>
        </is>
      </c>
      <c r="C81" s="105" t="n">
        <v>1</v>
      </c>
      <c r="D81" s="105" t="inlineStr">
        <is>
          <t xml:space="preserve">Técnico en Computación e Informática</t>
        </is>
      </c>
      <c r="E81" s="105" t="n">
        <v>58</v>
      </c>
      <c r="F81" s="105" t="n">
        <v>39</v>
      </c>
      <c r="G81" s="106" t="n">
        <v>0.672413793103448</v>
      </c>
      <c r="H81" s="1" t="inlineStr">
        <is>
          <t xml:space="preserve">Tecnología</t>
        </is>
      </c>
      <c r="K81" s="102" t="inlineStr">
        <is>
          <t xml:space="preserve">10 menor retención</t>
        </is>
      </c>
      <c r="L81" s="103" t="inlineStr">
        <is>
          <t xml:space="preserve">Técnico en Prevención de Riesgos</t>
        </is>
      </c>
      <c r="M81" s="103" t="n">
        <v>0.649258160237389</v>
      </c>
      <c r="N81" s="103" t="n">
        <v>0.603550295857988</v>
      </c>
      <c r="O81" s="103" t="n">
        <v>0.621473354231975</v>
      </c>
      <c r="P81" s="103" t="n">
        <v>0.618156618156618</v>
      </c>
      <c r="Q81" s="102" t="n">
        <v>138</v>
      </c>
    </row>
    <row r="82" customFormat="false" ht="18.75" hidden="false" customHeight="true" outlineLevel="0" collapsed="false">
      <c r="A82" s="102" t="n">
        <v>2022</v>
      </c>
      <c r="B82" s="102" t="inlineStr">
        <is>
          <t xml:space="preserve">I162S2C6J1V1</t>
        </is>
      </c>
      <c r="C82" s="102" t="n">
        <v>1</v>
      </c>
      <c r="D82" s="102" t="inlineStr">
        <is>
          <t xml:space="preserve">Técnico en Administración de Redes y Soporte</t>
        </is>
      </c>
      <c r="E82" s="102" t="n">
        <v>2</v>
      </c>
      <c r="F82" s="102" t="n">
        <v>2</v>
      </c>
      <c r="G82" s="103" t="n">
        <v>1</v>
      </c>
      <c r="H82" s="1" t="inlineStr">
        <is>
          <t xml:space="preserve">Tecnología</t>
        </is>
      </c>
      <c r="K82" s="102" t="inlineStr">
        <is>
          <t xml:space="preserve">10 menor retención</t>
        </is>
      </c>
      <c r="L82" s="103" t="inlineStr">
        <is>
          <t xml:space="preserve">Técnico en Administración de Redes y Soporte</t>
        </is>
      </c>
      <c r="M82" s="103" t="n">
        <v>0.60248447204969</v>
      </c>
      <c r="N82" s="103" t="n">
        <v>0.59344262295082</v>
      </c>
      <c r="O82" s="103" t="n">
        <v>0.576524741081703</v>
      </c>
      <c r="P82" s="103" t="n">
        <v>0.620104438642298</v>
      </c>
      <c r="Q82" s="102" t="n">
        <v>139</v>
      </c>
    </row>
    <row r="83" customFormat="false" ht="18.75" hidden="false" customHeight="true" outlineLevel="0" collapsed="false">
      <c r="A83" s="105" t="n">
        <v>2022</v>
      </c>
      <c r="B83" s="105" t="inlineStr">
        <is>
          <t xml:space="preserve">I162S2C6J2V1</t>
        </is>
      </c>
      <c r="C83" s="105" t="n">
        <v>1</v>
      </c>
      <c r="D83" s="105" t="inlineStr">
        <is>
          <t xml:space="preserve">Técnico en Administración de Redes y Soporte</t>
        </is>
      </c>
      <c r="E83" s="105" t="n">
        <v>3</v>
      </c>
      <c r="F83" s="105" t="n">
        <v>2</v>
      </c>
      <c r="G83" s="106" t="n">
        <v>0.666666666666667</v>
      </c>
      <c r="H83" s="1" t="inlineStr">
        <is>
          <t xml:space="preserve">Tecnología</t>
        </is>
      </c>
      <c r="K83" s="102" t="inlineStr">
        <is>
          <t xml:space="preserve">10 menor retención</t>
        </is>
      </c>
      <c r="L83" s="103" t="inlineStr">
        <is>
          <t xml:space="preserve">Técnico en Seguridad Privada</t>
        </is>
      </c>
      <c r="M83" s="103" t="inlineStr">
        <is>
          <t xml:space="preserve">n/a</t>
        </is>
      </c>
      <c r="N83" s="103" t="inlineStr">
        <is>
          <t xml:space="preserve">n/a</t>
        </is>
      </c>
      <c r="O83" s="103" t="n">
        <v>0.597826086956522</v>
      </c>
      <c r="P83" s="103" t="n">
        <v>0.621848739495798</v>
      </c>
      <c r="Q83" s="102" t="n">
        <v>140</v>
      </c>
    </row>
    <row r="84" customFormat="false" ht="18.75" hidden="false" customHeight="true" outlineLevel="0" collapsed="false">
      <c r="A84" s="102" t="n">
        <v>2022</v>
      </c>
      <c r="B84" s="102" t="inlineStr">
        <is>
          <t xml:space="preserve">I162S2C6J4V2</t>
        </is>
      </c>
      <c r="C84" s="102" t="n">
        <v>1</v>
      </c>
      <c r="D84" s="102" t="inlineStr">
        <is>
          <t xml:space="preserve">Técnico en Administración de Redes y Soporte</t>
        </is>
      </c>
      <c r="E84" s="102" t="n">
        <v>28</v>
      </c>
      <c r="F84" s="102" t="n">
        <v>17</v>
      </c>
      <c r="G84" s="103" t="n">
        <v>0.607142857142857</v>
      </c>
      <c r="H84" s="1" t="inlineStr">
        <is>
          <t xml:space="preserve">Tecnología</t>
        </is>
      </c>
    </row>
    <row r="85" customFormat="false" ht="18.75" hidden="false" customHeight="true" outlineLevel="0" collapsed="false">
      <c r="A85" s="105" t="n">
        <v>2023</v>
      </c>
      <c r="B85" s="105" t="inlineStr">
        <is>
          <t xml:space="preserve">I162S2C1J2V4</t>
        </is>
      </c>
      <c r="C85" s="105" t="n">
        <v>2</v>
      </c>
      <c r="D85" s="105" t="inlineStr">
        <is>
          <t xml:space="preserve">Ingeniería en Computación e Informática</t>
        </is>
      </c>
      <c r="E85" s="105" t="n">
        <v>11</v>
      </c>
      <c r="F85" s="105" t="n">
        <v>7</v>
      </c>
      <c r="G85" s="106" t="n">
        <v>0.636363636363636</v>
      </c>
      <c r="H85" s="1" t="inlineStr">
        <is>
          <t xml:space="preserve">Tecnología</t>
        </is>
      </c>
    </row>
    <row r="86" customFormat="false" ht="18.75" hidden="false" customHeight="true" outlineLevel="0" collapsed="false">
      <c r="A86" s="102" t="n">
        <v>2023</v>
      </c>
      <c r="B86" s="102" t="inlineStr">
        <is>
          <t xml:space="preserve">I162S2C1J4V2</t>
        </is>
      </c>
      <c r="C86" s="102" t="n">
        <v>2</v>
      </c>
      <c r="D86" s="102" t="inlineStr">
        <is>
          <t xml:space="preserve">Ingeniería en Computación e Informática</t>
        </is>
      </c>
      <c r="E86" s="102" t="n">
        <v>54</v>
      </c>
      <c r="F86" s="102" t="n">
        <v>33</v>
      </c>
      <c r="G86" s="103" t="n">
        <v>0.611111111111111</v>
      </c>
      <c r="H86" s="1" t="inlineStr">
        <is>
          <t xml:space="preserve">Tecnología</t>
        </is>
      </c>
      <c r="K86" s="1" t="inlineStr">
        <is>
          <t xml:space="preserve">C · Coincidencia exacta con AREA_CARRERA_GENERICA de OFE_año y CODIGO_UNICO; las categorías no publicadas conservan su total IPSS sin brecha.</t>
        </is>
      </c>
    </row>
    <row r="87" customFormat="false" ht="18.75" hidden="false" customHeight="true" outlineLevel="0" collapsed="false">
      <c r="A87" s="105" t="n">
        <v>2023</v>
      </c>
      <c r="B87" s="105" t="inlineStr">
        <is>
          <t xml:space="preserve">I162S2C3J4V2</t>
        </is>
      </c>
      <c r="C87" s="105" t="n">
        <v>2</v>
      </c>
      <c r="D87" s="105" t="inlineStr">
        <is>
          <t xml:space="preserve">Ingeniería en Conectividad y Redes</t>
        </is>
      </c>
      <c r="E87" s="105" t="n">
        <v>36</v>
      </c>
      <c r="F87" s="105" t="n">
        <v>24</v>
      </c>
      <c r="G87" s="106" t="n">
        <v>0.666666666666667</v>
      </c>
      <c r="H87" s="1" t="inlineStr">
        <is>
          <t xml:space="preserve">Tecnología</t>
        </is>
      </c>
    </row>
    <row r="88" customFormat="false" ht="18.75" hidden="false" customHeight="true" outlineLevel="0" collapsed="false">
      <c r="A88" s="102" t="n">
        <v>2023</v>
      </c>
      <c r="B88" s="102" t="inlineStr">
        <is>
          <t xml:space="preserve">I162S2C46J2V1</t>
        </is>
      </c>
      <c r="C88" s="102" t="n">
        <v>2</v>
      </c>
      <c r="D88" s="102" t="inlineStr">
        <is>
          <t xml:space="preserve">Ingeniería en Conectividad y Redes</t>
        </is>
      </c>
      <c r="E88" s="102" t="n">
        <v>13</v>
      </c>
      <c r="F88" s="102" t="n">
        <v>7</v>
      </c>
      <c r="G88" s="103" t="n">
        <v>0.538461538461538</v>
      </c>
      <c r="H88" s="1" t="inlineStr">
        <is>
          <t xml:space="preserve">Tecnología</t>
        </is>
      </c>
    </row>
    <row r="89" customFormat="false" ht="18.75" hidden="false" customHeight="true" outlineLevel="0" collapsed="false">
      <c r="A89" s="105" t="n">
        <v>2023</v>
      </c>
      <c r="B89" s="105" t="inlineStr">
        <is>
          <t xml:space="preserve">I162S2C46J4V3</t>
        </is>
      </c>
      <c r="C89" s="105" t="n">
        <v>2</v>
      </c>
      <c r="D89" s="105" t="inlineStr">
        <is>
          <t xml:space="preserve">Ingeniería en Conectividad y Redes</t>
        </is>
      </c>
      <c r="E89" s="105" t="n">
        <v>55</v>
      </c>
      <c r="F89" s="105" t="n">
        <v>39</v>
      </c>
      <c r="G89" s="106" t="n">
        <v>0.709090909090909</v>
      </c>
      <c r="H89" s="1" t="inlineStr">
        <is>
          <t xml:space="preserve">Tecnología</t>
        </is>
      </c>
    </row>
    <row r="90" customFormat="false" ht="18.75" hidden="false" customHeight="true" outlineLevel="0" collapsed="false">
      <c r="A90" s="102" t="n">
        <v>2023</v>
      </c>
      <c r="B90" s="102" t="inlineStr">
        <is>
          <t xml:space="preserve">I162S2C47J4V1</t>
        </is>
      </c>
      <c r="C90" s="102" t="n">
        <v>1</v>
      </c>
      <c r="D90" s="102" t="inlineStr">
        <is>
          <t xml:space="preserve">Técnico en Administración de Redes y Soporte</t>
        </is>
      </c>
      <c r="E90" s="102" t="n">
        <v>56</v>
      </c>
      <c r="F90" s="102" t="n">
        <v>42</v>
      </c>
      <c r="G90" s="103" t="n">
        <v>0.75</v>
      </c>
      <c r="H90" s="1" t="inlineStr">
        <is>
          <t xml:space="preserve">Tecnología</t>
        </is>
      </c>
    </row>
    <row r="91" customFormat="false" ht="18.75" hidden="false" customHeight="true" outlineLevel="0" collapsed="false">
      <c r="A91" s="105" t="n">
        <v>2023</v>
      </c>
      <c r="B91" s="105" t="inlineStr">
        <is>
          <t xml:space="preserve">I162S2C57J4V1</t>
        </is>
      </c>
      <c r="C91" s="105" t="n">
        <v>1</v>
      </c>
      <c r="D91" s="105" t="inlineStr">
        <is>
          <t xml:space="preserve">Técnico en Computación e Informática</t>
        </is>
      </c>
      <c r="E91" s="105" t="n">
        <v>117</v>
      </c>
      <c r="F91" s="105" t="n">
        <v>89</v>
      </c>
      <c r="G91" s="106" t="n">
        <v>0.760683760683761</v>
      </c>
      <c r="H91" s="1" t="inlineStr">
        <is>
          <t xml:space="preserve">Tecnología</t>
        </is>
      </c>
    </row>
    <row r="92" customFormat="false" ht="18.75" hidden="false" customHeight="true" outlineLevel="0" collapsed="false">
      <c r="A92" s="102" t="n">
        <v>2023</v>
      </c>
      <c r="B92" s="102" t="inlineStr">
        <is>
          <t xml:space="preserve">I162S2C6J4V2</t>
        </is>
      </c>
      <c r="C92" s="102" t="n">
        <v>1</v>
      </c>
      <c r="D92" s="102" t="inlineStr">
        <is>
          <t xml:space="preserve">Técnico en Administración de Redes y Soporte</t>
        </is>
      </c>
      <c r="E92" s="102" t="n">
        <v>24</v>
      </c>
      <c r="F92" s="102" t="n">
        <v>17</v>
      </c>
      <c r="G92" s="103" t="n">
        <v>0.708333333333333</v>
      </c>
      <c r="H92" s="1" t="inlineStr">
        <is>
          <t xml:space="preserve">Tecnología</t>
        </is>
      </c>
    </row>
    <row r="93" customFormat="false" ht="18.75" hidden="false" customHeight="true" outlineLevel="0" collapsed="false">
      <c r="A93" s="105" t="n">
        <v>2024</v>
      </c>
      <c r="B93" s="105" t="inlineStr">
        <is>
          <t xml:space="preserve">I162S2C1J1V2</t>
        </is>
      </c>
      <c r="C93" s="105" t="n">
        <v>2</v>
      </c>
      <c r="D93" s="105" t="inlineStr">
        <is>
          <t xml:space="preserve">Ingeniería en Computación e Informática</t>
        </is>
      </c>
      <c r="E93" s="105" t="n">
        <v>15</v>
      </c>
      <c r="F93" s="105" t="n">
        <v>12</v>
      </c>
      <c r="G93" s="106" t="n">
        <v>0.8</v>
      </c>
      <c r="H93" s="1" t="inlineStr">
        <is>
          <t xml:space="preserve">Tecnología</t>
        </is>
      </c>
    </row>
    <row r="94" customFormat="false" ht="18.75" hidden="false" customHeight="true" outlineLevel="0" collapsed="false">
      <c r="A94" s="102" t="n">
        <v>2024</v>
      </c>
      <c r="B94" s="102" t="inlineStr">
        <is>
          <t xml:space="preserve">I162S2C1J2V4</t>
        </is>
      </c>
      <c r="C94" s="102" t="n">
        <v>2</v>
      </c>
      <c r="D94" s="102" t="inlineStr">
        <is>
          <t xml:space="preserve">Ingeniería en Computación e Informática</t>
        </is>
      </c>
      <c r="E94" s="102" t="n">
        <v>12</v>
      </c>
      <c r="F94" s="102" t="n">
        <v>8</v>
      </c>
      <c r="G94" s="103" t="n">
        <v>0.666666666666667</v>
      </c>
      <c r="H94" s="1" t="inlineStr">
        <is>
          <t xml:space="preserve">Tecnología</t>
        </is>
      </c>
    </row>
    <row r="95" customFormat="false" ht="18.75" hidden="false" customHeight="true" outlineLevel="0" collapsed="false">
      <c r="A95" s="105" t="n">
        <v>2024</v>
      </c>
      <c r="B95" s="105" t="inlineStr">
        <is>
          <t xml:space="preserve">I162S2C1J4V2</t>
        </is>
      </c>
      <c r="C95" s="105" t="n">
        <v>2</v>
      </c>
      <c r="D95" s="105" t="inlineStr">
        <is>
          <t xml:space="preserve">Ingeniería en Computación e Informática</t>
        </is>
      </c>
      <c r="E95" s="105" t="n">
        <v>80</v>
      </c>
      <c r="F95" s="105" t="n">
        <v>52</v>
      </c>
      <c r="G95" s="106" t="n">
        <v>0.65</v>
      </c>
      <c r="H95" s="1" t="inlineStr">
        <is>
          <t xml:space="preserve">Tecnología</t>
        </is>
      </c>
    </row>
    <row r="96" customFormat="false" ht="18.75" hidden="false" customHeight="true" outlineLevel="0" collapsed="false">
      <c r="A96" s="102" t="n">
        <v>2024</v>
      </c>
      <c r="B96" s="102" t="inlineStr">
        <is>
          <t xml:space="preserve">I162S2C3J2V4</t>
        </is>
      </c>
      <c r="C96" s="102" t="n">
        <v>2</v>
      </c>
      <c r="D96" s="102" t="inlineStr">
        <is>
          <t xml:space="preserve">Ingeniería en Conectividad y Redes</t>
        </is>
      </c>
      <c r="E96" s="102" t="n">
        <v>6</v>
      </c>
      <c r="F96" s="102" t="n">
        <v>4</v>
      </c>
      <c r="G96" s="103" t="n">
        <v>0.666666666666667</v>
      </c>
      <c r="H96" s="1" t="inlineStr">
        <is>
          <t xml:space="preserve">Tecnología</t>
        </is>
      </c>
    </row>
    <row r="97" customFormat="false" ht="18.75" hidden="false" customHeight="true" outlineLevel="0" collapsed="false">
      <c r="A97" s="105" t="n">
        <v>2024</v>
      </c>
      <c r="B97" s="105" t="inlineStr">
        <is>
          <t xml:space="preserve">I162S2C3J4V2</t>
        </is>
      </c>
      <c r="C97" s="105" t="n">
        <v>2</v>
      </c>
      <c r="D97" s="105" t="inlineStr">
        <is>
          <t xml:space="preserve">Ingeniería en Conectividad y Redes</t>
        </is>
      </c>
      <c r="E97" s="105" t="n">
        <v>62</v>
      </c>
      <c r="F97" s="105" t="n">
        <v>42</v>
      </c>
      <c r="G97" s="106" t="n">
        <v>0.67741935483871</v>
      </c>
      <c r="H97" s="1" t="inlineStr">
        <is>
          <t xml:space="preserve">Tecnología</t>
        </is>
      </c>
    </row>
    <row r="98" customFormat="false" ht="18.75" hidden="false" customHeight="true" outlineLevel="0" collapsed="false">
      <c r="A98" s="102" t="n">
        <v>2024</v>
      </c>
      <c r="B98" s="102" t="inlineStr">
        <is>
          <t xml:space="preserve">I162S2C46J1V1</t>
        </is>
      </c>
      <c r="C98" s="102" t="n">
        <v>2</v>
      </c>
      <c r="D98" s="102" t="inlineStr">
        <is>
          <t xml:space="preserve">Ingeniería en Conectividad y Redes</t>
        </is>
      </c>
      <c r="E98" s="102" t="n">
        <v>21</v>
      </c>
      <c r="F98" s="102" t="n">
        <v>14</v>
      </c>
      <c r="G98" s="103" t="n">
        <v>0.666666666666667</v>
      </c>
      <c r="H98" s="1" t="inlineStr">
        <is>
          <t xml:space="preserve">Tecnología</t>
        </is>
      </c>
    </row>
    <row r="99" customFormat="false" ht="18.75" hidden="false" customHeight="true" outlineLevel="0" collapsed="false">
      <c r="A99" s="105" t="n">
        <v>2024</v>
      </c>
      <c r="B99" s="105" t="inlineStr">
        <is>
          <t xml:space="preserve">I162S2C46J2V1</t>
        </is>
      </c>
      <c r="C99" s="105" t="n">
        <v>2</v>
      </c>
      <c r="D99" s="105" t="inlineStr">
        <is>
          <t xml:space="preserve">Ingeniería en Conectividad y Redes</t>
        </is>
      </c>
      <c r="E99" s="105" t="n">
        <v>14</v>
      </c>
      <c r="F99" s="105" t="n">
        <v>9</v>
      </c>
      <c r="G99" s="106" t="n">
        <v>0.642857142857143</v>
      </c>
      <c r="H99" s="1" t="inlineStr">
        <is>
          <t xml:space="preserve">Tecnología</t>
        </is>
      </c>
    </row>
    <row r="100" customFormat="false" ht="18.75" hidden="false" customHeight="true" outlineLevel="0" collapsed="false">
      <c r="A100" s="102" t="n">
        <v>2024</v>
      </c>
      <c r="B100" s="102" t="inlineStr">
        <is>
          <t xml:space="preserve">I162S2C46J4V3</t>
        </is>
      </c>
      <c r="C100" s="102" t="n">
        <v>2</v>
      </c>
      <c r="D100" s="102" t="inlineStr">
        <is>
          <t xml:space="preserve">Ingeniería en Conectividad y Redes</t>
        </is>
      </c>
      <c r="E100" s="102" t="n">
        <v>54</v>
      </c>
      <c r="F100" s="102" t="n">
        <v>26</v>
      </c>
      <c r="G100" s="103" t="n">
        <v>0.481481481481481</v>
      </c>
      <c r="H100" s="1" t="inlineStr">
        <is>
          <t xml:space="preserve">Tecnología</t>
        </is>
      </c>
    </row>
    <row r="101" customFormat="false" ht="18.75" hidden="false" customHeight="true" outlineLevel="0" collapsed="false">
      <c r="A101" s="105" t="n">
        <v>2024</v>
      </c>
      <c r="B101" s="105" t="inlineStr">
        <is>
          <t xml:space="preserve">I162S2C47J1V1</t>
        </is>
      </c>
      <c r="C101" s="105" t="n">
        <v>1</v>
      </c>
      <c r="D101" s="105" t="inlineStr">
        <is>
          <t xml:space="preserve">Técnico en Administración de Redes y Soporte</t>
        </is>
      </c>
      <c r="E101" s="105" t="n">
        <v>5</v>
      </c>
      <c r="F101" s="105" t="n">
        <v>2</v>
      </c>
      <c r="G101" s="106" t="n">
        <v>0.4</v>
      </c>
      <c r="H101" s="1" t="inlineStr">
        <is>
          <t xml:space="preserve">Tecnología</t>
        </is>
      </c>
    </row>
    <row r="102" customFormat="false" ht="18.75" hidden="false" customHeight="true" outlineLevel="0" collapsed="false">
      <c r="A102" s="102" t="n">
        <v>2024</v>
      </c>
      <c r="B102" s="102" t="inlineStr">
        <is>
          <t xml:space="preserve">I162S2C47J2V1</t>
        </is>
      </c>
      <c r="C102" s="102" t="n">
        <v>1</v>
      </c>
      <c r="D102" s="102" t="inlineStr">
        <is>
          <t xml:space="preserve">Técnico en Administración de Redes y Soporte</t>
        </is>
      </c>
      <c r="E102" s="102" t="n">
        <v>11</v>
      </c>
      <c r="F102" s="102" t="n">
        <v>5</v>
      </c>
      <c r="G102" s="103" t="n">
        <v>0.454545454545455</v>
      </c>
      <c r="H102" s="1" t="inlineStr">
        <is>
          <t xml:space="preserve">Tecnología</t>
        </is>
      </c>
    </row>
    <row r="103" customFormat="false" ht="18.75" hidden="false" customHeight="true" outlineLevel="0" collapsed="false">
      <c r="A103" s="105" t="n">
        <v>2024</v>
      </c>
      <c r="B103" s="105" t="inlineStr">
        <is>
          <t xml:space="preserve">I162S2C47J4V1</t>
        </is>
      </c>
      <c r="C103" s="105" t="n">
        <v>1</v>
      </c>
      <c r="D103" s="105" t="inlineStr">
        <is>
          <t xml:space="preserve">Técnico en Administración de Redes y Soporte</t>
        </is>
      </c>
      <c r="E103" s="105" t="n">
        <v>55</v>
      </c>
      <c r="F103" s="105" t="n">
        <v>30</v>
      </c>
      <c r="G103" s="106" t="n">
        <v>0.545454545454545</v>
      </c>
      <c r="H103" s="1" t="inlineStr">
        <is>
          <t xml:space="preserve">Tecnología</t>
        </is>
      </c>
    </row>
    <row r="104" customFormat="false" ht="18.75" hidden="false" customHeight="true" outlineLevel="0" collapsed="false">
      <c r="A104" s="102" t="n">
        <v>2024</v>
      </c>
      <c r="B104" s="102" t="inlineStr">
        <is>
          <t xml:space="preserve">I162S2C57J1V1</t>
        </is>
      </c>
      <c r="C104" s="102" t="n">
        <v>1</v>
      </c>
      <c r="D104" s="102" t="inlineStr">
        <is>
          <t xml:space="preserve">Técnico en Computación e Informática</t>
        </is>
      </c>
      <c r="E104" s="102" t="n">
        <v>11</v>
      </c>
      <c r="F104" s="102" t="n">
        <v>9</v>
      </c>
      <c r="G104" s="103" t="n">
        <v>0.818181818181818</v>
      </c>
      <c r="H104" s="1" t="inlineStr">
        <is>
          <t xml:space="preserve">Tecnología</t>
        </is>
      </c>
    </row>
    <row r="105" customFormat="false" ht="18.75" hidden="false" customHeight="true" outlineLevel="0" collapsed="false">
      <c r="A105" s="105" t="n">
        <v>2024</v>
      </c>
      <c r="B105" s="105" t="inlineStr">
        <is>
          <t xml:space="preserve">I162S2C57J2V1</t>
        </is>
      </c>
      <c r="C105" s="105" t="n">
        <v>1</v>
      </c>
      <c r="D105" s="105" t="inlineStr">
        <is>
          <t xml:space="preserve">Técnico en Computación e Informática</t>
        </is>
      </c>
      <c r="E105" s="105" t="n">
        <v>17</v>
      </c>
      <c r="F105" s="105" t="n">
        <v>9</v>
      </c>
      <c r="G105" s="106" t="n">
        <v>0.529411764705882</v>
      </c>
      <c r="H105" s="1" t="inlineStr">
        <is>
          <t xml:space="preserve">Tecnología</t>
        </is>
      </c>
    </row>
    <row r="106" customFormat="false" ht="18.75" hidden="false" customHeight="true" outlineLevel="0" collapsed="false">
      <c r="A106" s="102" t="n">
        <v>2024</v>
      </c>
      <c r="B106" s="102" t="inlineStr">
        <is>
          <t xml:space="preserve">I162S2C57J4V1</t>
        </is>
      </c>
      <c r="C106" s="102" t="n">
        <v>1</v>
      </c>
      <c r="D106" s="102" t="inlineStr">
        <is>
          <t xml:space="preserve">Técnico en Computación e Informática</t>
        </is>
      </c>
      <c r="E106" s="102" t="n">
        <v>109</v>
      </c>
      <c r="F106" s="102" t="n">
        <v>71</v>
      </c>
      <c r="G106" s="103" t="n">
        <v>0.651376146788991</v>
      </c>
      <c r="H106" s="1" t="inlineStr">
        <is>
          <t xml:space="preserve">Tecnología</t>
        </is>
      </c>
    </row>
    <row r="107" customFormat="false" ht="18.75" hidden="false" customHeight="true" outlineLevel="0" collapsed="false">
      <c r="A107" s="105" t="n">
        <v>2024</v>
      </c>
      <c r="B107" s="105" t="inlineStr">
        <is>
          <t xml:space="preserve">I162S2C6J2V2</t>
        </is>
      </c>
      <c r="C107" s="105" t="n">
        <v>1</v>
      </c>
      <c r="D107" s="105" t="inlineStr">
        <is>
          <t xml:space="preserve">Técnico en Administración de Redes y Soporte</t>
        </is>
      </c>
      <c r="E107" s="105" t="n">
        <v>2</v>
      </c>
      <c r="F107" s="105" t="n">
        <v>0</v>
      </c>
      <c r="G107" s="106" t="n">
        <v>0</v>
      </c>
      <c r="H107" s="1" t="inlineStr">
        <is>
          <t xml:space="preserve">Tecnología</t>
        </is>
      </c>
    </row>
    <row r="108" customFormat="false" ht="18.75" hidden="false" customHeight="true" outlineLevel="0" collapsed="false">
      <c r="A108" s="102" t="n">
        <v>2024</v>
      </c>
      <c r="B108" s="102" t="inlineStr">
        <is>
          <t xml:space="preserve">I162S2C6J4V2</t>
        </is>
      </c>
      <c r="C108" s="102" t="n">
        <v>1</v>
      </c>
      <c r="D108" s="102" t="inlineStr">
        <is>
          <t xml:space="preserve">Técnico en Administración de Redes y Soporte</t>
        </is>
      </c>
      <c r="E108" s="102" t="n">
        <v>23</v>
      </c>
      <c r="F108" s="102" t="n">
        <v>6</v>
      </c>
      <c r="G108" s="103" t="n">
        <v>0.260869565217391</v>
      </c>
      <c r="H108" s="1" t="inlineStr">
        <is>
          <t xml:space="preserve">Tecnología</t>
        </is>
      </c>
    </row>
    <row r="109" customFormat="false" ht="18.75" hidden="false" customHeight="true" outlineLevel="0" collapsed="false">
      <c r="A109" s="105" t="n">
        <v>2024</v>
      </c>
      <c r="B109" s="105" t="inlineStr">
        <is>
          <t xml:space="preserve">I162S2C76J2V1</t>
        </is>
      </c>
      <c r="C109" s="105" t="n">
        <v>2</v>
      </c>
      <c r="D109" s="105" t="inlineStr">
        <is>
          <t xml:space="preserve">Administración de Empresas e Ing. Asociadas</t>
        </is>
      </c>
      <c r="E109" s="105" t="n">
        <v>1</v>
      </c>
      <c r="F109" s="105" t="n">
        <v>0</v>
      </c>
      <c r="G109" s="106" t="n">
        <v>0</v>
      </c>
      <c r="H109" s="1" t="inlineStr">
        <is>
          <t xml:space="preserve">Administración y Comercio</t>
        </is>
      </c>
    </row>
    <row r="110" customFormat="false" ht="18.75" hidden="false" customHeight="true" outlineLevel="0" collapsed="false">
      <c r="A110" s="102" t="n">
        <v>2024</v>
      </c>
      <c r="B110" s="102" t="inlineStr">
        <is>
          <t xml:space="preserve">I162S2C76J4V1</t>
        </is>
      </c>
      <c r="C110" s="102" t="n">
        <v>2</v>
      </c>
      <c r="D110" s="102" t="inlineStr">
        <is>
          <t xml:space="preserve">Administración de Empresas e Ing. Asociadas</t>
        </is>
      </c>
      <c r="E110" s="102" t="n">
        <v>7</v>
      </c>
      <c r="F110" s="102" t="n">
        <v>3</v>
      </c>
      <c r="G110" s="103" t="n">
        <v>0.428571428571429</v>
      </c>
      <c r="H110" s="1" t="inlineStr">
        <is>
          <t xml:space="preserve">Administración y Comercio</t>
        </is>
      </c>
    </row>
    <row r="111" customFormat="false" ht="18.75" hidden="false" customHeight="true" outlineLevel="0" collapsed="false">
      <c r="A111" s="105" t="n">
        <v>2024</v>
      </c>
      <c r="B111" s="105" t="inlineStr">
        <is>
          <t xml:space="preserve">I162S2C77J2V1</t>
        </is>
      </c>
      <c r="C111" s="105" t="n">
        <v>2</v>
      </c>
      <c r="D111" s="105" t="inlineStr">
        <is>
          <t xml:space="preserve">Ingeniería en Logística</t>
        </is>
      </c>
      <c r="E111" s="105" t="n">
        <v>6</v>
      </c>
      <c r="F111" s="105" t="n">
        <v>2</v>
      </c>
      <c r="G111" s="106" t="n">
        <v>0.333333333333333</v>
      </c>
      <c r="H111" s="1" t="inlineStr">
        <is>
          <t xml:space="preserve">Administración y Comercio</t>
        </is>
      </c>
    </row>
    <row r="112" customFormat="false" ht="18.75" hidden="false" customHeight="true" outlineLevel="0" collapsed="false">
      <c r="A112" s="102" t="n">
        <v>2024</v>
      </c>
      <c r="B112" s="102" t="inlineStr">
        <is>
          <t xml:space="preserve">I162S2C77J4V1</t>
        </is>
      </c>
      <c r="C112" s="102" t="n">
        <v>2</v>
      </c>
      <c r="D112" s="102" t="inlineStr">
        <is>
          <t xml:space="preserve">Ingeniería en Logística</t>
        </is>
      </c>
      <c r="E112" s="102" t="n">
        <v>9</v>
      </c>
      <c r="F112" s="102" t="n">
        <v>5</v>
      </c>
      <c r="G112" s="103" t="n">
        <v>0.555555555555556</v>
      </c>
      <c r="H112" s="1" t="inlineStr">
        <is>
          <t xml:space="preserve">Administración y Comercio</t>
        </is>
      </c>
    </row>
    <row r="113" customFormat="false" ht="18.75" hidden="false" customHeight="true" outlineLevel="0" collapsed="false">
      <c r="A113" s="105" t="n">
        <v>2024</v>
      </c>
      <c r="B113" s="105" t="inlineStr">
        <is>
          <t xml:space="preserve">I162S2C78J2V1</t>
        </is>
      </c>
      <c r="C113" s="105" t="n">
        <v>1</v>
      </c>
      <c r="D113" s="105" t="inlineStr">
        <is>
          <t xml:space="preserve">Técnico en Administración de Empresas</t>
        </is>
      </c>
      <c r="E113" s="105" t="n">
        <v>7</v>
      </c>
      <c r="F113" s="105" t="n">
        <v>2</v>
      </c>
      <c r="G113" s="106" t="n">
        <v>0.285714285714286</v>
      </c>
      <c r="H113" s="1" t="inlineStr">
        <is>
          <t xml:space="preserve">Administración y Comercio</t>
        </is>
      </c>
    </row>
    <row r="114" customFormat="false" ht="18.75" hidden="false" customHeight="true" outlineLevel="0" collapsed="false">
      <c r="A114" s="102" t="n">
        <v>2024</v>
      </c>
      <c r="B114" s="102" t="inlineStr">
        <is>
          <t xml:space="preserve">I162S2C78J4V1</t>
        </is>
      </c>
      <c r="C114" s="102" t="n">
        <v>1</v>
      </c>
      <c r="D114" s="102" t="inlineStr">
        <is>
          <t xml:space="preserve">Técnico en Administración de Empresas</t>
        </is>
      </c>
      <c r="E114" s="102" t="n">
        <v>8</v>
      </c>
      <c r="F114" s="102" t="n">
        <v>5</v>
      </c>
      <c r="G114" s="103" t="n">
        <v>0.625</v>
      </c>
      <c r="H114" s="1" t="inlineStr">
        <is>
          <t xml:space="preserve">Administración y Comercio</t>
        </is>
      </c>
    </row>
    <row r="115" customFormat="false" ht="18.75" hidden="false" customHeight="true" outlineLevel="0" collapsed="false">
      <c r="A115" s="105" t="n">
        <v>2024</v>
      </c>
      <c r="B115" s="105" t="inlineStr">
        <is>
          <t xml:space="preserve">I162S2C79J2V1</t>
        </is>
      </c>
      <c r="C115" s="105" t="n">
        <v>1</v>
      </c>
      <c r="D115" s="105" t="inlineStr">
        <is>
          <t xml:space="preserve">Técnico en Logística</t>
        </is>
      </c>
      <c r="E115" s="105" t="n">
        <v>8</v>
      </c>
      <c r="F115" s="105" t="n">
        <v>3</v>
      </c>
      <c r="G115" s="106" t="n">
        <v>0.375</v>
      </c>
      <c r="H115" s="1" t="inlineStr">
        <is>
          <t xml:space="preserve">Administración y Comercio</t>
        </is>
      </c>
    </row>
    <row r="116" customFormat="false" ht="18.75" hidden="false" customHeight="true" outlineLevel="0" collapsed="false">
      <c r="A116" s="102" t="n">
        <v>2024</v>
      </c>
      <c r="B116" s="102" t="inlineStr">
        <is>
          <t xml:space="preserve">I162S2C79J4V1</t>
        </is>
      </c>
      <c r="C116" s="102" t="n">
        <v>1</v>
      </c>
      <c r="D116" s="102" t="inlineStr">
        <is>
          <t xml:space="preserve">Técnico en Logística</t>
        </is>
      </c>
      <c r="E116" s="102" t="n">
        <v>15</v>
      </c>
      <c r="F116" s="102" t="n">
        <v>7</v>
      </c>
      <c r="G116" s="103" t="n">
        <v>0.466666666666667</v>
      </c>
      <c r="H116" s="1" t="inlineStr">
        <is>
          <t xml:space="preserve">Administración y Comercio</t>
        </is>
      </c>
    </row>
    <row r="117" customFormat="false" ht="18.75" hidden="false" customHeight="true" outlineLevel="0" collapsed="false">
      <c r="A117" s="105" t="n">
        <v>2025</v>
      </c>
      <c r="B117" s="105" t="inlineStr">
        <is>
          <t xml:space="preserve">I162S2C1J1V1</t>
        </is>
      </c>
      <c r="C117" s="105" t="n">
        <v>2</v>
      </c>
      <c r="D117" s="105" t="inlineStr">
        <is>
          <t xml:space="preserve">Ingeniería en Computación e Informática</t>
        </is>
      </c>
      <c r="E117" s="105" t="n">
        <v>3</v>
      </c>
      <c r="F117" s="105" t="n">
        <v>3</v>
      </c>
      <c r="G117" s="106" t="n">
        <v>1</v>
      </c>
      <c r="H117" s="1" t="inlineStr">
        <is>
          <t xml:space="preserve">Tecnología</t>
        </is>
      </c>
    </row>
    <row r="118" customFormat="false" ht="18.75" hidden="false" customHeight="true" outlineLevel="0" collapsed="false">
      <c r="A118" s="102" t="n">
        <v>2025</v>
      </c>
      <c r="B118" s="102" t="inlineStr">
        <is>
          <t xml:space="preserve">I162S2C1J1V2</t>
        </is>
      </c>
      <c r="C118" s="102" t="n">
        <v>2</v>
      </c>
      <c r="D118" s="102" t="inlineStr">
        <is>
          <t xml:space="preserve">Ingeniería en Computación e Informática</t>
        </is>
      </c>
      <c r="E118" s="102" t="n">
        <v>11</v>
      </c>
      <c r="F118" s="102" t="n">
        <v>7</v>
      </c>
      <c r="G118" s="103" t="n">
        <v>0.636363636363636</v>
      </c>
      <c r="H118" s="1" t="inlineStr">
        <is>
          <t xml:space="preserve">Tecnología</t>
        </is>
      </c>
    </row>
    <row r="119" customFormat="false" ht="18.75" hidden="false" customHeight="true" outlineLevel="0" collapsed="false">
      <c r="A119" s="105" t="n">
        <v>2025</v>
      </c>
      <c r="B119" s="105" t="inlineStr">
        <is>
          <t xml:space="preserve">I162S2C1J2V1</t>
        </is>
      </c>
      <c r="C119" s="105" t="n">
        <v>2</v>
      </c>
      <c r="D119" s="105" t="inlineStr">
        <is>
          <t xml:space="preserve">Ingeniería en Computación e Informática</t>
        </is>
      </c>
      <c r="E119" s="105" t="n">
        <v>4</v>
      </c>
      <c r="F119" s="105" t="n">
        <v>2</v>
      </c>
      <c r="G119" s="106" t="n">
        <v>0.5</v>
      </c>
      <c r="H119" s="1" t="inlineStr">
        <is>
          <t xml:space="preserve">Tecnología</t>
        </is>
      </c>
    </row>
    <row r="120" customFormat="false" ht="18.75" hidden="false" customHeight="true" outlineLevel="0" collapsed="false">
      <c r="A120" s="102" t="n">
        <v>2025</v>
      </c>
      <c r="B120" s="102" t="inlineStr">
        <is>
          <t xml:space="preserve">I162S2C1J2V4</t>
        </is>
      </c>
      <c r="C120" s="102" t="n">
        <v>2</v>
      </c>
      <c r="D120" s="102" t="inlineStr">
        <is>
          <t xml:space="preserve">Ingeniería en Computación e Informática</t>
        </is>
      </c>
      <c r="E120" s="102" t="n">
        <v>9</v>
      </c>
      <c r="F120" s="102" t="n">
        <v>5</v>
      </c>
      <c r="G120" s="103" t="n">
        <v>0.555555555555556</v>
      </c>
      <c r="H120" s="1" t="inlineStr">
        <is>
          <t xml:space="preserve">Tecnología</t>
        </is>
      </c>
    </row>
    <row r="121" customFormat="false" ht="18.75" hidden="false" customHeight="true" outlineLevel="0" collapsed="false">
      <c r="A121" s="105" t="n">
        <v>2025</v>
      </c>
      <c r="B121" s="105" t="inlineStr">
        <is>
          <t xml:space="preserve">I162S2C1J4V2</t>
        </is>
      </c>
      <c r="C121" s="105" t="n">
        <v>2</v>
      </c>
      <c r="D121" s="105" t="inlineStr">
        <is>
          <t xml:space="preserve">Ingeniería en Computación e Informática</t>
        </is>
      </c>
      <c r="E121" s="105" t="n">
        <v>91</v>
      </c>
      <c r="F121" s="105" t="n">
        <v>64</v>
      </c>
      <c r="G121" s="106" t="n">
        <v>0.703296703296703</v>
      </c>
      <c r="H121" s="1" t="inlineStr">
        <is>
          <t xml:space="preserve">Tecnología</t>
        </is>
      </c>
    </row>
    <row r="122" customFormat="false" ht="18.75" hidden="false" customHeight="true" outlineLevel="0" collapsed="false">
      <c r="A122" s="102" t="n">
        <v>2025</v>
      </c>
      <c r="B122" s="102" t="inlineStr">
        <is>
          <t xml:space="preserve">I162S2C3J2V1</t>
        </is>
      </c>
      <c r="C122" s="102" t="n">
        <v>2</v>
      </c>
      <c r="D122" s="102" t="inlineStr">
        <is>
          <t xml:space="preserve">Ingeniería en Conectividad y Redes</t>
        </is>
      </c>
      <c r="E122" s="102" t="n">
        <v>3</v>
      </c>
      <c r="F122" s="102" t="n">
        <v>1</v>
      </c>
      <c r="G122" s="103" t="n">
        <v>0.333333333333333</v>
      </c>
      <c r="H122" s="1" t="inlineStr">
        <is>
          <t xml:space="preserve">Tecnología</t>
        </is>
      </c>
    </row>
    <row r="123" customFormat="false" ht="18.75" hidden="false" customHeight="true" outlineLevel="0" collapsed="false">
      <c r="A123" s="105" t="n">
        <v>2025</v>
      </c>
      <c r="B123" s="105" t="inlineStr">
        <is>
          <t xml:space="preserve">I162S2C3J2V4</t>
        </is>
      </c>
      <c r="C123" s="105" t="n">
        <v>2</v>
      </c>
      <c r="D123" s="105" t="inlineStr">
        <is>
          <t xml:space="preserve">Ingeniería en Conectividad y Redes</t>
        </is>
      </c>
      <c r="E123" s="105" t="n">
        <v>6</v>
      </c>
      <c r="F123" s="105" t="n">
        <v>5</v>
      </c>
      <c r="G123" s="106" t="n">
        <v>0.833333333333333</v>
      </c>
      <c r="H123" s="1" t="inlineStr">
        <is>
          <t xml:space="preserve">Tecnología</t>
        </is>
      </c>
    </row>
    <row r="124" customFormat="false" ht="18.75" hidden="false" customHeight="true" outlineLevel="0" collapsed="false">
      <c r="A124" s="102" t="n">
        <v>2025</v>
      </c>
      <c r="B124" s="102" t="inlineStr">
        <is>
          <t xml:space="preserve">I162S2C3J4V2</t>
        </is>
      </c>
      <c r="C124" s="102" t="n">
        <v>2</v>
      </c>
      <c r="D124" s="102" t="inlineStr">
        <is>
          <t xml:space="preserve">Ingeniería en Conectividad y Redes</t>
        </is>
      </c>
      <c r="E124" s="102" t="n">
        <v>54</v>
      </c>
      <c r="F124" s="102" t="n">
        <v>37</v>
      </c>
      <c r="G124" s="103" t="n">
        <v>0.685185185185185</v>
      </c>
      <c r="H124" s="1" t="inlineStr">
        <is>
          <t xml:space="preserve">Tecnología</t>
        </is>
      </c>
    </row>
    <row r="125" customFormat="false" ht="18.75" hidden="false" customHeight="true" outlineLevel="0" collapsed="false">
      <c r="A125" s="105" t="n">
        <v>2025</v>
      </c>
      <c r="B125" s="105" t="inlineStr">
        <is>
          <t xml:space="preserve">I162S2C46J1V1</t>
        </is>
      </c>
      <c r="C125" s="105" t="n">
        <v>2</v>
      </c>
      <c r="D125" s="105" t="inlineStr">
        <is>
          <t xml:space="preserve">Ingeniería en Conectividad y Redes</t>
        </is>
      </c>
      <c r="E125" s="105" t="n">
        <v>18</v>
      </c>
      <c r="F125" s="105" t="n">
        <v>16</v>
      </c>
      <c r="G125" s="106" t="n">
        <v>0.888888888888889</v>
      </c>
      <c r="H125" s="1" t="inlineStr">
        <is>
          <t xml:space="preserve">Tecnología</t>
        </is>
      </c>
    </row>
    <row r="126" customFormat="false" ht="18.75" hidden="false" customHeight="true" outlineLevel="0" collapsed="false">
      <c r="A126" s="102" t="n">
        <v>2025</v>
      </c>
      <c r="B126" s="102" t="inlineStr">
        <is>
          <t xml:space="preserve">I162S2C46J2V1</t>
        </is>
      </c>
      <c r="C126" s="102" t="n">
        <v>2</v>
      </c>
      <c r="D126" s="102" t="inlineStr">
        <is>
          <t xml:space="preserve">Ingeniería en Conectividad y Redes</t>
        </is>
      </c>
      <c r="E126" s="102" t="n">
        <v>11</v>
      </c>
      <c r="F126" s="102" t="n">
        <v>8</v>
      </c>
      <c r="G126" s="103" t="n">
        <v>0.727272727272727</v>
      </c>
      <c r="H126" s="1" t="inlineStr">
        <is>
          <t xml:space="preserve">Tecnología</t>
        </is>
      </c>
    </row>
    <row r="127" customFormat="false" ht="18.75" hidden="false" customHeight="true" outlineLevel="0" collapsed="false">
      <c r="A127" s="105" t="n">
        <v>2025</v>
      </c>
      <c r="B127" s="105" t="inlineStr">
        <is>
          <t xml:space="preserve">I162S2C46J4V3</t>
        </is>
      </c>
      <c r="C127" s="105" t="n">
        <v>2</v>
      </c>
      <c r="D127" s="105" t="inlineStr">
        <is>
          <t xml:space="preserve">Ingeniería en Conectividad y Redes</t>
        </is>
      </c>
      <c r="E127" s="105" t="n">
        <v>73</v>
      </c>
      <c r="F127" s="105" t="n">
        <v>41</v>
      </c>
      <c r="G127" s="106" t="n">
        <v>0.561643835616438</v>
      </c>
      <c r="H127" s="1" t="inlineStr">
        <is>
          <t xml:space="preserve">Tecnología</t>
        </is>
      </c>
    </row>
    <row r="128" customFormat="false" ht="18.75" hidden="false" customHeight="true" outlineLevel="0" collapsed="false">
      <c r="A128" s="102" t="n">
        <v>2025</v>
      </c>
      <c r="B128" s="102" t="inlineStr">
        <is>
          <t xml:space="preserve">I162S2C47J1V1</t>
        </is>
      </c>
      <c r="C128" s="102" t="n">
        <v>1</v>
      </c>
      <c r="D128" s="102" t="inlineStr">
        <is>
          <t xml:space="preserve">Técnico en Administración de Redes y Soporte</t>
        </is>
      </c>
      <c r="E128" s="102" t="n">
        <v>8</v>
      </c>
      <c r="F128" s="102" t="n">
        <v>7</v>
      </c>
      <c r="G128" s="103" t="n">
        <v>0.875</v>
      </c>
      <c r="H128" s="1" t="inlineStr">
        <is>
          <t xml:space="preserve">Tecnología</t>
        </is>
      </c>
    </row>
    <row r="129" customFormat="false" ht="18.75" hidden="false" customHeight="true" outlineLevel="0" collapsed="false">
      <c r="A129" s="105" t="n">
        <v>2025</v>
      </c>
      <c r="B129" s="105" t="inlineStr">
        <is>
          <t xml:space="preserve">I162S2C47J2V1</t>
        </is>
      </c>
      <c r="C129" s="105" t="n">
        <v>1</v>
      </c>
      <c r="D129" s="105" t="inlineStr">
        <is>
          <t xml:space="preserve">Técnico en Administración de Redes y Soporte</t>
        </is>
      </c>
      <c r="E129" s="105" t="n">
        <v>7</v>
      </c>
      <c r="F129" s="105" t="n">
        <v>6</v>
      </c>
      <c r="G129" s="106" t="n">
        <v>0.857142857142857</v>
      </c>
      <c r="H129" s="1" t="inlineStr">
        <is>
          <t xml:space="preserve">Tecnología</t>
        </is>
      </c>
    </row>
    <row r="130" customFormat="false" ht="18.75" hidden="false" customHeight="true" outlineLevel="0" collapsed="false">
      <c r="A130" s="102" t="n">
        <v>2025</v>
      </c>
      <c r="B130" s="102" t="inlineStr">
        <is>
          <t xml:space="preserve">I162S2C47J4V1</t>
        </is>
      </c>
      <c r="C130" s="102" t="n">
        <v>1</v>
      </c>
      <c r="D130" s="102" t="inlineStr">
        <is>
          <t xml:space="preserve">Técnico en Administración de Redes y Soporte</t>
        </is>
      </c>
      <c r="E130" s="102" t="n">
        <v>65</v>
      </c>
      <c r="F130" s="102" t="n">
        <v>39</v>
      </c>
      <c r="G130" s="103" t="n">
        <v>0.6</v>
      </c>
      <c r="H130" s="1" t="inlineStr">
        <is>
          <t xml:space="preserve">Tecnología</t>
        </is>
      </c>
    </row>
    <row r="131" customFormat="false" ht="18.75" hidden="false" customHeight="true" outlineLevel="0" collapsed="false">
      <c r="A131" s="105" t="n">
        <v>2025</v>
      </c>
      <c r="B131" s="105" t="inlineStr">
        <is>
          <t xml:space="preserve">I162S2C57J1V1</t>
        </is>
      </c>
      <c r="C131" s="105" t="n">
        <v>1</v>
      </c>
      <c r="D131" s="105" t="inlineStr">
        <is>
          <t xml:space="preserve">Técnico en Computación e Informática</t>
        </is>
      </c>
      <c r="E131" s="105" t="n">
        <v>15</v>
      </c>
      <c r="F131" s="105" t="n">
        <v>10</v>
      </c>
      <c r="G131" s="106" t="n">
        <v>0.666666666666667</v>
      </c>
      <c r="H131" s="1" t="inlineStr">
        <is>
          <t xml:space="preserve">Tecnología</t>
        </is>
      </c>
    </row>
    <row r="132" customFormat="false" ht="18.75" hidden="false" customHeight="true" outlineLevel="0" collapsed="false">
      <c r="A132" s="102" t="n">
        <v>2025</v>
      </c>
      <c r="B132" s="102" t="inlineStr">
        <is>
          <t xml:space="preserve">I162S2C57J2V1</t>
        </is>
      </c>
      <c r="C132" s="102" t="n">
        <v>1</v>
      </c>
      <c r="D132" s="102" t="inlineStr">
        <is>
          <t xml:space="preserve">Técnico en Computación e Informática</t>
        </is>
      </c>
      <c r="E132" s="102" t="n">
        <v>9</v>
      </c>
      <c r="F132" s="102" t="n">
        <v>4</v>
      </c>
      <c r="G132" s="103" t="n">
        <v>0.444444444444444</v>
      </c>
      <c r="H132" s="1" t="inlineStr">
        <is>
          <t xml:space="preserve">Tecnología</t>
        </is>
      </c>
    </row>
    <row r="133" customFormat="false" ht="18.75" hidden="false" customHeight="true" outlineLevel="0" collapsed="false">
      <c r="A133" s="105" t="n">
        <v>2025</v>
      </c>
      <c r="B133" s="105" t="inlineStr">
        <is>
          <t xml:space="preserve">I162S2C57J4V1</t>
        </is>
      </c>
      <c r="C133" s="105" t="n">
        <v>1</v>
      </c>
      <c r="D133" s="105" t="inlineStr">
        <is>
          <t xml:space="preserve">Técnico en Computación e Informática</t>
        </is>
      </c>
      <c r="E133" s="105" t="n">
        <v>106</v>
      </c>
      <c r="F133" s="105" t="n">
        <v>66</v>
      </c>
      <c r="G133" s="106" t="n">
        <v>0.622641509433962</v>
      </c>
      <c r="H133" s="1" t="inlineStr">
        <is>
          <t xml:space="preserve">Tecnología</t>
        </is>
      </c>
    </row>
    <row r="134" customFormat="false" ht="18.75" hidden="false" customHeight="true" outlineLevel="0" collapsed="false">
      <c r="A134" s="102" t="n">
        <v>2025</v>
      </c>
      <c r="B134" s="102" t="inlineStr">
        <is>
          <t xml:space="preserve">I162S2C6J2V1</t>
        </is>
      </c>
      <c r="C134" s="102" t="n">
        <v>1</v>
      </c>
      <c r="D134" s="102" t="inlineStr">
        <is>
          <t xml:space="preserve">Técnico en Administración de Redes y Soporte</t>
        </is>
      </c>
      <c r="E134" s="102" t="n">
        <v>2</v>
      </c>
      <c r="F134" s="102" t="n">
        <v>0</v>
      </c>
      <c r="G134" s="103" t="n">
        <v>0</v>
      </c>
      <c r="H134" s="1" t="inlineStr">
        <is>
          <t xml:space="preserve">Tecnología</t>
        </is>
      </c>
    </row>
    <row r="135" customFormat="false" ht="18.75" hidden="false" customHeight="true" outlineLevel="0" collapsed="false">
      <c r="A135" s="105" t="n">
        <v>2025</v>
      </c>
      <c r="B135" s="105" t="inlineStr">
        <is>
          <t xml:space="preserve">I162S2C6J2V2</t>
        </is>
      </c>
      <c r="C135" s="105" t="n">
        <v>1</v>
      </c>
      <c r="D135" s="105" t="inlineStr">
        <is>
          <t xml:space="preserve">Técnico en Administración de Redes y Soporte</t>
        </is>
      </c>
      <c r="E135" s="105" t="n">
        <v>5</v>
      </c>
      <c r="F135" s="105" t="n">
        <v>5</v>
      </c>
      <c r="G135" s="106" t="n">
        <v>1</v>
      </c>
      <c r="H135" s="1" t="inlineStr">
        <is>
          <t xml:space="preserve">Tecnología</t>
        </is>
      </c>
    </row>
    <row r="136" customFormat="false" ht="18.75" hidden="false" customHeight="true" outlineLevel="0" collapsed="false">
      <c r="A136" s="102" t="n">
        <v>2025</v>
      </c>
      <c r="B136" s="102" t="inlineStr">
        <is>
          <t xml:space="preserve">I162S2C6J4V2</t>
        </is>
      </c>
      <c r="C136" s="102" t="n">
        <v>1</v>
      </c>
      <c r="D136" s="102" t="inlineStr">
        <is>
          <t xml:space="preserve">Técnico en Administración de Redes y Soporte</t>
        </is>
      </c>
      <c r="E136" s="102" t="n">
        <v>35</v>
      </c>
      <c r="F136" s="102" t="n">
        <v>21</v>
      </c>
      <c r="G136" s="103" t="n">
        <v>0.6</v>
      </c>
      <c r="H136" s="1" t="inlineStr">
        <is>
          <t xml:space="preserve">Tecnología</t>
        </is>
      </c>
    </row>
    <row r="137" customFormat="false" ht="18.75" hidden="false" customHeight="true" outlineLevel="0" collapsed="false">
      <c r="A137" s="105" t="n">
        <v>2025</v>
      </c>
      <c r="B137" s="105" t="inlineStr">
        <is>
          <t xml:space="preserve">I162S2C76J2V1</t>
        </is>
      </c>
      <c r="C137" s="105" t="n">
        <v>2</v>
      </c>
      <c r="D137" s="105" t="inlineStr">
        <is>
          <t xml:space="preserve">Administración de Empresas e Ing. Asociadas</t>
        </is>
      </c>
      <c r="E137" s="105" t="n">
        <v>19</v>
      </c>
      <c r="F137" s="105" t="n">
        <v>7</v>
      </c>
      <c r="G137" s="106" t="n">
        <v>0.368421052631579</v>
      </c>
      <c r="H137" s="1" t="inlineStr">
        <is>
          <t xml:space="preserve">Administración y Comercio</t>
        </is>
      </c>
    </row>
    <row r="138" customFormat="false" ht="18.75" hidden="false" customHeight="true" outlineLevel="0" collapsed="false">
      <c r="A138" s="102" t="n">
        <v>2025</v>
      </c>
      <c r="B138" s="102" t="inlineStr">
        <is>
          <t xml:space="preserve">I162S2C76J4V1</t>
        </is>
      </c>
      <c r="C138" s="102" t="n">
        <v>2</v>
      </c>
      <c r="D138" s="102" t="inlineStr">
        <is>
          <t xml:space="preserve">Administración de Empresas e Ing. Asociadas</t>
        </is>
      </c>
      <c r="E138" s="102" t="n">
        <v>72</v>
      </c>
      <c r="F138" s="102" t="n">
        <v>39</v>
      </c>
      <c r="G138" s="103" t="n">
        <v>0.541666666666667</v>
      </c>
      <c r="H138" s="1" t="inlineStr">
        <is>
          <t xml:space="preserve">Administración y Comercio</t>
        </is>
      </c>
    </row>
    <row r="139" customFormat="false" ht="18.75" hidden="false" customHeight="true" outlineLevel="0" collapsed="false">
      <c r="A139" s="105" t="n">
        <v>2025</v>
      </c>
      <c r="B139" s="105" t="inlineStr">
        <is>
          <t xml:space="preserve">I162S2C77J2V1</t>
        </is>
      </c>
      <c r="C139" s="105" t="n">
        <v>2</v>
      </c>
      <c r="D139" s="105" t="inlineStr">
        <is>
          <t xml:space="preserve">Ingeniería en Logística</t>
        </is>
      </c>
      <c r="E139" s="105" t="n">
        <v>9</v>
      </c>
      <c r="F139" s="105" t="n">
        <v>5</v>
      </c>
      <c r="G139" s="106" t="n">
        <v>0.555555555555556</v>
      </c>
      <c r="H139" s="1" t="inlineStr">
        <is>
          <t xml:space="preserve">Administración y Comercio</t>
        </is>
      </c>
    </row>
    <row r="140" customFormat="false" ht="18.75" hidden="false" customHeight="true" outlineLevel="0" collapsed="false">
      <c r="A140" s="102" t="n">
        <v>2025</v>
      </c>
      <c r="B140" s="102" t="inlineStr">
        <is>
          <t xml:space="preserve">I162S2C77J4V1</t>
        </is>
      </c>
      <c r="C140" s="102" t="n">
        <v>2</v>
      </c>
      <c r="D140" s="102" t="inlineStr">
        <is>
          <t xml:space="preserve">Ingeniería en Logística</t>
        </is>
      </c>
      <c r="E140" s="102" t="n">
        <v>52</v>
      </c>
      <c r="F140" s="102" t="n">
        <v>32</v>
      </c>
      <c r="G140" s="103" t="n">
        <v>0.615384615384615</v>
      </c>
      <c r="H140" s="1" t="inlineStr">
        <is>
          <t xml:space="preserve">Administración y Comercio</t>
        </is>
      </c>
    </row>
    <row r="141" customFormat="false" ht="18.75" hidden="false" customHeight="true" outlineLevel="0" collapsed="false">
      <c r="A141" s="105" t="n">
        <v>2025</v>
      </c>
      <c r="B141" s="105" t="inlineStr">
        <is>
          <t xml:space="preserve">I162S2C78J2V1</t>
        </is>
      </c>
      <c r="C141" s="105" t="n">
        <v>1</v>
      </c>
      <c r="D141" s="105" t="inlineStr">
        <is>
          <t xml:space="preserve">Técnico en Administración de Empresas</t>
        </is>
      </c>
      <c r="E141" s="105" t="n">
        <v>9</v>
      </c>
      <c r="F141" s="105" t="n">
        <v>3</v>
      </c>
      <c r="G141" s="106" t="n">
        <v>0.333333333333333</v>
      </c>
      <c r="H141" s="1" t="inlineStr">
        <is>
          <t xml:space="preserve">Administración y Comercio</t>
        </is>
      </c>
    </row>
    <row r="142" customFormat="false" ht="18.75" hidden="false" customHeight="true" outlineLevel="0" collapsed="false">
      <c r="A142" s="102" t="n">
        <v>2025</v>
      </c>
      <c r="B142" s="102" t="inlineStr">
        <is>
          <t xml:space="preserve">I162S2C78J4V1</t>
        </is>
      </c>
      <c r="C142" s="102" t="n">
        <v>1</v>
      </c>
      <c r="D142" s="102" t="inlineStr">
        <is>
          <t xml:space="preserve">Técnico en Administración de Empresas</t>
        </is>
      </c>
      <c r="E142" s="102" t="n">
        <v>64</v>
      </c>
      <c r="F142" s="102" t="n">
        <v>29</v>
      </c>
      <c r="G142" s="103" t="n">
        <v>0.453125</v>
      </c>
      <c r="H142" s="1" t="inlineStr">
        <is>
          <t xml:space="preserve">Administración y Comercio</t>
        </is>
      </c>
    </row>
    <row r="143" customFormat="false" ht="18.75" hidden="false" customHeight="true" outlineLevel="0" collapsed="false">
      <c r="A143" s="105" t="n">
        <v>2025</v>
      </c>
      <c r="B143" s="105" t="inlineStr">
        <is>
          <t xml:space="preserve">I162S2C79J2V1</t>
        </is>
      </c>
      <c r="C143" s="105" t="n">
        <v>1</v>
      </c>
      <c r="D143" s="105" t="inlineStr">
        <is>
          <t xml:space="preserve">Técnico en Logística</t>
        </is>
      </c>
      <c r="E143" s="105" t="n">
        <v>17</v>
      </c>
      <c r="F143" s="105" t="n">
        <v>6</v>
      </c>
      <c r="G143" s="106" t="n">
        <v>0.352941176470588</v>
      </c>
      <c r="H143" s="1" t="inlineStr">
        <is>
          <t xml:space="preserve">Administración y Comercio</t>
        </is>
      </c>
    </row>
    <row r="144" customFormat="false" ht="18.75" hidden="false" customHeight="true" outlineLevel="0" collapsed="false">
      <c r="A144" s="102" t="n">
        <v>2025</v>
      </c>
      <c r="B144" s="102" t="inlineStr">
        <is>
          <t xml:space="preserve">I162S2C79J4V1</t>
        </is>
      </c>
      <c r="C144" s="102" t="n">
        <v>1</v>
      </c>
      <c r="D144" s="102" t="inlineStr">
        <is>
          <t xml:space="preserve">Técnico en Logística</t>
        </is>
      </c>
      <c r="E144" s="102" t="n">
        <v>65</v>
      </c>
      <c r="F144" s="102" t="n">
        <v>41</v>
      </c>
      <c r="G144" s="103" t="n">
        <v>0.630769230769231</v>
      </c>
      <c r="H144" s="1" t="inlineStr">
        <is>
          <t xml:space="preserve">Administración y Comercio</t>
        </is>
      </c>
    </row>
    <row r="145" customFormat="false" ht="18.75" hidden="false" customHeight="true" outlineLevel="0" collapsed="false">
      <c r="A145" s="105" t="n">
        <v>2025</v>
      </c>
      <c r="B145" s="105" t="inlineStr">
        <is>
          <t xml:space="preserve">I162S2C83J4V1</t>
        </is>
      </c>
      <c r="C145" s="105" t="n">
        <v>2</v>
      </c>
      <c r="D145" s="105" t="inlineStr">
        <is>
          <t xml:space="preserve">Administración Pública</t>
        </is>
      </c>
      <c r="E145" s="105" t="n">
        <v>70</v>
      </c>
      <c r="F145" s="105" t="n">
        <v>33</v>
      </c>
      <c r="G145" s="106" t="n">
        <v>0.471428571428571</v>
      </c>
      <c r="H145" s="1" t="inlineStr">
        <is>
          <t xml:space="preserve">Ciencias Sociales</t>
        </is>
      </c>
    </row>
    <row r="146" customFormat="false" ht="18.75" hidden="false" customHeight="true" outlineLevel="0" collapsed="false">
      <c r="A146" s="102" t="n">
        <v>2025</v>
      </c>
      <c r="B146" s="102" t="inlineStr">
        <is>
          <t xml:space="preserve">I162S2C84J4V1</t>
        </is>
      </c>
      <c r="C146" s="102" t="n">
        <v>1</v>
      </c>
      <c r="D146" s="102" t="inlineStr">
        <is>
          <t xml:space="preserve">Técnico en Administración Pública o Municipal</t>
        </is>
      </c>
      <c r="E146" s="102" t="n">
        <v>22</v>
      </c>
      <c r="F146" s="102" t="n">
        <v>11</v>
      </c>
      <c r="G146" s="103" t="n">
        <v>0.5</v>
      </c>
      <c r="H146" s="1" t="inlineStr">
        <is>
          <t xml:space="preserve">Ciencias Sociales</t>
        </is>
      </c>
    </row>
    <row r="147" customFormat="false" ht="18.75" hidden="false" customHeight="true" outlineLevel="0" collapsed="false">
      <c r="A147" s="105" t="n">
        <v>2025</v>
      </c>
      <c r="B147" s="105" t="inlineStr">
        <is>
          <t xml:space="preserve">I162S2C85J4V1</t>
        </is>
      </c>
      <c r="C147" s="105" t="n">
        <v>1</v>
      </c>
      <c r="D147" s="105" t="inlineStr">
        <is>
          <t xml:space="preserve">Técnico en Contabilidad General</t>
        </is>
      </c>
      <c r="E147" s="105" t="n">
        <v>38</v>
      </c>
      <c r="F147" s="105" t="n">
        <v>19</v>
      </c>
      <c r="G147" s="106" t="n">
        <v>0.5</v>
      </c>
      <c r="H147" s="1" t="inlineStr">
        <is>
          <t xml:space="preserve">Administración y Comercio</t>
        </is>
      </c>
    </row>
    <row r="148" customFormat="false" ht="18.75" hidden="false" customHeight="true" outlineLevel="0" collapsed="false">
      <c r="A148" s="102" t="n">
        <v>2025</v>
      </c>
      <c r="B148" s="102" t="inlineStr">
        <is>
          <t xml:space="preserve">I162S2C86J4V1</t>
        </is>
      </c>
      <c r="C148" s="102" t="n">
        <v>2</v>
      </c>
      <c r="D148" s="102" t="inlineStr">
        <is>
          <t xml:space="preserve">Contador Auditor</t>
        </is>
      </c>
      <c r="E148" s="102" t="n">
        <v>40</v>
      </c>
      <c r="F148" s="102" t="n">
        <v>27</v>
      </c>
      <c r="G148" s="103" t="n">
        <v>0.675</v>
      </c>
      <c r="H148" s="1" t="inlineStr">
        <is>
          <t xml:space="preserve">Administración y Comercio</t>
        </is>
      </c>
    </row>
    <row r="149" customFormat="false" ht="18.75" hidden="false" customHeight="true" outlineLevel="0" collapsed="false">
      <c r="A149" s="105" t="n">
        <v>2025</v>
      </c>
      <c r="B149" s="105" t="inlineStr">
        <is>
          <t xml:space="preserve">I162S2C88J4V1</t>
        </is>
      </c>
      <c r="C149" s="105" t="n">
        <v>2</v>
      </c>
      <c r="D149" s="105" t="inlineStr">
        <is>
          <t xml:space="preserve">Ingeniería en Matemática y Estadística</t>
        </is>
      </c>
      <c r="E149" s="105" t="n">
        <v>40</v>
      </c>
      <c r="F149" s="105" t="n">
        <v>21</v>
      </c>
      <c r="G149" s="106" t="n">
        <v>0.525</v>
      </c>
      <c r="H149" s="1" t="inlineStr">
        <is>
          <t xml:space="preserve">Ciencias Básicas</t>
        </is>
      </c>
    </row>
    <row r="150" customFormat="false" ht="18.75" hidden="false" customHeight="true" outlineLevel="0" collapsed="false">
      <c r="A150" s="102" t="n">
        <v>2025</v>
      </c>
      <c r="B150" s="102" t="inlineStr">
        <is>
          <t xml:space="preserve">I162S2C89J4V1</t>
        </is>
      </c>
      <c r="C150" s="102" t="n">
        <v>1</v>
      </c>
      <c r="D150" s="102" t="inlineStr">
        <is>
          <t xml:space="preserve">Técnico en Análisis de Datos</t>
        </is>
      </c>
      <c r="E150" s="102" t="n">
        <v>23</v>
      </c>
      <c r="F150" s="102" t="n">
        <v>13</v>
      </c>
      <c r="G150" s="103" t="n">
        <v>0.565217391304348</v>
      </c>
      <c r="H150" s="1" t="inlineStr">
        <is>
          <t xml:space="preserve">Ciencias Básicas</t>
        </is>
      </c>
    </row>
    <row r="151" customFormat="false" ht="18.75" hidden="false" customHeight="true" outlineLevel="0" collapsed="false">
      <c r="A151" s="105" t="n">
        <v>2025</v>
      </c>
      <c r="B151" s="105" t="inlineStr">
        <is>
          <t xml:space="preserve">I162S2C91J1V1</t>
        </is>
      </c>
      <c r="C151" s="105" t="n">
        <v>1</v>
      </c>
      <c r="D151" s="105" t="inlineStr">
        <is>
          <t xml:space="preserve">Técnico en Enfermería</t>
        </is>
      </c>
      <c r="E151" s="105" t="n">
        <v>34</v>
      </c>
      <c r="F151" s="105" t="n">
        <v>19</v>
      </c>
      <c r="G151" s="106" t="n">
        <v>0.558823529411765</v>
      </c>
      <c r="H151" s="1" t="inlineStr">
        <is>
          <t xml:space="preserve">Salud</t>
        </is>
      </c>
    </row>
    <row r="152" customFormat="false" ht="18.75" hidden="false" customHeight="true" outlineLevel="0" collapsed="false">
      <c r="A152" s="102" t="n">
        <v>2025</v>
      </c>
      <c r="B152" s="102" t="inlineStr">
        <is>
          <t xml:space="preserve">I162S2C91J2V1</t>
        </is>
      </c>
      <c r="C152" s="102" t="n">
        <v>1</v>
      </c>
      <c r="D152" s="102" t="inlineStr">
        <is>
          <t xml:space="preserve">Técnico en Enfermería</t>
        </is>
      </c>
      <c r="E152" s="102" t="n">
        <v>41</v>
      </c>
      <c r="F152" s="102" t="n">
        <v>16</v>
      </c>
      <c r="G152" s="103" t="n">
        <v>0.390243902439024</v>
      </c>
      <c r="H152" s="1" t="inlineStr">
        <is>
          <t xml:space="preserve">Salud</t>
        </is>
      </c>
    </row>
    <row r="156" customFormat="false" ht="22.5" hidden="false" customHeight="true" outlineLevel="0" collapsed="false">
      <c r="A156" s="96" t="inlineStr">
        <is>
          <t xml:space="preserve">Detalle temático publicado: ámbitos que no deben confundirse con el total de IP</t>
        </is>
      </c>
      <c r="B156" s="96"/>
      <c r="C156" s="96"/>
      <c r="D156" s="96"/>
      <c r="E156" s="96"/>
      <c r="F156" s="96"/>
      <c r="G156" s="96"/>
      <c r="H156" s="96"/>
      <c r="I156" s="96"/>
    </row>
    <row r="157" customFormat="false" ht="30" hidden="false" customHeight="true" outlineLevel="0" collapsed="false">
      <c r="A157" s="101" t="inlineStr">
        <is>
          <t xml:space="preserve">Hoja SIES</t>
        </is>
      </c>
      <c r="B157" s="101" t="inlineStr">
        <is>
          <t xml:space="preserve">Sección</t>
        </is>
      </c>
      <c r="C157" s="101" t="inlineStr">
        <is>
          <t xml:space="preserve">Ámbito</t>
        </is>
      </c>
      <c r="D157" s="101" t="inlineStr">
        <is>
          <t xml:space="preserve">Categoría / subtipo</t>
        </is>
      </c>
      <c r="E157" s="101" t="n">
        <v>2022</v>
      </c>
      <c r="F157" s="101" t="n">
        <v>2023</v>
      </c>
      <c r="G157" s="101" t="n">
        <v>2024</v>
      </c>
      <c r="H157" s="101" t="n">
        <v>2025</v>
      </c>
      <c r="I157" s="101" t="inlineStr">
        <is>
          <t xml:space="preserve">Fila SIES</t>
        </is>
      </c>
    </row>
    <row r="158" customFormat="false" ht="18.75" hidden="false" customHeight="true" outlineLevel="0" collapsed="false">
      <c r="A158" s="102" t="inlineStr">
        <is>
          <t xml:space="preserve">Retención 1er año general</t>
        </is>
      </c>
      <c r="B158" s="102" t="inlineStr">
        <is>
          <t xml:space="preserve">Área del conocimiento</t>
        </is>
      </c>
      <c r="C158" s="102" t="inlineStr">
        <is>
          <t xml:space="preserve">Todas las IES</t>
        </is>
      </c>
      <c r="D158" s="102" t="inlineStr">
        <is>
          <t xml:space="preserve">Administración y Comercio</t>
        </is>
      </c>
      <c r="E158" s="103" t="n">
        <v>0.735719874804382</v>
      </c>
      <c r="F158" s="103" t="n">
        <v>0.744117969349259</v>
      </c>
      <c r="G158" s="103" t="n">
        <v>0.746292396952116</v>
      </c>
      <c r="H158" s="103" t="n">
        <v>0.748091236494598</v>
      </c>
      <c r="I158" s="102" t="n">
        <v>48</v>
      </c>
    </row>
    <row r="159" customFormat="false" ht="18.75" hidden="false" customHeight="true" outlineLevel="0" collapsed="false">
      <c r="A159" s="105" t="inlineStr">
        <is>
          <t xml:space="preserve">Retención 1er año general</t>
        </is>
      </c>
      <c r="B159" s="105" t="inlineStr">
        <is>
          <t xml:space="preserve">Área del conocimiento</t>
        </is>
      </c>
      <c r="C159" s="105" t="inlineStr">
        <is>
          <t xml:space="preserve">Todas las IES</t>
        </is>
      </c>
      <c r="D159" s="105" t="inlineStr">
        <is>
          <t xml:space="preserve">Agropecuaria</t>
        </is>
      </c>
      <c r="E159" s="106" t="n">
        <v>0.798580207671117</v>
      </c>
      <c r="F159" s="106" t="n">
        <v>0.801703163017032</v>
      </c>
      <c r="G159" s="106" t="n">
        <v>0.812028047464941</v>
      </c>
      <c r="H159" s="106" t="n">
        <v>0.825006951524701</v>
      </c>
      <c r="I159" s="105" t="n">
        <v>49</v>
      </c>
    </row>
    <row r="160" customFormat="false" ht="18.75" hidden="false" customHeight="true" outlineLevel="0" collapsed="false">
      <c r="A160" s="102" t="inlineStr">
        <is>
          <t xml:space="preserve">Retención 1er año general</t>
        </is>
      </c>
      <c r="B160" s="102" t="inlineStr">
        <is>
          <t xml:space="preserve">Área del conocimiento</t>
        </is>
      </c>
      <c r="C160" s="102" t="inlineStr">
        <is>
          <t xml:space="preserve">Todas las IES</t>
        </is>
      </c>
      <c r="D160" s="102" t="inlineStr">
        <is>
          <t xml:space="preserve">Arte y Arquitectura</t>
        </is>
      </c>
      <c r="E160" s="103" t="n">
        <v>0.772740948751379</v>
      </c>
      <c r="F160" s="103" t="n">
        <v>0.778351704099986</v>
      </c>
      <c r="G160" s="103" t="n">
        <v>0.764736917837786</v>
      </c>
      <c r="H160" s="103" t="n">
        <v>0.792637901581529</v>
      </c>
      <c r="I160" s="102" t="n">
        <v>50</v>
      </c>
    </row>
    <row r="161" customFormat="false" ht="18.75" hidden="false" customHeight="true" outlineLevel="0" collapsed="false">
      <c r="A161" s="105" t="inlineStr">
        <is>
          <t xml:space="preserve">Retención 1er año general</t>
        </is>
      </c>
      <c r="B161" s="105" t="inlineStr">
        <is>
          <t xml:space="preserve">Área del conocimiento</t>
        </is>
      </c>
      <c r="C161" s="105" t="inlineStr">
        <is>
          <t xml:space="preserve">Todas las IES</t>
        </is>
      </c>
      <c r="D161" s="105" t="inlineStr">
        <is>
          <t xml:space="preserve">Ciencias Básicas</t>
        </is>
      </c>
      <c r="E161" s="106" t="n">
        <v>0.719417659292872</v>
      </c>
      <c r="F161" s="106" t="n">
        <v>0.724149488855371</v>
      </c>
      <c r="G161" s="106" t="n">
        <v>0.767023346303502</v>
      </c>
      <c r="H161" s="106" t="n">
        <v>0.74907063197026</v>
      </c>
      <c r="I161" s="105" t="n">
        <v>51</v>
      </c>
    </row>
    <row r="162" customFormat="false" ht="18.75" hidden="false" customHeight="true" outlineLevel="0" collapsed="false">
      <c r="A162" s="102" t="inlineStr">
        <is>
          <t xml:space="preserve">Retención 1er año general</t>
        </is>
      </c>
      <c r="B162" s="102" t="inlineStr">
        <is>
          <t xml:space="preserve">Área del conocimiento</t>
        </is>
      </c>
      <c r="C162" s="102" t="inlineStr">
        <is>
          <t xml:space="preserve">Todas las IES</t>
        </is>
      </c>
      <c r="D162" s="102" t="inlineStr">
        <is>
          <t xml:space="preserve">Ciencias Sociales</t>
        </is>
      </c>
      <c r="E162" s="103" t="n">
        <v>0.788324756629191</v>
      </c>
      <c r="F162" s="103" t="n">
        <v>0.794291308471258</v>
      </c>
      <c r="G162" s="103" t="n">
        <v>0.81204811767639</v>
      </c>
      <c r="H162" s="103" t="n">
        <v>0.809443978765018</v>
      </c>
      <c r="I162" s="102" t="n">
        <v>52</v>
      </c>
    </row>
    <row r="163" customFormat="false" ht="18.75" hidden="false" customHeight="true" outlineLevel="0" collapsed="false">
      <c r="A163" s="105" t="inlineStr">
        <is>
          <t xml:space="preserve">Retención 1er año general</t>
        </is>
      </c>
      <c r="B163" s="105" t="inlineStr">
        <is>
          <t xml:space="preserve">Área del conocimiento</t>
        </is>
      </c>
      <c r="C163" s="105" t="inlineStr">
        <is>
          <t xml:space="preserve">Todas las IES</t>
        </is>
      </c>
      <c r="D163" s="105" t="inlineStr">
        <is>
          <t xml:space="preserve">Derecho</t>
        </is>
      </c>
      <c r="E163" s="106" t="n">
        <v>0.784621306900202</v>
      </c>
      <c r="F163" s="106" t="n">
        <v>0.804332323052238</v>
      </c>
      <c r="G163" s="106" t="n">
        <v>0.822410529162535</v>
      </c>
      <c r="H163" s="106" t="n">
        <v>0.820942597098315</v>
      </c>
      <c r="I163" s="105" t="n">
        <v>53</v>
      </c>
    </row>
    <row r="164" customFormat="false" ht="18.75" hidden="false" customHeight="true" outlineLevel="0" collapsed="false">
      <c r="A164" s="102" t="inlineStr">
        <is>
          <t xml:space="preserve">Retención 1er año general</t>
        </is>
      </c>
      <c r="B164" s="102" t="inlineStr">
        <is>
          <t xml:space="preserve">Área del conocimiento</t>
        </is>
      </c>
      <c r="C164" s="102" t="inlineStr">
        <is>
          <t xml:space="preserve">Todas las IES</t>
        </is>
      </c>
      <c r="D164" s="102" t="inlineStr">
        <is>
          <t xml:space="preserve">Educación</t>
        </is>
      </c>
      <c r="E164" s="103" t="n">
        <v>0.772935866803201</v>
      </c>
      <c r="F164" s="103" t="n">
        <v>0.776346788126276</v>
      </c>
      <c r="G164" s="103" t="n">
        <v>0.783392718822618</v>
      </c>
      <c r="H164" s="103" t="n">
        <v>0.785447242391472</v>
      </c>
      <c r="I164" s="102" t="n">
        <v>54</v>
      </c>
    </row>
    <row r="165" customFormat="false" ht="18.75" hidden="false" customHeight="true" outlineLevel="0" collapsed="false">
      <c r="A165" s="105" t="inlineStr">
        <is>
          <t xml:space="preserve">Retención 1er año general</t>
        </is>
      </c>
      <c r="B165" s="105" t="inlineStr">
        <is>
          <t xml:space="preserve">Área del conocimiento</t>
        </is>
      </c>
      <c r="C165" s="105" t="inlineStr">
        <is>
          <t xml:space="preserve">Todas las IES</t>
        </is>
      </c>
      <c r="D165" s="105" t="inlineStr">
        <is>
          <t xml:space="preserve">Humanidades</t>
        </is>
      </c>
      <c r="E165" s="106" t="n">
        <v>0.744</v>
      </c>
      <c r="F165" s="106" t="n">
        <v>0.76403612092658</v>
      </c>
      <c r="G165" s="106" t="n">
        <v>0.731899048407116</v>
      </c>
      <c r="H165" s="106" t="n">
        <v>0.732534930139721</v>
      </c>
      <c r="I165" s="105" t="n">
        <v>55</v>
      </c>
    </row>
    <row r="166" customFormat="false" ht="18.75" hidden="false" customHeight="true" outlineLevel="0" collapsed="false">
      <c r="A166" s="102" t="inlineStr">
        <is>
          <t xml:space="preserve">Retención 1er año general</t>
        </is>
      </c>
      <c r="B166" s="102" t="inlineStr">
        <is>
          <t xml:space="preserve">Área del conocimiento</t>
        </is>
      </c>
      <c r="C166" s="102" t="inlineStr">
        <is>
          <t xml:space="preserve">Todas las IES</t>
        </is>
      </c>
      <c r="D166" s="102" t="inlineStr">
        <is>
          <t xml:space="preserve">Salud</t>
        </is>
      </c>
      <c r="E166" s="103" t="n">
        <v>0.802792886494228</v>
      </c>
      <c r="F166" s="103" t="n">
        <v>0.802472331887904</v>
      </c>
      <c r="G166" s="103" t="n">
        <v>0.816116178746666</v>
      </c>
      <c r="H166" s="103" t="n">
        <v>0.819305473808123</v>
      </c>
      <c r="I166" s="102" t="n">
        <v>56</v>
      </c>
    </row>
    <row r="167" customFormat="false" ht="18.75" hidden="false" customHeight="true" outlineLevel="0" collapsed="false">
      <c r="A167" s="105" t="inlineStr">
        <is>
          <t xml:space="preserve">Retención 1er año general</t>
        </is>
      </c>
      <c r="B167" s="105" t="inlineStr">
        <is>
          <t xml:space="preserve">Área del conocimiento</t>
        </is>
      </c>
      <c r="C167" s="105" t="inlineStr">
        <is>
          <t xml:space="preserve">Todas las IES</t>
        </is>
      </c>
      <c r="D167" s="105" t="inlineStr">
        <is>
          <t xml:space="preserve">Tecnología</t>
        </is>
      </c>
      <c r="E167" s="106" t="n">
        <v>0.723612727978269</v>
      </c>
      <c r="F167" s="106" t="n">
        <v>0.730358833146889</v>
      </c>
      <c r="G167" s="106" t="n">
        <v>0.741118515187441</v>
      </c>
      <c r="H167" s="106" t="n">
        <v>0.751877315902806</v>
      </c>
      <c r="I167" s="105" t="n">
        <v>57</v>
      </c>
    </row>
    <row r="168" customFormat="false" ht="18.75" hidden="false" customHeight="true" outlineLevel="0" collapsed="false">
      <c r="A168" s="102" t="inlineStr">
        <is>
          <t xml:space="preserve">Retención 1er año general</t>
        </is>
      </c>
      <c r="B168" s="102" t="inlineStr">
        <is>
          <t xml:space="preserve">Área del conocimiento</t>
        </is>
      </c>
      <c r="C168" s="102" t="inlineStr">
        <is>
          <t xml:space="preserve">Todas las IES</t>
        </is>
      </c>
      <c r="D168" s="102" t="inlineStr">
        <is>
          <t xml:space="preserve">Total general</t>
        </is>
      </c>
      <c r="E168" s="103" t="n">
        <v>0.759499035101445</v>
      </c>
      <c r="F168" s="103" t="n">
        <v>0.764871329889405</v>
      </c>
      <c r="G168" s="103" t="n">
        <v>0.772995111639583</v>
      </c>
      <c r="H168" s="103" t="n">
        <v>0.779086629494731</v>
      </c>
      <c r="I168" s="102" t="n">
        <v>58</v>
      </c>
    </row>
    <row r="169" customFormat="false" ht="18.75" hidden="false" customHeight="true" outlineLevel="0" collapsed="false">
      <c r="A169" s="105" t="inlineStr">
        <is>
          <t xml:space="preserve">Retención 1er año general</t>
        </is>
      </c>
      <c r="B169" s="105" t="inlineStr">
        <is>
          <t xml:space="preserve">Tipo de carrera × área</t>
        </is>
      </c>
      <c r="C169" s="105" t="inlineStr">
        <is>
          <t xml:space="preserve">Todas las IES</t>
        </is>
      </c>
      <c r="D169" s="105" t="inlineStr">
        <is>
          <t xml:space="preserve">Carreras Profesionales</t>
        </is>
      </c>
      <c r="E169" s="106" t="n">
        <v>0.804176673161448</v>
      </c>
      <c r="F169" s="106" t="n">
        <v>0.80886287378239</v>
      </c>
      <c r="G169" s="106" t="n">
        <v>0.817629743941472</v>
      </c>
      <c r="H169" s="106" t="n">
        <v>0.822057903836957</v>
      </c>
      <c r="I169" s="105" t="n">
        <v>62</v>
      </c>
    </row>
    <row r="170" customFormat="false" ht="18.75" hidden="false" customHeight="true" outlineLevel="0" collapsed="false">
      <c r="A170" s="102" t="inlineStr">
        <is>
          <t xml:space="preserve">Retención 1er año general</t>
        </is>
      </c>
      <c r="B170" s="102" t="inlineStr">
        <is>
          <t xml:space="preserve">Tipo de carrera × área</t>
        </is>
      </c>
      <c r="C170" s="102" t="inlineStr">
        <is>
          <t xml:space="preserve">Todas las IES</t>
        </is>
      </c>
      <c r="D170" s="102" t="inlineStr">
        <is>
          <t xml:space="preserve">Carreras Profesionales / Administración y Comercio</t>
        </is>
      </c>
      <c r="E170" s="103" t="n">
        <v>0.784180216802168</v>
      </c>
      <c r="F170" s="103" t="n">
        <v>0.788427908098655</v>
      </c>
      <c r="G170" s="103" t="n">
        <v>0.792763716663836</v>
      </c>
      <c r="H170" s="103" t="n">
        <v>0.796528774631345</v>
      </c>
      <c r="I170" s="102" t="n">
        <v>63</v>
      </c>
    </row>
    <row r="171" customFormat="false" ht="18.75" hidden="false" customHeight="true" outlineLevel="0" collapsed="false">
      <c r="A171" s="105" t="inlineStr">
        <is>
          <t xml:space="preserve">Retención 1er año general</t>
        </is>
      </c>
      <c r="B171" s="105" t="inlineStr">
        <is>
          <t xml:space="preserve">Tipo de carrera × área</t>
        </is>
      </c>
      <c r="C171" s="105" t="inlineStr">
        <is>
          <t xml:space="preserve">Todas las IES</t>
        </is>
      </c>
      <c r="D171" s="105" t="inlineStr">
        <is>
          <t xml:space="preserve">Carreras Profesionales / Agropecuaria</t>
        </is>
      </c>
      <c r="E171" s="106" t="n">
        <v>0.836742016505203</v>
      </c>
      <c r="F171" s="106" t="n">
        <v>0.839746561582445</v>
      </c>
      <c r="G171" s="106" t="n">
        <v>0.852089552238806</v>
      </c>
      <c r="H171" s="106" t="n">
        <v>0.86160128336007</v>
      </c>
      <c r="I171" s="105" t="n">
        <v>64</v>
      </c>
    </row>
    <row r="172" customFormat="false" ht="18.75" hidden="false" customHeight="true" outlineLevel="0" collapsed="false">
      <c r="A172" s="102" t="inlineStr">
        <is>
          <t xml:space="preserve">Retención 1er año general</t>
        </is>
      </c>
      <c r="B172" s="102" t="inlineStr">
        <is>
          <t xml:space="preserve">Tipo de carrera × área</t>
        </is>
      </c>
      <c r="C172" s="102" t="inlineStr">
        <is>
          <t xml:space="preserve">Todas las IES</t>
        </is>
      </c>
      <c r="D172" s="102" t="inlineStr">
        <is>
          <t xml:space="preserve">Carreras Profesionales / Arte y Arquitectura</t>
        </is>
      </c>
      <c r="E172" s="103" t="n">
        <v>0.799675587996756</v>
      </c>
      <c r="F172" s="103" t="n">
        <v>0.811498397435898</v>
      </c>
      <c r="G172" s="103" t="n">
        <v>0.789237972450295</v>
      </c>
      <c r="H172" s="103" t="n">
        <v>0.821960724382976</v>
      </c>
      <c r="I172" s="102" t="n">
        <v>65</v>
      </c>
    </row>
    <row r="173" customFormat="false" ht="18.75" hidden="false" customHeight="true" outlineLevel="0" collapsed="false">
      <c r="A173" s="105" t="inlineStr">
        <is>
          <t xml:space="preserve">Retención 1er año general</t>
        </is>
      </c>
      <c r="B173" s="105" t="inlineStr">
        <is>
          <t xml:space="preserve">Tipo de carrera × área</t>
        </is>
      </c>
      <c r="C173" s="105" t="inlineStr">
        <is>
          <t xml:space="preserve">Todas las IES</t>
        </is>
      </c>
      <c r="D173" s="105" t="inlineStr">
        <is>
          <t xml:space="preserve">Carreras Profesionales / Ciencias Básicas</t>
        </is>
      </c>
      <c r="E173" s="106" t="n">
        <v>0.723083197389886</v>
      </c>
      <c r="F173" s="106" t="n">
        <v>0.727472125753976</v>
      </c>
      <c r="G173" s="106" t="n">
        <v>0.770614425645592</v>
      </c>
      <c r="H173" s="106" t="n">
        <v>0.759549795361528</v>
      </c>
      <c r="I173" s="105" t="n">
        <v>66</v>
      </c>
    </row>
    <row r="174" customFormat="false" ht="18.75" hidden="false" customHeight="true" outlineLevel="0" collapsed="false">
      <c r="A174" s="102" t="inlineStr">
        <is>
          <t xml:space="preserve">Retención 1er año general</t>
        </is>
      </c>
      <c r="B174" s="102" t="inlineStr">
        <is>
          <t xml:space="preserve">Tipo de carrera × área</t>
        </is>
      </c>
      <c r="C174" s="102" t="inlineStr">
        <is>
          <t xml:space="preserve">Todas las IES</t>
        </is>
      </c>
      <c r="D174" s="102" t="inlineStr">
        <is>
          <t xml:space="preserve">Carreras Profesionales / Ciencias Sociales</t>
        </is>
      </c>
      <c r="E174" s="103" t="n">
        <v>0.818778670931358</v>
      </c>
      <c r="F174" s="103" t="n">
        <v>0.822693435596661</v>
      </c>
      <c r="G174" s="103" t="n">
        <v>0.842234499693063</v>
      </c>
      <c r="H174" s="103" t="n">
        <v>0.838133143093155</v>
      </c>
      <c r="I174" s="102" t="n">
        <v>67</v>
      </c>
    </row>
    <row r="175" customFormat="false" ht="18.75" hidden="false" customHeight="true" outlineLevel="0" collapsed="false">
      <c r="A175" s="105" t="inlineStr">
        <is>
          <t xml:space="preserve">Retención 1er año general</t>
        </is>
      </c>
      <c r="B175" s="105" t="inlineStr">
        <is>
          <t xml:space="preserve">Tipo de carrera × área</t>
        </is>
      </c>
      <c r="C175" s="105" t="inlineStr">
        <is>
          <t xml:space="preserve">Todas las IES</t>
        </is>
      </c>
      <c r="D175" s="105" t="inlineStr">
        <is>
          <t xml:space="preserve">Carreras Profesionales / Derecho</t>
        </is>
      </c>
      <c r="E175" s="106" t="n">
        <v>0.811807283420041</v>
      </c>
      <c r="F175" s="106" t="n">
        <v>0.831946417698397</v>
      </c>
      <c r="G175" s="106" t="n">
        <v>0.841548231025098</v>
      </c>
      <c r="H175" s="106" t="n">
        <v>0.844884488448845</v>
      </c>
      <c r="I175" s="105" t="n">
        <v>68</v>
      </c>
    </row>
    <row r="176" customFormat="false" ht="18.75" hidden="false" customHeight="true" outlineLevel="0" collapsed="false">
      <c r="A176" s="102" t="inlineStr">
        <is>
          <t xml:space="preserve">Retención 1er año general</t>
        </is>
      </c>
      <c r="B176" s="102" t="inlineStr">
        <is>
          <t xml:space="preserve">Tipo de carrera × área</t>
        </is>
      </c>
      <c r="C176" s="102" t="inlineStr">
        <is>
          <t xml:space="preserve">Todas las IES</t>
        </is>
      </c>
      <c r="D176" s="102" t="inlineStr">
        <is>
          <t xml:space="preserve">Carreras Profesionales / Educación</t>
        </is>
      </c>
      <c r="E176" s="103" t="n">
        <v>0.83346190108854</v>
      </c>
      <c r="F176" s="103" t="n">
        <v>0.839500611364953</v>
      </c>
      <c r="G176" s="103" t="n">
        <v>0.840047840866172</v>
      </c>
      <c r="H176" s="103" t="n">
        <v>0.843942122585854</v>
      </c>
      <c r="I176" s="102" t="n">
        <v>69</v>
      </c>
    </row>
    <row r="177" customFormat="false" ht="18.75" hidden="false" customHeight="true" outlineLevel="0" collapsed="false">
      <c r="A177" s="105" t="inlineStr">
        <is>
          <t xml:space="preserve">Retención 1er año general</t>
        </is>
      </c>
      <c r="B177" s="105" t="inlineStr">
        <is>
          <t xml:space="preserve">Tipo de carrera × área</t>
        </is>
      </c>
      <c r="C177" s="105" t="inlineStr">
        <is>
          <t xml:space="preserve">Todas las IES</t>
        </is>
      </c>
      <c r="D177" s="105" t="inlineStr">
        <is>
          <t xml:space="preserve">Carreras Profesionales / Humanidades</t>
        </is>
      </c>
      <c r="E177" s="106" t="n">
        <v>0.771400296882731</v>
      </c>
      <c r="F177" s="106" t="n">
        <v>0.783340919435594</v>
      </c>
      <c r="G177" s="106" t="n">
        <v>0.753793441018111</v>
      </c>
      <c r="H177" s="106" t="n">
        <v>0.756470588235294</v>
      </c>
      <c r="I177" s="105" t="n">
        <v>70</v>
      </c>
    </row>
    <row r="178" customFormat="false" ht="18.75" hidden="false" customHeight="true" outlineLevel="0" collapsed="false">
      <c r="A178" s="102" t="inlineStr">
        <is>
          <t xml:space="preserve">Retención 1er año general</t>
        </is>
      </c>
      <c r="B178" s="102" t="inlineStr">
        <is>
          <t xml:space="preserve">Tipo de carrera × área</t>
        </is>
      </c>
      <c r="C178" s="102" t="inlineStr">
        <is>
          <t xml:space="preserve">Todas las IES</t>
        </is>
      </c>
      <c r="D178" s="102" t="inlineStr">
        <is>
          <t xml:space="preserve">Carreras Profesionales / Salud</t>
        </is>
      </c>
      <c r="E178" s="103" t="n">
        <v>0.856899324541653</v>
      </c>
      <c r="F178" s="103" t="n">
        <v>0.849144191609945</v>
      </c>
      <c r="G178" s="103" t="n">
        <v>0.865432132287056</v>
      </c>
      <c r="H178" s="103" t="n">
        <v>0.871843502763628</v>
      </c>
      <c r="I178" s="102" t="n">
        <v>71</v>
      </c>
    </row>
    <row r="179" customFormat="false" ht="18.75" hidden="false" customHeight="true" outlineLevel="0" collapsed="false">
      <c r="A179" s="105" t="inlineStr">
        <is>
          <t xml:space="preserve">Retención 1er año general</t>
        </is>
      </c>
      <c r="B179" s="105" t="inlineStr">
        <is>
          <t xml:space="preserve">Tipo de carrera × área</t>
        </is>
      </c>
      <c r="C179" s="105" t="inlineStr">
        <is>
          <t xml:space="preserve">Todas las IES</t>
        </is>
      </c>
      <c r="D179" s="105" t="inlineStr">
        <is>
          <t xml:space="preserve">Carreras Profesionales / Tecnología</t>
        </is>
      </c>
      <c r="E179" s="106" t="n">
        <v>0.772133304099978</v>
      </c>
      <c r="F179" s="106" t="n">
        <v>0.780005226415799</v>
      </c>
      <c r="G179" s="106" t="n">
        <v>0.790621975895135</v>
      </c>
      <c r="H179" s="106" t="n">
        <v>0.79528371882964</v>
      </c>
      <c r="I179" s="105" t="n">
        <v>72</v>
      </c>
    </row>
    <row r="180" customFormat="false" ht="18.75" hidden="false" customHeight="true" outlineLevel="0" collapsed="false">
      <c r="A180" s="102" t="inlineStr">
        <is>
          <t xml:space="preserve">Retención 1er año general</t>
        </is>
      </c>
      <c r="B180" s="102" t="inlineStr">
        <is>
          <t xml:space="preserve">Tipo de carrera × área</t>
        </is>
      </c>
      <c r="C180" s="102" t="inlineStr">
        <is>
          <t xml:space="preserve">Todas las IES</t>
        </is>
      </c>
      <c r="D180" s="102" t="inlineStr">
        <is>
          <t xml:space="preserve">Carreras Técnicas</t>
        </is>
      </c>
      <c r="E180" s="103" t="n">
        <v>0.698923327394483</v>
      </c>
      <c r="F180" s="103" t="n">
        <v>0.697393381047031</v>
      </c>
      <c r="G180" s="103" t="n">
        <v>0.701269775665312</v>
      </c>
      <c r="H180" s="103" t="n">
        <v>0.692023888272945</v>
      </c>
      <c r="I180" s="102" t="n">
        <v>73</v>
      </c>
    </row>
    <row r="181" customFormat="false" ht="18.75" hidden="false" customHeight="true" outlineLevel="0" collapsed="false">
      <c r="A181" s="105" t="inlineStr">
        <is>
          <t xml:space="preserve">Retención 1er año general</t>
        </is>
      </c>
      <c r="B181" s="105" t="inlineStr">
        <is>
          <t xml:space="preserve">Tipo de carrera × área</t>
        </is>
      </c>
      <c r="C181" s="105" t="inlineStr">
        <is>
          <t xml:space="preserve">Todas las IES</t>
        </is>
      </c>
      <c r="D181" s="105" t="inlineStr">
        <is>
          <t xml:space="preserve">Carreras Técnicas / Administración y Comercio</t>
        </is>
      </c>
      <c r="E181" s="106" t="n">
        <v>0.690767973856209</v>
      </c>
      <c r="F181" s="106" t="n">
        <v>0.696272179716751</v>
      </c>
      <c r="G181" s="106" t="n">
        <v>0.692808966798084</v>
      </c>
      <c r="H181" s="106" t="n">
        <v>0.671274834437086</v>
      </c>
      <c r="I181" s="105" t="n">
        <v>74</v>
      </c>
    </row>
    <row r="182" customFormat="false" ht="18.75" hidden="false" customHeight="true" outlineLevel="0" collapsed="false">
      <c r="A182" s="102" t="inlineStr">
        <is>
          <t xml:space="preserve">Retención 1er año general</t>
        </is>
      </c>
      <c r="B182" s="102" t="inlineStr">
        <is>
          <t xml:space="preserve">Tipo de carrera × área</t>
        </is>
      </c>
      <c r="C182" s="102" t="inlineStr">
        <is>
          <t xml:space="preserve">Todas las IES</t>
        </is>
      </c>
      <c r="D182" s="102" t="inlineStr">
        <is>
          <t xml:space="preserve">Carreras Técnicas / Agropecuaria</t>
        </is>
      </c>
      <c r="E182" s="103" t="n">
        <v>0.743530020703934</v>
      </c>
      <c r="F182" s="103" t="n">
        <v>0.743297746144721</v>
      </c>
      <c r="G182" s="103" t="n">
        <v>0.751356238698011</v>
      </c>
      <c r="H182" s="103" t="n">
        <v>0.76119023397762</v>
      </c>
      <c r="I182" s="102" t="n">
        <v>75</v>
      </c>
    </row>
    <row r="183" customFormat="false" ht="18.75" hidden="false" customHeight="true" outlineLevel="0" collapsed="false">
      <c r="A183" s="105" t="inlineStr">
        <is>
          <t xml:space="preserve">Retención 1er año general</t>
        </is>
      </c>
      <c r="B183" s="105" t="inlineStr">
        <is>
          <t xml:space="preserve">Tipo de carrera × área</t>
        </is>
      </c>
      <c r="C183" s="105" t="inlineStr">
        <is>
          <t xml:space="preserve">Todas las IES</t>
        </is>
      </c>
      <c r="D183" s="105" t="inlineStr">
        <is>
          <t xml:space="preserve">Carreras Técnicas / Arte y Arquitectura</t>
        </is>
      </c>
      <c r="E183" s="106" t="n">
        <v>0.715472644615144</v>
      </c>
      <c r="F183" s="106" t="n">
        <v>0.704338750559117</v>
      </c>
      <c r="G183" s="106" t="n">
        <v>0.705660994764398</v>
      </c>
      <c r="H183" s="106" t="n">
        <v>0.716798418972332</v>
      </c>
      <c r="I183" s="105" t="n">
        <v>76</v>
      </c>
    </row>
    <row r="184" customFormat="false" ht="18.75" hidden="false" customHeight="true" outlineLevel="0" collapsed="false">
      <c r="A184" s="102" t="inlineStr">
        <is>
          <t xml:space="preserve">Retención 1er año general</t>
        </is>
      </c>
      <c r="B184" s="102" t="inlineStr">
        <is>
          <t xml:space="preserve">Tipo de carrera × área</t>
        </is>
      </c>
      <c r="C184" s="102" t="inlineStr">
        <is>
          <t xml:space="preserve">Todas las IES</t>
        </is>
      </c>
      <c r="D184" s="102" t="inlineStr">
        <is>
          <t xml:space="preserve">Carreras Técnicas / Ciencias Básicas</t>
        </is>
      </c>
      <c r="E184" s="103" t="n">
        <v>0.672727272727273</v>
      </c>
      <c r="F184" s="103" t="n">
        <v>0.6875</v>
      </c>
      <c r="G184" s="103" t="n">
        <v>0.730560578661845</v>
      </c>
      <c r="H184" s="103" t="n">
        <v>0.64527027027027</v>
      </c>
      <c r="I184" s="102" t="n">
        <v>77</v>
      </c>
    </row>
    <row r="185" customFormat="false" ht="18.75" hidden="false" customHeight="true" outlineLevel="0" collapsed="false">
      <c r="A185" s="105" t="inlineStr">
        <is>
          <t xml:space="preserve">Retención 1er año general</t>
        </is>
      </c>
      <c r="B185" s="105" t="inlineStr">
        <is>
          <t xml:space="preserve">Tipo de carrera × área</t>
        </is>
      </c>
      <c r="C185" s="105" t="inlineStr">
        <is>
          <t xml:space="preserve">Todas las IES</t>
        </is>
      </c>
      <c r="D185" s="105" t="inlineStr">
        <is>
          <t xml:space="preserve">Carreras Técnicas / Ciencias Sociales</t>
        </is>
      </c>
      <c r="E185" s="106" t="n">
        <v>0.681090693538826</v>
      </c>
      <c r="F185" s="106" t="n">
        <v>0.670224995894236</v>
      </c>
      <c r="G185" s="106" t="n">
        <v>0.681440903054449</v>
      </c>
      <c r="H185" s="106" t="n">
        <v>0.672463248476156</v>
      </c>
      <c r="I185" s="105" t="n">
        <v>78</v>
      </c>
    </row>
    <row r="186" customFormat="false" ht="18.75" hidden="false" customHeight="true" outlineLevel="0" collapsed="false">
      <c r="A186" s="102" t="inlineStr">
        <is>
          <t xml:space="preserve">Retención 1er año general</t>
        </is>
      </c>
      <c r="B186" s="102" t="inlineStr">
        <is>
          <t xml:space="preserve">Tipo de carrera × área</t>
        </is>
      </c>
      <c r="C186" s="102" t="inlineStr">
        <is>
          <t xml:space="preserve">Todas las IES</t>
        </is>
      </c>
      <c r="D186" s="102" t="inlineStr">
        <is>
          <t xml:space="preserve">Carreras Técnicas / Derecho</t>
        </is>
      </c>
      <c r="E186" s="103" t="n">
        <v>0.629438347320852</v>
      </c>
      <c r="F186" s="103" t="n">
        <v>0.604838709677419</v>
      </c>
      <c r="G186" s="103" t="n">
        <v>0.660409556313993</v>
      </c>
      <c r="H186" s="103" t="n">
        <v>0.602914389799636</v>
      </c>
      <c r="I186" s="102" t="n">
        <v>79</v>
      </c>
    </row>
    <row r="187" customFormat="false" ht="18.75" hidden="false" customHeight="true" outlineLevel="0" collapsed="false">
      <c r="A187" s="105" t="inlineStr">
        <is>
          <t xml:space="preserve">Retención 1er año general</t>
        </is>
      </c>
      <c r="B187" s="105" t="inlineStr">
        <is>
          <t xml:space="preserve">Tipo de carrera × área</t>
        </is>
      </c>
      <c r="C187" s="105" t="inlineStr">
        <is>
          <t xml:space="preserve">Todas las IES</t>
        </is>
      </c>
      <c r="D187" s="105" t="inlineStr">
        <is>
          <t xml:space="preserve">Carreras Técnicas / Educación</t>
        </is>
      </c>
      <c r="E187" s="106" t="n">
        <v>0.724897959183674</v>
      </c>
      <c r="F187" s="106" t="n">
        <v>0.716126656848306</v>
      </c>
      <c r="G187" s="106" t="n">
        <v>0.728476417109037</v>
      </c>
      <c r="H187" s="106" t="n">
        <v>0.727524289755258</v>
      </c>
      <c r="I187" s="105" t="n">
        <v>80</v>
      </c>
    </row>
    <row r="188" customFormat="false" ht="18.75" hidden="false" customHeight="true" outlineLevel="0" collapsed="false">
      <c r="A188" s="102" t="inlineStr">
        <is>
          <t xml:space="preserve">Retención 1er año general</t>
        </is>
      </c>
      <c r="B188" s="102" t="inlineStr">
        <is>
          <t xml:space="preserve">Tipo de carrera × área</t>
        </is>
      </c>
      <c r="C188" s="102" t="inlineStr">
        <is>
          <t xml:space="preserve">Todas las IES</t>
        </is>
      </c>
      <c r="D188" s="102" t="inlineStr">
        <is>
          <t xml:space="preserve">Carreras Técnicas / Humanidades</t>
        </is>
      </c>
      <c r="E188" s="103" t="n">
        <v>0.587570621468927</v>
      </c>
      <c r="F188" s="103" t="n">
        <v>0.642857142857143</v>
      </c>
      <c r="G188" s="103" t="n">
        <v>0.612299465240642</v>
      </c>
      <c r="H188" s="103" t="n">
        <v>0.598684210526316</v>
      </c>
      <c r="I188" s="102" t="n">
        <v>81</v>
      </c>
    </row>
    <row r="189" customFormat="false" ht="18.75" hidden="false" customHeight="true" outlineLevel="0" collapsed="false">
      <c r="A189" s="105" t="inlineStr">
        <is>
          <t xml:space="preserve">Retención 1er año general</t>
        </is>
      </c>
      <c r="B189" s="105" t="inlineStr">
        <is>
          <t xml:space="preserve">Tipo de carrera × área</t>
        </is>
      </c>
      <c r="C189" s="105" t="inlineStr">
        <is>
          <t xml:space="preserve">Todas las IES</t>
        </is>
      </c>
      <c r="D189" s="105" t="inlineStr">
        <is>
          <t xml:space="preserve">Carreras Técnicas / Salud</t>
        </is>
      </c>
      <c r="E189" s="106" t="n">
        <v>0.741754054936681</v>
      </c>
      <c r="F189" s="106" t="n">
        <v>0.741073770184706</v>
      </c>
      <c r="G189" s="106" t="n">
        <v>0.7401380464338</v>
      </c>
      <c r="H189" s="106" t="n">
        <v>0.726340013424106</v>
      </c>
      <c r="I189" s="105" t="n">
        <v>82</v>
      </c>
    </row>
    <row r="190" customFormat="false" ht="18.75" hidden="false" customHeight="true" outlineLevel="0" collapsed="false">
      <c r="A190" s="102" t="inlineStr">
        <is>
          <t xml:space="preserve">Retención 1er año general</t>
        </is>
      </c>
      <c r="B190" s="102" t="inlineStr">
        <is>
          <t xml:space="preserve">Tipo de carrera × área</t>
        </is>
      </c>
      <c r="C190" s="102" t="inlineStr">
        <is>
          <t xml:space="preserve">Todas las IES</t>
        </is>
      </c>
      <c r="D190" s="102" t="inlineStr">
        <is>
          <t xml:space="preserve">Carreras Técnicas / Tecnología</t>
        </is>
      </c>
      <c r="E190" s="103" t="n">
        <v>0.66356433494329</v>
      </c>
      <c r="F190" s="103" t="n">
        <v>0.662842057166066</v>
      </c>
      <c r="G190" s="103" t="n">
        <v>0.672510912238777</v>
      </c>
      <c r="H190" s="103" t="n">
        <v>0.660619213944183</v>
      </c>
      <c r="I190" s="102" t="n">
        <v>83</v>
      </c>
    </row>
    <row r="191" customFormat="false" ht="18.75" hidden="false" customHeight="true" outlineLevel="0" collapsed="false">
      <c r="A191" s="105" t="inlineStr">
        <is>
          <t xml:space="preserve">Retención 1er año general</t>
        </is>
      </c>
      <c r="B191" s="105" t="inlineStr">
        <is>
          <t xml:space="preserve">Tipo de carrera × área</t>
        </is>
      </c>
      <c r="C191" s="105" t="inlineStr">
        <is>
          <t xml:space="preserve">Todas las IES</t>
        </is>
      </c>
      <c r="D191" s="105" t="inlineStr">
        <is>
          <t xml:space="preserve">Total general</t>
        </is>
      </c>
      <c r="E191" s="106" t="n">
        <v>0.759499035101445</v>
      </c>
      <c r="F191" s="106" t="n">
        <v>0.764871329889405</v>
      </c>
      <c r="G191" s="106" t="n">
        <v>0.772995111639583</v>
      </c>
      <c r="H191" s="106" t="n">
        <v>0.779086629494731</v>
      </c>
      <c r="I191" s="105" t="n">
        <v>84</v>
      </c>
    </row>
    <row r="192" customFormat="false" ht="18.75" hidden="false" customHeight="true" outlineLevel="0" collapsed="false">
      <c r="A192" s="102" t="inlineStr">
        <is>
          <t xml:space="preserve">Retención 1er año general</t>
        </is>
      </c>
      <c r="B192" s="102" t="inlineStr">
        <is>
          <t xml:space="preserve">Jornada</t>
        </is>
      </c>
      <c r="C192" s="102" t="inlineStr">
        <is>
          <t xml:space="preserve">Todas las IES</t>
        </is>
      </c>
      <c r="D192" s="102" t="inlineStr">
        <is>
          <t xml:space="preserve">Diurna</t>
        </is>
      </c>
      <c r="E192" s="103" t="n">
        <v>0.807736932824668</v>
      </c>
      <c r="F192" s="103" t="n">
        <v>0.812342155336447</v>
      </c>
      <c r="G192" s="103" t="n">
        <v>0.819033008660328</v>
      </c>
      <c r="H192" s="103" t="n">
        <v>0.829052845639168</v>
      </c>
      <c r="I192" s="102" t="n">
        <v>89</v>
      </c>
    </row>
    <row r="193" customFormat="false" ht="18.75" hidden="false" customHeight="true" outlineLevel="0" collapsed="false">
      <c r="A193" s="105" t="inlineStr">
        <is>
          <t xml:space="preserve">Retención 1er año general</t>
        </is>
      </c>
      <c r="B193" s="105" t="inlineStr">
        <is>
          <t xml:space="preserve">Jornada</t>
        </is>
      </c>
      <c r="C193" s="105" t="inlineStr">
        <is>
          <t xml:space="preserve">Todas las IES</t>
        </is>
      </c>
      <c r="D193" s="105" t="inlineStr">
        <is>
          <t xml:space="preserve">Vespertina</t>
        </is>
      </c>
      <c r="E193" s="106" t="n">
        <v>0.671939944685895</v>
      </c>
      <c r="F193" s="106" t="n">
        <v>0.682871624852562</v>
      </c>
      <c r="G193" s="106" t="n">
        <v>0.69658265490177</v>
      </c>
      <c r="H193" s="106" t="n">
        <v>0.701554840686275</v>
      </c>
      <c r="I193" s="105" t="n">
        <v>90</v>
      </c>
    </row>
    <row r="194" customFormat="false" ht="18.75" hidden="false" customHeight="true" outlineLevel="0" collapsed="false">
      <c r="A194" s="102" t="inlineStr">
        <is>
          <t xml:space="preserve">Retención 1er año general</t>
        </is>
      </c>
      <c r="B194" s="102" t="inlineStr">
        <is>
          <t xml:space="preserve">Jornada</t>
        </is>
      </c>
      <c r="C194" s="102" t="inlineStr">
        <is>
          <t xml:space="preserve">Todas las IES</t>
        </is>
      </c>
      <c r="D194" s="102" t="inlineStr">
        <is>
          <t xml:space="preserve">Semipresencial</t>
        </is>
      </c>
      <c r="E194" s="103" t="n">
        <v>0.673231871083259</v>
      </c>
      <c r="F194" s="103" t="n">
        <v>0.616643929058663</v>
      </c>
      <c r="G194" s="103" t="n">
        <v>0.70930530633171</v>
      </c>
      <c r="H194" s="103" t="n">
        <v>0.709546377792823</v>
      </c>
      <c r="I194" s="102" t="n">
        <v>91</v>
      </c>
    </row>
    <row r="195" customFormat="false" ht="18.75" hidden="false" customHeight="true" outlineLevel="0" collapsed="false">
      <c r="A195" s="105" t="inlineStr">
        <is>
          <t xml:space="preserve">Retención 1er año general</t>
        </is>
      </c>
      <c r="B195" s="105" t="inlineStr">
        <is>
          <t xml:space="preserve">Jornada</t>
        </is>
      </c>
      <c r="C195" s="105" t="inlineStr">
        <is>
          <t xml:space="preserve">Todas las IES</t>
        </is>
      </c>
      <c r="D195" s="105" t="inlineStr">
        <is>
          <t xml:space="preserve">A Distancia</t>
        </is>
      </c>
      <c r="E195" s="106" t="n">
        <v>0.623146761226424</v>
      </c>
      <c r="F195" s="106" t="n">
        <v>0.62417244435177</v>
      </c>
      <c r="G195" s="106" t="n">
        <v>0.634419405770059</v>
      </c>
      <c r="H195" s="106" t="n">
        <v>0.640071070234114</v>
      </c>
      <c r="I195" s="105" t="n">
        <v>92</v>
      </c>
    </row>
    <row r="196" customFormat="false" ht="18.75" hidden="false" customHeight="true" outlineLevel="0" collapsed="false">
      <c r="A196" s="102" t="inlineStr">
        <is>
          <t xml:space="preserve">Retención 1er año general</t>
        </is>
      </c>
      <c r="B196" s="102" t="inlineStr">
        <is>
          <t xml:space="preserve">Jornada</t>
        </is>
      </c>
      <c r="C196" s="102" t="inlineStr">
        <is>
          <t xml:space="preserve">Todas las IES</t>
        </is>
      </c>
      <c r="D196" s="102" t="inlineStr">
        <is>
          <t xml:space="preserve">Otra</t>
        </is>
      </c>
      <c r="E196" s="103" t="n">
        <v>0.734513274336283</v>
      </c>
      <c r="F196" s="103" t="inlineStr">
        <is>
          <t xml:space="preserve">n/a</t>
        </is>
      </c>
      <c r="G196" s="103" t="inlineStr">
        <is>
          <t xml:space="preserve">n/a</t>
        </is>
      </c>
      <c r="H196" s="103" t="inlineStr">
        <is>
          <t xml:space="preserve">n/a</t>
        </is>
      </c>
      <c r="I196" s="102" t="n">
        <v>93</v>
      </c>
    </row>
    <row r="197" customFormat="false" ht="18.75" hidden="false" customHeight="true" outlineLevel="0" collapsed="false">
      <c r="A197" s="105" t="inlineStr">
        <is>
          <t xml:space="preserve">Retención 1er año general</t>
        </is>
      </c>
      <c r="B197" s="105" t="inlineStr">
        <is>
          <t xml:space="preserve">Jornada</t>
        </is>
      </c>
      <c r="C197" s="105" t="inlineStr">
        <is>
          <t xml:space="preserve">Todas las IES</t>
        </is>
      </c>
      <c r="D197" s="105" t="inlineStr">
        <is>
          <t xml:space="preserve">Total general</t>
        </is>
      </c>
      <c r="E197" s="106" t="n">
        <v>0.759499035101445</v>
      </c>
      <c r="F197" s="106" t="n">
        <v>0.764871329889405</v>
      </c>
      <c r="G197" s="106" t="n">
        <v>0.772995111639583</v>
      </c>
      <c r="H197" s="106" t="n">
        <v>0.779086629494731</v>
      </c>
      <c r="I197" s="105" t="n">
        <v>94</v>
      </c>
    </row>
    <row r="198" customFormat="false" ht="18.75" hidden="false" customHeight="true" outlineLevel="0" collapsed="false">
      <c r="A198" s="102" t="inlineStr">
        <is>
          <t xml:space="preserve">Retención 1er año general</t>
        </is>
      </c>
      <c r="B198" s="102" t="inlineStr">
        <is>
          <t xml:space="preserve">Tipo de carrera × jornada</t>
        </is>
      </c>
      <c r="C198" s="102" t="inlineStr">
        <is>
          <t xml:space="preserve">Todas las IES</t>
        </is>
      </c>
      <c r="D198" s="102" t="inlineStr">
        <is>
          <t xml:space="preserve">Carrerras Profesionales</t>
        </is>
      </c>
      <c r="E198" s="103" t="n">
        <v>0.804176673161448</v>
      </c>
      <c r="F198" s="103" t="n">
        <v>0.80886287378239</v>
      </c>
      <c r="G198" s="103" t="n">
        <v>0.817629743941472</v>
      </c>
      <c r="H198" s="103" t="n">
        <v>0.822057903836957</v>
      </c>
      <c r="I198" s="102" t="n">
        <v>98</v>
      </c>
    </row>
    <row r="199" customFormat="false" ht="18.75" hidden="false" customHeight="true" outlineLevel="0" collapsed="false">
      <c r="A199" s="105" t="inlineStr">
        <is>
          <t xml:space="preserve">Retención 1er año general</t>
        </is>
      </c>
      <c r="B199" s="105" t="inlineStr">
        <is>
          <t xml:space="preserve">Tipo de carrera × jornada</t>
        </is>
      </c>
      <c r="C199" s="105" t="inlineStr">
        <is>
          <t xml:space="preserve">Todas las IES</t>
        </is>
      </c>
      <c r="D199" s="105" t="inlineStr">
        <is>
          <t xml:space="preserve">Carrerras Profesionales / Diurna</t>
        </is>
      </c>
      <c r="E199" s="106" t="n">
        <v>0.831440238599621</v>
      </c>
      <c r="F199" s="106" t="n">
        <v>0.836276523763952</v>
      </c>
      <c r="G199" s="106" t="n">
        <v>0.845556504007208</v>
      </c>
      <c r="H199" s="106" t="n">
        <v>0.851087138269227</v>
      </c>
      <c r="I199" s="105" t="n">
        <v>99</v>
      </c>
    </row>
    <row r="200" customFormat="false" ht="18.75" hidden="false" customHeight="true" outlineLevel="0" collapsed="false">
      <c r="A200" s="102" t="inlineStr">
        <is>
          <t xml:space="preserve">Retención 1er año general</t>
        </is>
      </c>
      <c r="B200" s="102" t="inlineStr">
        <is>
          <t xml:space="preserve">Tipo de carrera × jornada</t>
        </is>
      </c>
      <c r="C200" s="102" t="inlineStr">
        <is>
          <t xml:space="preserve">Todas las IES</t>
        </is>
      </c>
      <c r="D200" s="102" t="inlineStr">
        <is>
          <t xml:space="preserve">Carrerras Profesionales / Vespertina</t>
        </is>
      </c>
      <c r="E200" s="103" t="n">
        <v>0.710539535818346</v>
      </c>
      <c r="F200" s="103" t="n">
        <v>0.724073542085608</v>
      </c>
      <c r="G200" s="103" t="n">
        <v>0.737718171874257</v>
      </c>
      <c r="H200" s="103" t="n">
        <v>0.743805910730177</v>
      </c>
      <c r="I200" s="102" t="n">
        <v>100</v>
      </c>
    </row>
    <row r="201" customFormat="false" ht="18.75" hidden="false" customHeight="true" outlineLevel="0" collapsed="false">
      <c r="A201" s="105" t="inlineStr">
        <is>
          <t xml:space="preserve">Retención 1er año general</t>
        </is>
      </c>
      <c r="B201" s="105" t="inlineStr">
        <is>
          <t xml:space="preserve">Tipo de carrera × jornada</t>
        </is>
      </c>
      <c r="C201" s="105" t="inlineStr">
        <is>
          <t xml:space="preserve">Todas las IES</t>
        </is>
      </c>
      <c r="D201" s="105" t="inlineStr">
        <is>
          <t xml:space="preserve">Carrerras Profesionales / Semipresencial</t>
        </is>
      </c>
      <c r="E201" s="106" t="n">
        <v>0.659520807061791</v>
      </c>
      <c r="F201" s="106" t="n">
        <v>0.634831460674157</v>
      </c>
      <c r="G201" s="106" t="n">
        <v>0.697483588621444</v>
      </c>
      <c r="H201" s="106" t="n">
        <v>0.748627881448957</v>
      </c>
      <c r="I201" s="105" t="n">
        <v>101</v>
      </c>
    </row>
    <row r="202" customFormat="false" ht="18.75" hidden="false" customHeight="true" outlineLevel="0" collapsed="false">
      <c r="A202" s="102" t="inlineStr">
        <is>
          <t xml:space="preserve">Retención 1er año general</t>
        </is>
      </c>
      <c r="B202" s="102" t="inlineStr">
        <is>
          <t xml:space="preserve">Tipo de carrera × jornada</t>
        </is>
      </c>
      <c r="C202" s="102" t="inlineStr">
        <is>
          <t xml:space="preserve">Todas las IES</t>
        </is>
      </c>
      <c r="D202" s="102" t="inlineStr">
        <is>
          <t xml:space="preserve">Carrerras Profesionales / A Distancia</t>
        </is>
      </c>
      <c r="E202" s="103" t="n">
        <v>0.64687064227709</v>
      </c>
      <c r="F202" s="103" t="n">
        <v>0.660078808028568</v>
      </c>
      <c r="G202" s="103" t="n">
        <v>0.664855170914624</v>
      </c>
      <c r="H202" s="103" t="n">
        <v>0.667162175122279</v>
      </c>
      <c r="I202" s="102" t="n">
        <v>102</v>
      </c>
    </row>
    <row r="203" customFormat="false" ht="18.75" hidden="false" customHeight="true" outlineLevel="0" collapsed="false">
      <c r="A203" s="105" t="inlineStr">
        <is>
          <t xml:space="preserve">Retención 1er año general</t>
        </is>
      </c>
      <c r="B203" s="105" t="inlineStr">
        <is>
          <t xml:space="preserve">Tipo de carrera × jornada</t>
        </is>
      </c>
      <c r="C203" s="105" t="inlineStr">
        <is>
          <t xml:space="preserve">Todas las IES</t>
        </is>
      </c>
      <c r="D203" s="105" t="inlineStr">
        <is>
          <t xml:space="preserve">Carrerras Profesionales / Otra</t>
        </is>
      </c>
      <c r="E203" s="106" t="n">
        <v>0.70253164556962</v>
      </c>
      <c r="F203" s="106" t="inlineStr">
        <is>
          <t xml:space="preserve">n/a</t>
        </is>
      </c>
      <c r="G203" s="106" t="inlineStr">
        <is>
          <t xml:space="preserve">n/a</t>
        </is>
      </c>
      <c r="H203" s="106" t="inlineStr">
        <is>
          <t xml:space="preserve">n/a</t>
        </is>
      </c>
      <c r="I203" s="105" t="n">
        <v>103</v>
      </c>
    </row>
    <row r="204" customFormat="false" ht="18.75" hidden="false" customHeight="true" outlineLevel="0" collapsed="false">
      <c r="A204" s="102" t="inlineStr">
        <is>
          <t xml:space="preserve">Retención 1er año general</t>
        </is>
      </c>
      <c r="B204" s="102" t="inlineStr">
        <is>
          <t xml:space="preserve">Tipo de carrera × jornada</t>
        </is>
      </c>
      <c r="C204" s="102" t="inlineStr">
        <is>
          <t xml:space="preserve">Todas las IES</t>
        </is>
      </c>
      <c r="D204" s="102" t="inlineStr">
        <is>
          <t xml:space="preserve">Carreras Técnicas</t>
        </is>
      </c>
      <c r="E204" s="103" t="n">
        <v>0.698923327394483</v>
      </c>
      <c r="F204" s="103" t="n">
        <v>0.697393381047031</v>
      </c>
      <c r="G204" s="103" t="n">
        <v>0.701269775665312</v>
      </c>
      <c r="H204" s="103" t="n">
        <v>0.692023888272945</v>
      </c>
      <c r="I204" s="102" t="n">
        <v>104</v>
      </c>
    </row>
    <row r="205" customFormat="false" ht="18.75" hidden="false" customHeight="true" outlineLevel="0" collapsed="false">
      <c r="A205" s="105" t="inlineStr">
        <is>
          <t xml:space="preserve">Retención 1er año general</t>
        </is>
      </c>
      <c r="B205" s="105" t="inlineStr">
        <is>
          <t xml:space="preserve">Tipo de carrera × jornada</t>
        </is>
      </c>
      <c r="C205" s="105" t="inlineStr">
        <is>
          <t xml:space="preserve">Todas las IES</t>
        </is>
      </c>
      <c r="D205" s="105" t="inlineStr">
        <is>
          <t xml:space="preserve">Carreras Técnicas / Diurna</t>
        </is>
      </c>
      <c r="E205" s="106" t="n">
        <v>0.756146391033322</v>
      </c>
      <c r="F205" s="106" t="n">
        <v>0.753903168673444</v>
      </c>
      <c r="G205" s="106" t="n">
        <v>0.749841495662393</v>
      </c>
      <c r="H205" s="106" t="n">
        <v>0.747508801877734</v>
      </c>
      <c r="I205" s="105" t="n">
        <v>105</v>
      </c>
    </row>
    <row r="206" customFormat="false" ht="18.75" hidden="false" customHeight="true" outlineLevel="0" collapsed="false">
      <c r="A206" s="102" t="inlineStr">
        <is>
          <t xml:space="preserve">Retención 1er año general</t>
        </is>
      </c>
      <c r="B206" s="102" t="inlineStr">
        <is>
          <t xml:space="preserve">Tipo de carrera × jornada</t>
        </is>
      </c>
      <c r="C206" s="102" t="inlineStr">
        <is>
          <t xml:space="preserve">Todas las IES</t>
        </is>
      </c>
      <c r="D206" s="102" t="inlineStr">
        <is>
          <t xml:space="preserve">Carreras Técnicas / Vespertina</t>
        </is>
      </c>
      <c r="E206" s="103" t="n">
        <v>0.654223062556204</v>
      </c>
      <c r="F206" s="103" t="n">
        <v>0.662310044920195</v>
      </c>
      <c r="G206" s="103" t="n">
        <v>0.675232030015798</v>
      </c>
      <c r="H206" s="103" t="n">
        <v>0.672335050043728</v>
      </c>
      <c r="I206" s="102" t="n">
        <v>106</v>
      </c>
    </row>
    <row r="207" customFormat="false" ht="18.75" hidden="false" customHeight="true" outlineLevel="0" collapsed="false">
      <c r="A207" s="105" t="inlineStr">
        <is>
          <t xml:space="preserve">Retención 1er año general</t>
        </is>
      </c>
      <c r="B207" s="105" t="inlineStr">
        <is>
          <t xml:space="preserve">Tipo de carrera × jornada</t>
        </is>
      </c>
      <c r="C207" s="105" t="inlineStr">
        <is>
          <t xml:space="preserve">Todas las IES</t>
        </is>
      </c>
      <c r="D207" s="105" t="inlineStr">
        <is>
          <t xml:space="preserve">Carreras Técnicas / Semipresencial</t>
        </is>
      </c>
      <c r="E207" s="106" t="n">
        <v>0.70679012345679</v>
      </c>
      <c r="F207" s="106" t="n">
        <v>0.588541666666667</v>
      </c>
      <c r="G207" s="106" t="n">
        <v>0.719729860106126</v>
      </c>
      <c r="H207" s="106" t="n">
        <v>0.682253737064009</v>
      </c>
      <c r="I207" s="105" t="n">
        <v>107</v>
      </c>
    </row>
    <row r="208" customFormat="false" ht="18.75" hidden="false" customHeight="true" outlineLevel="0" collapsed="false">
      <c r="A208" s="102" t="inlineStr">
        <is>
          <t xml:space="preserve">Retención 1er año general</t>
        </is>
      </c>
      <c r="B208" s="102" t="inlineStr">
        <is>
          <t xml:space="preserve">Tipo de carrera × jornada</t>
        </is>
      </c>
      <c r="C208" s="102" t="inlineStr">
        <is>
          <t xml:space="preserve">Todas las IES</t>
        </is>
      </c>
      <c r="D208" s="102" t="inlineStr">
        <is>
          <t xml:space="preserve">Carreras Técnicas / A Distancia</t>
        </is>
      </c>
      <c r="E208" s="103" t="n">
        <v>0.609053698469935</v>
      </c>
      <c r="F208" s="103" t="n">
        <v>0.597812330500814</v>
      </c>
      <c r="G208" s="103" t="n">
        <v>0.610486731336268</v>
      </c>
      <c r="H208" s="103" t="n">
        <v>0.619135848217594</v>
      </c>
      <c r="I208" s="102" t="n">
        <v>108</v>
      </c>
    </row>
    <row r="209" customFormat="false" ht="18.75" hidden="false" customHeight="true" outlineLevel="0" collapsed="false">
      <c r="A209" s="105" t="inlineStr">
        <is>
          <t xml:space="preserve">Retención 1er año general</t>
        </is>
      </c>
      <c r="B209" s="105" t="inlineStr">
        <is>
          <t xml:space="preserve">Tipo de carrera × jornada</t>
        </is>
      </c>
      <c r="C209" s="105" t="inlineStr">
        <is>
          <t xml:space="preserve">Todas las IES</t>
        </is>
      </c>
      <c r="D209" s="105" t="inlineStr">
        <is>
          <t xml:space="preserve">Carreras Técnicas / Otra</t>
        </is>
      </c>
      <c r="E209" s="106" t="n">
        <v>0.808823529411765</v>
      </c>
      <c r="F209" s="106" t="inlineStr">
        <is>
          <t xml:space="preserve">n/a</t>
        </is>
      </c>
      <c r="G209" s="106" t="inlineStr">
        <is>
          <t xml:space="preserve">n/a</t>
        </is>
      </c>
      <c r="H209" s="106" t="inlineStr">
        <is>
          <t xml:space="preserve">n/a</t>
        </is>
      </c>
      <c r="I209" s="105" t="n">
        <v>109</v>
      </c>
    </row>
    <row r="210" customFormat="false" ht="18.75" hidden="false" customHeight="true" outlineLevel="0" collapsed="false">
      <c r="A210" s="102" t="inlineStr">
        <is>
          <t xml:space="preserve">Retención 1er año general</t>
        </is>
      </c>
      <c r="B210" s="102" t="inlineStr">
        <is>
          <t xml:space="preserve">Tipo de carrera × jornada</t>
        </is>
      </c>
      <c r="C210" s="102" t="inlineStr">
        <is>
          <t xml:space="preserve">Todas las IES</t>
        </is>
      </c>
      <c r="D210" s="102" t="inlineStr">
        <is>
          <t xml:space="preserve">Total general</t>
        </is>
      </c>
      <c r="E210" s="103" t="n">
        <v>0.759499035101445</v>
      </c>
      <c r="F210" s="103" t="n">
        <v>0.764871329889405</v>
      </c>
      <c r="G210" s="103" t="n">
        <v>0.772995111639583</v>
      </c>
      <c r="H210" s="103" t="n">
        <v>0.779086629494731</v>
      </c>
      <c r="I210" s="102" t="n">
        <v>110</v>
      </c>
    </row>
    <row r="211" customFormat="false" ht="18.75" hidden="false" customHeight="true" outlineLevel="0" collapsed="false">
      <c r="A211" s="105" t="inlineStr">
        <is>
          <t xml:space="preserve">Retención 1er año general</t>
        </is>
      </c>
      <c r="B211" s="105" t="inlineStr">
        <is>
          <t xml:space="preserve">Rango de edad</t>
        </is>
      </c>
      <c r="C211" s="105" t="inlineStr">
        <is>
          <t xml:space="preserve">Todas las IES</t>
        </is>
      </c>
      <c r="D211" s="105" t="inlineStr">
        <is>
          <t xml:space="preserve">15 a 19 años</t>
        </is>
      </c>
      <c r="E211" s="106" t="n">
        <v>0.818684983608419</v>
      </c>
      <c r="F211" s="106" t="n">
        <v>0.817588248616818</v>
      </c>
      <c r="G211" s="106" t="n">
        <v>0.822785537369456</v>
      </c>
      <c r="H211" s="106" t="n">
        <v>0.832233717222981</v>
      </c>
      <c r="I211" s="105" t="n">
        <v>115</v>
      </c>
    </row>
    <row r="212" customFormat="false" ht="18.75" hidden="false" customHeight="true" outlineLevel="0" collapsed="false">
      <c r="A212" s="102" t="inlineStr">
        <is>
          <t xml:space="preserve">Retención 1er año general</t>
        </is>
      </c>
      <c r="B212" s="102" t="inlineStr">
        <is>
          <t xml:space="preserve">Rango de edad</t>
        </is>
      </c>
      <c r="C212" s="102" t="inlineStr">
        <is>
          <t xml:space="preserve">Todas las IES</t>
        </is>
      </c>
      <c r="D212" s="102" t="inlineStr">
        <is>
          <t xml:space="preserve">20 a 24 años</t>
        </is>
      </c>
      <c r="E212" s="103" t="n">
        <v>0.74064660306234</v>
      </c>
      <c r="F212" s="103" t="n">
        <v>0.759089159012156</v>
      </c>
      <c r="G212" s="103" t="n">
        <v>0.768340374034938</v>
      </c>
      <c r="H212" s="103" t="n">
        <v>0.774439087110254</v>
      </c>
      <c r="I212" s="102" t="n">
        <v>116</v>
      </c>
    </row>
    <row r="213" customFormat="false" ht="18.75" hidden="false" customHeight="true" outlineLevel="0" collapsed="false">
      <c r="A213" s="105" t="inlineStr">
        <is>
          <t xml:space="preserve">Retención 1er año general</t>
        </is>
      </c>
      <c r="B213" s="105" t="inlineStr">
        <is>
          <t xml:space="preserve">Rango de edad</t>
        </is>
      </c>
      <c r="C213" s="105" t="inlineStr">
        <is>
          <t xml:space="preserve">Todas las IES</t>
        </is>
      </c>
      <c r="D213" s="105" t="inlineStr">
        <is>
          <t xml:space="preserve">25 a 29 años</t>
        </is>
      </c>
      <c r="E213" s="106" t="n">
        <v>0.669336980591377</v>
      </c>
      <c r="F213" s="106" t="n">
        <v>0.675672287344073</v>
      </c>
      <c r="G213" s="106" t="n">
        <v>0.695434508816121</v>
      </c>
      <c r="H213" s="106" t="n">
        <v>0.697850428531933</v>
      </c>
      <c r="I213" s="105" t="n">
        <v>117</v>
      </c>
    </row>
    <row r="214" customFormat="false" ht="18.75" hidden="false" customHeight="true" outlineLevel="0" collapsed="false">
      <c r="A214" s="102" t="inlineStr">
        <is>
          <t xml:space="preserve">Retención 1er año general</t>
        </is>
      </c>
      <c r="B214" s="102" t="inlineStr">
        <is>
          <t xml:space="preserve">Rango de edad</t>
        </is>
      </c>
      <c r="C214" s="102" t="inlineStr">
        <is>
          <t xml:space="preserve">Todas las IES</t>
        </is>
      </c>
      <c r="D214" s="102" t="inlineStr">
        <is>
          <t xml:space="preserve">30 a 34 años</t>
        </is>
      </c>
      <c r="E214" s="103" t="n">
        <v>0.677649471666147</v>
      </c>
      <c r="F214" s="103" t="n">
        <v>0.672958414134885</v>
      </c>
      <c r="G214" s="103" t="n">
        <v>0.685857479784367</v>
      </c>
      <c r="H214" s="103" t="n">
        <v>0.686833534109669</v>
      </c>
      <c r="I214" s="102" t="n">
        <v>118</v>
      </c>
    </row>
    <row r="215" customFormat="false" ht="18.75" hidden="false" customHeight="true" outlineLevel="0" collapsed="false">
      <c r="A215" s="105" t="inlineStr">
        <is>
          <t xml:space="preserve">Retención 1er año general</t>
        </is>
      </c>
      <c r="B215" s="105" t="inlineStr">
        <is>
          <t xml:space="preserve">Rango de edad</t>
        </is>
      </c>
      <c r="C215" s="105" t="inlineStr">
        <is>
          <t xml:space="preserve">Todas las IES</t>
        </is>
      </c>
      <c r="D215" s="105" t="inlineStr">
        <is>
          <t xml:space="preserve">35 a 39 años</t>
        </is>
      </c>
      <c r="E215" s="106" t="n">
        <v>0.679880647911338</v>
      </c>
      <c r="F215" s="106" t="n">
        <v>0.680404354587869</v>
      </c>
      <c r="G215" s="106" t="n">
        <v>0.694267139479906</v>
      </c>
      <c r="H215" s="106" t="n">
        <v>0.694901737396753</v>
      </c>
      <c r="I215" s="105" t="n">
        <v>119</v>
      </c>
    </row>
    <row r="216" customFormat="false" ht="18.75" hidden="false" customHeight="true" outlineLevel="0" collapsed="false">
      <c r="A216" s="102" t="inlineStr">
        <is>
          <t xml:space="preserve">Retención 1er año general</t>
        </is>
      </c>
      <c r="B216" s="102" t="inlineStr">
        <is>
          <t xml:space="preserve">Rango de edad</t>
        </is>
      </c>
      <c r="C216" s="102" t="inlineStr">
        <is>
          <t xml:space="preserve">Todas las IES</t>
        </is>
      </c>
      <c r="D216" s="102" t="inlineStr">
        <is>
          <t xml:space="preserve">40 y más años</t>
        </is>
      </c>
      <c r="E216" s="103" t="n">
        <v>0.696712249054408</v>
      </c>
      <c r="F216" s="103" t="n">
        <v>0.695505676222073</v>
      </c>
      <c r="G216" s="103" t="n">
        <v>0.704797379167976</v>
      </c>
      <c r="H216" s="103" t="n">
        <v>0.700949885358664</v>
      </c>
      <c r="I216" s="102" t="n">
        <v>120</v>
      </c>
    </row>
    <row r="217" customFormat="false" ht="18.75" hidden="false" customHeight="true" outlineLevel="0" collapsed="false">
      <c r="A217" s="105" t="inlineStr">
        <is>
          <t xml:space="preserve">Retención 1er año general</t>
        </is>
      </c>
      <c r="B217" s="105" t="inlineStr">
        <is>
          <t xml:space="preserve">Rango de edad</t>
        </is>
      </c>
      <c r="C217" s="105" t="inlineStr">
        <is>
          <t xml:space="preserve">Todas las IES</t>
        </is>
      </c>
      <c r="D217" s="105" t="inlineStr">
        <is>
          <t xml:space="preserve">Total general</t>
        </is>
      </c>
      <c r="E217" s="106" t="n">
        <v>0.759499035101445</v>
      </c>
      <c r="F217" s="106" t="n">
        <v>0.764871329889405</v>
      </c>
      <c r="G217" s="106" t="n">
        <v>0.772995111639583</v>
      </c>
      <c r="H217" s="106" t="n">
        <v>0.779086629494731</v>
      </c>
      <c r="I217" s="105" t="n">
        <v>121</v>
      </c>
    </row>
    <row r="218" customFormat="false" ht="18.75" hidden="false" customHeight="true" outlineLevel="0" collapsed="false">
      <c r="A218" s="102" t="inlineStr">
        <is>
          <t xml:space="preserve">Retención 1er año general</t>
        </is>
      </c>
      <c r="B218" s="102" t="inlineStr">
        <is>
          <t xml:space="preserve">Tipo de carrera × edad</t>
        </is>
      </c>
      <c r="C218" s="102" t="inlineStr">
        <is>
          <t xml:space="preserve">Todas las IES</t>
        </is>
      </c>
      <c r="D218" s="102" t="inlineStr">
        <is>
          <t xml:space="preserve">Carrerras Profesionales</t>
        </is>
      </c>
      <c r="E218" s="103" t="n">
        <v>0.804176673161448</v>
      </c>
      <c r="F218" s="103" t="n">
        <v>0.80886287378239</v>
      </c>
      <c r="G218" s="103" t="n">
        <v>0.817629743941472</v>
      </c>
      <c r="H218" s="103" t="n">
        <v>0.822057903836957</v>
      </c>
      <c r="I218" s="102" t="n">
        <v>125</v>
      </c>
    </row>
    <row r="219" customFormat="false" ht="18.75" hidden="false" customHeight="true" outlineLevel="0" collapsed="false">
      <c r="A219" s="105" t="inlineStr">
        <is>
          <t xml:space="preserve">Retención 1er año general</t>
        </is>
      </c>
      <c r="B219" s="105" t="inlineStr">
        <is>
          <t xml:space="preserve">Tipo de carrera × edad</t>
        </is>
      </c>
      <c r="C219" s="105" t="inlineStr">
        <is>
          <t xml:space="preserve">Todas las IES</t>
        </is>
      </c>
      <c r="D219" s="105" t="inlineStr">
        <is>
          <t xml:space="preserve">Carrerras Profesionales / 15 a 19 años</t>
        </is>
      </c>
      <c r="E219" s="106" t="n">
        <v>0.837034667068167</v>
      </c>
      <c r="F219" s="106" t="n">
        <v>0.837857880878579</v>
      </c>
      <c r="G219" s="106" t="n">
        <v>0.846130523141471</v>
      </c>
      <c r="H219" s="106" t="n">
        <v>0.851388297254386</v>
      </c>
      <c r="I219" s="105" t="n">
        <v>126</v>
      </c>
    </row>
    <row r="220" customFormat="false" ht="18.75" hidden="false" customHeight="true" outlineLevel="0" collapsed="false">
      <c r="A220" s="102" t="inlineStr">
        <is>
          <t xml:space="preserve">Retención 1er año general</t>
        </is>
      </c>
      <c r="B220" s="102" t="inlineStr">
        <is>
          <t xml:space="preserve">Tipo de carrera × edad</t>
        </is>
      </c>
      <c r="C220" s="102" t="inlineStr">
        <is>
          <t xml:space="preserve">Todas las IES</t>
        </is>
      </c>
      <c r="D220" s="102" t="inlineStr">
        <is>
          <t xml:space="preserve">Carrerras Profesionales / 20 a 24 años</t>
        </is>
      </c>
      <c r="E220" s="103" t="n">
        <v>0.789713731198447</v>
      </c>
      <c r="F220" s="103" t="n">
        <v>0.807307489771945</v>
      </c>
      <c r="G220" s="103" t="n">
        <v>0.818816211487997</v>
      </c>
      <c r="H220" s="103" t="n">
        <v>0.82104946925696</v>
      </c>
      <c r="I220" s="102" t="n">
        <v>127</v>
      </c>
    </row>
    <row r="221" customFormat="false" ht="18.75" hidden="false" customHeight="true" outlineLevel="0" collapsed="false">
      <c r="A221" s="105" t="inlineStr">
        <is>
          <t xml:space="preserve">Retención 1er año general</t>
        </is>
      </c>
      <c r="B221" s="105" t="inlineStr">
        <is>
          <t xml:space="preserve">Tipo de carrera × edad</t>
        </is>
      </c>
      <c r="C221" s="105" t="inlineStr">
        <is>
          <t xml:space="preserve">Todas las IES</t>
        </is>
      </c>
      <c r="D221" s="105" t="inlineStr">
        <is>
          <t xml:space="preserve">Carrerras Profesionales / 25 a 29 años</t>
        </is>
      </c>
      <c r="E221" s="106" t="n">
        <v>0.703212740495259</v>
      </c>
      <c r="F221" s="106" t="n">
        <v>0.715373904496683</v>
      </c>
      <c r="G221" s="106" t="n">
        <v>0.728990279084352</v>
      </c>
      <c r="H221" s="106" t="n">
        <v>0.73453187018445</v>
      </c>
      <c r="I221" s="105" t="n">
        <v>128</v>
      </c>
    </row>
    <row r="222" customFormat="false" ht="18.75" hidden="false" customHeight="true" outlineLevel="0" collapsed="false">
      <c r="A222" s="102" t="inlineStr">
        <is>
          <t xml:space="preserve">Retención 1er año general</t>
        </is>
      </c>
      <c r="B222" s="102" t="inlineStr">
        <is>
          <t xml:space="preserve">Tipo de carrera × edad</t>
        </is>
      </c>
      <c r="C222" s="102" t="inlineStr">
        <is>
          <t xml:space="preserve">Todas las IES</t>
        </is>
      </c>
      <c r="D222" s="102" t="inlineStr">
        <is>
          <t xml:space="preserve">Carrerras Profesionales / 30 a 34 años</t>
        </is>
      </c>
      <c r="E222" s="103" t="n">
        <v>0.696113989637306</v>
      </c>
      <c r="F222" s="103" t="n">
        <v>0.697908145378053</v>
      </c>
      <c r="G222" s="103" t="n">
        <v>0.713760035682426</v>
      </c>
      <c r="H222" s="103" t="n">
        <v>0.71034634899625</v>
      </c>
      <c r="I222" s="102" t="n">
        <v>129</v>
      </c>
    </row>
    <row r="223" customFormat="false" ht="18.75" hidden="false" customHeight="true" outlineLevel="0" collapsed="false">
      <c r="A223" s="105" t="inlineStr">
        <is>
          <t xml:space="preserve">Retención 1er año general</t>
        </is>
      </c>
      <c r="B223" s="105" t="inlineStr">
        <is>
          <t xml:space="preserve">Tipo de carrera × edad</t>
        </is>
      </c>
      <c r="C223" s="105" t="inlineStr">
        <is>
          <t xml:space="preserve">Todas las IES</t>
        </is>
      </c>
      <c r="D223" s="105" t="inlineStr">
        <is>
          <t xml:space="preserve">Carrerras Profesionales / 35 a 39 años</t>
        </is>
      </c>
      <c r="E223" s="106" t="n">
        <v>0.69625287837555</v>
      </c>
      <c r="F223" s="106" t="n">
        <v>0.703943998634113</v>
      </c>
      <c r="G223" s="106" t="n">
        <v>0.7122934667273</v>
      </c>
      <c r="H223" s="106" t="n">
        <v>0.717090395480226</v>
      </c>
      <c r="I223" s="105" t="n">
        <v>130</v>
      </c>
    </row>
    <row r="224" customFormat="false" ht="18.75" hidden="false" customHeight="true" outlineLevel="0" collapsed="false">
      <c r="A224" s="102" t="inlineStr">
        <is>
          <t xml:space="preserve">Retención 1er año general</t>
        </is>
      </c>
      <c r="B224" s="102" t="inlineStr">
        <is>
          <t xml:space="preserve">Tipo de carrera × edad</t>
        </is>
      </c>
      <c r="C224" s="102" t="inlineStr">
        <is>
          <t xml:space="preserve">Todas las IES</t>
        </is>
      </c>
      <c r="D224" s="102" t="inlineStr">
        <is>
          <t xml:space="preserve">Carrerras Profesionales / 40 y más años</t>
        </is>
      </c>
      <c r="E224" s="103" t="n">
        <v>0.725407680168333</v>
      </c>
      <c r="F224" s="103" t="n">
        <v>0.708489208633094</v>
      </c>
      <c r="G224" s="103" t="n">
        <v>0.721751932278248</v>
      </c>
      <c r="H224" s="103" t="n">
        <v>0.731189642364428</v>
      </c>
      <c r="I224" s="102" t="n">
        <v>131</v>
      </c>
    </row>
    <row r="225" customFormat="false" ht="18.75" hidden="false" customHeight="true" outlineLevel="0" collapsed="false">
      <c r="A225" s="105" t="inlineStr">
        <is>
          <t xml:space="preserve">Retención 1er año general</t>
        </is>
      </c>
      <c r="B225" s="105" t="inlineStr">
        <is>
          <t xml:space="preserve">Tipo de carrera × edad</t>
        </is>
      </c>
      <c r="C225" s="105" t="inlineStr">
        <is>
          <t xml:space="preserve">Todas las IES</t>
        </is>
      </c>
      <c r="D225" s="105" t="inlineStr">
        <is>
          <t xml:space="preserve">Carreras Técnicas</t>
        </is>
      </c>
      <c r="E225" s="106" t="n">
        <v>0.698923327394483</v>
      </c>
      <c r="F225" s="106" t="n">
        <v>0.697393381047031</v>
      </c>
      <c r="G225" s="106" t="n">
        <v>0.701269775665312</v>
      </c>
      <c r="H225" s="106" t="n">
        <v>0.692023888272945</v>
      </c>
      <c r="I225" s="105" t="n">
        <v>132</v>
      </c>
    </row>
    <row r="226" customFormat="false" ht="18.75" hidden="false" customHeight="true" outlineLevel="0" collapsed="false">
      <c r="A226" s="102" t="inlineStr">
        <is>
          <t xml:space="preserve">Retención 1er año general</t>
        </is>
      </c>
      <c r="B226" s="102" t="inlineStr">
        <is>
          <t xml:space="preserve">Tipo de carrera × edad</t>
        </is>
      </c>
      <c r="C226" s="102" t="inlineStr">
        <is>
          <t xml:space="preserve">Todas las IES</t>
        </is>
      </c>
      <c r="D226" s="102" t="inlineStr">
        <is>
          <t xml:space="preserve">Carreras Técnicas / 15 a 19 años</t>
        </is>
      </c>
      <c r="E226" s="103" t="n">
        <v>0.762421374574413</v>
      </c>
      <c r="F226" s="103" t="n">
        <v>0.747125105002462</v>
      </c>
      <c r="G226" s="103" t="n">
        <v>0.74049682264587</v>
      </c>
      <c r="H226" s="103" t="n">
        <v>0.731597151576806</v>
      </c>
      <c r="I226" s="102" t="n">
        <v>133</v>
      </c>
    </row>
    <row r="227" customFormat="false" ht="18.75" hidden="false" customHeight="true" outlineLevel="0" collapsed="false">
      <c r="A227" s="105" t="inlineStr">
        <is>
          <t xml:space="preserve">Retención 1er año general</t>
        </is>
      </c>
      <c r="B227" s="105" t="inlineStr">
        <is>
          <t xml:space="preserve">Tipo de carrera × edad</t>
        </is>
      </c>
      <c r="C227" s="105" t="inlineStr">
        <is>
          <t xml:space="preserve">Todas las IES</t>
        </is>
      </c>
      <c r="D227" s="105" t="inlineStr">
        <is>
          <t xml:space="preserve">Carreras Técnicas / 20 a 24 años</t>
        </is>
      </c>
      <c r="E227" s="106" t="n">
        <v>0.690360756818577</v>
      </c>
      <c r="F227" s="106" t="n">
        <v>0.701764946666346</v>
      </c>
      <c r="G227" s="106" t="n">
        <v>0.699640192602783</v>
      </c>
      <c r="H227" s="106" t="n">
        <v>0.690860118513198</v>
      </c>
      <c r="I227" s="105" t="n">
        <v>134</v>
      </c>
    </row>
    <row r="228" customFormat="false" ht="18.75" hidden="false" customHeight="true" outlineLevel="0" collapsed="false">
      <c r="A228" s="102" t="inlineStr">
        <is>
          <t xml:space="preserve">Retención 1er año general</t>
        </is>
      </c>
      <c r="B228" s="102" t="inlineStr">
        <is>
          <t xml:space="preserve">Tipo de carrera × edad</t>
        </is>
      </c>
      <c r="C228" s="102" t="inlineStr">
        <is>
          <t xml:space="preserve">Todas las IES</t>
        </is>
      </c>
      <c r="D228" s="102" t="inlineStr">
        <is>
          <t xml:space="preserve">Carreras Técnicas / 25 a 29 años</t>
        </is>
      </c>
      <c r="E228" s="103" t="n">
        <v>0.650793650793651</v>
      </c>
      <c r="F228" s="103" t="n">
        <v>0.651063613748287</v>
      </c>
      <c r="G228" s="103" t="n">
        <v>0.672910966112397</v>
      </c>
      <c r="H228" s="103" t="n">
        <v>0.668552247156089</v>
      </c>
      <c r="I228" s="102" t="n">
        <v>135</v>
      </c>
    </row>
    <row r="229" customFormat="false" ht="18.75" hidden="false" customHeight="true" outlineLevel="0" collapsed="false">
      <c r="A229" s="105" t="inlineStr">
        <is>
          <t xml:space="preserve">Retención 1er año general</t>
        </is>
      </c>
      <c r="B229" s="105" t="inlineStr">
        <is>
          <t xml:space="preserve">Tipo de carrera × edad</t>
        </is>
      </c>
      <c r="C229" s="105" t="inlineStr">
        <is>
          <t xml:space="preserve">Todas las IES</t>
        </is>
      </c>
      <c r="D229" s="105" t="inlineStr">
        <is>
          <t xml:space="preserve">Carreras Técnicas / 30 a 34 años</t>
        </is>
      </c>
      <c r="E229" s="106" t="n">
        <v>0.667958392820722</v>
      </c>
      <c r="F229" s="106" t="n">
        <v>0.658383397050792</v>
      </c>
      <c r="G229" s="106" t="n">
        <v>0.668922577152139</v>
      </c>
      <c r="H229" s="106" t="n">
        <v>0.670862366074773</v>
      </c>
      <c r="I229" s="105" t="n">
        <v>136</v>
      </c>
    </row>
    <row r="230" customFormat="false" ht="18.75" hidden="false" customHeight="true" outlineLevel="0" collapsed="false">
      <c r="A230" s="102" t="inlineStr">
        <is>
          <t xml:space="preserve">Retención 1er año general</t>
        </is>
      </c>
      <c r="B230" s="102" t="inlineStr">
        <is>
          <t xml:space="preserve">Tipo de carrera × edad</t>
        </is>
      </c>
      <c r="C230" s="102" t="inlineStr">
        <is>
          <t xml:space="preserve">Todas las IES</t>
        </is>
      </c>
      <c r="D230" s="102" t="inlineStr">
        <is>
          <t xml:space="preserve">Carreras Técnicas / 35 a 39 años</t>
        </is>
      </c>
      <c r="E230" s="103" t="n">
        <v>0.671470050543069</v>
      </c>
      <c r="F230" s="103" t="n">
        <v>0.666005221932115</v>
      </c>
      <c r="G230" s="103" t="n">
        <v>0.682747263392425</v>
      </c>
      <c r="H230" s="103" t="n">
        <v>0.679904534606205</v>
      </c>
      <c r="I230" s="102" t="n">
        <v>137</v>
      </c>
    </row>
    <row r="231" customFormat="false" ht="18.75" hidden="false" customHeight="true" outlineLevel="0" collapsed="false">
      <c r="A231" s="105" t="inlineStr">
        <is>
          <t xml:space="preserve">Retención 1er año general</t>
        </is>
      </c>
      <c r="B231" s="105" t="inlineStr">
        <is>
          <t xml:space="preserve">Tipo de carrera × edad</t>
        </is>
      </c>
      <c r="C231" s="105" t="inlineStr">
        <is>
          <t xml:space="preserve">Todas las IES</t>
        </is>
      </c>
      <c r="D231" s="105" t="inlineStr">
        <is>
          <t xml:space="preserve">Carreras Técnicas / 40 y más años</t>
        </is>
      </c>
      <c r="E231" s="106" t="n">
        <v>0.68245950182895</v>
      </c>
      <c r="F231" s="106" t="n">
        <v>0.688193825459849</v>
      </c>
      <c r="G231" s="106" t="n">
        <v>0.695018397962072</v>
      </c>
      <c r="H231" s="106" t="n">
        <v>0.681954536364242</v>
      </c>
      <c r="I231" s="105" t="n">
        <v>138</v>
      </c>
    </row>
    <row r="232" customFormat="false" ht="18.75" hidden="false" customHeight="true" outlineLevel="0" collapsed="false">
      <c r="A232" s="102" t="inlineStr">
        <is>
          <t xml:space="preserve">Retención 1er año general</t>
        </is>
      </c>
      <c r="B232" s="102" t="inlineStr">
        <is>
          <t xml:space="preserve">Tipo de carrera × edad</t>
        </is>
      </c>
      <c r="C232" s="102" t="inlineStr">
        <is>
          <t xml:space="preserve">Todas las IES</t>
        </is>
      </c>
      <c r="D232" s="102" t="inlineStr">
        <is>
          <t xml:space="preserve">Total general</t>
        </is>
      </c>
      <c r="E232" s="103" t="n">
        <v>0.759499035101445</v>
      </c>
      <c r="F232" s="103" t="n">
        <v>0.764871329889405</v>
      </c>
      <c r="G232" s="103" t="n">
        <v>0.772995111639583</v>
      </c>
      <c r="H232" s="103" t="n">
        <v>0.779086629494731</v>
      </c>
      <c r="I232" s="102" t="n">
        <v>139</v>
      </c>
    </row>
    <row r="233" customFormat="false" ht="18.75" hidden="false" customHeight="true" outlineLevel="0" collapsed="false">
      <c r="A233" s="105" t="inlineStr">
        <is>
          <t xml:space="preserve">Retención 1er año general</t>
        </is>
      </c>
      <c r="B233" s="105" t="inlineStr">
        <is>
          <t xml:space="preserve">Región</t>
        </is>
      </c>
      <c r="C233" s="105" t="inlineStr">
        <is>
          <t xml:space="preserve">Todas las IES</t>
        </is>
      </c>
      <c r="D233" s="105" t="inlineStr">
        <is>
          <t xml:space="preserve">Arica y Parinacota</t>
        </is>
      </c>
      <c r="E233" s="106" t="n">
        <v>0.781310679611651</v>
      </c>
      <c r="F233" s="106" t="n">
        <v>0.766421681212678</v>
      </c>
      <c r="G233" s="106" t="n">
        <v>0.756953092569531</v>
      </c>
      <c r="H233" s="106" t="n">
        <v>0.771619684663163</v>
      </c>
      <c r="I233" s="105" t="n">
        <v>143</v>
      </c>
    </row>
    <row r="234" customFormat="false" ht="18.75" hidden="false" customHeight="true" outlineLevel="0" collapsed="false">
      <c r="A234" s="102" t="inlineStr">
        <is>
          <t xml:space="preserve">Retención 1er año general</t>
        </is>
      </c>
      <c r="B234" s="102" t="inlineStr">
        <is>
          <t xml:space="preserve">Región</t>
        </is>
      </c>
      <c r="C234" s="102" t="inlineStr">
        <is>
          <t xml:space="preserve">Todas las IES</t>
        </is>
      </c>
      <c r="D234" s="102" t="inlineStr">
        <is>
          <t xml:space="preserve">Tarapacá</t>
        </is>
      </c>
      <c r="E234" s="103" t="n">
        <v>0.724980142970612</v>
      </c>
      <c r="F234" s="103" t="n">
        <v>0.734649910233393</v>
      </c>
      <c r="G234" s="103" t="n">
        <v>0.733900364520049</v>
      </c>
      <c r="H234" s="103" t="n">
        <v>0.736113674109614</v>
      </c>
      <c r="I234" s="102" t="n">
        <v>144</v>
      </c>
    </row>
    <row r="235" customFormat="false" ht="18.75" hidden="false" customHeight="true" outlineLevel="0" collapsed="false">
      <c r="A235" s="105" t="inlineStr">
        <is>
          <t xml:space="preserve">Retención 1er año general</t>
        </is>
      </c>
      <c r="B235" s="105" t="inlineStr">
        <is>
          <t xml:space="preserve">Región</t>
        </is>
      </c>
      <c r="C235" s="105" t="inlineStr">
        <is>
          <t xml:space="preserve">Todas las IES</t>
        </is>
      </c>
      <c r="D235" s="105" t="inlineStr">
        <is>
          <t xml:space="preserve">Antofagasta</t>
        </is>
      </c>
      <c r="E235" s="106" t="n">
        <v>0.725910064239829</v>
      </c>
      <c r="F235" s="106" t="n">
        <v>0.727517036183895</v>
      </c>
      <c r="G235" s="106" t="n">
        <v>0.740245051837889</v>
      </c>
      <c r="H235" s="106" t="n">
        <v>0.745813333333333</v>
      </c>
      <c r="I235" s="105" t="n">
        <v>145</v>
      </c>
    </row>
    <row r="236" customFormat="false" ht="18.75" hidden="false" customHeight="true" outlineLevel="0" collapsed="false">
      <c r="A236" s="102" t="inlineStr">
        <is>
          <t xml:space="preserve">Retención 1er año general</t>
        </is>
      </c>
      <c r="B236" s="102" t="inlineStr">
        <is>
          <t xml:space="preserve">Región</t>
        </is>
      </c>
      <c r="C236" s="102" t="inlineStr">
        <is>
          <t xml:space="preserve">Todas las IES</t>
        </is>
      </c>
      <c r="D236" s="102" t="inlineStr">
        <is>
          <t xml:space="preserve">Atacama</t>
        </is>
      </c>
      <c r="E236" s="103" t="n">
        <v>0.732952838690297</v>
      </c>
      <c r="F236" s="103" t="n">
        <v>0.771910724006532</v>
      </c>
      <c r="G236" s="103" t="n">
        <v>0.740820734341253</v>
      </c>
      <c r="H236" s="103" t="n">
        <v>0.74488567990373</v>
      </c>
      <c r="I236" s="102" t="n">
        <v>146</v>
      </c>
    </row>
    <row r="237" customFormat="false" ht="18.75" hidden="false" customHeight="true" outlineLevel="0" collapsed="false">
      <c r="A237" s="105" t="inlineStr">
        <is>
          <t xml:space="preserve">Retención 1er año general</t>
        </is>
      </c>
      <c r="B237" s="105" t="inlineStr">
        <is>
          <t xml:space="preserve">Región</t>
        </is>
      </c>
      <c r="C237" s="105" t="inlineStr">
        <is>
          <t xml:space="preserve">Todas las IES</t>
        </is>
      </c>
      <c r="D237" s="105" t="inlineStr">
        <is>
          <t xml:space="preserve">Coquimbo</t>
        </is>
      </c>
      <c r="E237" s="106" t="n">
        <v>0.771580559361651</v>
      </c>
      <c r="F237" s="106" t="n">
        <v>0.785834480648616</v>
      </c>
      <c r="G237" s="106" t="n">
        <v>0.774900691481536</v>
      </c>
      <c r="H237" s="106" t="n">
        <v>0.792036479114079</v>
      </c>
      <c r="I237" s="105" t="n">
        <v>147</v>
      </c>
    </row>
    <row r="238" customFormat="false" ht="18.75" hidden="false" customHeight="true" outlineLevel="0" collapsed="false">
      <c r="A238" s="102" t="inlineStr">
        <is>
          <t xml:space="preserve">Retención 1er año general</t>
        </is>
      </c>
      <c r="B238" s="102" t="inlineStr">
        <is>
          <t xml:space="preserve">Región</t>
        </is>
      </c>
      <c r="C238" s="102" t="inlineStr">
        <is>
          <t xml:space="preserve">Todas las IES</t>
        </is>
      </c>
      <c r="D238" s="102" t="inlineStr">
        <is>
          <t xml:space="preserve">Valparaíso</t>
        </is>
      </c>
      <c r="E238" s="103" t="n">
        <v>0.768425856504873</v>
      </c>
      <c r="F238" s="103" t="n">
        <v>0.779297765617875</v>
      </c>
      <c r="G238" s="103" t="n">
        <v>0.783355271030274</v>
      </c>
      <c r="H238" s="103" t="n">
        <v>0.794522230410219</v>
      </c>
      <c r="I238" s="102" t="n">
        <v>148</v>
      </c>
    </row>
    <row r="239" customFormat="false" ht="18.75" hidden="false" customHeight="true" outlineLevel="0" collapsed="false">
      <c r="A239" s="105" t="inlineStr">
        <is>
          <t xml:space="preserve">Retención 1er año general</t>
        </is>
      </c>
      <c r="B239" s="105" t="inlineStr">
        <is>
          <t xml:space="preserve">Región</t>
        </is>
      </c>
      <c r="C239" s="105" t="inlineStr">
        <is>
          <t xml:space="preserve">Todas las IES</t>
        </is>
      </c>
      <c r="D239" s="105" t="inlineStr">
        <is>
          <t xml:space="preserve">Metropolitana</t>
        </is>
      </c>
      <c r="E239" s="106" t="n">
        <v>0.746445513620751</v>
      </c>
      <c r="F239" s="106" t="n">
        <v>0.752238161345056</v>
      </c>
      <c r="G239" s="106" t="n">
        <v>0.761023384506622</v>
      </c>
      <c r="H239" s="106" t="n">
        <v>0.762706077455858</v>
      </c>
      <c r="I239" s="105" t="n">
        <v>149</v>
      </c>
    </row>
    <row r="240" customFormat="false" ht="18.75" hidden="false" customHeight="true" outlineLevel="0" collapsed="false">
      <c r="A240" s="102" t="inlineStr">
        <is>
          <t xml:space="preserve">Retención 1er año general</t>
        </is>
      </c>
      <c r="B240" s="102" t="inlineStr">
        <is>
          <t xml:space="preserve">Región</t>
        </is>
      </c>
      <c r="C240" s="102" t="inlineStr">
        <is>
          <t xml:space="preserve">Todas las IES</t>
        </is>
      </c>
      <c r="D240" s="102" t="inlineStr">
        <is>
          <t xml:space="preserve">O'Higgins</t>
        </is>
      </c>
      <c r="E240" s="103" t="n">
        <v>0.757054929741029</v>
      </c>
      <c r="F240" s="103" t="n">
        <v>0.767286952844153</v>
      </c>
      <c r="G240" s="103" t="n">
        <v>0.791582527367414</v>
      </c>
      <c r="H240" s="103" t="n">
        <v>0.781091523786525</v>
      </c>
      <c r="I240" s="102" t="n">
        <v>150</v>
      </c>
    </row>
    <row r="241" customFormat="false" ht="18.75" hidden="false" customHeight="true" outlineLevel="0" collapsed="false">
      <c r="A241" s="105" t="inlineStr">
        <is>
          <t xml:space="preserve">Retención 1er año general</t>
        </is>
      </c>
      <c r="B241" s="105" t="inlineStr">
        <is>
          <t xml:space="preserve">Región</t>
        </is>
      </c>
      <c r="C241" s="105" t="inlineStr">
        <is>
          <t xml:space="preserve">Todas las IES</t>
        </is>
      </c>
      <c r="D241" s="105" t="inlineStr">
        <is>
          <t xml:space="preserve">Maule</t>
        </is>
      </c>
      <c r="E241" s="106" t="n">
        <v>0.798663872150904</v>
      </c>
      <c r="F241" s="106" t="n">
        <v>0.788338610430731</v>
      </c>
      <c r="G241" s="106" t="n">
        <v>0.802471315092674</v>
      </c>
      <c r="H241" s="106" t="n">
        <v>0.815235528173534</v>
      </c>
      <c r="I241" s="105" t="n">
        <v>151</v>
      </c>
    </row>
    <row r="242" customFormat="false" ht="18.75" hidden="false" customHeight="true" outlineLevel="0" collapsed="false">
      <c r="A242" s="102" t="inlineStr">
        <is>
          <t xml:space="preserve">Retención 1er año general</t>
        </is>
      </c>
      <c r="B242" s="102" t="inlineStr">
        <is>
          <t xml:space="preserve">Región</t>
        </is>
      </c>
      <c r="C242" s="102" t="inlineStr">
        <is>
          <t xml:space="preserve">Todas las IES</t>
        </is>
      </c>
      <c r="D242" s="102" t="inlineStr">
        <is>
          <t xml:space="preserve">Ñuble</t>
        </is>
      </c>
      <c r="E242" s="103" t="n">
        <v>0.769851007887818</v>
      </c>
      <c r="F242" s="103" t="n">
        <v>0.790089679282566</v>
      </c>
      <c r="G242" s="103" t="n">
        <v>0.792373517489866</v>
      </c>
      <c r="H242" s="103" t="n">
        <v>0.806990589590935</v>
      </c>
      <c r="I242" s="102" t="n">
        <v>152</v>
      </c>
    </row>
    <row r="243" customFormat="false" ht="18.75" hidden="false" customHeight="true" outlineLevel="0" collapsed="false">
      <c r="A243" s="105" t="inlineStr">
        <is>
          <t xml:space="preserve">Retención 1er año general</t>
        </is>
      </c>
      <c r="B243" s="105" t="inlineStr">
        <is>
          <t xml:space="preserve">Región</t>
        </is>
      </c>
      <c r="C243" s="105" t="inlineStr">
        <is>
          <t xml:space="preserve">Todas las IES</t>
        </is>
      </c>
      <c r="D243" s="105" t="inlineStr">
        <is>
          <t xml:space="preserve">Biobío</t>
        </is>
      </c>
      <c r="E243" s="106" t="n">
        <v>0.781615560323943</v>
      </c>
      <c r="F243" s="106" t="n">
        <v>0.79111043225905</v>
      </c>
      <c r="G243" s="106" t="n">
        <v>0.791321366319073</v>
      </c>
      <c r="H243" s="106" t="n">
        <v>0.806570319818012</v>
      </c>
      <c r="I243" s="105" t="n">
        <v>153</v>
      </c>
    </row>
    <row r="244" customFormat="false" ht="18.75" hidden="false" customHeight="true" outlineLevel="0" collapsed="false">
      <c r="A244" s="102" t="inlineStr">
        <is>
          <t xml:space="preserve">Retención 1er año general</t>
        </is>
      </c>
      <c r="B244" s="102" t="inlineStr">
        <is>
          <t xml:space="preserve">Región</t>
        </is>
      </c>
      <c r="C244" s="102" t="inlineStr">
        <is>
          <t xml:space="preserve">Todas las IES</t>
        </is>
      </c>
      <c r="D244" s="102" t="inlineStr">
        <is>
          <t xml:space="preserve">La Araucanía</t>
        </is>
      </c>
      <c r="E244" s="103" t="n">
        <v>0.795416636449344</v>
      </c>
      <c r="F244" s="103" t="n">
        <v>0.787609445476254</v>
      </c>
      <c r="G244" s="103" t="n">
        <v>0.801323239391819</v>
      </c>
      <c r="H244" s="103" t="n">
        <v>0.829421301191231</v>
      </c>
      <c r="I244" s="102" t="n">
        <v>154</v>
      </c>
    </row>
    <row r="245" customFormat="false" ht="18.75" hidden="false" customHeight="true" outlineLevel="0" collapsed="false">
      <c r="A245" s="105" t="inlineStr">
        <is>
          <t xml:space="preserve">Retención 1er año general</t>
        </is>
      </c>
      <c r="B245" s="105" t="inlineStr">
        <is>
          <t xml:space="preserve">Región</t>
        </is>
      </c>
      <c r="C245" s="105" t="inlineStr">
        <is>
          <t xml:space="preserve">Todas las IES</t>
        </is>
      </c>
      <c r="D245" s="105" t="inlineStr">
        <is>
          <t xml:space="preserve">Los Ríos</t>
        </is>
      </c>
      <c r="E245" s="106" t="n">
        <v>0.774298056155508</v>
      </c>
      <c r="F245" s="106" t="n">
        <v>0.753874075108195</v>
      </c>
      <c r="G245" s="106" t="n">
        <v>0.792266556972439</v>
      </c>
      <c r="H245" s="106" t="n">
        <v>0.811242414564037</v>
      </c>
      <c r="I245" s="105" t="n">
        <v>155</v>
      </c>
    </row>
    <row r="246" customFormat="false" ht="18.75" hidden="false" customHeight="true" outlineLevel="0" collapsed="false">
      <c r="A246" s="102" t="inlineStr">
        <is>
          <t xml:space="preserve">Retención 1er año general</t>
        </is>
      </c>
      <c r="B246" s="102" t="inlineStr">
        <is>
          <t xml:space="preserve">Región</t>
        </is>
      </c>
      <c r="C246" s="102" t="inlineStr">
        <is>
          <t xml:space="preserve">Todas las IES</t>
        </is>
      </c>
      <c r="D246" s="102" t="inlineStr">
        <is>
          <t xml:space="preserve">Los Lagos</t>
        </is>
      </c>
      <c r="E246" s="103" t="n">
        <v>0.778093271381862</v>
      </c>
      <c r="F246" s="103" t="n">
        <v>0.783011206756537</v>
      </c>
      <c r="G246" s="103" t="n">
        <v>0.800887761572606</v>
      </c>
      <c r="H246" s="103" t="n">
        <v>0.799774344731817</v>
      </c>
      <c r="I246" s="102" t="n">
        <v>156</v>
      </c>
    </row>
    <row r="247" customFormat="false" ht="18.75" hidden="false" customHeight="true" outlineLevel="0" collapsed="false">
      <c r="A247" s="105" t="inlineStr">
        <is>
          <t xml:space="preserve">Retención 1er año general</t>
        </is>
      </c>
      <c r="B247" s="105" t="inlineStr">
        <is>
          <t xml:space="preserve">Región</t>
        </is>
      </c>
      <c r="C247" s="105" t="inlineStr">
        <is>
          <t xml:space="preserve">Todas las IES</t>
        </is>
      </c>
      <c r="D247" s="105" t="inlineStr">
        <is>
          <t xml:space="preserve">Aysén</t>
        </is>
      </c>
      <c r="E247" s="106" t="n">
        <v>0.706088992974239</v>
      </c>
      <c r="F247" s="106" t="n">
        <v>0.64200477326969</v>
      </c>
      <c r="G247" s="106" t="n">
        <v>0.772626931567329</v>
      </c>
      <c r="H247" s="106" t="n">
        <v>0.740324594257179</v>
      </c>
      <c r="I247" s="105" t="n">
        <v>157</v>
      </c>
    </row>
    <row r="248" customFormat="false" ht="18.75" hidden="false" customHeight="true" outlineLevel="0" collapsed="false">
      <c r="A248" s="102" t="inlineStr">
        <is>
          <t xml:space="preserve">Retención 1er año general</t>
        </is>
      </c>
      <c r="B248" s="102" t="inlineStr">
        <is>
          <t xml:space="preserve">Región</t>
        </is>
      </c>
      <c r="C248" s="102" t="inlineStr">
        <is>
          <t xml:space="preserve">Todas las IES</t>
        </is>
      </c>
      <c r="D248" s="102" t="inlineStr">
        <is>
          <t xml:space="preserve">Magallanes</t>
        </is>
      </c>
      <c r="E248" s="103" t="n">
        <v>0.747213779128673</v>
      </c>
      <c r="F248" s="103" t="n">
        <v>0.764375270211846</v>
      </c>
      <c r="G248" s="103" t="n">
        <v>0.781534460338102</v>
      </c>
      <c r="H248" s="103" t="n">
        <v>0.802958267300581</v>
      </c>
      <c r="I248" s="102" t="n">
        <v>158</v>
      </c>
    </row>
    <row r="249" customFormat="false" ht="18.75" hidden="false" customHeight="true" outlineLevel="0" collapsed="false">
      <c r="A249" s="105" t="inlineStr">
        <is>
          <t xml:space="preserve">Retención 1er año general</t>
        </is>
      </c>
      <c r="B249" s="105" t="inlineStr">
        <is>
          <t xml:space="preserve">Región</t>
        </is>
      </c>
      <c r="C249" s="105" t="inlineStr">
        <is>
          <t xml:space="preserve">Todas las IES</t>
        </is>
      </c>
      <c r="D249" s="105" t="inlineStr">
        <is>
          <t xml:space="preserve">Total general</t>
        </is>
      </c>
      <c r="E249" s="106" t="n">
        <v>0.759499035101445</v>
      </c>
      <c r="F249" s="106" t="n">
        <v>0.764871329889405</v>
      </c>
      <c r="G249" s="106" t="n">
        <v>0.772995111639583</v>
      </c>
      <c r="H249" s="106" t="n">
        <v>0.779086629494731</v>
      </c>
      <c r="I249" s="105" t="n">
        <v>159</v>
      </c>
    </row>
    <row r="250" customFormat="false" ht="18.75" hidden="false" customHeight="true" outlineLevel="0" collapsed="false">
      <c r="A250" s="102" t="inlineStr">
        <is>
          <t xml:space="preserve">Retención 1er año general</t>
        </is>
      </c>
      <c r="B250" s="102" t="inlineStr">
        <is>
          <t xml:space="preserve">Tipo de carrera × región</t>
        </is>
      </c>
      <c r="C250" s="102" t="inlineStr">
        <is>
          <t xml:space="preserve">Todas las IES</t>
        </is>
      </c>
      <c r="D250" s="102" t="inlineStr">
        <is>
          <t xml:space="preserve">Carreras Profesionales</t>
        </is>
      </c>
      <c r="E250" s="103" t="n">
        <v>0.804176673161448</v>
      </c>
      <c r="F250" s="103" t="n">
        <v>0.80886287378239</v>
      </c>
      <c r="G250" s="103" t="n">
        <v>0.817629743941472</v>
      </c>
      <c r="H250" s="103" t="n">
        <v>0.822057903836957</v>
      </c>
      <c r="I250" s="102" t="n">
        <v>163</v>
      </c>
    </row>
    <row r="251" customFormat="false" ht="18.75" hidden="false" customHeight="true" outlineLevel="0" collapsed="false">
      <c r="A251" s="105" t="inlineStr">
        <is>
          <t xml:space="preserve">Retención 1er año general</t>
        </is>
      </c>
      <c r="B251" s="105" t="inlineStr">
        <is>
          <t xml:space="preserve">Tipo de carrera × región</t>
        </is>
      </c>
      <c r="C251" s="105" t="inlineStr">
        <is>
          <t xml:space="preserve">Todas las IES</t>
        </is>
      </c>
      <c r="D251" s="105" t="inlineStr">
        <is>
          <t xml:space="preserve">Carreras Profesionales / Arica y Parinacota</t>
        </is>
      </c>
      <c r="E251" s="106" t="n">
        <v>0.827111111111111</v>
      </c>
      <c r="F251" s="106" t="n">
        <v>0.823100042936883</v>
      </c>
      <c r="G251" s="106" t="n">
        <v>0.813322019516334</v>
      </c>
      <c r="H251" s="106" t="n">
        <v>0.815195884447962</v>
      </c>
      <c r="I251" s="105" t="n">
        <v>164</v>
      </c>
    </row>
    <row r="252" customFormat="false" ht="18.75" hidden="false" customHeight="true" outlineLevel="0" collapsed="false">
      <c r="A252" s="102" t="inlineStr">
        <is>
          <t xml:space="preserve">Retención 1er año general</t>
        </is>
      </c>
      <c r="B252" s="102" t="inlineStr">
        <is>
          <t xml:space="preserve">Tipo de carrera × región</t>
        </is>
      </c>
      <c r="C252" s="102" t="inlineStr">
        <is>
          <t xml:space="preserve">Todas las IES</t>
        </is>
      </c>
      <c r="D252" s="102" t="inlineStr">
        <is>
          <t xml:space="preserve">Carreras Profesionales / Tarapacá</t>
        </is>
      </c>
      <c r="E252" s="103" t="n">
        <v>0.765815760266371</v>
      </c>
      <c r="F252" s="103" t="n">
        <v>0.784710318820706</v>
      </c>
      <c r="G252" s="103" t="n">
        <v>0.777444110777444</v>
      </c>
      <c r="H252" s="103" t="n">
        <v>0.761603375527426</v>
      </c>
      <c r="I252" s="102" t="n">
        <v>165</v>
      </c>
    </row>
    <row r="253" customFormat="false" ht="18.75" hidden="false" customHeight="true" outlineLevel="0" collapsed="false">
      <c r="A253" s="105" t="inlineStr">
        <is>
          <t xml:space="preserve">Retención 1er año general</t>
        </is>
      </c>
      <c r="B253" s="105" t="inlineStr">
        <is>
          <t xml:space="preserve">Tipo de carrera × región</t>
        </is>
      </c>
      <c r="C253" s="105" t="inlineStr">
        <is>
          <t xml:space="preserve">Todas las IES</t>
        </is>
      </c>
      <c r="D253" s="105" t="inlineStr">
        <is>
          <t xml:space="preserve">Carreras Profesionales / Antofagasta</t>
        </is>
      </c>
      <c r="E253" s="106" t="n">
        <v>0.767516525023607</v>
      </c>
      <c r="F253" s="106" t="n">
        <v>0.774928774928775</v>
      </c>
      <c r="G253" s="106" t="n">
        <v>0.783512064343164</v>
      </c>
      <c r="H253" s="106" t="n">
        <v>0.782116671979598</v>
      </c>
      <c r="I253" s="105" t="n">
        <v>166</v>
      </c>
    </row>
    <row r="254" customFormat="false" ht="18.75" hidden="false" customHeight="true" outlineLevel="0" collapsed="false">
      <c r="A254" s="102" t="inlineStr">
        <is>
          <t xml:space="preserve">Retención 1er año general</t>
        </is>
      </c>
      <c r="B254" s="102" t="inlineStr">
        <is>
          <t xml:space="preserve">Tipo de carrera × región</t>
        </is>
      </c>
      <c r="C254" s="102" t="inlineStr">
        <is>
          <t xml:space="preserve">Todas las IES</t>
        </is>
      </c>
      <c r="D254" s="102" t="inlineStr">
        <is>
          <t xml:space="preserve">Carreras Profesionales / Atacama</t>
        </is>
      </c>
      <c r="E254" s="103" t="n">
        <v>0.787749287749288</v>
      </c>
      <c r="F254" s="103" t="n">
        <v>0.86219739292365</v>
      </c>
      <c r="G254" s="103" t="n">
        <v>0.789691943127962</v>
      </c>
      <c r="H254" s="103" t="n">
        <v>0.799321650650085</v>
      </c>
      <c r="I254" s="102" t="n">
        <v>167</v>
      </c>
    </row>
    <row r="255" customFormat="false" ht="18.75" hidden="false" customHeight="true" outlineLevel="0" collapsed="false">
      <c r="A255" s="105" t="inlineStr">
        <is>
          <t xml:space="preserve">Retención 1er año general</t>
        </is>
      </c>
      <c r="B255" s="105" t="inlineStr">
        <is>
          <t xml:space="preserve">Tipo de carrera × región</t>
        </is>
      </c>
      <c r="C255" s="105" t="inlineStr">
        <is>
          <t xml:space="preserve">Todas las IES</t>
        </is>
      </c>
      <c r="D255" s="105" t="inlineStr">
        <is>
          <t xml:space="preserve">Carreras Profesionales / Coquimbo</t>
        </is>
      </c>
      <c r="E255" s="106" t="n">
        <v>0.811496888306584</v>
      </c>
      <c r="F255" s="106" t="n">
        <v>0.827098674521355</v>
      </c>
      <c r="G255" s="106" t="n">
        <v>0.832510229998589</v>
      </c>
      <c r="H255" s="106" t="n">
        <v>0.847956403269755</v>
      </c>
      <c r="I255" s="105" t="n">
        <v>168</v>
      </c>
    </row>
    <row r="256" customFormat="false" ht="18.75" hidden="false" customHeight="true" outlineLevel="0" collapsed="false">
      <c r="A256" s="102" t="inlineStr">
        <is>
          <t xml:space="preserve">Retención 1er año general</t>
        </is>
      </c>
      <c r="B256" s="102" t="inlineStr">
        <is>
          <t xml:space="preserve">Tipo de carrera × región</t>
        </is>
      </c>
      <c r="C256" s="102" t="inlineStr">
        <is>
          <t xml:space="preserve">Todas las IES</t>
        </is>
      </c>
      <c r="D256" s="102" t="inlineStr">
        <is>
          <t xml:space="preserve">Carreras Profesionales / Valparaíso</t>
        </is>
      </c>
      <c r="E256" s="103" t="n">
        <v>0.795108393551973</v>
      </c>
      <c r="F256" s="103" t="n">
        <v>0.804206557864973</v>
      </c>
      <c r="G256" s="103" t="n">
        <v>0.811422826503256</v>
      </c>
      <c r="H256" s="103" t="n">
        <v>0.82859778597786</v>
      </c>
      <c r="I256" s="102" t="n">
        <v>169</v>
      </c>
    </row>
    <row r="257" customFormat="false" ht="18.75" hidden="false" customHeight="true" outlineLevel="0" collapsed="false">
      <c r="A257" s="105" t="inlineStr">
        <is>
          <t xml:space="preserve">Retención 1er año general</t>
        </is>
      </c>
      <c r="B257" s="105" t="inlineStr">
        <is>
          <t xml:space="preserve">Tipo de carrera × región</t>
        </is>
      </c>
      <c r="C257" s="105" t="inlineStr">
        <is>
          <t xml:space="preserve">Todas las IES</t>
        </is>
      </c>
      <c r="D257" s="105" t="inlineStr">
        <is>
          <t xml:space="preserve">Carreras Profesionales / Metropolitana</t>
        </is>
      </c>
      <c r="E257" s="106" t="n">
        <v>0.792771670611134</v>
      </c>
      <c r="F257" s="106" t="n">
        <v>0.79858670777598</v>
      </c>
      <c r="G257" s="106" t="n">
        <v>0.80643216826018</v>
      </c>
      <c r="H257" s="106" t="n">
        <v>0.807789774248238</v>
      </c>
      <c r="I257" s="105" t="n">
        <v>170</v>
      </c>
    </row>
    <row r="258" customFormat="false" ht="18.75" hidden="false" customHeight="true" outlineLevel="0" collapsed="false">
      <c r="A258" s="102" t="inlineStr">
        <is>
          <t xml:space="preserve">Retención 1er año general</t>
        </is>
      </c>
      <c r="B258" s="102" t="inlineStr">
        <is>
          <t xml:space="preserve">Tipo de carrera × región</t>
        </is>
      </c>
      <c r="C258" s="102" t="inlineStr">
        <is>
          <t xml:space="preserve">Todas las IES</t>
        </is>
      </c>
      <c r="D258" s="102" t="inlineStr">
        <is>
          <t xml:space="preserve">Carreras Profesionales / O'Higgins</t>
        </is>
      </c>
      <c r="E258" s="103" t="n">
        <v>0.813299944351697</v>
      </c>
      <c r="F258" s="103" t="n">
        <v>0.811285846438483</v>
      </c>
      <c r="G258" s="103" t="n">
        <v>0.840254237288136</v>
      </c>
      <c r="H258" s="103" t="n">
        <v>0.825066886190574</v>
      </c>
      <c r="I258" s="102" t="n">
        <v>171</v>
      </c>
    </row>
    <row r="259" customFormat="false" ht="18.75" hidden="false" customHeight="true" outlineLevel="0" collapsed="false">
      <c r="A259" s="105" t="inlineStr">
        <is>
          <t xml:space="preserve">Retención 1er año general</t>
        </is>
      </c>
      <c r="B259" s="105" t="inlineStr">
        <is>
          <t xml:space="preserve">Tipo de carrera × región</t>
        </is>
      </c>
      <c r="C259" s="105" t="inlineStr">
        <is>
          <t xml:space="preserve">Todas las IES</t>
        </is>
      </c>
      <c r="D259" s="105" t="inlineStr">
        <is>
          <t xml:space="preserve">Carreras Profesionales / Maule</t>
        </is>
      </c>
      <c r="E259" s="106" t="n">
        <v>0.852341664644504</v>
      </c>
      <c r="F259" s="106" t="n">
        <v>0.845156965702156</v>
      </c>
      <c r="G259" s="106" t="n">
        <v>0.862010760628758</v>
      </c>
      <c r="H259" s="106" t="n">
        <v>0.861788617886179</v>
      </c>
      <c r="I259" s="105" t="n">
        <v>172</v>
      </c>
    </row>
    <row r="260" customFormat="false" ht="18.75" hidden="false" customHeight="true" outlineLevel="0" collapsed="false">
      <c r="A260" s="102" t="inlineStr">
        <is>
          <t xml:space="preserve">Retención 1er año general</t>
        </is>
      </c>
      <c r="B260" s="102" t="inlineStr">
        <is>
          <t xml:space="preserve">Tipo de carrera × región</t>
        </is>
      </c>
      <c r="C260" s="102" t="inlineStr">
        <is>
          <t xml:space="preserve">Todas las IES</t>
        </is>
      </c>
      <c r="D260" s="102" t="inlineStr">
        <is>
          <t xml:space="preserve">Carreras Profesionales / Ñuble</t>
        </is>
      </c>
      <c r="E260" s="103" t="n">
        <v>0.802537913958527</v>
      </c>
      <c r="F260" s="103" t="n">
        <v>0.820940404592674</v>
      </c>
      <c r="G260" s="103" t="n">
        <v>0.828173374613003</v>
      </c>
      <c r="H260" s="103" t="n">
        <v>0.838588989845003</v>
      </c>
      <c r="I260" s="102" t="n">
        <v>173</v>
      </c>
    </row>
    <row r="261" customFormat="false" ht="18.75" hidden="false" customHeight="true" outlineLevel="0" collapsed="false">
      <c r="A261" s="105" t="inlineStr">
        <is>
          <t xml:space="preserve">Retención 1er año general</t>
        </is>
      </c>
      <c r="B261" s="105" t="inlineStr">
        <is>
          <t xml:space="preserve">Tipo de carrera × región</t>
        </is>
      </c>
      <c r="C261" s="105" t="inlineStr">
        <is>
          <t xml:space="preserve">Todas las IES</t>
        </is>
      </c>
      <c r="D261" s="105" t="inlineStr">
        <is>
          <t xml:space="preserve">Carreras Profesionales / Biobío</t>
        </is>
      </c>
      <c r="E261" s="106" t="n">
        <v>0.829735499940695</v>
      </c>
      <c r="F261" s="106" t="n">
        <v>0.8355694692904</v>
      </c>
      <c r="G261" s="106" t="n">
        <v>0.844513396375099</v>
      </c>
      <c r="H261" s="106" t="n">
        <v>0.850482160077146</v>
      </c>
      <c r="I261" s="105" t="n">
        <v>174</v>
      </c>
    </row>
    <row r="262" customFormat="false" ht="18.75" hidden="false" customHeight="true" outlineLevel="0" collapsed="false">
      <c r="A262" s="102" t="inlineStr">
        <is>
          <t xml:space="preserve">Retención 1er año general</t>
        </is>
      </c>
      <c r="B262" s="102" t="inlineStr">
        <is>
          <t xml:space="preserve">Tipo de carrera × región</t>
        </is>
      </c>
      <c r="C262" s="102" t="inlineStr">
        <is>
          <t xml:space="preserve">Todas las IES</t>
        </is>
      </c>
      <c r="D262" s="102" t="inlineStr">
        <is>
          <t xml:space="preserve">Carreras Profesionales / La Araucanía</t>
        </is>
      </c>
      <c r="E262" s="103" t="n">
        <v>0.83719165085389</v>
      </c>
      <c r="F262" s="103" t="n">
        <v>0.832768237996281</v>
      </c>
      <c r="G262" s="103" t="n">
        <v>0.844842105263158</v>
      </c>
      <c r="H262" s="103" t="n">
        <v>0.867308497279196</v>
      </c>
      <c r="I262" s="102" t="n">
        <v>175</v>
      </c>
    </row>
    <row r="263" customFormat="false" ht="18.75" hidden="false" customHeight="true" outlineLevel="0" collapsed="false">
      <c r="A263" s="105" t="inlineStr">
        <is>
          <t xml:space="preserve">Retención 1er año general</t>
        </is>
      </c>
      <c r="B263" s="105" t="inlineStr">
        <is>
          <t xml:space="preserve">Tipo de carrera × región</t>
        </is>
      </c>
      <c r="C263" s="105" t="inlineStr">
        <is>
          <t xml:space="preserve">Todas las IES</t>
        </is>
      </c>
      <c r="D263" s="105" t="inlineStr">
        <is>
          <t xml:space="preserve">Carreras Profesionales / Los Ríos</t>
        </is>
      </c>
      <c r="E263" s="106" t="n">
        <v>0.83186057928326</v>
      </c>
      <c r="F263" s="106" t="n">
        <v>0.805164319248826</v>
      </c>
      <c r="G263" s="106" t="n">
        <v>0.831144465290807</v>
      </c>
      <c r="H263" s="106" t="n">
        <v>0.853440951571793</v>
      </c>
      <c r="I263" s="105" t="n">
        <v>176</v>
      </c>
    </row>
    <row r="264" customFormat="false" ht="18.75" hidden="false" customHeight="true" outlineLevel="0" collapsed="false">
      <c r="A264" s="102" t="inlineStr">
        <is>
          <t xml:space="preserve">Retención 1er año general</t>
        </is>
      </c>
      <c r="B264" s="102" t="inlineStr">
        <is>
          <t xml:space="preserve">Tipo de carrera × región</t>
        </is>
      </c>
      <c r="C264" s="102" t="inlineStr">
        <is>
          <t xml:space="preserve">Todas las IES</t>
        </is>
      </c>
      <c r="D264" s="102" t="inlineStr">
        <is>
          <t xml:space="preserve">Carreras Profesionales / Los Lagos</t>
        </is>
      </c>
      <c r="E264" s="103" t="n">
        <v>0.840096349823976</v>
      </c>
      <c r="F264" s="103" t="n">
        <v>0.820166000614817</v>
      </c>
      <c r="G264" s="103" t="n">
        <v>0.838895120583287</v>
      </c>
      <c r="H264" s="103" t="n">
        <v>0.837966748432816</v>
      </c>
      <c r="I264" s="102" t="n">
        <v>177</v>
      </c>
    </row>
    <row r="265" customFormat="false" ht="18.75" hidden="false" customHeight="true" outlineLevel="0" collapsed="false">
      <c r="A265" s="105" t="inlineStr">
        <is>
          <t xml:space="preserve">Retención 1er año general</t>
        </is>
      </c>
      <c r="B265" s="105" t="inlineStr">
        <is>
          <t xml:space="preserve">Tipo de carrera × región</t>
        </is>
      </c>
      <c r="C265" s="105" t="inlineStr">
        <is>
          <t xml:space="preserve">Todas las IES</t>
        </is>
      </c>
      <c r="D265" s="105" t="inlineStr">
        <is>
          <t xml:space="preserve">Carreras Profesionales / Aysén</t>
        </is>
      </c>
      <c r="E265" s="106" t="n">
        <v>0.728033472803347</v>
      </c>
      <c r="F265" s="106" t="n">
        <v>0.72318339100346</v>
      </c>
      <c r="G265" s="106" t="n">
        <v>0.773913043478261</v>
      </c>
      <c r="H265" s="106" t="n">
        <v>0.75366568914956</v>
      </c>
      <c r="I265" s="105" t="n">
        <v>178</v>
      </c>
    </row>
    <row r="266" customFormat="false" ht="18.75" hidden="false" customHeight="true" outlineLevel="0" collapsed="false">
      <c r="A266" s="102" t="inlineStr">
        <is>
          <t xml:space="preserve">Retención 1er año general</t>
        </is>
      </c>
      <c r="B266" s="102" t="inlineStr">
        <is>
          <t xml:space="preserve">Tipo de carrera × región</t>
        </is>
      </c>
      <c r="C266" s="102" t="inlineStr">
        <is>
          <t xml:space="preserve">Todas las IES</t>
        </is>
      </c>
      <c r="D266" s="102" t="inlineStr">
        <is>
          <t xml:space="preserve">Carreras Profesionales / Magallanes</t>
        </is>
      </c>
      <c r="E266" s="103" t="n">
        <v>0.821002386634845</v>
      </c>
      <c r="F266" s="103" t="n">
        <v>0.837078651685393</v>
      </c>
      <c r="G266" s="103" t="n">
        <v>0.848540145985402</v>
      </c>
      <c r="H266" s="103" t="n">
        <v>0.854721549636804</v>
      </c>
      <c r="I266" s="102" t="n">
        <v>179</v>
      </c>
    </row>
    <row r="267" customFormat="false" ht="18.75" hidden="false" customHeight="true" outlineLevel="0" collapsed="false">
      <c r="A267" s="105" t="inlineStr">
        <is>
          <t xml:space="preserve">Retención 1er año general</t>
        </is>
      </c>
      <c r="B267" s="105" t="inlineStr">
        <is>
          <t xml:space="preserve">Tipo de carrera × región</t>
        </is>
      </c>
      <c r="C267" s="105" t="inlineStr">
        <is>
          <t xml:space="preserve">Todas las IES</t>
        </is>
      </c>
      <c r="D267" s="105" t="inlineStr">
        <is>
          <t xml:space="preserve">Carreras Técnicas</t>
        </is>
      </c>
      <c r="E267" s="106" t="n">
        <v>0.698923327394483</v>
      </c>
      <c r="F267" s="106" t="n">
        <v>0.697393381047031</v>
      </c>
      <c r="G267" s="106" t="n">
        <v>0.701269775665312</v>
      </c>
      <c r="H267" s="106" t="n">
        <v>0.692023888272945</v>
      </c>
      <c r="I267" s="105" t="n">
        <v>180</v>
      </c>
    </row>
    <row r="268" customFormat="false" ht="18.75" hidden="false" customHeight="true" outlineLevel="0" collapsed="false">
      <c r="A268" s="102" t="inlineStr">
        <is>
          <t xml:space="preserve">Retención 1er año general</t>
        </is>
      </c>
      <c r="B268" s="102" t="inlineStr">
        <is>
          <t xml:space="preserve">Tipo de carrera × región</t>
        </is>
      </c>
      <c r="C268" s="102" t="inlineStr">
        <is>
          <t xml:space="preserve">Todas las IES</t>
        </is>
      </c>
      <c r="D268" s="102" t="inlineStr">
        <is>
          <t xml:space="preserve">Carreras Técnicas / Arica y Parinacota</t>
        </is>
      </c>
      <c r="E268" s="103" t="n">
        <v>0.72620320855615</v>
      </c>
      <c r="F268" s="103" t="n">
        <v>0.701234567901235</v>
      </c>
      <c r="G268" s="103" t="n">
        <v>0.70296627387241</v>
      </c>
      <c r="H268" s="103" t="n">
        <v>0.705244122965642</v>
      </c>
      <c r="I268" s="102" t="n">
        <v>181</v>
      </c>
    </row>
    <row r="269" customFormat="false" ht="18.75" hidden="false" customHeight="true" outlineLevel="0" collapsed="false">
      <c r="A269" s="105" t="inlineStr">
        <is>
          <t xml:space="preserve">Retención 1er año general</t>
        </is>
      </c>
      <c r="B269" s="105" t="inlineStr">
        <is>
          <t xml:space="preserve">Tipo de carrera × región</t>
        </is>
      </c>
      <c r="C269" s="105" t="inlineStr">
        <is>
          <t xml:space="preserve">Todas las IES</t>
        </is>
      </c>
      <c r="D269" s="105" t="inlineStr">
        <is>
          <t xml:space="preserve">Carreras Técnicas / Tarapacá</t>
        </is>
      </c>
      <c r="E269" s="106" t="n">
        <v>0.67766823831976</v>
      </c>
      <c r="F269" s="106" t="n">
        <v>0.679607990953637</v>
      </c>
      <c r="G269" s="106" t="n">
        <v>0.686685962373372</v>
      </c>
      <c r="H269" s="106" t="n">
        <v>0.695859114707282</v>
      </c>
      <c r="I269" s="105" t="n">
        <v>182</v>
      </c>
    </row>
    <row r="270" customFormat="false" ht="18.75" hidden="false" customHeight="true" outlineLevel="0" collapsed="false">
      <c r="A270" s="102" t="inlineStr">
        <is>
          <t xml:space="preserve">Retención 1er año general</t>
        </is>
      </c>
      <c r="B270" s="102" t="inlineStr">
        <is>
          <t xml:space="preserve">Tipo de carrera × región</t>
        </is>
      </c>
      <c r="C270" s="102" t="inlineStr">
        <is>
          <t xml:space="preserve">Todas las IES</t>
        </is>
      </c>
      <c r="D270" s="102" t="inlineStr">
        <is>
          <t xml:space="preserve">Carreras Técnicas / Antofagasta</t>
        </is>
      </c>
      <c r="E270" s="103" t="n">
        <v>0.677083333333333</v>
      </c>
      <c r="F270" s="103" t="n">
        <v>0.663971248876909</v>
      </c>
      <c r="G270" s="103" t="n">
        <v>0.684618698836708</v>
      </c>
      <c r="H270" s="103" t="n">
        <v>0.672363753627862</v>
      </c>
      <c r="I270" s="102" t="n">
        <v>183</v>
      </c>
    </row>
    <row r="271" customFormat="false" ht="18.75" hidden="false" customHeight="true" outlineLevel="0" collapsed="false">
      <c r="A271" s="105" t="inlineStr">
        <is>
          <t xml:space="preserve">Retención 1er año general</t>
        </is>
      </c>
      <c r="B271" s="105" t="inlineStr">
        <is>
          <t xml:space="preserve">Tipo de carrera × región</t>
        </is>
      </c>
      <c r="C271" s="105" t="inlineStr">
        <is>
          <t xml:space="preserve">Todas las IES</t>
        </is>
      </c>
      <c r="D271" s="105" t="inlineStr">
        <is>
          <t xml:space="preserve">Carreras Técnicas / Atacama</t>
        </is>
      </c>
      <c r="E271" s="106" t="n">
        <v>0.692987012987013</v>
      </c>
      <c r="F271" s="106" t="n">
        <v>0.701405719825497</v>
      </c>
      <c r="G271" s="106" t="n">
        <v>0.699900793650794</v>
      </c>
      <c r="H271" s="106" t="n">
        <v>0.682958199356913</v>
      </c>
      <c r="I271" s="105" t="n">
        <v>184</v>
      </c>
    </row>
    <row r="272" customFormat="false" ht="18.75" hidden="false" customHeight="true" outlineLevel="0" collapsed="false">
      <c r="A272" s="102" t="inlineStr">
        <is>
          <t xml:space="preserve">Retención 1er año general</t>
        </is>
      </c>
      <c r="B272" s="102" t="inlineStr">
        <is>
          <t xml:space="preserve">Tipo de carrera × región</t>
        </is>
      </c>
      <c r="C272" s="102" t="inlineStr">
        <is>
          <t xml:space="preserve">Todas las IES</t>
        </is>
      </c>
      <c r="D272" s="102" t="inlineStr">
        <is>
          <t xml:space="preserve">Carreras Técnicas / Coquimbo</t>
        </is>
      </c>
      <c r="E272" s="103" t="n">
        <v>0.732899539755594</v>
      </c>
      <c r="F272" s="103" t="n">
        <v>0.74124761298536</v>
      </c>
      <c r="G272" s="103" t="n">
        <v>0.712156139542032</v>
      </c>
      <c r="H272" s="103" t="n">
        <v>0.70896579639749</v>
      </c>
      <c r="I272" s="102" t="n">
        <v>185</v>
      </c>
    </row>
    <row r="273" customFormat="false" ht="18.75" hidden="false" customHeight="true" outlineLevel="0" collapsed="false">
      <c r="A273" s="105" t="inlineStr">
        <is>
          <t xml:space="preserve">Retención 1er año general</t>
        </is>
      </c>
      <c r="B273" s="105" t="inlineStr">
        <is>
          <t xml:space="preserve">Tipo de carrera × región</t>
        </is>
      </c>
      <c r="C273" s="105" t="inlineStr">
        <is>
          <t xml:space="preserve">Todas las IES</t>
        </is>
      </c>
      <c r="D273" s="105" t="inlineStr">
        <is>
          <t xml:space="preserve">Carreras Técnicas / Valparaíso</t>
        </is>
      </c>
      <c r="E273" s="106" t="n">
        <v>0.730590368093324</v>
      </c>
      <c r="F273" s="106" t="n">
        <v>0.739871231155779</v>
      </c>
      <c r="G273" s="106" t="n">
        <v>0.736602870813397</v>
      </c>
      <c r="H273" s="106" t="n">
        <v>0.726671565025716</v>
      </c>
      <c r="I273" s="105" t="n">
        <v>186</v>
      </c>
    </row>
    <row r="274" customFormat="false" ht="18.75" hidden="false" customHeight="true" outlineLevel="0" collapsed="false">
      <c r="A274" s="102" t="inlineStr">
        <is>
          <t xml:space="preserve">Retención 1er año general</t>
        </is>
      </c>
      <c r="B274" s="102" t="inlineStr">
        <is>
          <t xml:space="preserve">Tipo de carrera × región</t>
        </is>
      </c>
      <c r="C274" s="102" t="inlineStr">
        <is>
          <t xml:space="preserve">Todas las IES</t>
        </is>
      </c>
      <c r="D274" s="102" t="inlineStr">
        <is>
          <t xml:space="preserve">Carreras Técnicas / Metropolitana</t>
        </is>
      </c>
      <c r="E274" s="103" t="n">
        <v>0.673936750272628</v>
      </c>
      <c r="F274" s="103" t="n">
        <v>0.668257052638884</v>
      </c>
      <c r="G274" s="103" t="n">
        <v>0.673973333333333</v>
      </c>
      <c r="H274" s="103" t="n">
        <v>0.665441034920879</v>
      </c>
      <c r="I274" s="102" t="n">
        <v>187</v>
      </c>
    </row>
    <row r="275" customFormat="false" ht="18.75" hidden="false" customHeight="true" outlineLevel="0" collapsed="false">
      <c r="A275" s="105" t="inlineStr">
        <is>
          <t xml:space="preserve">Retención 1er año general</t>
        </is>
      </c>
      <c r="B275" s="105" t="inlineStr">
        <is>
          <t xml:space="preserve">Tipo de carrera × región</t>
        </is>
      </c>
      <c r="C275" s="105" t="inlineStr">
        <is>
          <t xml:space="preserve">Todas las IES</t>
        </is>
      </c>
      <c r="D275" s="105" t="inlineStr">
        <is>
          <t xml:space="preserve">Carreras Técnicas / O'Higgins</t>
        </is>
      </c>
      <c r="E275" s="106" t="n">
        <v>0.716763005780347</v>
      </c>
      <c r="F275" s="106" t="n">
        <v>0.730229840280483</v>
      </c>
      <c r="G275" s="106" t="n">
        <v>0.742589038174451</v>
      </c>
      <c r="H275" s="106" t="n">
        <v>0.718667835232252</v>
      </c>
      <c r="I275" s="105" t="n">
        <v>188</v>
      </c>
    </row>
    <row r="276" customFormat="false" ht="18.75" hidden="false" customHeight="true" outlineLevel="0" collapsed="false">
      <c r="A276" s="102" t="inlineStr">
        <is>
          <t xml:space="preserve">Retención 1er año general</t>
        </is>
      </c>
      <c r="B276" s="102" t="inlineStr">
        <is>
          <t xml:space="preserve">Tipo de carrera × región</t>
        </is>
      </c>
      <c r="C276" s="102" t="inlineStr">
        <is>
          <t xml:space="preserve">Todas las IES</t>
        </is>
      </c>
      <c r="D276" s="102" t="inlineStr">
        <is>
          <t xml:space="preserve">Carreras Técnicas / Maule</t>
        </is>
      </c>
      <c r="E276" s="103" t="n">
        <v>0.735695986336465</v>
      </c>
      <c r="F276" s="103" t="n">
        <v>0.723035439137134</v>
      </c>
      <c r="G276" s="103" t="n">
        <v>0.727381585949973</v>
      </c>
      <c r="H276" s="103" t="n">
        <v>0.732692649937711</v>
      </c>
      <c r="I276" s="102" t="n">
        <v>189</v>
      </c>
    </row>
    <row r="277" customFormat="false" ht="18.75" hidden="false" customHeight="true" outlineLevel="0" collapsed="false">
      <c r="A277" s="105" t="inlineStr">
        <is>
          <t xml:space="preserve">Retención 1er año general</t>
        </is>
      </c>
      <c r="B277" s="105" t="inlineStr">
        <is>
          <t xml:space="preserve">Tipo de carrera × región</t>
        </is>
      </c>
      <c r="C277" s="105" t="inlineStr">
        <is>
          <t xml:space="preserve">Todas las IES</t>
        </is>
      </c>
      <c r="D277" s="105" t="inlineStr">
        <is>
          <t xml:space="preserve">Carreras Técnicas / Ñuble</t>
        </is>
      </c>
      <c r="E277" s="106" t="n">
        <v>0.727162489894907</v>
      </c>
      <c r="F277" s="106" t="n">
        <v>0.751454981170832</v>
      </c>
      <c r="G277" s="106" t="n">
        <v>0.742549371633752</v>
      </c>
      <c r="H277" s="106" t="n">
        <v>0.726279863481229</v>
      </c>
      <c r="I277" s="105" t="n">
        <v>190</v>
      </c>
    </row>
    <row r="278" customFormat="false" ht="18.75" hidden="false" customHeight="true" outlineLevel="0" collapsed="false">
      <c r="A278" s="102" t="inlineStr">
        <is>
          <t xml:space="preserve">Retención 1er año general</t>
        </is>
      </c>
      <c r="B278" s="102" t="inlineStr">
        <is>
          <t xml:space="preserve">Tipo de carrera × región</t>
        </is>
      </c>
      <c r="C278" s="102" t="inlineStr">
        <is>
          <t xml:space="preserve">Todas las IES</t>
        </is>
      </c>
      <c r="D278" s="102" t="inlineStr">
        <is>
          <t xml:space="preserve">Carreras Técnicas / Biobío</t>
        </is>
      </c>
      <c r="E278" s="103" t="n">
        <v>0.714178856382979</v>
      </c>
      <c r="F278" s="103" t="n">
        <v>0.72016493537388</v>
      </c>
      <c r="G278" s="103" t="n">
        <v>0.704202629668468</v>
      </c>
      <c r="H278" s="103" t="n">
        <v>0.707058566433567</v>
      </c>
      <c r="I278" s="102" t="n">
        <v>191</v>
      </c>
    </row>
    <row r="279" customFormat="false" ht="18.75" hidden="false" customHeight="true" outlineLevel="0" collapsed="false">
      <c r="A279" s="105" t="inlineStr">
        <is>
          <t xml:space="preserve">Retención 1er año general</t>
        </is>
      </c>
      <c r="B279" s="105" t="inlineStr">
        <is>
          <t xml:space="preserve">Tipo de carrera × región</t>
        </is>
      </c>
      <c r="C279" s="105" t="inlineStr">
        <is>
          <t xml:space="preserve">Todas las IES</t>
        </is>
      </c>
      <c r="D279" s="105" t="inlineStr">
        <is>
          <t xml:space="preserve">Carreras Técnicas / La Araucanía</t>
        </is>
      </c>
      <c r="E279" s="106" t="n">
        <v>0.739292997960571</v>
      </c>
      <c r="F279" s="106" t="n">
        <v>0.718017866172257</v>
      </c>
      <c r="G279" s="106" t="n">
        <v>0.734844830358579</v>
      </c>
      <c r="H279" s="106" t="n">
        <v>0.751241632476787</v>
      </c>
      <c r="I279" s="105" t="n">
        <v>192</v>
      </c>
    </row>
    <row r="280" customFormat="false" ht="18.75" hidden="false" customHeight="true" outlineLevel="0" collapsed="false">
      <c r="A280" s="102" t="inlineStr">
        <is>
          <t xml:space="preserve">Retención 1er año general</t>
        </is>
      </c>
      <c r="B280" s="102" t="inlineStr">
        <is>
          <t xml:space="preserve">Tipo de carrera × región</t>
        </is>
      </c>
      <c r="C280" s="102" t="inlineStr">
        <is>
          <t xml:space="preserve">Todas las IES</t>
        </is>
      </c>
      <c r="D280" s="102" t="inlineStr">
        <is>
          <t xml:space="preserve">Carreras Técnicas / Los Ríos</t>
        </is>
      </c>
      <c r="E280" s="103" t="n">
        <v>0.676910299003322</v>
      </c>
      <c r="F280" s="103" t="n">
        <v>0.656842955187727</v>
      </c>
      <c r="G280" s="103" t="n">
        <v>0.717548076923077</v>
      </c>
      <c r="H280" s="103" t="n">
        <v>0.683397683397683</v>
      </c>
      <c r="I280" s="102" t="n">
        <v>193</v>
      </c>
    </row>
    <row r="281" customFormat="false" ht="18.75" hidden="false" customHeight="true" outlineLevel="0" collapsed="false">
      <c r="A281" s="105" t="inlineStr">
        <is>
          <t xml:space="preserve">Retención 1er año general</t>
        </is>
      </c>
      <c r="B281" s="105" t="inlineStr">
        <is>
          <t xml:space="preserve">Tipo de carrera × región</t>
        </is>
      </c>
      <c r="C281" s="105" t="inlineStr">
        <is>
          <t xml:space="preserve">Todas las IES</t>
        </is>
      </c>
      <c r="D281" s="105" t="inlineStr">
        <is>
          <t xml:space="preserve">Carreras Técnicas / Los Lagos</t>
        </is>
      </c>
      <c r="E281" s="106" t="n">
        <v>0.72433734939759</v>
      </c>
      <c r="F281" s="106" t="n">
        <v>0.741391184573003</v>
      </c>
      <c r="G281" s="106" t="n">
        <v>0.75145878920496</v>
      </c>
      <c r="H281" s="106" t="n">
        <v>0.732791586998088</v>
      </c>
      <c r="I281" s="105" t="n">
        <v>194</v>
      </c>
    </row>
    <row r="282" customFormat="false" ht="18.75" hidden="false" customHeight="true" outlineLevel="0" collapsed="false">
      <c r="A282" s="102" t="inlineStr">
        <is>
          <t xml:space="preserve">Retención 1er año general</t>
        </is>
      </c>
      <c r="B282" s="102" t="inlineStr">
        <is>
          <t xml:space="preserve">Tipo de carrera × región</t>
        </is>
      </c>
      <c r="C282" s="102" t="inlineStr">
        <is>
          <t xml:space="preserve">Todas las IES</t>
        </is>
      </c>
      <c r="D282" s="102" t="inlineStr">
        <is>
          <t xml:space="preserve">Carreras Técnicas / Aysén</t>
        </is>
      </c>
      <c r="E282" s="103" t="n">
        <v>0.697560975609756</v>
      </c>
      <c r="F282" s="103" t="n">
        <v>0.599271402550091</v>
      </c>
      <c r="G282" s="103" t="n">
        <v>0.772189349112426</v>
      </c>
      <c r="H282" s="103" t="n">
        <v>0.730434782608696</v>
      </c>
      <c r="I282" s="102" t="n">
        <v>195</v>
      </c>
    </row>
    <row r="283" customFormat="false" ht="18.75" hidden="false" customHeight="true" outlineLevel="0" collapsed="false">
      <c r="A283" s="105" t="inlineStr">
        <is>
          <t xml:space="preserve">Retención 1er año general</t>
        </is>
      </c>
      <c r="B283" s="105" t="inlineStr">
        <is>
          <t xml:space="preserve">Tipo de carrera × región</t>
        </is>
      </c>
      <c r="C283" s="105" t="inlineStr">
        <is>
          <t xml:space="preserve">Todas las IES</t>
        </is>
      </c>
      <c r="D283" s="105" t="inlineStr">
        <is>
          <t xml:space="preserve">Carreras Técnicas / Magallanes</t>
        </is>
      </c>
      <c r="E283" s="106" t="n">
        <v>0.692781690140845</v>
      </c>
      <c r="F283" s="106" t="n">
        <v>0.702008032128514</v>
      </c>
      <c r="G283" s="106" t="n">
        <v>0.720891824938068</v>
      </c>
      <c r="H283" s="106" t="n">
        <v>0.704892966360856</v>
      </c>
      <c r="I283" s="105" t="n">
        <v>196</v>
      </c>
    </row>
    <row r="284" customFormat="false" ht="18.75" hidden="false" customHeight="true" outlineLevel="0" collapsed="false">
      <c r="A284" s="102" t="inlineStr">
        <is>
          <t xml:space="preserve">Retención 1er año general</t>
        </is>
      </c>
      <c r="B284" s="102" t="inlineStr">
        <is>
          <t xml:space="preserve">Tipo de carrera × región</t>
        </is>
      </c>
      <c r="C284" s="102" t="inlineStr">
        <is>
          <t xml:space="preserve">Todas las IES</t>
        </is>
      </c>
      <c r="D284" s="102" t="inlineStr">
        <is>
          <t xml:space="preserve">Total general</t>
        </is>
      </c>
      <c r="E284" s="103" t="n">
        <v>0.759499035101445</v>
      </c>
      <c r="F284" s="103" t="n">
        <v>0.764871329889405</v>
      </c>
      <c r="G284" s="103" t="n">
        <v>0.772995111639583</v>
      </c>
      <c r="H284" s="103" t="n">
        <v>0.779086629494731</v>
      </c>
      <c r="I284" s="102" t="n">
        <v>197</v>
      </c>
    </row>
    <row r="285" customFormat="false" ht="18.75" hidden="false" customHeight="true" outlineLevel="0" collapsed="false">
      <c r="A285" s="105" t="inlineStr">
        <is>
          <t xml:space="preserve">Retención 1er año Origen Sec.</t>
        </is>
      </c>
      <c r="B285" s="105" t="inlineStr">
        <is>
          <t xml:space="preserve">Origen secundario: dependencia</t>
        </is>
      </c>
      <c r="C285" s="105" t="inlineStr">
        <is>
          <t xml:space="preserve">Todas las IES / otro subsistema</t>
        </is>
      </c>
      <c r="D285" s="105" t="inlineStr">
        <is>
          <t xml:space="preserve">Público</t>
        </is>
      </c>
      <c r="E285" s="106" t="n">
        <v>0.739958639467093</v>
      </c>
      <c r="F285" s="106" t="n">
        <v>0.743637113866122</v>
      </c>
      <c r="G285" s="106" t="n">
        <v>0.75372878370737</v>
      </c>
      <c r="H285" s="106" t="n">
        <v>0.756969122640764</v>
      </c>
      <c r="I285" s="105" t="n">
        <v>7</v>
      </c>
    </row>
    <row r="286" customFormat="false" ht="18.75" hidden="false" customHeight="true" outlineLevel="0" collapsed="false">
      <c r="A286" s="102" t="inlineStr">
        <is>
          <t xml:space="preserve">Retención 1er año Origen Sec.</t>
        </is>
      </c>
      <c r="B286" s="102" t="inlineStr">
        <is>
          <t xml:space="preserve">Origen secundario: dependencia</t>
        </is>
      </c>
      <c r="C286" s="102" t="inlineStr">
        <is>
          <t xml:space="preserve">Todas las IES / otro subsistema</t>
        </is>
      </c>
      <c r="D286" s="102" t="inlineStr">
        <is>
          <t xml:space="preserve">Particular Subvencionado</t>
        </is>
      </c>
      <c r="E286" s="103" t="n">
        <v>0.778687218013847</v>
      </c>
      <c r="F286" s="103" t="n">
        <v>0.784849823321555</v>
      </c>
      <c r="G286" s="103" t="n">
        <v>0.791441764880658</v>
      </c>
      <c r="H286" s="103" t="n">
        <v>0.800994282228179</v>
      </c>
      <c r="I286" s="102" t="n">
        <v>8</v>
      </c>
    </row>
    <row r="287" customFormat="false" ht="18.75" hidden="false" customHeight="true" outlineLevel="0" collapsed="false">
      <c r="A287" s="105" t="inlineStr">
        <is>
          <t xml:space="preserve">Retención 1er año Origen Sec.</t>
        </is>
      </c>
      <c r="B287" s="105" t="inlineStr">
        <is>
          <t xml:space="preserve">Origen secundario: dependencia</t>
        </is>
      </c>
      <c r="C287" s="105" t="inlineStr">
        <is>
          <t xml:space="preserve">Todas las IES / otro subsistema</t>
        </is>
      </c>
      <c r="D287" s="105" t="inlineStr">
        <is>
          <t xml:space="preserve">Particular Pagado</t>
        </is>
      </c>
      <c r="E287" s="106" t="n">
        <v>0.824673542214031</v>
      </c>
      <c r="F287" s="106" t="n">
        <v>0.838902724603204</v>
      </c>
      <c r="G287" s="106" t="n">
        <v>0.851141620653634</v>
      </c>
      <c r="H287" s="106" t="n">
        <v>0.857196955352747</v>
      </c>
      <c r="I287" s="105" t="n">
        <v>9</v>
      </c>
    </row>
    <row r="288" customFormat="false" ht="18.75" hidden="false" customHeight="true" outlineLevel="0" collapsed="false">
      <c r="A288" s="102" t="inlineStr">
        <is>
          <t xml:space="preserve">Retención 1er año Origen Sec.</t>
        </is>
      </c>
      <c r="B288" s="102" t="inlineStr">
        <is>
          <t xml:space="preserve">Origen secundario: dependencia</t>
        </is>
      </c>
      <c r="C288" s="102" t="inlineStr">
        <is>
          <t xml:space="preserve">Todas las IES / otro subsistema</t>
        </is>
      </c>
      <c r="D288" s="102" t="inlineStr">
        <is>
          <t xml:space="preserve">Administración Delegada</t>
        </is>
      </c>
      <c r="E288" s="103" t="n">
        <v>0.75887038377987</v>
      </c>
      <c r="F288" s="103" t="n">
        <v>0.760180253994265</v>
      </c>
      <c r="G288" s="103" t="n">
        <v>0.769637704392434</v>
      </c>
      <c r="H288" s="103" t="n">
        <v>0.776728131528749</v>
      </c>
      <c r="I288" s="102" t="n">
        <v>10</v>
      </c>
    </row>
    <row r="289" customFormat="false" ht="18.75" hidden="false" customHeight="true" outlineLevel="0" collapsed="false">
      <c r="A289" s="105" t="inlineStr">
        <is>
          <t xml:space="preserve">Retención 1er año Origen Sec.</t>
        </is>
      </c>
      <c r="B289" s="105" t="inlineStr">
        <is>
          <t xml:space="preserve">Origen secundario: dependencia</t>
        </is>
      </c>
      <c r="C289" s="105" t="inlineStr">
        <is>
          <t xml:space="preserve">Todas las IES / otro subsistema</t>
        </is>
      </c>
      <c r="D289" s="105" t="inlineStr">
        <is>
          <t xml:space="preserve">Sin información</t>
        </is>
      </c>
      <c r="E289" s="106" t="n">
        <v>0.673871326128674</v>
      </c>
      <c r="F289" s="106" t="n">
        <v>0.67353642042893</v>
      </c>
      <c r="G289" s="106" t="n">
        <v>0.680367444193629</v>
      </c>
      <c r="H289" s="106" t="n">
        <v>0.679959994999375</v>
      </c>
      <c r="I289" s="105" t="n">
        <v>11</v>
      </c>
    </row>
    <row r="290" customFormat="false" ht="18.75" hidden="false" customHeight="true" outlineLevel="0" collapsed="false">
      <c r="A290" s="102" t="inlineStr">
        <is>
          <t xml:space="preserve">Retención 1er año Origen Sec.</t>
        </is>
      </c>
      <c r="B290" s="102" t="inlineStr">
        <is>
          <t xml:space="preserve">Origen secundario: dependencia</t>
        </is>
      </c>
      <c r="C290" s="102" t="inlineStr">
        <is>
          <t xml:space="preserve">Todas las IES / otro subsistema</t>
        </is>
      </c>
      <c r="D290" s="102" t="inlineStr">
        <is>
          <t xml:space="preserve">Retención 1er año - Total</t>
        </is>
      </c>
      <c r="E290" s="103" t="n">
        <v>0.759499035101445</v>
      </c>
      <c r="F290" s="103" t="n">
        <v>0.764871329889405</v>
      </c>
      <c r="G290" s="103" t="n">
        <v>0.772995111639583</v>
      </c>
      <c r="H290" s="103" t="n">
        <v>0.779086629494731</v>
      </c>
      <c r="I290" s="102" t="n">
        <v>12</v>
      </c>
    </row>
    <row r="291" customFormat="false" ht="18.75" hidden="false" customHeight="true" outlineLevel="0" collapsed="false">
      <c r="A291" s="105" t="inlineStr">
        <is>
          <t xml:space="preserve">Retención 1er año Origen Sec.</t>
        </is>
      </c>
      <c r="B291" s="105" t="inlineStr">
        <is>
          <t xml:space="preserve">Origen secundario: dependencia × institución</t>
        </is>
      </c>
      <c r="C291" s="105" t="inlineStr">
        <is>
          <t xml:space="preserve">Todas las IES / otro subsistema</t>
        </is>
      </c>
      <c r="D291" s="105" t="inlineStr">
        <is>
          <t xml:space="preserve">Público</t>
        </is>
      </c>
      <c r="E291" s="106" t="n">
        <v>0.739958639467093</v>
      </c>
      <c r="F291" s="106" t="n">
        <v>0.743637113866122</v>
      </c>
      <c r="G291" s="106" t="n">
        <v>0.75372878370737</v>
      </c>
      <c r="H291" s="106" t="n">
        <v>0.756969122640764</v>
      </c>
      <c r="I291" s="105" t="n">
        <v>17</v>
      </c>
    </row>
    <row r="292" customFormat="false" ht="18.75" hidden="false" customHeight="true" outlineLevel="0" collapsed="false">
      <c r="A292" s="102" t="inlineStr">
        <is>
          <t xml:space="preserve">Retención 1er año Origen Sec.</t>
        </is>
      </c>
      <c r="B292" s="102" t="inlineStr">
        <is>
          <t xml:space="preserve">Origen secundario: dependencia × institución</t>
        </is>
      </c>
      <c r="C292" s="102" t="inlineStr">
        <is>
          <t xml:space="preserve">Todas las IES / otro subsistema</t>
        </is>
      </c>
      <c r="D292" s="102" t="inlineStr">
        <is>
          <t xml:space="preserve">Público / Centros de Formación Técnica</t>
        </is>
      </c>
      <c r="E292" s="103" t="n">
        <v>0.715820267861224</v>
      </c>
      <c r="F292" s="103" t="n">
        <v>0.708709208064851</v>
      </c>
      <c r="G292" s="103" t="n">
        <v>0.707019252378455</v>
      </c>
      <c r="H292" s="103" t="n">
        <v>0.697100519222916</v>
      </c>
      <c r="I292" s="102" t="n">
        <v>18</v>
      </c>
    </row>
    <row r="293" customFormat="false" ht="18.75" hidden="false" customHeight="true" outlineLevel="0" collapsed="false">
      <c r="A293" s="105" t="inlineStr">
        <is>
          <t xml:space="preserve">Retención 1er año Origen Sec.</t>
        </is>
      </c>
      <c r="B293" s="105" t="inlineStr">
        <is>
          <t xml:space="preserve">Origen secundario: dependencia × institución</t>
        </is>
      </c>
      <c r="C293" s="105" t="inlineStr">
        <is>
          <t xml:space="preserve">Subsistema IP (categoría de origen)</t>
        </is>
      </c>
      <c r="D293" s="105" t="inlineStr">
        <is>
          <t xml:space="preserve">Público / Institutos Profesionales</t>
        </is>
      </c>
      <c r="E293" s="106" t="n">
        <v>0.707519744173652</v>
      </c>
      <c r="F293" s="106" t="n">
        <v>0.71012832263978</v>
      </c>
      <c r="G293" s="106" t="n">
        <v>0.71967197204969</v>
      </c>
      <c r="H293" s="106" t="n">
        <v>0.718353304069285</v>
      </c>
      <c r="I293" s="105" t="n">
        <v>19</v>
      </c>
    </row>
    <row r="294" customFormat="false" ht="18.75" hidden="false" customHeight="true" outlineLevel="0" collapsed="false">
      <c r="A294" s="102" t="inlineStr">
        <is>
          <t xml:space="preserve">Retención 1er año Origen Sec.</t>
        </is>
      </c>
      <c r="B294" s="102" t="inlineStr">
        <is>
          <t xml:space="preserve">Origen secundario: dependencia × institución</t>
        </is>
      </c>
      <c r="C294" s="102" t="inlineStr">
        <is>
          <t xml:space="preserve">Todas las IES / otro subsistema</t>
        </is>
      </c>
      <c r="D294" s="102" t="inlineStr">
        <is>
          <t xml:space="preserve">Público / Universidades</t>
        </is>
      </c>
      <c r="E294" s="103" t="n">
        <v>0.796413884857281</v>
      </c>
      <c r="F294" s="103" t="n">
        <v>0.802768432676751</v>
      </c>
      <c r="G294" s="103" t="n">
        <v>0.8200585541626</v>
      </c>
      <c r="H294" s="103" t="n">
        <v>0.82012470845828</v>
      </c>
      <c r="I294" s="102" t="n">
        <v>20</v>
      </c>
    </row>
    <row r="295" customFormat="false" ht="18.75" hidden="false" customHeight="true" outlineLevel="0" collapsed="false">
      <c r="A295" s="105" t="inlineStr">
        <is>
          <t xml:space="preserve">Retención 1er año Origen Sec.</t>
        </is>
      </c>
      <c r="B295" s="105" t="inlineStr">
        <is>
          <t xml:space="preserve">Origen secundario: dependencia × institución</t>
        </is>
      </c>
      <c r="C295" s="105" t="inlineStr">
        <is>
          <t xml:space="preserve">Todas las IES / otro subsistema</t>
        </is>
      </c>
      <c r="D295" s="105" t="inlineStr">
        <is>
          <t xml:space="preserve">Particular Subvencionado</t>
        </is>
      </c>
      <c r="E295" s="106" t="n">
        <v>0.778687218013847</v>
      </c>
      <c r="F295" s="106" t="n">
        <v>0.784849823321555</v>
      </c>
      <c r="G295" s="106" t="n">
        <v>0.791441764880658</v>
      </c>
      <c r="H295" s="106" t="n">
        <v>0.800994282228179</v>
      </c>
      <c r="I295" s="105" t="n">
        <v>21</v>
      </c>
    </row>
    <row r="296" customFormat="false" ht="18.75" hidden="false" customHeight="true" outlineLevel="0" collapsed="false">
      <c r="A296" s="102" t="inlineStr">
        <is>
          <t xml:space="preserve">Retención 1er año Origen Sec.</t>
        </is>
      </c>
      <c r="B296" s="102" t="inlineStr">
        <is>
          <t xml:space="preserve">Origen secundario: dependencia × institución</t>
        </is>
      </c>
      <c r="C296" s="102" t="inlineStr">
        <is>
          <t xml:space="preserve">Todas las IES / otro subsistema</t>
        </is>
      </c>
      <c r="D296" s="102" t="inlineStr">
        <is>
          <t xml:space="preserve">Particular Subvencionado / Centros de Formación Técnica</t>
        </is>
      </c>
      <c r="E296" s="103" t="n">
        <v>0.726222414539161</v>
      </c>
      <c r="F296" s="103" t="n">
        <v>0.71711530735235</v>
      </c>
      <c r="G296" s="103" t="n">
        <v>0.717626883642865</v>
      </c>
      <c r="H296" s="103" t="n">
        <v>0.707050705070507</v>
      </c>
      <c r="I296" s="102" t="n">
        <v>22</v>
      </c>
    </row>
    <row r="297" customFormat="false" ht="18.75" hidden="false" customHeight="true" outlineLevel="0" collapsed="false">
      <c r="A297" s="105" t="inlineStr">
        <is>
          <t xml:space="preserve">Retención 1er año Origen Sec.</t>
        </is>
      </c>
      <c r="B297" s="105" t="inlineStr">
        <is>
          <t xml:space="preserve">Origen secundario: dependencia × institución</t>
        </is>
      </c>
      <c r="C297" s="105" t="inlineStr">
        <is>
          <t xml:space="preserve">Subsistema IP (categoría de origen)</t>
        </is>
      </c>
      <c r="D297" s="105" t="inlineStr">
        <is>
          <t xml:space="preserve">Particular Subvencionado / Institutos Profesionales</t>
        </is>
      </c>
      <c r="E297" s="106" t="n">
        <v>0.740716458139831</v>
      </c>
      <c r="F297" s="106" t="n">
        <v>0.742586231071228</v>
      </c>
      <c r="G297" s="106" t="n">
        <v>0.744966198363673</v>
      </c>
      <c r="H297" s="106" t="n">
        <v>0.744404928692029</v>
      </c>
      <c r="I297" s="105" t="n">
        <v>23</v>
      </c>
    </row>
    <row r="298" customFormat="false" ht="18.75" hidden="false" customHeight="true" outlineLevel="0" collapsed="false">
      <c r="A298" s="102" t="inlineStr">
        <is>
          <t xml:space="preserve">Retención 1er año Origen Sec.</t>
        </is>
      </c>
      <c r="B298" s="102" t="inlineStr">
        <is>
          <t xml:space="preserve">Origen secundario: dependencia × institución</t>
        </is>
      </c>
      <c r="C298" s="102" t="inlineStr">
        <is>
          <t xml:space="preserve">Todas las IES / otro subsistema</t>
        </is>
      </c>
      <c r="D298" s="102" t="inlineStr">
        <is>
          <t xml:space="preserve">Particular Subvencionado / Universidades</t>
        </is>
      </c>
      <c r="E298" s="103" t="n">
        <v>0.828444243247322</v>
      </c>
      <c r="F298" s="103" t="n">
        <v>0.838385554132804</v>
      </c>
      <c r="G298" s="103" t="n">
        <v>0.849140867458936</v>
      </c>
      <c r="H298" s="103" t="n">
        <v>0.858689535367375</v>
      </c>
      <c r="I298" s="102" t="n">
        <v>24</v>
      </c>
    </row>
    <row r="299" customFormat="false" ht="18.75" hidden="false" customHeight="true" outlineLevel="0" collapsed="false">
      <c r="A299" s="105" t="inlineStr">
        <is>
          <t xml:space="preserve">Retención 1er año Origen Sec.</t>
        </is>
      </c>
      <c r="B299" s="105" t="inlineStr">
        <is>
          <t xml:space="preserve">Origen secundario: dependencia × institución</t>
        </is>
      </c>
      <c r="C299" s="105" t="inlineStr">
        <is>
          <t xml:space="preserve">Todas las IES / otro subsistema</t>
        </is>
      </c>
      <c r="D299" s="105" t="inlineStr">
        <is>
          <t xml:space="preserve">Particular Pagado</t>
        </is>
      </c>
      <c r="E299" s="106" t="n">
        <v>0.824673542214031</v>
      </c>
      <c r="F299" s="106" t="n">
        <v>0.838902724603204</v>
      </c>
      <c r="G299" s="106" t="n">
        <v>0.851141620653634</v>
      </c>
      <c r="H299" s="106" t="n">
        <v>0.857196955352747</v>
      </c>
      <c r="I299" s="105" t="n">
        <v>25</v>
      </c>
    </row>
    <row r="300" customFormat="false" ht="18.75" hidden="false" customHeight="true" outlineLevel="0" collapsed="false">
      <c r="A300" s="102" t="inlineStr">
        <is>
          <t xml:space="preserve">Retención 1er año Origen Sec.</t>
        </is>
      </c>
      <c r="B300" s="102" t="inlineStr">
        <is>
          <t xml:space="preserve">Origen secundario: dependencia × institución</t>
        </is>
      </c>
      <c r="C300" s="102" t="inlineStr">
        <is>
          <t xml:space="preserve">Todas las IES / otro subsistema</t>
        </is>
      </c>
      <c r="D300" s="102" t="inlineStr">
        <is>
          <t xml:space="preserve">Particular Pagado / Centros de Formación Técnica</t>
        </is>
      </c>
      <c r="E300" s="103" t="n">
        <v>0.703483432455395</v>
      </c>
      <c r="F300" s="103" t="n">
        <v>0.734761120263591</v>
      </c>
      <c r="G300" s="103" t="n">
        <v>0.732065687121867</v>
      </c>
      <c r="H300" s="103" t="n">
        <v>0.72318339100346</v>
      </c>
      <c r="I300" s="102" t="n">
        <v>26</v>
      </c>
    </row>
    <row r="301" customFormat="false" ht="18.75" hidden="false" customHeight="true" outlineLevel="0" collapsed="false">
      <c r="A301" s="105" t="inlineStr">
        <is>
          <t xml:space="preserve">Retención 1er año Origen Sec.</t>
        </is>
      </c>
      <c r="B301" s="105" t="inlineStr">
        <is>
          <t xml:space="preserve">Origen secundario: dependencia × institución</t>
        </is>
      </c>
      <c r="C301" s="105" t="inlineStr">
        <is>
          <t xml:space="preserve">Subsistema IP (categoría de origen)</t>
        </is>
      </c>
      <c r="D301" s="105" t="inlineStr">
        <is>
          <t xml:space="preserve">Particular Pagado / Institutos Profesionales</t>
        </is>
      </c>
      <c r="E301" s="106" t="n">
        <v>0.731301939058172</v>
      </c>
      <c r="F301" s="106" t="n">
        <v>0.749398877905424</v>
      </c>
      <c r="G301" s="106" t="n">
        <v>0.754299754299754</v>
      </c>
      <c r="H301" s="106" t="n">
        <v>0.719752722990874</v>
      </c>
      <c r="I301" s="105" t="n">
        <v>27</v>
      </c>
    </row>
    <row r="302" customFormat="false" ht="18.75" hidden="false" customHeight="true" outlineLevel="0" collapsed="false">
      <c r="A302" s="102" t="inlineStr">
        <is>
          <t xml:space="preserve">Retención 1er año Origen Sec.</t>
        </is>
      </c>
      <c r="B302" s="102" t="inlineStr">
        <is>
          <t xml:space="preserve">Origen secundario: dependencia × institución</t>
        </is>
      </c>
      <c r="C302" s="102" t="inlineStr">
        <is>
          <t xml:space="preserve">Todas las IES / otro subsistema</t>
        </is>
      </c>
      <c r="D302" s="102" t="inlineStr">
        <is>
          <t xml:space="preserve">Particular Pagado / Universidades</t>
        </is>
      </c>
      <c r="E302" s="103" t="n">
        <v>0.84783238389495</v>
      </c>
      <c r="F302" s="103" t="n">
        <v>0.85992891643124</v>
      </c>
      <c r="G302" s="103" t="n">
        <v>0.873544395924309</v>
      </c>
      <c r="H302" s="103" t="n">
        <v>0.881463980028531</v>
      </c>
      <c r="I302" s="102" t="n">
        <v>28</v>
      </c>
    </row>
    <row r="303" customFormat="false" ht="18.75" hidden="false" customHeight="true" outlineLevel="0" collapsed="false">
      <c r="A303" s="105" t="inlineStr">
        <is>
          <t xml:space="preserve">Retención 1er año Origen Sec.</t>
        </is>
      </c>
      <c r="B303" s="105" t="inlineStr">
        <is>
          <t xml:space="preserve">Origen secundario: dependencia × institución</t>
        </is>
      </c>
      <c r="C303" s="105" t="inlineStr">
        <is>
          <t xml:space="preserve">Todas las IES / otro subsistema</t>
        </is>
      </c>
      <c r="D303" s="105" t="inlineStr">
        <is>
          <t xml:space="preserve">Administración Delegada</t>
        </is>
      </c>
      <c r="E303" s="106" t="n">
        <v>0.75887038377987</v>
      </c>
      <c r="F303" s="106" t="n">
        <v>0.760180253994265</v>
      </c>
      <c r="G303" s="106" t="n">
        <v>0.769637704392434</v>
      </c>
      <c r="H303" s="106" t="n">
        <v>0.776728131528749</v>
      </c>
      <c r="I303" s="105" t="n">
        <v>29</v>
      </c>
    </row>
    <row r="304" customFormat="false" ht="18.75" hidden="false" customHeight="true" outlineLevel="0" collapsed="false">
      <c r="A304" s="102" t="inlineStr">
        <is>
          <t xml:space="preserve">Retención 1er año Origen Sec.</t>
        </is>
      </c>
      <c r="B304" s="102" t="inlineStr">
        <is>
          <t xml:space="preserve">Origen secundario: dependencia × institución</t>
        </is>
      </c>
      <c r="C304" s="102" t="inlineStr">
        <is>
          <t xml:space="preserve">Todas las IES / otro subsistema</t>
        </is>
      </c>
      <c r="D304" s="102" t="inlineStr">
        <is>
          <t xml:space="preserve">Administración Delegada / Centros de Formación Técnica</t>
        </is>
      </c>
      <c r="E304" s="103" t="n">
        <v>0.756707594361073</v>
      </c>
      <c r="F304" s="103" t="n">
        <v>0.746389124893798</v>
      </c>
      <c r="G304" s="103" t="n">
        <v>0.743542435424354</v>
      </c>
      <c r="H304" s="103" t="n">
        <v>0.714046822742475</v>
      </c>
      <c r="I304" s="102" t="n">
        <v>30</v>
      </c>
    </row>
    <row r="305" customFormat="false" ht="18.75" hidden="false" customHeight="true" outlineLevel="0" collapsed="false">
      <c r="A305" s="105" t="inlineStr">
        <is>
          <t xml:space="preserve">Retención 1er año Origen Sec.</t>
        </is>
      </c>
      <c r="B305" s="105" t="inlineStr">
        <is>
          <t xml:space="preserve">Origen secundario: dependencia × institución</t>
        </is>
      </c>
      <c r="C305" s="105" t="inlineStr">
        <is>
          <t xml:space="preserve">Subsistema IP (categoría de origen)</t>
        </is>
      </c>
      <c r="D305" s="105" t="inlineStr">
        <is>
          <t xml:space="preserve">Administración Delegada / Institutos Profesionales</t>
        </is>
      </c>
      <c r="E305" s="106" t="n">
        <v>0.761318242343542</v>
      </c>
      <c r="F305" s="106" t="n">
        <v>0.763491820822504</v>
      </c>
      <c r="G305" s="106" t="n">
        <v>0.7642567018684</v>
      </c>
      <c r="H305" s="106" t="n">
        <v>0.770478374836173</v>
      </c>
      <c r="I305" s="105" t="n">
        <v>31</v>
      </c>
    </row>
    <row r="306" customFormat="false" ht="18.75" hidden="false" customHeight="true" outlineLevel="0" collapsed="false">
      <c r="A306" s="102" t="inlineStr">
        <is>
          <t xml:space="preserve">Retención 1er año Origen Sec.</t>
        </is>
      </c>
      <c r="B306" s="102" t="inlineStr">
        <is>
          <t xml:space="preserve">Origen secundario: dependencia × institución</t>
        </is>
      </c>
      <c r="C306" s="102" t="inlineStr">
        <is>
          <t xml:space="preserve">Todas las IES / otro subsistema</t>
        </is>
      </c>
      <c r="D306" s="102" t="inlineStr">
        <is>
          <t xml:space="preserve">Administración Delegada / Universidades</t>
        </is>
      </c>
      <c r="E306" s="103" t="n">
        <v>0.755367828229497</v>
      </c>
      <c r="F306" s="103" t="n">
        <v>0.763444108761329</v>
      </c>
      <c r="G306" s="103" t="n">
        <v>0.798393796732207</v>
      </c>
      <c r="H306" s="103" t="n">
        <v>0.807225667295767</v>
      </c>
      <c r="I306" s="102" t="n">
        <v>32</v>
      </c>
    </row>
    <row r="307" customFormat="false" ht="18.75" hidden="false" customHeight="true" outlineLevel="0" collapsed="false">
      <c r="A307" s="105" t="inlineStr">
        <is>
          <t xml:space="preserve">Retención 1er año Origen Sec.</t>
        </is>
      </c>
      <c r="B307" s="105" t="inlineStr">
        <is>
          <t xml:space="preserve">Origen secundario: dependencia × institución</t>
        </is>
      </c>
      <c r="C307" s="105" t="inlineStr">
        <is>
          <t xml:space="preserve">Todas las IES / otro subsistema</t>
        </is>
      </c>
      <c r="D307" s="105" t="inlineStr">
        <is>
          <t xml:space="preserve">Sin información</t>
        </is>
      </c>
      <c r="E307" s="106" t="n">
        <v>0.673871326128674</v>
      </c>
      <c r="F307" s="106" t="n">
        <v>0.67353642042893</v>
      </c>
      <c r="G307" s="106" t="n">
        <v>0.680367444193629</v>
      </c>
      <c r="H307" s="106" t="n">
        <v>0.679959994999375</v>
      </c>
      <c r="I307" s="105" t="n">
        <v>33</v>
      </c>
    </row>
    <row r="308" customFormat="false" ht="18.75" hidden="false" customHeight="true" outlineLevel="0" collapsed="false">
      <c r="A308" s="102" t="inlineStr">
        <is>
          <t xml:space="preserve">Retención 1er año Origen Sec.</t>
        </is>
      </c>
      <c r="B308" s="102" t="inlineStr">
        <is>
          <t xml:space="preserve">Origen secundario: dependencia × institución</t>
        </is>
      </c>
      <c r="C308" s="102" t="inlineStr">
        <is>
          <t xml:space="preserve">Todas las IES / otro subsistema</t>
        </is>
      </c>
      <c r="D308" s="102" t="inlineStr">
        <is>
          <t xml:space="preserve">Sin información / Centros de Formación Técnica</t>
        </is>
      </c>
      <c r="E308" s="103" t="n">
        <v>0.675823293172691</v>
      </c>
      <c r="F308" s="103" t="n">
        <v>0.665525824517735</v>
      </c>
      <c r="G308" s="103" t="n">
        <v>0.671956994752336</v>
      </c>
      <c r="H308" s="103" t="n">
        <v>0.675223583968201</v>
      </c>
      <c r="I308" s="102" t="n">
        <v>34</v>
      </c>
    </row>
    <row r="309" customFormat="false" ht="18.75" hidden="false" customHeight="true" outlineLevel="0" collapsed="false">
      <c r="A309" s="105" t="inlineStr">
        <is>
          <t xml:space="preserve">Retención 1er año Origen Sec.</t>
        </is>
      </c>
      <c r="B309" s="105" t="inlineStr">
        <is>
          <t xml:space="preserve">Origen secundario: dependencia × institución</t>
        </is>
      </c>
      <c r="C309" s="105" t="inlineStr">
        <is>
          <t xml:space="preserve">Subsistema IP (categoría de origen)</t>
        </is>
      </c>
      <c r="D309" s="105" t="inlineStr">
        <is>
          <t xml:space="preserve">Sin información / Institutos Profesionales</t>
        </is>
      </c>
      <c r="E309" s="106" t="n">
        <v>0.674450261780105</v>
      </c>
      <c r="F309" s="106" t="n">
        <v>0.67004802509066</v>
      </c>
      <c r="G309" s="106" t="n">
        <v>0.678553591049845</v>
      </c>
      <c r="H309" s="106" t="n">
        <v>0.673763736263736</v>
      </c>
      <c r="I309" s="105" t="n">
        <v>35</v>
      </c>
    </row>
    <row r="310" customFormat="false" ht="18.75" hidden="false" customHeight="true" outlineLevel="0" collapsed="false">
      <c r="A310" s="102" t="inlineStr">
        <is>
          <t xml:space="preserve">Retención 1er año Origen Sec.</t>
        </is>
      </c>
      <c r="B310" s="102" t="inlineStr">
        <is>
          <t xml:space="preserve">Origen secundario: dependencia × institución</t>
        </is>
      </c>
      <c r="C310" s="102" t="inlineStr">
        <is>
          <t xml:space="preserve">Todas las IES / otro subsistema</t>
        </is>
      </c>
      <c r="D310" s="102" t="inlineStr">
        <is>
          <t xml:space="preserve">Sin información / Universidades</t>
        </is>
      </c>
      <c r="E310" s="103" t="n">
        <v>0.668570123343993</v>
      </c>
      <c r="F310" s="103" t="n">
        <v>0.70260663507109</v>
      </c>
      <c r="G310" s="103" t="n">
        <v>0.705491258310761</v>
      </c>
      <c r="H310" s="103" t="n">
        <v>0.719766877124818</v>
      </c>
      <c r="I310" s="102" t="n">
        <v>36</v>
      </c>
    </row>
    <row r="311" customFormat="false" ht="18.75" hidden="false" customHeight="true" outlineLevel="0" collapsed="false">
      <c r="A311" s="105" t="inlineStr">
        <is>
          <t xml:space="preserve">Retención 1er año Origen Sec.</t>
        </is>
      </c>
      <c r="B311" s="105" t="inlineStr">
        <is>
          <t xml:space="preserve">Origen secundario: dependencia × institución</t>
        </is>
      </c>
      <c r="C311" s="105" t="inlineStr">
        <is>
          <t xml:space="preserve">Todas las IES / otro subsistema</t>
        </is>
      </c>
      <c r="D311" s="105" t="inlineStr">
        <is>
          <t xml:space="preserve">Retención 1er año - Total</t>
        </is>
      </c>
      <c r="E311" s="106" t="n">
        <v>0.759499035101445</v>
      </c>
      <c r="F311" s="106" t="n">
        <v>0.764871329889405</v>
      </c>
      <c r="G311" s="106" t="n">
        <v>0.772995111639583</v>
      </c>
      <c r="H311" s="106" t="n">
        <v>0.779086629494731</v>
      </c>
      <c r="I311" s="105" t="n">
        <v>37</v>
      </c>
    </row>
    <row r="312" customFormat="false" ht="18.75" hidden="false" customHeight="true" outlineLevel="0" collapsed="false">
      <c r="A312" s="102" t="inlineStr">
        <is>
          <t xml:space="preserve">Retención 1er año Origen Sec.</t>
        </is>
      </c>
      <c r="B312" s="102" t="inlineStr">
        <is>
          <t xml:space="preserve">Origen secundario: tipo de enseñanza</t>
        </is>
      </c>
      <c r="C312" s="102" t="inlineStr">
        <is>
          <t xml:space="preserve">Todas las IES / otro subsistema</t>
        </is>
      </c>
      <c r="D312" s="102" t="inlineStr">
        <is>
          <t xml:space="preserve">Científico Humanista</t>
        </is>
      </c>
      <c r="E312" s="103" t="n">
        <v>0.779051791450716</v>
      </c>
      <c r="F312" s="103" t="n">
        <v>0.787323936930349</v>
      </c>
      <c r="G312" s="103" t="n">
        <v>0.795456580230799</v>
      </c>
      <c r="H312" s="103" t="n">
        <v>0.803686460529398</v>
      </c>
      <c r="I312" s="102" t="n">
        <v>60</v>
      </c>
    </row>
    <row r="313" customFormat="false" ht="18.75" hidden="false" customHeight="true" outlineLevel="0" collapsed="false">
      <c r="A313" s="105" t="inlineStr">
        <is>
          <t xml:space="preserve">Retención 1er año Origen Sec.</t>
        </is>
      </c>
      <c r="B313" s="105" t="inlineStr">
        <is>
          <t xml:space="preserve">Origen secundario: tipo de enseñanza</t>
        </is>
      </c>
      <c r="C313" s="105" t="inlineStr">
        <is>
          <t xml:space="preserve">Todas las IES / otro subsistema</t>
        </is>
      </c>
      <c r="D313" s="105" t="inlineStr">
        <is>
          <t xml:space="preserve">Técnico Profesional</t>
        </is>
      </c>
      <c r="E313" s="106" t="n">
        <v>0.745727139908629</v>
      </c>
      <c r="F313" s="106" t="n">
        <v>0.745275967702883</v>
      </c>
      <c r="G313" s="106" t="n">
        <v>0.754212871800187</v>
      </c>
      <c r="H313" s="106" t="n">
        <v>0.757819522352058</v>
      </c>
      <c r="I313" s="105" t="n">
        <v>61</v>
      </c>
    </row>
    <row r="314" customFormat="false" ht="18.75" hidden="false" customHeight="true" outlineLevel="0" collapsed="false">
      <c r="A314" s="102" t="inlineStr">
        <is>
          <t xml:space="preserve">Retención 1er año Origen Sec.</t>
        </is>
      </c>
      <c r="B314" s="102" t="inlineStr">
        <is>
          <t xml:space="preserve">Origen secundario: tipo de enseñanza</t>
        </is>
      </c>
      <c r="C314" s="102" t="inlineStr">
        <is>
          <t xml:space="preserve">Todas las IES / otro subsistema</t>
        </is>
      </c>
      <c r="D314" s="102" t="inlineStr">
        <is>
          <t xml:space="preserve">Sin información</t>
        </is>
      </c>
      <c r="E314" s="103" t="n">
        <v>0.673871326128674</v>
      </c>
      <c r="F314" s="103" t="n">
        <v>0.67353642042893</v>
      </c>
      <c r="G314" s="103" t="n">
        <v>0.680367444193629</v>
      </c>
      <c r="H314" s="103" t="n">
        <v>0.679959994999375</v>
      </c>
      <c r="I314" s="102" t="n">
        <v>62</v>
      </c>
    </row>
    <row r="315" customFormat="false" ht="18.75" hidden="false" customHeight="true" outlineLevel="0" collapsed="false">
      <c r="A315" s="105" t="inlineStr">
        <is>
          <t xml:space="preserve">Retención 1er año Origen Sec.</t>
        </is>
      </c>
      <c r="B315" s="105" t="inlineStr">
        <is>
          <t xml:space="preserve">Origen secundario: tipo de enseñanza</t>
        </is>
      </c>
      <c r="C315" s="105" t="inlineStr">
        <is>
          <t xml:space="preserve">Todas las IES / otro subsistema</t>
        </is>
      </c>
      <c r="D315" s="105" t="inlineStr">
        <is>
          <t xml:space="preserve">Retención 1er año - Total</t>
        </is>
      </c>
      <c r="E315" s="106" t="n">
        <v>0.759499035101445</v>
      </c>
      <c r="F315" s="106" t="n">
        <v>0.764871329889405</v>
      </c>
      <c r="G315" s="106" t="n">
        <v>0.772995111639583</v>
      </c>
      <c r="H315" s="106" t="n">
        <v>0.779086629494731</v>
      </c>
      <c r="I315" s="105" t="n">
        <v>63</v>
      </c>
    </row>
    <row r="316" customFormat="false" ht="18.75" hidden="false" customHeight="true" outlineLevel="0" collapsed="false">
      <c r="A316" s="102" t="inlineStr">
        <is>
          <t xml:space="preserve">Retención 1er año Origen Sec.</t>
        </is>
      </c>
      <c r="B316" s="102" t="inlineStr">
        <is>
          <t xml:space="preserve">Origen secundario: tipo × institución</t>
        </is>
      </c>
      <c r="C316" s="102" t="inlineStr">
        <is>
          <t xml:space="preserve">Todas las IES / otro subsistema</t>
        </is>
      </c>
      <c r="D316" s="102" t="inlineStr">
        <is>
          <t xml:space="preserve">Científico Humanista</t>
        </is>
      </c>
      <c r="E316" s="103" t="n">
        <v>0.779051791450716</v>
      </c>
      <c r="F316" s="103" t="n">
        <v>0.787323936930349</v>
      </c>
      <c r="G316" s="103" t="n">
        <v>0.795456580230799</v>
      </c>
      <c r="H316" s="103" t="n">
        <v>0.803686460529398</v>
      </c>
      <c r="I316" s="102" t="n">
        <v>67</v>
      </c>
    </row>
    <row r="317" customFormat="false" ht="18.75" hidden="false" customHeight="true" outlineLevel="0" collapsed="false">
      <c r="A317" s="105" t="inlineStr">
        <is>
          <t xml:space="preserve">Retención 1er año Origen Sec.</t>
        </is>
      </c>
      <c r="B317" s="105" t="inlineStr">
        <is>
          <t xml:space="preserve">Origen secundario: tipo × institución</t>
        </is>
      </c>
      <c r="C317" s="105" t="inlineStr">
        <is>
          <t xml:space="preserve">Todas las IES / otro subsistema</t>
        </is>
      </c>
      <c r="D317" s="105" t="inlineStr">
        <is>
          <t xml:space="preserve">Científico Humanista / Centros de Formación Técnica</t>
        </is>
      </c>
      <c r="E317" s="106" t="n">
        <v>0.708414801940763</v>
      </c>
      <c r="F317" s="106" t="n">
        <v>0.708352729932832</v>
      </c>
      <c r="G317" s="106" t="n">
        <v>0.703636253262915</v>
      </c>
      <c r="H317" s="106" t="n">
        <v>0.690092220383069</v>
      </c>
      <c r="I317" s="105" t="n">
        <v>68</v>
      </c>
    </row>
    <row r="318" customFormat="false" ht="18.75" hidden="false" customHeight="true" outlineLevel="0" collapsed="false">
      <c r="A318" s="102" t="inlineStr">
        <is>
          <t xml:space="preserve">Retención 1er año Origen Sec.</t>
        </is>
      </c>
      <c r="B318" s="102" t="inlineStr">
        <is>
          <t xml:space="preserve">Origen secundario: tipo × institución</t>
        </is>
      </c>
      <c r="C318" s="102" t="inlineStr">
        <is>
          <t xml:space="preserve">Subsistema IP (categoría de origen)</t>
        </is>
      </c>
      <c r="D318" s="102" t="inlineStr">
        <is>
          <t xml:space="preserve">Científico Humanista / Institutos Profesionales</t>
        </is>
      </c>
      <c r="E318" s="103" t="n">
        <v>0.720770288858322</v>
      </c>
      <c r="F318" s="103" t="n">
        <v>0.725582625470612</v>
      </c>
      <c r="G318" s="103" t="n">
        <v>0.729309109852185</v>
      </c>
      <c r="H318" s="103" t="n">
        <v>0.72890801920884</v>
      </c>
      <c r="I318" s="102" t="n">
        <v>69</v>
      </c>
    </row>
    <row r="319" customFormat="false" ht="18.75" hidden="false" customHeight="true" outlineLevel="0" collapsed="false">
      <c r="A319" s="105" t="inlineStr">
        <is>
          <t xml:space="preserve">Retención 1er año Origen Sec.</t>
        </is>
      </c>
      <c r="B319" s="105" t="inlineStr">
        <is>
          <t xml:space="preserve">Origen secundario: tipo × institución</t>
        </is>
      </c>
      <c r="C319" s="105" t="inlineStr">
        <is>
          <t xml:space="preserve">Todas las IES / otro subsistema</t>
        </is>
      </c>
      <c r="D319" s="105" t="inlineStr">
        <is>
          <t xml:space="preserve">Científico Humanista / Universidades</t>
        </is>
      </c>
      <c r="E319" s="106" t="n">
        <v>0.833803372448477</v>
      </c>
      <c r="F319" s="106" t="n">
        <v>0.84254463469624</v>
      </c>
      <c r="G319" s="106" t="n">
        <v>0.855606941321227</v>
      </c>
      <c r="H319" s="106" t="n">
        <v>0.861774097972083</v>
      </c>
      <c r="I319" s="105" t="n">
        <v>70</v>
      </c>
    </row>
    <row r="320" customFormat="false" ht="18.75" hidden="false" customHeight="true" outlineLevel="0" collapsed="false">
      <c r="A320" s="102" t="inlineStr">
        <is>
          <t xml:space="preserve">Retención 1er año Origen Sec.</t>
        </is>
      </c>
      <c r="B320" s="102" t="inlineStr">
        <is>
          <t xml:space="preserve">Origen secundario: tipo × institución</t>
        </is>
      </c>
      <c r="C320" s="102" t="inlineStr">
        <is>
          <t xml:space="preserve">Todas las IES / otro subsistema</t>
        </is>
      </c>
      <c r="D320" s="102" t="inlineStr">
        <is>
          <t xml:space="preserve">Técnico Profesional</t>
        </is>
      </c>
      <c r="E320" s="103" t="n">
        <v>0.745727139908629</v>
      </c>
      <c r="F320" s="103" t="n">
        <v>0.745275967702883</v>
      </c>
      <c r="G320" s="103" t="n">
        <v>0.754212871800187</v>
      </c>
      <c r="H320" s="103" t="n">
        <v>0.757819522352058</v>
      </c>
      <c r="I320" s="102" t="n">
        <v>71</v>
      </c>
    </row>
    <row r="321" customFormat="false" ht="18.75" hidden="false" customHeight="true" outlineLevel="0" collapsed="false">
      <c r="A321" s="105" t="inlineStr">
        <is>
          <t xml:space="preserve">Retención 1er año Origen Sec.</t>
        </is>
      </c>
      <c r="B321" s="105" t="inlineStr">
        <is>
          <t xml:space="preserve">Origen secundario: tipo × institución</t>
        </is>
      </c>
      <c r="C321" s="105" t="inlineStr">
        <is>
          <t xml:space="preserve">Todas las IES / otro subsistema</t>
        </is>
      </c>
      <c r="D321" s="105" t="inlineStr">
        <is>
          <t xml:space="preserve">Técnico Profesional / Centros de Formación Técnica</t>
        </is>
      </c>
      <c r="E321" s="106" t="n">
        <v>0.740901422029405</v>
      </c>
      <c r="F321" s="106" t="n">
        <v>0.723873612906101</v>
      </c>
      <c r="G321" s="106" t="n">
        <v>0.728202669224007</v>
      </c>
      <c r="H321" s="106" t="n">
        <v>0.721302390024247</v>
      </c>
      <c r="I321" s="105" t="n">
        <v>72</v>
      </c>
    </row>
    <row r="322" customFormat="false" ht="18.75" hidden="false" customHeight="true" outlineLevel="0" collapsed="false">
      <c r="A322" s="102" t="inlineStr">
        <is>
          <t xml:space="preserve">Retención 1er año Origen Sec.</t>
        </is>
      </c>
      <c r="B322" s="102" t="inlineStr">
        <is>
          <t xml:space="preserve">Origen secundario: tipo × institución</t>
        </is>
      </c>
      <c r="C322" s="102" t="inlineStr">
        <is>
          <t xml:space="preserve">Subsistema IP (categoría de origen)</t>
        </is>
      </c>
      <c r="D322" s="102" t="inlineStr">
        <is>
          <t xml:space="preserve">Técnico Profesional / Institutos Profesionales</t>
        </is>
      </c>
      <c r="E322" s="103" t="n">
        <v>0.739627357418769</v>
      </c>
      <c r="F322" s="103" t="n">
        <v>0.739133227699028</v>
      </c>
      <c r="G322" s="103" t="n">
        <v>0.746588737776779</v>
      </c>
      <c r="H322" s="103" t="n">
        <v>0.743125374525601</v>
      </c>
      <c r="I322" s="102" t="n">
        <v>73</v>
      </c>
    </row>
    <row r="323" customFormat="false" ht="18.75" hidden="false" customHeight="true" outlineLevel="0" collapsed="false">
      <c r="A323" s="105" t="inlineStr">
        <is>
          <t xml:space="preserve">Retención 1er año Origen Sec.</t>
        </is>
      </c>
      <c r="B323" s="105" t="inlineStr">
        <is>
          <t xml:space="preserve">Origen secundario: tipo × institución</t>
        </is>
      </c>
      <c r="C323" s="105" t="inlineStr">
        <is>
          <t xml:space="preserve">Todas las IES / otro subsistema</t>
        </is>
      </c>
      <c r="D323" s="105" t="inlineStr">
        <is>
          <t xml:space="preserve">Técnico Profesional / Universidades</t>
        </is>
      </c>
      <c r="E323" s="106" t="n">
        <v>0.762879880858193</v>
      </c>
      <c r="F323" s="106" t="n">
        <v>0.774949713755222</v>
      </c>
      <c r="G323" s="106" t="n">
        <v>0.790911449646021</v>
      </c>
      <c r="H323" s="106" t="n">
        <v>0.799697151107511</v>
      </c>
      <c r="I323" s="105" t="n">
        <v>74</v>
      </c>
    </row>
    <row r="324" customFormat="false" ht="18.75" hidden="false" customHeight="true" outlineLevel="0" collapsed="false">
      <c r="A324" s="102" t="inlineStr">
        <is>
          <t xml:space="preserve">Retención 1er año Origen Sec.</t>
        </is>
      </c>
      <c r="B324" s="102" t="inlineStr">
        <is>
          <t xml:space="preserve">Origen secundario: tipo × institución</t>
        </is>
      </c>
      <c r="C324" s="102" t="inlineStr">
        <is>
          <t xml:space="preserve">Todas las IES / otro subsistema</t>
        </is>
      </c>
      <c r="D324" s="102" t="inlineStr">
        <is>
          <t xml:space="preserve">Sin información</t>
        </is>
      </c>
      <c r="E324" s="103" t="n">
        <v>0.673871326128674</v>
      </c>
      <c r="F324" s="103" t="n">
        <v>0.67353642042893</v>
      </c>
      <c r="G324" s="103" t="n">
        <v>0.680367444193629</v>
      </c>
      <c r="H324" s="103" t="n">
        <v>0.679959994999375</v>
      </c>
      <c r="I324" s="102" t="n">
        <v>75</v>
      </c>
    </row>
    <row r="325" customFormat="false" ht="18.75" hidden="false" customHeight="true" outlineLevel="0" collapsed="false">
      <c r="A325" s="105" t="inlineStr">
        <is>
          <t xml:space="preserve">Retención 1er año Origen Sec.</t>
        </is>
      </c>
      <c r="B325" s="105" t="inlineStr">
        <is>
          <t xml:space="preserve">Origen secundario: tipo × institución</t>
        </is>
      </c>
      <c r="C325" s="105" t="inlineStr">
        <is>
          <t xml:space="preserve">Todas las IES / otro subsistema</t>
        </is>
      </c>
      <c r="D325" s="105" t="inlineStr">
        <is>
          <t xml:space="preserve">Sin información / Centros de Formación Técnica</t>
        </is>
      </c>
      <c r="E325" s="106" t="n">
        <v>0.675823293172691</v>
      </c>
      <c r="F325" s="106" t="n">
        <v>0.665525824517735</v>
      </c>
      <c r="G325" s="106" t="n">
        <v>0.671956994752336</v>
      </c>
      <c r="H325" s="106" t="n">
        <v>0.675223583968201</v>
      </c>
      <c r="I325" s="105" t="n">
        <v>76</v>
      </c>
    </row>
    <row r="326" customFormat="false" ht="18.75" hidden="false" customHeight="true" outlineLevel="0" collapsed="false">
      <c r="A326" s="102" t="inlineStr">
        <is>
          <t xml:space="preserve">Retención 1er año Origen Sec.</t>
        </is>
      </c>
      <c r="B326" s="102" t="inlineStr">
        <is>
          <t xml:space="preserve">Origen secundario: tipo × institución</t>
        </is>
      </c>
      <c r="C326" s="102" t="inlineStr">
        <is>
          <t xml:space="preserve">Subsistema IP (categoría de origen)</t>
        </is>
      </c>
      <c r="D326" s="102" t="inlineStr">
        <is>
          <t xml:space="preserve">Sin información / Institutos Profesionales</t>
        </is>
      </c>
      <c r="E326" s="103" t="n">
        <v>0.674450261780105</v>
      </c>
      <c r="F326" s="103" t="n">
        <v>0.67004802509066</v>
      </c>
      <c r="G326" s="103" t="n">
        <v>0.678553591049845</v>
      </c>
      <c r="H326" s="103" t="n">
        <v>0.673763736263736</v>
      </c>
      <c r="I326" s="102" t="n">
        <v>77</v>
      </c>
    </row>
    <row r="327" customFormat="false" ht="18.75" hidden="false" customHeight="true" outlineLevel="0" collapsed="false">
      <c r="A327" s="105" t="inlineStr">
        <is>
          <t xml:space="preserve">Retención 1er año Origen Sec.</t>
        </is>
      </c>
      <c r="B327" s="105" t="inlineStr">
        <is>
          <t xml:space="preserve">Origen secundario: tipo × institución</t>
        </is>
      </c>
      <c r="C327" s="105" t="inlineStr">
        <is>
          <t xml:space="preserve">Todas las IES / otro subsistema</t>
        </is>
      </c>
      <c r="D327" s="105" t="inlineStr">
        <is>
          <t xml:space="preserve">Sin información / Universidades</t>
        </is>
      </c>
      <c r="E327" s="106" t="n">
        <v>0.668570123343993</v>
      </c>
      <c r="F327" s="106" t="n">
        <v>0.70260663507109</v>
      </c>
      <c r="G327" s="106" t="n">
        <v>0.705491258310761</v>
      </c>
      <c r="H327" s="106" t="n">
        <v>0.719766877124818</v>
      </c>
      <c r="I327" s="105" t="n">
        <v>78</v>
      </c>
    </row>
    <row r="328" customFormat="false" ht="18.75" hidden="false" customHeight="true" outlineLevel="0" collapsed="false">
      <c r="A328" s="102" t="inlineStr">
        <is>
          <t xml:space="preserve">Retención 1er año Origen Sec.</t>
        </is>
      </c>
      <c r="B328" s="102" t="inlineStr">
        <is>
          <t xml:space="preserve">Origen secundario: tipo × institución</t>
        </is>
      </c>
      <c r="C328" s="102" t="inlineStr">
        <is>
          <t xml:space="preserve">Todas las IES / otro subsistema</t>
        </is>
      </c>
      <c r="D328" s="102" t="inlineStr">
        <is>
          <t xml:space="preserve">Retención 1er año - Total</t>
        </is>
      </c>
      <c r="E328" s="103" t="n">
        <v>0.759499035101445</v>
      </c>
      <c r="F328" s="103" t="n">
        <v>0.764871329889405</v>
      </c>
      <c r="G328" s="103" t="n">
        <v>0.772995111639583</v>
      </c>
      <c r="H328" s="103" t="n">
        <v>0.779086629494731</v>
      </c>
      <c r="I328" s="102" t="n">
        <v>79</v>
      </c>
    </row>
  </sheetData>
  <autoFilter ref="A157:I328"/>
  <mergeCells count="6">
    <mergeCell ref="A1:I1"/>
    <mergeCell ref="A33:I33"/>
    <mergeCell ref="A42:I42"/>
    <mergeCell ref="K42:Q42"/>
    <mergeCell ref="A65:I65"/>
    <mergeCell ref="A156:I15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4273"/>
    <pageSetUpPr fitToPage="false"/>
  </sheetPr>
  <dimension ref="A1:I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8"/>
    <col collapsed="false" customWidth="true" hidden="false" outlineLevel="0" max="3" min="3" style="1" width="34"/>
    <col collapsed="false" customWidth="true" hidden="false" outlineLevel="0" max="4" min="4" style="1" width="10"/>
    <col collapsed="false" customWidth="true" hidden="false" outlineLevel="0" max="5" min="5" style="1" width="16"/>
    <col collapsed="false" customWidth="true" hidden="false" outlineLevel="0" max="6" min="6" style="1" width="14"/>
    <col collapsed="false" customWidth="true" hidden="false" outlineLevel="0" max="7" min="7" style="1" width="16"/>
    <col collapsed="false" customWidth="true" hidden="false" outlineLevel="0" max="8" min="8" style="1" width="14"/>
    <col collapsed="false" customWidth="true" hidden="false" outlineLevel="0" max="9" min="9" style="1" width="20"/>
  </cols>
  <sheetData>
    <row r="1" customFormat="false" ht="15" hidden="false" customHeight="true" outlineLevel="0" collapsed="false">
      <c r="A1" s="113" t="inlineStr">
        <is>
          <t xml:space="preserve">🏠 Portada / Índice</t>
        </is>
      </c>
    </row>
    <row r="2" customFormat="false" ht="17.25" hidden="false" customHeight="true" outlineLevel="0" collapsed="false">
      <c r="B2" s="114" t="inlineStr">
        <is>
          <t xml:space="preserve">18. Foto Retención Intertrimestral — cálculo propio interno (periodos 1, 2 y 3)</t>
        </is>
      </c>
    </row>
    <row r="3" customFormat="false" ht="15" hidden="false" customHeight="true" outlineLevel="0" collapsed="false">
      <c r="B3" s="115" t="inlineStr">
        <is>
          <t xml:space="preserve">C/D · Los cortes T1 sin foto completa se completan con un proxy de avance académico desde la hoja 26. La tasa proxy usa personas únicas con registro en el año-período y estado académico VIGENTE; no reemplaza una foto de matrícula de cierre.</t>
        </is>
      </c>
    </row>
    <row r="5" customFormat="false" ht="15" hidden="false" customHeight="true" outlineLevel="0" collapsed="false">
      <c r="B5" s="116" t="inlineStr">
        <is>
          <t xml:space="preserve">A. Institucional</t>
        </is>
      </c>
      <c r="C5" s="13"/>
      <c r="D5" s="13"/>
      <c r="E5" s="13"/>
      <c r="F5" s="13"/>
      <c r="G5" s="13"/>
      <c r="H5" s="13"/>
      <c r="I5" s="13"/>
    </row>
    <row r="6" customFormat="false" ht="30" hidden="false" customHeight="true" outlineLevel="0" collapsed="false">
      <c r="B6" s="117" t="inlineStr">
        <is>
          <t xml:space="preserve">Año</t>
        </is>
      </c>
      <c r="C6" s="117" t="inlineStr">
        <is>
          <t xml:space="preserve">Grupo de ingreso</t>
        </is>
      </c>
      <c r="D6" s="117" t="inlineStr">
        <is>
          <t xml:space="preserve">N° Est</t>
        </is>
      </c>
      <c r="E6" s="117" t="inlineStr">
        <is>
          <t xml:space="preserve">N° Est. vigentes T2</t>
        </is>
      </c>
      <c r="F6" s="117" t="inlineStr">
        <is>
          <t xml:space="preserve">Tasa vigentes T2</t>
        </is>
      </c>
      <c r="G6" s="117" t="inlineStr">
        <is>
          <t xml:space="preserve">N° Est. vigentes T3</t>
        </is>
      </c>
      <c r="H6" s="117" t="inlineStr">
        <is>
          <t xml:space="preserve">Tasa vigentes T3</t>
        </is>
      </c>
      <c r="I6" s="117" t="inlineStr">
        <is>
          <t xml:space="preserve">Retención 1er año (cálculo propio, hoja 9)</t>
        </is>
      </c>
    </row>
    <row r="7" customFormat="false" ht="15" hidden="false" customHeight="true" outlineLevel="0" collapsed="false">
      <c r="B7" s="118" t="n">
        <v>2024</v>
      </c>
      <c r="C7" s="119" t="inlineStr">
        <is>
          <t xml:space="preserve">1 · Matrícula Unificada (periodo 1) · proxy avance académico</t>
        </is>
      </c>
      <c r="D7" s="120" t="n">
        <v>558</v>
      </c>
      <c r="E7" s="118" t="n">
        <v>160</v>
      </c>
      <c r="F7" s="121" t="n">
        <v>0.28673835125448</v>
      </c>
      <c r="G7" s="118" t="n">
        <v>175</v>
      </c>
      <c r="H7" s="121" t="n">
        <v>0.313620071684588</v>
      </c>
      <c r="I7" s="122" t="n">
        <v>0.584229390681004</v>
      </c>
    </row>
    <row r="8" customFormat="false" ht="15" hidden="false" customHeight="true" outlineLevel="0" collapsed="false">
      <c r="B8" s="118" t="n">
        <v>2025</v>
      </c>
      <c r="C8" s="119" t="inlineStr">
        <is>
          <t xml:space="preserve">1 · Matrícula Unificada (periodo 1) · proxy avance académico</t>
        </is>
      </c>
      <c r="D8" s="120" t="n">
        <v>1150</v>
      </c>
      <c r="E8" s="118" t="n">
        <f>'26_Avance_Curricular_Resumen'!E1852</f>
        <v>611</v>
      </c>
      <c r="F8" s="121" t="n">
        <f>IF(D8=0,"",E8/D8)</f>
        <v>0.5313043478260869</v>
      </c>
      <c r="G8" s="120" t="n">
        <v>1023</v>
      </c>
      <c r="H8" s="122" t="n">
        <v>0.889565217391304</v>
      </c>
      <c r="I8" s="122" t="n">
        <v>0.580869565217391</v>
      </c>
    </row>
    <row r="9" customFormat="false" ht="15" hidden="false" customHeight="true" outlineLevel="0" collapsed="false">
      <c r="B9" s="118" t="n">
        <v>2025</v>
      </c>
      <c r="C9" s="119" t="inlineStr">
        <is>
          <t xml:space="preserve">2 · Ingreso T2 (foto del área)</t>
        </is>
      </c>
      <c r="D9" s="120" t="n">
        <v>222</v>
      </c>
      <c r="E9" s="120" t="n">
        <v>200</v>
      </c>
      <c r="F9" s="122" t="n">
        <v>0.900900900900901</v>
      </c>
      <c r="G9" s="120" t="n">
        <v>202</v>
      </c>
      <c r="H9" s="122" t="n">
        <v>0.90990990990991</v>
      </c>
      <c r="I9" s="122" t="inlineStr">
        <is>
          <t xml:space="preserve">No aplica</t>
        </is>
      </c>
    </row>
    <row r="10" customFormat="false" ht="15" hidden="false" customHeight="true" outlineLevel="0" collapsed="false">
      <c r="B10" s="123" t="n">
        <v>2025</v>
      </c>
      <c r="C10" s="124" t="inlineStr">
        <is>
          <t xml:space="preserve">Total (persona una vez)</t>
        </is>
      </c>
      <c r="D10" s="125" t="n">
        <v>1368</v>
      </c>
      <c r="E10" s="125" t="inlineStr">
        <is>
          <t xml:space="preserve">Sin foto completa</t>
        </is>
      </c>
      <c r="F10" s="126" t="inlineStr">
        <is>
          <t xml:space="preserve">—</t>
        </is>
      </c>
      <c r="G10" s="125" t="n">
        <v>1222</v>
      </c>
      <c r="H10" s="126" t="n">
        <v>0.89327485380117</v>
      </c>
      <c r="I10" s="126" t="inlineStr">
        <is>
          <t xml:space="preserve">No aplica</t>
        </is>
      </c>
    </row>
    <row r="11" customFormat="false" ht="15" hidden="false" customHeight="true" outlineLevel="0" collapsed="false">
      <c r="B11" s="118" t="n">
        <v>2026</v>
      </c>
      <c r="C11" s="119" t="inlineStr">
        <is>
          <t xml:space="preserve">1 · Matrícula Unificada (periodo 1) · proxy avance académico</t>
        </is>
      </c>
      <c r="D11" s="120" t="n">
        <v>1471</v>
      </c>
      <c r="E11" s="118" t="n">
        <v>1042</v>
      </c>
      <c r="F11" s="121" t="n">
        <v>0.708361658735554</v>
      </c>
      <c r="G11" s="120" t="n">
        <v>1360</v>
      </c>
      <c r="H11" s="122" t="n">
        <f>H93</f>
        <v>0.9270620313565099</v>
      </c>
      <c r="I11" s="122" t="inlineStr">
        <is>
          <t xml:space="preserve">Se mide en 2027</t>
        </is>
      </c>
    </row>
    <row r="12" customFormat="false" ht="15" hidden="false" customHeight="true" outlineLevel="0" collapsed="false">
      <c r="B12" s="118" t="n">
        <v>2026</v>
      </c>
      <c r="C12" s="119" t="inlineStr">
        <is>
          <t xml:space="preserve">2 · Ingreso T2 (foto del área)</t>
        </is>
      </c>
      <c r="D12" s="120" t="n">
        <v>527</v>
      </c>
      <c r="E12" s="120" t="n">
        <v>462</v>
      </c>
      <c r="F12" s="122" t="n">
        <f>H94</f>
        <v>0.875</v>
      </c>
      <c r="G12" s="120" t="n">
        <v>467</v>
      </c>
      <c r="H12" s="122" t="n">
        <v>0.886148007590133</v>
      </c>
      <c r="I12" s="122" t="inlineStr">
        <is>
          <t xml:space="preserve">No aplica</t>
        </is>
      </c>
    </row>
    <row r="13" customFormat="false" ht="15" hidden="false" customHeight="true" outlineLevel="0" collapsed="false">
      <c r="B13" s="118" t="n">
        <v>2026</v>
      </c>
      <c r="C13" s="119" t="inlineStr">
        <is>
          <t xml:space="preserve">3 · Ingreso T3 (foto del área)</t>
        </is>
      </c>
      <c r="D13" s="120" t="n">
        <v>545</v>
      </c>
      <c r="E13" s="120" t="inlineStr">
        <is>
          <t xml:space="preserve">No aplica</t>
        </is>
      </c>
      <c r="F13" s="122" t="inlineStr">
        <is>
          <t xml:space="preserve">—</t>
        </is>
      </c>
      <c r="G13" s="120" t="n">
        <v>480</v>
      </c>
      <c r="H13" s="122" t="n">
        <v>0.880733944954129</v>
      </c>
      <c r="I13" s="122" t="inlineStr">
        <is>
          <t xml:space="preserve">No aplica</t>
        </is>
      </c>
    </row>
    <row r="14" customFormat="false" ht="15" hidden="false" customHeight="true" outlineLevel="0" collapsed="false">
      <c r="B14" s="123" t="n">
        <v>2026</v>
      </c>
      <c r="C14" s="124" t="inlineStr">
        <is>
          <t xml:space="preserve">Total (persona una vez)</t>
        </is>
      </c>
      <c r="D14" s="125" t="n">
        <v>2523</v>
      </c>
      <c r="E14" s="125" t="inlineStr">
        <is>
          <t xml:space="preserve">Sin foto completa</t>
        </is>
      </c>
      <c r="F14" s="126" t="inlineStr">
        <is>
          <t xml:space="preserve">—</t>
        </is>
      </c>
      <c r="G14" s="125" t="n">
        <v>2290</v>
      </c>
      <c r="H14" s="126" t="n">
        <f>H95</f>
        <v>0.9090909090909091</v>
      </c>
      <c r="I14" s="126" t="inlineStr">
        <is>
          <t xml:space="preserve">No aplica</t>
        </is>
      </c>
    </row>
    <row r="16" customFormat="false" ht="15" hidden="false" customHeight="true" outlineLevel="0" collapsed="false">
      <c r="B16" s="116" t="inlineStr">
        <is>
          <t xml:space="preserve">B. Sector Administración y Comercio</t>
        </is>
      </c>
      <c r="C16" s="13"/>
      <c r="D16" s="13"/>
      <c r="E16" s="13"/>
      <c r="F16" s="13"/>
      <c r="G16" s="13"/>
      <c r="H16" s="13"/>
      <c r="I16" s="13"/>
    </row>
    <row r="17" customFormat="false" ht="30" hidden="false" customHeight="true" outlineLevel="0" collapsed="false">
      <c r="B17" s="117" t="inlineStr">
        <is>
          <t xml:space="preserve">Año</t>
        </is>
      </c>
      <c r="C17" s="117" t="inlineStr">
        <is>
          <t xml:space="preserve">Grupo de ingreso</t>
        </is>
      </c>
      <c r="D17" s="117" t="inlineStr">
        <is>
          <t xml:space="preserve">N° Est</t>
        </is>
      </c>
      <c r="E17" s="117" t="inlineStr">
        <is>
          <t xml:space="preserve">N° Est. vigentes T2</t>
        </is>
      </c>
      <c r="F17" s="117" t="inlineStr">
        <is>
          <t xml:space="preserve">Tasa vigentes T2</t>
        </is>
      </c>
      <c r="G17" s="117" t="inlineStr">
        <is>
          <t xml:space="preserve">N° Est. vigentes T3</t>
        </is>
      </c>
      <c r="H17" s="117" t="inlineStr">
        <is>
          <t xml:space="preserve">Tasa vigentes T3</t>
        </is>
      </c>
      <c r="I17" s="117" t="inlineStr">
        <is>
          <t xml:space="preserve">Retención 1er año (cálculo propio, hoja 9)</t>
        </is>
      </c>
    </row>
    <row r="18" customFormat="false" ht="15" hidden="false" customHeight="true" outlineLevel="0" collapsed="false">
      <c r="B18" s="118" t="n">
        <v>2024</v>
      </c>
      <c r="C18" s="119" t="inlineStr">
        <is>
          <t xml:space="preserve">1 · Matrícula Unificada (periodo 1)</t>
        </is>
      </c>
      <c r="D18" s="120" t="n">
        <v>61</v>
      </c>
      <c r="E18" s="120" t="inlineStr">
        <is>
          <t xml:space="preserve">Sin foto completa</t>
        </is>
      </c>
      <c r="F18" s="122" t="inlineStr">
        <is>
          <t xml:space="preserve">—</t>
        </is>
      </c>
      <c r="G18" s="120" t="inlineStr">
        <is>
          <t xml:space="preserve">Sin foto</t>
        </is>
      </c>
      <c r="H18" s="122" t="inlineStr">
        <is>
          <t xml:space="preserve">—</t>
        </is>
      </c>
      <c r="I18" s="122" t="n">
        <v>0.442622950819672</v>
      </c>
    </row>
    <row r="19" customFormat="false" ht="15" hidden="false" customHeight="true" outlineLevel="0" collapsed="false">
      <c r="B19" s="118" t="n">
        <v>2025</v>
      </c>
      <c r="C19" s="119" t="inlineStr">
        <is>
          <t xml:space="preserve">1 · Matrícula Unificada (periodo 1)</t>
        </is>
      </c>
      <c r="D19" s="120" t="n">
        <v>477</v>
      </c>
      <c r="E19" s="120" t="inlineStr">
        <is>
          <t xml:space="preserve">Sin foto completa</t>
        </is>
      </c>
      <c r="F19" s="122" t="inlineStr">
        <is>
          <t xml:space="preserve">—</t>
        </is>
      </c>
      <c r="G19" s="120" t="n">
        <v>438</v>
      </c>
      <c r="H19" s="122" t="n">
        <v>0.918238993710692</v>
      </c>
      <c r="I19" s="122" t="n">
        <v>0.528301886792453</v>
      </c>
    </row>
    <row r="20" customFormat="false" ht="15" hidden="false" customHeight="true" outlineLevel="0" collapsed="false">
      <c r="B20" s="118" t="n">
        <v>2025</v>
      </c>
      <c r="C20" s="119" t="inlineStr">
        <is>
          <t xml:space="preserve">2 · Ingreso T2 (foto del área)</t>
        </is>
      </c>
      <c r="D20" s="120" t="n">
        <v>97</v>
      </c>
      <c r="E20" s="120" t="n">
        <v>86</v>
      </c>
      <c r="F20" s="122" t="n">
        <v>0.88659793814433</v>
      </c>
      <c r="G20" s="120" t="n">
        <v>87</v>
      </c>
      <c r="H20" s="122" t="n">
        <v>0.896907216494845</v>
      </c>
      <c r="I20" s="122" t="inlineStr">
        <is>
          <t xml:space="preserve">No aplica</t>
        </is>
      </c>
    </row>
    <row r="21" customFormat="false" ht="15" hidden="false" customHeight="true" outlineLevel="0" collapsed="false">
      <c r="B21" s="123" t="n">
        <v>2025</v>
      </c>
      <c r="C21" s="124" t="inlineStr">
        <is>
          <t xml:space="preserve">Total (persona una vez)</t>
        </is>
      </c>
      <c r="D21" s="125" t="n">
        <v>574</v>
      </c>
      <c r="E21" s="125" t="inlineStr">
        <is>
          <t xml:space="preserve">Sin foto completa</t>
        </is>
      </c>
      <c r="F21" s="126" t="inlineStr">
        <is>
          <t xml:space="preserve">—</t>
        </is>
      </c>
      <c r="G21" s="125" t="n">
        <v>525</v>
      </c>
      <c r="H21" s="126" t="n">
        <v>0.914634146341463</v>
      </c>
      <c r="I21" s="126" t="inlineStr">
        <is>
          <t xml:space="preserve">No aplica</t>
        </is>
      </c>
    </row>
    <row r="22" customFormat="false" ht="15" hidden="false" customHeight="true" outlineLevel="0" collapsed="false">
      <c r="B22" s="118" t="n">
        <v>2026</v>
      </c>
      <c r="C22" s="119" t="inlineStr">
        <is>
          <t xml:space="preserve">1 · Matrícula Unificada (periodo 1)</t>
        </is>
      </c>
      <c r="D22" s="120" t="n">
        <v>608</v>
      </c>
      <c r="E22" s="120" t="inlineStr">
        <is>
          <t xml:space="preserve">Sin foto completa</t>
        </is>
      </c>
      <c r="F22" s="122" t="inlineStr">
        <is>
          <t xml:space="preserve">—</t>
        </is>
      </c>
      <c r="G22" s="120" t="n">
        <v>556</v>
      </c>
      <c r="H22" s="122" t="n">
        <v>0.914473684210526</v>
      </c>
      <c r="I22" s="122" t="inlineStr">
        <is>
          <t xml:space="preserve">Se mide en 2027</t>
        </is>
      </c>
    </row>
    <row r="23" customFormat="false" ht="15" hidden="false" customHeight="true" outlineLevel="0" collapsed="false">
      <c r="B23" s="118" t="n">
        <v>2026</v>
      </c>
      <c r="C23" s="119" t="inlineStr">
        <is>
          <t xml:space="preserve">2 · Ingreso T2 (foto del área)</t>
        </is>
      </c>
      <c r="D23" s="120" t="n">
        <v>268</v>
      </c>
      <c r="E23" s="120" t="n">
        <v>237</v>
      </c>
      <c r="F23" s="122" t="n">
        <v>0.881040892193309</v>
      </c>
      <c r="G23" s="120" t="n">
        <v>241</v>
      </c>
      <c r="H23" s="122" t="n">
        <v>0.899253731343284</v>
      </c>
      <c r="I23" s="122" t="inlineStr">
        <is>
          <t xml:space="preserve">No aplica</t>
        </is>
      </c>
    </row>
    <row r="24" customFormat="false" ht="15" hidden="false" customHeight="true" outlineLevel="0" collapsed="false">
      <c r="B24" s="118" t="n">
        <v>2026</v>
      </c>
      <c r="C24" s="119" t="inlineStr">
        <is>
          <t xml:space="preserve">3 · Ingreso T3 (foto del área)</t>
        </is>
      </c>
      <c r="D24" s="120" t="n">
        <v>204</v>
      </c>
      <c r="E24" s="120" t="inlineStr">
        <is>
          <t xml:space="preserve">No aplica</t>
        </is>
      </c>
      <c r="F24" s="122" t="inlineStr">
        <is>
          <t xml:space="preserve">—</t>
        </is>
      </c>
      <c r="G24" s="120" t="n">
        <v>188</v>
      </c>
      <c r="H24" s="122" t="n">
        <v>0.92156862745098</v>
      </c>
      <c r="I24" s="122" t="inlineStr">
        <is>
          <t xml:space="preserve">No aplica</t>
        </is>
      </c>
    </row>
    <row r="25" customFormat="false" ht="15" hidden="false" customHeight="true" outlineLevel="0" collapsed="false">
      <c r="B25" s="123" t="n">
        <v>2026</v>
      </c>
      <c r="C25" s="124" t="inlineStr">
        <is>
          <t xml:space="preserve">Total (persona una vez)</t>
        </is>
      </c>
      <c r="D25" s="125" t="n">
        <v>1074</v>
      </c>
      <c r="E25" s="125" t="inlineStr">
        <is>
          <t xml:space="preserve">Sin foto completa</t>
        </is>
      </c>
      <c r="F25" s="126" t="inlineStr">
        <is>
          <t xml:space="preserve">—</t>
        </is>
      </c>
      <c r="G25" s="125" t="n">
        <v>980</v>
      </c>
      <c r="H25" s="126" t="n">
        <v>0.912476722532589</v>
      </c>
      <c r="I25" s="126" t="inlineStr">
        <is>
          <t xml:space="preserve">No aplica</t>
        </is>
      </c>
    </row>
    <row r="27" customFormat="false" ht="15" hidden="false" customHeight="true" outlineLevel="0" collapsed="false">
      <c r="B27" s="116" t="inlineStr">
        <is>
          <t xml:space="preserve">B. Sector Tecnologías</t>
        </is>
      </c>
      <c r="C27" s="13"/>
      <c r="D27" s="13"/>
      <c r="E27" s="13"/>
      <c r="F27" s="13"/>
      <c r="G27" s="13"/>
      <c r="H27" s="13"/>
      <c r="I27" s="13"/>
    </row>
    <row r="28" customFormat="false" ht="30" hidden="false" customHeight="true" outlineLevel="0" collapsed="false">
      <c r="B28" s="117" t="inlineStr">
        <is>
          <t xml:space="preserve">Año</t>
        </is>
      </c>
      <c r="C28" s="117" t="inlineStr">
        <is>
          <t xml:space="preserve">Grupo de ingreso</t>
        </is>
      </c>
      <c r="D28" s="117" t="inlineStr">
        <is>
          <t xml:space="preserve">N° Est</t>
        </is>
      </c>
      <c r="E28" s="117" t="inlineStr">
        <is>
          <t xml:space="preserve">N° Est. vigentes T2</t>
        </is>
      </c>
      <c r="F28" s="117" t="inlineStr">
        <is>
          <t xml:space="preserve">Tasa vigentes T2</t>
        </is>
      </c>
      <c r="G28" s="117" t="inlineStr">
        <is>
          <t xml:space="preserve">N° Est. vigentes T3</t>
        </is>
      </c>
      <c r="H28" s="117" t="inlineStr">
        <is>
          <t xml:space="preserve">Tasa vigentes T3</t>
        </is>
      </c>
      <c r="I28" s="117" t="inlineStr">
        <is>
          <t xml:space="preserve">Retención 1er año (cálculo propio, hoja 9)</t>
        </is>
      </c>
    </row>
    <row r="29" customFormat="false" ht="15" hidden="false" customHeight="true" outlineLevel="0" collapsed="false">
      <c r="B29" s="118" t="n">
        <v>2024</v>
      </c>
      <c r="C29" s="119" t="inlineStr">
        <is>
          <t xml:space="preserve">1 · Matrícula Unificada (periodo 1)</t>
        </is>
      </c>
      <c r="D29" s="120" t="n">
        <v>497</v>
      </c>
      <c r="E29" s="120" t="inlineStr">
        <is>
          <t xml:space="preserve">Sin foto completa</t>
        </is>
      </c>
      <c r="F29" s="122" t="inlineStr">
        <is>
          <t xml:space="preserve">—</t>
        </is>
      </c>
      <c r="G29" s="120" t="inlineStr">
        <is>
          <t xml:space="preserve">Sin foto</t>
        </is>
      </c>
      <c r="H29" s="122" t="inlineStr">
        <is>
          <t xml:space="preserve">—</t>
        </is>
      </c>
      <c r="I29" s="122" t="n">
        <v>0.601609657947686</v>
      </c>
    </row>
    <row r="30" customFormat="false" ht="15" hidden="false" customHeight="true" outlineLevel="0" collapsed="false">
      <c r="B30" s="118" t="n">
        <v>2025</v>
      </c>
      <c r="C30" s="119" t="inlineStr">
        <is>
          <t xml:space="preserve">1 · Matrícula Unificada (periodo 1)</t>
        </is>
      </c>
      <c r="D30" s="120" t="n">
        <v>598</v>
      </c>
      <c r="E30" s="120" t="inlineStr">
        <is>
          <t xml:space="preserve">Sin foto completa</t>
        </is>
      </c>
      <c r="F30" s="122" t="inlineStr">
        <is>
          <t xml:space="preserve">—</t>
        </is>
      </c>
      <c r="G30" s="120" t="n">
        <v>522</v>
      </c>
      <c r="H30" s="122" t="n">
        <v>0.872909698996656</v>
      </c>
      <c r="I30" s="122" t="n">
        <v>0.637123745819398</v>
      </c>
    </row>
    <row r="31" customFormat="false" ht="15" hidden="false" customHeight="true" outlineLevel="0" collapsed="false">
      <c r="B31" s="118" t="n">
        <v>2025</v>
      </c>
      <c r="C31" s="119" t="inlineStr">
        <is>
          <t xml:space="preserve">2 · Ingreso T2 (foto del área)</t>
        </is>
      </c>
      <c r="D31" s="120" t="n">
        <v>104</v>
      </c>
      <c r="E31" s="120" t="n">
        <v>97</v>
      </c>
      <c r="F31" s="122" t="n">
        <v>0.932692307692308</v>
      </c>
      <c r="G31" s="120" t="n">
        <v>97</v>
      </c>
      <c r="H31" s="122" t="n">
        <v>0.932692307692308</v>
      </c>
      <c r="I31" s="122" t="inlineStr">
        <is>
          <t xml:space="preserve">No aplica</t>
        </is>
      </c>
    </row>
    <row r="32" customFormat="false" ht="15" hidden="false" customHeight="true" outlineLevel="0" collapsed="false">
      <c r="B32" s="123" t="n">
        <v>2025</v>
      </c>
      <c r="C32" s="124" t="inlineStr">
        <is>
          <t xml:space="preserve">Total (persona una vez)</t>
        </is>
      </c>
      <c r="D32" s="125" t="n">
        <v>701</v>
      </c>
      <c r="E32" s="125" t="inlineStr">
        <is>
          <t xml:space="preserve">Sin foto completa</t>
        </is>
      </c>
      <c r="F32" s="126" t="inlineStr">
        <is>
          <t xml:space="preserve">—</t>
        </is>
      </c>
      <c r="G32" s="125" t="n">
        <v>619</v>
      </c>
      <c r="H32" s="126" t="n">
        <v>0.8830242510699</v>
      </c>
      <c r="I32" s="126" t="inlineStr">
        <is>
          <t xml:space="preserve">No aplica</t>
        </is>
      </c>
    </row>
    <row r="33" customFormat="false" ht="15" hidden="false" customHeight="true" outlineLevel="0" collapsed="false">
      <c r="B33" s="118" t="n">
        <v>2026</v>
      </c>
      <c r="C33" s="119" t="inlineStr">
        <is>
          <t xml:space="preserve">1 · Matrícula Unificada (periodo 1)</t>
        </is>
      </c>
      <c r="D33" s="120" t="n">
        <v>574</v>
      </c>
      <c r="E33" s="120" t="inlineStr">
        <is>
          <t xml:space="preserve">Sin foto completa</t>
        </is>
      </c>
      <c r="F33" s="122" t="inlineStr">
        <is>
          <t xml:space="preserve">—</t>
        </is>
      </c>
      <c r="G33" s="120" t="n">
        <v>534</v>
      </c>
      <c r="H33" s="122" t="n">
        <v>0.936842105263158</v>
      </c>
      <c r="I33" s="122" t="inlineStr">
        <is>
          <t xml:space="preserve">Se mide en 2027</t>
        </is>
      </c>
    </row>
    <row r="34" customFormat="false" ht="15" hidden="false" customHeight="true" outlineLevel="0" collapsed="false">
      <c r="B34" s="118" t="n">
        <v>2026</v>
      </c>
      <c r="C34" s="119" t="inlineStr">
        <is>
          <t xml:space="preserve">2 · Ingreso T2 (foto del área)</t>
        </is>
      </c>
      <c r="D34" s="120" t="n">
        <v>134</v>
      </c>
      <c r="E34" s="120" t="n">
        <v>129</v>
      </c>
      <c r="F34" s="122" t="n">
        <v>0.962686567164179</v>
      </c>
      <c r="G34" s="120" t="n">
        <v>124</v>
      </c>
      <c r="H34" s="122" t="n">
        <v>0.925373134328358</v>
      </c>
      <c r="I34" s="122" t="inlineStr">
        <is>
          <t xml:space="preserve">No aplica</t>
        </is>
      </c>
    </row>
    <row r="35" customFormat="false" ht="15" hidden="false" customHeight="true" outlineLevel="0" collapsed="false">
      <c r="B35" s="118" t="n">
        <v>2026</v>
      </c>
      <c r="C35" s="119" t="inlineStr">
        <is>
          <t xml:space="preserve">3 · Ingreso T3 (foto del área)</t>
        </is>
      </c>
      <c r="D35" s="120" t="n">
        <v>210</v>
      </c>
      <c r="E35" s="120" t="inlineStr">
        <is>
          <t xml:space="preserve">No aplica</t>
        </is>
      </c>
      <c r="F35" s="122" t="inlineStr">
        <is>
          <t xml:space="preserve">—</t>
        </is>
      </c>
      <c r="G35" s="120" t="n">
        <v>189</v>
      </c>
      <c r="H35" s="122" t="n">
        <v>0.9</v>
      </c>
      <c r="I35" s="122" t="inlineStr">
        <is>
          <t xml:space="preserve">No aplica</t>
        </is>
      </c>
    </row>
    <row r="36" customFormat="false" ht="15" hidden="false" customHeight="true" outlineLevel="0" collapsed="false">
      <c r="B36" s="123" t="n">
        <v>2026</v>
      </c>
      <c r="C36" s="124" t="inlineStr">
        <is>
          <t xml:space="preserve">Total (persona una vez)</t>
        </is>
      </c>
      <c r="D36" s="125" t="n">
        <v>916</v>
      </c>
      <c r="E36" s="125" t="inlineStr">
        <is>
          <t xml:space="preserve">Sin foto completa</t>
        </is>
      </c>
      <c r="F36" s="126" t="inlineStr">
        <is>
          <t xml:space="preserve">—</t>
        </is>
      </c>
      <c r="G36" s="125" t="n">
        <v>845</v>
      </c>
      <c r="H36" s="126" t="n">
        <v>0.926535087719298</v>
      </c>
      <c r="I36" s="126" t="inlineStr">
        <is>
          <t xml:space="preserve">No aplica</t>
        </is>
      </c>
    </row>
    <row r="38" customFormat="false" ht="15" hidden="false" customHeight="true" outlineLevel="0" collapsed="false">
      <c r="B38" s="116" t="inlineStr">
        <is>
          <t xml:space="preserve">B. Sector Salud</t>
        </is>
      </c>
      <c r="C38" s="13"/>
      <c r="D38" s="13"/>
      <c r="E38" s="13"/>
      <c r="F38" s="13"/>
      <c r="G38" s="13"/>
      <c r="H38" s="13"/>
      <c r="I38" s="13"/>
    </row>
    <row r="39" customFormat="false" ht="30" hidden="false" customHeight="true" outlineLevel="0" collapsed="false">
      <c r="B39" s="117" t="inlineStr">
        <is>
          <t xml:space="preserve">Año</t>
        </is>
      </c>
      <c r="C39" s="117" t="inlineStr">
        <is>
          <t xml:space="preserve">Grupo de ingreso</t>
        </is>
      </c>
      <c r="D39" s="117" t="inlineStr">
        <is>
          <t xml:space="preserve">N° Est</t>
        </is>
      </c>
      <c r="E39" s="117" t="inlineStr">
        <is>
          <t xml:space="preserve">N° Est. vigentes T2</t>
        </is>
      </c>
      <c r="F39" s="117" t="inlineStr">
        <is>
          <t xml:space="preserve">Tasa vigentes T2</t>
        </is>
      </c>
      <c r="G39" s="117" t="inlineStr">
        <is>
          <t xml:space="preserve">N° Est. vigentes T3</t>
        </is>
      </c>
      <c r="H39" s="117" t="inlineStr">
        <is>
          <t xml:space="preserve">Tasa vigentes T3</t>
        </is>
      </c>
      <c r="I39" s="117" t="inlineStr">
        <is>
          <t xml:space="preserve">Retención 1er año (cálculo propio, hoja 9)</t>
        </is>
      </c>
    </row>
    <row r="40" customFormat="false" ht="15" hidden="false" customHeight="true" outlineLevel="0" collapsed="false">
      <c r="B40" s="118" t="n">
        <v>2024</v>
      </c>
      <c r="C40" s="119" t="inlineStr">
        <is>
          <t xml:space="preserve">1 · Matrícula Unificada (periodo 1)</t>
        </is>
      </c>
      <c r="D40" s="120" t="n">
        <v>0</v>
      </c>
      <c r="E40" s="120" t="inlineStr">
        <is>
          <t xml:space="preserve">Sin foto completa</t>
        </is>
      </c>
      <c r="F40" s="122" t="inlineStr">
        <is>
          <t xml:space="preserve">—</t>
        </is>
      </c>
      <c r="G40" s="120" t="inlineStr">
        <is>
          <t xml:space="preserve">Sin foto</t>
        </is>
      </c>
      <c r="H40" s="122" t="inlineStr">
        <is>
          <t xml:space="preserve">—</t>
        </is>
      </c>
      <c r="I40" s="122" t="str">
        <v>—</v>
      </c>
    </row>
    <row r="41" customFormat="false" ht="15" hidden="false" customHeight="true" outlineLevel="0" collapsed="false">
      <c r="B41" s="118" t="n">
        <v>2025</v>
      </c>
      <c r="C41" s="119" t="inlineStr">
        <is>
          <t xml:space="preserve">1 · Matrícula Unificada (periodo 1)</t>
        </is>
      </c>
      <c r="D41" s="120" t="n">
        <v>75</v>
      </c>
      <c r="E41" s="120" t="inlineStr">
        <is>
          <t xml:space="preserve">Sin foto completa</t>
        </is>
      </c>
      <c r="F41" s="122" t="inlineStr">
        <is>
          <t xml:space="preserve">—</t>
        </is>
      </c>
      <c r="G41" s="120" t="n">
        <v>63</v>
      </c>
      <c r="H41" s="122" t="n">
        <v>0.84</v>
      </c>
      <c r="I41" s="122" t="n">
        <v>0.466666666666667</v>
      </c>
    </row>
    <row r="42" customFormat="false" ht="15" hidden="false" customHeight="true" outlineLevel="0" collapsed="false">
      <c r="B42" s="118" t="n">
        <v>2025</v>
      </c>
      <c r="C42" s="119" t="inlineStr">
        <is>
          <t xml:space="preserve">2 · Ingreso T2 (foto del área)</t>
        </is>
      </c>
      <c r="D42" s="120" t="n">
        <v>21</v>
      </c>
      <c r="E42" s="120" t="n">
        <v>17</v>
      </c>
      <c r="F42" s="122" t="n">
        <v>0.80952380952381</v>
      </c>
      <c r="G42" s="120" t="n">
        <v>18</v>
      </c>
      <c r="H42" s="122" t="n">
        <v>0.857142857142857</v>
      </c>
      <c r="I42" s="122" t="inlineStr">
        <is>
          <t xml:space="preserve">No aplica</t>
        </is>
      </c>
    </row>
    <row r="43" customFormat="false" ht="15" hidden="false" customHeight="true" outlineLevel="0" collapsed="false">
      <c r="B43" s="123" t="n">
        <v>2025</v>
      </c>
      <c r="C43" s="124" t="inlineStr">
        <is>
          <t xml:space="preserve">Total (persona una vez)</t>
        </is>
      </c>
      <c r="D43" s="125" t="n">
        <v>95</v>
      </c>
      <c r="E43" s="125" t="inlineStr">
        <is>
          <t xml:space="preserve">Sin foto completa</t>
        </is>
      </c>
      <c r="F43" s="126" t="inlineStr">
        <is>
          <t xml:space="preserve">—</t>
        </is>
      </c>
      <c r="G43" s="125" t="n">
        <v>80</v>
      </c>
      <c r="H43" s="126" t="n">
        <v>0.842105263157895</v>
      </c>
      <c r="I43" s="126" t="inlineStr">
        <is>
          <t xml:space="preserve">No aplica</t>
        </is>
      </c>
    </row>
    <row r="44" customFormat="false" ht="15" hidden="false" customHeight="true" outlineLevel="0" collapsed="false">
      <c r="B44" s="118" t="n">
        <v>2026</v>
      </c>
      <c r="C44" s="119" t="inlineStr">
        <is>
          <t xml:space="preserve">1 · Matrícula Unificada (periodo 1)</t>
        </is>
      </c>
      <c r="D44" s="120" t="n">
        <v>289</v>
      </c>
      <c r="E44" s="120" t="inlineStr">
        <is>
          <t xml:space="preserve">Sin foto completa</t>
        </is>
      </c>
      <c r="F44" s="122" t="inlineStr">
        <is>
          <t xml:space="preserve">—</t>
        </is>
      </c>
      <c r="G44" s="120" t="n">
        <v>270</v>
      </c>
      <c r="H44" s="122" t="n">
        <v>0.934256055363322</v>
      </c>
      <c r="I44" s="122" t="inlineStr">
        <is>
          <t xml:space="preserve">Se mide en 2027</t>
        </is>
      </c>
    </row>
    <row r="45" customFormat="false" ht="15" hidden="false" customHeight="true" outlineLevel="0" collapsed="false">
      <c r="B45" s="118" t="n">
        <v>2026</v>
      </c>
      <c r="C45" s="119" t="inlineStr">
        <is>
          <t xml:space="preserve">2 · Ingreso T2 (foto del área)</t>
        </is>
      </c>
      <c r="D45" s="120" t="n">
        <v>125</v>
      </c>
      <c r="E45" s="120" t="n">
        <v>96</v>
      </c>
      <c r="F45" s="122" t="n">
        <v>0.768</v>
      </c>
      <c r="G45" s="120" t="n">
        <v>102</v>
      </c>
      <c r="H45" s="122" t="n">
        <v>0.816</v>
      </c>
      <c r="I45" s="122" t="inlineStr">
        <is>
          <t xml:space="preserve">No aplica</t>
        </is>
      </c>
    </row>
    <row r="46" customFormat="false" ht="15" hidden="false" customHeight="true" outlineLevel="0" collapsed="false">
      <c r="B46" s="118" t="n">
        <v>2026</v>
      </c>
      <c r="C46" s="119" t="inlineStr">
        <is>
          <t xml:space="preserve">3 · Ingreso T3 (foto del área)</t>
        </is>
      </c>
      <c r="D46" s="120" t="n">
        <v>131</v>
      </c>
      <c r="E46" s="120" t="inlineStr">
        <is>
          <t xml:space="preserve">No aplica</t>
        </is>
      </c>
      <c r="F46" s="122" t="inlineStr">
        <is>
          <t xml:space="preserve">—</t>
        </is>
      </c>
      <c r="G46" s="120" t="n">
        <v>103</v>
      </c>
      <c r="H46" s="122" t="n">
        <v>0.786259541984733</v>
      </c>
      <c r="I46" s="122" t="inlineStr">
        <is>
          <t xml:space="preserve">No aplica</t>
        </is>
      </c>
    </row>
    <row r="47" customFormat="false" ht="15" hidden="false" customHeight="true" outlineLevel="0" collapsed="false">
      <c r="B47" s="123" t="n">
        <v>2026</v>
      </c>
      <c r="C47" s="124" t="inlineStr">
        <is>
          <t xml:space="preserve">Total (persona una vez)</t>
        </is>
      </c>
      <c r="D47" s="125" t="n">
        <v>542</v>
      </c>
      <c r="E47" s="125" t="inlineStr">
        <is>
          <t xml:space="preserve">Sin foto completa</t>
        </is>
      </c>
      <c r="F47" s="126" t="inlineStr">
        <is>
          <t xml:space="preserve">—</t>
        </is>
      </c>
      <c r="G47" s="125" t="n">
        <v>473</v>
      </c>
      <c r="H47" s="126" t="n">
        <v>0.872693726937269</v>
      </c>
      <c r="I47" s="126" t="inlineStr">
        <is>
          <t xml:space="preserve">No aplica</t>
        </is>
      </c>
    </row>
    <row r="49" customFormat="false" ht="15" hidden="false" customHeight="true" outlineLevel="0" collapsed="false">
      <c r="B49" s="116" t="inlineStr">
        <is>
          <t xml:space="preserve">C. Tipo de carrera · Técnico de Nivel Superior</t>
        </is>
      </c>
      <c r="C49" s="13"/>
      <c r="D49" s="13"/>
      <c r="E49" s="13"/>
      <c r="F49" s="13"/>
      <c r="G49" s="13"/>
      <c r="H49" s="13"/>
      <c r="I49" s="13"/>
    </row>
    <row r="50" customFormat="false" ht="30" hidden="false" customHeight="true" outlineLevel="0" collapsed="false">
      <c r="B50" s="117" t="inlineStr">
        <is>
          <t xml:space="preserve">Año</t>
        </is>
      </c>
      <c r="C50" s="117" t="inlineStr">
        <is>
          <t xml:space="preserve">Grupo de ingreso</t>
        </is>
      </c>
      <c r="D50" s="117" t="inlineStr">
        <is>
          <t xml:space="preserve">N° Est</t>
        </is>
      </c>
      <c r="E50" s="117" t="inlineStr">
        <is>
          <t xml:space="preserve">N° Est. vigentes T2</t>
        </is>
      </c>
      <c r="F50" s="117" t="inlineStr">
        <is>
          <t xml:space="preserve">Tasa vigentes T2</t>
        </is>
      </c>
      <c r="G50" s="117" t="inlineStr">
        <is>
          <t xml:space="preserve">N° Est. vigentes T3</t>
        </is>
      </c>
      <c r="H50" s="117" t="inlineStr">
        <is>
          <t xml:space="preserve">Tasa vigentes T3</t>
        </is>
      </c>
      <c r="I50" s="117" t="inlineStr">
        <is>
          <t xml:space="preserve">Retención 1er año (cálculo propio, hoja 9)</t>
        </is>
      </c>
    </row>
    <row r="51" customFormat="false" ht="15" hidden="false" customHeight="true" outlineLevel="0" collapsed="false">
      <c r="B51" s="118" t="n">
        <v>2024</v>
      </c>
      <c r="C51" s="119" t="inlineStr">
        <is>
          <t xml:space="preserve">1 · Matrícula Unificada (periodo 1)</t>
        </is>
      </c>
      <c r="D51" s="120" t="n">
        <v>271</v>
      </c>
      <c r="E51" s="120" t="inlineStr">
        <is>
          <t xml:space="preserve">Sin foto completa</t>
        </is>
      </c>
      <c r="F51" s="122" t="inlineStr">
        <is>
          <t xml:space="preserve">—</t>
        </is>
      </c>
      <c r="G51" s="120" t="inlineStr">
        <is>
          <t xml:space="preserve">Sin foto</t>
        </is>
      </c>
      <c r="H51" s="122" t="inlineStr">
        <is>
          <t xml:space="preserve">—</t>
        </is>
      </c>
      <c r="I51" s="122" t="n">
        <v>0.549815498154982</v>
      </c>
    </row>
    <row r="52" customFormat="false" ht="15" hidden="false" customHeight="true" outlineLevel="0" collapsed="false">
      <c r="B52" s="118" t="n">
        <v>2025</v>
      </c>
      <c r="C52" s="119" t="inlineStr">
        <is>
          <t xml:space="preserve">1 · Matrícula Unificada (periodo 1)</t>
        </is>
      </c>
      <c r="D52" s="120" t="n">
        <v>565</v>
      </c>
      <c r="E52" s="120" t="inlineStr">
        <is>
          <t xml:space="preserve">Sin foto completa</t>
        </is>
      </c>
      <c r="F52" s="122" t="inlineStr">
        <is>
          <t xml:space="preserve">—</t>
        </is>
      </c>
      <c r="G52" s="120" t="n">
        <v>495</v>
      </c>
      <c r="H52" s="122" t="n">
        <v>0.876106194690266</v>
      </c>
      <c r="I52" s="122" t="n">
        <v>0.557522123893805</v>
      </c>
    </row>
    <row r="53" customFormat="false" ht="15" hidden="false" customHeight="true" outlineLevel="0" collapsed="false">
      <c r="B53" s="118" t="n">
        <v>2025</v>
      </c>
      <c r="C53" s="119" t="inlineStr">
        <is>
          <t xml:space="preserve">2 · Ingreso T2 (foto del área)</t>
        </is>
      </c>
      <c r="D53" s="120" t="n">
        <v>36</v>
      </c>
      <c r="E53" s="120" t="n">
        <v>31</v>
      </c>
      <c r="F53" s="122" t="n">
        <v>0.861111111111111</v>
      </c>
      <c r="G53" s="120" t="n">
        <v>31</v>
      </c>
      <c r="H53" s="122" t="n">
        <v>0.861111111111111</v>
      </c>
      <c r="I53" s="122" t="inlineStr">
        <is>
          <t xml:space="preserve">No aplica</t>
        </is>
      </c>
    </row>
    <row r="54" customFormat="false" ht="15" hidden="false" customHeight="true" outlineLevel="0" collapsed="false">
      <c r="B54" s="123" t="n">
        <v>2025</v>
      </c>
      <c r="C54" s="124" t="inlineStr">
        <is>
          <t xml:space="preserve">Total (persona una vez)</t>
        </is>
      </c>
      <c r="D54" s="125" t="n">
        <v>599</v>
      </c>
      <c r="E54" s="125" t="inlineStr">
        <is>
          <t xml:space="preserve">Sin foto completa</t>
        </is>
      </c>
      <c r="F54" s="126" t="inlineStr">
        <is>
          <t xml:space="preserve">—</t>
        </is>
      </c>
      <c r="G54" s="125" t="n">
        <v>525</v>
      </c>
      <c r="H54" s="126" t="n">
        <v>0.876460767946578</v>
      </c>
      <c r="I54" s="126" t="inlineStr">
        <is>
          <t xml:space="preserve">No aplica</t>
        </is>
      </c>
    </row>
    <row r="55" customFormat="false" ht="15" hidden="false" customHeight="true" outlineLevel="0" collapsed="false">
      <c r="B55" s="118" t="n">
        <v>2026</v>
      </c>
      <c r="C55" s="119" t="inlineStr">
        <is>
          <t xml:space="preserve">1 · Matrícula Unificada (periodo 1)</t>
        </is>
      </c>
      <c r="D55" s="120" t="n">
        <v>793</v>
      </c>
      <c r="E55" s="120" t="inlineStr">
        <is>
          <t xml:space="preserve">Sin foto completa</t>
        </is>
      </c>
      <c r="F55" s="122" t="inlineStr">
        <is>
          <t xml:space="preserve">—</t>
        </is>
      </c>
      <c r="G55" s="120" t="n">
        <v>730</v>
      </c>
      <c r="H55" s="122" t="n">
        <v>0.925221799746515</v>
      </c>
      <c r="I55" s="122" t="inlineStr">
        <is>
          <t xml:space="preserve">Se mide en 2027</t>
        </is>
      </c>
    </row>
    <row r="56" customFormat="false" ht="15" hidden="false" customHeight="true" outlineLevel="0" collapsed="false">
      <c r="B56" s="118" t="n">
        <v>2026</v>
      </c>
      <c r="C56" s="119" t="inlineStr">
        <is>
          <t xml:space="preserve">2 · Ingreso T2 (foto del área)</t>
        </is>
      </c>
      <c r="D56" s="120" t="n">
        <v>291</v>
      </c>
      <c r="E56" s="120" t="inlineStr">
        <is>
          <t xml:space="preserve">Sin estado</t>
        </is>
      </c>
      <c r="F56" s="122" t="inlineStr">
        <is>
          <t xml:space="preserve">—</t>
        </is>
      </c>
      <c r="G56" s="120" t="n">
        <v>248</v>
      </c>
      <c r="H56" s="122" t="n">
        <v>0.852233676975945</v>
      </c>
      <c r="I56" s="122" t="inlineStr">
        <is>
          <t xml:space="preserve">No aplica</t>
        </is>
      </c>
    </row>
    <row r="57" customFormat="false" ht="15" hidden="false" customHeight="true" outlineLevel="0" collapsed="false">
      <c r="B57" s="118" t="n">
        <v>2026</v>
      </c>
      <c r="C57" s="119" t="inlineStr">
        <is>
          <t xml:space="preserve">3 · Ingreso T3 (foto del área)</t>
        </is>
      </c>
      <c r="D57" s="120" t="n">
        <v>288</v>
      </c>
      <c r="E57" s="120" t="inlineStr">
        <is>
          <t xml:space="preserve">No aplica</t>
        </is>
      </c>
      <c r="F57" s="122" t="inlineStr">
        <is>
          <t xml:space="preserve">—</t>
        </is>
      </c>
      <c r="G57" s="120" t="n">
        <v>245</v>
      </c>
      <c r="H57" s="122" t="n">
        <v>0.850694444444444</v>
      </c>
      <c r="I57" s="122" t="inlineStr">
        <is>
          <t xml:space="preserve">No aplica</t>
        </is>
      </c>
    </row>
    <row r="58" customFormat="false" ht="15" hidden="false" customHeight="true" outlineLevel="0" collapsed="false">
      <c r="B58" s="123" t="n">
        <v>2026</v>
      </c>
      <c r="C58" s="124" t="inlineStr">
        <is>
          <t xml:space="preserve">Total (persona una vez)</t>
        </is>
      </c>
      <c r="D58" s="125" t="n">
        <v>1362</v>
      </c>
      <c r="E58" s="125" t="inlineStr">
        <is>
          <t xml:space="preserve">Sin foto completa</t>
        </is>
      </c>
      <c r="F58" s="126" t="inlineStr">
        <is>
          <t xml:space="preserve">—</t>
        </is>
      </c>
      <c r="G58" s="125" t="n">
        <v>1215</v>
      </c>
      <c r="H58" s="126" t="n">
        <v>0.894698085419735</v>
      </c>
      <c r="I58" s="126" t="inlineStr">
        <is>
          <t xml:space="preserve">No aplica</t>
        </is>
      </c>
    </row>
    <row r="60" customFormat="false" ht="15" hidden="false" customHeight="true" outlineLevel="0" collapsed="false">
      <c r="B60" s="116" t="inlineStr">
        <is>
          <t xml:space="preserve">C. Tipo de carrera · Profesional sin licenciatura</t>
        </is>
      </c>
      <c r="C60" s="13"/>
      <c r="D60" s="13"/>
      <c r="E60" s="13"/>
      <c r="F60" s="13"/>
      <c r="G60" s="13"/>
      <c r="H60" s="13"/>
      <c r="I60" s="13"/>
    </row>
    <row r="61" customFormat="false" ht="30" hidden="false" customHeight="true" outlineLevel="0" collapsed="false">
      <c r="B61" s="117" t="inlineStr">
        <is>
          <t xml:space="preserve">Año</t>
        </is>
      </c>
      <c r="C61" s="117" t="inlineStr">
        <is>
          <t xml:space="preserve">Grupo de ingreso</t>
        </is>
      </c>
      <c r="D61" s="117" t="inlineStr">
        <is>
          <t xml:space="preserve">N° Est</t>
        </is>
      </c>
      <c r="E61" s="117" t="inlineStr">
        <is>
          <t xml:space="preserve">N° Est. vigentes T2</t>
        </is>
      </c>
      <c r="F61" s="117" t="inlineStr">
        <is>
          <t xml:space="preserve">Tasa vigentes T2</t>
        </is>
      </c>
      <c r="G61" s="117" t="inlineStr">
        <is>
          <t xml:space="preserve">N° Est. vigentes T3</t>
        </is>
      </c>
      <c r="H61" s="117" t="inlineStr">
        <is>
          <t xml:space="preserve">Tasa vigentes T3</t>
        </is>
      </c>
      <c r="I61" s="117" t="inlineStr">
        <is>
          <t xml:space="preserve">Retención 1er año (cálculo propio, hoja 9)</t>
        </is>
      </c>
    </row>
    <row r="62" customFormat="false" ht="15" hidden="false" customHeight="true" outlineLevel="0" collapsed="false">
      <c r="B62" s="118" t="n">
        <v>2024</v>
      </c>
      <c r="C62" s="119" t="inlineStr">
        <is>
          <t xml:space="preserve">1 · Matrícula Unificada (periodo 1)</t>
        </is>
      </c>
      <c r="D62" s="120" t="n">
        <v>287</v>
      </c>
      <c r="E62" s="120" t="inlineStr">
        <is>
          <t xml:space="preserve">Sin foto completa</t>
        </is>
      </c>
      <c r="F62" s="122" t="inlineStr">
        <is>
          <t xml:space="preserve">—</t>
        </is>
      </c>
      <c r="G62" s="120" t="inlineStr">
        <is>
          <t xml:space="preserve">Sin foto</t>
        </is>
      </c>
      <c r="H62" s="122" t="inlineStr">
        <is>
          <t xml:space="preserve">—</t>
        </is>
      </c>
      <c r="I62" s="122" t="n">
        <v>0.616724738675958</v>
      </c>
    </row>
    <row r="63" customFormat="false" ht="15" hidden="false" customHeight="true" outlineLevel="0" collapsed="false">
      <c r="B63" s="118" t="n">
        <v>2025</v>
      </c>
      <c r="C63" s="119" t="inlineStr">
        <is>
          <t xml:space="preserve">1 · Matrícula Unificada (periodo 1)</t>
        </is>
      </c>
      <c r="D63" s="120" t="n">
        <v>585</v>
      </c>
      <c r="E63" s="120" t="inlineStr">
        <is>
          <t xml:space="preserve">Sin foto completa</t>
        </is>
      </c>
      <c r="F63" s="122" t="inlineStr">
        <is>
          <t xml:space="preserve">—</t>
        </is>
      </c>
      <c r="G63" s="120" t="n">
        <v>528</v>
      </c>
      <c r="H63" s="122" t="n">
        <v>0.902564102564103</v>
      </c>
      <c r="I63" s="122" t="n">
        <v>0.603418803418803</v>
      </c>
    </row>
    <row r="64" customFormat="false" ht="15" hidden="false" customHeight="true" outlineLevel="0" collapsed="false">
      <c r="B64" s="118" t="n">
        <v>2025</v>
      </c>
      <c r="C64" s="119" t="inlineStr">
        <is>
          <t xml:space="preserve">2 · Ingreso T2 (foto del área)</t>
        </is>
      </c>
      <c r="D64" s="120" t="n">
        <v>186</v>
      </c>
      <c r="E64" s="120" t="n">
        <v>169</v>
      </c>
      <c r="F64" s="122" t="n">
        <v>0.908602150537634</v>
      </c>
      <c r="G64" s="120" t="n">
        <v>171</v>
      </c>
      <c r="H64" s="122" t="n">
        <v>0.919354838709677</v>
      </c>
      <c r="I64" s="122" t="inlineStr">
        <is>
          <t xml:space="preserve">No aplica</t>
        </is>
      </c>
    </row>
    <row r="65" customFormat="false" ht="15" hidden="false" customHeight="true" outlineLevel="0" collapsed="false">
      <c r="B65" s="123" t="n">
        <v>2025</v>
      </c>
      <c r="C65" s="124" t="inlineStr">
        <is>
          <t xml:space="preserve">Total (persona una vez)</t>
        </is>
      </c>
      <c r="D65" s="125" t="n">
        <v>771</v>
      </c>
      <c r="E65" s="125" t="inlineStr">
        <is>
          <t xml:space="preserve">Sin foto completa</t>
        </is>
      </c>
      <c r="F65" s="126" t="inlineStr">
        <is>
          <t xml:space="preserve">—</t>
        </is>
      </c>
      <c r="G65" s="125" t="n">
        <v>699</v>
      </c>
      <c r="H65" s="126" t="n">
        <v>0.906614785992218</v>
      </c>
      <c r="I65" s="126" t="inlineStr">
        <is>
          <t xml:space="preserve">No aplica</t>
        </is>
      </c>
    </row>
    <row r="66" customFormat="false" ht="15" hidden="false" customHeight="true" outlineLevel="0" collapsed="false">
      <c r="B66" s="118" t="n">
        <v>2026</v>
      </c>
      <c r="C66" s="119" t="inlineStr">
        <is>
          <t xml:space="preserve">1 · Matrícula Unificada (periodo 1)</t>
        </is>
      </c>
      <c r="D66" s="120" t="n">
        <v>678</v>
      </c>
      <c r="E66" s="120" t="inlineStr">
        <is>
          <t xml:space="preserve">Sin foto completa</t>
        </is>
      </c>
      <c r="F66" s="122" t="inlineStr">
        <is>
          <t xml:space="preserve">—</t>
        </is>
      </c>
      <c r="G66" s="120" t="n">
        <v>630</v>
      </c>
      <c r="H66" s="122" t="n">
        <v>0.929203539823009</v>
      </c>
      <c r="I66" s="122" t="inlineStr">
        <is>
          <t xml:space="preserve">Se mide en 2027</t>
        </is>
      </c>
    </row>
    <row r="67" customFormat="false" ht="15" hidden="false" customHeight="true" outlineLevel="0" collapsed="false">
      <c r="B67" s="118" t="n">
        <v>2026</v>
      </c>
      <c r="C67" s="119" t="inlineStr">
        <is>
          <t xml:space="preserve">2 · Ingreso T2 (foto del área)</t>
        </is>
      </c>
      <c r="D67" s="120" t="n">
        <v>236</v>
      </c>
      <c r="E67" s="120" t="inlineStr">
        <is>
          <t xml:space="preserve">Sin estado</t>
        </is>
      </c>
      <c r="F67" s="122" t="inlineStr">
        <is>
          <t xml:space="preserve">—</t>
        </is>
      </c>
      <c r="G67" s="120" t="n">
        <v>219</v>
      </c>
      <c r="H67" s="122" t="n">
        <v>0.927966101694915</v>
      </c>
      <c r="I67" s="122" t="inlineStr">
        <is>
          <t xml:space="preserve">No aplica</t>
        </is>
      </c>
    </row>
    <row r="68" customFormat="false" ht="15" hidden="false" customHeight="true" outlineLevel="0" collapsed="false">
      <c r="B68" s="118" t="n">
        <v>2026</v>
      </c>
      <c r="C68" s="119" t="inlineStr">
        <is>
          <t xml:space="preserve">3 · Ingreso T3 (foto del área)</t>
        </is>
      </c>
      <c r="D68" s="120" t="n">
        <v>257</v>
      </c>
      <c r="E68" s="120" t="inlineStr">
        <is>
          <t xml:space="preserve">No aplica</t>
        </is>
      </c>
      <c r="F68" s="122" t="inlineStr">
        <is>
          <t xml:space="preserve">—</t>
        </is>
      </c>
      <c r="G68" s="120" t="n">
        <v>235</v>
      </c>
      <c r="H68" s="122" t="n">
        <v>0.914396887159533</v>
      </c>
      <c r="I68" s="122" t="inlineStr">
        <is>
          <t xml:space="preserve">No aplica</t>
        </is>
      </c>
    </row>
    <row r="69" customFormat="false" ht="15" hidden="false" customHeight="true" outlineLevel="0" collapsed="false">
      <c r="B69" s="123" t="n">
        <v>2026</v>
      </c>
      <c r="C69" s="124" t="inlineStr">
        <is>
          <t xml:space="preserve">Total (persona una vez)</t>
        </is>
      </c>
      <c r="D69" s="125" t="n">
        <v>1165</v>
      </c>
      <c r="E69" s="125" t="inlineStr">
        <is>
          <t xml:space="preserve">Sin foto completa</t>
        </is>
      </c>
      <c r="F69" s="126" t="inlineStr">
        <is>
          <t xml:space="preserve">—</t>
        </is>
      </c>
      <c r="G69" s="125" t="n">
        <v>1078</v>
      </c>
      <c r="H69" s="126" t="n">
        <v>0.925321888412017</v>
      </c>
      <c r="I69" s="126" t="inlineStr">
        <is>
          <t xml:space="preserve">No aplica</t>
        </is>
      </c>
    </row>
    <row r="71" customFormat="false" ht="15" hidden="false" customHeight="true" outlineLevel="0" collapsed="false">
      <c r="B71" s="116" t="inlineStr">
        <is>
          <t xml:space="preserve">D. Confirmación de los ingresos T2 2025 (D, 22-10-2026: foto T3 del mismo año y renovación en el periodo 2 del año siguiente)</t>
        </is>
      </c>
      <c r="C71" s="13"/>
      <c r="D71" s="13"/>
      <c r="E71" s="13"/>
      <c r="F71" s="13"/>
      <c r="G71" s="13"/>
      <c r="H71" s="13"/>
      <c r="I71" s="13"/>
    </row>
    <row r="72" customFormat="false" ht="15" hidden="false" customHeight="true" outlineLevel="0" collapsed="false">
      <c r="B72" s="117" t="inlineStr">
        <is>
          <t xml:space="preserve">Indicador</t>
        </is>
      </c>
      <c r="C72" s="117"/>
      <c r="D72" s="117" t="inlineStr">
        <is>
          <t xml:space="preserve">Personas</t>
        </is>
      </c>
      <c r="E72" s="117" t="inlineStr">
        <is>
          <t xml:space="preserve">Tasa</t>
        </is>
      </c>
      <c r="F72" s="117" t="inlineStr">
        <is>
          <t xml:space="preserve">Fuente</t>
        </is>
      </c>
    </row>
    <row r="73" customFormat="false" ht="15" hidden="false" customHeight="true" outlineLevel="0" collapsed="false">
      <c r="B73" s="119" t="inlineStr">
        <is>
          <t xml:space="preserve">Ingresos T2 2025 (personas)</t>
        </is>
      </c>
      <c r="C73" s="119"/>
      <c r="D73" s="120" t="n">
        <v>222</v>
      </c>
      <c r="E73" s="122" t="inlineStr">
        <is>
          <t xml:space="preserve">—</t>
        </is>
      </c>
      <c r="F73" s="119" t="inlineStr">
        <is>
          <t xml:space="preserve">Matrícula T2_2025 2 · Hoja1 (hoja 20)</t>
        </is>
      </c>
      <c r="G73" s="119"/>
      <c r="H73" s="119"/>
      <c r="I73" s="119"/>
    </row>
    <row r="74" customFormat="false" ht="15" hidden="false" customHeight="true" outlineLevel="0" collapsed="false">
      <c r="B74" s="119" t="inlineStr">
        <is>
          <t xml:space="preserve">VIG 1 en su matrícula de ingreso · foto 2025-3</t>
        </is>
      </c>
      <c r="C74" s="119"/>
      <c r="D74" s="120" t="n">
        <v>202</v>
      </c>
      <c r="E74" s="122" t="n">
        <v>0.90990990990991</v>
      </c>
      <c r="F74" s="119" t="inlineStr">
        <is>
          <t xml:space="preserve">Hoja 24</t>
        </is>
      </c>
      <c r="G74" s="119"/>
      <c r="H74" s="119"/>
      <c r="I74" s="119"/>
    </row>
    <row r="75" customFormat="false" ht="18.75" hidden="false" customHeight="true" outlineLevel="0" collapsed="false">
      <c r="B75" s="119" t="inlineStr">
        <is>
          <t xml:space="preserve">Renovaron en 2026, periodo 2 (U+ al 22-10-2026)</t>
        </is>
      </c>
      <c r="C75" s="119"/>
      <c r="D75" s="120" t="n">
        <v>65</v>
      </c>
      <c r="E75" s="122" t="n">
        <v>0.292792792792793</v>
      </c>
      <c r="F75" s="119" t="inlineStr">
        <is>
          <t xml:space="preserve">DATOSDEALUMNOS_12159: matrícula de ingreso 2025-2 con ANOMATRICULA 2026 y PERIODOMATRICULA 2</t>
        </is>
      </c>
      <c r="G75" s="119"/>
      <c r="H75" s="119"/>
      <c r="I75" s="119"/>
    </row>
    <row r="76" customFormat="false" ht="15" hidden="false" customHeight="true" outlineLevel="0" collapsed="false">
      <c r="B76" s="119" t="inlineStr">
        <is>
          <t xml:space="preserve">   de ellos VIGENTE hoy</t>
        </is>
      </c>
      <c r="C76" s="119"/>
      <c r="D76" s="120" t="n">
        <v>64</v>
      </c>
      <c r="E76" s="122" t="n">
        <v>0.288288288288288</v>
      </c>
      <c r="F76" s="119" t="inlineStr">
        <is>
          <t xml:space="preserve">ídem</t>
        </is>
      </c>
      <c r="G76" s="119"/>
      <c r="H76" s="119"/>
      <c r="I76" s="119"/>
    </row>
    <row r="77" customFormat="false" ht="15" hidden="false" customHeight="true" outlineLevel="0" collapsed="false">
      <c r="B77" s="119" t="inlineStr">
        <is>
          <t xml:space="preserve">VIGENTE hoy sin matrícula 2026 (E: causa por confirmar)</t>
        </is>
      </c>
      <c r="C77" s="119"/>
      <c r="D77" s="120" t="n">
        <v>115</v>
      </c>
      <c r="E77" s="122" t="n">
        <v>0.518018018018018</v>
      </c>
      <c r="F77" s="119" t="inlineStr">
        <is>
          <t xml:space="preserve">ídem; última matrícula 2025</t>
        </is>
      </c>
      <c r="G77" s="119"/>
      <c r="H77" s="119"/>
      <c r="I77" s="119"/>
    </row>
    <row r="79" customFormat="false" ht="15" hidden="false" customHeight="true" outlineLevel="0" collapsed="false">
      <c r="B79" s="127" t="inlineStr">
        <is>
          <t xml:space="preserve">Lectura y reglas</t>
        </is>
      </c>
      <c r="C79" s="127"/>
      <c r="D79" s="127"/>
      <c r="E79" s="127"/>
      <c r="F79" s="127"/>
      <c r="G79" s="127"/>
      <c r="H79" s="127"/>
      <c r="I79" s="127"/>
    </row>
    <row r="80" customFormat="false" ht="36" hidden="false" customHeight="true" outlineLevel="0" collapsed="false">
      <c r="B80" s="128" t="inlineStr">
        <is>
          <t xml:space="preserve">C · Grupo 1 = estudiantes de primer año de la Matrícula Unificada (2024 y 2025: hoja 9; 2026: hoja 11 con ingreso de origen 2026-1, VIG 1 y sin RUT duplicado, 1.471). Grupos 2 y 3 = personas distintas de las fotos del área.</t>
        </is>
      </c>
      <c r="C80" s="128"/>
      <c r="D80" s="128"/>
      <c r="E80" s="128"/>
      <c r="F80" s="128"/>
      <c r="G80" s="128"/>
      <c r="H80" s="128"/>
      <c r="I80" s="128"/>
    </row>
    <row r="81" customFormat="false" ht="36" hidden="false" customHeight="true" outlineLevel="0" collapsed="false">
      <c r="B81" s="128" t="inlineStr">
        <is>
          <t xml:space="preserve">D · Vigencia = matrícula de ingreso (CODCLI con el año de ingreso de la persona) con las 32 reglas estado|situación → VIG (hoja 21). Retenido: sigue vigente. Desertor: se va sin titularse. Titulado (NO APLICA) y PENDIENTE salen del denominador.</t>
        </is>
      </c>
      <c r="C81" s="128"/>
      <c r="D81" s="128"/>
      <c r="E81" s="128"/>
      <c r="F81" s="128"/>
      <c r="G81" s="128"/>
      <c r="H81" s="128"/>
      <c r="I81" s="128"/>
    </row>
    <row r="82" customFormat="false" ht="36" hidden="false" customHeight="true" outlineLevel="0" collapsed="false">
      <c r="B82" s="128" t="str">
        <v>B · Foto T3: 2025 = Matrícula T3_2025 2.xlsx (hoja 24); 2026 = DATOSDEALUMNOS_12159 al 22-10-2026, T3 en curso (hoja 25). C/D · T2 del grupo 1 usa actividad del período y estado VIGENTE de PROMEDIOS como seguimiento interno.</v>
      </c>
      <c r="C82" s="128"/>
      <c r="D82" s="128"/>
      <c r="E82" s="128"/>
      <c r="F82" s="128"/>
      <c r="G82" s="128"/>
      <c r="H82" s="128"/>
      <c r="I82" s="128"/>
    </row>
    <row r="83" customFormat="false" ht="36" hidden="false" customHeight="true" outlineLevel="0" collapsed="false">
      <c r="B83" s="128" t="inlineStr">
        <is>
          <t xml:space="preserve">D · Esta hoja es cálculo propio interno: los periodos 2 y 3 no existen en la metodología SIES. La comparación con SIES (IPSS publicado, subsistema IP, tipo de carrera, sexo y carrera genérica) es solo del periodo 1 y está en las hojas 5 y 16.</t>
        </is>
      </c>
      <c r="C83" s="128"/>
      <c r="D83" s="128"/>
      <c r="E83" s="128"/>
      <c r="F83" s="128"/>
      <c r="G83" s="128"/>
      <c r="H83" s="128"/>
      <c r="I83" s="128"/>
    </row>
    <row r="84" customFormat="false" ht="36" hidden="false" customHeight="true" outlineLevel="0" collapsed="false">
      <c r="B84" s="128" t="inlineStr">
        <is>
          <t xml:space="preserve">C · Tasa anual de los tres periodos (pendiente, E): se calcula ponderada (Σ retenidos / Σ ingresos), no como promedio de tasas, y exige la misma medida un año después para los tres grupos (T2: renovación 2026-2; T3: cierre 2026-3).</t>
        </is>
      </c>
      <c r="C84" s="128"/>
      <c r="D84" s="128"/>
      <c r="E84" s="128"/>
      <c r="F84" s="128"/>
      <c r="G84" s="128"/>
      <c r="H84" s="128"/>
      <c r="I84" s="128"/>
    </row>
    <row r="85" customFormat="false" ht="36" hidden="false" customHeight="true" outlineLevel="0" collapsed="false">
      <c r="B85" s="128" t="inlineStr">
        <is>
          <t xml:space="preserve">B/E · Grupo 1 2025: 37 personas sin matrícula de ingreso 2025 en la foto 2025-3 (U+ las registra con ingreso 2024 o pasaporte sin cruce). Ingresos T2 2026: la foto no trae estado; T2 = matriculados − renuncias del área (hoja 23, unidad matrícula).</t>
        </is>
      </c>
      <c r="C85" s="128"/>
      <c r="D85" s="128"/>
      <c r="E85" s="128"/>
      <c r="F85" s="128"/>
      <c r="G85" s="128"/>
      <c r="H85" s="128"/>
      <c r="I85" s="128"/>
    </row>
    <row r="86" customFormat="false" ht="36" hidden="false" customHeight="true" outlineLevel="0" collapsed="false">
      <c r="B86" s="128" t="inlineStr">
        <is>
          <t xml:space="preserve">Fuentes (SHA-256): Matrícula T2_2025 2.xlsx: ed5de007202d… · Matrícula T3_2025 2.xlsx: 68a1cd54ee48… · Matrícula T_2_13_07_2026.xlsx: 7926a9cabcc6… · Matrícula_T3_02_10_2026.xlsx: de4e73ee7d27… · avance_curricular@09314ca:data/reglas_negocio/mu2027/versiones/20261021_v1/reglas.json: 5ffa47d537f3… · DATOSDEALUMNOS_12159.xlsx (U+, estado al 22-10-2026): a06384834203… · avance_curricular@09314ca:DURACION_ESTUDIOS.tsv (NIVEL_CARRERA): 701025451acf… · USO RESTRINGIDO: las hojas 20, 24 y 25 contienen RUT.</t>
        </is>
      </c>
      <c r="C86" s="128"/>
      <c r="D86" s="128"/>
      <c r="E86" s="128"/>
      <c r="F86" s="128"/>
      <c r="G86" s="128"/>
      <c r="H86" s="128"/>
      <c r="I86" s="128"/>
    </row>
    <row r="88" customFormat="false" ht="15" hidden="false" customHeight="true" outlineLevel="0" collapsed="false">
      <c r="B88" s="1" t="inlineStr">
        <is>
          <t xml:space="preserve">Clasificación de cifras nuevas</t>
        </is>
      </c>
    </row>
    <row r="89" customFormat="false" ht="15" hidden="false" customHeight="true" outlineLevel="0" collapsed="false">
      <c r="B89" s="129" t="inlineStr">
        <is>
          <t xml:space="preserve">Proxy de avance académico: C (cálculo interno) basado en PROMEDIOSDEALUMNOS_12166.xlsx; no es dato SIES ni foto de matrícula de cierre.</t>
        </is>
      </c>
      <c r="C89" s="129"/>
      <c r="D89" s="129"/>
      <c r="E89" s="129"/>
      <c r="F89" s="129"/>
      <c r="G89" s="129"/>
      <c r="H89" s="129"/>
    </row>
    <row r="91" ht="21" customHeight="1">
      <c r="B91" s="127" t="str">
        <v>Bases de cálculo de las tasas 2026</v>
      </c>
    </row>
    <row r="92" ht="42" customHeight="1">
      <c r="B92" s="117" t="str">
        <v>Medida</v>
      </c>
      <c r="D92" s="117" t="str">
        <v>Personas del grupo</v>
      </c>
      <c r="E92" s="117" t="str">
        <v>Titulados excluidos</v>
      </c>
      <c r="F92" s="117" t="str">
        <v>Base de la tasa</v>
      </c>
      <c r="G92" s="117" t="str">
        <v>Vigentes</v>
      </c>
      <c r="H92" s="117" t="str">
        <v>Tasa</v>
      </c>
      <c r="I92" s="117" t="str">
        <v>Unidad de la tasa</v>
      </c>
    </row>
    <row r="93" ht="30" customHeight="1">
      <c r="B93" s="119" t="str">
        <v>T1 · cierre T3</v>
      </c>
      <c r="D93" s="120" t="n">
        <f>D11</f>
        <v>1471</v>
      </c>
      <c r="E93" s="120" t="n">
        <f>D93-F93</f>
        <v>4</v>
      </c>
      <c r="F93" s="120" t="n">
        <f>SUMIFS('53_Codigos_T1_Confirmados'!$H$6:$H$223,'53_Codigos_T1_Confirmados'!$A$6:$A$223,2026,'53_Codigos_T1_Confirmados'!$B$6:$B$223,2026,'53_Codigos_T1_Confirmados'!$C$6:$C$223,3)</f>
        <v>1467</v>
      </c>
      <c r="G93" s="120" t="n">
        <f>G11</f>
        <v>1360</v>
      </c>
      <c r="H93" s="122" t="n">
        <f>IF(F93&gt;0,G93/F93,"—")</f>
        <v>0.9270620313565099</v>
      </c>
      <c r="I93" s="119" t="str">
        <v>Personas</v>
      </c>
    </row>
    <row r="94" ht="30" customHeight="1">
      <c r="B94" s="119" t="str">
        <v>Ingreso T2 · cierre T2</v>
      </c>
      <c r="D94" s="120" t="n">
        <f>D12</f>
        <v>527</v>
      </c>
      <c r="E94" s="119" t="str">
        <v>No aplica</v>
      </c>
      <c r="F94" s="120" t="n">
        <f>SUM('23_Foto_Renuncias_T2_2026'!$C$6:$C$24)</f>
        <v>528</v>
      </c>
      <c r="G94" s="120" t="n">
        <f>E12</f>
        <v>462</v>
      </c>
      <c r="H94" s="122" t="n">
        <f>IF(F94&gt;0,G94/F94,"—")</f>
        <v>0.875</v>
      </c>
      <c r="I94" s="119" t="str">
        <v>Matrículas</v>
      </c>
    </row>
    <row r="95" ht="30" customHeight="1">
      <c r="B95" s="119" t="str">
        <v>Total único · cierre T3</v>
      </c>
      <c r="D95" s="120" t="n">
        <f>D14</f>
        <v>2523</v>
      </c>
      <c r="E95" s="120" t="n">
        <v>4</v>
      </c>
      <c r="F95" s="120" t="n">
        <f>D95-E95</f>
        <v>2519</v>
      </c>
      <c r="G95" s="120" t="n">
        <f>G14</f>
        <v>2290</v>
      </c>
      <c r="H95" s="122" t="n">
        <f>IF(F95&gt;0,G95/F95,"—")</f>
        <v>0.9090909090909091</v>
      </c>
      <c r="I95" s="119" t="str">
        <v>Personas</v>
      </c>
    </row>
    <row r="96" ht="36" customHeight="1">
      <c r="B96" s="128" t="str">
        <v>B/C/D · T3 excluye a cuatro TITULADO / 31 - TITULADO APROBADO. Se conserva la regla interna de la hoja 21. Fuente: original auditado 22-10-2026, hoja 20 (P/Q/R/T); T1 conciliado con hoja 53.</v>
      </c>
    </row>
    <row r="97" ht="36" customHeight="1">
      <c r="B97" s="128" t="str">
        <v>B/C · T2: 528 matrículas de 527 personas; 66 renuncias agregadas. 462/528 mide matrículas (hoja 23). E · Para una tasa de personas faltan las renuncias individuales; no se divide 462/527.</v>
      </c>
    </row>
  </sheetData>
  <mergeCells count="26">
    <mergeCell ref="B73:C73"/>
    <mergeCell ref="F73:I73"/>
    <mergeCell ref="B74:C74"/>
    <mergeCell ref="F74:I74"/>
    <mergeCell ref="B75:C75"/>
    <mergeCell ref="F75:I75"/>
    <mergeCell ref="B76:C76"/>
    <mergeCell ref="F76:I76"/>
    <mergeCell ref="B77:C77"/>
    <mergeCell ref="F77:I77"/>
    <mergeCell ref="B79:I79"/>
    <mergeCell ref="B80:I80"/>
    <mergeCell ref="B81:I81"/>
    <mergeCell ref="B82:I82"/>
    <mergeCell ref="B83:I83"/>
    <mergeCell ref="B84:I84"/>
    <mergeCell ref="B85:I85"/>
    <mergeCell ref="B86:I86"/>
    <mergeCell ref="B89:H89"/>
    <mergeCell ref="B91:I91"/>
    <mergeCell ref="B92:C92"/>
    <mergeCell ref="B93:C93"/>
    <mergeCell ref="B94:C94"/>
    <mergeCell ref="B95:C95"/>
    <mergeCell ref="B96:I96"/>
    <mergeCell ref="B97:I97"/>
  </mergeCells>
  <hyperlinks>
    <hyperlink ref="A1" location="'Portada'!B3" display="🏠 Portada / Índice"/>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4273"/>
    <pageSetUpPr fitToPage="false"/>
  </sheetPr>
  <dimension ref="A1:L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7"/>
    <col collapsed="false" customWidth="true" hidden="false" outlineLevel="0" max="3" min="3" style="1" width="32"/>
    <col collapsed="false" customWidth="true" hidden="false" outlineLevel="0" max="4" min="4" style="1" width="24"/>
    <col collapsed="false" customWidth="true" hidden="false" outlineLevel="0" max="5" min="5" style="1" width="46"/>
    <col collapsed="false" customWidth="true" hidden="false" outlineLevel="0" max="6" min="6" style="1" width="9"/>
    <col collapsed="false" customWidth="true" hidden="false" outlineLevel="0" max="7" min="7" style="1" width="14"/>
    <col collapsed="false" customWidth="true" hidden="false" outlineLevel="0" max="8" min="8" style="1" width="12"/>
    <col collapsed="false" customWidth="true" hidden="false" outlineLevel="0" max="9" min="9" style="1" width="14"/>
    <col collapsed="false" customWidth="true" hidden="false" outlineLevel="0" max="10" min="10" style="1" width="12"/>
    <col collapsed="false" customWidth="true" hidden="false" outlineLevel="0" max="11" min="11" style="1" width="18"/>
    <col collapsed="false" customWidth="true" hidden="false" outlineLevel="0" max="12" min="12" style="1" width="22"/>
  </cols>
  <sheetData>
    <row r="1" customFormat="false" ht="15" hidden="false" customHeight="true" outlineLevel="0" collapsed="false">
      <c r="A1" s="113" t="inlineStr">
        <is>
          <t xml:space="preserve">🏠 Portada / Índice</t>
        </is>
      </c>
    </row>
    <row r="2" customFormat="false" ht="17.25" hidden="false" customHeight="true" outlineLevel="0" collapsed="false">
      <c r="B2" s="114" t="inlineStr">
        <is>
          <t xml:space="preserve">19. Foto intertrimestral por sector y carrera — cálculo propio interno</t>
        </is>
      </c>
    </row>
    <row r="3" customFormat="false" ht="15" hidden="false" customHeight="true" outlineLevel="0" collapsed="false">
      <c r="B3" s="115" t="inlineStr">
        <is>
          <t xml:space="preserve">C · Mismas reglas que la hoja 18. Retención 1er año por carrera = hoja 9. No comparable con SIES (ver hoja 16 para carrera genérica, solo periodo 1).</t>
        </is>
      </c>
    </row>
    <row r="5" customFormat="false" ht="27.75" hidden="false" customHeight="true" outlineLevel="0" collapsed="false">
      <c r="B5" s="117" t="inlineStr">
        <is>
          <t xml:space="preserve">Año</t>
        </is>
      </c>
      <c r="C5" s="117" t="inlineStr">
        <is>
          <t xml:space="preserve">Grupo de ingreso</t>
        </is>
      </c>
      <c r="D5" s="117" t="inlineStr">
        <is>
          <t xml:space="preserve">Sector</t>
        </is>
      </c>
      <c r="E5" s="117" t="inlineStr">
        <is>
          <t xml:space="preserve">Carrera</t>
        </is>
      </c>
      <c r="F5" s="117" t="inlineStr">
        <is>
          <t xml:space="preserve">N° Est</t>
        </is>
      </c>
      <c r="G5" s="117" t="inlineStr">
        <is>
          <t xml:space="preserve">N° Est. vigentes T2</t>
        </is>
      </c>
      <c r="H5" s="117" t="inlineStr">
        <is>
          <t xml:space="preserve">Tasa vigentes T2</t>
        </is>
      </c>
      <c r="I5" s="117" t="inlineStr">
        <is>
          <t xml:space="preserve">N° Est. vigentes T3</t>
        </is>
      </c>
      <c r="J5" s="117" t="inlineStr">
        <is>
          <t xml:space="preserve">Tasa vigentes T3</t>
        </is>
      </c>
      <c r="K5" s="117" t="inlineStr">
        <is>
          <t xml:space="preserve">Retención 1er año (cálculo propio, hoja 9)</t>
        </is>
      </c>
      <c r="L5" s="117" t="inlineStr">
        <is>
          <t xml:space="preserve">Casos</t>
        </is>
      </c>
    </row>
    <row r="6" customFormat="false" ht="15" hidden="false" customHeight="true" outlineLevel="0" collapsed="false">
      <c r="B6" s="118" t="n">
        <v>2024</v>
      </c>
      <c r="C6" s="119" t="inlineStr">
        <is>
          <t xml:space="preserve">1 · Matrícula Unificada (periodo 1)</t>
        </is>
      </c>
      <c r="D6" s="119" t="inlineStr">
        <is>
          <t xml:space="preserve">Administración y Comercio</t>
        </is>
      </c>
      <c r="E6" s="119" t="inlineStr">
        <is>
          <t xml:space="preserve">Ingeniería en Administración de Empresas</t>
        </is>
      </c>
      <c r="F6" s="130" t="n">
        <v>8</v>
      </c>
      <c r="G6" s="130" t="inlineStr">
        <is>
          <t xml:space="preserve">Sin foto completa</t>
        </is>
      </c>
      <c r="H6" s="131" t="inlineStr">
        <is>
          <t xml:space="preserve">—</t>
        </is>
      </c>
      <c r="I6" s="130" t="inlineStr">
        <is>
          <t xml:space="preserve">Sin foto</t>
        </is>
      </c>
      <c r="J6" s="131" t="inlineStr">
        <is>
          <t xml:space="preserve">—</t>
        </is>
      </c>
      <c r="K6" s="131" t="n">
        <v>0.375</v>
      </c>
      <c r="L6" s="132" t="str">
        <v>n &lt; 10 · leer con cautela</v>
      </c>
    </row>
    <row r="7" customFormat="false" ht="15" hidden="false" customHeight="true" outlineLevel="0" collapsed="false">
      <c r="B7" s="118" t="n">
        <v>2024</v>
      </c>
      <c r="C7" s="119" t="inlineStr">
        <is>
          <t xml:space="preserve">1 · Matrícula Unificada (periodo 1)</t>
        </is>
      </c>
      <c r="D7" s="119" t="inlineStr">
        <is>
          <t xml:space="preserve">Administración y Comercio</t>
        </is>
      </c>
      <c r="E7" s="119" t="inlineStr">
        <is>
          <t xml:space="preserve">Ingeniería en Logística</t>
        </is>
      </c>
      <c r="F7" s="130" t="n">
        <v>15</v>
      </c>
      <c r="G7" s="130" t="inlineStr">
        <is>
          <t xml:space="preserve">Sin foto completa</t>
        </is>
      </c>
      <c r="H7" s="131" t="inlineStr">
        <is>
          <t xml:space="preserve">—</t>
        </is>
      </c>
      <c r="I7" s="130" t="inlineStr">
        <is>
          <t xml:space="preserve">Sin foto</t>
        </is>
      </c>
      <c r="J7" s="131" t="inlineStr">
        <is>
          <t xml:space="preserve">—</t>
        </is>
      </c>
      <c r="K7" s="131" t="n">
        <v>0.466666666666667</v>
      </c>
      <c r="L7" s="132" t="str">
        <v/>
      </c>
    </row>
    <row r="8" customFormat="false" ht="15" hidden="false" customHeight="true" outlineLevel="0" collapsed="false">
      <c r="B8" s="118" t="n">
        <v>2024</v>
      </c>
      <c r="C8" s="119" t="inlineStr">
        <is>
          <t xml:space="preserve">1 · Matrícula Unificada (periodo 1)</t>
        </is>
      </c>
      <c r="D8" s="119" t="inlineStr">
        <is>
          <t xml:space="preserve">Administración y Comercio</t>
        </is>
      </c>
      <c r="E8" s="119" t="inlineStr">
        <is>
          <t xml:space="preserve">Técnico en Administración de Empresas</t>
        </is>
      </c>
      <c r="F8" s="130" t="n">
        <v>15</v>
      </c>
      <c r="G8" s="130" t="inlineStr">
        <is>
          <t xml:space="preserve">Sin foto completa</t>
        </is>
      </c>
      <c r="H8" s="131" t="inlineStr">
        <is>
          <t xml:space="preserve">—</t>
        </is>
      </c>
      <c r="I8" s="130" t="inlineStr">
        <is>
          <t xml:space="preserve">Sin foto</t>
        </is>
      </c>
      <c r="J8" s="131" t="inlineStr">
        <is>
          <t xml:space="preserve">—</t>
        </is>
      </c>
      <c r="K8" s="131" t="n">
        <v>0.466666666666667</v>
      </c>
      <c r="L8" s="132" t="str">
        <v/>
      </c>
    </row>
    <row r="9" customFormat="false" ht="15" hidden="false" customHeight="true" outlineLevel="0" collapsed="false">
      <c r="B9" s="118" t="n">
        <v>2024</v>
      </c>
      <c r="C9" s="119" t="inlineStr">
        <is>
          <t xml:space="preserve">1 · Matrícula Unificada (periodo 1)</t>
        </is>
      </c>
      <c r="D9" s="119" t="inlineStr">
        <is>
          <t xml:space="preserve">Administración y Comercio</t>
        </is>
      </c>
      <c r="E9" s="119" t="inlineStr">
        <is>
          <t xml:space="preserve">Técnico en Logística</t>
        </is>
      </c>
      <c r="F9" s="130" t="n">
        <v>23</v>
      </c>
      <c r="G9" s="130" t="inlineStr">
        <is>
          <t xml:space="preserve">Sin foto completa</t>
        </is>
      </c>
      <c r="H9" s="131" t="inlineStr">
        <is>
          <t xml:space="preserve">—</t>
        </is>
      </c>
      <c r="I9" s="130" t="inlineStr">
        <is>
          <t xml:space="preserve">Sin foto</t>
        </is>
      </c>
      <c r="J9" s="131" t="inlineStr">
        <is>
          <t xml:space="preserve">—</t>
        </is>
      </c>
      <c r="K9" s="131" t="n">
        <v>0.434782608695652</v>
      </c>
      <c r="L9" s="132" t="str">
        <v/>
      </c>
    </row>
    <row r="10" customFormat="false" ht="15" hidden="false" customHeight="true" outlineLevel="0" collapsed="false">
      <c r="B10" s="118" t="n">
        <v>2024</v>
      </c>
      <c r="C10" s="119" t="inlineStr">
        <is>
          <t xml:space="preserve">1 · Matrícula Unificada (periodo 1)</t>
        </is>
      </c>
      <c r="D10" s="119" t="inlineStr">
        <is>
          <t xml:space="preserve">Tecnologías</t>
        </is>
      </c>
      <c r="E10" s="119" t="inlineStr">
        <is>
          <t xml:space="preserve">Ingeniería en Ciberseguridad</t>
        </is>
      </c>
      <c r="F10" s="130" t="n">
        <v>89</v>
      </c>
      <c r="G10" s="130" t="inlineStr">
        <is>
          <t xml:space="preserve">Sin foto completa</t>
        </is>
      </c>
      <c r="H10" s="131" t="inlineStr">
        <is>
          <t xml:space="preserve">—</t>
        </is>
      </c>
      <c r="I10" s="130" t="inlineStr">
        <is>
          <t xml:space="preserve">Sin foto</t>
        </is>
      </c>
      <c r="J10" s="131" t="inlineStr">
        <is>
          <t xml:space="preserve">—</t>
        </is>
      </c>
      <c r="K10" s="131" t="n">
        <v>0.550561797752809</v>
      </c>
      <c r="L10" s="132" t="str">
        <v/>
      </c>
    </row>
    <row r="11" customFormat="false" ht="15" hidden="false" customHeight="true" outlineLevel="0" collapsed="false">
      <c r="B11" s="118" t="n">
        <v>2024</v>
      </c>
      <c r="C11" s="119" t="inlineStr">
        <is>
          <t xml:space="preserve">1 · Matrícula Unificada (periodo 1)</t>
        </is>
      </c>
      <c r="D11" s="119" t="inlineStr">
        <is>
          <t xml:space="preserve">Tecnologías</t>
        </is>
      </c>
      <c r="E11" s="119" t="inlineStr">
        <is>
          <t xml:space="preserve">Ingeniería en Conectividad y Redes</t>
        </is>
      </c>
      <c r="F11" s="130" t="n">
        <v>68</v>
      </c>
      <c r="G11" s="130" t="inlineStr">
        <is>
          <t xml:space="preserve">Sin foto completa</t>
        </is>
      </c>
      <c r="H11" s="131" t="inlineStr">
        <is>
          <t xml:space="preserve">—</t>
        </is>
      </c>
      <c r="I11" s="130" t="inlineStr">
        <is>
          <t xml:space="preserve">Sin foto</t>
        </is>
      </c>
      <c r="J11" s="131" t="inlineStr">
        <is>
          <t xml:space="preserve">—</t>
        </is>
      </c>
      <c r="K11" s="131" t="n">
        <v>0.676470588235294</v>
      </c>
      <c r="L11" s="132" t="str">
        <v/>
      </c>
    </row>
    <row r="12" customFormat="false" ht="15" hidden="false" customHeight="true" outlineLevel="0" collapsed="false">
      <c r="B12" s="118" t="n">
        <v>2024</v>
      </c>
      <c r="C12" s="119" t="inlineStr">
        <is>
          <t xml:space="preserve">1 · Matrícula Unificada (periodo 1)</t>
        </is>
      </c>
      <c r="D12" s="119" t="inlineStr">
        <is>
          <t xml:space="preserve">Tecnologías</t>
        </is>
      </c>
      <c r="E12" s="119" t="inlineStr">
        <is>
          <t xml:space="preserve">Ingeniería en Informática</t>
        </is>
      </c>
      <c r="F12" s="130" t="n">
        <v>107</v>
      </c>
      <c r="G12" s="130" t="inlineStr">
        <is>
          <t xml:space="preserve">Sin foto completa</t>
        </is>
      </c>
      <c r="H12" s="131" t="inlineStr">
        <is>
          <t xml:space="preserve">—</t>
        </is>
      </c>
      <c r="I12" s="130" t="inlineStr">
        <is>
          <t xml:space="preserve">Sin foto</t>
        </is>
      </c>
      <c r="J12" s="131" t="inlineStr">
        <is>
          <t xml:space="preserve">—</t>
        </is>
      </c>
      <c r="K12" s="131" t="n">
        <v>0.672897196261682</v>
      </c>
      <c r="L12" s="132" t="str">
        <v/>
      </c>
    </row>
    <row r="13" customFormat="false" ht="15" hidden="false" customHeight="true" outlineLevel="0" collapsed="false">
      <c r="B13" s="118" t="n">
        <v>2024</v>
      </c>
      <c r="C13" s="119" t="inlineStr">
        <is>
          <t xml:space="preserve">1 · Matrícula Unificada (periodo 1)</t>
        </is>
      </c>
      <c r="D13" s="119" t="inlineStr">
        <is>
          <t xml:space="preserve">Tecnologías</t>
        </is>
      </c>
      <c r="E13" s="119" t="inlineStr">
        <is>
          <t xml:space="preserve">Técnico en Ciberseguridad</t>
        </is>
      </c>
      <c r="F13" s="130" t="n">
        <v>71</v>
      </c>
      <c r="G13" s="130" t="inlineStr">
        <is>
          <t xml:space="preserve">Sin foto completa</t>
        </is>
      </c>
      <c r="H13" s="131" t="inlineStr">
        <is>
          <t xml:space="preserve">—</t>
        </is>
      </c>
      <c r="I13" s="130" t="inlineStr">
        <is>
          <t xml:space="preserve">Sin foto</t>
        </is>
      </c>
      <c r="J13" s="131" t="inlineStr">
        <is>
          <t xml:space="preserve">—</t>
        </is>
      </c>
      <c r="K13" s="131" t="n">
        <v>0.52112676056338</v>
      </c>
      <c r="L13" s="132" t="str">
        <v/>
      </c>
    </row>
    <row r="14" customFormat="false" ht="15" hidden="false" customHeight="true" outlineLevel="0" collapsed="false">
      <c r="B14" s="118" t="n">
        <v>2024</v>
      </c>
      <c r="C14" s="119" t="inlineStr">
        <is>
          <t xml:space="preserve">1 · Matrícula Unificada (periodo 1)</t>
        </is>
      </c>
      <c r="D14" s="119" t="inlineStr">
        <is>
          <t xml:space="preserve">Tecnologías</t>
        </is>
      </c>
      <c r="E14" s="119" t="inlineStr">
        <is>
          <t xml:space="preserve">Técnico en Conectividad y Redes</t>
        </is>
      </c>
      <c r="F14" s="130" t="n">
        <v>25</v>
      </c>
      <c r="G14" s="130" t="inlineStr">
        <is>
          <t xml:space="preserve">Sin foto completa</t>
        </is>
      </c>
      <c r="H14" s="131" t="inlineStr">
        <is>
          <t xml:space="preserve">—</t>
        </is>
      </c>
      <c r="I14" s="130" t="inlineStr">
        <is>
          <t xml:space="preserve">Sin foto</t>
        </is>
      </c>
      <c r="J14" s="131" t="inlineStr">
        <is>
          <t xml:space="preserve">—</t>
        </is>
      </c>
      <c r="K14" s="131" t="n">
        <v>0.24</v>
      </c>
      <c r="L14" s="132" t="str">
        <v/>
      </c>
    </row>
    <row r="15" customFormat="false" ht="15" hidden="false" customHeight="true" outlineLevel="0" collapsed="false">
      <c r="B15" s="118" t="n">
        <v>2024</v>
      </c>
      <c r="C15" s="119" t="inlineStr">
        <is>
          <t xml:space="preserve">1 · Matrícula Unificada (periodo 1)</t>
        </is>
      </c>
      <c r="D15" s="119" t="inlineStr">
        <is>
          <t xml:space="preserve">Tecnologías</t>
        </is>
      </c>
      <c r="E15" s="119" t="inlineStr">
        <is>
          <t xml:space="preserve">Técnico en Programación y Análisis de Sistemas</t>
        </is>
      </c>
      <c r="F15" s="130" t="n">
        <v>137</v>
      </c>
      <c r="G15" s="130" t="inlineStr">
        <is>
          <t xml:space="preserve">Sin foto completa</t>
        </is>
      </c>
      <c r="H15" s="131" t="inlineStr">
        <is>
          <t xml:space="preserve">—</t>
        </is>
      </c>
      <c r="I15" s="130" t="inlineStr">
        <is>
          <t xml:space="preserve">Sin foto</t>
        </is>
      </c>
      <c r="J15" s="131" t="inlineStr">
        <is>
          <t xml:space="preserve">—</t>
        </is>
      </c>
      <c r="K15" s="131" t="n">
        <v>0.64963503649635</v>
      </c>
      <c r="L15" s="132" t="str">
        <v/>
      </c>
    </row>
    <row r="16" customFormat="false" ht="15" hidden="false" customHeight="true" outlineLevel="0" collapsed="false">
      <c r="B16" s="118" t="n">
        <v>2025</v>
      </c>
      <c r="C16" s="119" t="inlineStr">
        <is>
          <t xml:space="preserve">1 · Matrícula Unificada (periodo 1)</t>
        </is>
      </c>
      <c r="D16" s="119" t="inlineStr">
        <is>
          <t xml:space="preserve">Administración y Comercio</t>
        </is>
      </c>
      <c r="E16" s="119" t="inlineStr">
        <is>
          <t xml:space="preserve">Administración Pública</t>
        </is>
      </c>
      <c r="F16" s="130" t="n">
        <v>70</v>
      </c>
      <c r="G16" s="130" t="inlineStr">
        <is>
          <t xml:space="preserve">Sin foto completa</t>
        </is>
      </c>
      <c r="H16" s="131" t="inlineStr">
        <is>
          <t xml:space="preserve">—</t>
        </is>
      </c>
      <c r="I16" s="130" t="n">
        <v>65</v>
      </c>
      <c r="J16" s="131" t="n">
        <v>0.928571428571429</v>
      </c>
      <c r="K16" s="131" t="n">
        <v>0.471428571428571</v>
      </c>
      <c r="L16" s="132" t="str">
        <v/>
      </c>
    </row>
    <row r="17" customFormat="false" ht="15" hidden="false" customHeight="true" outlineLevel="0" collapsed="false">
      <c r="B17" s="118" t="n">
        <v>2025</v>
      </c>
      <c r="C17" s="119" t="inlineStr">
        <is>
          <t xml:space="preserve">1 · Matrícula Unificada (periodo 1)</t>
        </is>
      </c>
      <c r="D17" s="119" t="inlineStr">
        <is>
          <t xml:space="preserve">Administración y Comercio</t>
        </is>
      </c>
      <c r="E17" s="119" t="inlineStr">
        <is>
          <t xml:space="preserve">Auditoría</t>
        </is>
      </c>
      <c r="F17" s="130" t="n">
        <v>40</v>
      </c>
      <c r="G17" s="130" t="inlineStr">
        <is>
          <t xml:space="preserve">Sin foto completa</t>
        </is>
      </c>
      <c r="H17" s="131" t="inlineStr">
        <is>
          <t xml:space="preserve">—</t>
        </is>
      </c>
      <c r="I17" s="130" t="n">
        <v>36</v>
      </c>
      <c r="J17" s="131" t="n">
        <v>0.9</v>
      </c>
      <c r="K17" s="131" t="n">
        <v>0.675</v>
      </c>
      <c r="L17" s="132" t="str">
        <v/>
      </c>
    </row>
    <row r="18" customFormat="false" ht="15" hidden="false" customHeight="true" outlineLevel="0" collapsed="false">
      <c r="B18" s="118" t="n">
        <v>2025</v>
      </c>
      <c r="C18" s="119" t="inlineStr">
        <is>
          <t xml:space="preserve">1 · Matrícula Unificada (periodo 1)</t>
        </is>
      </c>
      <c r="D18" s="119" t="inlineStr">
        <is>
          <t xml:space="preserve">Administración y Comercio</t>
        </is>
      </c>
      <c r="E18" s="119" t="inlineStr">
        <is>
          <t xml:space="preserve">Contabilidad General</t>
        </is>
      </c>
      <c r="F18" s="130" t="n">
        <v>38</v>
      </c>
      <c r="G18" s="130" t="inlineStr">
        <is>
          <t xml:space="preserve">Sin foto completa</t>
        </is>
      </c>
      <c r="H18" s="131" t="inlineStr">
        <is>
          <t xml:space="preserve">—</t>
        </is>
      </c>
      <c r="I18" s="130" t="n">
        <v>35</v>
      </c>
      <c r="J18" s="131" t="n">
        <v>0.921052631578947</v>
      </c>
      <c r="K18" s="131" t="n">
        <v>0.5</v>
      </c>
      <c r="L18" s="132" t="str">
        <v/>
      </c>
    </row>
    <row r="19" customFormat="false" ht="15" hidden="false" customHeight="true" outlineLevel="0" collapsed="false">
      <c r="B19" s="118" t="n">
        <v>2025</v>
      </c>
      <c r="C19" s="119" t="inlineStr">
        <is>
          <t xml:space="preserve">1 · Matrícula Unificada (periodo 1)</t>
        </is>
      </c>
      <c r="D19" s="119" t="inlineStr">
        <is>
          <t xml:space="preserve">Administración y Comercio</t>
        </is>
      </c>
      <c r="E19" s="119" t="inlineStr">
        <is>
          <t xml:space="preserve">Ingeniería en Administración de Empresas</t>
        </is>
      </c>
      <c r="F19" s="130" t="n">
        <v>91</v>
      </c>
      <c r="G19" s="130" t="inlineStr">
        <is>
          <t xml:space="preserve">Sin foto completa</t>
        </is>
      </c>
      <c r="H19" s="131" t="inlineStr">
        <is>
          <t xml:space="preserve">—</t>
        </is>
      </c>
      <c r="I19" s="130" t="n">
        <v>83</v>
      </c>
      <c r="J19" s="131" t="n">
        <v>0.912087912087912</v>
      </c>
      <c r="K19" s="131" t="n">
        <v>0.505494505494506</v>
      </c>
      <c r="L19" s="132" t="str">
        <v/>
      </c>
    </row>
    <row r="20" customFormat="false" ht="15" hidden="false" customHeight="true" outlineLevel="0" collapsed="false">
      <c r="B20" s="118" t="n">
        <v>2025</v>
      </c>
      <c r="C20" s="119" t="inlineStr">
        <is>
          <t xml:space="preserve">1 · Matrícula Unificada (periodo 1)</t>
        </is>
      </c>
      <c r="D20" s="119" t="inlineStr">
        <is>
          <t xml:space="preserve">Administración y Comercio</t>
        </is>
      </c>
      <c r="E20" s="119" t="inlineStr">
        <is>
          <t xml:space="preserve">Ingeniería en Logística</t>
        </is>
      </c>
      <c r="F20" s="130" t="n">
        <v>61</v>
      </c>
      <c r="G20" s="130" t="inlineStr">
        <is>
          <t xml:space="preserve">Sin foto completa</t>
        </is>
      </c>
      <c r="H20" s="131" t="inlineStr">
        <is>
          <t xml:space="preserve">—</t>
        </is>
      </c>
      <c r="I20" s="130" t="n">
        <v>60</v>
      </c>
      <c r="J20" s="131" t="n">
        <v>0.983606557377049</v>
      </c>
      <c r="K20" s="131" t="n">
        <v>0.60655737704918</v>
      </c>
      <c r="L20" s="132" t="str">
        <v/>
      </c>
    </row>
    <row r="21" customFormat="false" ht="15" hidden="false" customHeight="true" outlineLevel="0" collapsed="false">
      <c r="B21" s="118" t="n">
        <v>2025</v>
      </c>
      <c r="C21" s="119" t="inlineStr">
        <is>
          <t xml:space="preserve">1 · Matrícula Unificada (periodo 1)</t>
        </is>
      </c>
      <c r="D21" s="119" t="inlineStr">
        <is>
          <t xml:space="preserve">Administración y Comercio</t>
        </is>
      </c>
      <c r="E21" s="119" t="inlineStr">
        <is>
          <t xml:space="preserve">Técnico en Administración Pública</t>
        </is>
      </c>
      <c r="F21" s="130" t="n">
        <v>22</v>
      </c>
      <c r="G21" s="130" t="inlineStr">
        <is>
          <t xml:space="preserve">Sin foto completa</t>
        </is>
      </c>
      <c r="H21" s="131" t="inlineStr">
        <is>
          <t xml:space="preserve">—</t>
        </is>
      </c>
      <c r="I21" s="130" t="n">
        <v>18</v>
      </c>
      <c r="J21" s="131" t="n">
        <v>0.818181818181818</v>
      </c>
      <c r="K21" s="131" t="n">
        <v>0.5</v>
      </c>
      <c r="L21" s="132" t="str">
        <v/>
      </c>
    </row>
    <row r="22" customFormat="false" ht="15" hidden="false" customHeight="true" outlineLevel="0" collapsed="false">
      <c r="B22" s="118" t="n">
        <v>2025</v>
      </c>
      <c r="C22" s="119" t="inlineStr">
        <is>
          <t xml:space="preserve">1 · Matrícula Unificada (periodo 1)</t>
        </is>
      </c>
      <c r="D22" s="119" t="inlineStr">
        <is>
          <t xml:space="preserve">Administración y Comercio</t>
        </is>
      </c>
      <c r="E22" s="119" t="inlineStr">
        <is>
          <t xml:space="preserve">Técnico en Administración de Empresas</t>
        </is>
      </c>
      <c r="F22" s="130" t="n">
        <v>73</v>
      </c>
      <c r="G22" s="130" t="inlineStr">
        <is>
          <t xml:space="preserve">Sin foto completa</t>
        </is>
      </c>
      <c r="H22" s="131" t="inlineStr">
        <is>
          <t xml:space="preserve">—</t>
        </is>
      </c>
      <c r="I22" s="130" t="n">
        <v>64</v>
      </c>
      <c r="J22" s="131" t="n">
        <v>0.876712328767123</v>
      </c>
      <c r="K22" s="131" t="n">
        <v>0.438356164383562</v>
      </c>
      <c r="L22" s="132" t="str">
        <v/>
      </c>
    </row>
    <row r="23" customFormat="false" ht="15" hidden="false" customHeight="true" outlineLevel="0" collapsed="false">
      <c r="B23" s="118" t="n">
        <v>2025</v>
      </c>
      <c r="C23" s="119" t="inlineStr">
        <is>
          <t xml:space="preserve">1 · Matrícula Unificada (periodo 1)</t>
        </is>
      </c>
      <c r="D23" s="119" t="inlineStr">
        <is>
          <t xml:space="preserve">Administración y Comercio</t>
        </is>
      </c>
      <c r="E23" s="119" t="inlineStr">
        <is>
          <t xml:space="preserve">Técnico en Logística</t>
        </is>
      </c>
      <c r="F23" s="130" t="n">
        <v>82</v>
      </c>
      <c r="G23" s="130" t="inlineStr">
        <is>
          <t xml:space="preserve">Sin foto completa</t>
        </is>
      </c>
      <c r="H23" s="131" t="inlineStr">
        <is>
          <t xml:space="preserve">—</t>
        </is>
      </c>
      <c r="I23" s="130" t="n">
        <v>77</v>
      </c>
      <c r="J23" s="131" t="n">
        <v>0.939024390243902</v>
      </c>
      <c r="K23" s="131" t="n">
        <v>0.573170731707317</v>
      </c>
      <c r="L23" s="132" t="str">
        <v/>
      </c>
    </row>
    <row r="24" customFormat="false" ht="15" hidden="false" customHeight="true" outlineLevel="0" collapsed="false">
      <c r="B24" s="118" t="n">
        <v>2025</v>
      </c>
      <c r="C24" s="119" t="inlineStr">
        <is>
          <t xml:space="preserve">1 · Matrícula Unificada (periodo 1)</t>
        </is>
      </c>
      <c r="D24" s="119" t="inlineStr">
        <is>
          <t xml:space="preserve">Salud</t>
        </is>
      </c>
      <c r="E24" s="119" t="inlineStr">
        <is>
          <t xml:space="preserve">Técnico en Enfermería</t>
        </is>
      </c>
      <c r="F24" s="130" t="n">
        <v>75</v>
      </c>
      <c r="G24" s="130" t="inlineStr">
        <is>
          <t xml:space="preserve">Sin foto completa</t>
        </is>
      </c>
      <c r="H24" s="131" t="inlineStr">
        <is>
          <t xml:space="preserve">—</t>
        </is>
      </c>
      <c r="I24" s="130" t="n">
        <v>63</v>
      </c>
      <c r="J24" s="131" t="n">
        <v>0.84</v>
      </c>
      <c r="K24" s="131" t="n">
        <v>0.466666666666667</v>
      </c>
      <c r="L24" s="132" t="str">
        <v/>
      </c>
    </row>
    <row r="25" customFormat="false" ht="15" hidden="false" customHeight="true" outlineLevel="0" collapsed="false">
      <c r="B25" s="118" t="n">
        <v>2025</v>
      </c>
      <c r="C25" s="119" t="inlineStr">
        <is>
          <t xml:space="preserve">1 · Matrícula Unificada (periodo 1)</t>
        </is>
      </c>
      <c r="D25" s="119" t="inlineStr">
        <is>
          <t xml:space="preserve">Tecnologías</t>
        </is>
      </c>
      <c r="E25" s="119" t="inlineStr">
        <is>
          <t xml:space="preserve">Ingeniería en Ciberseguridad</t>
        </is>
      </c>
      <c r="F25" s="130" t="n">
        <v>102</v>
      </c>
      <c r="G25" s="130" t="inlineStr">
        <is>
          <t xml:space="preserve">Sin foto completa</t>
        </is>
      </c>
      <c r="H25" s="131" t="inlineStr">
        <is>
          <t xml:space="preserve">—</t>
        </is>
      </c>
      <c r="I25" s="130" t="n">
        <v>87</v>
      </c>
      <c r="J25" s="131" t="n">
        <v>0.852941176470588</v>
      </c>
      <c r="K25" s="131" t="n">
        <v>0.637254901960784</v>
      </c>
      <c r="L25" s="132" t="str">
        <v/>
      </c>
    </row>
    <row r="26" customFormat="false" ht="15" hidden="false" customHeight="true" outlineLevel="0" collapsed="false">
      <c r="B26" s="118" t="n">
        <v>2025</v>
      </c>
      <c r="C26" s="119" t="inlineStr">
        <is>
          <t xml:space="preserve">1 · Matrícula Unificada (periodo 1)</t>
        </is>
      </c>
      <c r="D26" s="119" t="inlineStr">
        <is>
          <t xml:space="preserve">Tecnologías</t>
        </is>
      </c>
      <c r="E26" s="119" t="inlineStr">
        <is>
          <t xml:space="preserve">Ingeniería en Ciencia de Datos</t>
        </is>
      </c>
      <c r="F26" s="130" t="n">
        <v>40</v>
      </c>
      <c r="G26" s="130" t="inlineStr">
        <is>
          <t xml:space="preserve">Sin foto completa</t>
        </is>
      </c>
      <c r="H26" s="131" t="inlineStr">
        <is>
          <t xml:space="preserve">—</t>
        </is>
      </c>
      <c r="I26" s="130" t="n">
        <v>39</v>
      </c>
      <c r="J26" s="131" t="n">
        <v>0.975</v>
      </c>
      <c r="K26" s="131" t="n">
        <v>0.525</v>
      </c>
      <c r="L26" s="132" t="str">
        <v/>
      </c>
    </row>
    <row r="27" customFormat="false" ht="15" hidden="false" customHeight="true" outlineLevel="0" collapsed="false">
      <c r="B27" s="118" t="n">
        <v>2025</v>
      </c>
      <c r="C27" s="119" t="inlineStr">
        <is>
          <t xml:space="preserve">1 · Matrícula Unificada (periodo 1)</t>
        </is>
      </c>
      <c r="D27" s="119" t="inlineStr">
        <is>
          <t xml:space="preserve">Tecnologías</t>
        </is>
      </c>
      <c r="E27" s="119" t="inlineStr">
        <is>
          <t xml:space="preserve">Ingeniería en Conectividad y Redes</t>
        </is>
      </c>
      <c r="F27" s="130" t="n">
        <v>63</v>
      </c>
      <c r="G27" s="130" t="inlineStr">
        <is>
          <t xml:space="preserve">Sin foto completa</t>
        </is>
      </c>
      <c r="H27" s="131" t="inlineStr">
        <is>
          <t xml:space="preserve">—</t>
        </is>
      </c>
      <c r="I27" s="130" t="n">
        <v>57</v>
      </c>
      <c r="J27" s="131" t="n">
        <v>0.904761904761905</v>
      </c>
      <c r="K27" s="131" t="n">
        <v>0.682539682539683</v>
      </c>
      <c r="L27" s="132" t="str">
        <v/>
      </c>
    </row>
    <row r="28" customFormat="false" ht="15" hidden="false" customHeight="true" outlineLevel="0" collapsed="false">
      <c r="B28" s="118" t="n">
        <v>2025</v>
      </c>
      <c r="C28" s="119" t="inlineStr">
        <is>
          <t xml:space="preserve">1 · Matrícula Unificada (periodo 1)</t>
        </is>
      </c>
      <c r="D28" s="119" t="inlineStr">
        <is>
          <t xml:space="preserve">Tecnologías</t>
        </is>
      </c>
      <c r="E28" s="119" t="inlineStr">
        <is>
          <t xml:space="preserve">Ingeniería en Informática</t>
        </is>
      </c>
      <c r="F28" s="130" t="n">
        <v>118</v>
      </c>
      <c r="G28" s="130" t="inlineStr">
        <is>
          <t xml:space="preserve">Sin foto completa</t>
        </is>
      </c>
      <c r="H28" s="131" t="inlineStr">
        <is>
          <t xml:space="preserve">—</t>
        </is>
      </c>
      <c r="I28" s="130" t="n">
        <v>101</v>
      </c>
      <c r="J28" s="131" t="n">
        <v>0.855932203389831</v>
      </c>
      <c r="K28" s="131" t="n">
        <v>0.686440677966102</v>
      </c>
      <c r="L28" s="132" t="str">
        <v/>
      </c>
    </row>
    <row r="29" customFormat="false" ht="15" hidden="false" customHeight="true" outlineLevel="0" collapsed="false">
      <c r="B29" s="118" t="n">
        <v>2025</v>
      </c>
      <c r="C29" s="119" t="inlineStr">
        <is>
          <t xml:space="preserve">1 · Matrícula Unificada (periodo 1)</t>
        </is>
      </c>
      <c r="D29" s="119" t="inlineStr">
        <is>
          <t xml:space="preserve">Tecnologías</t>
        </is>
      </c>
      <c r="E29" s="119" t="inlineStr">
        <is>
          <t xml:space="preserve">Técnico en Ciberseguridad</t>
        </is>
      </c>
      <c r="F29" s="130" t="n">
        <v>80</v>
      </c>
      <c r="G29" s="130" t="inlineStr">
        <is>
          <t xml:space="preserve">Sin foto completa</t>
        </is>
      </c>
      <c r="H29" s="131" t="inlineStr">
        <is>
          <t xml:space="preserve">—</t>
        </is>
      </c>
      <c r="I29" s="130" t="n">
        <v>73</v>
      </c>
      <c r="J29" s="131" t="n">
        <v>0.9125</v>
      </c>
      <c r="K29" s="131" t="n">
        <v>0.65</v>
      </c>
      <c r="L29" s="132" t="str">
        <v/>
      </c>
    </row>
    <row r="30" customFormat="false" ht="15" hidden="false" customHeight="true" outlineLevel="0" collapsed="false">
      <c r="B30" s="118" t="n">
        <v>2025</v>
      </c>
      <c r="C30" s="119" t="inlineStr">
        <is>
          <t xml:space="preserve">1 · Matrícula Unificada (periodo 1)</t>
        </is>
      </c>
      <c r="D30" s="119" t="inlineStr">
        <is>
          <t xml:space="preserve">Tecnologías</t>
        </is>
      </c>
      <c r="E30" s="119" t="inlineStr">
        <is>
          <t xml:space="preserve">Técnico en Ciencia de Datos</t>
        </is>
      </c>
      <c r="F30" s="130" t="n">
        <v>23</v>
      </c>
      <c r="G30" s="130" t="inlineStr">
        <is>
          <t xml:space="preserve">Sin foto completa</t>
        </is>
      </c>
      <c r="H30" s="131" t="inlineStr">
        <is>
          <t xml:space="preserve">—</t>
        </is>
      </c>
      <c r="I30" s="130" t="n">
        <v>18</v>
      </c>
      <c r="J30" s="131" t="n">
        <v>0.782608695652174</v>
      </c>
      <c r="K30" s="131" t="n">
        <v>0.565217391304348</v>
      </c>
      <c r="L30" s="132" t="str">
        <v/>
      </c>
    </row>
    <row r="31" customFormat="false" ht="15" hidden="false" customHeight="true" outlineLevel="0" collapsed="false">
      <c r="B31" s="118" t="n">
        <v>2025</v>
      </c>
      <c r="C31" s="119" t="inlineStr">
        <is>
          <t xml:space="preserve">1 · Matrícula Unificada (periodo 1)</t>
        </is>
      </c>
      <c r="D31" s="119" t="inlineStr">
        <is>
          <t xml:space="preserve">Tecnologías</t>
        </is>
      </c>
      <c r="E31" s="119" t="inlineStr">
        <is>
          <t xml:space="preserve">Técnico en Conectividad y Redes</t>
        </is>
      </c>
      <c r="F31" s="130" t="n">
        <v>42</v>
      </c>
      <c r="G31" s="130" t="inlineStr">
        <is>
          <t xml:space="preserve">Sin foto completa</t>
        </is>
      </c>
      <c r="H31" s="131" t="inlineStr">
        <is>
          <t xml:space="preserve">—</t>
        </is>
      </c>
      <c r="I31" s="130" t="n">
        <v>36</v>
      </c>
      <c r="J31" s="131" t="n">
        <v>0.857142857142857</v>
      </c>
      <c r="K31" s="131" t="n">
        <v>0.619047619047619</v>
      </c>
      <c r="L31" s="132" t="str">
        <v/>
      </c>
    </row>
    <row r="32" customFormat="false" ht="15" hidden="false" customHeight="true" outlineLevel="0" collapsed="false">
      <c r="B32" s="118" t="n">
        <v>2025</v>
      </c>
      <c r="C32" s="119" t="inlineStr">
        <is>
          <t xml:space="preserve">1 · Matrícula Unificada (periodo 1)</t>
        </is>
      </c>
      <c r="D32" s="119" t="inlineStr">
        <is>
          <t xml:space="preserve">Tecnologías</t>
        </is>
      </c>
      <c r="E32" s="119" t="inlineStr">
        <is>
          <t xml:space="preserve">Técnico en Programación y Análisis de Sistemas</t>
        </is>
      </c>
      <c r="F32" s="130" t="n">
        <v>130</v>
      </c>
      <c r="G32" s="130" t="inlineStr">
        <is>
          <t xml:space="preserve">Sin foto completa</t>
        </is>
      </c>
      <c r="H32" s="131" t="inlineStr">
        <is>
          <t xml:space="preserve">—</t>
        </is>
      </c>
      <c r="I32" s="130" t="n">
        <v>111</v>
      </c>
      <c r="J32" s="131" t="n">
        <v>0.853846153846154</v>
      </c>
      <c r="K32" s="131" t="n">
        <v>0.615384615384615</v>
      </c>
      <c r="L32" s="132" t="str">
        <v/>
      </c>
    </row>
    <row r="33" customFormat="false" ht="15" hidden="false" customHeight="true" outlineLevel="0" collapsed="false">
      <c r="B33" s="118" t="n">
        <v>2025</v>
      </c>
      <c r="C33" s="119" t="inlineStr">
        <is>
          <t xml:space="preserve">2 · Ingreso T2 (foto del área)</t>
        </is>
      </c>
      <c r="D33" s="119" t="inlineStr">
        <is>
          <t xml:space="preserve">Administración y Comercio</t>
        </is>
      </c>
      <c r="E33" s="119" t="inlineStr">
        <is>
          <t xml:space="preserve">Administración Pública</t>
        </is>
      </c>
      <c r="F33" s="130" t="n">
        <v>21</v>
      </c>
      <c r="G33" s="130" t="n">
        <v>19</v>
      </c>
      <c r="H33" s="131" t="n">
        <v>0.904761904761905</v>
      </c>
      <c r="I33" s="130" t="n">
        <v>19</v>
      </c>
      <c r="J33" s="131" t="n">
        <v>0.904761904761905</v>
      </c>
      <c r="K33" s="131" t="inlineStr">
        <is>
          <t xml:space="preserve">No aplica</t>
        </is>
      </c>
      <c r="L33" s="132" t="str">
        <v/>
      </c>
    </row>
    <row r="34" customFormat="false" ht="15" hidden="false" customHeight="true" outlineLevel="0" collapsed="false">
      <c r="B34" s="118" t="n">
        <v>2025</v>
      </c>
      <c r="C34" s="119" t="inlineStr">
        <is>
          <t xml:space="preserve">2 · Ingreso T2 (foto del área)</t>
        </is>
      </c>
      <c r="D34" s="119" t="inlineStr">
        <is>
          <t xml:space="preserve">Administración y Comercio</t>
        </is>
      </c>
      <c r="E34" s="119" t="inlineStr">
        <is>
          <t xml:space="preserve">Auditoría</t>
        </is>
      </c>
      <c r="F34" s="130" t="n">
        <v>20</v>
      </c>
      <c r="G34" s="130" t="n">
        <v>18</v>
      </c>
      <c r="H34" s="131" t="n">
        <v>0.9</v>
      </c>
      <c r="I34" s="130" t="n">
        <v>18</v>
      </c>
      <c r="J34" s="131" t="n">
        <v>0.9</v>
      </c>
      <c r="K34" s="131" t="inlineStr">
        <is>
          <t xml:space="preserve">No aplica</t>
        </is>
      </c>
      <c r="L34" s="132" t="str">
        <v/>
      </c>
    </row>
    <row r="35" customFormat="false" ht="15" hidden="false" customHeight="true" outlineLevel="0" collapsed="false">
      <c r="B35" s="118" t="n">
        <v>2025</v>
      </c>
      <c r="C35" s="119" t="inlineStr">
        <is>
          <t xml:space="preserve">2 · Ingreso T2 (foto del área)</t>
        </is>
      </c>
      <c r="D35" s="119" t="inlineStr">
        <is>
          <t xml:space="preserve">Administración y Comercio</t>
        </is>
      </c>
      <c r="E35" s="119" t="inlineStr">
        <is>
          <t xml:space="preserve">Ingeniería en Administración de Empresas</t>
        </is>
      </c>
      <c r="F35" s="130" t="n">
        <v>35</v>
      </c>
      <c r="G35" s="130" t="n">
        <v>32</v>
      </c>
      <c r="H35" s="131" t="n">
        <v>0.914285714285714</v>
      </c>
      <c r="I35" s="130" t="n">
        <v>32</v>
      </c>
      <c r="J35" s="131" t="n">
        <v>0.914285714285714</v>
      </c>
      <c r="K35" s="131" t="inlineStr">
        <is>
          <t xml:space="preserve">No aplica</t>
        </is>
      </c>
      <c r="L35" s="132" t="str">
        <v/>
      </c>
    </row>
    <row r="36" customFormat="false" ht="15" hidden="false" customHeight="true" outlineLevel="0" collapsed="false">
      <c r="B36" s="118" t="n">
        <v>2025</v>
      </c>
      <c r="C36" s="119" t="inlineStr">
        <is>
          <t xml:space="preserve">2 · Ingreso T2 (foto del área)</t>
        </is>
      </c>
      <c r="D36" s="119" t="inlineStr">
        <is>
          <t xml:space="preserve">Administración y Comercio</t>
        </is>
      </c>
      <c r="E36" s="119" t="inlineStr">
        <is>
          <t xml:space="preserve">Ingeniería en Logística</t>
        </is>
      </c>
      <c r="F36" s="130" t="n">
        <v>21</v>
      </c>
      <c r="G36" s="130" t="n">
        <v>17</v>
      </c>
      <c r="H36" s="131" t="n">
        <v>0.80952380952381</v>
      </c>
      <c r="I36" s="130" t="n">
        <v>18</v>
      </c>
      <c r="J36" s="131" t="n">
        <v>0.857142857142857</v>
      </c>
      <c r="K36" s="131" t="inlineStr">
        <is>
          <t xml:space="preserve">No aplica</t>
        </is>
      </c>
      <c r="L36" s="132" t="str">
        <v/>
      </c>
    </row>
    <row r="37" customFormat="false" ht="15" hidden="false" customHeight="true" outlineLevel="0" collapsed="false">
      <c r="B37" s="118" t="n">
        <v>2025</v>
      </c>
      <c r="C37" s="119" t="inlineStr">
        <is>
          <t xml:space="preserve">2 · Ingreso T2 (foto del área)</t>
        </is>
      </c>
      <c r="D37" s="119" t="inlineStr">
        <is>
          <t xml:space="preserve">Salud</t>
        </is>
      </c>
      <c r="E37" s="119" t="inlineStr">
        <is>
          <t xml:space="preserve">Técnico en Enfermería</t>
        </is>
      </c>
      <c r="F37" s="130" t="n">
        <v>21</v>
      </c>
      <c r="G37" s="130" t="n">
        <v>17</v>
      </c>
      <c r="H37" s="131" t="n">
        <v>0.80952380952381</v>
      </c>
      <c r="I37" s="130" t="n">
        <v>18</v>
      </c>
      <c r="J37" s="131" t="n">
        <v>0.857142857142857</v>
      </c>
      <c r="K37" s="131" t="inlineStr">
        <is>
          <t xml:space="preserve">No aplica</t>
        </is>
      </c>
      <c r="L37" s="132" t="str">
        <v/>
      </c>
    </row>
    <row r="38" customFormat="false" ht="15" hidden="false" customHeight="true" outlineLevel="0" collapsed="false">
      <c r="B38" s="118" t="n">
        <v>2025</v>
      </c>
      <c r="C38" s="119" t="inlineStr">
        <is>
          <t xml:space="preserve">2 · Ingreso T2 (foto del área)</t>
        </is>
      </c>
      <c r="D38" s="119" t="inlineStr">
        <is>
          <t xml:space="preserve">Tecnologías</t>
        </is>
      </c>
      <c r="E38" s="119" t="inlineStr">
        <is>
          <t xml:space="preserve">Continuidad Ingeniería Ciberseguridad</t>
        </is>
      </c>
      <c r="F38" s="130" t="n">
        <v>1</v>
      </c>
      <c r="G38" s="130" t="n">
        <v>1</v>
      </c>
      <c r="H38" s="131" t="n">
        <v>1</v>
      </c>
      <c r="I38" s="130" t="n">
        <v>1</v>
      </c>
      <c r="J38" s="131" t="n">
        <v>1</v>
      </c>
      <c r="K38" s="131" t="inlineStr">
        <is>
          <t xml:space="preserve">No aplica</t>
        </is>
      </c>
      <c r="L38" s="132" t="str">
        <v>n &lt; 10 · leer con cautela</v>
      </c>
    </row>
    <row r="39" customFormat="false" ht="15" hidden="false" customHeight="true" outlineLevel="0" collapsed="false">
      <c r="B39" s="118" t="n">
        <v>2025</v>
      </c>
      <c r="C39" s="119" t="inlineStr">
        <is>
          <t xml:space="preserve">2 · Ingreso T2 (foto del área)</t>
        </is>
      </c>
      <c r="D39" s="119" t="inlineStr">
        <is>
          <t xml:space="preserve">Tecnologías</t>
        </is>
      </c>
      <c r="E39" s="119" t="inlineStr">
        <is>
          <t xml:space="preserve">Ingeniería Industrial</t>
        </is>
      </c>
      <c r="F39" s="130" t="n">
        <v>29</v>
      </c>
      <c r="G39" s="130" t="n">
        <v>28</v>
      </c>
      <c r="H39" s="131" t="n">
        <v>0.96551724137931</v>
      </c>
      <c r="I39" s="130" t="n">
        <v>29</v>
      </c>
      <c r="J39" s="131" t="n">
        <v>1</v>
      </c>
      <c r="K39" s="131" t="inlineStr">
        <is>
          <t xml:space="preserve">No aplica</t>
        </is>
      </c>
      <c r="L39" s="132" t="str">
        <v/>
      </c>
    </row>
    <row r="40" customFormat="false" ht="15" hidden="false" customHeight="true" outlineLevel="0" collapsed="false">
      <c r="B40" s="118" t="n">
        <v>2025</v>
      </c>
      <c r="C40" s="119" t="inlineStr">
        <is>
          <t xml:space="preserve">2 · Ingreso T2 (foto del área)</t>
        </is>
      </c>
      <c r="D40" s="119" t="inlineStr">
        <is>
          <t xml:space="preserve">Tecnologías</t>
        </is>
      </c>
      <c r="E40" s="119" t="inlineStr">
        <is>
          <t xml:space="preserve">Ingeniería en Ciberseguridad</t>
        </is>
      </c>
      <c r="F40" s="130" t="n">
        <v>29</v>
      </c>
      <c r="G40" s="130" t="n">
        <v>27</v>
      </c>
      <c r="H40" s="131" t="n">
        <v>0.931034482758621</v>
      </c>
      <c r="I40" s="130" t="n">
        <v>27</v>
      </c>
      <c r="J40" s="131" t="n">
        <v>0.931034482758621</v>
      </c>
      <c r="K40" s="131" t="inlineStr">
        <is>
          <t xml:space="preserve">No aplica</t>
        </is>
      </c>
      <c r="L40" s="132" t="str">
        <v/>
      </c>
    </row>
    <row r="41" customFormat="false" ht="15" hidden="false" customHeight="true" outlineLevel="0" collapsed="false">
      <c r="B41" s="118" t="n">
        <v>2025</v>
      </c>
      <c r="C41" s="119" t="inlineStr">
        <is>
          <t xml:space="preserve">2 · Ingreso T2 (foto del área)</t>
        </is>
      </c>
      <c r="D41" s="119" t="inlineStr">
        <is>
          <t xml:space="preserve">Tecnologías</t>
        </is>
      </c>
      <c r="E41" s="119" t="inlineStr">
        <is>
          <t xml:space="preserve">Ingeniería en Conectividad y Redes</t>
        </is>
      </c>
      <c r="F41" s="130" t="n">
        <v>1</v>
      </c>
      <c r="G41" s="130" t="n">
        <v>1</v>
      </c>
      <c r="H41" s="131" t="n">
        <v>1</v>
      </c>
      <c r="I41" s="130" t="n">
        <v>1</v>
      </c>
      <c r="J41" s="131" t="n">
        <v>1</v>
      </c>
      <c r="K41" s="131" t="inlineStr">
        <is>
          <t xml:space="preserve">No aplica</t>
        </is>
      </c>
      <c r="L41" s="132" t="str">
        <v>n &lt; 10 · leer con cautela</v>
      </c>
    </row>
    <row r="42" customFormat="false" ht="15" hidden="false" customHeight="true" outlineLevel="0" collapsed="false">
      <c r="B42" s="118" t="n">
        <v>2025</v>
      </c>
      <c r="C42" s="119" t="inlineStr">
        <is>
          <t xml:space="preserve">2 · Ingreso T2 (foto del área)</t>
        </is>
      </c>
      <c r="D42" s="119" t="inlineStr">
        <is>
          <t xml:space="preserve">Tecnologías</t>
        </is>
      </c>
      <c r="E42" s="119" t="inlineStr">
        <is>
          <t xml:space="preserve">Ingeniería en Informática</t>
        </is>
      </c>
      <c r="F42" s="130" t="n">
        <v>29</v>
      </c>
      <c r="G42" s="130" t="n">
        <v>26</v>
      </c>
      <c r="H42" s="131" t="n">
        <v>0.896551724137931</v>
      </c>
      <c r="I42" s="130" t="n">
        <v>26</v>
      </c>
      <c r="J42" s="131" t="n">
        <v>0.896551724137931</v>
      </c>
      <c r="K42" s="131" t="inlineStr">
        <is>
          <t xml:space="preserve">No aplica</t>
        </is>
      </c>
      <c r="L42" s="132" t="str">
        <v/>
      </c>
    </row>
    <row r="43" customFormat="false" ht="15" hidden="false" customHeight="true" outlineLevel="0" collapsed="false">
      <c r="B43" s="118" t="n">
        <v>2025</v>
      </c>
      <c r="C43" s="119" t="inlineStr">
        <is>
          <t xml:space="preserve">2 · Ingreso T2 (foto del área)</t>
        </is>
      </c>
      <c r="D43" s="119" t="inlineStr">
        <is>
          <t xml:space="preserve">Tecnologías</t>
        </is>
      </c>
      <c r="E43" s="119" t="inlineStr">
        <is>
          <t xml:space="preserve">Técnico en Programación y Análisis de Sistemas</t>
        </is>
      </c>
      <c r="F43" s="130" t="n">
        <v>15</v>
      </c>
      <c r="G43" s="130" t="n">
        <v>14</v>
      </c>
      <c r="H43" s="131" t="n">
        <v>0.933333333333333</v>
      </c>
      <c r="I43" s="130" t="n">
        <v>13</v>
      </c>
      <c r="J43" s="131" t="n">
        <v>0.866666666666667</v>
      </c>
      <c r="K43" s="131" t="inlineStr">
        <is>
          <t xml:space="preserve">No aplica</t>
        </is>
      </c>
      <c r="L43" s="132" t="str">
        <v/>
      </c>
    </row>
    <row r="44" customFormat="false" ht="15" hidden="false" customHeight="true" outlineLevel="0" collapsed="false">
      <c r="B44" s="118" t="n">
        <v>2026</v>
      </c>
      <c r="C44" s="119" t="inlineStr">
        <is>
          <t xml:space="preserve">1 · Matrícula Unificada (periodo 1)</t>
        </is>
      </c>
      <c r="D44" s="119" t="inlineStr">
        <is>
          <t xml:space="preserve">Administración y Comercio</t>
        </is>
      </c>
      <c r="E44" s="119" t="inlineStr">
        <is>
          <t xml:space="preserve">Administración Pública</t>
        </is>
      </c>
      <c r="F44" s="130" t="n">
        <v>45</v>
      </c>
      <c r="G44" s="130" t="inlineStr">
        <is>
          <t xml:space="preserve">Sin foto completa</t>
        </is>
      </c>
      <c r="H44" s="131" t="inlineStr">
        <is>
          <t xml:space="preserve">—</t>
        </is>
      </c>
      <c r="I44" s="130" t="n">
        <v>43</v>
      </c>
      <c r="J44" s="131" t="n">
        <v>0.955555555555556</v>
      </c>
      <c r="K44" s="131" t="inlineStr">
        <is>
          <t xml:space="preserve">Se mide en 2027</t>
        </is>
      </c>
      <c r="L44" s="132" t="str">
        <v/>
      </c>
    </row>
    <row r="45" customFormat="false" ht="15" hidden="false" customHeight="true" outlineLevel="0" collapsed="false">
      <c r="B45" s="118" t="n">
        <v>2026</v>
      </c>
      <c r="C45" s="119" t="inlineStr">
        <is>
          <t xml:space="preserve">1 · Matrícula Unificada (periodo 1)</t>
        </is>
      </c>
      <c r="D45" s="119" t="inlineStr">
        <is>
          <t xml:space="preserve">Administración y Comercio</t>
        </is>
      </c>
      <c r="E45" s="119" t="inlineStr">
        <is>
          <t xml:space="preserve">Auditoría</t>
        </is>
      </c>
      <c r="F45" s="130" t="n">
        <v>23</v>
      </c>
      <c r="G45" s="130" t="inlineStr">
        <is>
          <t xml:space="preserve">Sin foto completa</t>
        </is>
      </c>
      <c r="H45" s="131" t="inlineStr">
        <is>
          <t xml:space="preserve">—</t>
        </is>
      </c>
      <c r="I45" s="130" t="n">
        <v>22</v>
      </c>
      <c r="J45" s="131" t="n">
        <v>0.956521739130435</v>
      </c>
      <c r="K45" s="131" t="inlineStr">
        <is>
          <t xml:space="preserve">Se mide en 2027</t>
        </is>
      </c>
      <c r="L45" s="132" t="str">
        <v/>
      </c>
    </row>
    <row r="46" customFormat="false" ht="15" hidden="false" customHeight="true" outlineLevel="0" collapsed="false">
      <c r="B46" s="118" t="n">
        <v>2026</v>
      </c>
      <c r="C46" s="119" t="inlineStr">
        <is>
          <t xml:space="preserve">1 · Matrícula Unificada (periodo 1)</t>
        </is>
      </c>
      <c r="D46" s="119" t="inlineStr">
        <is>
          <t xml:space="preserve">Administración y Comercio</t>
        </is>
      </c>
      <c r="E46" s="119" t="inlineStr">
        <is>
          <t xml:space="preserve">Contabilidad General</t>
        </is>
      </c>
      <c r="F46" s="130" t="n">
        <v>33</v>
      </c>
      <c r="G46" s="130" t="inlineStr">
        <is>
          <t xml:space="preserve">Sin foto completa</t>
        </is>
      </c>
      <c r="H46" s="131" t="inlineStr">
        <is>
          <t xml:space="preserve">—</t>
        </is>
      </c>
      <c r="I46" s="130" t="n">
        <v>33</v>
      </c>
      <c r="J46" s="131" t="n">
        <v>1</v>
      </c>
      <c r="K46" s="131" t="inlineStr">
        <is>
          <t xml:space="preserve">Se mide en 2027</t>
        </is>
      </c>
      <c r="L46" s="132" t="str">
        <v/>
      </c>
    </row>
    <row r="47" customFormat="false" ht="15" hidden="false" customHeight="true" outlineLevel="0" collapsed="false">
      <c r="B47" s="118" t="n">
        <v>2026</v>
      </c>
      <c r="C47" s="119" t="inlineStr">
        <is>
          <t xml:space="preserve">1 · Matrícula Unificada (periodo 1)</t>
        </is>
      </c>
      <c r="D47" s="119" t="inlineStr">
        <is>
          <t xml:space="preserve">Administración y Comercio</t>
        </is>
      </c>
      <c r="E47" s="119" t="inlineStr">
        <is>
          <t xml:space="preserve">Ingeniería en Administración de Empresas</t>
        </is>
      </c>
      <c r="F47" s="130" t="n">
        <v>72</v>
      </c>
      <c r="G47" s="130" t="inlineStr">
        <is>
          <t xml:space="preserve">Sin foto completa</t>
        </is>
      </c>
      <c r="H47" s="131" t="inlineStr">
        <is>
          <t xml:space="preserve">—</t>
        </is>
      </c>
      <c r="I47" s="130" t="n">
        <v>64</v>
      </c>
      <c r="J47" s="131" t="n">
        <v>0.888888888888889</v>
      </c>
      <c r="K47" s="131" t="inlineStr">
        <is>
          <t xml:space="preserve">Se mide en 2027</t>
        </is>
      </c>
      <c r="L47" s="132" t="str">
        <v/>
      </c>
    </row>
    <row r="48" customFormat="false" ht="15" hidden="false" customHeight="true" outlineLevel="0" collapsed="false">
      <c r="B48" s="118" t="n">
        <v>2026</v>
      </c>
      <c r="C48" s="119" t="inlineStr">
        <is>
          <t xml:space="preserve">1 · Matrícula Unificada (periodo 1)</t>
        </is>
      </c>
      <c r="D48" s="119" t="inlineStr">
        <is>
          <t xml:space="preserve">Administración y Comercio</t>
        </is>
      </c>
      <c r="E48" s="119" t="inlineStr">
        <is>
          <t xml:space="preserve">Ingeniería en Finanzas</t>
        </is>
      </c>
      <c r="F48" s="130" t="n">
        <v>24</v>
      </c>
      <c r="G48" s="130" t="inlineStr">
        <is>
          <t xml:space="preserve">Sin foto completa</t>
        </is>
      </c>
      <c r="H48" s="131" t="inlineStr">
        <is>
          <t xml:space="preserve">—</t>
        </is>
      </c>
      <c r="I48" s="130" t="n">
        <v>20</v>
      </c>
      <c r="J48" s="131" t="n">
        <v>0.833333333333333</v>
      </c>
      <c r="K48" s="131" t="inlineStr">
        <is>
          <t xml:space="preserve">Se mide en 2027</t>
        </is>
      </c>
      <c r="L48" s="132" t="str">
        <v/>
      </c>
    </row>
    <row r="49" customFormat="false" ht="15" hidden="false" customHeight="true" outlineLevel="0" collapsed="false">
      <c r="B49" s="118" t="n">
        <v>2026</v>
      </c>
      <c r="C49" s="119" t="inlineStr">
        <is>
          <t xml:space="preserve">1 · Matrícula Unificada (periodo 1)</t>
        </is>
      </c>
      <c r="D49" s="119" t="inlineStr">
        <is>
          <t xml:space="preserve">Administración y Comercio</t>
        </is>
      </c>
      <c r="E49" s="119" t="inlineStr">
        <is>
          <t xml:space="preserve">Ingeniería en Logística</t>
        </is>
      </c>
      <c r="F49" s="130" t="n">
        <v>50</v>
      </c>
      <c r="G49" s="130" t="inlineStr">
        <is>
          <t xml:space="preserve">Sin foto completa</t>
        </is>
      </c>
      <c r="H49" s="131" t="inlineStr">
        <is>
          <t xml:space="preserve">—</t>
        </is>
      </c>
      <c r="I49" s="130" t="n">
        <v>45</v>
      </c>
      <c r="J49" s="131" t="n">
        <v>0.9</v>
      </c>
      <c r="K49" s="131" t="inlineStr">
        <is>
          <t xml:space="preserve">Se mide en 2027</t>
        </is>
      </c>
      <c r="L49" s="132" t="str">
        <v/>
      </c>
    </row>
    <row r="50" customFormat="false" ht="15" hidden="false" customHeight="true" outlineLevel="0" collapsed="false">
      <c r="B50" s="118" t="n">
        <v>2026</v>
      </c>
      <c r="C50" s="119" t="inlineStr">
        <is>
          <t xml:space="preserve">1 · Matrícula Unificada (periodo 1)</t>
        </is>
      </c>
      <c r="D50" s="119" t="inlineStr">
        <is>
          <t xml:space="preserve">Administración y Comercio</t>
        </is>
      </c>
      <c r="E50" s="119" t="inlineStr">
        <is>
          <t xml:space="preserve">Ingeniería en Marketing Digital</t>
        </is>
      </c>
      <c r="F50" s="130" t="n">
        <v>56</v>
      </c>
      <c r="G50" s="130" t="inlineStr">
        <is>
          <t xml:space="preserve">Sin foto completa</t>
        </is>
      </c>
      <c r="H50" s="131" t="inlineStr">
        <is>
          <t xml:space="preserve">—</t>
        </is>
      </c>
      <c r="I50" s="130" t="n">
        <v>51</v>
      </c>
      <c r="J50" s="131" t="n">
        <v>0.910714285714286</v>
      </c>
      <c r="K50" s="131" t="inlineStr">
        <is>
          <t xml:space="preserve">Se mide en 2027</t>
        </is>
      </c>
      <c r="L50" s="132" t="str">
        <v/>
      </c>
    </row>
    <row r="51" customFormat="false" ht="15" hidden="false" customHeight="true" outlineLevel="0" collapsed="false">
      <c r="B51" s="118" t="n">
        <v>2026</v>
      </c>
      <c r="C51" s="119" t="inlineStr">
        <is>
          <t xml:space="preserve">1 · Matrícula Unificada (periodo 1)</t>
        </is>
      </c>
      <c r="D51" s="119" t="inlineStr">
        <is>
          <t xml:space="preserve">Administración y Comercio</t>
        </is>
      </c>
      <c r="E51" s="119" t="inlineStr">
        <is>
          <t xml:space="preserve">Ingeniería en Recursos Humanos</t>
        </is>
      </c>
      <c r="F51" s="130" t="n">
        <v>26</v>
      </c>
      <c r="G51" s="130" t="inlineStr">
        <is>
          <t xml:space="preserve">Sin foto completa</t>
        </is>
      </c>
      <c r="H51" s="131" t="inlineStr">
        <is>
          <t xml:space="preserve">—</t>
        </is>
      </c>
      <c r="I51" s="130" t="n">
        <v>21</v>
      </c>
      <c r="J51" s="131" t="n">
        <v>0.807692307692308</v>
      </c>
      <c r="K51" s="131" t="inlineStr">
        <is>
          <t xml:space="preserve">Se mide en 2027</t>
        </is>
      </c>
      <c r="L51" s="132" t="str">
        <v/>
      </c>
    </row>
    <row r="52" customFormat="false" ht="15" hidden="false" customHeight="true" outlineLevel="0" collapsed="false">
      <c r="B52" s="118" t="n">
        <v>2026</v>
      </c>
      <c r="C52" s="119" t="inlineStr">
        <is>
          <t xml:space="preserve">1 · Matrícula Unificada (periodo 1)</t>
        </is>
      </c>
      <c r="D52" s="119" t="inlineStr">
        <is>
          <t xml:space="preserve">Administración y Comercio</t>
        </is>
      </c>
      <c r="E52" s="119" t="inlineStr">
        <is>
          <t xml:space="preserve">Ingeniería en Seguridad Privada</t>
        </is>
      </c>
      <c r="F52" s="130" t="n">
        <v>11</v>
      </c>
      <c r="G52" s="130" t="inlineStr">
        <is>
          <t xml:space="preserve">Sin foto completa</t>
        </is>
      </c>
      <c r="H52" s="131" t="inlineStr">
        <is>
          <t xml:space="preserve">—</t>
        </is>
      </c>
      <c r="I52" s="130" t="n">
        <v>10</v>
      </c>
      <c r="J52" s="131" t="n">
        <v>0.909090909090909</v>
      </c>
      <c r="K52" s="131" t="inlineStr">
        <is>
          <t xml:space="preserve">Se mide en 2027</t>
        </is>
      </c>
      <c r="L52" s="132" t="str">
        <v/>
      </c>
    </row>
    <row r="53" customFormat="false" ht="15" hidden="false" customHeight="true" outlineLevel="0" collapsed="false">
      <c r="B53" s="118" t="n">
        <v>2026</v>
      </c>
      <c r="C53" s="119" t="inlineStr">
        <is>
          <t xml:space="preserve">1 · Matrícula Unificada (periodo 1)</t>
        </is>
      </c>
      <c r="D53" s="119" t="inlineStr">
        <is>
          <t xml:space="preserve">Administración y Comercio</t>
        </is>
      </c>
      <c r="E53" s="119" t="inlineStr">
        <is>
          <t xml:space="preserve">Técnico en Administración Pública</t>
        </is>
      </c>
      <c r="F53" s="130" t="n">
        <v>19</v>
      </c>
      <c r="G53" s="130" t="inlineStr">
        <is>
          <t xml:space="preserve">Sin foto completa</t>
        </is>
      </c>
      <c r="H53" s="131" t="inlineStr">
        <is>
          <t xml:space="preserve">—</t>
        </is>
      </c>
      <c r="I53" s="130" t="n">
        <v>17</v>
      </c>
      <c r="J53" s="131" t="n">
        <v>0.894736842105263</v>
      </c>
      <c r="K53" s="131" t="inlineStr">
        <is>
          <t xml:space="preserve">Se mide en 2027</t>
        </is>
      </c>
      <c r="L53" s="132" t="str">
        <v/>
      </c>
    </row>
    <row r="54" customFormat="false" ht="15" hidden="false" customHeight="true" outlineLevel="0" collapsed="false">
      <c r="B54" s="118" t="n">
        <v>2026</v>
      </c>
      <c r="C54" s="119" t="inlineStr">
        <is>
          <t xml:space="preserve">1 · Matrícula Unificada (periodo 1)</t>
        </is>
      </c>
      <c r="D54" s="119" t="inlineStr">
        <is>
          <t xml:space="preserve">Administración y Comercio</t>
        </is>
      </c>
      <c r="E54" s="119" t="inlineStr">
        <is>
          <t xml:space="preserve">Técnico en Administración de Empresas</t>
        </is>
      </c>
      <c r="F54" s="130" t="n">
        <v>85</v>
      </c>
      <c r="G54" s="130" t="inlineStr">
        <is>
          <t xml:space="preserve">Sin foto completa</t>
        </is>
      </c>
      <c r="H54" s="131" t="inlineStr">
        <is>
          <t xml:space="preserve">—</t>
        </is>
      </c>
      <c r="I54" s="130" t="n">
        <v>77</v>
      </c>
      <c r="J54" s="131" t="n">
        <v>0.905882352941177</v>
      </c>
      <c r="K54" s="131" t="inlineStr">
        <is>
          <t xml:space="preserve">Se mide en 2027</t>
        </is>
      </c>
      <c r="L54" s="132" t="str">
        <v/>
      </c>
    </row>
    <row r="55" customFormat="false" ht="15" hidden="false" customHeight="true" outlineLevel="0" collapsed="false">
      <c r="B55" s="118" t="n">
        <v>2026</v>
      </c>
      <c r="C55" s="119" t="inlineStr">
        <is>
          <t xml:space="preserve">1 · Matrícula Unificada (periodo 1)</t>
        </is>
      </c>
      <c r="D55" s="119" t="inlineStr">
        <is>
          <t xml:space="preserve">Administración y Comercio</t>
        </is>
      </c>
      <c r="E55" s="119" t="inlineStr">
        <is>
          <t xml:space="preserve">Técnico en Finanzas</t>
        </is>
      </c>
      <c r="F55" s="130" t="n">
        <v>23</v>
      </c>
      <c r="G55" s="130" t="inlineStr">
        <is>
          <t xml:space="preserve">Sin foto completa</t>
        </is>
      </c>
      <c r="H55" s="131" t="inlineStr">
        <is>
          <t xml:space="preserve">—</t>
        </is>
      </c>
      <c r="I55" s="130" t="n">
        <v>20</v>
      </c>
      <c r="J55" s="131" t="n">
        <v>0.869565217391304</v>
      </c>
      <c r="K55" s="131" t="inlineStr">
        <is>
          <t xml:space="preserve">Se mide en 2027</t>
        </is>
      </c>
      <c r="L55" s="132" t="str">
        <v/>
      </c>
    </row>
    <row r="56" customFormat="false" ht="15" hidden="false" customHeight="true" outlineLevel="0" collapsed="false">
      <c r="B56" s="118" t="n">
        <v>2026</v>
      </c>
      <c r="C56" s="119" t="inlineStr">
        <is>
          <t xml:space="preserve">1 · Matrícula Unificada (periodo 1)</t>
        </is>
      </c>
      <c r="D56" s="119" t="inlineStr">
        <is>
          <t xml:space="preserve">Administración y Comercio</t>
        </is>
      </c>
      <c r="E56" s="119" t="inlineStr">
        <is>
          <t xml:space="preserve">Técnico en Logística</t>
        </is>
      </c>
      <c r="F56" s="130" t="n">
        <v>51</v>
      </c>
      <c r="G56" s="130" t="inlineStr">
        <is>
          <t xml:space="preserve">Sin foto completa</t>
        </is>
      </c>
      <c r="H56" s="131" t="inlineStr">
        <is>
          <t xml:space="preserve">—</t>
        </is>
      </c>
      <c r="I56" s="130" t="n">
        <v>51</v>
      </c>
      <c r="J56" s="131" t="n">
        <v>1</v>
      </c>
      <c r="K56" s="131" t="inlineStr">
        <is>
          <t xml:space="preserve">Se mide en 2027</t>
        </is>
      </c>
      <c r="L56" s="132" t="str">
        <v/>
      </c>
    </row>
    <row r="57" customFormat="false" ht="15" hidden="false" customHeight="true" outlineLevel="0" collapsed="false">
      <c r="B57" s="118" t="n">
        <v>2026</v>
      </c>
      <c r="C57" s="119" t="inlineStr">
        <is>
          <t xml:space="preserve">1 · Matrícula Unificada (periodo 1)</t>
        </is>
      </c>
      <c r="D57" s="119" t="inlineStr">
        <is>
          <t xml:space="preserve">Administración y Comercio</t>
        </is>
      </c>
      <c r="E57" s="119" t="inlineStr">
        <is>
          <t xml:space="preserve">Técnico en Marketing Digital</t>
        </is>
      </c>
      <c r="F57" s="130" t="n">
        <v>62</v>
      </c>
      <c r="G57" s="130" t="inlineStr">
        <is>
          <t xml:space="preserve">Sin foto completa</t>
        </is>
      </c>
      <c r="H57" s="131" t="inlineStr">
        <is>
          <t xml:space="preserve">—</t>
        </is>
      </c>
      <c r="I57" s="130" t="n">
        <v>59</v>
      </c>
      <c r="J57" s="131" t="n">
        <v>0.951612903225807</v>
      </c>
      <c r="K57" s="131" t="inlineStr">
        <is>
          <t xml:space="preserve">Se mide en 2027</t>
        </is>
      </c>
      <c r="L57" s="132" t="str">
        <v/>
      </c>
    </row>
    <row r="58" customFormat="false" ht="15" hidden="false" customHeight="true" outlineLevel="0" collapsed="false">
      <c r="B58" s="118" t="n">
        <v>2026</v>
      </c>
      <c r="C58" s="119" t="inlineStr">
        <is>
          <t xml:space="preserve">1 · Matrícula Unificada (periodo 1)</t>
        </is>
      </c>
      <c r="D58" s="119" t="inlineStr">
        <is>
          <t xml:space="preserve">Administración y Comercio</t>
        </is>
      </c>
      <c r="E58" s="119" t="inlineStr">
        <is>
          <t xml:space="preserve">Técnico en Recursos Humanos</t>
        </is>
      </c>
      <c r="F58" s="130" t="n">
        <v>28</v>
      </c>
      <c r="G58" s="130" t="inlineStr">
        <is>
          <t xml:space="preserve">Sin foto completa</t>
        </is>
      </c>
      <c r="H58" s="131" t="inlineStr">
        <is>
          <t xml:space="preserve">—</t>
        </is>
      </c>
      <c r="I58" s="130" t="n">
        <v>23</v>
      </c>
      <c r="J58" s="131" t="n">
        <v>0.821428571428571</v>
      </c>
      <c r="K58" s="131" t="inlineStr">
        <is>
          <t xml:space="preserve">Se mide en 2027</t>
        </is>
      </c>
      <c r="L58" s="132" t="str">
        <v/>
      </c>
    </row>
    <row r="59" customFormat="false" ht="15" hidden="false" customHeight="true" outlineLevel="0" collapsed="false">
      <c r="B59" s="118" t="n">
        <v>2026</v>
      </c>
      <c r="C59" s="119" t="inlineStr">
        <is>
          <t xml:space="preserve">1 · Matrícula Unificada (periodo 1)</t>
        </is>
      </c>
      <c r="D59" s="119" t="inlineStr">
        <is>
          <t xml:space="preserve">Salud</t>
        </is>
      </c>
      <c r="E59" s="119" t="inlineStr">
        <is>
          <t xml:space="preserve">Naturopatía</t>
        </is>
      </c>
      <c r="F59" s="130" t="n">
        <v>19</v>
      </c>
      <c r="G59" s="130" t="inlineStr">
        <is>
          <t xml:space="preserve">Sin foto completa</t>
        </is>
      </c>
      <c r="H59" s="131" t="inlineStr">
        <is>
          <t xml:space="preserve">—</t>
        </is>
      </c>
      <c r="I59" s="130" t="n">
        <v>17</v>
      </c>
      <c r="J59" s="131" t="n">
        <v>0.894736842105263</v>
      </c>
      <c r="K59" s="131" t="inlineStr">
        <is>
          <t xml:space="preserve">Se mide en 2027</t>
        </is>
      </c>
      <c r="L59" s="132" t="str">
        <v/>
      </c>
    </row>
    <row r="60" customFormat="false" ht="15" hidden="false" customHeight="true" outlineLevel="0" collapsed="false">
      <c r="B60" s="118" t="n">
        <v>2026</v>
      </c>
      <c r="C60" s="119" t="inlineStr">
        <is>
          <t xml:space="preserve">1 · Matrícula Unificada (periodo 1)</t>
        </is>
      </c>
      <c r="D60" s="119" t="inlineStr">
        <is>
          <t xml:space="preserve">Salud</t>
        </is>
      </c>
      <c r="E60" s="119" t="inlineStr">
        <is>
          <t xml:space="preserve">Técnico en Enfermería</t>
        </is>
      </c>
      <c r="F60" s="130" t="n">
        <v>126</v>
      </c>
      <c r="G60" s="130" t="inlineStr">
        <is>
          <t xml:space="preserve">Sin foto completa</t>
        </is>
      </c>
      <c r="H60" s="131" t="inlineStr">
        <is>
          <t xml:space="preserve">—</t>
        </is>
      </c>
      <c r="I60" s="130" t="n">
        <v>113</v>
      </c>
      <c r="J60" s="131" t="n">
        <v>0.896825396825397</v>
      </c>
      <c r="K60" s="131" t="inlineStr">
        <is>
          <t xml:space="preserve">Se mide en 2027</t>
        </is>
      </c>
      <c r="L60" s="132" t="str">
        <v/>
      </c>
    </row>
    <row r="61" customFormat="false" ht="15" hidden="false" customHeight="true" outlineLevel="0" collapsed="false">
      <c r="B61" s="118" t="n">
        <v>2026</v>
      </c>
      <c r="C61" s="119" t="inlineStr">
        <is>
          <t xml:space="preserve">1 · Matrícula Unificada (periodo 1)</t>
        </is>
      </c>
      <c r="D61" s="119" t="inlineStr">
        <is>
          <t xml:space="preserve">Salud</t>
        </is>
      </c>
      <c r="E61" s="119" t="inlineStr">
        <is>
          <t xml:space="preserve">Técnico en Enfermería e Instrumentación Quirúrgica</t>
        </is>
      </c>
      <c r="F61" s="130" t="n">
        <v>105</v>
      </c>
      <c r="G61" s="130" t="inlineStr">
        <is>
          <t xml:space="preserve">Sin foto completa</t>
        </is>
      </c>
      <c r="H61" s="131" t="inlineStr">
        <is>
          <t xml:space="preserve">—</t>
        </is>
      </c>
      <c r="I61" s="130" t="n">
        <v>102</v>
      </c>
      <c r="J61" s="131" t="n">
        <v>0.971428571428571</v>
      </c>
      <c r="K61" s="131" t="inlineStr">
        <is>
          <t xml:space="preserve">Se mide en 2027</t>
        </is>
      </c>
      <c r="L61" s="132" t="str">
        <v/>
      </c>
    </row>
    <row r="62" customFormat="false" ht="15" hidden="false" customHeight="true" outlineLevel="0" collapsed="false">
      <c r="B62" s="118" t="n">
        <v>2026</v>
      </c>
      <c r="C62" s="119" t="inlineStr">
        <is>
          <t xml:space="preserve">1 · Matrícula Unificada (periodo 1)</t>
        </is>
      </c>
      <c r="D62" s="119" t="inlineStr">
        <is>
          <t xml:space="preserve">Salud</t>
        </is>
      </c>
      <c r="E62" s="119" t="inlineStr">
        <is>
          <t xml:space="preserve">Técnico en Farmacia</t>
        </is>
      </c>
      <c r="F62" s="130" t="n">
        <v>39</v>
      </c>
      <c r="G62" s="130" t="inlineStr">
        <is>
          <t xml:space="preserve">Sin foto completa</t>
        </is>
      </c>
      <c r="H62" s="131" t="inlineStr">
        <is>
          <t xml:space="preserve">—</t>
        </is>
      </c>
      <c r="I62" s="130" t="n">
        <v>38</v>
      </c>
      <c r="J62" s="131" t="n">
        <v>0.974358974358974</v>
      </c>
      <c r="K62" s="131" t="inlineStr">
        <is>
          <t xml:space="preserve">Se mide en 2027</t>
        </is>
      </c>
      <c r="L62" s="132" t="str">
        <v/>
      </c>
    </row>
    <row r="63" customFormat="false" ht="15" hidden="false" customHeight="true" outlineLevel="0" collapsed="false">
      <c r="B63" s="118" t="n">
        <v>2026</v>
      </c>
      <c r="C63" s="119" t="inlineStr">
        <is>
          <t xml:space="preserve">1 · Matrícula Unificada (periodo 1)</t>
        </is>
      </c>
      <c r="D63" s="119" t="inlineStr">
        <is>
          <t xml:space="preserve">Tecnologías</t>
        </is>
      </c>
      <c r="E63" s="119" t="inlineStr">
        <is>
          <t xml:space="preserve">Ingeniería Industrial</t>
        </is>
      </c>
      <c r="F63" s="130" t="n">
        <v>51</v>
      </c>
      <c r="G63" s="130" t="inlineStr">
        <is>
          <t xml:space="preserve">Sin foto completa</t>
        </is>
      </c>
      <c r="H63" s="131" t="inlineStr">
        <is>
          <t xml:space="preserve">—</t>
        </is>
      </c>
      <c r="I63" s="130" t="n">
        <v>50</v>
      </c>
      <c r="J63" s="131" t="n">
        <v>0.980392156862745</v>
      </c>
      <c r="K63" s="131" t="inlineStr">
        <is>
          <t xml:space="preserve">Se mide en 2027</t>
        </is>
      </c>
      <c r="L63" s="132" t="str">
        <v/>
      </c>
    </row>
    <row r="64" customFormat="false" ht="15" hidden="false" customHeight="true" outlineLevel="0" collapsed="false">
      <c r="B64" s="118" t="n">
        <v>2026</v>
      </c>
      <c r="C64" s="119" t="inlineStr">
        <is>
          <t xml:space="preserve">1 · Matrícula Unificada (periodo 1)</t>
        </is>
      </c>
      <c r="D64" s="119" t="inlineStr">
        <is>
          <t xml:space="preserve">Tecnologías</t>
        </is>
      </c>
      <c r="E64" s="119" t="inlineStr">
        <is>
          <t xml:space="preserve">Ingeniería en Ciberseguridad</t>
        </is>
      </c>
      <c r="F64" s="130" t="n">
        <v>112</v>
      </c>
      <c r="G64" s="130" t="inlineStr">
        <is>
          <t xml:space="preserve">Sin foto completa</t>
        </is>
      </c>
      <c r="H64" s="131" t="inlineStr">
        <is>
          <t xml:space="preserve">—</t>
        </is>
      </c>
      <c r="I64" s="130" t="n">
        <v>106</v>
      </c>
      <c r="J64" s="131" t="n">
        <v>0.946428571428571</v>
      </c>
      <c r="K64" s="131" t="inlineStr">
        <is>
          <t xml:space="preserve">Se mide en 2027</t>
        </is>
      </c>
      <c r="L64" s="132" t="str">
        <v/>
      </c>
    </row>
    <row r="65" customFormat="false" ht="15" hidden="false" customHeight="true" outlineLevel="0" collapsed="false">
      <c r="B65" s="118" t="n">
        <v>2026</v>
      </c>
      <c r="C65" s="119" t="inlineStr">
        <is>
          <t xml:space="preserve">1 · Matrícula Unificada (periodo 1)</t>
        </is>
      </c>
      <c r="D65" s="119" t="inlineStr">
        <is>
          <t xml:space="preserve">Tecnologías</t>
        </is>
      </c>
      <c r="E65" s="119" t="inlineStr">
        <is>
          <t xml:space="preserve">Ingeniería en Ciencia de Datos</t>
        </is>
      </c>
      <c r="F65" s="130" t="n">
        <v>25</v>
      </c>
      <c r="G65" s="130" t="inlineStr">
        <is>
          <t xml:space="preserve">Sin foto completa</t>
        </is>
      </c>
      <c r="H65" s="131" t="inlineStr">
        <is>
          <t xml:space="preserve">—</t>
        </is>
      </c>
      <c r="I65" s="130" t="n">
        <v>22</v>
      </c>
      <c r="J65" s="131" t="n">
        <v>0.88</v>
      </c>
      <c r="K65" s="131" t="inlineStr">
        <is>
          <t xml:space="preserve">Se mide en 2027</t>
        </is>
      </c>
      <c r="L65" s="132" t="str">
        <v/>
      </c>
    </row>
    <row r="66" customFormat="false" ht="15" hidden="false" customHeight="true" outlineLevel="0" collapsed="false">
      <c r="B66" s="118" t="n">
        <v>2026</v>
      </c>
      <c r="C66" s="119" t="inlineStr">
        <is>
          <t xml:space="preserve">1 · Matrícula Unificada (periodo 1)</t>
        </is>
      </c>
      <c r="D66" s="119" t="inlineStr">
        <is>
          <t xml:space="preserve">Tecnologías</t>
        </is>
      </c>
      <c r="E66" s="119" t="inlineStr">
        <is>
          <t xml:space="preserve">Ingeniería en Conectividad y Redes</t>
        </is>
      </c>
      <c r="F66" s="130" t="n">
        <v>46</v>
      </c>
      <c r="G66" s="130" t="inlineStr">
        <is>
          <t xml:space="preserve">Sin foto completa</t>
        </is>
      </c>
      <c r="H66" s="131" t="inlineStr">
        <is>
          <t xml:space="preserve">—</t>
        </is>
      </c>
      <c r="I66" s="130" t="n">
        <v>45</v>
      </c>
      <c r="J66" s="131" t="n">
        <v>0.978260869565217</v>
      </c>
      <c r="K66" s="131" t="inlineStr">
        <is>
          <t xml:space="preserve">Se mide en 2027</t>
        </is>
      </c>
      <c r="L66" s="132" t="str">
        <v/>
      </c>
    </row>
    <row r="67" customFormat="false" ht="15" hidden="false" customHeight="true" outlineLevel="0" collapsed="false">
      <c r="B67" s="118" t="n">
        <v>2026</v>
      </c>
      <c r="C67" s="119" t="inlineStr">
        <is>
          <t xml:space="preserve">1 · Matrícula Unificada (periodo 1)</t>
        </is>
      </c>
      <c r="D67" s="119" t="inlineStr">
        <is>
          <t xml:space="preserve">Tecnologías</t>
        </is>
      </c>
      <c r="E67" s="119" t="inlineStr">
        <is>
          <t xml:space="preserve">Ingeniería en Informática</t>
        </is>
      </c>
      <c r="F67" s="130" t="n">
        <v>94</v>
      </c>
      <c r="G67" s="130" t="inlineStr">
        <is>
          <t xml:space="preserve">Sin foto completa</t>
        </is>
      </c>
      <c r="H67" s="131" t="inlineStr">
        <is>
          <t xml:space="preserve">—</t>
        </is>
      </c>
      <c r="I67" s="130" t="n">
        <v>92</v>
      </c>
      <c r="J67" s="131" t="n">
        <v>0.978723404255319</v>
      </c>
      <c r="K67" s="131" t="inlineStr">
        <is>
          <t xml:space="preserve">Se mide en 2027</t>
        </is>
      </c>
      <c r="L67" s="132" t="str">
        <v/>
      </c>
    </row>
    <row r="68" customFormat="false" ht="15" hidden="false" customHeight="true" outlineLevel="0" collapsed="false">
      <c r="B68" s="118" t="n">
        <v>2026</v>
      </c>
      <c r="C68" s="119" t="inlineStr">
        <is>
          <t xml:space="preserve">1 · Matrícula Unificada (periodo 1)</t>
        </is>
      </c>
      <c r="D68" s="119" t="inlineStr">
        <is>
          <t xml:space="preserve">Tecnologías</t>
        </is>
      </c>
      <c r="E68" s="119" t="inlineStr">
        <is>
          <t xml:space="preserve">Ingeniería en Prevención de Riesgos</t>
        </is>
      </c>
      <c r="F68" s="130" t="n">
        <v>24</v>
      </c>
      <c r="G68" s="130" t="inlineStr">
        <is>
          <t xml:space="preserve">Sin foto completa</t>
        </is>
      </c>
      <c r="H68" s="131" t="inlineStr">
        <is>
          <t xml:space="preserve">—</t>
        </is>
      </c>
      <c r="I68" s="130" t="n">
        <v>22</v>
      </c>
      <c r="J68" s="131" t="n">
        <v>0.916666666666667</v>
      </c>
      <c r="K68" s="131" t="inlineStr">
        <is>
          <t xml:space="preserve">Se mide en 2027</t>
        </is>
      </c>
      <c r="L68" s="132" t="str">
        <v/>
      </c>
    </row>
    <row r="69" customFormat="false" ht="15" hidden="false" customHeight="true" outlineLevel="0" collapsed="false">
      <c r="B69" s="118" t="n">
        <v>2026</v>
      </c>
      <c r="C69" s="119" t="inlineStr">
        <is>
          <t xml:space="preserve">1 · Matrícula Unificada (periodo 1)</t>
        </is>
      </c>
      <c r="D69" s="119" t="inlineStr">
        <is>
          <t xml:space="preserve">Tecnologías</t>
        </is>
      </c>
      <c r="E69" s="119" t="inlineStr">
        <is>
          <t xml:space="preserve">Técnico en Ciberseguridad</t>
        </is>
      </c>
      <c r="F69" s="130" t="n">
        <v>73</v>
      </c>
      <c r="G69" s="130" t="inlineStr">
        <is>
          <t xml:space="preserve">Sin foto completa</t>
        </is>
      </c>
      <c r="H69" s="131" t="inlineStr">
        <is>
          <t xml:space="preserve">—</t>
        </is>
      </c>
      <c r="I69" s="130" t="n">
        <v>62</v>
      </c>
      <c r="J69" s="131" t="n">
        <v>0.861111111111111</v>
      </c>
      <c r="K69" s="131" t="inlineStr">
        <is>
          <t xml:space="preserve">Se mide en 2027</t>
        </is>
      </c>
      <c r="L69" s="132" t="str">
        <v/>
      </c>
    </row>
    <row r="70" customFormat="false" ht="15" hidden="false" customHeight="true" outlineLevel="0" collapsed="false">
      <c r="B70" s="118" t="n">
        <v>2026</v>
      </c>
      <c r="C70" s="119" t="inlineStr">
        <is>
          <t xml:space="preserve">1 · Matrícula Unificada (periodo 1)</t>
        </is>
      </c>
      <c r="D70" s="119" t="inlineStr">
        <is>
          <t xml:space="preserve">Tecnologías</t>
        </is>
      </c>
      <c r="E70" s="119" t="inlineStr">
        <is>
          <t xml:space="preserve">Técnico en Ciencia de Datos</t>
        </is>
      </c>
      <c r="F70" s="130" t="n">
        <v>18</v>
      </c>
      <c r="G70" s="130" t="inlineStr">
        <is>
          <t xml:space="preserve">Sin foto completa</t>
        </is>
      </c>
      <c r="H70" s="131" t="inlineStr">
        <is>
          <t xml:space="preserve">—</t>
        </is>
      </c>
      <c r="I70" s="130" t="n">
        <v>16</v>
      </c>
      <c r="J70" s="131" t="n">
        <v>0.888888888888889</v>
      </c>
      <c r="K70" s="131" t="inlineStr">
        <is>
          <t xml:space="preserve">Se mide en 2027</t>
        </is>
      </c>
      <c r="L70" s="132" t="str">
        <v/>
      </c>
    </row>
    <row r="71" customFormat="false" ht="15" hidden="false" customHeight="true" outlineLevel="0" collapsed="false">
      <c r="B71" s="118" t="n">
        <v>2026</v>
      </c>
      <c r="C71" s="119" t="inlineStr">
        <is>
          <t xml:space="preserve">1 · Matrícula Unificada (periodo 1)</t>
        </is>
      </c>
      <c r="D71" s="119" t="inlineStr">
        <is>
          <t xml:space="preserve">Tecnologías</t>
        </is>
      </c>
      <c r="E71" s="119" t="inlineStr">
        <is>
          <t xml:space="preserve">Técnico en Conectividad y Redes</t>
        </is>
      </c>
      <c r="F71" s="130" t="n">
        <v>10</v>
      </c>
      <c r="G71" s="130" t="inlineStr">
        <is>
          <t xml:space="preserve">Sin foto completa</t>
        </is>
      </c>
      <c r="H71" s="131" t="inlineStr">
        <is>
          <t xml:space="preserve">—</t>
        </is>
      </c>
      <c r="I71" s="130" t="n">
        <v>8</v>
      </c>
      <c r="J71" s="131" t="n">
        <v>0.888888888888889</v>
      </c>
      <c r="K71" s="131" t="inlineStr">
        <is>
          <t xml:space="preserve">Se mide en 2027</t>
        </is>
      </c>
      <c r="L71" s="132" t="str">
        <v/>
      </c>
    </row>
    <row r="72" customFormat="false" ht="15" hidden="false" customHeight="true" outlineLevel="0" collapsed="false">
      <c r="B72" s="118" t="n">
        <v>2026</v>
      </c>
      <c r="C72" s="119" t="inlineStr">
        <is>
          <t xml:space="preserve">1 · Matrícula Unificada (periodo 1)</t>
        </is>
      </c>
      <c r="D72" s="119" t="inlineStr">
        <is>
          <t xml:space="preserve">Tecnologías</t>
        </is>
      </c>
      <c r="E72" s="119" t="inlineStr">
        <is>
          <t xml:space="preserve">Técnico en Infraestructura Cloud</t>
        </is>
      </c>
      <c r="F72" s="130" t="n">
        <v>12</v>
      </c>
      <c r="G72" s="130" t="inlineStr">
        <is>
          <t xml:space="preserve">Sin foto completa</t>
        </is>
      </c>
      <c r="H72" s="131" t="inlineStr">
        <is>
          <t xml:space="preserve">—</t>
        </is>
      </c>
      <c r="I72" s="130" t="n">
        <v>10</v>
      </c>
      <c r="J72" s="131" t="n">
        <v>0.833333333333333</v>
      </c>
      <c r="K72" s="131" t="inlineStr">
        <is>
          <t xml:space="preserve">Se mide en 2027</t>
        </is>
      </c>
      <c r="L72" s="132" t="str">
        <v/>
      </c>
    </row>
    <row r="73" customFormat="false" ht="15" hidden="false" customHeight="true" outlineLevel="0" collapsed="false">
      <c r="B73" s="118" t="n">
        <v>2026</v>
      </c>
      <c r="C73" s="119" t="inlineStr">
        <is>
          <t xml:space="preserve">1 · Matrícula Unificada (periodo 1)</t>
        </is>
      </c>
      <c r="D73" s="119" t="inlineStr">
        <is>
          <t xml:space="preserve">Tecnologías</t>
        </is>
      </c>
      <c r="E73" s="119" t="inlineStr">
        <is>
          <t xml:space="preserve">Técnico en Prevención de Riesgos</t>
        </is>
      </c>
      <c r="F73" s="130" t="n">
        <v>16</v>
      </c>
      <c r="G73" s="130" t="inlineStr">
        <is>
          <t xml:space="preserve">Sin foto completa</t>
        </is>
      </c>
      <c r="H73" s="131" t="inlineStr">
        <is>
          <t xml:space="preserve">—</t>
        </is>
      </c>
      <c r="I73" s="130" t="n">
        <v>15</v>
      </c>
      <c r="J73" s="131" t="n">
        <v>0.9375</v>
      </c>
      <c r="K73" s="131" t="inlineStr">
        <is>
          <t xml:space="preserve">Se mide en 2027</t>
        </is>
      </c>
      <c r="L73" s="132" t="str">
        <v/>
      </c>
    </row>
    <row r="74" customFormat="false" ht="15" hidden="false" customHeight="true" outlineLevel="0" collapsed="false">
      <c r="B74" s="118" t="n">
        <v>2026</v>
      </c>
      <c r="C74" s="119" t="inlineStr">
        <is>
          <t xml:space="preserve">1 · Matrícula Unificada (periodo 1)</t>
        </is>
      </c>
      <c r="D74" s="119" t="inlineStr">
        <is>
          <t xml:space="preserve">Tecnologías</t>
        </is>
      </c>
      <c r="E74" s="119" t="inlineStr">
        <is>
          <t xml:space="preserve">Técnico en Programación y Análisis de Sistemas</t>
        </is>
      </c>
      <c r="F74" s="130" t="n">
        <v>93</v>
      </c>
      <c r="G74" s="130" t="inlineStr">
        <is>
          <t xml:space="preserve">Sin foto completa</t>
        </is>
      </c>
      <c r="H74" s="131" t="inlineStr">
        <is>
          <t xml:space="preserve">—</t>
        </is>
      </c>
      <c r="I74" s="130" t="n">
        <v>86</v>
      </c>
      <c r="J74" s="131" t="n">
        <v>0.945054945054945</v>
      </c>
      <c r="K74" s="131" t="inlineStr">
        <is>
          <t xml:space="preserve">Se mide en 2027</t>
        </is>
      </c>
      <c r="L74" s="132" t="str">
        <v/>
      </c>
    </row>
    <row r="75" customFormat="false" ht="15" hidden="false" customHeight="true" outlineLevel="0" collapsed="false">
      <c r="B75" s="118" t="n">
        <v>2026</v>
      </c>
      <c r="C75" s="119" t="inlineStr">
        <is>
          <t xml:space="preserve">2 · Ingreso T2 (foto del área)</t>
        </is>
      </c>
      <c r="D75" s="119" t="inlineStr">
        <is>
          <t xml:space="preserve">Administración y Comercio</t>
        </is>
      </c>
      <c r="E75" s="119" t="inlineStr">
        <is>
          <t xml:space="preserve">Administración Pública</t>
        </is>
      </c>
      <c r="F75" s="130" t="n">
        <v>20</v>
      </c>
      <c r="G75" s="130" t="str">
        <v>Sin dato</v>
      </c>
      <c r="H75" s="131" t="str">
        <v>—</v>
      </c>
      <c r="I75" s="130" t="n">
        <v>19</v>
      </c>
      <c r="J75" s="131" t="n">
        <v>0.95</v>
      </c>
      <c r="K75" s="131" t="inlineStr">
        <is>
          <t xml:space="preserve">No aplica</t>
        </is>
      </c>
      <c r="L75" s="132" t="str">
        <v/>
      </c>
    </row>
    <row r="76" customFormat="false" ht="15" hidden="false" customHeight="true" outlineLevel="0" collapsed="false">
      <c r="B76" s="118" t="n">
        <v>2026</v>
      </c>
      <c r="C76" s="119" t="inlineStr">
        <is>
          <t xml:space="preserve">2 · Ingreso T2 (foto del área)</t>
        </is>
      </c>
      <c r="D76" s="119" t="inlineStr">
        <is>
          <t xml:space="preserve">Administración y Comercio</t>
        </is>
      </c>
      <c r="E76" s="119" t="inlineStr">
        <is>
          <t xml:space="preserve">Auditoría</t>
        </is>
      </c>
      <c r="F76" s="130" t="n">
        <v>15</v>
      </c>
      <c r="G76" s="130" t="str">
        <v>Sin dato</v>
      </c>
      <c r="H76" s="131" t="str">
        <v>—</v>
      </c>
      <c r="I76" s="130" t="n">
        <v>14</v>
      </c>
      <c r="J76" s="131" t="n">
        <v>0.933333333333333</v>
      </c>
      <c r="K76" s="131" t="inlineStr">
        <is>
          <t xml:space="preserve">No aplica</t>
        </is>
      </c>
      <c r="L76" s="132" t="str">
        <v/>
      </c>
    </row>
    <row r="77" customFormat="false" ht="15" hidden="false" customHeight="true" outlineLevel="0" collapsed="false">
      <c r="B77" s="118" t="n">
        <v>2026</v>
      </c>
      <c r="C77" s="119" t="inlineStr">
        <is>
          <t xml:space="preserve">2 · Ingreso T2 (foto del área)</t>
        </is>
      </c>
      <c r="D77" s="119" t="inlineStr">
        <is>
          <t xml:space="preserve">Administración y Comercio</t>
        </is>
      </c>
      <c r="E77" s="119" t="inlineStr">
        <is>
          <t xml:space="preserve">Contabilidad General</t>
        </is>
      </c>
      <c r="F77" s="130" t="n">
        <v>25</v>
      </c>
      <c r="G77" s="130" t="n">
        <v>23</v>
      </c>
      <c r="H77" s="131" t="n">
        <v>0.92</v>
      </c>
      <c r="I77" s="130" t="n">
        <v>23</v>
      </c>
      <c r="J77" s="131" t="n">
        <v>0.92</v>
      </c>
      <c r="K77" s="131" t="inlineStr">
        <is>
          <t xml:space="preserve">No aplica</t>
        </is>
      </c>
      <c r="L77" s="132" t="str">
        <v/>
      </c>
    </row>
    <row r="78" customFormat="false" ht="15" hidden="false" customHeight="true" outlineLevel="0" collapsed="false">
      <c r="B78" s="118" t="n">
        <v>2026</v>
      </c>
      <c r="C78" s="119" t="inlineStr">
        <is>
          <t xml:space="preserve">2 · Ingreso T2 (foto del área)</t>
        </is>
      </c>
      <c r="D78" s="119" t="inlineStr">
        <is>
          <t xml:space="preserve">Administración y Comercio</t>
        </is>
      </c>
      <c r="E78" s="119" t="inlineStr">
        <is>
          <t xml:space="preserve">Ingeniería en Administración de Empresas</t>
        </is>
      </c>
      <c r="F78" s="130" t="n">
        <v>36</v>
      </c>
      <c r="G78" s="130" t="str">
        <v>Sin dato</v>
      </c>
      <c r="H78" s="131" t="str">
        <v>—</v>
      </c>
      <c r="I78" s="130" t="n">
        <v>32</v>
      </c>
      <c r="J78" s="131" t="n">
        <v>0.888888888888889</v>
      </c>
      <c r="K78" s="131" t="inlineStr">
        <is>
          <t xml:space="preserve">No aplica</t>
        </is>
      </c>
      <c r="L78" s="132" t="str">
        <v/>
      </c>
    </row>
    <row r="79" customFormat="false" ht="15" hidden="false" customHeight="true" outlineLevel="0" collapsed="false">
      <c r="B79" s="118" t="n">
        <v>2026</v>
      </c>
      <c r="C79" s="119" t="inlineStr">
        <is>
          <t xml:space="preserve">2 · Ingreso T2 (foto del área)</t>
        </is>
      </c>
      <c r="D79" s="119" t="inlineStr">
        <is>
          <t xml:space="preserve">Administración y Comercio</t>
        </is>
      </c>
      <c r="E79" s="119" t="inlineStr">
        <is>
          <t xml:space="preserve">Ingeniería en Logística</t>
        </is>
      </c>
      <c r="F79" s="130" t="n">
        <v>34</v>
      </c>
      <c r="G79" s="130" t="str">
        <v>Sin dato</v>
      </c>
      <c r="H79" s="131" t="str">
        <v>—</v>
      </c>
      <c r="I79" s="130" t="n">
        <v>28</v>
      </c>
      <c r="J79" s="131" t="n">
        <v>0.823529411764706</v>
      </c>
      <c r="K79" s="131" t="inlineStr">
        <is>
          <t xml:space="preserve">No aplica</t>
        </is>
      </c>
      <c r="L79" s="132" t="str">
        <v/>
      </c>
    </row>
    <row r="80" customFormat="false" ht="15" hidden="false" customHeight="true" outlineLevel="0" collapsed="false">
      <c r="B80" s="118" t="n">
        <v>2026</v>
      </c>
      <c r="C80" s="119" t="inlineStr">
        <is>
          <t xml:space="preserve">2 · Ingreso T2 (foto del área)</t>
        </is>
      </c>
      <c r="D80" s="119" t="inlineStr">
        <is>
          <t xml:space="preserve">Administración y Comercio</t>
        </is>
      </c>
      <c r="E80" s="119" t="inlineStr">
        <is>
          <t xml:space="preserve">Ingeniería en Marketing Digital</t>
        </is>
      </c>
      <c r="F80" s="130" t="n">
        <v>33</v>
      </c>
      <c r="G80" s="130" t="str">
        <v>Sin dato</v>
      </c>
      <c r="H80" s="131" t="str">
        <v>—</v>
      </c>
      <c r="I80" s="130" t="n">
        <v>33</v>
      </c>
      <c r="J80" s="131" t="n">
        <v>1</v>
      </c>
      <c r="K80" s="131" t="inlineStr">
        <is>
          <t xml:space="preserve">No aplica</t>
        </is>
      </c>
      <c r="L80" s="132" t="str">
        <v/>
      </c>
    </row>
    <row r="81" customFormat="false" ht="15" hidden="false" customHeight="true" outlineLevel="0" collapsed="false">
      <c r="B81" s="118" t="n">
        <v>2026</v>
      </c>
      <c r="C81" s="119" t="inlineStr">
        <is>
          <t xml:space="preserve">2 · Ingreso T2 (foto del área)</t>
        </is>
      </c>
      <c r="D81" s="119" t="inlineStr">
        <is>
          <t xml:space="preserve">Administración y Comercio</t>
        </is>
      </c>
      <c r="E81" s="119" t="inlineStr">
        <is>
          <t xml:space="preserve">Ingeniería en Recursos Humanos</t>
        </is>
      </c>
      <c r="F81" s="130" t="n">
        <v>6</v>
      </c>
      <c r="G81" s="130" t="str">
        <v>Sin dato</v>
      </c>
      <c r="H81" s="131" t="str">
        <v>—</v>
      </c>
      <c r="I81" s="130" t="n">
        <v>5</v>
      </c>
      <c r="J81" s="131" t="n">
        <v>0.833333333333333</v>
      </c>
      <c r="K81" s="131" t="inlineStr">
        <is>
          <t xml:space="preserve">No aplica</t>
        </is>
      </c>
      <c r="L81" s="132" t="str">
        <v>n &lt; 10 · leer con cautela</v>
      </c>
    </row>
    <row r="82" customFormat="false" ht="15" hidden="false" customHeight="true" outlineLevel="0" collapsed="false">
      <c r="B82" s="118" t="n">
        <v>2026</v>
      </c>
      <c r="C82" s="119" t="inlineStr">
        <is>
          <t xml:space="preserve">2 · Ingreso T2 (foto del área)</t>
        </is>
      </c>
      <c r="D82" s="119" t="inlineStr">
        <is>
          <t xml:space="preserve">Administración y Comercio</t>
        </is>
      </c>
      <c r="E82" s="119" t="inlineStr">
        <is>
          <t xml:space="preserve">Técnico en Administración de Empresas</t>
        </is>
      </c>
      <c r="F82" s="130" t="n">
        <v>32</v>
      </c>
      <c r="G82" s="130" t="str">
        <v>Sin dato</v>
      </c>
      <c r="H82" s="131" t="str">
        <v>—</v>
      </c>
      <c r="I82" s="130" t="n">
        <v>29</v>
      </c>
      <c r="J82" s="131" t="n">
        <v>0.90625</v>
      </c>
      <c r="K82" s="131" t="inlineStr">
        <is>
          <t xml:space="preserve">No aplica</t>
        </is>
      </c>
      <c r="L82" s="132" t="str">
        <v/>
      </c>
    </row>
    <row r="83" customFormat="false" ht="15" hidden="false" customHeight="true" outlineLevel="0" collapsed="false">
      <c r="B83" s="118" t="n">
        <v>2026</v>
      </c>
      <c r="C83" s="119" t="inlineStr">
        <is>
          <t xml:space="preserve">2 · Ingreso T2 (foto del área)</t>
        </is>
      </c>
      <c r="D83" s="119" t="inlineStr">
        <is>
          <t xml:space="preserve">Administración y Comercio</t>
        </is>
      </c>
      <c r="E83" s="119" t="inlineStr">
        <is>
          <t xml:space="preserve">Técnico en Logística</t>
        </is>
      </c>
      <c r="F83" s="130" t="n">
        <v>21</v>
      </c>
      <c r="G83" s="130" t="str">
        <v>Sin dato</v>
      </c>
      <c r="H83" s="131" t="str">
        <v>—</v>
      </c>
      <c r="I83" s="130" t="n">
        <v>20</v>
      </c>
      <c r="J83" s="131" t="n">
        <v>0.952380952380952</v>
      </c>
      <c r="K83" s="131" t="inlineStr">
        <is>
          <t xml:space="preserve">No aplica</t>
        </is>
      </c>
      <c r="L83" s="132" t="str">
        <v/>
      </c>
    </row>
    <row r="84" customFormat="false" ht="15" hidden="false" customHeight="true" outlineLevel="0" collapsed="false">
      <c r="B84" s="118" t="n">
        <v>2026</v>
      </c>
      <c r="C84" s="119" t="inlineStr">
        <is>
          <t xml:space="preserve">2 · Ingreso T2 (foto del área)</t>
        </is>
      </c>
      <c r="D84" s="119" t="inlineStr">
        <is>
          <t xml:space="preserve">Administración y Comercio</t>
        </is>
      </c>
      <c r="E84" s="119" t="inlineStr">
        <is>
          <t xml:space="preserve">Técnico en Marketing Digital</t>
        </is>
      </c>
      <c r="F84" s="130" t="n">
        <v>28</v>
      </c>
      <c r="G84" s="130" t="str">
        <v>Sin dato</v>
      </c>
      <c r="H84" s="131" t="str">
        <v>—</v>
      </c>
      <c r="I84" s="130" t="n">
        <v>25</v>
      </c>
      <c r="J84" s="131" t="n">
        <v>0.892857142857143</v>
      </c>
      <c r="K84" s="131" t="inlineStr">
        <is>
          <t xml:space="preserve">No aplica</t>
        </is>
      </c>
      <c r="L84" s="132" t="str">
        <v/>
      </c>
    </row>
    <row r="85" customFormat="false" ht="15" hidden="false" customHeight="true" outlineLevel="0" collapsed="false">
      <c r="B85" s="118" t="n">
        <v>2026</v>
      </c>
      <c r="C85" s="119" t="inlineStr">
        <is>
          <t xml:space="preserve">2 · Ingreso T2 (foto del área)</t>
        </is>
      </c>
      <c r="D85" s="119" t="inlineStr">
        <is>
          <t xml:space="preserve">Administración y Comercio</t>
        </is>
      </c>
      <c r="E85" s="119" t="inlineStr">
        <is>
          <t xml:space="preserve">Técnico en Recursos Humanos</t>
        </is>
      </c>
      <c r="F85" s="130" t="n">
        <v>18</v>
      </c>
      <c r="G85" s="130" t="str">
        <v>Sin dato</v>
      </c>
      <c r="H85" s="131" t="str">
        <v>—</v>
      </c>
      <c r="I85" s="130" t="n">
        <v>13</v>
      </c>
      <c r="J85" s="131" t="n">
        <v>0.722222222222222</v>
      </c>
      <c r="K85" s="131" t="inlineStr">
        <is>
          <t xml:space="preserve">No aplica</t>
        </is>
      </c>
      <c r="L85" s="132" t="str">
        <v/>
      </c>
    </row>
    <row r="86" customFormat="false" ht="15" hidden="false" customHeight="true" outlineLevel="0" collapsed="false">
      <c r="B86" s="118" t="n">
        <v>2026</v>
      </c>
      <c r="C86" s="119" t="inlineStr">
        <is>
          <t xml:space="preserve">2 · Ingreso T2 (foto del área)</t>
        </is>
      </c>
      <c r="D86" s="119" t="inlineStr">
        <is>
          <t xml:space="preserve">Salud</t>
        </is>
      </c>
      <c r="E86" s="119" t="inlineStr">
        <is>
          <t xml:space="preserve">Técnico en Enfermería</t>
        </is>
      </c>
      <c r="F86" s="130" t="n">
        <v>60</v>
      </c>
      <c r="G86" s="130" t="str">
        <v>Sin dato</v>
      </c>
      <c r="H86" s="131" t="str">
        <v>—</v>
      </c>
      <c r="I86" s="130" t="n">
        <v>50</v>
      </c>
      <c r="J86" s="131" t="n">
        <v>0.833333333333333</v>
      </c>
      <c r="K86" s="131" t="inlineStr">
        <is>
          <t xml:space="preserve">No aplica</t>
        </is>
      </c>
      <c r="L86" s="132" t="str">
        <v/>
      </c>
    </row>
    <row r="87" customFormat="false" ht="15" hidden="false" customHeight="true" outlineLevel="0" collapsed="false">
      <c r="B87" s="118" t="n">
        <v>2026</v>
      </c>
      <c r="C87" s="119" t="inlineStr">
        <is>
          <t xml:space="preserve">2 · Ingreso T2 (foto del área)</t>
        </is>
      </c>
      <c r="D87" s="119" t="inlineStr">
        <is>
          <t xml:space="preserve">Salud</t>
        </is>
      </c>
      <c r="E87" s="119" t="inlineStr">
        <is>
          <t xml:space="preserve">Técnico en Enfermería e Instrumentación Quirúrgica</t>
        </is>
      </c>
      <c r="F87" s="130" t="n">
        <v>65</v>
      </c>
      <c r="G87" s="130" t="str">
        <v>Sin dato</v>
      </c>
      <c r="H87" s="131" t="str">
        <v>—</v>
      </c>
      <c r="I87" s="130" t="n">
        <v>52</v>
      </c>
      <c r="J87" s="131" t="n">
        <v>0.8</v>
      </c>
      <c r="K87" s="131" t="inlineStr">
        <is>
          <t xml:space="preserve">No aplica</t>
        </is>
      </c>
      <c r="L87" s="132" t="str">
        <v/>
      </c>
    </row>
    <row r="88" customFormat="false" ht="15" hidden="false" customHeight="true" outlineLevel="0" collapsed="false">
      <c r="B88" s="118" t="n">
        <v>2026</v>
      </c>
      <c r="C88" s="119" t="inlineStr">
        <is>
          <t xml:space="preserve">2 · Ingreso T2 (foto del área)</t>
        </is>
      </c>
      <c r="D88" s="119" t="inlineStr">
        <is>
          <t xml:space="preserve">Tecnologías</t>
        </is>
      </c>
      <c r="E88" s="119" t="inlineStr">
        <is>
          <t xml:space="preserve">Continuidad Ingeniería Informática</t>
        </is>
      </c>
      <c r="F88" s="130" t="n">
        <v>3</v>
      </c>
      <c r="G88" s="130" t="str">
        <v>Sin dato</v>
      </c>
      <c r="H88" s="131" t="str">
        <v>—</v>
      </c>
      <c r="I88" s="130" t="n">
        <v>3</v>
      </c>
      <c r="J88" s="131" t="n">
        <v>1</v>
      </c>
      <c r="K88" s="131" t="inlineStr">
        <is>
          <t xml:space="preserve">No aplica</t>
        </is>
      </c>
      <c r="L88" s="132" t="str">
        <v>n &lt; 10 · leer con cautela</v>
      </c>
    </row>
    <row r="89" customFormat="false" ht="15" hidden="false" customHeight="true" outlineLevel="0" collapsed="false">
      <c r="B89" s="118" t="n">
        <v>2026</v>
      </c>
      <c r="C89" s="119" t="inlineStr">
        <is>
          <t xml:space="preserve">2 · Ingreso T2 (foto del área)</t>
        </is>
      </c>
      <c r="D89" s="119" t="inlineStr">
        <is>
          <t xml:space="preserve">Tecnologías</t>
        </is>
      </c>
      <c r="E89" s="119" t="inlineStr">
        <is>
          <t xml:space="preserve">Ingeniería Industrial</t>
        </is>
      </c>
      <c r="F89" s="130" t="n">
        <v>26</v>
      </c>
      <c r="G89" s="130" t="str">
        <v>Sin dato</v>
      </c>
      <c r="H89" s="131" t="str">
        <v>—</v>
      </c>
      <c r="I89" s="130" t="n">
        <v>25</v>
      </c>
      <c r="J89" s="131" t="n">
        <v>0.961538461538462</v>
      </c>
      <c r="K89" s="131" t="inlineStr">
        <is>
          <t xml:space="preserve">No aplica</t>
        </is>
      </c>
      <c r="L89" s="132" t="str">
        <v/>
      </c>
    </row>
    <row r="90" customFormat="false" ht="15" hidden="false" customHeight="true" outlineLevel="0" collapsed="false">
      <c r="B90" s="118" t="n">
        <v>2026</v>
      </c>
      <c r="C90" s="119" t="inlineStr">
        <is>
          <t xml:space="preserve">2 · Ingreso T2 (foto del área)</t>
        </is>
      </c>
      <c r="D90" s="119" t="inlineStr">
        <is>
          <t xml:space="preserve">Tecnologías</t>
        </is>
      </c>
      <c r="E90" s="119" t="inlineStr">
        <is>
          <t xml:space="preserve">Ingeniería en Ciberseguridad</t>
        </is>
      </c>
      <c r="F90" s="130" t="n">
        <v>30</v>
      </c>
      <c r="G90" s="130" t="str">
        <v>Sin dato</v>
      </c>
      <c r="H90" s="131" t="str">
        <v>—</v>
      </c>
      <c r="I90" s="130" t="n">
        <v>30</v>
      </c>
      <c r="J90" s="131" t="n">
        <v>1</v>
      </c>
      <c r="K90" s="131" t="inlineStr">
        <is>
          <t xml:space="preserve">No aplica</t>
        </is>
      </c>
      <c r="L90" s="132" t="str">
        <v/>
      </c>
    </row>
    <row r="91" customFormat="false" ht="15" hidden="false" customHeight="true" outlineLevel="0" collapsed="false">
      <c r="B91" s="118" t="n">
        <v>2026</v>
      </c>
      <c r="C91" s="119" t="inlineStr">
        <is>
          <t xml:space="preserve">2 · Ingreso T2 (foto del área)</t>
        </is>
      </c>
      <c r="D91" s="119" t="inlineStr">
        <is>
          <t xml:space="preserve">Tecnologías</t>
        </is>
      </c>
      <c r="E91" s="119" t="inlineStr">
        <is>
          <t xml:space="preserve">Ingeniería en Informática</t>
        </is>
      </c>
      <c r="F91" s="130" t="n">
        <v>33</v>
      </c>
      <c r="G91" s="130" t="str">
        <v>Sin dato</v>
      </c>
      <c r="H91" s="131" t="str">
        <v>—</v>
      </c>
      <c r="I91" s="130" t="n">
        <v>30</v>
      </c>
      <c r="J91" s="131" t="n">
        <v>0.909090909090909</v>
      </c>
      <c r="K91" s="131" t="inlineStr">
        <is>
          <t xml:space="preserve">No aplica</t>
        </is>
      </c>
      <c r="L91" s="132" t="str">
        <v/>
      </c>
    </row>
    <row r="92" customFormat="false" ht="15" hidden="false" customHeight="true" outlineLevel="0" collapsed="false">
      <c r="B92" s="118" t="n">
        <v>2026</v>
      </c>
      <c r="C92" s="119" t="inlineStr">
        <is>
          <t xml:space="preserve">2 · Ingreso T2 (foto del área)</t>
        </is>
      </c>
      <c r="D92" s="119" t="inlineStr">
        <is>
          <t xml:space="preserve">Tecnologías</t>
        </is>
      </c>
      <c r="E92" s="119" t="inlineStr">
        <is>
          <t xml:space="preserve">Técnico en Ciberseguridad</t>
        </is>
      </c>
      <c r="F92" s="130" t="n">
        <v>16</v>
      </c>
      <c r="G92" s="130" t="str">
        <v>Sin dato</v>
      </c>
      <c r="H92" s="131" t="str">
        <v>—</v>
      </c>
      <c r="I92" s="130" t="n">
        <v>13</v>
      </c>
      <c r="J92" s="131" t="n">
        <v>0.8125</v>
      </c>
      <c r="K92" s="131" t="inlineStr">
        <is>
          <t xml:space="preserve">No aplica</t>
        </is>
      </c>
      <c r="L92" s="132" t="str">
        <v/>
      </c>
    </row>
    <row r="93" customFormat="false" ht="15" hidden="false" customHeight="true" outlineLevel="0" collapsed="false">
      <c r="B93" s="118" t="n">
        <v>2026</v>
      </c>
      <c r="C93" s="119" t="inlineStr">
        <is>
          <t xml:space="preserve">2 · Ingreso T2 (foto del área)</t>
        </is>
      </c>
      <c r="D93" s="119" t="inlineStr">
        <is>
          <t xml:space="preserve">Tecnologías</t>
        </is>
      </c>
      <c r="E93" s="119" t="inlineStr">
        <is>
          <t xml:space="preserve">Técnico en Programación y Análisis de Sistemas</t>
        </is>
      </c>
      <c r="F93" s="130" t="n">
        <v>26</v>
      </c>
      <c r="G93" s="130" t="str">
        <v>Sin dato</v>
      </c>
      <c r="H93" s="131" t="str">
        <v>—</v>
      </c>
      <c r="I93" s="130" t="n">
        <v>23</v>
      </c>
      <c r="J93" s="131" t="n">
        <v>0.884615384615385</v>
      </c>
      <c r="K93" s="131" t="inlineStr">
        <is>
          <t xml:space="preserve">No aplica</t>
        </is>
      </c>
      <c r="L93" s="132" t="str">
        <v/>
      </c>
    </row>
    <row r="94" customFormat="false" ht="15" hidden="false" customHeight="true" outlineLevel="0" collapsed="false">
      <c r="B94" s="118" t="n">
        <v>2026</v>
      </c>
      <c r="C94" s="119" t="inlineStr">
        <is>
          <t xml:space="preserve">3 · Ingreso T3 (foto del área)</t>
        </is>
      </c>
      <c r="D94" s="119" t="inlineStr">
        <is>
          <t xml:space="preserve">Administración y Comercio</t>
        </is>
      </c>
      <c r="E94" s="119" t="inlineStr">
        <is>
          <t xml:space="preserve">Administración Pública</t>
        </is>
      </c>
      <c r="F94" s="130" t="n">
        <v>1</v>
      </c>
      <c r="G94" s="130" t="inlineStr">
        <is>
          <t xml:space="preserve">No aplica</t>
        </is>
      </c>
      <c r="H94" s="131" t="inlineStr">
        <is>
          <t xml:space="preserve">—</t>
        </is>
      </c>
      <c r="I94" s="130" t="n">
        <v>1</v>
      </c>
      <c r="J94" s="131" t="n">
        <v>1</v>
      </c>
      <c r="K94" s="131" t="inlineStr">
        <is>
          <t xml:space="preserve">No aplica</t>
        </is>
      </c>
      <c r="L94" s="132" t="str">
        <v>n &lt; 10 · leer con cautela</v>
      </c>
    </row>
    <row r="95" customFormat="false" ht="15" hidden="false" customHeight="true" outlineLevel="0" collapsed="false">
      <c r="B95" s="118" t="n">
        <v>2026</v>
      </c>
      <c r="C95" s="119" t="inlineStr">
        <is>
          <t xml:space="preserve">3 · Ingreso T3 (foto del área)</t>
        </is>
      </c>
      <c r="D95" s="119" t="inlineStr">
        <is>
          <t xml:space="preserve">Administración y Comercio</t>
        </is>
      </c>
      <c r="E95" s="119" t="inlineStr">
        <is>
          <t xml:space="preserve">Ingeniería en Administración de Empresas</t>
        </is>
      </c>
      <c r="F95" s="130" t="n">
        <v>40</v>
      </c>
      <c r="G95" s="130" t="inlineStr">
        <is>
          <t xml:space="preserve">No aplica</t>
        </is>
      </c>
      <c r="H95" s="131" t="inlineStr">
        <is>
          <t xml:space="preserve">—</t>
        </is>
      </c>
      <c r="I95" s="130" t="n">
        <v>39</v>
      </c>
      <c r="J95" s="131" t="n">
        <v>0.975</v>
      </c>
      <c r="K95" s="131" t="inlineStr">
        <is>
          <t xml:space="preserve">No aplica</t>
        </is>
      </c>
      <c r="L95" s="132" t="str">
        <v/>
      </c>
    </row>
    <row r="96" customFormat="false" ht="15" hidden="false" customHeight="true" outlineLevel="0" collapsed="false">
      <c r="B96" s="118" t="n">
        <v>2026</v>
      </c>
      <c r="C96" s="119" t="inlineStr">
        <is>
          <t xml:space="preserve">3 · Ingreso T3 (foto del área)</t>
        </is>
      </c>
      <c r="D96" s="119" t="inlineStr">
        <is>
          <t xml:space="preserve">Administración y Comercio</t>
        </is>
      </c>
      <c r="E96" s="119" t="inlineStr">
        <is>
          <t xml:space="preserve">Ingeniería en Logística</t>
        </is>
      </c>
      <c r="F96" s="130" t="n">
        <v>38</v>
      </c>
      <c r="G96" s="130" t="inlineStr">
        <is>
          <t xml:space="preserve">No aplica</t>
        </is>
      </c>
      <c r="H96" s="131" t="inlineStr">
        <is>
          <t xml:space="preserve">—</t>
        </is>
      </c>
      <c r="I96" s="130" t="n">
        <v>37</v>
      </c>
      <c r="J96" s="131" t="n">
        <v>0.973684210526316</v>
      </c>
      <c r="K96" s="131" t="inlineStr">
        <is>
          <t xml:space="preserve">No aplica</t>
        </is>
      </c>
      <c r="L96" s="132" t="str">
        <v/>
      </c>
    </row>
    <row r="97" customFormat="false" ht="15" hidden="false" customHeight="true" outlineLevel="0" collapsed="false">
      <c r="B97" s="118" t="n">
        <v>2026</v>
      </c>
      <c r="C97" s="119" t="inlineStr">
        <is>
          <t xml:space="preserve">3 · Ingreso T3 (foto del área)</t>
        </is>
      </c>
      <c r="D97" s="119" t="inlineStr">
        <is>
          <t xml:space="preserve">Administración y Comercio</t>
        </is>
      </c>
      <c r="E97" s="119" t="inlineStr">
        <is>
          <t xml:space="preserve">Ingeniería en Marketing Digital</t>
        </is>
      </c>
      <c r="F97" s="130" t="n">
        <v>36</v>
      </c>
      <c r="G97" s="130" t="inlineStr">
        <is>
          <t xml:space="preserve">No aplica</t>
        </is>
      </c>
      <c r="H97" s="131" t="inlineStr">
        <is>
          <t xml:space="preserve">—</t>
        </is>
      </c>
      <c r="I97" s="130" t="n">
        <v>32</v>
      </c>
      <c r="J97" s="131" t="n">
        <v>0.888888888888889</v>
      </c>
      <c r="K97" s="131" t="inlineStr">
        <is>
          <t xml:space="preserve">No aplica</t>
        </is>
      </c>
      <c r="L97" s="132" t="str">
        <v/>
      </c>
    </row>
    <row r="98" customFormat="false" ht="15" hidden="false" customHeight="true" outlineLevel="0" collapsed="false">
      <c r="B98" s="118" t="n">
        <v>2026</v>
      </c>
      <c r="C98" s="119" t="inlineStr">
        <is>
          <t xml:space="preserve">3 · Ingreso T3 (foto del área)</t>
        </is>
      </c>
      <c r="D98" s="119" t="inlineStr">
        <is>
          <t xml:space="preserve">Administración y Comercio</t>
        </is>
      </c>
      <c r="E98" s="119" t="inlineStr">
        <is>
          <t xml:space="preserve">Técnico en Administración de Empresas</t>
        </is>
      </c>
      <c r="F98" s="130" t="n">
        <v>32</v>
      </c>
      <c r="G98" s="130" t="inlineStr">
        <is>
          <t xml:space="preserve">No aplica</t>
        </is>
      </c>
      <c r="H98" s="131" t="inlineStr">
        <is>
          <t xml:space="preserve">—</t>
        </is>
      </c>
      <c r="I98" s="130" t="n">
        <v>28</v>
      </c>
      <c r="J98" s="131" t="n">
        <v>0.875</v>
      </c>
      <c r="K98" s="131" t="inlineStr">
        <is>
          <t xml:space="preserve">No aplica</t>
        </is>
      </c>
      <c r="L98" s="132" t="str">
        <v/>
      </c>
    </row>
    <row r="99" customFormat="false" ht="15" hidden="false" customHeight="true" outlineLevel="0" collapsed="false">
      <c r="B99" s="118" t="n">
        <v>2026</v>
      </c>
      <c r="C99" s="119" t="inlineStr">
        <is>
          <t xml:space="preserve">3 · Ingreso T3 (foto del área)</t>
        </is>
      </c>
      <c r="D99" s="119" t="inlineStr">
        <is>
          <t xml:space="preserve">Administración y Comercio</t>
        </is>
      </c>
      <c r="E99" s="119" t="inlineStr">
        <is>
          <t xml:space="preserve">Técnico en Logística</t>
        </is>
      </c>
      <c r="F99" s="130" t="n">
        <v>26</v>
      </c>
      <c r="G99" s="130" t="inlineStr">
        <is>
          <t xml:space="preserve">No aplica</t>
        </is>
      </c>
      <c r="H99" s="131" t="inlineStr">
        <is>
          <t xml:space="preserve">—</t>
        </is>
      </c>
      <c r="I99" s="130" t="n">
        <v>23</v>
      </c>
      <c r="J99" s="131" t="n">
        <v>0.884615384615385</v>
      </c>
      <c r="K99" s="131" t="inlineStr">
        <is>
          <t xml:space="preserve">No aplica</t>
        </is>
      </c>
      <c r="L99" s="132" t="str">
        <v/>
      </c>
    </row>
    <row r="100" customFormat="false" ht="15" hidden="false" customHeight="true" outlineLevel="0" collapsed="false">
      <c r="B100" s="118" t="n">
        <v>2026</v>
      </c>
      <c r="C100" s="119" t="inlineStr">
        <is>
          <t xml:space="preserve">3 · Ingreso T3 (foto del área)</t>
        </is>
      </c>
      <c r="D100" s="119" t="inlineStr">
        <is>
          <t xml:space="preserve">Administración y Comercio</t>
        </is>
      </c>
      <c r="E100" s="119" t="inlineStr">
        <is>
          <t xml:space="preserve">Técnico en Marketing Digital</t>
        </is>
      </c>
      <c r="F100" s="130" t="n">
        <v>31</v>
      </c>
      <c r="G100" s="130" t="inlineStr">
        <is>
          <t xml:space="preserve">No aplica</t>
        </is>
      </c>
      <c r="H100" s="131" t="inlineStr">
        <is>
          <t xml:space="preserve">—</t>
        </is>
      </c>
      <c r="I100" s="130" t="n">
        <v>28</v>
      </c>
      <c r="J100" s="131" t="n">
        <v>0.903225806451613</v>
      </c>
      <c r="K100" s="131" t="inlineStr">
        <is>
          <t xml:space="preserve">No aplica</t>
        </is>
      </c>
      <c r="L100" s="132" t="str">
        <v/>
      </c>
    </row>
    <row r="101" customFormat="false" ht="15" hidden="false" customHeight="true" outlineLevel="0" collapsed="false">
      <c r="B101" s="118" t="n">
        <v>2026</v>
      </c>
      <c r="C101" s="119" t="inlineStr">
        <is>
          <t xml:space="preserve">3 · Ingreso T3 (foto del área)</t>
        </is>
      </c>
      <c r="D101" s="119" t="inlineStr">
        <is>
          <t xml:space="preserve">Salud</t>
        </is>
      </c>
      <c r="E101" s="119" t="inlineStr">
        <is>
          <t xml:space="preserve">Técnico en Enfermería</t>
        </is>
      </c>
      <c r="F101" s="130" t="n">
        <v>51</v>
      </c>
      <c r="G101" s="130" t="inlineStr">
        <is>
          <t xml:space="preserve">No aplica</t>
        </is>
      </c>
      <c r="H101" s="131" t="inlineStr">
        <is>
          <t xml:space="preserve">—</t>
        </is>
      </c>
      <c r="I101" s="130" t="n">
        <v>38</v>
      </c>
      <c r="J101" s="131" t="n">
        <v>0.745098039215686</v>
      </c>
      <c r="K101" s="131" t="inlineStr">
        <is>
          <t xml:space="preserve">No aplica</t>
        </is>
      </c>
      <c r="L101" s="132" t="str">
        <v/>
      </c>
    </row>
    <row r="102" customFormat="false" ht="15" hidden="false" customHeight="true" outlineLevel="0" collapsed="false">
      <c r="B102" s="118" t="n">
        <v>2026</v>
      </c>
      <c r="C102" s="119" t="inlineStr">
        <is>
          <t xml:space="preserve">3 · Ingreso T3 (foto del área)</t>
        </is>
      </c>
      <c r="D102" s="119" t="inlineStr">
        <is>
          <t xml:space="preserve">Salud</t>
        </is>
      </c>
      <c r="E102" s="119" t="inlineStr">
        <is>
          <t xml:space="preserve">Técnico en Enfermería e Instrumentación Quirúrgica</t>
        </is>
      </c>
      <c r="F102" s="130" t="n">
        <v>64</v>
      </c>
      <c r="G102" s="130" t="inlineStr">
        <is>
          <t xml:space="preserve">No aplica</t>
        </is>
      </c>
      <c r="H102" s="131" t="inlineStr">
        <is>
          <t xml:space="preserve">—</t>
        </is>
      </c>
      <c r="I102" s="130" t="n">
        <v>50</v>
      </c>
      <c r="J102" s="131" t="n">
        <v>0.78125</v>
      </c>
      <c r="K102" s="131" t="inlineStr">
        <is>
          <t xml:space="preserve">No aplica</t>
        </is>
      </c>
      <c r="L102" s="132" t="str">
        <v/>
      </c>
    </row>
    <row r="103" customFormat="false" ht="15" hidden="false" customHeight="true" outlineLevel="0" collapsed="false">
      <c r="B103" s="118" t="n">
        <v>2026</v>
      </c>
      <c r="C103" s="119" t="inlineStr">
        <is>
          <t xml:space="preserve">3 · Ingreso T3 (foto del área)</t>
        </is>
      </c>
      <c r="D103" s="119" t="inlineStr">
        <is>
          <t xml:space="preserve">Salud</t>
        </is>
      </c>
      <c r="E103" s="119" t="inlineStr">
        <is>
          <t xml:space="preserve">Técnico en Farmacia SP</t>
        </is>
      </c>
      <c r="F103" s="130" t="n">
        <v>16</v>
      </c>
      <c r="G103" s="130" t="inlineStr">
        <is>
          <t xml:space="preserve">No aplica</t>
        </is>
      </c>
      <c r="H103" s="131" t="inlineStr">
        <is>
          <t xml:space="preserve">—</t>
        </is>
      </c>
      <c r="I103" s="130" t="n">
        <v>15</v>
      </c>
      <c r="J103" s="131" t="n">
        <v>0.9375</v>
      </c>
      <c r="K103" s="131" t="inlineStr">
        <is>
          <t xml:space="preserve">No aplica</t>
        </is>
      </c>
      <c r="L103" s="132" t="str">
        <v/>
      </c>
    </row>
    <row r="104" customFormat="false" ht="15" hidden="false" customHeight="true" outlineLevel="0" collapsed="false">
      <c r="B104" s="118" t="n">
        <v>2026</v>
      </c>
      <c r="C104" s="119" t="inlineStr">
        <is>
          <t xml:space="preserve">3 · Ingreso T3 (foto del área)</t>
        </is>
      </c>
      <c r="D104" s="119" t="inlineStr">
        <is>
          <t xml:space="preserve">Tecnologías</t>
        </is>
      </c>
      <c r="E104" s="119" t="inlineStr">
        <is>
          <t xml:space="preserve">Continuidad Ingeniería Ciberseguridad</t>
        </is>
      </c>
      <c r="F104" s="130" t="n">
        <v>2</v>
      </c>
      <c r="G104" s="130" t="inlineStr">
        <is>
          <t xml:space="preserve">No aplica</t>
        </is>
      </c>
      <c r="H104" s="131" t="inlineStr">
        <is>
          <t xml:space="preserve">—</t>
        </is>
      </c>
      <c r="I104" s="130" t="n">
        <v>2</v>
      </c>
      <c r="J104" s="131" t="n">
        <v>1</v>
      </c>
      <c r="K104" s="131" t="inlineStr">
        <is>
          <t xml:space="preserve">No aplica</t>
        </is>
      </c>
      <c r="L104" s="132" t="str">
        <v>n &lt; 10 · leer con cautela</v>
      </c>
    </row>
    <row r="105" customFormat="false" ht="15" hidden="false" customHeight="true" outlineLevel="0" collapsed="false">
      <c r="B105" s="118" t="n">
        <v>2026</v>
      </c>
      <c r="C105" s="119" t="inlineStr">
        <is>
          <t xml:space="preserve">3 · Ingreso T3 (foto del área)</t>
        </is>
      </c>
      <c r="D105" s="119" t="inlineStr">
        <is>
          <t xml:space="preserve">Tecnologías</t>
        </is>
      </c>
      <c r="E105" s="119" t="inlineStr">
        <is>
          <t xml:space="preserve">Continuidad Ingeniería Informática</t>
        </is>
      </c>
      <c r="F105" s="130" t="n">
        <v>1</v>
      </c>
      <c r="G105" s="130" t="inlineStr">
        <is>
          <t xml:space="preserve">No aplica</t>
        </is>
      </c>
      <c r="H105" s="131" t="inlineStr">
        <is>
          <t xml:space="preserve">—</t>
        </is>
      </c>
      <c r="I105" s="130" t="n">
        <v>1</v>
      </c>
      <c r="J105" s="131" t="n">
        <v>1</v>
      </c>
      <c r="K105" s="131" t="inlineStr">
        <is>
          <t xml:space="preserve">No aplica</t>
        </is>
      </c>
      <c r="L105" s="132" t="str">
        <v>n &lt; 10 · leer con cautela</v>
      </c>
    </row>
    <row r="106" customFormat="false" ht="15" hidden="false" customHeight="true" outlineLevel="0" collapsed="false">
      <c r="B106" s="118" t="n">
        <v>2026</v>
      </c>
      <c r="C106" s="119" t="inlineStr">
        <is>
          <t xml:space="preserve">3 · Ingreso T3 (foto del área)</t>
        </is>
      </c>
      <c r="D106" s="119" t="inlineStr">
        <is>
          <t xml:space="preserve">Tecnologías</t>
        </is>
      </c>
      <c r="E106" s="119" t="inlineStr">
        <is>
          <t xml:space="preserve">Ingeniería Industrial</t>
        </is>
      </c>
      <c r="F106" s="130" t="n">
        <v>48</v>
      </c>
      <c r="G106" s="130" t="inlineStr">
        <is>
          <t xml:space="preserve">No aplica</t>
        </is>
      </c>
      <c r="H106" s="131" t="inlineStr">
        <is>
          <t xml:space="preserve">—</t>
        </is>
      </c>
      <c r="I106" s="130" t="n">
        <v>44</v>
      </c>
      <c r="J106" s="131" t="n">
        <v>0.916666666666667</v>
      </c>
      <c r="K106" s="131" t="inlineStr">
        <is>
          <t xml:space="preserve">No aplica</t>
        </is>
      </c>
      <c r="L106" s="132" t="str">
        <v/>
      </c>
    </row>
    <row r="107" customFormat="false" ht="15" hidden="false" customHeight="true" outlineLevel="0" collapsed="false">
      <c r="B107" s="118" t="n">
        <v>2026</v>
      </c>
      <c r="C107" s="119" t="inlineStr">
        <is>
          <t xml:space="preserve">3 · Ingreso T3 (foto del área)</t>
        </is>
      </c>
      <c r="D107" s="119" t="inlineStr">
        <is>
          <t xml:space="preserve">Tecnologías</t>
        </is>
      </c>
      <c r="E107" s="119" t="inlineStr">
        <is>
          <t xml:space="preserve">Ingeniería en Ciberseguridad</t>
        </is>
      </c>
      <c r="F107" s="130" t="n">
        <v>49</v>
      </c>
      <c r="G107" s="130" t="inlineStr">
        <is>
          <t xml:space="preserve">No aplica</t>
        </is>
      </c>
      <c r="H107" s="131" t="inlineStr">
        <is>
          <t xml:space="preserve">—</t>
        </is>
      </c>
      <c r="I107" s="130" t="n">
        <v>44</v>
      </c>
      <c r="J107" s="131" t="n">
        <v>0.897959183673469</v>
      </c>
      <c r="K107" s="131" t="inlineStr">
        <is>
          <t xml:space="preserve">No aplica</t>
        </is>
      </c>
      <c r="L107" s="132" t="str">
        <v/>
      </c>
    </row>
    <row r="108" customFormat="false" ht="15" hidden="false" customHeight="true" outlineLevel="0" collapsed="false">
      <c r="B108" s="118" t="n">
        <v>2026</v>
      </c>
      <c r="C108" s="119" t="inlineStr">
        <is>
          <t xml:space="preserve">3 · Ingreso T3 (foto del área)</t>
        </is>
      </c>
      <c r="D108" s="119" t="inlineStr">
        <is>
          <t xml:space="preserve">Tecnologías</t>
        </is>
      </c>
      <c r="E108" s="119" t="inlineStr">
        <is>
          <t xml:space="preserve">Ingeniería en Informática</t>
        </is>
      </c>
      <c r="F108" s="130" t="n">
        <v>42</v>
      </c>
      <c r="G108" s="130" t="inlineStr">
        <is>
          <t xml:space="preserve">No aplica</t>
        </is>
      </c>
      <c r="H108" s="131" t="inlineStr">
        <is>
          <t xml:space="preserve">—</t>
        </is>
      </c>
      <c r="I108" s="130" t="n">
        <v>35</v>
      </c>
      <c r="J108" s="131" t="n">
        <v>0.833333333333333</v>
      </c>
      <c r="K108" s="131" t="inlineStr">
        <is>
          <t xml:space="preserve">No aplica</t>
        </is>
      </c>
      <c r="L108" s="132" t="str">
        <v/>
      </c>
    </row>
    <row r="109" customFormat="false" ht="15" hidden="false" customHeight="true" outlineLevel="0" collapsed="false">
      <c r="B109" s="118" t="n">
        <v>2026</v>
      </c>
      <c r="C109" s="119" t="inlineStr">
        <is>
          <t xml:space="preserve">3 · Ingreso T3 (foto del área)</t>
        </is>
      </c>
      <c r="D109" s="119" t="inlineStr">
        <is>
          <t xml:space="preserve">Tecnologías</t>
        </is>
      </c>
      <c r="E109" s="119" t="inlineStr">
        <is>
          <t xml:space="preserve">Técnico en Ciberseguridad</t>
        </is>
      </c>
      <c r="F109" s="130" t="n">
        <v>22</v>
      </c>
      <c r="G109" s="130" t="inlineStr">
        <is>
          <t xml:space="preserve">No aplica</t>
        </is>
      </c>
      <c r="H109" s="131" t="inlineStr">
        <is>
          <t xml:space="preserve">—</t>
        </is>
      </c>
      <c r="I109" s="130" t="n">
        <v>21</v>
      </c>
      <c r="J109" s="131" t="n">
        <v>0.954545454545455</v>
      </c>
      <c r="K109" s="131" t="inlineStr">
        <is>
          <t xml:space="preserve">No aplica</t>
        </is>
      </c>
      <c r="L109" s="132" t="str">
        <v/>
      </c>
    </row>
    <row r="110" customFormat="false" ht="15" hidden="false" customHeight="true" outlineLevel="0" collapsed="false">
      <c r="B110" s="118" t="n">
        <v>2026</v>
      </c>
      <c r="C110" s="119" t="inlineStr">
        <is>
          <t xml:space="preserve">3 · Ingreso T3 (foto del área)</t>
        </is>
      </c>
      <c r="D110" s="119" t="inlineStr">
        <is>
          <t xml:space="preserve">Tecnologías</t>
        </is>
      </c>
      <c r="E110" s="119" t="inlineStr">
        <is>
          <t xml:space="preserve">Técnico en Programación y Análisis de Sistemas</t>
        </is>
      </c>
      <c r="F110" s="130" t="n">
        <v>46</v>
      </c>
      <c r="G110" s="130" t="inlineStr">
        <is>
          <t xml:space="preserve">No aplica</t>
        </is>
      </c>
      <c r="H110" s="131" t="inlineStr">
        <is>
          <t xml:space="preserve">—</t>
        </is>
      </c>
      <c r="I110" s="130" t="n">
        <v>42</v>
      </c>
      <c r="J110" s="131" t="n">
        <v>0.91304347826087</v>
      </c>
      <c r="K110" s="131" t="inlineStr">
        <is>
          <t xml:space="preserve">No aplica</t>
        </is>
      </c>
      <c r="L110" s="132" t="str">
        <v/>
      </c>
    </row>
  </sheetData>
  <autoFilter ref="B5:L110"/>
  <hyperlinks>
    <hyperlink ref="A1" location="'Portada'!B3" display="🏠 Portada / Índice"/>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22" hidden="0" customWidth="1"/>
    <col min="6" max="6" width="22" hidden="0" customWidth="1"/>
  </cols>
  <sheetData>
    <row r="1" ht="32" customHeight="1">
      <c r="A1" s="149" t="str">
        <v>20_Foto_BBDD · agregado provisional</v>
      </c>
      <c r="B1" s="5"/>
      <c r="C1" s="5"/>
      <c r="D1" s="5"/>
      <c r="E1" s="5"/>
      <c r="F1" s="5"/>
    </row>
    <row r="2" ht="32" customHeight="1">
      <c r="A2" s="146" t="str">
        <v>2026-10-22 · detalle individual excluido; original preservado</v>
      </c>
      <c r="B2" s="2"/>
      <c r="C2" s="2"/>
      <c r="D2" s="2"/>
      <c r="E2" s="2"/>
      <c r="F2" s="2"/>
    </row>
    <row r="3" ht="32" customHeight="1">
      <c r="A3" s="146" t="str">
        <v>C · Cantidad de registros de la fuente; no se interpreta como personas únicas</v>
      </c>
      <c r="B3" s="2"/>
      <c r="C3" s="2"/>
      <c r="D3" s="2"/>
      <c r="E3" s="2"/>
      <c r="F3" s="2"/>
    </row>
    <row r="4" ht="32" customHeight="1">
      <c r="A4" s="151" t="str">
        <v>AÑO</v>
      </c>
      <c r="B4" s="151" t="str">
        <v>GRUPO</v>
      </c>
      <c r="C4" s="151" t="str">
        <v>CARRERA (fx)</v>
      </c>
      <c r="D4" s="151" t="str">
        <v>SECTOR (fx)</v>
      </c>
      <c r="E4" s="151" t="str">
        <v>TIPO DE CARRERA (fx)</v>
      </c>
      <c r="F4" s="151" t="str">
        <v>Registros</v>
      </c>
    </row>
    <row r="5" ht="32" customHeight="1">
      <c r="A5" s="146" t="n">
        <v>2024</v>
      </c>
      <c r="B5" s="146" t="n">
        <v>1</v>
      </c>
      <c r="C5" s="146" t="str">
        <v>Ingeniería en Administración de Empresas</v>
      </c>
      <c r="D5" s="146" t="str">
        <v>Administración y Comercio</v>
      </c>
      <c r="E5" s="146" t="str">
        <v>Profesional sin licenciatura</v>
      </c>
      <c r="F5" s="146" t="n">
        <v>8</v>
      </c>
    </row>
    <row r="6" ht="32" customHeight="1">
      <c r="A6" s="146" t="n">
        <v>2024</v>
      </c>
      <c r="B6" s="146" t="n">
        <v>1</v>
      </c>
      <c r="C6" s="146" t="str">
        <v>Ingeniería en Ciberseguridad</v>
      </c>
      <c r="D6" s="146" t="str">
        <v>Tecnologías</v>
      </c>
      <c r="E6" s="146" t="str">
        <v>Profesional sin licenciatura</v>
      </c>
      <c r="F6" s="146" t="n">
        <v>89</v>
      </c>
    </row>
    <row r="7" ht="32" customHeight="1">
      <c r="A7" s="146" t="n">
        <v>2024</v>
      </c>
      <c r="B7" s="146" t="n">
        <v>1</v>
      </c>
      <c r="C7" s="146" t="str">
        <v>Ingeniería en Conectividad y Redes</v>
      </c>
      <c r="D7" s="146" t="str">
        <v>Tecnologías</v>
      </c>
      <c r="E7" s="146" t="str">
        <v>Profesional sin licenciatura</v>
      </c>
      <c r="F7" s="146" t="n">
        <v>68</v>
      </c>
    </row>
    <row r="8" ht="32" customHeight="1">
      <c r="A8" s="146" t="n">
        <v>2024</v>
      </c>
      <c r="B8" s="146" t="n">
        <v>1</v>
      </c>
      <c r="C8" s="146" t="str">
        <v>Ingeniería en Informática</v>
      </c>
      <c r="D8" s="146" t="str">
        <v>Tecnologías</v>
      </c>
      <c r="E8" s="146" t="str">
        <v>Profesional sin licenciatura</v>
      </c>
      <c r="F8" s="146" t="n">
        <v>107</v>
      </c>
    </row>
    <row r="9" ht="32" customHeight="1">
      <c r="A9" s="146" t="n">
        <v>2024</v>
      </c>
      <c r="B9" s="146" t="n">
        <v>1</v>
      </c>
      <c r="C9" s="146" t="str">
        <v>Ingeniería en Logística</v>
      </c>
      <c r="D9" s="146" t="str">
        <v>Administración y Comercio</v>
      </c>
      <c r="E9" s="146" t="str">
        <v>Profesional sin licenciatura</v>
      </c>
      <c r="F9" s="146" t="n">
        <v>15</v>
      </c>
    </row>
    <row r="10" ht="32" customHeight="1">
      <c r="A10" s="146" t="n">
        <v>2024</v>
      </c>
      <c r="B10" s="146" t="n">
        <v>1</v>
      </c>
      <c r="C10" s="146" t="str">
        <v>Técnico en Administración de Empresas</v>
      </c>
      <c r="D10" s="146" t="str">
        <v>Administración y Comercio</v>
      </c>
      <c r="E10" s="146" t="str">
        <v>Técnico de Nivel Superior</v>
      </c>
      <c r="F10" s="146" t="n">
        <v>15</v>
      </c>
    </row>
    <row r="11" ht="32" customHeight="1">
      <c r="A11" s="146" t="n">
        <v>2024</v>
      </c>
      <c r="B11" s="146" t="n">
        <v>1</v>
      </c>
      <c r="C11" s="146" t="str">
        <v>Técnico en Ciberseguridad</v>
      </c>
      <c r="D11" s="146" t="str">
        <v>Tecnologías</v>
      </c>
      <c r="E11" s="146" t="str">
        <v>Técnico de Nivel Superior</v>
      </c>
      <c r="F11" s="146" t="n">
        <v>71</v>
      </c>
    </row>
    <row r="12" ht="32" customHeight="1">
      <c r="A12" s="146" t="n">
        <v>2024</v>
      </c>
      <c r="B12" s="146" t="n">
        <v>1</v>
      </c>
      <c r="C12" s="146" t="str">
        <v>Técnico en Conectividad y Redes</v>
      </c>
      <c r="D12" s="146" t="str">
        <v>Tecnologías</v>
      </c>
      <c r="E12" s="146" t="str">
        <v>Técnico de Nivel Superior</v>
      </c>
      <c r="F12" s="146" t="n">
        <v>25</v>
      </c>
    </row>
    <row r="13" ht="32" customHeight="1">
      <c r="A13" s="146" t="n">
        <v>2024</v>
      </c>
      <c r="B13" s="146" t="n">
        <v>1</v>
      </c>
      <c r="C13" s="146" t="str">
        <v>Técnico en Logística</v>
      </c>
      <c r="D13" s="146" t="str">
        <v>Administración y Comercio</v>
      </c>
      <c r="E13" s="146" t="str">
        <v>Técnico de Nivel Superior</v>
      </c>
      <c r="F13" s="146" t="n">
        <v>23</v>
      </c>
    </row>
    <row r="14" ht="32" customHeight="1">
      <c r="A14" s="146" t="n">
        <v>2024</v>
      </c>
      <c r="B14" s="146" t="n">
        <v>1</v>
      </c>
      <c r="C14" s="146" t="str">
        <v>Técnico en Programación y Análisis de Sistemas</v>
      </c>
      <c r="D14" s="146" t="str">
        <v>Tecnologías</v>
      </c>
      <c r="E14" s="146" t="str">
        <v>Técnico de Nivel Superior</v>
      </c>
      <c r="F14" s="146" t="n">
        <v>137</v>
      </c>
    </row>
    <row r="15" ht="32" customHeight="1">
      <c r="A15" s="146" t="n">
        <v>2025</v>
      </c>
      <c r="B15" s="146" t="n">
        <v>1</v>
      </c>
      <c r="C15" s="146" t="str">
        <v>Administración Pública</v>
      </c>
      <c r="D15" s="146" t="str">
        <v>Administración y Comercio</v>
      </c>
      <c r="E15" s="146" t="str">
        <v>Profesional sin licenciatura</v>
      </c>
      <c r="F15" s="146" t="n">
        <v>70</v>
      </c>
    </row>
    <row r="16" ht="32" customHeight="1">
      <c r="A16" s="146" t="n">
        <v>2025</v>
      </c>
      <c r="B16" s="146" t="n">
        <v>1</v>
      </c>
      <c r="C16" s="146" t="str">
        <v>Auditoría</v>
      </c>
      <c r="D16" s="146" t="str">
        <v>Administración y Comercio</v>
      </c>
      <c r="E16" s="146" t="str">
        <v>Profesional sin licenciatura</v>
      </c>
      <c r="F16" s="146" t="n">
        <v>40</v>
      </c>
    </row>
    <row r="17" ht="32" customHeight="1">
      <c r="A17" s="146" t="n">
        <v>2025</v>
      </c>
      <c r="B17" s="146" t="n">
        <v>1</v>
      </c>
      <c r="C17" s="146" t="str">
        <v>Contabilidad General</v>
      </c>
      <c r="D17" s="146" t="str">
        <v>Administración y Comercio</v>
      </c>
      <c r="E17" s="146" t="str">
        <v>Técnico de Nivel Superior</v>
      </c>
      <c r="F17" s="146" t="n">
        <v>38</v>
      </c>
    </row>
    <row r="18" ht="32" customHeight="1">
      <c r="A18" s="146" t="n">
        <v>2025</v>
      </c>
      <c r="B18" s="146" t="n">
        <v>1</v>
      </c>
      <c r="C18" s="146" t="str">
        <v>Ingeniería en Administración de Empresas</v>
      </c>
      <c r="D18" s="146" t="str">
        <v>Administración y Comercio</v>
      </c>
      <c r="E18" s="146" t="str">
        <v>Profesional sin licenciatura</v>
      </c>
      <c r="F18" s="146" t="n">
        <v>91</v>
      </c>
    </row>
    <row r="19" ht="32" customHeight="1">
      <c r="A19" s="146" t="n">
        <v>2025</v>
      </c>
      <c r="B19" s="146" t="n">
        <v>1</v>
      </c>
      <c r="C19" s="146" t="str">
        <v>Ingeniería en Ciberseguridad</v>
      </c>
      <c r="D19" s="146" t="str">
        <v>Tecnologías</v>
      </c>
      <c r="E19" s="146" t="str">
        <v>Profesional sin licenciatura</v>
      </c>
      <c r="F19" s="146" t="n">
        <v>102</v>
      </c>
    </row>
    <row r="20" ht="32" customHeight="1">
      <c r="A20" s="146" t="n">
        <v>2025</v>
      </c>
      <c r="B20" s="146" t="n">
        <v>1</v>
      </c>
      <c r="C20" s="146" t="str">
        <v>Ingeniería en Ciencia de Datos</v>
      </c>
      <c r="D20" s="146" t="str">
        <v>Tecnologías</v>
      </c>
      <c r="E20" s="146" t="str">
        <v>Profesional sin licenciatura</v>
      </c>
      <c r="F20" s="146" t="n">
        <v>40</v>
      </c>
    </row>
    <row r="21" ht="32" customHeight="1">
      <c r="A21" s="146" t="n">
        <v>2025</v>
      </c>
      <c r="B21" s="146" t="n">
        <v>1</v>
      </c>
      <c r="C21" s="146" t="str">
        <v>Ingeniería en Conectividad y Redes</v>
      </c>
      <c r="D21" s="146" t="str">
        <v>Tecnologías</v>
      </c>
      <c r="E21" s="146" t="str">
        <v>Profesional sin licenciatura</v>
      </c>
      <c r="F21" s="146" t="n">
        <v>63</v>
      </c>
    </row>
    <row r="22" ht="32" customHeight="1">
      <c r="A22" s="146" t="n">
        <v>2025</v>
      </c>
      <c r="B22" s="146" t="n">
        <v>1</v>
      </c>
      <c r="C22" s="146" t="str">
        <v>Ingeniería en Informática</v>
      </c>
      <c r="D22" s="146" t="str">
        <v>Tecnologías</v>
      </c>
      <c r="E22" s="146" t="str">
        <v>Profesional sin licenciatura</v>
      </c>
      <c r="F22" s="146" t="n">
        <v>118</v>
      </c>
    </row>
    <row r="23" ht="32" customHeight="1">
      <c r="A23" s="146" t="n">
        <v>2025</v>
      </c>
      <c r="B23" s="146" t="n">
        <v>1</v>
      </c>
      <c r="C23" s="146" t="str">
        <v>Ingeniería en Logística</v>
      </c>
      <c r="D23" s="146" t="str">
        <v>Administración y Comercio</v>
      </c>
      <c r="E23" s="146" t="str">
        <v>Profesional sin licenciatura</v>
      </c>
      <c r="F23" s="146" t="n">
        <v>61</v>
      </c>
    </row>
    <row r="24" ht="32" customHeight="1">
      <c r="A24" s="146" t="n">
        <v>2025</v>
      </c>
      <c r="B24" s="146" t="n">
        <v>1</v>
      </c>
      <c r="C24" s="146" t="str">
        <v>Técnico en Administración Pública</v>
      </c>
      <c r="D24" s="146" t="str">
        <v>Administración y Comercio</v>
      </c>
      <c r="E24" s="146" t="str">
        <v>Técnico de Nivel Superior</v>
      </c>
      <c r="F24" s="146" t="n">
        <v>22</v>
      </c>
    </row>
    <row r="25" ht="32" customHeight="1">
      <c r="A25" s="146" t="n">
        <v>2025</v>
      </c>
      <c r="B25" s="146" t="n">
        <v>1</v>
      </c>
      <c r="C25" s="146" t="str">
        <v>Técnico en Administración de Empresas</v>
      </c>
      <c r="D25" s="146" t="str">
        <v>Administración y Comercio</v>
      </c>
      <c r="E25" s="146" t="str">
        <v>Técnico de Nivel Superior</v>
      </c>
      <c r="F25" s="146" t="n">
        <v>73</v>
      </c>
    </row>
    <row r="26" ht="32" customHeight="1">
      <c r="A26" s="146" t="n">
        <v>2025</v>
      </c>
      <c r="B26" s="146" t="n">
        <v>1</v>
      </c>
      <c r="C26" s="146" t="str">
        <v>Técnico en Ciberseguridad</v>
      </c>
      <c r="D26" s="146" t="str">
        <v>Tecnologías</v>
      </c>
      <c r="E26" s="146" t="str">
        <v>Técnico de Nivel Superior</v>
      </c>
      <c r="F26" s="146" t="n">
        <v>80</v>
      </c>
    </row>
    <row r="27" ht="32" customHeight="1">
      <c r="A27" s="146" t="n">
        <v>2025</v>
      </c>
      <c r="B27" s="146" t="n">
        <v>1</v>
      </c>
      <c r="C27" s="146" t="str">
        <v>Técnico en Ciencia de Datos</v>
      </c>
      <c r="D27" s="146" t="str">
        <v>Tecnologías</v>
      </c>
      <c r="E27" s="146" t="str">
        <v>Técnico de Nivel Superior</v>
      </c>
      <c r="F27" s="146" t="n">
        <v>23</v>
      </c>
    </row>
    <row r="28" ht="32" customHeight="1">
      <c r="A28" s="146" t="n">
        <v>2025</v>
      </c>
      <c r="B28" s="146" t="n">
        <v>1</v>
      </c>
      <c r="C28" s="146" t="str">
        <v>Técnico en Conectividad y Redes</v>
      </c>
      <c r="D28" s="146" t="str">
        <v>Tecnologías</v>
      </c>
      <c r="E28" s="146" t="str">
        <v>Técnico de Nivel Superior</v>
      </c>
      <c r="F28" s="146" t="n">
        <v>42</v>
      </c>
    </row>
    <row r="29" ht="32" customHeight="1">
      <c r="A29" s="146" t="n">
        <v>2025</v>
      </c>
      <c r="B29" s="146" t="n">
        <v>1</v>
      </c>
      <c r="C29" s="146" t="str">
        <v>Técnico en Enfermería</v>
      </c>
      <c r="D29" s="146" t="str">
        <v>Salud</v>
      </c>
      <c r="E29" s="146" t="str">
        <v>Técnico de Nivel Superior</v>
      </c>
      <c r="F29" s="146" t="n">
        <v>75</v>
      </c>
    </row>
    <row r="30" ht="32" customHeight="1">
      <c r="A30" s="146" t="n">
        <v>2025</v>
      </c>
      <c r="B30" s="146" t="n">
        <v>1</v>
      </c>
      <c r="C30" s="146" t="str">
        <v>Técnico en Logística</v>
      </c>
      <c r="D30" s="146" t="str">
        <v>Administración y Comercio</v>
      </c>
      <c r="E30" s="146" t="str">
        <v>Técnico de Nivel Superior</v>
      </c>
      <c r="F30" s="146" t="n">
        <v>82</v>
      </c>
    </row>
    <row r="31" ht="32" customHeight="1">
      <c r="A31" s="146" t="n">
        <v>2025</v>
      </c>
      <c r="B31" s="146" t="n">
        <v>1</v>
      </c>
      <c r="C31" s="146" t="str">
        <v>Técnico en Programación y Análisis de Sistemas</v>
      </c>
      <c r="D31" s="146" t="str">
        <v>Tecnologías</v>
      </c>
      <c r="E31" s="146" t="str">
        <v>Técnico de Nivel Superior</v>
      </c>
      <c r="F31" s="146" t="n">
        <v>130</v>
      </c>
    </row>
    <row r="32" ht="32" customHeight="1">
      <c r="A32" s="146" t="n">
        <v>2025</v>
      </c>
      <c r="B32" s="146" t="n">
        <v>2</v>
      </c>
      <c r="C32" s="146" t="str">
        <v>Administración Pública</v>
      </c>
      <c r="D32" s="146" t="str">
        <v>Administración y Comercio</v>
      </c>
      <c r="E32" s="146" t="str">
        <v>Profesional sin licenciatura</v>
      </c>
      <c r="F32" s="146" t="n">
        <v>21</v>
      </c>
    </row>
    <row r="33" ht="32" customHeight="1">
      <c r="A33" s="146" t="n">
        <v>2025</v>
      </c>
      <c r="B33" s="146" t="n">
        <v>2</v>
      </c>
      <c r="C33" s="146" t="str">
        <v>Auditoría</v>
      </c>
      <c r="D33" s="146" t="str">
        <v>Administración y Comercio</v>
      </c>
      <c r="E33" s="146" t="str">
        <v>Profesional sin licenciatura</v>
      </c>
      <c r="F33" s="146" t="n">
        <v>20</v>
      </c>
    </row>
    <row r="34" ht="32" customHeight="1">
      <c r="A34" s="146" t="n">
        <v>2025</v>
      </c>
      <c r="B34" s="146" t="n">
        <v>2</v>
      </c>
      <c r="C34" s="146" t="str">
        <v>Continuidad Ingeniería Ciberseguridad</v>
      </c>
      <c r="D34" s="146" t="str">
        <v>Tecnologías</v>
      </c>
      <c r="E34" s="146" t="str">
        <v>Profesional sin licenciatura</v>
      </c>
      <c r="F34" s="146" t="n">
        <v>1</v>
      </c>
    </row>
    <row r="35" ht="32" customHeight="1">
      <c r="A35" s="146" t="n">
        <v>2025</v>
      </c>
      <c r="B35" s="146" t="n">
        <v>2</v>
      </c>
      <c r="C35" s="146" t="str">
        <v>Ingeniería Industrial</v>
      </c>
      <c r="D35" s="146" t="str">
        <v>Tecnologías</v>
      </c>
      <c r="E35" s="146" t="str">
        <v>Profesional sin licenciatura</v>
      </c>
      <c r="F35" s="146" t="n">
        <v>29</v>
      </c>
    </row>
    <row r="36" ht="32" customHeight="1">
      <c r="A36" s="146" t="n">
        <v>2025</v>
      </c>
      <c r="B36" s="146" t="n">
        <v>2</v>
      </c>
      <c r="C36" s="146" t="str">
        <v>Ingeniería en Administración de Empresas</v>
      </c>
      <c r="D36" s="146" t="str">
        <v>Administración y Comercio</v>
      </c>
      <c r="E36" s="146" t="str">
        <v>Profesional sin licenciatura</v>
      </c>
      <c r="F36" s="146" t="n">
        <v>35</v>
      </c>
    </row>
    <row r="37" ht="32" customHeight="1">
      <c r="A37" s="146" t="n">
        <v>2025</v>
      </c>
      <c r="B37" s="146" t="n">
        <v>2</v>
      </c>
      <c r="C37" s="146" t="str">
        <v>Ingeniería en Ciberseguridad</v>
      </c>
      <c r="D37" s="146" t="str">
        <v>Tecnologías</v>
      </c>
      <c r="E37" s="146" t="str">
        <v>Profesional sin licenciatura</v>
      </c>
      <c r="F37" s="146" t="n">
        <v>29</v>
      </c>
    </row>
    <row r="38" ht="32" customHeight="1">
      <c r="A38" s="146" t="n">
        <v>2025</v>
      </c>
      <c r="B38" s="146" t="n">
        <v>2</v>
      </c>
      <c r="C38" s="146" t="str">
        <v>Ingeniería en Conectividad y Redes</v>
      </c>
      <c r="D38" s="146" t="str">
        <v>Tecnologías</v>
      </c>
      <c r="E38" s="146" t="str">
        <v>Profesional sin licenciatura</v>
      </c>
      <c r="F38" s="146" t="n">
        <v>1</v>
      </c>
    </row>
    <row r="39" ht="32" customHeight="1">
      <c r="A39" s="146" t="n">
        <v>2025</v>
      </c>
      <c r="B39" s="146" t="n">
        <v>2</v>
      </c>
      <c r="C39" s="146" t="str">
        <v>Ingeniería en Informática</v>
      </c>
      <c r="D39" s="146" t="str">
        <v>Tecnologías</v>
      </c>
      <c r="E39" s="146" t="str">
        <v>Profesional sin licenciatura</v>
      </c>
      <c r="F39" s="146" t="n">
        <v>29</v>
      </c>
    </row>
    <row r="40" ht="32" customHeight="1">
      <c r="A40" s="146" t="n">
        <v>2025</v>
      </c>
      <c r="B40" s="146" t="n">
        <v>2</v>
      </c>
      <c r="C40" s="146" t="str">
        <v>Ingeniería en Logística</v>
      </c>
      <c r="D40" s="146" t="str">
        <v>Administración y Comercio</v>
      </c>
      <c r="E40" s="146" t="str">
        <v>Profesional sin licenciatura</v>
      </c>
      <c r="F40" s="146" t="n">
        <v>21</v>
      </c>
    </row>
    <row r="41" ht="32" customHeight="1">
      <c r="A41" s="146" t="n">
        <v>2025</v>
      </c>
      <c r="B41" s="146" t="n">
        <v>2</v>
      </c>
      <c r="C41" s="146" t="str">
        <v>Técnico en Enfermería</v>
      </c>
      <c r="D41" s="146" t="str">
        <v>Salud</v>
      </c>
      <c r="E41" s="146" t="str">
        <v>Técnico de Nivel Superior</v>
      </c>
      <c r="F41" s="146" t="n">
        <v>21</v>
      </c>
    </row>
    <row r="42" ht="32" customHeight="1">
      <c r="A42" s="146" t="n">
        <v>2025</v>
      </c>
      <c r="B42" s="146" t="n">
        <v>2</v>
      </c>
      <c r="C42" s="146" t="str">
        <v>Técnico en Programación y Análisis de Sistemas</v>
      </c>
      <c r="D42" s="146" t="str">
        <v>Tecnologías</v>
      </c>
      <c r="E42" s="146" t="str">
        <v>Técnico de Nivel Superior</v>
      </c>
      <c r="F42" s="146" t="n">
        <v>15</v>
      </c>
    </row>
    <row r="43" ht="32" customHeight="1">
      <c r="A43" s="146" t="n">
        <v>2026</v>
      </c>
      <c r="B43" s="146" t="n">
        <v>1</v>
      </c>
      <c r="C43" s="146" t="str">
        <v>Administración Pública</v>
      </c>
      <c r="D43" s="146" t="str">
        <v>Administración y Comercio</v>
      </c>
      <c r="E43" s="146" t="str">
        <v>Profesional sin licenciatura</v>
      </c>
      <c r="F43" s="146" t="n">
        <v>45</v>
      </c>
    </row>
    <row r="44" ht="32" customHeight="1">
      <c r="A44" s="146" t="n">
        <v>2026</v>
      </c>
      <c r="B44" s="146" t="n">
        <v>1</v>
      </c>
      <c r="C44" s="146" t="str">
        <v>Auditoría</v>
      </c>
      <c r="D44" s="146" t="str">
        <v>Administración y Comercio</v>
      </c>
      <c r="E44" s="146" t="str">
        <v>Profesional sin licenciatura</v>
      </c>
      <c r="F44" s="146" t="n">
        <v>23</v>
      </c>
    </row>
    <row r="45" ht="32" customHeight="1">
      <c r="A45" s="146" t="n">
        <v>2026</v>
      </c>
      <c r="B45" s="146" t="n">
        <v>1</v>
      </c>
      <c r="C45" s="146" t="str">
        <v>Contabilidad General</v>
      </c>
      <c r="D45" s="146" t="str">
        <v>Administración y Comercio</v>
      </c>
      <c r="E45" s="146" t="str">
        <v>Técnico de Nivel Superior</v>
      </c>
      <c r="F45" s="146" t="n">
        <v>33</v>
      </c>
    </row>
    <row r="46" ht="32" customHeight="1">
      <c r="A46" s="146" t="n">
        <v>2026</v>
      </c>
      <c r="B46" s="146" t="n">
        <v>1</v>
      </c>
      <c r="C46" s="146" t="str">
        <v>Ingeniería Industrial</v>
      </c>
      <c r="D46" s="146" t="str">
        <v>Tecnologías</v>
      </c>
      <c r="E46" s="146" t="str">
        <v>Profesional sin licenciatura</v>
      </c>
      <c r="F46" s="146" t="n">
        <v>51</v>
      </c>
    </row>
    <row r="47" ht="32" customHeight="1">
      <c r="A47" s="146" t="n">
        <v>2026</v>
      </c>
      <c r="B47" s="146" t="n">
        <v>1</v>
      </c>
      <c r="C47" s="146" t="str">
        <v>Ingeniería en Administración de Empresas</v>
      </c>
      <c r="D47" s="146" t="str">
        <v>Administración y Comercio</v>
      </c>
      <c r="E47" s="146" t="str">
        <v>Profesional sin licenciatura</v>
      </c>
      <c r="F47" s="146" t="n">
        <v>72</v>
      </c>
    </row>
    <row r="48" ht="32" customHeight="1">
      <c r="A48" s="146" t="n">
        <v>2026</v>
      </c>
      <c r="B48" s="146" t="n">
        <v>1</v>
      </c>
      <c r="C48" s="146" t="str">
        <v>Ingeniería en Ciberseguridad</v>
      </c>
      <c r="D48" s="146" t="str">
        <v>Tecnologías</v>
      </c>
      <c r="E48" s="146" t="str">
        <v>Profesional sin licenciatura</v>
      </c>
      <c r="F48" s="146" t="n">
        <v>112</v>
      </c>
    </row>
    <row r="49" ht="32" customHeight="1">
      <c r="A49" s="146" t="n">
        <v>2026</v>
      </c>
      <c r="B49" s="146" t="n">
        <v>1</v>
      </c>
      <c r="C49" s="146" t="str">
        <v>Ingeniería en Ciencia de Datos</v>
      </c>
      <c r="D49" s="146" t="str">
        <v>Tecnologías</v>
      </c>
      <c r="E49" s="146" t="str">
        <v>Profesional sin licenciatura</v>
      </c>
      <c r="F49" s="146" t="n">
        <v>25</v>
      </c>
    </row>
    <row r="50" ht="32" customHeight="1">
      <c r="A50" s="146" t="n">
        <v>2026</v>
      </c>
      <c r="B50" s="146" t="n">
        <v>1</v>
      </c>
      <c r="C50" s="146" t="str">
        <v>Ingeniería en Conectividad y Redes</v>
      </c>
      <c r="D50" s="146" t="str">
        <v>Tecnologías</v>
      </c>
      <c r="E50" s="146" t="str">
        <v>Profesional sin licenciatura</v>
      </c>
      <c r="F50" s="146" t="n">
        <v>46</v>
      </c>
    </row>
    <row r="51" ht="32" customHeight="1">
      <c r="A51" s="146" t="n">
        <v>2026</v>
      </c>
      <c r="B51" s="146" t="n">
        <v>1</v>
      </c>
      <c r="C51" s="146" t="str">
        <v>Ingeniería en Finanzas</v>
      </c>
      <c r="D51" s="146" t="str">
        <v>Administración y Comercio</v>
      </c>
      <c r="E51" s="146" t="str">
        <v>Profesional sin licenciatura</v>
      </c>
      <c r="F51" s="146" t="n">
        <v>24</v>
      </c>
    </row>
    <row r="52" ht="32" customHeight="1">
      <c r="A52" s="146" t="n">
        <v>2026</v>
      </c>
      <c r="B52" s="146" t="n">
        <v>1</v>
      </c>
      <c r="C52" s="146" t="str">
        <v>Ingeniería en Informática</v>
      </c>
      <c r="D52" s="146" t="str">
        <v>Tecnologías</v>
      </c>
      <c r="E52" s="146" t="str">
        <v>Profesional sin licenciatura</v>
      </c>
      <c r="F52" s="146" t="n">
        <v>94</v>
      </c>
    </row>
    <row r="53" ht="32" customHeight="1">
      <c r="A53" s="146" t="n">
        <v>2026</v>
      </c>
      <c r="B53" s="146" t="n">
        <v>1</v>
      </c>
      <c r="C53" s="146" t="str">
        <v>Ingeniería en Logística</v>
      </c>
      <c r="D53" s="146" t="str">
        <v>Administración y Comercio</v>
      </c>
      <c r="E53" s="146" t="str">
        <v>Profesional sin licenciatura</v>
      </c>
      <c r="F53" s="146" t="n">
        <v>50</v>
      </c>
    </row>
    <row r="54" ht="32" customHeight="1">
      <c r="A54" s="146" t="n">
        <v>2026</v>
      </c>
      <c r="B54" s="146" t="n">
        <v>1</v>
      </c>
      <c r="C54" s="146" t="str">
        <v>Ingeniería en Marketing Digital</v>
      </c>
      <c r="D54" s="146" t="str">
        <v>Administración y Comercio</v>
      </c>
      <c r="E54" s="146" t="str">
        <v>Profesional sin licenciatura</v>
      </c>
      <c r="F54" s="146" t="n">
        <v>56</v>
      </c>
    </row>
    <row r="55" ht="32" customHeight="1">
      <c r="A55" s="146" t="n">
        <v>2026</v>
      </c>
      <c r="B55" s="146" t="n">
        <v>1</v>
      </c>
      <c r="C55" s="146" t="str">
        <v>Ingeniería en Prevención de Riesgos</v>
      </c>
      <c r="D55" s="146" t="str">
        <v>Tecnologías</v>
      </c>
      <c r="E55" s="146" t="str">
        <v>Profesional sin licenciatura</v>
      </c>
      <c r="F55" s="146" t="n">
        <v>24</v>
      </c>
    </row>
    <row r="56" ht="32" customHeight="1">
      <c r="A56" s="146" t="n">
        <v>2026</v>
      </c>
      <c r="B56" s="146" t="n">
        <v>1</v>
      </c>
      <c r="C56" s="146" t="str">
        <v>Ingeniería en Recursos Humanos</v>
      </c>
      <c r="D56" s="146" t="str">
        <v>Administración y Comercio</v>
      </c>
      <c r="E56" s="146" t="str">
        <v>Profesional sin licenciatura</v>
      </c>
      <c r="F56" s="146" t="n">
        <v>26</v>
      </c>
    </row>
    <row r="57" ht="32" customHeight="1">
      <c r="A57" s="146" t="n">
        <v>2026</v>
      </c>
      <c r="B57" s="146" t="n">
        <v>1</v>
      </c>
      <c r="C57" s="146" t="str">
        <v>Ingeniería en Seguridad Privada</v>
      </c>
      <c r="D57" s="146" t="str">
        <v>Administración y Comercio</v>
      </c>
      <c r="E57" s="146" t="str">
        <v>Profesional sin licenciatura</v>
      </c>
      <c r="F57" s="146" t="n">
        <v>11</v>
      </c>
    </row>
    <row r="58" ht="32" customHeight="1">
      <c r="A58" s="146" t="n">
        <v>2026</v>
      </c>
      <c r="B58" s="146" t="n">
        <v>1</v>
      </c>
      <c r="C58" s="146" t="str">
        <v>Naturopatía</v>
      </c>
      <c r="D58" s="146" t="str">
        <v>Salud</v>
      </c>
      <c r="E58" s="146" t="str">
        <v>Profesional sin licenciatura</v>
      </c>
      <c r="F58" s="146" t="n">
        <v>19</v>
      </c>
    </row>
    <row r="59" ht="32" customHeight="1">
      <c r="A59" s="146" t="n">
        <v>2026</v>
      </c>
      <c r="B59" s="146" t="n">
        <v>1</v>
      </c>
      <c r="C59" s="146" t="str">
        <v>Técnico en Administración Pública</v>
      </c>
      <c r="D59" s="146" t="str">
        <v>Administración y Comercio</v>
      </c>
      <c r="E59" s="146" t="str">
        <v>Técnico de Nivel Superior</v>
      </c>
      <c r="F59" s="146" t="n">
        <v>19</v>
      </c>
    </row>
    <row r="60" ht="32" customHeight="1">
      <c r="A60" s="146" t="n">
        <v>2026</v>
      </c>
      <c r="B60" s="146" t="n">
        <v>1</v>
      </c>
      <c r="C60" s="146" t="str">
        <v>Técnico en Administración de Empresas</v>
      </c>
      <c r="D60" s="146" t="str">
        <v>Administración y Comercio</v>
      </c>
      <c r="E60" s="146" t="str">
        <v>Técnico de Nivel Superior</v>
      </c>
      <c r="F60" s="146" t="n">
        <v>85</v>
      </c>
    </row>
    <row r="61" ht="32" customHeight="1">
      <c r="A61" s="146" t="n">
        <v>2026</v>
      </c>
      <c r="B61" s="146" t="n">
        <v>1</v>
      </c>
      <c r="C61" s="146" t="str">
        <v>Técnico en Ciberseguridad</v>
      </c>
      <c r="D61" s="146" t="str">
        <v>Tecnologías</v>
      </c>
      <c r="E61" s="146" t="str">
        <v>Técnico de Nivel Superior</v>
      </c>
      <c r="F61" s="146" t="n">
        <v>73</v>
      </c>
    </row>
    <row r="62" ht="32" customHeight="1">
      <c r="A62" s="146" t="n">
        <v>2026</v>
      </c>
      <c r="B62" s="146" t="n">
        <v>1</v>
      </c>
      <c r="C62" s="146" t="str">
        <v>Técnico en Ciencia de Datos</v>
      </c>
      <c r="D62" s="146" t="str">
        <v>Tecnologías</v>
      </c>
      <c r="E62" s="146" t="str">
        <v>Técnico de Nivel Superior</v>
      </c>
      <c r="F62" s="146" t="n">
        <v>18</v>
      </c>
    </row>
    <row r="63" ht="32" customHeight="1">
      <c r="A63" s="146" t="n">
        <v>2026</v>
      </c>
      <c r="B63" s="146" t="n">
        <v>1</v>
      </c>
      <c r="C63" s="146" t="str">
        <v>Técnico en Conectividad y Redes</v>
      </c>
      <c r="D63" s="146" t="str">
        <v>Tecnologías</v>
      </c>
      <c r="E63" s="146" t="str">
        <v>Técnico de Nivel Superior</v>
      </c>
      <c r="F63" s="146" t="n">
        <v>10</v>
      </c>
    </row>
    <row r="64" ht="32" customHeight="1">
      <c r="A64" s="146" t="n">
        <v>2026</v>
      </c>
      <c r="B64" s="146" t="n">
        <v>1</v>
      </c>
      <c r="C64" s="146" t="str">
        <v>Técnico en Enfermería e Instrumentación Quirúrgica</v>
      </c>
      <c r="D64" s="146" t="str">
        <v>Salud</v>
      </c>
      <c r="E64" s="146" t="str">
        <v>Técnico de Nivel Superior</v>
      </c>
      <c r="F64" s="146" t="n">
        <v>105</v>
      </c>
    </row>
    <row r="65" ht="32" customHeight="1">
      <c r="A65" s="146" t="n">
        <v>2026</v>
      </c>
      <c r="B65" s="146" t="n">
        <v>1</v>
      </c>
      <c r="C65" s="146" t="str">
        <v>Técnico en Enfermería</v>
      </c>
      <c r="D65" s="146" t="str">
        <v>Salud</v>
      </c>
      <c r="E65" s="146" t="str">
        <v>Técnico de Nivel Superior</v>
      </c>
      <c r="F65" s="146" t="n">
        <v>126</v>
      </c>
    </row>
    <row r="66" ht="32" customHeight="1">
      <c r="A66" s="146" t="n">
        <v>2026</v>
      </c>
      <c r="B66" s="146" t="n">
        <v>1</v>
      </c>
      <c r="C66" s="146" t="str">
        <v>Técnico en Farmacia</v>
      </c>
      <c r="D66" s="146" t="str">
        <v>Salud</v>
      </c>
      <c r="E66" s="146" t="str">
        <v>Técnico de Nivel Superior</v>
      </c>
      <c r="F66" s="146" t="n">
        <v>39</v>
      </c>
    </row>
    <row r="67" ht="32" customHeight="1">
      <c r="A67" s="146" t="n">
        <v>2026</v>
      </c>
      <c r="B67" s="146" t="n">
        <v>1</v>
      </c>
      <c r="C67" s="146" t="str">
        <v>Técnico en Finanzas</v>
      </c>
      <c r="D67" s="146" t="str">
        <v>Administración y Comercio</v>
      </c>
      <c r="E67" s="146" t="str">
        <v>Técnico de Nivel Superior</v>
      </c>
      <c r="F67" s="146" t="n">
        <v>23</v>
      </c>
    </row>
    <row r="68" ht="32" customHeight="1">
      <c r="A68" s="146" t="n">
        <v>2026</v>
      </c>
      <c r="B68" s="146" t="n">
        <v>1</v>
      </c>
      <c r="C68" s="146" t="str">
        <v>Técnico en Infraestructura Cloud</v>
      </c>
      <c r="D68" s="146" t="str">
        <v>Tecnologías</v>
      </c>
      <c r="E68" s="146" t="str">
        <v>Técnico de Nivel Superior</v>
      </c>
      <c r="F68" s="146" t="n">
        <v>12</v>
      </c>
    </row>
    <row r="69" ht="32" customHeight="1">
      <c r="A69" s="146" t="n">
        <v>2026</v>
      </c>
      <c r="B69" s="146" t="n">
        <v>1</v>
      </c>
      <c r="C69" s="146" t="str">
        <v>Técnico en Logística</v>
      </c>
      <c r="D69" s="146" t="str">
        <v>Administración y Comercio</v>
      </c>
      <c r="E69" s="146" t="str">
        <v>Técnico de Nivel Superior</v>
      </c>
      <c r="F69" s="146" t="n">
        <v>51</v>
      </c>
    </row>
    <row r="70" ht="32" customHeight="1">
      <c r="A70" s="146" t="n">
        <v>2026</v>
      </c>
      <c r="B70" s="146" t="n">
        <v>1</v>
      </c>
      <c r="C70" s="146" t="str">
        <v>Técnico en Marketing Digital</v>
      </c>
      <c r="D70" s="146" t="str">
        <v>Administración y Comercio</v>
      </c>
      <c r="E70" s="146" t="str">
        <v>Técnico de Nivel Superior</v>
      </c>
      <c r="F70" s="146" t="n">
        <v>62</v>
      </c>
    </row>
    <row r="71" ht="32" customHeight="1">
      <c r="A71" s="146" t="n">
        <v>2026</v>
      </c>
      <c r="B71" s="146" t="n">
        <v>1</v>
      </c>
      <c r="C71" s="146" t="str">
        <v>Técnico en Prevención de Riesgos</v>
      </c>
      <c r="D71" s="146" t="str">
        <v>Tecnologías</v>
      </c>
      <c r="E71" s="146" t="str">
        <v>Técnico de Nivel Superior</v>
      </c>
      <c r="F71" s="146" t="n">
        <v>16</v>
      </c>
    </row>
    <row r="72" ht="32" customHeight="1">
      <c r="A72" s="146" t="n">
        <v>2026</v>
      </c>
      <c r="B72" s="146" t="n">
        <v>1</v>
      </c>
      <c r="C72" s="146" t="str">
        <v>Técnico en Programación y Análisis de Sistemas</v>
      </c>
      <c r="D72" s="146" t="str">
        <v>Tecnologías</v>
      </c>
      <c r="E72" s="146" t="str">
        <v>Técnico de Nivel Superior</v>
      </c>
      <c r="F72" s="146" t="n">
        <v>93</v>
      </c>
    </row>
    <row r="73" ht="32" customHeight="1">
      <c r="A73" s="146" t="n">
        <v>2026</v>
      </c>
      <c r="B73" s="146" t="n">
        <v>1</v>
      </c>
      <c r="C73" s="146" t="str">
        <v>Técnico en Recursos Humanos</v>
      </c>
      <c r="D73" s="146" t="str">
        <v>Administración y Comercio</v>
      </c>
      <c r="E73" s="146" t="str">
        <v>Técnico de Nivel Superior</v>
      </c>
      <c r="F73" s="146" t="n">
        <v>28</v>
      </c>
    </row>
    <row r="74" ht="32" customHeight="1">
      <c r="A74" s="146" t="n">
        <v>2026</v>
      </c>
      <c r="B74" s="146" t="n">
        <v>2</v>
      </c>
      <c r="C74" s="146" t="str">
        <v>Administración Pública</v>
      </c>
      <c r="D74" s="146" t="str">
        <v>Administración y Comercio</v>
      </c>
      <c r="E74" s="146" t="str">
        <v>Profesional sin licenciatura</v>
      </c>
      <c r="F74" s="146" t="n">
        <v>20</v>
      </c>
    </row>
    <row r="75" ht="32" customHeight="1">
      <c r="A75" s="146" t="n">
        <v>2026</v>
      </c>
      <c r="B75" s="146" t="n">
        <v>2</v>
      </c>
      <c r="C75" s="146" t="str">
        <v>Auditoría</v>
      </c>
      <c r="D75" s="146" t="str">
        <v>Administración y Comercio</v>
      </c>
      <c r="E75" s="146" t="str">
        <v>Profesional sin licenciatura</v>
      </c>
      <c r="F75" s="146" t="n">
        <v>15</v>
      </c>
    </row>
    <row r="76" ht="32" customHeight="1">
      <c r="A76" s="146" t="n">
        <v>2026</v>
      </c>
      <c r="B76" s="146" t="n">
        <v>2</v>
      </c>
      <c r="C76" s="146" t="str">
        <v>Contabilidad General</v>
      </c>
      <c r="D76" s="146" t="str">
        <v>Administración y Comercio</v>
      </c>
      <c r="E76" s="146" t="str">
        <v>Técnico de Nivel Superior</v>
      </c>
      <c r="F76" s="146" t="n">
        <v>25</v>
      </c>
    </row>
    <row r="77" ht="32" customHeight="1">
      <c r="A77" s="146" t="n">
        <v>2026</v>
      </c>
      <c r="B77" s="146" t="n">
        <v>2</v>
      </c>
      <c r="C77" s="146" t="str">
        <v>Continuidad Ingeniería Informática</v>
      </c>
      <c r="D77" s="146" t="str">
        <v>Tecnologías</v>
      </c>
      <c r="E77" s="146" t="str">
        <v>Profesional sin licenciatura</v>
      </c>
      <c r="F77" s="146" t="n">
        <v>3</v>
      </c>
    </row>
    <row r="78" ht="32" customHeight="1">
      <c r="A78" s="146" t="n">
        <v>2026</v>
      </c>
      <c r="B78" s="146" t="n">
        <v>2</v>
      </c>
      <c r="C78" s="146" t="str">
        <v>Ingeniería Industrial</v>
      </c>
      <c r="D78" s="146" t="str">
        <v>Tecnologías</v>
      </c>
      <c r="E78" s="146" t="str">
        <v>Profesional sin licenciatura</v>
      </c>
      <c r="F78" s="146" t="n">
        <v>26</v>
      </c>
    </row>
    <row r="79" ht="32" customHeight="1">
      <c r="A79" s="146" t="n">
        <v>2026</v>
      </c>
      <c r="B79" s="146" t="n">
        <v>2</v>
      </c>
      <c r="C79" s="146" t="str">
        <v>Ingeniería en Administración de Empresas</v>
      </c>
      <c r="D79" s="146" t="str">
        <v>Administración y Comercio</v>
      </c>
      <c r="E79" s="146" t="str">
        <v>Profesional sin licenciatura</v>
      </c>
      <c r="F79" s="146" t="n">
        <v>36</v>
      </c>
    </row>
    <row r="80" ht="32" customHeight="1">
      <c r="A80" s="146" t="n">
        <v>2026</v>
      </c>
      <c r="B80" s="146" t="n">
        <v>2</v>
      </c>
      <c r="C80" s="146" t="str">
        <v>Ingeniería en Ciberseguridad</v>
      </c>
      <c r="D80" s="146" t="str">
        <v>Tecnologías</v>
      </c>
      <c r="E80" s="146" t="str">
        <v>Profesional sin licenciatura</v>
      </c>
      <c r="F80" s="146" t="n">
        <v>30</v>
      </c>
    </row>
    <row r="81" ht="32" customHeight="1">
      <c r="A81" s="146" t="n">
        <v>2026</v>
      </c>
      <c r="B81" s="146" t="n">
        <v>2</v>
      </c>
      <c r="C81" s="146" t="str">
        <v>Ingeniería en Informática</v>
      </c>
      <c r="D81" s="146" t="str">
        <v>Tecnologías</v>
      </c>
      <c r="E81" s="146" t="str">
        <v>Profesional sin licenciatura</v>
      </c>
      <c r="F81" s="146" t="n">
        <v>33</v>
      </c>
    </row>
    <row r="82" ht="32" customHeight="1">
      <c r="A82" s="146" t="n">
        <v>2026</v>
      </c>
      <c r="B82" s="146" t="n">
        <v>2</v>
      </c>
      <c r="C82" s="146" t="str">
        <v>Ingeniería en Logística</v>
      </c>
      <c r="D82" s="146" t="str">
        <v>Administración y Comercio</v>
      </c>
      <c r="E82" s="146" t="str">
        <v>Profesional sin licenciatura</v>
      </c>
      <c r="F82" s="146" t="n">
        <v>34</v>
      </c>
    </row>
    <row r="83" ht="32" customHeight="1">
      <c r="A83" s="146" t="n">
        <v>2026</v>
      </c>
      <c r="B83" s="146" t="n">
        <v>2</v>
      </c>
      <c r="C83" s="146" t="str">
        <v>Ingeniería en Marketing Digital</v>
      </c>
      <c r="D83" s="146" t="str">
        <v>Administración y Comercio</v>
      </c>
      <c r="E83" s="146" t="str">
        <v>Profesional sin licenciatura</v>
      </c>
      <c r="F83" s="146" t="n">
        <v>33</v>
      </c>
    </row>
    <row r="84" ht="32" customHeight="1">
      <c r="A84" s="146" t="n">
        <v>2026</v>
      </c>
      <c r="B84" s="146" t="n">
        <v>2</v>
      </c>
      <c r="C84" s="146" t="str">
        <v>Ingeniería en Recursos Humanos</v>
      </c>
      <c r="D84" s="146" t="str">
        <v>Administración y Comercio</v>
      </c>
      <c r="E84" s="146" t="str">
        <v>Profesional sin licenciatura</v>
      </c>
      <c r="F84" s="146" t="n">
        <v>6</v>
      </c>
    </row>
    <row r="85" ht="32" customHeight="1">
      <c r="A85" s="146" t="n">
        <v>2026</v>
      </c>
      <c r="B85" s="146" t="n">
        <v>2</v>
      </c>
      <c r="C85" s="146" t="str">
        <v>Técnico en Administración de Empresas</v>
      </c>
      <c r="D85" s="146" t="str">
        <v>Administración y Comercio</v>
      </c>
      <c r="E85" s="146" t="str">
        <v>Técnico de Nivel Superior</v>
      </c>
      <c r="F85" s="146" t="n">
        <v>32</v>
      </c>
    </row>
    <row r="86" ht="32" customHeight="1">
      <c r="A86" s="146" t="n">
        <v>2026</v>
      </c>
      <c r="B86" s="146" t="n">
        <v>2</v>
      </c>
      <c r="C86" s="146" t="str">
        <v>Técnico en Ciberseguridad</v>
      </c>
      <c r="D86" s="146" t="str">
        <v>Tecnologías</v>
      </c>
      <c r="E86" s="146" t="str">
        <v>Técnico de Nivel Superior</v>
      </c>
      <c r="F86" s="146" t="n">
        <v>16</v>
      </c>
    </row>
    <row r="87" ht="32" customHeight="1">
      <c r="A87" s="146" t="n">
        <v>2026</v>
      </c>
      <c r="B87" s="146" t="n">
        <v>2</v>
      </c>
      <c r="C87" s="146" t="str">
        <v>Técnico en Enfermería e Instrumentación Quirúrgica</v>
      </c>
      <c r="D87" s="146" t="str">
        <v>Salud</v>
      </c>
      <c r="E87" s="146" t="str">
        <v>Técnico de Nivel Superior</v>
      </c>
      <c r="F87" s="146" t="n">
        <v>65</v>
      </c>
    </row>
    <row r="88" ht="32" customHeight="1">
      <c r="A88" s="146" t="n">
        <v>2026</v>
      </c>
      <c r="B88" s="146" t="n">
        <v>2</v>
      </c>
      <c r="C88" s="146" t="str">
        <v>Técnico en Enfermería</v>
      </c>
      <c r="D88" s="146" t="str">
        <v>Salud</v>
      </c>
      <c r="E88" s="146" t="str">
        <v>Técnico de Nivel Superior</v>
      </c>
      <c r="F88" s="146" t="n">
        <v>60</v>
      </c>
    </row>
    <row r="89" ht="32" customHeight="1">
      <c r="A89" s="146" t="n">
        <v>2026</v>
      </c>
      <c r="B89" s="146" t="n">
        <v>2</v>
      </c>
      <c r="C89" s="146" t="str">
        <v>Técnico en Logística</v>
      </c>
      <c r="D89" s="146" t="str">
        <v>Administración y Comercio</v>
      </c>
      <c r="E89" s="146" t="str">
        <v>Técnico de Nivel Superior</v>
      </c>
      <c r="F89" s="146" t="n">
        <v>21</v>
      </c>
    </row>
    <row r="90" ht="32" customHeight="1">
      <c r="A90" s="146" t="n">
        <v>2026</v>
      </c>
      <c r="B90" s="146" t="n">
        <v>2</v>
      </c>
      <c r="C90" s="146" t="str">
        <v>Técnico en Marketing Digital</v>
      </c>
      <c r="D90" s="146" t="str">
        <v>Administración y Comercio</v>
      </c>
      <c r="E90" s="146" t="str">
        <v>Técnico de Nivel Superior</v>
      </c>
      <c r="F90" s="146" t="n">
        <v>28</v>
      </c>
    </row>
    <row r="91" ht="32" customHeight="1">
      <c r="A91" s="146" t="n">
        <v>2026</v>
      </c>
      <c r="B91" s="146" t="n">
        <v>2</v>
      </c>
      <c r="C91" s="146" t="str">
        <v>Técnico en Programación y Análisis de Sistemas</v>
      </c>
      <c r="D91" s="146" t="str">
        <v>Tecnologías</v>
      </c>
      <c r="E91" s="146" t="str">
        <v>Técnico de Nivel Superior</v>
      </c>
      <c r="F91" s="146" t="n">
        <v>26</v>
      </c>
    </row>
    <row r="92" ht="32" customHeight="1">
      <c r="A92" s="146" t="n">
        <v>2026</v>
      </c>
      <c r="B92" s="146" t="n">
        <v>2</v>
      </c>
      <c r="C92" s="146" t="str">
        <v>Técnico en Recursos Humanos</v>
      </c>
      <c r="D92" s="146" t="str">
        <v>Administración y Comercio</v>
      </c>
      <c r="E92" s="146" t="str">
        <v>Técnico de Nivel Superior</v>
      </c>
      <c r="F92" s="146" t="n">
        <v>18</v>
      </c>
    </row>
    <row r="93" ht="32" customHeight="1">
      <c r="A93" s="146" t="n">
        <v>2026</v>
      </c>
      <c r="B93" s="146" t="n">
        <v>3</v>
      </c>
      <c r="C93" s="146" t="str">
        <v>Administración Pública</v>
      </c>
      <c r="D93" s="146" t="str">
        <v>Administración y Comercio</v>
      </c>
      <c r="E93" s="146" t="str">
        <v>Profesional sin licenciatura</v>
      </c>
      <c r="F93" s="146" t="n">
        <v>1</v>
      </c>
    </row>
    <row r="94" ht="32" customHeight="1">
      <c r="A94" s="146" t="n">
        <v>2026</v>
      </c>
      <c r="B94" s="146" t="n">
        <v>3</v>
      </c>
      <c r="C94" s="146" t="str">
        <v>Continuidad Ingeniería Ciberseguridad</v>
      </c>
      <c r="D94" s="146" t="str">
        <v>Tecnologías</v>
      </c>
      <c r="E94" s="146" t="str">
        <v>Profesional sin licenciatura</v>
      </c>
      <c r="F94" s="146" t="n">
        <v>2</v>
      </c>
    </row>
    <row r="95" ht="32" customHeight="1">
      <c r="A95" s="146" t="n">
        <v>2026</v>
      </c>
      <c r="B95" s="146" t="n">
        <v>3</v>
      </c>
      <c r="C95" s="146" t="str">
        <v>Continuidad Ingeniería Informática</v>
      </c>
      <c r="D95" s="146" t="str">
        <v>Tecnologías</v>
      </c>
      <c r="E95" s="146" t="str">
        <v>Profesional sin licenciatura</v>
      </c>
      <c r="F95" s="146" t="n">
        <v>1</v>
      </c>
    </row>
    <row r="96" ht="32" customHeight="1">
      <c r="A96" s="146" t="n">
        <v>2026</v>
      </c>
      <c r="B96" s="146" t="n">
        <v>3</v>
      </c>
      <c r="C96" s="146" t="str">
        <v>Ingeniería Industrial</v>
      </c>
      <c r="D96" s="146" t="str">
        <v>Tecnologías</v>
      </c>
      <c r="E96" s="146" t="str">
        <v>Profesional sin licenciatura</v>
      </c>
      <c r="F96" s="146" t="n">
        <v>48</v>
      </c>
    </row>
    <row r="97" ht="32" customHeight="1">
      <c r="A97" s="146" t="n">
        <v>2026</v>
      </c>
      <c r="B97" s="146" t="n">
        <v>3</v>
      </c>
      <c r="C97" s="146" t="str">
        <v>Ingeniería en Administración de Empresas</v>
      </c>
      <c r="D97" s="146" t="str">
        <v>Administración y Comercio</v>
      </c>
      <c r="E97" s="146" t="str">
        <v>Profesional sin licenciatura</v>
      </c>
      <c r="F97" s="146" t="n">
        <v>40</v>
      </c>
    </row>
    <row r="98" ht="32" customHeight="1">
      <c r="A98" s="146" t="n">
        <v>2026</v>
      </c>
      <c r="B98" s="146" t="n">
        <v>3</v>
      </c>
      <c r="C98" s="146" t="str">
        <v>Ingeniería en Ciberseguridad</v>
      </c>
      <c r="D98" s="146" t="str">
        <v>Tecnologías</v>
      </c>
      <c r="E98" s="146" t="str">
        <v>Profesional sin licenciatura</v>
      </c>
      <c r="F98" s="146" t="n">
        <v>49</v>
      </c>
    </row>
    <row r="99" ht="32" customHeight="1">
      <c r="A99" s="146" t="n">
        <v>2026</v>
      </c>
      <c r="B99" s="146" t="n">
        <v>3</v>
      </c>
      <c r="C99" s="146" t="str">
        <v>Ingeniería en Informática</v>
      </c>
      <c r="D99" s="146" t="str">
        <v>Tecnologías</v>
      </c>
      <c r="E99" s="146" t="str">
        <v>Profesional sin licenciatura</v>
      </c>
      <c r="F99" s="146" t="n">
        <v>42</v>
      </c>
    </row>
    <row r="100" ht="32" customHeight="1">
      <c r="A100" s="146" t="n">
        <v>2026</v>
      </c>
      <c r="B100" s="146" t="n">
        <v>3</v>
      </c>
      <c r="C100" s="146" t="str">
        <v>Ingeniería en Logística</v>
      </c>
      <c r="D100" s="146" t="str">
        <v>Administración y Comercio</v>
      </c>
      <c r="E100" s="146" t="str">
        <v>Profesional sin licenciatura</v>
      </c>
      <c r="F100" s="146" t="n">
        <v>38</v>
      </c>
    </row>
    <row r="101" ht="32" customHeight="1">
      <c r="A101" s="146" t="n">
        <v>2026</v>
      </c>
      <c r="B101" s="146" t="n">
        <v>3</v>
      </c>
      <c r="C101" s="146" t="str">
        <v>Ingeniería en Marketing Digital</v>
      </c>
      <c r="D101" s="146" t="str">
        <v>Administración y Comercio</v>
      </c>
      <c r="E101" s="146" t="str">
        <v>Profesional sin licenciatura</v>
      </c>
      <c r="F101" s="146" t="n">
        <v>36</v>
      </c>
    </row>
    <row r="102" ht="32" customHeight="1">
      <c r="A102" s="146" t="n">
        <v>2026</v>
      </c>
      <c r="B102" s="146" t="n">
        <v>3</v>
      </c>
      <c r="C102" s="146" t="str">
        <v>Técnico en Administración de Empresas</v>
      </c>
      <c r="D102" s="146" t="str">
        <v>Administración y Comercio</v>
      </c>
      <c r="E102" s="146" t="str">
        <v>Técnico de Nivel Superior</v>
      </c>
      <c r="F102" s="146" t="n">
        <v>32</v>
      </c>
    </row>
    <row r="103" ht="32" customHeight="1">
      <c r="A103" s="146" t="n">
        <v>2026</v>
      </c>
      <c r="B103" s="146" t="n">
        <v>3</v>
      </c>
      <c r="C103" s="146" t="str">
        <v>Técnico en Ciberseguridad</v>
      </c>
      <c r="D103" s="146" t="str">
        <v>Tecnologías</v>
      </c>
      <c r="E103" s="146" t="str">
        <v>Técnico de Nivel Superior</v>
      </c>
      <c r="F103" s="146" t="n">
        <v>22</v>
      </c>
    </row>
    <row r="104" ht="32" customHeight="1">
      <c r="A104" s="146" t="n">
        <v>2026</v>
      </c>
      <c r="B104" s="146" t="n">
        <v>3</v>
      </c>
      <c r="C104" s="146" t="str">
        <v>Técnico en Enfermería e Instrumentación Quirúrgica</v>
      </c>
      <c r="D104" s="146" t="str">
        <v>Salud</v>
      </c>
      <c r="E104" s="146" t="str">
        <v>Técnico de Nivel Superior</v>
      </c>
      <c r="F104" s="146" t="n">
        <v>64</v>
      </c>
    </row>
    <row r="105" ht="32" customHeight="1">
      <c r="A105" s="146" t="n">
        <v>2026</v>
      </c>
      <c r="B105" s="146" t="n">
        <v>3</v>
      </c>
      <c r="C105" s="146" t="str">
        <v>Técnico en Enfermería</v>
      </c>
      <c r="D105" s="146" t="str">
        <v>Salud</v>
      </c>
      <c r="E105" s="146" t="str">
        <v>Técnico de Nivel Superior</v>
      </c>
      <c r="F105" s="146" t="n">
        <v>51</v>
      </c>
    </row>
    <row r="106" ht="32" customHeight="1">
      <c r="A106" s="146" t="n">
        <v>2026</v>
      </c>
      <c r="B106" s="146" t="n">
        <v>3</v>
      </c>
      <c r="C106" s="146" t="str">
        <v>Técnico en Farmacia SP</v>
      </c>
      <c r="D106" s="146" t="str">
        <v>Salud</v>
      </c>
      <c r="E106" s="146" t="str">
        <v>Técnico de Nivel Superior</v>
      </c>
      <c r="F106" s="146" t="n">
        <v>16</v>
      </c>
    </row>
    <row r="107" ht="32" customHeight="1">
      <c r="A107" s="146" t="n">
        <v>2026</v>
      </c>
      <c r="B107" s="146" t="n">
        <v>3</v>
      </c>
      <c r="C107" s="146" t="str">
        <v>Técnico en Logística</v>
      </c>
      <c r="D107" s="146" t="str">
        <v>Administración y Comercio</v>
      </c>
      <c r="E107" s="146" t="str">
        <v>Técnico de Nivel Superior</v>
      </c>
      <c r="F107" s="146" t="n">
        <v>26</v>
      </c>
    </row>
    <row r="108" ht="32" customHeight="1">
      <c r="A108" s="146" t="n">
        <v>2026</v>
      </c>
      <c r="B108" s="146" t="n">
        <v>3</v>
      </c>
      <c r="C108" s="146" t="str">
        <v>Técnico en Marketing Digital</v>
      </c>
      <c r="D108" s="146" t="str">
        <v>Administración y Comercio</v>
      </c>
      <c r="E108" s="146" t="str">
        <v>Técnico de Nivel Superior</v>
      </c>
      <c r="F108" s="146" t="n">
        <v>31</v>
      </c>
    </row>
    <row r="109" ht="32" customHeight="1">
      <c r="A109" s="146" t="n">
        <v>2026</v>
      </c>
      <c r="B109" s="146" t="n">
        <v>3</v>
      </c>
      <c r="C109" s="146" t="str">
        <v>Técnico en Programación y Análisis de Sistemas</v>
      </c>
      <c r="D109" s="146" t="str">
        <v>Tecnologías</v>
      </c>
      <c r="E109" s="146" t="str">
        <v>Técnico de Nivel Superior</v>
      </c>
      <c r="F109" s="146" t="n">
        <v>46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4273"/>
    <pageSetUpPr fitToPage="false"/>
  </sheetPr>
  <dimension ref="A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62"/>
    <col collapsed="false" customWidth="true" hidden="false" outlineLevel="0" max="3" min="3" style="1" width="14"/>
    <col collapsed="false" customWidth="true" hidden="false" outlineLevel="0" max="4" min="4" style="1" width="10"/>
  </cols>
  <sheetData>
    <row r="1" customFormat="false" ht="15" hidden="false" customHeight="true" outlineLevel="0" collapsed="false">
      <c r="A1" s="113" t="inlineStr">
        <is>
          <t xml:space="preserve">🏠 Portada / Índice</t>
        </is>
      </c>
    </row>
    <row r="2" customFormat="false" ht="17.25" hidden="false" customHeight="true" outlineLevel="0" collapsed="false">
      <c r="B2" s="114" t="inlineStr">
        <is>
          <t xml:space="preserve">21. Reglas estado|situación U+ → VIG (Foto intertrimestral)</t>
        </is>
      </c>
    </row>
    <row r="3" customFormat="false" ht="15" hidden="false" customHeight="true" outlineLevel="0" collapsed="false">
      <c r="B3" s="115" t="inlineStr">
        <is>
          <t xml:space="preserve">D · avance_curricular@09314ca:data/reglas_negocio/mu2027/versiones/20261021_v1/reglas.json. Se aplican a la matrícula concreta del periodo. NO APLICA y PENDIENTE salen del denominador.</t>
        </is>
      </c>
    </row>
    <row r="5" customFormat="false" ht="15" hidden="false" customHeight="true" outlineLevel="0" collapsed="false">
      <c r="B5" s="117" t="inlineStr">
        <is>
          <t xml:space="preserve">Estado|Situación (normalizado)</t>
        </is>
      </c>
      <c r="C5" s="117" t="inlineStr">
        <is>
          <t xml:space="preserve">Resultado VIG</t>
        </is>
      </c>
      <c r="D5" s="117" t="inlineStr">
        <is>
          <t xml:space="preserve">Prioridad</t>
        </is>
      </c>
      <c r="E5" s="117" t="inlineStr">
        <is>
          <t xml:space="preserve">Clase</t>
        </is>
      </c>
    </row>
    <row r="6" customFormat="false" ht="15" hidden="false" customHeight="true" outlineLevel="0" collapsed="false">
      <c r="B6" s="119" t="inlineStr">
        <is>
          <t xml:space="preserve">EGRESADO|13 - EGRESO</t>
        </is>
      </c>
      <c r="C6" s="135" t="inlineStr">
        <is>
          <t xml:space="preserve">PENDIENTE</t>
        </is>
      </c>
      <c r="D6" s="135" t="n">
        <v>3</v>
      </c>
      <c r="E6" s="135" t="inlineStr">
        <is>
          <t xml:space="preserve">E</t>
        </is>
      </c>
    </row>
    <row r="7" customFormat="false" ht="15" hidden="false" customHeight="true" outlineLevel="0" collapsed="false">
      <c r="B7" s="119" t="inlineStr">
        <is>
          <t xml:space="preserve">EGRESADO|14 - APRUEBA PROGRAMA EC</t>
        </is>
      </c>
      <c r="C7" s="135" t="inlineStr">
        <is>
          <t xml:space="preserve">NO APLICA</t>
        </is>
      </c>
      <c r="D7" s="135" t="n">
        <v>2</v>
      </c>
      <c r="E7" s="135" t="inlineStr">
        <is>
          <t xml:space="preserve">D</t>
        </is>
      </c>
    </row>
    <row r="8" customFormat="false" ht="15" hidden="false" customHeight="true" outlineLevel="0" collapsed="false">
      <c r="B8" s="119" t="inlineStr">
        <is>
          <t xml:space="preserve">ELIMINADO|1 - ALUMNO REGULAR</t>
        </is>
      </c>
      <c r="C8" s="135" t="inlineStr">
        <is>
          <t xml:space="preserve">0</t>
        </is>
      </c>
      <c r="D8" s="135" t="n">
        <v>4</v>
      </c>
      <c r="E8" s="135" t="inlineStr">
        <is>
          <t xml:space="preserve">D</t>
        </is>
      </c>
    </row>
    <row r="9" customFormat="false" ht="15" hidden="false" customHeight="true" outlineLevel="0" collapsed="false">
      <c r="B9" s="119" t="inlineStr">
        <is>
          <t xml:space="preserve">ELIMINADO|10 - ACTUALIZACIÓN DE PLAN DE ESTUDIO 2024</t>
        </is>
      </c>
      <c r="C9" s="135" t="inlineStr">
        <is>
          <t xml:space="preserve">0</t>
        </is>
      </c>
      <c r="D9" s="135" t="n">
        <v>4</v>
      </c>
      <c r="E9" s="135" t="inlineStr">
        <is>
          <t xml:space="preserve">D</t>
        </is>
      </c>
    </row>
    <row r="10" customFormat="false" ht="15" hidden="false" customHeight="true" outlineLevel="0" collapsed="false">
      <c r="B10" s="119" t="inlineStr">
        <is>
          <t xml:space="preserve">ELIMINADO|100 - TITULACIÓN INTERMEDIA</t>
        </is>
      </c>
      <c r="C10" s="135" t="inlineStr">
        <is>
          <t xml:space="preserve">0</t>
        </is>
      </c>
      <c r="D10" s="135" t="n">
        <v>4</v>
      </c>
      <c r="E10" s="135" t="inlineStr">
        <is>
          <t xml:space="preserve">D</t>
        </is>
      </c>
    </row>
    <row r="11" customFormat="false" ht="15" hidden="false" customHeight="true" outlineLevel="0" collapsed="false">
      <c r="B11" s="119" t="inlineStr">
        <is>
          <t xml:space="preserve">ELIMINADO|101 - TITULO INTERMEDIO 2</t>
        </is>
      </c>
      <c r="C11" s="135" t="inlineStr">
        <is>
          <t xml:space="preserve">0</t>
        </is>
      </c>
      <c r="D11" s="135" t="n">
        <v>4</v>
      </c>
      <c r="E11" s="135" t="inlineStr">
        <is>
          <t xml:space="preserve">D</t>
        </is>
      </c>
    </row>
    <row r="12" customFormat="false" ht="15" hidden="false" customHeight="true" outlineLevel="0" collapsed="false">
      <c r="B12" s="119" t="inlineStr">
        <is>
          <t xml:space="preserve">ELIMINADO|11 - RENUNCIA POST INICIO CLASES</t>
        </is>
      </c>
      <c r="C12" s="135" t="inlineStr">
        <is>
          <t xml:space="preserve">0</t>
        </is>
      </c>
      <c r="D12" s="135" t="n">
        <v>4</v>
      </c>
      <c r="E12" s="135" t="inlineStr">
        <is>
          <t xml:space="preserve">D</t>
        </is>
      </c>
    </row>
    <row r="13" customFormat="false" ht="15" hidden="false" customHeight="true" outlineLevel="0" collapsed="false">
      <c r="B13" s="119" t="inlineStr">
        <is>
          <t xml:space="preserve">ELIMINADO|12 - ELIMINADO MATRICULA SIN FIRMA</t>
        </is>
      </c>
      <c r="C13" s="135" t="inlineStr">
        <is>
          <t xml:space="preserve">0</t>
        </is>
      </c>
      <c r="D13" s="135" t="n">
        <v>4</v>
      </c>
      <c r="E13" s="135" t="inlineStr">
        <is>
          <t xml:space="preserve">D</t>
        </is>
      </c>
    </row>
    <row r="14" customFormat="false" ht="15" hidden="false" customHeight="true" outlineLevel="0" collapsed="false">
      <c r="B14" s="119" t="inlineStr">
        <is>
          <t xml:space="preserve">ELIMINADO|15 - REPRUEBA PROGRAMA EC</t>
        </is>
      </c>
      <c r="C14" s="135" t="inlineStr">
        <is>
          <t xml:space="preserve">0</t>
        </is>
      </c>
      <c r="D14" s="135" t="n">
        <v>4</v>
      </c>
      <c r="E14" s="135" t="inlineStr">
        <is>
          <t xml:space="preserve">D</t>
        </is>
      </c>
    </row>
    <row r="15" customFormat="false" ht="15" hidden="false" customHeight="true" outlineLevel="0" collapsed="false">
      <c r="B15" s="119" t="inlineStr">
        <is>
          <t xml:space="preserve">ELIMINADO|16 - EXPULSION (MALAS PRACTICAS)</t>
        </is>
      </c>
      <c r="C15" s="135" t="inlineStr">
        <is>
          <t xml:space="preserve">0</t>
        </is>
      </c>
      <c r="D15" s="135" t="n">
        <v>4</v>
      </c>
      <c r="E15" s="135" t="inlineStr">
        <is>
          <t xml:space="preserve">D</t>
        </is>
      </c>
    </row>
    <row r="16" customFormat="false" ht="15" hidden="false" customHeight="true" outlineLevel="0" collapsed="false">
      <c r="B16" s="119" t="inlineStr">
        <is>
          <t xml:space="preserve">ELIMINADO|2 - SUSPENSIÓN TEMPORAL</t>
        </is>
      </c>
      <c r="C16" s="135" t="inlineStr">
        <is>
          <t xml:space="preserve">0</t>
        </is>
      </c>
      <c r="D16" s="135" t="n">
        <v>4</v>
      </c>
      <c r="E16" s="135" t="inlineStr">
        <is>
          <t xml:space="preserve">D</t>
        </is>
      </c>
    </row>
    <row r="17" customFormat="false" ht="15" hidden="false" customHeight="true" outlineLevel="0" collapsed="false">
      <c r="B17" s="119" t="inlineStr">
        <is>
          <t xml:space="preserve">ELIMINADO|20 - VIGENTE SIN ACTIVIDAD ACADEMICA</t>
        </is>
      </c>
      <c r="C17" s="135" t="inlineStr">
        <is>
          <t xml:space="preserve">0</t>
        </is>
      </c>
      <c r="D17" s="135" t="n">
        <v>4</v>
      </c>
      <c r="E17" s="135" t="inlineStr">
        <is>
          <t xml:space="preserve">D</t>
        </is>
      </c>
    </row>
    <row r="18" customFormat="false" ht="15" hidden="false" customHeight="true" outlineLevel="0" collapsed="false">
      <c r="B18" s="119" t="inlineStr">
        <is>
          <t xml:space="preserve">ELIMINADO|23 - RETIRO - RETRACTO</t>
        </is>
      </c>
      <c r="C18" s="135" t="inlineStr">
        <is>
          <t xml:space="preserve">0</t>
        </is>
      </c>
      <c r="D18" s="135" t="n">
        <v>4</v>
      </c>
      <c r="E18" s="135" t="inlineStr">
        <is>
          <t xml:space="preserve">D</t>
        </is>
      </c>
    </row>
    <row r="19" customFormat="false" ht="15" hidden="false" customHeight="true" outlineLevel="0" collapsed="false">
      <c r="B19" s="119" t="inlineStr">
        <is>
          <t xml:space="preserve">ELIMINADO|24 - CAMBIO DE CARRERA</t>
        </is>
      </c>
      <c r="C19" s="135" t="inlineStr">
        <is>
          <t xml:space="preserve">0</t>
        </is>
      </c>
      <c r="D19" s="135" t="n">
        <v>4</v>
      </c>
      <c r="E19" s="135" t="inlineStr">
        <is>
          <t xml:space="preserve">D</t>
        </is>
      </c>
    </row>
    <row r="20" customFormat="false" ht="15" hidden="false" customHeight="true" outlineLevel="0" collapsed="false">
      <c r="B20" s="119" t="inlineStr">
        <is>
          <t xml:space="preserve">ELIMINADO|27 - CAMBIO PLAN OTRA JORNADA</t>
        </is>
      </c>
      <c r="C20" s="135" t="inlineStr">
        <is>
          <t xml:space="preserve">0</t>
        </is>
      </c>
      <c r="D20" s="135" t="n">
        <v>4</v>
      </c>
      <c r="E20" s="135" t="inlineStr">
        <is>
          <t xml:space="preserve">D</t>
        </is>
      </c>
    </row>
    <row r="21" customFormat="false" ht="15" hidden="false" customHeight="true" outlineLevel="0" collapsed="false">
      <c r="B21" s="119" t="inlineStr">
        <is>
          <t xml:space="preserve">ELIMINADO|3 - ELIMINACION AUTOMATICA</t>
        </is>
      </c>
      <c r="C21" s="135" t="inlineStr">
        <is>
          <t xml:space="preserve">0</t>
        </is>
      </c>
      <c r="D21" s="135" t="n">
        <v>4</v>
      </c>
      <c r="E21" s="135" t="inlineStr">
        <is>
          <t xml:space="preserve">D</t>
        </is>
      </c>
    </row>
    <row r="22" customFormat="false" ht="15" hidden="false" customHeight="true" outlineLevel="0" collapsed="false">
      <c r="B22" s="119" t="inlineStr">
        <is>
          <t xml:space="preserve">ELIMINADO|38 - REINCORPORACION DE ACTIVIDADES</t>
        </is>
      </c>
      <c r="C22" s="135" t="inlineStr">
        <is>
          <t xml:space="preserve">0</t>
        </is>
      </c>
      <c r="D22" s="135" t="n">
        <v>4</v>
      </c>
      <c r="E22" s="135" t="inlineStr">
        <is>
          <t xml:space="preserve">D</t>
        </is>
      </c>
    </row>
    <row r="23" customFormat="false" ht="15" hidden="false" customHeight="true" outlineLevel="0" collapsed="false">
      <c r="B23" s="119" t="inlineStr">
        <is>
          <t xml:space="preserve">ELIMINADO|41 - RETIRO SIN AVISO</t>
        </is>
      </c>
      <c r="C23" s="135" t="inlineStr">
        <is>
          <t xml:space="preserve">0</t>
        </is>
      </c>
      <c r="D23" s="135" t="n">
        <v>4</v>
      </c>
      <c r="E23" s="135" t="inlineStr">
        <is>
          <t xml:space="preserve">D</t>
        </is>
      </c>
    </row>
    <row r="24" customFormat="false" ht="15" hidden="false" customHeight="true" outlineLevel="0" collapsed="false">
      <c r="B24" s="119" t="inlineStr">
        <is>
          <t xml:space="preserve">ELIMINADO|49 - CAMBIO DE JORNADA</t>
        </is>
      </c>
      <c r="C24" s="135" t="inlineStr">
        <is>
          <t xml:space="preserve">0</t>
        </is>
      </c>
      <c r="D24" s="135" t="n">
        <v>4</v>
      </c>
      <c r="E24" s="135" t="inlineStr">
        <is>
          <t xml:space="preserve">D</t>
        </is>
      </c>
    </row>
    <row r="25" customFormat="false" ht="15" hidden="false" customHeight="true" outlineLevel="0" collapsed="false">
      <c r="B25" s="119" t="inlineStr">
        <is>
          <t xml:space="preserve">ELIMINADO|5 - RENUNCIA ENTRE PERIODOS</t>
        </is>
      </c>
      <c r="C25" s="135" t="inlineStr">
        <is>
          <t xml:space="preserve">0</t>
        </is>
      </c>
      <c r="D25" s="135" t="n">
        <v>4</v>
      </c>
      <c r="E25" s="135" t="inlineStr">
        <is>
          <t xml:space="preserve">D</t>
        </is>
      </c>
    </row>
    <row r="26" customFormat="false" ht="15" hidden="false" customHeight="true" outlineLevel="0" collapsed="false">
      <c r="B26" s="119" t="inlineStr">
        <is>
          <t xml:space="preserve">ELIMINADO|7 - NO RENUEVA MATRICULA</t>
        </is>
      </c>
      <c r="C26" s="135" t="inlineStr">
        <is>
          <t xml:space="preserve">0</t>
        </is>
      </c>
      <c r="D26" s="135" t="n">
        <v>4</v>
      </c>
      <c r="E26" s="135" t="inlineStr">
        <is>
          <t xml:space="preserve">D</t>
        </is>
      </c>
    </row>
    <row r="27" customFormat="false" ht="15" hidden="false" customHeight="true" outlineLevel="0" collapsed="false">
      <c r="B27" s="119" t="inlineStr">
        <is>
          <t xml:space="preserve">ELIMINADO|8 - ELIMINADO SIN ACTIVIDAD ACADÉMICA</t>
        </is>
      </c>
      <c r="C27" s="135" t="inlineStr">
        <is>
          <t xml:space="preserve">0</t>
        </is>
      </c>
      <c r="D27" s="135" t="n">
        <v>4</v>
      </c>
      <c r="E27" s="135" t="inlineStr">
        <is>
          <t xml:space="preserve">D</t>
        </is>
      </c>
    </row>
    <row r="28" customFormat="false" ht="15" hidden="false" customHeight="true" outlineLevel="0" collapsed="false">
      <c r="B28" s="119" t="inlineStr">
        <is>
          <t xml:space="preserve">ELIMINADO|9 - RECHAZO ACTUALIZACION DE PLAN 2024</t>
        </is>
      </c>
      <c r="C28" s="135" t="inlineStr">
        <is>
          <t xml:space="preserve">0</t>
        </is>
      </c>
      <c r="D28" s="135" t="n">
        <v>4</v>
      </c>
      <c r="E28" s="135" t="inlineStr">
        <is>
          <t xml:space="preserve">D</t>
        </is>
      </c>
    </row>
    <row r="29" customFormat="false" ht="15" hidden="false" customHeight="true" outlineLevel="0" collapsed="false">
      <c r="B29" s="119" t="inlineStr">
        <is>
          <t xml:space="preserve">ELIMINADO|95 - DEFUNCIÓN</t>
        </is>
      </c>
      <c r="C29" s="135" t="inlineStr">
        <is>
          <t xml:space="preserve">0</t>
        </is>
      </c>
      <c r="D29" s="135" t="n">
        <v>4</v>
      </c>
      <c r="E29" s="135" t="inlineStr">
        <is>
          <t xml:space="preserve">D</t>
        </is>
      </c>
    </row>
    <row r="30" customFormat="false" ht="15" hidden="false" customHeight="true" outlineLevel="0" collapsed="false">
      <c r="B30" s="119" t="inlineStr">
        <is>
          <t xml:space="preserve">SUSPENDIDO|2 - SUSPENSIÓN TEMPORAL</t>
        </is>
      </c>
      <c r="C30" s="135" t="inlineStr">
        <is>
          <t xml:space="preserve">0</t>
        </is>
      </c>
      <c r="D30" s="135" t="n">
        <v>4</v>
      </c>
      <c r="E30" s="135" t="inlineStr">
        <is>
          <t xml:space="preserve">D</t>
        </is>
      </c>
    </row>
    <row r="31" customFormat="false" ht="15" hidden="false" customHeight="true" outlineLevel="0" collapsed="false">
      <c r="B31" s="119" t="inlineStr">
        <is>
          <t xml:space="preserve">TITULADO|31 - TITULADO APROBADO</t>
        </is>
      </c>
      <c r="C31" s="135" t="inlineStr">
        <is>
          <t xml:space="preserve">NO APLICA</t>
        </is>
      </c>
      <c r="D31" s="135" t="n">
        <v>2</v>
      </c>
      <c r="E31" s="135" t="inlineStr">
        <is>
          <t xml:space="preserve">D</t>
        </is>
      </c>
    </row>
    <row r="32" customFormat="false" ht="15" hidden="false" customHeight="true" outlineLevel="0" collapsed="false">
      <c r="B32" s="119" t="inlineStr">
        <is>
          <t xml:space="preserve">TITULADO|42 - TITULACIÓN PRÁCTICA PROFESIONAL</t>
        </is>
      </c>
      <c r="C32" s="135" t="inlineStr">
        <is>
          <t xml:space="preserve">NO APLICA</t>
        </is>
      </c>
      <c r="D32" s="135" t="n">
        <v>2</v>
      </c>
      <c r="E32" s="135" t="inlineStr">
        <is>
          <t xml:space="preserve">D</t>
        </is>
      </c>
    </row>
    <row r="33" customFormat="false" ht="15" hidden="false" customHeight="true" outlineLevel="0" collapsed="false">
      <c r="B33" s="119" t="inlineStr">
        <is>
          <t xml:space="preserve">VIGENTE|1 - ALUMNO REGULAR</t>
        </is>
      </c>
      <c r="C33" s="135" t="inlineStr">
        <is>
          <t xml:space="preserve">1</t>
        </is>
      </c>
      <c r="D33" s="135" t="n">
        <v>1</v>
      </c>
      <c r="E33" s="135" t="inlineStr">
        <is>
          <t xml:space="preserve">D</t>
        </is>
      </c>
    </row>
    <row r="34" customFormat="false" ht="15" hidden="false" customHeight="true" outlineLevel="0" collapsed="false">
      <c r="B34" s="119" t="inlineStr">
        <is>
          <t xml:space="preserve">VIGENTE|100 - TITULACIÓN INTERMEDIA</t>
        </is>
      </c>
      <c r="C34" s="135" t="inlineStr">
        <is>
          <t xml:space="preserve">1</t>
        </is>
      </c>
      <c r="D34" s="135" t="n">
        <v>1</v>
      </c>
      <c r="E34" s="135" t="inlineStr">
        <is>
          <t xml:space="preserve">D</t>
        </is>
      </c>
    </row>
    <row r="35" customFormat="false" ht="15" hidden="false" customHeight="true" outlineLevel="0" collapsed="false">
      <c r="B35" s="119" t="inlineStr">
        <is>
          <t xml:space="preserve">VIGENTE|20 - VIGENTE SIN ACTIVIDAD ACADEMICA</t>
        </is>
      </c>
      <c r="C35" s="135" t="inlineStr">
        <is>
          <t xml:space="preserve">1</t>
        </is>
      </c>
      <c r="D35" s="135" t="n">
        <v>1</v>
      </c>
      <c r="E35" s="135" t="inlineStr">
        <is>
          <t xml:space="preserve">D</t>
        </is>
      </c>
    </row>
    <row r="36" customFormat="false" ht="15" hidden="false" customHeight="true" outlineLevel="0" collapsed="false">
      <c r="B36" s="119" t="inlineStr">
        <is>
          <t xml:space="preserve">VIGENTE|38 - REINCORPORACION DE ACTIVIDADES</t>
        </is>
      </c>
      <c r="C36" s="135" t="inlineStr">
        <is>
          <t xml:space="preserve">1</t>
        </is>
      </c>
      <c r="D36" s="135" t="n">
        <v>1</v>
      </c>
      <c r="E36" s="135" t="inlineStr">
        <is>
          <t xml:space="preserve">D</t>
        </is>
      </c>
    </row>
    <row r="37" customFormat="false" ht="15" hidden="false" customHeight="true" outlineLevel="0" collapsed="false">
      <c r="B37" s="119" t="inlineStr">
        <is>
          <t xml:space="preserve">VIGENTE|49 - CAMBIO DE JORNADA</t>
        </is>
      </c>
      <c r="C37" s="135" t="inlineStr">
        <is>
          <t xml:space="preserve">1</t>
        </is>
      </c>
      <c r="D37" s="135" t="n">
        <v>1</v>
      </c>
      <c r="E37" s="135" t="inlineStr">
        <is>
          <t xml:space="preserve">D</t>
        </is>
      </c>
    </row>
  </sheetData>
  <hyperlinks>
    <hyperlink ref="A1" location="'Portada'!B3" display="🏠 Portada / Índice"/>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4273"/>
    <pageSetUpPr fitToPage="false"/>
  </sheetPr>
  <dimension ref="A1:F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48"/>
    <col collapsed="false" customWidth="true" hidden="false" outlineLevel="0" max="3" min="3" style="1" width="46"/>
    <col collapsed="false" customWidth="true" hidden="false" outlineLevel="0" max="4" min="4" style="1" width="24"/>
    <col collapsed="false" customWidth="true" hidden="false" outlineLevel="0" max="5" min="5" style="1" width="26"/>
    <col collapsed="false" customWidth="true" hidden="false" outlineLevel="0" max="6" min="6" style="1" width="80"/>
  </cols>
  <sheetData>
    <row r="1" customFormat="false" ht="15" hidden="false" customHeight="true" outlineLevel="0" collapsed="false">
      <c r="A1" s="113" t="inlineStr">
        <is>
          <t xml:space="preserve">🏠 Portada / Índice</t>
        </is>
      </c>
    </row>
    <row r="2" customFormat="false" ht="17.25" hidden="false" customHeight="true" outlineLevel="0" collapsed="false">
      <c r="B2" s="114" t="inlineStr">
        <is>
          <t xml:space="preserve">22. Diccionario de carreras de la Foto intertrimestral</t>
        </is>
      </c>
    </row>
    <row r="3" customFormat="false" ht="15" hidden="false" customHeight="true" outlineLevel="0" collapsed="false">
      <c r="B3" s="115" t="inlineStr">
        <is>
          <t xml:space="preserve">C/D · COD_CAR SIES (hoja 8 de este libro y códigos 2026) para el grupo MU; NOMBRE_L de U+ para las fotos del área. Tipo = NIVEL_CARRERA de DURACION_ESTUDIOS.tsv (avance_curricular@09314ca).</t>
        </is>
      </c>
    </row>
    <row r="5" customFormat="false" ht="15" hidden="false" customHeight="true" outlineLevel="0" collapsed="false">
      <c r="B5" s="117" t="inlineStr">
        <is>
          <t xml:space="preserve">Llave (COD_CAR SIES o NOMBRE_L U+)</t>
        </is>
      </c>
      <c r="C5" s="117" t="inlineStr">
        <is>
          <t xml:space="preserve">Carrera</t>
        </is>
      </c>
      <c r="D5" s="117" t="inlineStr">
        <is>
          <t xml:space="preserve">Sector IPSS</t>
        </is>
      </c>
      <c r="E5" s="117" t="inlineStr">
        <is>
          <t xml:space="preserve">Tipo de carrera</t>
        </is>
      </c>
      <c r="F5" s="117" t="inlineStr">
        <is>
          <t xml:space="preserve">Fuente / criterio</t>
        </is>
      </c>
    </row>
    <row r="6" customFormat="false" ht="15" hidden="false" customHeight="true" outlineLevel="0" collapsed="false">
      <c r="B6" s="119" t="inlineStr">
        <is>
          <t xml:space="preserve">1</t>
        </is>
      </c>
      <c r="C6" s="119" t="inlineStr">
        <is>
          <t xml:space="preserve">Ingeniería en Informática</t>
        </is>
      </c>
      <c r="D6" s="119" t="inlineStr">
        <is>
          <t xml:space="preserve">Tecnologías</t>
        </is>
      </c>
      <c r="E6" s="119" t="inlineStr">
        <is>
          <t xml:space="preserve">Profesional sin licenciatura</t>
        </is>
      </c>
      <c r="F6" s="119" t="inlineStr">
        <is>
          <t xml:space="preserve">RETENCION · 8_Mapeo_Sector_IPSS (ipss.cl)</t>
        </is>
      </c>
    </row>
    <row r="7" customFormat="false" ht="15" hidden="false" customHeight="true" outlineLevel="0" collapsed="false">
      <c r="B7" s="119" t="inlineStr">
        <is>
          <t xml:space="preserve">3</t>
        </is>
      </c>
      <c r="C7" s="119" t="inlineStr">
        <is>
          <t xml:space="preserve">Ingeniería en Conectividad y Redes</t>
        </is>
      </c>
      <c r="D7" s="119" t="inlineStr">
        <is>
          <t xml:space="preserve">Tecnologías</t>
        </is>
      </c>
      <c r="E7" s="119" t="inlineStr">
        <is>
          <t xml:space="preserve">Profesional sin licenciatura</t>
        </is>
      </c>
      <c r="F7" s="119" t="inlineStr">
        <is>
          <t xml:space="preserve">RETENCION · 8_Mapeo_Sector_IPSS (ipss.cl)</t>
        </is>
      </c>
    </row>
    <row r="8" customFormat="false" ht="15" hidden="false" customHeight="true" outlineLevel="0" collapsed="false">
      <c r="B8" s="119" t="inlineStr">
        <is>
          <t xml:space="preserve">6</t>
        </is>
      </c>
      <c r="C8" s="119" t="inlineStr">
        <is>
          <t xml:space="preserve">Técnico en Conectividad y Redes</t>
        </is>
      </c>
      <c r="D8" s="119" t="inlineStr">
        <is>
          <t xml:space="preserve">Tecnologías</t>
        </is>
      </c>
      <c r="E8" s="119" t="inlineStr">
        <is>
          <t xml:space="preserve">Técnico de Nivel Superior</t>
        </is>
      </c>
      <c r="F8" s="119" t="inlineStr">
        <is>
          <t xml:space="preserve">RETENCION · 8_Mapeo_Sector_IPSS (ipss.cl)</t>
        </is>
      </c>
    </row>
    <row r="9" customFormat="false" ht="15" hidden="false" customHeight="true" outlineLevel="0" collapsed="false">
      <c r="B9" s="119" t="inlineStr">
        <is>
          <t xml:space="preserve">10</t>
        </is>
      </c>
      <c r="C9" s="119" t="inlineStr">
        <is>
          <t xml:space="preserve">Técnico en Prevención de Riesgos</t>
        </is>
      </c>
      <c r="D9" s="119" t="inlineStr">
        <is>
          <t xml:space="preserve">Tecnologías</t>
        </is>
      </c>
      <c r="E9" s="119" t="inlineStr">
        <is>
          <t xml:space="preserve">Técnico de Nivel Superior</t>
        </is>
      </c>
      <c r="F9" s="119" t="inlineStr">
        <is>
          <t xml:space="preserve">Código SIES 2026: nombre observado en U+ para sus RUT; sector catálogo DAI ipss.cl</t>
        </is>
      </c>
    </row>
    <row r="10" customFormat="false" ht="15" hidden="false" customHeight="true" outlineLevel="0" collapsed="false">
      <c r="B10" s="119" t="inlineStr">
        <is>
          <t xml:space="preserve">46</t>
        </is>
      </c>
      <c r="C10" s="119" t="inlineStr">
        <is>
          <t xml:space="preserve">Ingeniería en Ciberseguridad</t>
        </is>
      </c>
      <c r="D10" s="119" t="inlineStr">
        <is>
          <t xml:space="preserve">Tecnologías</t>
        </is>
      </c>
      <c r="E10" s="119" t="inlineStr">
        <is>
          <t xml:space="preserve">Profesional sin licenciatura</t>
        </is>
      </c>
      <c r="F10" s="119" t="inlineStr">
        <is>
          <t xml:space="preserve">RETENCION · 8_Mapeo_Sector_IPSS (ipss.cl)</t>
        </is>
      </c>
    </row>
    <row r="11" customFormat="false" ht="15" hidden="false" customHeight="true" outlineLevel="0" collapsed="false">
      <c r="B11" s="119" t="inlineStr">
        <is>
          <t xml:space="preserve">47</t>
        </is>
      </c>
      <c r="C11" s="119" t="inlineStr">
        <is>
          <t xml:space="preserve">Técnico en Ciberseguridad</t>
        </is>
      </c>
      <c r="D11" s="119" t="inlineStr">
        <is>
          <t xml:space="preserve">Tecnologías</t>
        </is>
      </c>
      <c r="E11" s="119" t="inlineStr">
        <is>
          <t xml:space="preserve">Técnico de Nivel Superior</t>
        </is>
      </c>
      <c r="F11" s="119" t="inlineStr">
        <is>
          <t xml:space="preserve">RETENCION · 8_Mapeo_Sector_IPSS (ipss.cl)</t>
        </is>
      </c>
    </row>
    <row r="12" customFormat="false" ht="15" hidden="false" customHeight="true" outlineLevel="0" collapsed="false">
      <c r="B12" s="119" t="inlineStr">
        <is>
          <t xml:space="preserve">57</t>
        </is>
      </c>
      <c r="C12" s="119" t="inlineStr">
        <is>
          <t xml:space="preserve">Técnico en Programación y Análisis de Sistemas</t>
        </is>
      </c>
      <c r="D12" s="119" t="inlineStr">
        <is>
          <t xml:space="preserve">Tecnologías</t>
        </is>
      </c>
      <c r="E12" s="119" t="inlineStr">
        <is>
          <t xml:space="preserve">Técnico de Nivel Superior</t>
        </is>
      </c>
      <c r="F12" s="119" t="inlineStr">
        <is>
          <t xml:space="preserve">RETENCION · 8_Mapeo_Sector_IPSS (ipss.cl)</t>
        </is>
      </c>
    </row>
    <row r="13" customFormat="false" ht="15" hidden="false" customHeight="true" outlineLevel="0" collapsed="false">
      <c r="B13" s="119" t="inlineStr">
        <is>
          <t xml:space="preserve">76</t>
        </is>
      </c>
      <c r="C13" s="119" t="inlineStr">
        <is>
          <t xml:space="preserve">Ingeniería en Administración de Empresas</t>
        </is>
      </c>
      <c r="D13" s="119" t="inlineStr">
        <is>
          <t xml:space="preserve">Administración y Comercio</t>
        </is>
      </c>
      <c r="E13" s="119" t="inlineStr">
        <is>
          <t xml:space="preserve">Profesional sin licenciatura</t>
        </is>
      </c>
      <c r="F13" s="119" t="inlineStr">
        <is>
          <t xml:space="preserve">RETENCION · 8_Mapeo_Sector_IPSS (ipss.cl)</t>
        </is>
      </c>
    </row>
    <row r="14" customFormat="false" ht="15" hidden="false" customHeight="true" outlineLevel="0" collapsed="false">
      <c r="B14" s="119" t="inlineStr">
        <is>
          <t xml:space="preserve">77</t>
        </is>
      </c>
      <c r="C14" s="119" t="inlineStr">
        <is>
          <t xml:space="preserve">Ingeniería en Logística</t>
        </is>
      </c>
      <c r="D14" s="119" t="inlineStr">
        <is>
          <t xml:space="preserve">Administración y Comercio</t>
        </is>
      </c>
      <c r="E14" s="119" t="inlineStr">
        <is>
          <t xml:space="preserve">Profesional sin licenciatura</t>
        </is>
      </c>
      <c r="F14" s="119" t="inlineStr">
        <is>
          <t xml:space="preserve">RETENCION · 8_Mapeo_Sector_IPSS (ipss.cl)</t>
        </is>
      </c>
    </row>
    <row r="15" customFormat="false" ht="15" hidden="false" customHeight="true" outlineLevel="0" collapsed="false">
      <c r="B15" s="119" t="inlineStr">
        <is>
          <t xml:space="preserve">78</t>
        </is>
      </c>
      <c r="C15" s="119" t="inlineStr">
        <is>
          <t xml:space="preserve">Técnico en Administración de Empresas</t>
        </is>
      </c>
      <c r="D15" s="119" t="inlineStr">
        <is>
          <t xml:space="preserve">Administración y Comercio</t>
        </is>
      </c>
      <c r="E15" s="119" t="inlineStr">
        <is>
          <t xml:space="preserve">Técnico de Nivel Superior</t>
        </is>
      </c>
      <c r="F15" s="119" t="inlineStr">
        <is>
          <t xml:space="preserve">RETENCION · 8_Mapeo_Sector_IPSS (ipss.cl)</t>
        </is>
      </c>
    </row>
    <row r="16" customFormat="false" ht="15" hidden="false" customHeight="true" outlineLevel="0" collapsed="false">
      <c r="B16" s="119" t="inlineStr">
        <is>
          <t xml:space="preserve">79</t>
        </is>
      </c>
      <c r="C16" s="119" t="inlineStr">
        <is>
          <t xml:space="preserve">Técnico en Logística</t>
        </is>
      </c>
      <c r="D16" s="119" t="inlineStr">
        <is>
          <t xml:space="preserve">Administración y Comercio</t>
        </is>
      </c>
      <c r="E16" s="119" t="inlineStr">
        <is>
          <t xml:space="preserve">Técnico de Nivel Superior</t>
        </is>
      </c>
      <c r="F16" s="119" t="inlineStr">
        <is>
          <t xml:space="preserve">RETENCION · 8_Mapeo_Sector_IPSS (ipss.cl)</t>
        </is>
      </c>
    </row>
    <row r="17" customFormat="false" ht="15" hidden="false" customHeight="true" outlineLevel="0" collapsed="false">
      <c r="B17" s="119" t="inlineStr">
        <is>
          <t xml:space="preserve">83</t>
        </is>
      </c>
      <c r="C17" s="119" t="inlineStr">
        <is>
          <t xml:space="preserve">Administración Pública</t>
        </is>
      </c>
      <c r="D17" s="119" t="inlineStr">
        <is>
          <t xml:space="preserve">Administración y Comercio</t>
        </is>
      </c>
      <c r="E17" s="119" t="inlineStr">
        <is>
          <t xml:space="preserve">Profesional sin licenciatura</t>
        </is>
      </c>
      <c r="F17" s="119" t="inlineStr">
        <is>
          <t xml:space="preserve">RETENCION · 8_Mapeo_Sector_IPSS (ipss.cl)</t>
        </is>
      </c>
    </row>
    <row r="18" customFormat="false" ht="15" hidden="false" customHeight="true" outlineLevel="0" collapsed="false">
      <c r="B18" s="119" t="inlineStr">
        <is>
          <t xml:space="preserve">84</t>
        </is>
      </c>
      <c r="C18" s="119" t="inlineStr">
        <is>
          <t xml:space="preserve">Técnico en Administración Pública</t>
        </is>
      </c>
      <c r="D18" s="119" t="inlineStr">
        <is>
          <t xml:space="preserve">Administración y Comercio</t>
        </is>
      </c>
      <c r="E18" s="119" t="inlineStr">
        <is>
          <t xml:space="preserve">Técnico de Nivel Superior</t>
        </is>
      </c>
      <c r="F18" s="119" t="inlineStr">
        <is>
          <t xml:space="preserve">RETENCION · 8_Mapeo_Sector_IPSS (ipss.cl)</t>
        </is>
      </c>
    </row>
    <row r="19" customFormat="false" ht="15" hidden="false" customHeight="true" outlineLevel="0" collapsed="false">
      <c r="B19" s="119" t="inlineStr">
        <is>
          <t xml:space="preserve">85</t>
        </is>
      </c>
      <c r="C19" s="119" t="inlineStr">
        <is>
          <t xml:space="preserve">Contabilidad General</t>
        </is>
      </c>
      <c r="D19" s="119" t="inlineStr">
        <is>
          <t xml:space="preserve">Administración y Comercio</t>
        </is>
      </c>
      <c r="E19" s="119" t="inlineStr">
        <is>
          <t xml:space="preserve">Técnico de Nivel Superior</t>
        </is>
      </c>
      <c r="F19" s="119" t="inlineStr">
        <is>
          <t xml:space="preserve">RETENCION · 8_Mapeo_Sector_IPSS (ipss.cl)</t>
        </is>
      </c>
    </row>
    <row r="20" customFormat="false" ht="15" hidden="false" customHeight="true" outlineLevel="0" collapsed="false">
      <c r="B20" s="119" t="inlineStr">
        <is>
          <t xml:space="preserve">86</t>
        </is>
      </c>
      <c r="C20" s="119" t="inlineStr">
        <is>
          <t xml:space="preserve">Auditoría</t>
        </is>
      </c>
      <c r="D20" s="119" t="inlineStr">
        <is>
          <t xml:space="preserve">Administración y Comercio</t>
        </is>
      </c>
      <c r="E20" s="119" t="inlineStr">
        <is>
          <t xml:space="preserve">Profesional sin licenciatura</t>
        </is>
      </c>
      <c r="F20" s="119" t="inlineStr">
        <is>
          <t xml:space="preserve">RETENCION · 8_Mapeo_Sector_IPSS (ipss.cl)</t>
        </is>
      </c>
    </row>
    <row r="21" customFormat="false" ht="15" hidden="false" customHeight="true" outlineLevel="0" collapsed="false">
      <c r="B21" s="119" t="inlineStr">
        <is>
          <t xml:space="preserve">87</t>
        </is>
      </c>
      <c r="C21" s="119" t="inlineStr">
        <is>
          <t xml:space="preserve">Ingeniería Industrial</t>
        </is>
      </c>
      <c r="D21" s="119" t="inlineStr">
        <is>
          <t xml:space="preserve">Tecnologías</t>
        </is>
      </c>
      <c r="E21" s="119" t="inlineStr">
        <is>
          <t xml:space="preserve">Profesional sin licenciatura</t>
        </is>
      </c>
      <c r="F21" s="119" t="inlineStr">
        <is>
          <t xml:space="preserve">Código SIES 2026: nombre observado en U+ para sus RUT; sector catálogo DAI ipss.cl</t>
        </is>
      </c>
    </row>
    <row r="22" customFormat="false" ht="15" hidden="false" customHeight="true" outlineLevel="0" collapsed="false">
      <c r="B22" s="119" t="inlineStr">
        <is>
          <t xml:space="preserve">88</t>
        </is>
      </c>
      <c r="C22" s="119" t="inlineStr">
        <is>
          <t xml:space="preserve">Ingeniería en Ciencia de Datos</t>
        </is>
      </c>
      <c r="D22" s="119" t="inlineStr">
        <is>
          <t xml:space="preserve">Tecnologías</t>
        </is>
      </c>
      <c r="E22" s="119" t="inlineStr">
        <is>
          <t xml:space="preserve">Profesional sin licenciatura</t>
        </is>
      </c>
      <c r="F22" s="119" t="inlineStr">
        <is>
          <t xml:space="preserve">RETENCION · 8_Mapeo_Sector_IPSS (ipss.cl)</t>
        </is>
      </c>
    </row>
    <row r="23" customFormat="false" ht="15" hidden="false" customHeight="true" outlineLevel="0" collapsed="false">
      <c r="B23" s="119" t="inlineStr">
        <is>
          <t xml:space="preserve">89</t>
        </is>
      </c>
      <c r="C23" s="119" t="inlineStr">
        <is>
          <t xml:space="preserve">Técnico en Ciencia de Datos</t>
        </is>
      </c>
      <c r="D23" s="119" t="inlineStr">
        <is>
          <t xml:space="preserve">Tecnologías</t>
        </is>
      </c>
      <c r="E23" s="119" t="inlineStr">
        <is>
          <t xml:space="preserve">Técnico de Nivel Superior</t>
        </is>
      </c>
      <c r="F23" s="119" t="inlineStr">
        <is>
          <t xml:space="preserve">RETENCION · 8_Mapeo_Sector_IPSS (ipss.cl)</t>
        </is>
      </c>
    </row>
    <row r="24" customFormat="false" ht="15" hidden="false" customHeight="true" outlineLevel="0" collapsed="false">
      <c r="B24" s="119" t="inlineStr">
        <is>
          <t xml:space="preserve">90</t>
        </is>
      </c>
      <c r="C24" s="119" t="inlineStr">
        <is>
          <t xml:space="preserve">Naturopatía</t>
        </is>
      </c>
      <c r="D24" s="119" t="inlineStr">
        <is>
          <t xml:space="preserve">Salud</t>
        </is>
      </c>
      <c r="E24" s="119" t="inlineStr">
        <is>
          <t xml:space="preserve">Profesional sin licenciatura</t>
        </is>
      </c>
      <c r="F24" s="119" t="inlineStr">
        <is>
          <t xml:space="preserve">Código SIES 2026: nombre observado en U+ para sus RUT; sector catálogo DAI ipss.cl</t>
        </is>
      </c>
    </row>
    <row r="25" customFormat="false" ht="15" hidden="false" customHeight="true" outlineLevel="0" collapsed="false">
      <c r="B25" s="119" t="inlineStr">
        <is>
          <t xml:space="preserve">91</t>
        </is>
      </c>
      <c r="C25" s="119" t="inlineStr">
        <is>
          <t xml:space="preserve">Técnico en Enfermería</t>
        </is>
      </c>
      <c r="D25" s="119" t="inlineStr">
        <is>
          <t xml:space="preserve">Salud</t>
        </is>
      </c>
      <c r="E25" s="119" t="inlineStr">
        <is>
          <t xml:space="preserve">Técnico de Nivel Superior</t>
        </is>
      </c>
      <c r="F25" s="119" t="inlineStr">
        <is>
          <t xml:space="preserve">RETENCION · 8_Mapeo_Sector_IPSS (ipss.cl)</t>
        </is>
      </c>
    </row>
    <row r="26" customFormat="false" ht="15" hidden="false" customHeight="true" outlineLevel="0" collapsed="false">
      <c r="B26" s="119" t="inlineStr">
        <is>
          <t xml:space="preserve">111</t>
        </is>
      </c>
      <c r="C26" s="119" t="inlineStr">
        <is>
          <t xml:space="preserve">Ingeniería en Finanzas</t>
        </is>
      </c>
      <c r="D26" s="119" t="inlineStr">
        <is>
          <t xml:space="preserve">Administración y Comercio</t>
        </is>
      </c>
      <c r="E26" s="119" t="inlineStr">
        <is>
          <t xml:space="preserve">Profesional sin licenciatura</t>
        </is>
      </c>
      <c r="F26" s="119" t="inlineStr">
        <is>
          <t xml:space="preserve">Código SIES 2026: nombre observado en U+ para sus RUT; sector catálogo DAI ipss.cl</t>
        </is>
      </c>
    </row>
    <row r="27" customFormat="false" ht="15" hidden="false" customHeight="true" outlineLevel="0" collapsed="false">
      <c r="B27" s="119" t="inlineStr">
        <is>
          <t xml:space="preserve">112</t>
        </is>
      </c>
      <c r="C27" s="119" t="inlineStr">
        <is>
          <t xml:space="preserve">Ingeniería en Marketing Digital</t>
        </is>
      </c>
      <c r="D27" s="119" t="inlineStr">
        <is>
          <t xml:space="preserve">Administración y Comercio</t>
        </is>
      </c>
      <c r="E27" s="119" t="inlineStr">
        <is>
          <t xml:space="preserve">Profesional sin licenciatura</t>
        </is>
      </c>
      <c r="F27" s="119" t="inlineStr">
        <is>
          <t xml:space="preserve">Código SIES 2026: nombre observado en U+ para sus RUT; sector catálogo DAI ipss.cl</t>
        </is>
      </c>
    </row>
    <row r="28" customFormat="false" ht="15" hidden="false" customHeight="true" outlineLevel="0" collapsed="false">
      <c r="B28" s="119" t="inlineStr">
        <is>
          <t xml:space="preserve">113</t>
        </is>
      </c>
      <c r="C28" s="119" t="inlineStr">
        <is>
          <t xml:space="preserve">Ingeniería en Recursos Humanos</t>
        </is>
      </c>
      <c r="D28" s="119" t="inlineStr">
        <is>
          <t xml:space="preserve">Administración y Comercio</t>
        </is>
      </c>
      <c r="E28" s="119" t="inlineStr">
        <is>
          <t xml:space="preserve">Profesional sin licenciatura</t>
        </is>
      </c>
      <c r="F28" s="119" t="inlineStr">
        <is>
          <t xml:space="preserve">Código SIES 2026: nombre observado en U+ para sus RUT; sector catálogo DAI ipss.cl</t>
        </is>
      </c>
    </row>
    <row r="29" customFormat="false" ht="15" hidden="false" customHeight="true" outlineLevel="0" collapsed="false">
      <c r="B29" s="119" t="inlineStr">
        <is>
          <t xml:space="preserve">114</t>
        </is>
      </c>
      <c r="C29" s="119" t="inlineStr">
        <is>
          <t xml:space="preserve">Técnico en Enfermería e Instrumentación Quirúrgica</t>
        </is>
      </c>
      <c r="D29" s="119" t="inlineStr">
        <is>
          <t xml:space="preserve">Salud</t>
        </is>
      </c>
      <c r="E29" s="119" t="inlineStr">
        <is>
          <t xml:space="preserve">Técnico de Nivel Superior</t>
        </is>
      </c>
      <c r="F29" s="119" t="inlineStr">
        <is>
          <t xml:space="preserve">Código SIES 2026: nombre observado en U+ para sus RUT; sector catálogo DAI ipss.cl</t>
        </is>
      </c>
    </row>
    <row r="30" customFormat="false" ht="15" hidden="false" customHeight="true" outlineLevel="0" collapsed="false">
      <c r="B30" s="119" t="inlineStr">
        <is>
          <t xml:space="preserve">115</t>
        </is>
      </c>
      <c r="C30" s="119" t="inlineStr">
        <is>
          <t xml:space="preserve">Técnico en Farmacia</t>
        </is>
      </c>
      <c r="D30" s="119" t="inlineStr">
        <is>
          <t xml:space="preserve">Salud</t>
        </is>
      </c>
      <c r="E30" s="119" t="inlineStr">
        <is>
          <t xml:space="preserve">Técnico de Nivel Superior</t>
        </is>
      </c>
      <c r="F30" s="119" t="inlineStr">
        <is>
          <t xml:space="preserve">Código SIES 2026: nombre observado en U+ para sus RUT; sector catálogo DAI ipss.cl</t>
        </is>
      </c>
    </row>
    <row r="31" customFormat="false" ht="15" hidden="false" customHeight="true" outlineLevel="0" collapsed="false">
      <c r="B31" s="119" t="inlineStr">
        <is>
          <t xml:space="preserve">116</t>
        </is>
      </c>
      <c r="C31" s="119" t="inlineStr">
        <is>
          <t xml:space="preserve">Técnico en Finanzas</t>
        </is>
      </c>
      <c r="D31" s="119" t="inlineStr">
        <is>
          <t xml:space="preserve">Administración y Comercio</t>
        </is>
      </c>
      <c r="E31" s="119" t="inlineStr">
        <is>
          <t xml:space="preserve">Técnico de Nivel Superior</t>
        </is>
      </c>
      <c r="F31" s="119" t="inlineStr">
        <is>
          <t xml:space="preserve">Código SIES 2026: nombre observado en U+ para sus RUT; sector catálogo DAI ipss.cl</t>
        </is>
      </c>
    </row>
    <row r="32" customFormat="false" ht="15" hidden="false" customHeight="true" outlineLevel="0" collapsed="false">
      <c r="B32" s="119" t="inlineStr">
        <is>
          <t xml:space="preserve">117</t>
        </is>
      </c>
      <c r="C32" s="119" t="inlineStr">
        <is>
          <t xml:space="preserve">Técnico en Infraestructura Cloud</t>
        </is>
      </c>
      <c r="D32" s="119" t="inlineStr">
        <is>
          <t xml:space="preserve">Tecnologías</t>
        </is>
      </c>
      <c r="E32" s="119" t="inlineStr">
        <is>
          <t xml:space="preserve">Técnico de Nivel Superior</t>
        </is>
      </c>
      <c r="F32" s="119" t="inlineStr">
        <is>
          <t xml:space="preserve">Código SIES 2026: nombre observado en U+ para sus RUT; sector catálogo DAI ipss.cl</t>
        </is>
      </c>
    </row>
    <row r="33" customFormat="false" ht="15" hidden="false" customHeight="true" outlineLevel="0" collapsed="false">
      <c r="B33" s="119" t="inlineStr">
        <is>
          <t xml:space="preserve">118</t>
        </is>
      </c>
      <c r="C33" s="119" t="inlineStr">
        <is>
          <t xml:space="preserve">Técnico en Marketing Digital</t>
        </is>
      </c>
      <c r="D33" s="119" t="inlineStr">
        <is>
          <t xml:space="preserve">Administración y Comercio</t>
        </is>
      </c>
      <c r="E33" s="119" t="inlineStr">
        <is>
          <t xml:space="preserve">Técnico de Nivel Superior</t>
        </is>
      </c>
      <c r="F33" s="119" t="inlineStr">
        <is>
          <t xml:space="preserve">Código SIES 2026: nombre observado en U+ para sus RUT; sector catálogo DAI ipss.cl</t>
        </is>
      </c>
    </row>
    <row r="34" customFormat="false" ht="15" hidden="false" customHeight="true" outlineLevel="0" collapsed="false">
      <c r="B34" s="119" t="inlineStr">
        <is>
          <t xml:space="preserve">119</t>
        </is>
      </c>
      <c r="C34" s="119" t="inlineStr">
        <is>
          <t xml:space="preserve">Técnico en Recursos Humanos</t>
        </is>
      </c>
      <c r="D34" s="119" t="inlineStr">
        <is>
          <t xml:space="preserve">Administración y Comercio</t>
        </is>
      </c>
      <c r="E34" s="119" t="inlineStr">
        <is>
          <t xml:space="preserve">Técnico de Nivel Superior</t>
        </is>
      </c>
      <c r="F34" s="119" t="inlineStr">
        <is>
          <t xml:space="preserve">Código SIES 2026: nombre observado en U+ para sus RUT; sector catálogo DAI ipss.cl</t>
        </is>
      </c>
    </row>
    <row r="35" customFormat="false" ht="15" hidden="false" customHeight="true" outlineLevel="0" collapsed="false">
      <c r="B35" s="119" t="inlineStr">
        <is>
          <t xml:space="preserve">124</t>
        </is>
      </c>
      <c r="C35" s="119" t="inlineStr">
        <is>
          <t xml:space="preserve">Ingeniería en Prevención de Riesgos</t>
        </is>
      </c>
      <c r="D35" s="119" t="inlineStr">
        <is>
          <t xml:space="preserve">Tecnologías</t>
        </is>
      </c>
      <c r="E35" s="119" t="inlineStr">
        <is>
          <t xml:space="preserve">Profesional sin licenciatura</t>
        </is>
      </c>
      <c r="F35" s="119" t="inlineStr">
        <is>
          <t xml:space="preserve">Código SIES 2026: nombre observado en U+ para sus RUT; sector catálogo DAI ipss.cl</t>
        </is>
      </c>
    </row>
    <row r="36" customFormat="false" ht="15" hidden="false" customHeight="true" outlineLevel="0" collapsed="false">
      <c r="B36" s="119" t="inlineStr">
        <is>
          <t xml:space="preserve">125</t>
        </is>
      </c>
      <c r="C36" s="119" t="inlineStr">
        <is>
          <t xml:space="preserve">Ingeniería en Seguridad Privada</t>
        </is>
      </c>
      <c r="D36" s="119" t="inlineStr">
        <is>
          <t xml:space="preserve">Administración y Comercio</t>
        </is>
      </c>
      <c r="E36" s="119" t="inlineStr">
        <is>
          <t xml:space="preserve">Profesional sin licenciatura</t>
        </is>
      </c>
      <c r="F36" s="119" t="inlineStr">
        <is>
          <t xml:space="preserve">Código SIES 2026: nombre observado en U+ para sus RUT; sector catálogo DAI ipss.cl</t>
        </is>
      </c>
    </row>
    <row r="37" customFormat="false" ht="15" hidden="false" customHeight="true" outlineLevel="0" collapsed="false">
      <c r="B37" s="119" t="inlineStr">
        <is>
          <t xml:space="preserve">ADMINISTRACION PUBLICA</t>
        </is>
      </c>
      <c r="C37" s="119" t="inlineStr">
        <is>
          <t xml:space="preserve">Administración Pública</t>
        </is>
      </c>
      <c r="D37" s="119" t="inlineStr">
        <is>
          <t xml:space="preserve">Administración y Comercio</t>
        </is>
      </c>
      <c r="E37" s="119" t="inlineStr">
        <is>
          <t xml:space="preserve">Profesional sin licenciatura</t>
        </is>
      </c>
      <c r="F37" s="119" t="inlineStr">
        <is>
          <t xml:space="preserve">NOMBRE_L de U+; sector según DICC</t>
        </is>
      </c>
    </row>
    <row r="38" customFormat="false" ht="15" hidden="false" customHeight="true" outlineLevel="0" collapsed="false">
      <c r="B38" s="119" t="inlineStr">
        <is>
          <t xml:space="preserve">AUDITORIA</t>
        </is>
      </c>
      <c r="C38" s="119" t="inlineStr">
        <is>
          <t xml:space="preserve">Auditoría</t>
        </is>
      </c>
      <c r="D38" s="119" t="inlineStr">
        <is>
          <t xml:space="preserve">Administración y Comercio</t>
        </is>
      </c>
      <c r="E38" s="119" t="inlineStr">
        <is>
          <t xml:space="preserve">Profesional sin licenciatura</t>
        </is>
      </c>
      <c r="F38" s="119" t="inlineStr">
        <is>
          <t xml:space="preserve">NOMBRE_L de U+; sector según DICC</t>
        </is>
      </c>
    </row>
    <row r="39" customFormat="false" ht="15" hidden="false" customHeight="true" outlineLevel="0" collapsed="false">
      <c r="B39" s="119" t="inlineStr">
        <is>
          <t xml:space="preserve">CONTABILIDAD GENERAL</t>
        </is>
      </c>
      <c r="C39" s="119" t="inlineStr">
        <is>
          <t xml:space="preserve">Contabilidad General</t>
        </is>
      </c>
      <c r="D39" s="119" t="inlineStr">
        <is>
          <t xml:space="preserve">Administración y Comercio</t>
        </is>
      </c>
      <c r="E39" s="119" t="inlineStr">
        <is>
          <t xml:space="preserve">Técnico de Nivel Superior</t>
        </is>
      </c>
      <c r="F39" s="119" t="inlineStr">
        <is>
          <t xml:space="preserve">NOMBRE_L de U+; sector según DICC</t>
        </is>
      </c>
    </row>
    <row r="40" customFormat="false" ht="15" hidden="false" customHeight="true" outlineLevel="0" collapsed="false">
      <c r="B40" s="119" t="inlineStr">
        <is>
          <t xml:space="preserve">CONTINUIDAD INGENIERIA  CIBERSEGURIDAD</t>
        </is>
      </c>
      <c r="C40" s="119" t="inlineStr">
        <is>
          <t xml:space="preserve">Continuidad Ingeniería Ciberseguridad</t>
        </is>
      </c>
      <c r="D40" s="119" t="inlineStr">
        <is>
          <t xml:space="preserve">Tecnologías</t>
        </is>
      </c>
      <c r="E40" s="119" t="inlineStr">
        <is>
          <t xml:space="preserve">Profesional sin licenciatura</t>
        </is>
      </c>
      <c r="F40" s="119" t="inlineStr">
        <is>
          <t xml:space="preserve">NOMBRE_L de U+; mismo sector que la carrera base</t>
        </is>
      </c>
    </row>
    <row r="41" customFormat="false" ht="15" hidden="false" customHeight="true" outlineLevel="0" collapsed="false">
      <c r="B41" s="119" t="inlineStr">
        <is>
          <t xml:space="preserve">CONTINUIDAD INGENIERIA INFORMATICA</t>
        </is>
      </c>
      <c r="C41" s="119" t="inlineStr">
        <is>
          <t xml:space="preserve">Continuidad Ingeniería Informática</t>
        </is>
      </c>
      <c r="D41" s="119" t="inlineStr">
        <is>
          <t xml:space="preserve">Tecnologías</t>
        </is>
      </c>
      <c r="E41" s="119" t="inlineStr">
        <is>
          <t xml:space="preserve">Profesional sin licenciatura</t>
        </is>
      </c>
      <c r="F41" s="119" t="inlineStr">
        <is>
          <t xml:space="preserve">NOMBRE_L de U+; mismo sector que la carrera base</t>
        </is>
      </c>
    </row>
    <row r="42" customFormat="false" ht="15" hidden="false" customHeight="true" outlineLevel="0" collapsed="false">
      <c r="B42" s="119" t="inlineStr">
        <is>
          <t xml:space="preserve">INGENIERIA EN ADMINISTRACION DE EMPRESAS</t>
        </is>
      </c>
      <c r="C42" s="119" t="inlineStr">
        <is>
          <t xml:space="preserve">Ingeniería en Administración de Empresas</t>
        </is>
      </c>
      <c r="D42" s="119" t="inlineStr">
        <is>
          <t xml:space="preserve">Administración y Comercio</t>
        </is>
      </c>
      <c r="E42" s="119" t="inlineStr">
        <is>
          <t xml:space="preserve">Profesional sin licenciatura</t>
        </is>
      </c>
      <c r="F42" s="119" t="inlineStr">
        <is>
          <t xml:space="preserve">NOMBRE_L de U+; sector según DICC</t>
        </is>
      </c>
    </row>
    <row r="43" customFormat="false" ht="15" hidden="false" customHeight="true" outlineLevel="0" collapsed="false">
      <c r="B43" s="119" t="inlineStr">
        <is>
          <t xml:space="preserve">INGENIERIA EN CIBERSEGURIDAD</t>
        </is>
      </c>
      <c r="C43" s="119" t="inlineStr">
        <is>
          <t xml:space="preserve">Ingeniería en Ciberseguridad</t>
        </is>
      </c>
      <c r="D43" s="119" t="inlineStr">
        <is>
          <t xml:space="preserve">Tecnologías</t>
        </is>
      </c>
      <c r="E43" s="119" t="inlineStr">
        <is>
          <t xml:space="preserve">Profesional sin licenciatura</t>
        </is>
      </c>
      <c r="F43" s="119" t="inlineStr">
        <is>
          <t xml:space="preserve">NOMBRE_L de U+; sector según DICC</t>
        </is>
      </c>
    </row>
    <row r="44" customFormat="false" ht="15" hidden="false" customHeight="true" outlineLevel="0" collapsed="false">
      <c r="B44" s="119" t="inlineStr">
        <is>
          <t xml:space="preserve">INGENIERIA EN CONECTIVIDAD Y REDES</t>
        </is>
      </c>
      <c r="C44" s="119" t="inlineStr">
        <is>
          <t xml:space="preserve">Ingeniería en Conectividad y Redes</t>
        </is>
      </c>
      <c r="D44" s="119" t="inlineStr">
        <is>
          <t xml:space="preserve">Tecnologías</t>
        </is>
      </c>
      <c r="E44" s="119" t="inlineStr">
        <is>
          <t xml:space="preserve">Profesional sin licenciatura</t>
        </is>
      </c>
      <c r="F44" s="119" t="inlineStr">
        <is>
          <t xml:space="preserve">NOMBRE_L de U+; sector según DICC</t>
        </is>
      </c>
    </row>
    <row r="45" customFormat="false" ht="15" hidden="false" customHeight="true" outlineLevel="0" collapsed="false">
      <c r="B45" s="119" t="inlineStr">
        <is>
          <t xml:space="preserve">INGENIERIA EN INFORMATICA</t>
        </is>
      </c>
      <c r="C45" s="119" t="inlineStr">
        <is>
          <t xml:space="preserve">Ingeniería en Informática</t>
        </is>
      </c>
      <c r="D45" s="119" t="inlineStr">
        <is>
          <t xml:space="preserve">Tecnologías</t>
        </is>
      </c>
      <c r="E45" s="119" t="inlineStr">
        <is>
          <t xml:space="preserve">Profesional sin licenciatura</t>
        </is>
      </c>
      <c r="F45" s="119" t="inlineStr">
        <is>
          <t xml:space="preserve">NOMBRE_L de U+; sector según DICC</t>
        </is>
      </c>
    </row>
    <row r="46" customFormat="false" ht="15" hidden="false" customHeight="true" outlineLevel="0" collapsed="false">
      <c r="B46" s="119" t="inlineStr">
        <is>
          <t xml:space="preserve">INGENIERIA EN LOGISTICA</t>
        </is>
      </c>
      <c r="C46" s="119" t="inlineStr">
        <is>
          <t xml:space="preserve">Ingeniería en Logística</t>
        </is>
      </c>
      <c r="D46" s="119" t="inlineStr">
        <is>
          <t xml:space="preserve">Administración y Comercio</t>
        </is>
      </c>
      <c r="E46" s="119" t="inlineStr">
        <is>
          <t xml:space="preserve">Profesional sin licenciatura</t>
        </is>
      </c>
      <c r="F46" s="119" t="inlineStr">
        <is>
          <t xml:space="preserve">NOMBRE_L de U+; sector según DICC</t>
        </is>
      </c>
    </row>
    <row r="47" customFormat="false" ht="15" hidden="false" customHeight="true" outlineLevel="0" collapsed="false">
      <c r="B47" s="119" t="inlineStr">
        <is>
          <t xml:space="preserve">INGENIERIA EN MARKETING DIGITAL</t>
        </is>
      </c>
      <c r="C47" s="119" t="inlineStr">
        <is>
          <t xml:space="preserve">Ingeniería en Marketing Digital</t>
        </is>
      </c>
      <c r="D47" s="119" t="inlineStr">
        <is>
          <t xml:space="preserve">Administración y Comercio</t>
        </is>
      </c>
      <c r="E47" s="119" t="inlineStr">
        <is>
          <t xml:space="preserve">Profesional sin licenciatura</t>
        </is>
      </c>
      <c r="F47" s="119" t="inlineStr">
        <is>
          <t xml:space="preserve">NOMBRE_L de U+; sector según DICC</t>
        </is>
      </c>
    </row>
    <row r="48" customFormat="false" ht="15" hidden="false" customHeight="true" outlineLevel="0" collapsed="false">
      <c r="B48" s="119" t="inlineStr">
        <is>
          <t xml:space="preserve">INGENIERIA EN RECURSOS HUMANOS</t>
        </is>
      </c>
      <c r="C48" s="119" t="inlineStr">
        <is>
          <t xml:space="preserve">Ingeniería en Recursos Humanos</t>
        </is>
      </c>
      <c r="D48" s="119" t="inlineStr">
        <is>
          <t xml:space="preserve">Administración y Comercio</t>
        </is>
      </c>
      <c r="E48" s="119" t="inlineStr">
        <is>
          <t xml:space="preserve">Profesional sin licenciatura</t>
        </is>
      </c>
      <c r="F48" s="119" t="inlineStr">
        <is>
          <t xml:space="preserve">NOMBRE_L de U+; sector según DICC</t>
        </is>
      </c>
    </row>
    <row r="49" customFormat="false" ht="15" hidden="false" customHeight="true" outlineLevel="0" collapsed="false">
      <c r="B49" s="119" t="inlineStr">
        <is>
          <t xml:space="preserve">INGENIERIA INDUSTRIAL</t>
        </is>
      </c>
      <c r="C49" s="119" t="inlineStr">
        <is>
          <t xml:space="preserve">Ingeniería Industrial</t>
        </is>
      </c>
      <c r="D49" s="119" t="inlineStr">
        <is>
          <t xml:space="preserve">Tecnologías</t>
        </is>
      </c>
      <c r="E49" s="119" t="inlineStr">
        <is>
          <t xml:space="preserve">Profesional sin licenciatura</t>
        </is>
      </c>
      <c r="F49" s="119" t="inlineStr">
        <is>
          <t xml:space="preserve">NOMBRE_L de U+; sector según DICC</t>
        </is>
      </c>
    </row>
    <row r="50" customFormat="false" ht="15" hidden="false" customHeight="true" outlineLevel="0" collapsed="false">
      <c r="B50" s="119" t="inlineStr">
        <is>
          <t xml:space="preserve">TECNICO EN ADMINISTRACION DE EMPRESAS</t>
        </is>
      </c>
      <c r="C50" s="119" t="inlineStr">
        <is>
          <t xml:space="preserve">Técnico en Administración de Empresas</t>
        </is>
      </c>
      <c r="D50" s="119" t="inlineStr">
        <is>
          <t xml:space="preserve">Administración y Comercio</t>
        </is>
      </c>
      <c r="E50" s="119" t="inlineStr">
        <is>
          <t xml:space="preserve">Técnico de Nivel Superior</t>
        </is>
      </c>
      <c r="F50" s="119" t="inlineStr">
        <is>
          <t xml:space="preserve">NOMBRE_L de U+; sector según DICC</t>
        </is>
      </c>
    </row>
    <row r="51" customFormat="false" ht="15" hidden="false" customHeight="true" outlineLevel="0" collapsed="false">
      <c r="B51" s="119" t="inlineStr">
        <is>
          <t xml:space="preserve">TECNICO EN CIBERSEGURIDAD</t>
        </is>
      </c>
      <c r="C51" s="119" t="inlineStr">
        <is>
          <t xml:space="preserve">Técnico en Ciberseguridad</t>
        </is>
      </c>
      <c r="D51" s="119" t="inlineStr">
        <is>
          <t xml:space="preserve">Tecnologías</t>
        </is>
      </c>
      <c r="E51" s="119" t="inlineStr">
        <is>
          <t xml:space="preserve">Técnico de Nivel Superior</t>
        </is>
      </c>
      <c r="F51" s="119" t="inlineStr">
        <is>
          <t xml:space="preserve">NOMBRE_L de U+; sector según DICC</t>
        </is>
      </c>
    </row>
    <row r="52" customFormat="false" ht="15" hidden="false" customHeight="true" outlineLevel="0" collapsed="false">
      <c r="B52" s="119" t="inlineStr">
        <is>
          <t xml:space="preserve">TECNICO EN ENFERMERIA</t>
        </is>
      </c>
      <c r="C52" s="119" t="inlineStr">
        <is>
          <t xml:space="preserve">Técnico en Enfermería</t>
        </is>
      </c>
      <c r="D52" s="119" t="inlineStr">
        <is>
          <t xml:space="preserve">Salud</t>
        </is>
      </c>
      <c r="E52" s="119" t="inlineStr">
        <is>
          <t xml:space="preserve">Técnico de Nivel Superior</t>
        </is>
      </c>
      <c r="F52" s="119" t="inlineStr">
        <is>
          <t xml:space="preserve">NOMBRE_L de U+; sector según DICC</t>
        </is>
      </c>
    </row>
    <row r="53" customFormat="false" ht="15" hidden="false" customHeight="true" outlineLevel="0" collapsed="false">
      <c r="B53" s="119" t="inlineStr">
        <is>
          <t xml:space="preserve">TECNICO EN ENFERMERIA E INSTRUMENTACION QUIRURGICA</t>
        </is>
      </c>
      <c r="C53" s="119" t="inlineStr">
        <is>
          <t xml:space="preserve">Técnico en Enfermería e Instrumentación Quirúrgica</t>
        </is>
      </c>
      <c r="D53" s="119" t="inlineStr">
        <is>
          <t xml:space="preserve">Salud</t>
        </is>
      </c>
      <c r="E53" s="119" t="inlineStr">
        <is>
          <t xml:space="preserve">Técnico de Nivel Superior</t>
        </is>
      </c>
      <c r="F53" s="119" t="inlineStr">
        <is>
          <t xml:space="preserve">NOMBRE_L de U+; sector según DICC</t>
        </is>
      </c>
    </row>
    <row r="54" customFormat="false" ht="15" hidden="false" customHeight="true" outlineLevel="0" collapsed="false">
      <c r="B54" s="119" t="inlineStr">
        <is>
          <t xml:space="preserve">TECNICO EN FARMACIA SP</t>
        </is>
      </c>
      <c r="C54" s="119" t="inlineStr">
        <is>
          <t xml:space="preserve">Técnico en Farmacia SP</t>
        </is>
      </c>
      <c r="D54" s="119" t="inlineStr">
        <is>
          <t xml:space="preserve">Salud</t>
        </is>
      </c>
      <c r="E54" s="119" t="inlineStr">
        <is>
          <t xml:space="preserve">Técnico de Nivel Superior</t>
        </is>
      </c>
      <c r="F54" s="119" t="inlineStr">
        <is>
          <t xml:space="preserve">NOMBRE_L de U+; mismo sector que la carrera base</t>
        </is>
      </c>
    </row>
    <row r="55" customFormat="false" ht="15" hidden="false" customHeight="true" outlineLevel="0" collapsed="false">
      <c r="B55" s="119" t="inlineStr">
        <is>
          <t xml:space="preserve">TECNICO EN LOGISTICA</t>
        </is>
      </c>
      <c r="C55" s="119" t="inlineStr">
        <is>
          <t xml:space="preserve">Técnico en Logística</t>
        </is>
      </c>
      <c r="D55" s="119" t="inlineStr">
        <is>
          <t xml:space="preserve">Administración y Comercio</t>
        </is>
      </c>
      <c r="E55" s="119" t="inlineStr">
        <is>
          <t xml:space="preserve">Técnico de Nivel Superior</t>
        </is>
      </c>
      <c r="F55" s="119" t="inlineStr">
        <is>
          <t xml:space="preserve">NOMBRE_L de U+; sector según DICC</t>
        </is>
      </c>
    </row>
    <row r="56" customFormat="false" ht="15" hidden="false" customHeight="true" outlineLevel="0" collapsed="false">
      <c r="B56" s="119" t="inlineStr">
        <is>
          <t xml:space="preserve">TECNICO EN MARKETING DIGITAL</t>
        </is>
      </c>
      <c r="C56" s="119" t="inlineStr">
        <is>
          <t xml:space="preserve">Técnico en Marketing Digital</t>
        </is>
      </c>
      <c r="D56" s="119" t="inlineStr">
        <is>
          <t xml:space="preserve">Administración y Comercio</t>
        </is>
      </c>
      <c r="E56" s="119" t="inlineStr">
        <is>
          <t xml:space="preserve">Técnico de Nivel Superior</t>
        </is>
      </c>
      <c r="F56" s="119" t="inlineStr">
        <is>
          <t xml:space="preserve">NOMBRE_L de U+; sector según DICC</t>
        </is>
      </c>
    </row>
    <row r="57" customFormat="false" ht="15" hidden="false" customHeight="true" outlineLevel="0" collapsed="false">
      <c r="B57" s="119" t="inlineStr">
        <is>
          <t xml:space="preserve">TECNICO EN PROGRAMACION Y ANALISIS DE SISTEMAS</t>
        </is>
      </c>
      <c r="C57" s="119" t="inlineStr">
        <is>
          <t xml:space="preserve">Técnico en Programación y Análisis de Sistemas</t>
        </is>
      </c>
      <c r="D57" s="119" t="inlineStr">
        <is>
          <t xml:space="preserve">Tecnologías</t>
        </is>
      </c>
      <c r="E57" s="119" t="inlineStr">
        <is>
          <t xml:space="preserve">Técnico de Nivel Superior</t>
        </is>
      </c>
      <c r="F57" s="119" t="inlineStr">
        <is>
          <t xml:space="preserve">NOMBRE_L de U+; sector según DICC</t>
        </is>
      </c>
    </row>
    <row r="58" customFormat="false" ht="15" hidden="false" customHeight="true" outlineLevel="0" collapsed="false">
      <c r="B58" s="119" t="inlineStr">
        <is>
          <t xml:space="preserve">TECNICO EN RECURSOS HUMANOS</t>
        </is>
      </c>
      <c r="C58" s="119" t="inlineStr">
        <is>
          <t xml:space="preserve">Técnico en Recursos Humanos</t>
        </is>
      </c>
      <c r="D58" s="119" t="inlineStr">
        <is>
          <t xml:space="preserve">Administración y Comercio</t>
        </is>
      </c>
      <c r="E58" s="119" t="inlineStr">
        <is>
          <t xml:space="preserve">Técnico de Nivel Superior</t>
        </is>
      </c>
      <c r="F58" s="119" t="inlineStr">
        <is>
          <t xml:space="preserve">NOMBRE_L de U+; sector según DICC</t>
        </is>
      </c>
    </row>
  </sheetData>
  <hyperlinks>
    <hyperlink ref="A1" location="'Portada'!B3" display="🏠 Portada / Índice"/>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4273"/>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50"/>
    <col collapsed="false" customWidth="true" hidden="false" outlineLevel="0" max="6" min="3" style="1" width="18"/>
  </cols>
  <sheetData>
    <row r="1" customFormat="false" ht="15" hidden="false" customHeight="true" outlineLevel="0" collapsed="false">
      <c r="A1" s="113" t="inlineStr">
        <is>
          <t xml:space="preserve">🏠 Portada / Índice</t>
        </is>
      </c>
    </row>
    <row r="2" customFormat="false" ht="17.25" hidden="false" customHeight="true" outlineLevel="0" collapsed="false">
      <c r="B2" s="114" t="inlineStr">
        <is>
          <t xml:space="preserve">23. Ingresos T2 2026: matriculados y renuncias (tabla del área)</t>
        </is>
      </c>
    </row>
    <row r="3" customFormat="false" ht="15" hidden="false" customHeight="true" outlineLevel="0" collapsed="false">
      <c r="B3" s="115" t="inlineStr">
        <is>
          <t xml:space="preserve">B · Matrícula T_2_13_07_2026.xlsx, Hoja2 A32:C50. La foto 2026-2 no trae ESTADOACADEMICO: vigentes al cierre T2 = matriculados − renuncias (unidad: matrícula).</t>
        </is>
      </c>
    </row>
    <row r="5" customFormat="false" ht="15" hidden="false" customHeight="true" outlineLevel="0" collapsed="false">
      <c r="B5" s="117" t="inlineStr">
        <is>
          <t xml:space="preserve">Carrera (NOMBRE_L)</t>
        </is>
      </c>
      <c r="C5" s="117" t="inlineStr">
        <is>
          <t xml:space="preserve">Matriculados (área)</t>
        </is>
      </c>
      <c r="D5" s="117" t="inlineStr">
        <is>
          <t xml:space="preserve">Renuncias (área)</t>
        </is>
      </c>
      <c r="E5" s="117" t="inlineStr">
        <is>
          <t xml:space="preserve">Sector (fx)</t>
        </is>
      </c>
      <c r="F5" s="117" t="inlineStr">
        <is>
          <t xml:space="preserve">Vigentes cierre T2 (fx)</t>
        </is>
      </c>
    </row>
    <row r="6" customFormat="false" ht="15" hidden="false" customHeight="true" outlineLevel="0" collapsed="false">
      <c r="B6" s="119" t="inlineStr">
        <is>
          <t xml:space="preserve">ADMINISTRACION PUBLICA</t>
        </is>
      </c>
      <c r="C6" s="120" t="n">
        <v>20</v>
      </c>
      <c r="D6" s="120" t="n">
        <v>2</v>
      </c>
      <c r="E6" s="135" t="str">
        <f aca="false">IFERROR(INDEX('22_Foto_DICC_Carrera'!$D$6:$D$58,MATCH(B6,'22_Foto_DICC_Carrera'!$B$6:$B$58,0)),"Sin sector")</f>
        <v>Administración y Comercio</v>
      </c>
      <c r="F6" s="120" t="n">
        <f aca="false">C6-D6</f>
        <v>18</v>
      </c>
    </row>
    <row r="7" customFormat="false" ht="15" hidden="false" customHeight="true" outlineLevel="0" collapsed="false">
      <c r="B7" s="119" t="inlineStr">
        <is>
          <t xml:space="preserve">AUDITORIA</t>
        </is>
      </c>
      <c r="C7" s="120" t="n">
        <v>15</v>
      </c>
      <c r="D7" s="120" t="n">
        <v>2</v>
      </c>
      <c r="E7" s="135" t="str">
        <f aca="false">IFERROR(INDEX('22_Foto_DICC_Carrera'!$D$6:$D$58,MATCH(B7,'22_Foto_DICC_Carrera'!$B$6:$B$58,0)),"Sin sector")</f>
        <v>Administración y Comercio</v>
      </c>
      <c r="F7" s="120" t="n">
        <f aca="false">C7-D7</f>
        <v>13</v>
      </c>
    </row>
    <row r="8" customFormat="false" ht="15" hidden="false" customHeight="true" outlineLevel="0" collapsed="false">
      <c r="B8" s="119" t="inlineStr">
        <is>
          <t xml:space="preserve">CONTABILIDAD GENERAL</t>
        </is>
      </c>
      <c r="C8" s="120" t="n">
        <v>25</v>
      </c>
      <c r="D8" s="120" t="n">
        <v>2</v>
      </c>
      <c r="E8" s="135" t="str">
        <f aca="false">IFERROR(INDEX('22_Foto_DICC_Carrera'!$D$6:$D$58,MATCH(B8,'22_Foto_DICC_Carrera'!$B$6:$B$58,0)),"Sin sector")</f>
        <v>Administración y Comercio</v>
      </c>
      <c r="F8" s="120" t="n">
        <f aca="false">C8-D8</f>
        <v>23</v>
      </c>
    </row>
    <row r="9" customFormat="false" ht="15" hidden="false" customHeight="true" outlineLevel="0" collapsed="false">
      <c r="B9" s="119" t="inlineStr">
        <is>
          <t xml:space="preserve">CONTINUIDAD INGENIERIA INFORMATICA</t>
        </is>
      </c>
      <c r="C9" s="120" t="n">
        <v>3</v>
      </c>
      <c r="D9" s="120" t="n">
        <v>0</v>
      </c>
      <c r="E9" s="135" t="str">
        <f aca="false">IFERROR(INDEX('22_Foto_DICC_Carrera'!$D$6:$D$58,MATCH(B9,'22_Foto_DICC_Carrera'!$B$6:$B$58,0)),"Sin sector")</f>
        <v>Tecnologías</v>
      </c>
      <c r="F9" s="120" t="n">
        <f aca="false">C9-D9</f>
        <v>3</v>
      </c>
    </row>
    <row r="10" customFormat="false" ht="15" hidden="false" customHeight="true" outlineLevel="0" collapsed="false">
      <c r="B10" s="119" t="inlineStr">
        <is>
          <t xml:space="preserve">INGENIERIA EN ADMINISTRACION DE EMPRESAS</t>
        </is>
      </c>
      <c r="C10" s="120" t="n">
        <v>36</v>
      </c>
      <c r="D10" s="120" t="n">
        <v>6</v>
      </c>
      <c r="E10" s="135" t="str">
        <f aca="false">IFERROR(INDEX('22_Foto_DICC_Carrera'!$D$6:$D$58,MATCH(B10,'22_Foto_DICC_Carrera'!$B$6:$B$58,0)),"Sin sector")</f>
        <v>Administración y Comercio</v>
      </c>
      <c r="F10" s="120" t="n">
        <f aca="false">C10-D10</f>
        <v>30</v>
      </c>
    </row>
    <row r="11" customFormat="false" ht="15" hidden="false" customHeight="true" outlineLevel="0" collapsed="false">
      <c r="B11" s="119" t="inlineStr">
        <is>
          <t xml:space="preserve">TECNICO EN ADMINISTRACION DE EMPRESAS</t>
        </is>
      </c>
      <c r="C11" s="120" t="n">
        <v>33</v>
      </c>
      <c r="D11" s="120" t="n">
        <v>4</v>
      </c>
      <c r="E11" s="135" t="str">
        <f aca="false">IFERROR(INDEX('22_Foto_DICC_Carrera'!$D$6:$D$58,MATCH(B11,'22_Foto_DICC_Carrera'!$B$6:$B$58,0)),"Sin sector")</f>
        <v>Administración y Comercio</v>
      </c>
      <c r="F11" s="120" t="n">
        <f aca="false">C11-D11</f>
        <v>29</v>
      </c>
    </row>
    <row r="12" customFormat="false" ht="15" hidden="false" customHeight="true" outlineLevel="0" collapsed="false">
      <c r="B12" s="119" t="inlineStr">
        <is>
          <t xml:space="preserve">INGENIERIA EN CIBERSEGURIDAD</t>
        </is>
      </c>
      <c r="C12" s="120" t="n">
        <v>30</v>
      </c>
      <c r="D12" s="120" t="n">
        <v>0</v>
      </c>
      <c r="E12" s="135" t="str">
        <f aca="false">IFERROR(INDEX('22_Foto_DICC_Carrera'!$D$6:$D$58,MATCH(B12,'22_Foto_DICC_Carrera'!$B$6:$B$58,0)),"Sin sector")</f>
        <v>Tecnologías</v>
      </c>
      <c r="F12" s="120" t="n">
        <f aca="false">C12-D12</f>
        <v>30</v>
      </c>
    </row>
    <row r="13" customFormat="false" ht="15" hidden="false" customHeight="true" outlineLevel="0" collapsed="false">
      <c r="B13" s="119" t="inlineStr">
        <is>
          <t xml:space="preserve">TECNICO EN CIBERSEGURIDAD</t>
        </is>
      </c>
      <c r="C13" s="120" t="n">
        <v>16</v>
      </c>
      <c r="D13" s="120" t="n">
        <v>3</v>
      </c>
      <c r="E13" s="135" t="str">
        <f aca="false">IFERROR(INDEX('22_Foto_DICC_Carrera'!$D$6:$D$58,MATCH(B13,'22_Foto_DICC_Carrera'!$B$6:$B$58,0)),"Sin sector")</f>
        <v>Tecnologías</v>
      </c>
      <c r="F13" s="120" t="n">
        <f aca="false">C13-D13</f>
        <v>13</v>
      </c>
    </row>
    <row r="14" customFormat="false" ht="15" hidden="false" customHeight="true" outlineLevel="0" collapsed="false">
      <c r="B14" s="119" t="inlineStr">
        <is>
          <t xml:space="preserve">INGENIERIA EN INFORMATICA</t>
        </is>
      </c>
      <c r="C14" s="120" t="n">
        <v>33</v>
      </c>
      <c r="D14" s="120" t="n">
        <v>2</v>
      </c>
      <c r="E14" s="135" t="str">
        <f aca="false">IFERROR(INDEX('22_Foto_DICC_Carrera'!$D$6:$D$58,MATCH(B14,'22_Foto_DICC_Carrera'!$B$6:$B$58,0)),"Sin sector")</f>
        <v>Tecnologías</v>
      </c>
      <c r="F14" s="120" t="n">
        <f aca="false">C14-D14</f>
        <v>31</v>
      </c>
    </row>
    <row r="15" customFormat="false" ht="15" hidden="false" customHeight="true" outlineLevel="0" collapsed="false">
      <c r="B15" s="119" t="inlineStr">
        <is>
          <t xml:space="preserve">TECNICO EN PROGRAMACION Y ANALISIS DE SISTEMAS</t>
        </is>
      </c>
      <c r="C15" s="120" t="n">
        <v>26</v>
      </c>
      <c r="D15" s="120" t="n">
        <v>0</v>
      </c>
      <c r="E15" s="135" t="str">
        <f aca="false">IFERROR(INDEX('22_Foto_DICC_Carrera'!$D$6:$D$58,MATCH(B15,'22_Foto_DICC_Carrera'!$B$6:$B$58,0)),"Sin sector")</f>
        <v>Tecnologías</v>
      </c>
      <c r="F15" s="120" t="n">
        <f aca="false">C15-D15</f>
        <v>26</v>
      </c>
    </row>
    <row r="16" customFormat="false" ht="15" hidden="false" customHeight="true" outlineLevel="0" collapsed="false">
      <c r="B16" s="119" t="inlineStr">
        <is>
          <t xml:space="preserve">INGENIERIA EN LOGISTICA</t>
        </is>
      </c>
      <c r="C16" s="120" t="n">
        <v>34</v>
      </c>
      <c r="D16" s="120" t="n">
        <v>6</v>
      </c>
      <c r="E16" s="135" t="str">
        <f aca="false">IFERROR(INDEX('22_Foto_DICC_Carrera'!$D$6:$D$58,MATCH(B16,'22_Foto_DICC_Carrera'!$B$6:$B$58,0)),"Sin sector")</f>
        <v>Administración y Comercio</v>
      </c>
      <c r="F16" s="120" t="n">
        <f aca="false">C16-D16</f>
        <v>28</v>
      </c>
    </row>
    <row r="17" customFormat="false" ht="15" hidden="false" customHeight="true" outlineLevel="0" collapsed="false">
      <c r="B17" s="119" t="inlineStr">
        <is>
          <t xml:space="preserve">TECNICO EN LOGISTICA</t>
        </is>
      </c>
      <c r="C17" s="120" t="n">
        <v>21</v>
      </c>
      <c r="D17" s="120" t="n">
        <v>3</v>
      </c>
      <c r="E17" s="135" t="str">
        <f aca="false">IFERROR(INDEX('22_Foto_DICC_Carrera'!$D$6:$D$58,MATCH(B17,'22_Foto_DICC_Carrera'!$B$6:$B$58,0)),"Sin sector")</f>
        <v>Administración y Comercio</v>
      </c>
      <c r="F17" s="120" t="n">
        <f aca="false">C17-D17</f>
        <v>18</v>
      </c>
    </row>
    <row r="18" customFormat="false" ht="15" hidden="false" customHeight="true" outlineLevel="0" collapsed="false">
      <c r="B18" s="119" t="inlineStr">
        <is>
          <t xml:space="preserve">INGENIERIA EN MARKETING DIGITAL</t>
        </is>
      </c>
      <c r="C18" s="120" t="n">
        <v>33</v>
      </c>
      <c r="D18" s="120" t="n">
        <v>2</v>
      </c>
      <c r="E18" s="135" t="str">
        <f aca="false">IFERROR(INDEX('22_Foto_DICC_Carrera'!$D$6:$D$58,MATCH(B18,'22_Foto_DICC_Carrera'!$B$6:$B$58,0)),"Sin sector")</f>
        <v>Administración y Comercio</v>
      </c>
      <c r="F18" s="120" t="n">
        <f aca="false">C18-D18</f>
        <v>31</v>
      </c>
    </row>
    <row r="19" customFormat="false" ht="15" hidden="false" customHeight="true" outlineLevel="0" collapsed="false">
      <c r="B19" s="119" t="inlineStr">
        <is>
          <t xml:space="preserve">TECNICO EN MARKETING DIGITAL</t>
        </is>
      </c>
      <c r="C19" s="120" t="n">
        <v>28</v>
      </c>
      <c r="D19" s="120" t="n">
        <v>5</v>
      </c>
      <c r="E19" s="135" t="str">
        <f aca="false">IFERROR(INDEX('22_Foto_DICC_Carrera'!$D$6:$D$58,MATCH(B19,'22_Foto_DICC_Carrera'!$B$6:$B$58,0)),"Sin sector")</f>
        <v>Administración y Comercio</v>
      </c>
      <c r="F19" s="120" t="n">
        <f aca="false">C19-D19</f>
        <v>23</v>
      </c>
    </row>
    <row r="20" customFormat="false" ht="15" hidden="false" customHeight="true" outlineLevel="0" collapsed="false">
      <c r="B20" s="119" t="inlineStr">
        <is>
          <t xml:space="preserve">INGENIERIA EN RECURSOS HUMANOS</t>
        </is>
      </c>
      <c r="C20" s="120" t="n">
        <v>6</v>
      </c>
      <c r="D20" s="120" t="n">
        <v>0</v>
      </c>
      <c r="E20" s="135" t="str">
        <f aca="false">IFERROR(INDEX('22_Foto_DICC_Carrera'!$D$6:$D$58,MATCH(B20,'22_Foto_DICC_Carrera'!$B$6:$B$58,0)),"Sin sector")</f>
        <v>Administración y Comercio</v>
      </c>
      <c r="F20" s="120" t="n">
        <f aca="false">C20-D20</f>
        <v>6</v>
      </c>
    </row>
    <row r="21" customFormat="false" ht="15" hidden="false" customHeight="true" outlineLevel="0" collapsed="false">
      <c r="B21" s="119" t="inlineStr">
        <is>
          <t xml:space="preserve">TECNICO EN RECURSOS HUMANOS</t>
        </is>
      </c>
      <c r="C21" s="120" t="n">
        <v>18</v>
      </c>
      <c r="D21" s="120" t="n">
        <v>0</v>
      </c>
      <c r="E21" s="135" t="str">
        <f aca="false">IFERROR(INDEX('22_Foto_DICC_Carrera'!$D$6:$D$58,MATCH(B21,'22_Foto_DICC_Carrera'!$B$6:$B$58,0)),"Sin sector")</f>
        <v>Administración y Comercio</v>
      </c>
      <c r="F21" s="120" t="n">
        <f aca="false">C21-D21</f>
        <v>18</v>
      </c>
    </row>
    <row r="22" customFormat="false" ht="15" hidden="false" customHeight="true" outlineLevel="0" collapsed="false">
      <c r="B22" s="119" t="inlineStr">
        <is>
          <t xml:space="preserve">INGENIERIA INDUSTRIAL</t>
        </is>
      </c>
      <c r="C22" s="120" t="n">
        <v>26</v>
      </c>
      <c r="D22" s="120" t="n">
        <v>0</v>
      </c>
      <c r="E22" s="135" t="str">
        <f aca="false">IFERROR(INDEX('22_Foto_DICC_Carrera'!$D$6:$D$58,MATCH(B22,'22_Foto_DICC_Carrera'!$B$6:$B$58,0)),"Sin sector")</f>
        <v>Tecnologías</v>
      </c>
      <c r="F22" s="120" t="n">
        <f aca="false">C22-D22</f>
        <v>26</v>
      </c>
    </row>
    <row r="23" customFormat="false" ht="15" hidden="false" customHeight="true" outlineLevel="0" collapsed="false">
      <c r="B23" s="119" t="inlineStr">
        <is>
          <t xml:space="preserve">TECNICO EN ENFERMERIA</t>
        </is>
      </c>
      <c r="C23" s="120" t="n">
        <v>60</v>
      </c>
      <c r="D23" s="120" t="n">
        <v>11</v>
      </c>
      <c r="E23" s="135" t="str">
        <f aca="false">IFERROR(INDEX('22_Foto_DICC_Carrera'!$D$6:$D$58,MATCH(B23,'22_Foto_DICC_Carrera'!$B$6:$B$58,0)),"Sin sector")</f>
        <v>Salud</v>
      </c>
      <c r="F23" s="120" t="n">
        <f aca="false">C23-D23</f>
        <v>49</v>
      </c>
    </row>
    <row r="24" customFormat="false" ht="15" hidden="false" customHeight="true" outlineLevel="0" collapsed="false">
      <c r="B24" s="119" t="inlineStr">
        <is>
          <t xml:space="preserve">TECNICO EN ENFERMERIA E INSTRUMENTACION QUIRURGICA</t>
        </is>
      </c>
      <c r="C24" s="120" t="n">
        <v>65</v>
      </c>
      <c r="D24" s="120" t="n">
        <v>18</v>
      </c>
      <c r="E24" s="135" t="str">
        <f aca="false">IFERROR(INDEX('22_Foto_DICC_Carrera'!$D$6:$D$58,MATCH(B24,'22_Foto_DICC_Carrera'!$B$6:$B$58,0)),"Sin sector")</f>
        <v>Salud</v>
      </c>
      <c r="F24" s="120" t="n">
        <f aca="false">C24-D24</f>
        <v>47</v>
      </c>
    </row>
    <row r="25" customFormat="false" ht="15" hidden="false" customHeight="true" outlineLevel="0" collapsed="false">
      <c r="B25" s="136" t="inlineStr">
        <is>
          <t xml:space="preserve">Total</t>
        </is>
      </c>
      <c r="C25" s="137" t="n">
        <f aca="false">SUM(C6:C24)</f>
        <v>528</v>
      </c>
      <c r="D25" s="137" t="n">
        <f aca="false">SUM(D6:D24)</f>
        <v>66</v>
      </c>
      <c r="F25" s="137" t="n">
        <f aca="false">SUM(F6:F24)</f>
        <v>462</v>
      </c>
    </row>
  </sheetData>
  <hyperlinks>
    <hyperlink ref="A1" location="'Portada'!B3" display="🏠 Portada / Índice"/>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22" hidden="0" customWidth="1"/>
    <col min="6" max="6" width="22" hidden="0" customWidth="1"/>
  </cols>
  <sheetData>
    <row r="1" ht="32" customHeight="1">
      <c r="A1" s="149" t="str">
        <v>24_Foto_Corte_T3_2025 · agregado provisional</v>
      </c>
      <c r="B1" s="5"/>
      <c r="C1" s="5"/>
      <c r="D1" s="5"/>
      <c r="E1" s="5"/>
      <c r="F1" s="5"/>
    </row>
    <row r="2" ht="32" customHeight="1">
      <c r="A2" s="146" t="str">
        <v>2026-10-22 · detalle individual excluido; original preservado</v>
      </c>
      <c r="B2" s="2"/>
      <c r="C2" s="2"/>
      <c r="D2" s="2"/>
      <c r="E2" s="2"/>
      <c r="F2" s="2"/>
    </row>
    <row r="3" ht="32" customHeight="1">
      <c r="A3" s="146" t="str">
        <v>C · Cantidad de registros de la fuente; no se interpreta como personas únicas</v>
      </c>
      <c r="B3" s="2"/>
      <c r="C3" s="2"/>
      <c r="D3" s="2"/>
      <c r="E3" s="2"/>
      <c r="F3" s="2"/>
    </row>
    <row r="4" ht="32" customHeight="1">
      <c r="A4" s="151" t="str">
        <v>CODCARPR</v>
      </c>
      <c r="B4" s="151" t="str">
        <v>ANOMATRICULA</v>
      </c>
      <c r="C4" s="151" t="str">
        <v>PERIODOMATRICULA</v>
      </c>
      <c r="D4" s="151" t="str">
        <v>ESTADOACADEMICO</v>
      </c>
      <c r="E4" s="151" t="str">
        <v>SITUACION</v>
      </c>
      <c r="F4" s="151" t="str">
        <v>Registros</v>
      </c>
    </row>
    <row r="5" ht="32" customHeight="1">
      <c r="A5" s="146" t="str">
        <v>ADMP</v>
      </c>
      <c r="B5" s="146" t="str">
        <v>2025</v>
      </c>
      <c r="C5" s="146" t="str">
        <v>1</v>
      </c>
      <c r="D5" s="146" t="str">
        <v>ELIMINADO</v>
      </c>
      <c r="E5" s="146" t="str">
        <v>11 - RENUNCIA POST INICIO CLASES</v>
      </c>
      <c r="F5" s="146" t="n">
        <v>8</v>
      </c>
    </row>
    <row r="6" ht="32" customHeight="1">
      <c r="A6" s="146" t="str">
        <v>ADMP</v>
      </c>
      <c r="B6" s="146" t="str">
        <v>2025</v>
      </c>
      <c r="C6" s="146" t="str">
        <v>1</v>
      </c>
      <c r="D6" s="146" t="str">
        <v>ELIMINADO</v>
      </c>
      <c r="E6" s="146" t="str">
        <v>20 - VIGENTE SIN ACTIVIDAD ACADEMICA</v>
      </c>
      <c r="F6" s="146" t="n">
        <v>1</v>
      </c>
    </row>
    <row r="7" ht="32" customHeight="1">
      <c r="A7" s="146" t="str">
        <v>ADMP</v>
      </c>
      <c r="B7" s="146" t="str">
        <v>2025</v>
      </c>
      <c r="C7" s="146" t="str">
        <v>1</v>
      </c>
      <c r="D7" s="146" t="str">
        <v>ELIMINADO</v>
      </c>
      <c r="E7" s="146" t="str">
        <v>23 - RETIRO - RETRACTO</v>
      </c>
      <c r="F7" s="146" t="n">
        <v>5</v>
      </c>
    </row>
    <row r="8" ht="32" customHeight="1">
      <c r="A8" s="146" t="str">
        <v>ADMP</v>
      </c>
      <c r="B8" s="146" t="str">
        <v>2025</v>
      </c>
      <c r="C8" s="146" t="str">
        <v>1</v>
      </c>
      <c r="D8" s="146" t="str">
        <v>ELIMINADO</v>
      </c>
      <c r="E8" s="146" t="str">
        <v>24 - CAMBIO DE CARRERA</v>
      </c>
      <c r="F8" s="146" t="n">
        <v>4</v>
      </c>
    </row>
    <row r="9" ht="32" customHeight="1">
      <c r="A9" s="146" t="str">
        <v>ADMP</v>
      </c>
      <c r="B9" s="146" t="str">
        <v>2025</v>
      </c>
      <c r="C9" s="146" t="str">
        <v>1</v>
      </c>
      <c r="D9" s="146" t="str">
        <v>SUSPENDIDO</v>
      </c>
      <c r="E9" s="146" t="str">
        <v>2 - SUSPENSIÓN TEMPORAL</v>
      </c>
      <c r="F9" s="146" t="n">
        <v>2</v>
      </c>
    </row>
    <row r="10" ht="32" customHeight="1">
      <c r="A10" s="146" t="str">
        <v>ADMP</v>
      </c>
      <c r="B10" s="146" t="str">
        <v>2025</v>
      </c>
      <c r="C10" s="146" t="str">
        <v>1</v>
      </c>
      <c r="D10" s="146" t="str">
        <v>VIGENTE</v>
      </c>
      <c r="E10" s="146" t="str">
        <v>1 - ALUMNO REGULAR</v>
      </c>
      <c r="F10" s="146" t="n">
        <v>33</v>
      </c>
    </row>
    <row r="11" ht="32" customHeight="1">
      <c r="A11" s="146" t="str">
        <v>ADMP</v>
      </c>
      <c r="B11" s="146" t="str">
        <v>2025</v>
      </c>
      <c r="C11" s="146" t="str">
        <v>1</v>
      </c>
      <c r="D11" s="146" t="str">
        <v>VIGENTE</v>
      </c>
      <c r="E11" s="146" t="str">
        <v>20 - VIGENTE SIN ACTIVIDAD ACADEMICA</v>
      </c>
      <c r="F11" s="146" t="n">
        <v>30</v>
      </c>
    </row>
    <row r="12" ht="32" customHeight="1">
      <c r="A12" s="146" t="str">
        <v>ADMP</v>
      </c>
      <c r="B12" s="146" t="str">
        <v>2025</v>
      </c>
      <c r="C12" s="146" t="str">
        <v>1</v>
      </c>
      <c r="D12" s="146" t="str">
        <v>VIGENTE</v>
      </c>
      <c r="E12" s="146" t="str">
        <v>38 - REINCORPORACION DE ACTIVIDADES</v>
      </c>
      <c r="F12" s="146" t="n">
        <v>2</v>
      </c>
    </row>
    <row r="13" ht="32" customHeight="1">
      <c r="A13" s="146" t="str">
        <v>ADMP</v>
      </c>
      <c r="B13" s="146" t="str">
        <v>2025</v>
      </c>
      <c r="C13" s="146" t="str">
        <v>2</v>
      </c>
      <c r="D13" s="146" t="str">
        <v>ELIMINADO</v>
      </c>
      <c r="E13" s="146" t="str">
        <v>11 - RENUNCIA POST INICIO CLASES</v>
      </c>
      <c r="F13" s="146" t="n">
        <v>2</v>
      </c>
    </row>
    <row r="14" ht="32" customHeight="1">
      <c r="A14" s="146" t="str">
        <v>ADMP</v>
      </c>
      <c r="B14" s="146" t="str">
        <v>2025</v>
      </c>
      <c r="C14" s="146" t="str">
        <v>2</v>
      </c>
      <c r="D14" s="146" t="str">
        <v>ELIMINADO</v>
      </c>
      <c r="E14" s="146" t="str">
        <v>23 - RETIRO - RETRACTO</v>
      </c>
      <c r="F14" s="146" t="n">
        <v>1</v>
      </c>
    </row>
    <row r="15" ht="32" customHeight="1">
      <c r="A15" s="146" t="str">
        <v>ADMP</v>
      </c>
      <c r="B15" s="146" t="str">
        <v>2025</v>
      </c>
      <c r="C15" s="146" t="str">
        <v>2</v>
      </c>
      <c r="D15" s="146" t="str">
        <v>VIGENTE</v>
      </c>
      <c r="E15" s="146" t="str">
        <v>1 - ALUMNO REGULAR</v>
      </c>
      <c r="F15" s="146" t="n">
        <v>19</v>
      </c>
    </row>
    <row r="16" ht="32" customHeight="1">
      <c r="A16" s="146" t="str">
        <v>ADMP</v>
      </c>
      <c r="B16" s="146" t="str">
        <v>2025</v>
      </c>
      <c r="C16" s="146" t="str">
        <v>3</v>
      </c>
      <c r="D16" s="146" t="str">
        <v>VIGENTE</v>
      </c>
      <c r="E16" s="146" t="str">
        <v>1 - ALUMNO REGULAR</v>
      </c>
      <c r="F16" s="146" t="n">
        <v>14</v>
      </c>
    </row>
    <row r="17" ht="32" customHeight="1">
      <c r="A17" s="146" t="str">
        <v>AUDT</v>
      </c>
      <c r="B17" s="146" t="str">
        <v>2025</v>
      </c>
      <c r="C17" s="146" t="str">
        <v>1</v>
      </c>
      <c r="D17" s="146" t="str">
        <v>ELIMINADO</v>
      </c>
      <c r="E17" s="146" t="str">
        <v>11 - RENUNCIA POST INICIO CLASES</v>
      </c>
      <c r="F17" s="146" t="n">
        <v>4</v>
      </c>
    </row>
    <row r="18" ht="32" customHeight="1">
      <c r="A18" s="146" t="str">
        <v>AUDT</v>
      </c>
      <c r="B18" s="146" t="str">
        <v>2025</v>
      </c>
      <c r="C18" s="146" t="str">
        <v>1</v>
      </c>
      <c r="D18" s="146" t="str">
        <v>ELIMINADO</v>
      </c>
      <c r="E18" s="146" t="str">
        <v>23 - RETIRO - RETRACTO</v>
      </c>
      <c r="F18" s="146" t="n">
        <v>2</v>
      </c>
    </row>
    <row r="19" ht="32" customHeight="1">
      <c r="A19" s="146" t="str">
        <v>AUDT</v>
      </c>
      <c r="B19" s="146" t="str">
        <v>2025</v>
      </c>
      <c r="C19" s="146" t="str">
        <v>1</v>
      </c>
      <c r="D19" s="146" t="str">
        <v>ELIMINADO</v>
      </c>
      <c r="E19" s="146" t="str">
        <v>24 - CAMBIO DE CARRERA</v>
      </c>
      <c r="F19" s="146" t="n">
        <v>4</v>
      </c>
    </row>
    <row r="20" ht="32" customHeight="1">
      <c r="A20" s="146" t="str">
        <v>AUDT</v>
      </c>
      <c r="B20" s="146" t="str">
        <v>2025</v>
      </c>
      <c r="C20" s="146" t="str">
        <v>1</v>
      </c>
      <c r="D20" s="146" t="str">
        <v>SUSPENDIDO</v>
      </c>
      <c r="E20" s="146" t="str">
        <v>2 - SUSPENSIÓN TEMPORAL</v>
      </c>
      <c r="F20" s="146" t="n">
        <v>3</v>
      </c>
    </row>
    <row r="21" ht="32" customHeight="1">
      <c r="A21" s="146" t="str">
        <v>AUDT</v>
      </c>
      <c r="B21" s="146" t="str">
        <v>2025</v>
      </c>
      <c r="C21" s="146" t="str">
        <v>1</v>
      </c>
      <c r="D21" s="146" t="str">
        <v>VIGENTE</v>
      </c>
      <c r="E21" s="146" t="str">
        <v>1 - ALUMNO REGULAR</v>
      </c>
      <c r="F21" s="146" t="n">
        <v>29</v>
      </c>
    </row>
    <row r="22" ht="32" customHeight="1">
      <c r="A22" s="146" t="str">
        <v>AUDT</v>
      </c>
      <c r="B22" s="146" t="str">
        <v>2025</v>
      </c>
      <c r="C22" s="146" t="str">
        <v>1</v>
      </c>
      <c r="D22" s="146" t="str">
        <v>VIGENTE</v>
      </c>
      <c r="E22" s="146" t="str">
        <v>20 - VIGENTE SIN ACTIVIDAD ACADEMICA</v>
      </c>
      <c r="F22" s="146" t="n">
        <v>9</v>
      </c>
    </row>
    <row r="23" ht="32" customHeight="1">
      <c r="A23" s="146" t="str">
        <v>AUDT</v>
      </c>
      <c r="B23" s="146" t="str">
        <v>2025</v>
      </c>
      <c r="C23" s="146" t="str">
        <v>2</v>
      </c>
      <c r="D23" s="146" t="str">
        <v>ELIMINADO</v>
      </c>
      <c r="E23" s="146" t="str">
        <v>11 - RENUNCIA POST INICIO CLASES</v>
      </c>
      <c r="F23" s="146" t="n">
        <v>2</v>
      </c>
    </row>
    <row r="24" ht="32" customHeight="1">
      <c r="A24" s="146" t="str">
        <v>AUDT</v>
      </c>
      <c r="B24" s="146" t="str">
        <v>2025</v>
      </c>
      <c r="C24" s="146" t="str">
        <v>2</v>
      </c>
      <c r="D24" s="146" t="str">
        <v>ELIMINADO</v>
      </c>
      <c r="E24" s="146" t="str">
        <v>23 - RETIRO - RETRACTO</v>
      </c>
      <c r="F24" s="146" t="n">
        <v>2</v>
      </c>
    </row>
    <row r="25" ht="32" customHeight="1">
      <c r="A25" s="146" t="str">
        <v>AUDT</v>
      </c>
      <c r="B25" s="146" t="str">
        <v>2025</v>
      </c>
      <c r="C25" s="146" t="str">
        <v>2</v>
      </c>
      <c r="D25" s="146" t="str">
        <v>VIGENTE</v>
      </c>
      <c r="E25" s="146" t="str">
        <v>1 - ALUMNO REGULAR</v>
      </c>
      <c r="F25" s="146" t="n">
        <v>18</v>
      </c>
    </row>
    <row r="26" ht="32" customHeight="1">
      <c r="A26" s="146" t="str">
        <v>AUDT</v>
      </c>
      <c r="B26" s="146" t="str">
        <v>2025</v>
      </c>
      <c r="C26" s="146" t="str">
        <v>3</v>
      </c>
      <c r="D26" s="146" t="str">
        <v>ELIMINADO</v>
      </c>
      <c r="E26" s="146" t="str">
        <v>23 - RETIRO - RETRACTO</v>
      </c>
      <c r="F26" s="146" t="n">
        <v>9</v>
      </c>
    </row>
    <row r="27" ht="32" customHeight="1">
      <c r="A27" s="146" t="str">
        <v>AUDT</v>
      </c>
      <c r="B27" s="146" t="str">
        <v>2025</v>
      </c>
      <c r="C27" s="146" t="str">
        <v>3</v>
      </c>
      <c r="D27" s="146" t="str">
        <v>ELIMINADO</v>
      </c>
      <c r="E27" s="146" t="str">
        <v>24 - CAMBIO DE CARRERA</v>
      </c>
      <c r="F27" s="146" t="n">
        <v>1</v>
      </c>
    </row>
    <row r="28" ht="32" customHeight="1">
      <c r="A28" s="146" t="str">
        <v>AUDT</v>
      </c>
      <c r="B28" s="146" t="str">
        <v>2025</v>
      </c>
      <c r="C28" s="146" t="str">
        <v>3</v>
      </c>
      <c r="D28" s="146" t="str">
        <v>VIGENTE</v>
      </c>
      <c r="E28" s="146" t="str">
        <v>1 - ALUMNO REGULAR</v>
      </c>
      <c r="F28" s="146" t="n">
        <v>1</v>
      </c>
    </row>
    <row r="29" ht="32" customHeight="1">
      <c r="A29" s="146" t="str">
        <v>CADMP</v>
      </c>
      <c r="B29" s="146" t="str">
        <v>2025</v>
      </c>
      <c r="C29" s="146" t="str">
        <v>1</v>
      </c>
      <c r="D29" s="146" t="str">
        <v>ELIMINADO</v>
      </c>
      <c r="E29" s="146" t="str">
        <v>23 - RETIRO - RETRACTO</v>
      </c>
      <c r="F29" s="146" t="n">
        <v>1</v>
      </c>
    </row>
    <row r="30" ht="32" customHeight="1">
      <c r="A30" s="146" t="str">
        <v>CIADM</v>
      </c>
      <c r="B30" s="146" t="str">
        <v>2025</v>
      </c>
      <c r="C30" s="146" t="str">
        <v>1</v>
      </c>
      <c r="D30" s="146" t="str">
        <v>ELIMINADO</v>
      </c>
      <c r="E30" s="146" t="str">
        <v>11 - RENUNCIA POST INICIO CLASES</v>
      </c>
      <c r="F30" s="146" t="n">
        <v>5</v>
      </c>
    </row>
    <row r="31" ht="32" customHeight="1">
      <c r="A31" s="146" t="str">
        <v>CIADM</v>
      </c>
      <c r="B31" s="146" t="str">
        <v>2025</v>
      </c>
      <c r="C31" s="146" t="str">
        <v>1</v>
      </c>
      <c r="D31" s="146" t="str">
        <v>ELIMINADO</v>
      </c>
      <c r="E31" s="146" t="str">
        <v>23 - RETIRO - RETRACTO</v>
      </c>
      <c r="F31" s="146" t="n">
        <v>1</v>
      </c>
    </row>
    <row r="32" ht="32" customHeight="1">
      <c r="A32" s="146" t="str">
        <v>CIADM</v>
      </c>
      <c r="B32" s="146" t="str">
        <v>2025</v>
      </c>
      <c r="C32" s="146" t="str">
        <v>1</v>
      </c>
      <c r="D32" s="146" t="str">
        <v>VIGENTE</v>
      </c>
      <c r="E32" s="146" t="str">
        <v>1 - ALUMNO REGULAR</v>
      </c>
      <c r="F32" s="146" t="n">
        <v>14</v>
      </c>
    </row>
    <row r="33" ht="32" customHeight="1">
      <c r="A33" s="146" t="str">
        <v>CICIB</v>
      </c>
      <c r="B33" s="146" t="str">
        <v>2025</v>
      </c>
      <c r="C33" s="146" t="str">
        <v>1</v>
      </c>
      <c r="D33" s="146" t="str">
        <v>ELIMINADO</v>
      </c>
      <c r="E33" s="146" t="str">
        <v>11 - RENUNCIA POST INICIO CLASES</v>
      </c>
      <c r="F33" s="146" t="n">
        <v>7</v>
      </c>
    </row>
    <row r="34" ht="32" customHeight="1">
      <c r="A34" s="146" t="str">
        <v>CICIB</v>
      </c>
      <c r="B34" s="146" t="str">
        <v>2025</v>
      </c>
      <c r="C34" s="146" t="str">
        <v>1</v>
      </c>
      <c r="D34" s="146" t="str">
        <v>ELIMINADO</v>
      </c>
      <c r="E34" s="146" t="str">
        <v>23 - RETIRO - RETRACTO</v>
      </c>
      <c r="F34" s="146" t="n">
        <v>1</v>
      </c>
    </row>
    <row r="35" ht="32" customHeight="1">
      <c r="A35" s="146" t="str">
        <v>CICIB</v>
      </c>
      <c r="B35" s="146" t="str">
        <v>2025</v>
      </c>
      <c r="C35" s="146" t="str">
        <v>1</v>
      </c>
      <c r="D35" s="146" t="str">
        <v>VIGENTE</v>
      </c>
      <c r="E35" s="146" t="str">
        <v>1 - ALUMNO REGULAR</v>
      </c>
      <c r="F35" s="146" t="n">
        <v>91</v>
      </c>
    </row>
    <row r="36" ht="32" customHeight="1">
      <c r="A36" s="146" t="str">
        <v>CICIB</v>
      </c>
      <c r="B36" s="146" t="str">
        <v>2025</v>
      </c>
      <c r="C36" s="146" t="str">
        <v>2</v>
      </c>
      <c r="D36" s="146" t="str">
        <v>VIGENTE</v>
      </c>
      <c r="E36" s="146" t="str">
        <v>1 - ALUMNO REGULAR</v>
      </c>
      <c r="F36" s="146" t="n">
        <v>1</v>
      </c>
    </row>
    <row r="37" ht="32" customHeight="1">
      <c r="A37" s="146" t="str">
        <v>CICRE</v>
      </c>
      <c r="B37" s="146" t="str">
        <v>2025</v>
      </c>
      <c r="C37" s="146" t="str">
        <v>1</v>
      </c>
      <c r="D37" s="146" t="str">
        <v>ELIMINADO</v>
      </c>
      <c r="E37" s="146" t="str">
        <v>11 - RENUNCIA POST INICIO CLASES</v>
      </c>
      <c r="F37" s="146" t="n">
        <v>4</v>
      </c>
    </row>
    <row r="38" ht="32" customHeight="1">
      <c r="A38" s="146" t="str">
        <v>CICRE</v>
      </c>
      <c r="B38" s="146" t="str">
        <v>2025</v>
      </c>
      <c r="C38" s="146" t="str">
        <v>1</v>
      </c>
      <c r="D38" s="146" t="str">
        <v>ELIMINADO</v>
      </c>
      <c r="E38" s="146" t="str">
        <v>23 - RETIRO - RETRACTO</v>
      </c>
      <c r="F38" s="146" t="n">
        <v>3</v>
      </c>
    </row>
    <row r="39" ht="32" customHeight="1">
      <c r="A39" s="146" t="str">
        <v>CICRE</v>
      </c>
      <c r="B39" s="146" t="str">
        <v>2025</v>
      </c>
      <c r="C39" s="146" t="str">
        <v>1</v>
      </c>
      <c r="D39" s="146" t="str">
        <v>ELIMINADO</v>
      </c>
      <c r="E39" s="146" t="str">
        <v>24 - CAMBIO DE CARRERA</v>
      </c>
      <c r="F39" s="146" t="n">
        <v>1</v>
      </c>
    </row>
    <row r="40" ht="32" customHeight="1">
      <c r="A40" s="146" t="str">
        <v>CICRE</v>
      </c>
      <c r="B40" s="146" t="str">
        <v>2025</v>
      </c>
      <c r="C40" s="146" t="str">
        <v>1</v>
      </c>
      <c r="D40" s="146" t="str">
        <v>VIGENTE</v>
      </c>
      <c r="E40" s="146" t="str">
        <v>1 - ALUMNO REGULAR</v>
      </c>
      <c r="F40" s="146" t="n">
        <v>111</v>
      </c>
    </row>
    <row r="41" ht="32" customHeight="1">
      <c r="A41" s="146" t="str">
        <v>CICRE</v>
      </c>
      <c r="B41" s="146" t="str">
        <v>2025</v>
      </c>
      <c r="C41" s="146" t="str">
        <v>1</v>
      </c>
      <c r="D41" s="146" t="str">
        <v>VIGENTE</v>
      </c>
      <c r="E41" s="146" t="str">
        <v>49 - CAMBIO DE JORNADA</v>
      </c>
      <c r="F41" s="146" t="n">
        <v>1</v>
      </c>
    </row>
    <row r="42" ht="32" customHeight="1">
      <c r="A42" s="146" t="str">
        <v>CICRE</v>
      </c>
      <c r="B42" s="146" t="str">
        <v>2025</v>
      </c>
      <c r="C42" s="146" t="str">
        <v>2</v>
      </c>
      <c r="D42" s="146" t="str">
        <v>ELIMINADO</v>
      </c>
      <c r="E42" s="146" t="str">
        <v>23 - RETIRO - RETRACTO</v>
      </c>
      <c r="F42" s="146" t="n">
        <v>2</v>
      </c>
    </row>
    <row r="43" ht="32" customHeight="1">
      <c r="A43" s="146" t="str">
        <v>CICRE</v>
      </c>
      <c r="B43" s="146" t="str">
        <v>2025</v>
      </c>
      <c r="C43" s="146" t="str">
        <v>2</v>
      </c>
      <c r="D43" s="146" t="str">
        <v>ELIMINADO</v>
      </c>
      <c r="E43" s="146" t="str">
        <v>24 - CAMBIO DE CARRERA</v>
      </c>
      <c r="F43" s="146" t="n">
        <v>1</v>
      </c>
    </row>
    <row r="44" ht="32" customHeight="1">
      <c r="A44" s="146" t="str">
        <v>CIIND</v>
      </c>
      <c r="B44" s="146" t="str">
        <v>2025</v>
      </c>
      <c r="C44" s="146" t="str">
        <v>1</v>
      </c>
      <c r="D44" s="146" t="str">
        <v>ELIMINADO</v>
      </c>
      <c r="E44" s="146" t="str">
        <v>11 - RENUNCIA POST INICIO CLASES</v>
      </c>
      <c r="F44" s="146" t="n">
        <v>2</v>
      </c>
    </row>
    <row r="45" ht="32" customHeight="1">
      <c r="A45" s="146" t="str">
        <v>CIIND</v>
      </c>
      <c r="B45" s="146" t="str">
        <v>2025</v>
      </c>
      <c r="C45" s="146" t="str">
        <v>1</v>
      </c>
      <c r="D45" s="146" t="str">
        <v>ELIMINADO</v>
      </c>
      <c r="E45" s="146" t="str">
        <v>23 - RETIRO - RETRACTO</v>
      </c>
      <c r="F45" s="146" t="n">
        <v>2</v>
      </c>
    </row>
    <row r="46" ht="32" customHeight="1">
      <c r="A46" s="146" t="str">
        <v>CIIND</v>
      </c>
      <c r="B46" s="146" t="str">
        <v>2025</v>
      </c>
      <c r="C46" s="146" t="str">
        <v>1</v>
      </c>
      <c r="D46" s="146" t="str">
        <v>SUSPENDIDO</v>
      </c>
      <c r="E46" s="146" t="str">
        <v>2 - SUSPENSIÓN TEMPORAL</v>
      </c>
      <c r="F46" s="146" t="n">
        <v>1</v>
      </c>
    </row>
    <row r="47" ht="32" customHeight="1">
      <c r="A47" s="146" t="str">
        <v>CIIND</v>
      </c>
      <c r="B47" s="146" t="str">
        <v>2025</v>
      </c>
      <c r="C47" s="146" t="str">
        <v>1</v>
      </c>
      <c r="D47" s="146" t="str">
        <v>VIGENTE</v>
      </c>
      <c r="E47" s="146" t="str">
        <v>1 - ALUMNO REGULAR</v>
      </c>
      <c r="F47" s="146" t="n">
        <v>37</v>
      </c>
    </row>
    <row r="48" ht="32" customHeight="1">
      <c r="A48" s="146" t="str">
        <v>CIIND</v>
      </c>
      <c r="B48" s="146" t="str">
        <v>2025</v>
      </c>
      <c r="C48" s="146" t="str">
        <v>2</v>
      </c>
      <c r="D48" s="146" t="str">
        <v>ELIMINADO</v>
      </c>
      <c r="E48" s="146" t="str">
        <v>23 - RETIRO - RETRACTO</v>
      </c>
      <c r="F48" s="146" t="n">
        <v>1</v>
      </c>
    </row>
    <row r="49" ht="32" customHeight="1">
      <c r="A49" s="146" t="str">
        <v>CIINF</v>
      </c>
      <c r="B49" s="146" t="str">
        <v>2025</v>
      </c>
      <c r="C49" s="146" t="str">
        <v>1</v>
      </c>
      <c r="D49" s="146" t="str">
        <v>ELIMINADO</v>
      </c>
      <c r="E49" s="146" t="str">
        <v>11 - RENUNCIA POST INICIO CLASES</v>
      </c>
      <c r="F49" s="146" t="n">
        <v>1</v>
      </c>
    </row>
    <row r="50" ht="32" customHeight="1">
      <c r="A50" s="146" t="str">
        <v>CIINF</v>
      </c>
      <c r="B50" s="146" t="str">
        <v>2025</v>
      </c>
      <c r="C50" s="146" t="str">
        <v>1</v>
      </c>
      <c r="D50" s="146" t="str">
        <v>ELIMINADO</v>
      </c>
      <c r="E50" s="146" t="str">
        <v>23 - RETIRO - RETRACTO</v>
      </c>
      <c r="F50" s="146" t="n">
        <v>4</v>
      </c>
    </row>
    <row r="51" ht="32" customHeight="1">
      <c r="A51" s="146" t="str">
        <v>CIINF</v>
      </c>
      <c r="B51" s="146" t="str">
        <v>2025</v>
      </c>
      <c r="C51" s="146" t="str">
        <v>1</v>
      </c>
      <c r="D51" s="146" t="str">
        <v>ELIMINADO</v>
      </c>
      <c r="E51" s="146" t="str">
        <v>24 - CAMBIO DE CARRERA</v>
      </c>
      <c r="F51" s="146" t="n">
        <v>3</v>
      </c>
    </row>
    <row r="52" ht="32" customHeight="1">
      <c r="A52" s="146" t="str">
        <v>CIINF</v>
      </c>
      <c r="B52" s="146" t="str">
        <v>2025</v>
      </c>
      <c r="C52" s="146" t="str">
        <v>1</v>
      </c>
      <c r="D52" s="146" t="str">
        <v>SUSPENDIDO</v>
      </c>
      <c r="E52" s="146" t="str">
        <v>2 - SUSPENSIÓN TEMPORAL</v>
      </c>
      <c r="F52" s="146" t="n">
        <v>2</v>
      </c>
    </row>
    <row r="53" ht="32" customHeight="1">
      <c r="A53" s="146" t="str">
        <v>CIINF</v>
      </c>
      <c r="B53" s="146" t="str">
        <v>2025</v>
      </c>
      <c r="C53" s="146" t="str">
        <v>1</v>
      </c>
      <c r="D53" s="146" t="str">
        <v>VIGENTE</v>
      </c>
      <c r="E53" s="146" t="str">
        <v>1 - ALUMNO REGULAR</v>
      </c>
      <c r="F53" s="146" t="n">
        <v>74</v>
      </c>
    </row>
    <row r="54" ht="32" customHeight="1">
      <c r="A54" s="146" t="str">
        <v>CIINF</v>
      </c>
      <c r="B54" s="146" t="str">
        <v>2025</v>
      </c>
      <c r="C54" s="146" t="str">
        <v>1</v>
      </c>
      <c r="D54" s="146" t="str">
        <v>VIGENTE</v>
      </c>
      <c r="E54" s="146" t="str">
        <v>38 - REINCORPORACION DE ACTIVIDADES</v>
      </c>
      <c r="F54" s="146" t="n">
        <v>1</v>
      </c>
    </row>
    <row r="55" ht="32" customHeight="1">
      <c r="A55" s="146" t="str">
        <v>CILOG</v>
      </c>
      <c r="B55" s="146" t="str">
        <v>2025</v>
      </c>
      <c r="C55" s="146" t="str">
        <v>1</v>
      </c>
      <c r="D55" s="146" t="str">
        <v>ELIMINADO</v>
      </c>
      <c r="E55" s="146" t="str">
        <v>11 - RENUNCIA POST INICIO CLASES</v>
      </c>
      <c r="F55" s="146" t="n">
        <v>1</v>
      </c>
    </row>
    <row r="56" ht="32" customHeight="1">
      <c r="A56" s="146" t="str">
        <v>CILOG</v>
      </c>
      <c r="B56" s="146" t="str">
        <v>2025</v>
      </c>
      <c r="C56" s="146" t="str">
        <v>1</v>
      </c>
      <c r="D56" s="146" t="str">
        <v>ELIMINADO</v>
      </c>
      <c r="E56" s="146" t="str">
        <v>23 - RETIRO - RETRACTO</v>
      </c>
      <c r="F56" s="146" t="n">
        <v>1</v>
      </c>
    </row>
    <row r="57" ht="32" customHeight="1">
      <c r="A57" s="146" t="str">
        <v>CILOG</v>
      </c>
      <c r="B57" s="146" t="str">
        <v>2025</v>
      </c>
      <c r="C57" s="146" t="str">
        <v>1</v>
      </c>
      <c r="D57" s="146" t="str">
        <v>SUSPENDIDO</v>
      </c>
      <c r="E57" s="146" t="str">
        <v>2 - SUSPENSIÓN TEMPORAL</v>
      </c>
      <c r="F57" s="146" t="n">
        <v>1</v>
      </c>
    </row>
    <row r="58" ht="32" customHeight="1">
      <c r="A58" s="146" t="str">
        <v>CILOG</v>
      </c>
      <c r="B58" s="146" t="str">
        <v>2025</v>
      </c>
      <c r="C58" s="146" t="str">
        <v>1</v>
      </c>
      <c r="D58" s="146" t="str">
        <v>VIGENTE</v>
      </c>
      <c r="E58" s="146" t="str">
        <v>1 - ALUMNO REGULAR</v>
      </c>
      <c r="F58" s="146" t="n">
        <v>14</v>
      </c>
    </row>
    <row r="59" ht="32" customHeight="1">
      <c r="A59" s="146" t="str">
        <v>CILOG</v>
      </c>
      <c r="B59" s="146" t="str">
        <v>2025</v>
      </c>
      <c r="C59" s="146" t="str">
        <v>1</v>
      </c>
      <c r="D59" s="146" t="str">
        <v>VIGENTE</v>
      </c>
      <c r="E59" s="146" t="str">
        <v>20 - VIGENTE SIN ACTIVIDAD ACADEMICA</v>
      </c>
      <c r="F59" s="146" t="n">
        <v>2</v>
      </c>
    </row>
    <row r="60" ht="32" customHeight="1">
      <c r="A60" s="146" t="str">
        <v>CNATP</v>
      </c>
      <c r="B60" s="146" t="str">
        <v>2025</v>
      </c>
      <c r="C60" s="146" t="str">
        <v>1</v>
      </c>
      <c r="D60" s="146" t="str">
        <v>ELIMINADO</v>
      </c>
      <c r="E60" s="146" t="str">
        <v>23 - RETIRO - RETRACTO</v>
      </c>
      <c r="F60" s="146" t="n">
        <v>1</v>
      </c>
    </row>
    <row r="61" ht="32" customHeight="1">
      <c r="A61" s="146" t="str">
        <v>CONG</v>
      </c>
      <c r="B61" s="146" t="str">
        <v>2025</v>
      </c>
      <c r="C61" s="146" t="str">
        <v>1</v>
      </c>
      <c r="D61" s="146" t="str">
        <v>ELIMINADO</v>
      </c>
      <c r="E61" s="146" t="str">
        <v>11 - RENUNCIA POST INICIO CLASES</v>
      </c>
      <c r="F61" s="146" t="n">
        <v>4</v>
      </c>
    </row>
    <row r="62" ht="32" customHeight="1">
      <c r="A62" s="146" t="str">
        <v>CONG</v>
      </c>
      <c r="B62" s="146" t="str">
        <v>2025</v>
      </c>
      <c r="C62" s="146" t="str">
        <v>1</v>
      </c>
      <c r="D62" s="146" t="str">
        <v>ELIMINADO</v>
      </c>
      <c r="E62" s="146" t="str">
        <v>23 - RETIRO - RETRACTO</v>
      </c>
      <c r="F62" s="146" t="n">
        <v>4</v>
      </c>
    </row>
    <row r="63" ht="32" customHeight="1">
      <c r="A63" s="146" t="str">
        <v>CONG</v>
      </c>
      <c r="B63" s="146" t="str">
        <v>2025</v>
      </c>
      <c r="C63" s="146" t="str">
        <v>1</v>
      </c>
      <c r="D63" s="146" t="str">
        <v>SUSPENDIDO</v>
      </c>
      <c r="E63" s="146" t="str">
        <v>2 - SUSPENSIÓN TEMPORAL</v>
      </c>
      <c r="F63" s="146" t="n">
        <v>1</v>
      </c>
    </row>
    <row r="64" ht="32" customHeight="1">
      <c r="A64" s="146" t="str">
        <v>CONG</v>
      </c>
      <c r="B64" s="146" t="str">
        <v>2025</v>
      </c>
      <c r="C64" s="146" t="str">
        <v>1</v>
      </c>
      <c r="D64" s="146" t="str">
        <v>VIGENTE</v>
      </c>
      <c r="E64" s="146" t="str">
        <v>1 - ALUMNO REGULAR</v>
      </c>
      <c r="F64" s="146" t="n">
        <v>23</v>
      </c>
    </row>
    <row r="65" ht="32" customHeight="1">
      <c r="A65" s="146" t="str">
        <v>CONG</v>
      </c>
      <c r="B65" s="146" t="str">
        <v>2025</v>
      </c>
      <c r="C65" s="146" t="str">
        <v>1</v>
      </c>
      <c r="D65" s="146" t="str">
        <v>VIGENTE</v>
      </c>
      <c r="E65" s="146" t="str">
        <v>20 - VIGENTE SIN ACTIVIDAD ACADEMICA</v>
      </c>
      <c r="F65" s="146" t="n">
        <v>12</v>
      </c>
    </row>
    <row r="66" ht="32" customHeight="1">
      <c r="A66" s="146" t="str">
        <v>DACD</v>
      </c>
      <c r="B66" s="146" t="str">
        <v>2025</v>
      </c>
      <c r="C66" s="146" t="str">
        <v>1</v>
      </c>
      <c r="D66" s="146" t="str">
        <v>VIGENTE</v>
      </c>
      <c r="E66" s="146" t="str">
        <v>1 - ALUMNO REGULAR</v>
      </c>
      <c r="F66" s="146" t="n">
        <v>9</v>
      </c>
    </row>
    <row r="67" ht="32" customHeight="1">
      <c r="A67" s="146" t="str">
        <v>DCBS</v>
      </c>
      <c r="B67" s="146" t="str">
        <v>2025</v>
      </c>
      <c r="C67" s="146" t="str">
        <v>1</v>
      </c>
      <c r="D67" s="146" t="str">
        <v>EGRESADO</v>
      </c>
      <c r="E67" s="146" t="str">
        <v>14 - APRUEBA PROGRAMA EC</v>
      </c>
      <c r="F67" s="146" t="n">
        <v>6</v>
      </c>
    </row>
    <row r="68" ht="32" customHeight="1">
      <c r="A68" s="146" t="str">
        <v>DCBS</v>
      </c>
      <c r="B68" s="146" t="str">
        <v>2025</v>
      </c>
      <c r="C68" s="146" t="str">
        <v>2</v>
      </c>
      <c r="D68" s="146" t="str">
        <v>VIGENTE</v>
      </c>
      <c r="E68" s="146" t="str">
        <v>1 - ALUMNO REGULAR</v>
      </c>
      <c r="F68" s="146" t="n">
        <v>11</v>
      </c>
    </row>
    <row r="69" ht="32" customHeight="1">
      <c r="A69" s="146" t="str">
        <v>DCSI</v>
      </c>
      <c r="B69" s="146" t="str">
        <v>2025</v>
      </c>
      <c r="C69" s="146" t="str">
        <v>1</v>
      </c>
      <c r="D69" s="146" t="str">
        <v>ELIMINADO</v>
      </c>
      <c r="E69" s="146" t="str">
        <v>23 - RETIRO - RETRACTO</v>
      </c>
      <c r="F69" s="146" t="n">
        <v>4</v>
      </c>
    </row>
    <row r="70" ht="32" customHeight="1">
      <c r="A70" s="146" t="str">
        <v>DCSI</v>
      </c>
      <c r="B70" s="146" t="str">
        <v>2025</v>
      </c>
      <c r="C70" s="146" t="str">
        <v>2</v>
      </c>
      <c r="D70" s="146" t="str">
        <v>ELIMINADO</v>
      </c>
      <c r="E70" s="146" t="str">
        <v>23 - RETIRO - RETRACTO</v>
      </c>
      <c r="F70" s="146" t="n">
        <v>1</v>
      </c>
    </row>
    <row r="71" ht="32" customHeight="1">
      <c r="A71" s="146" t="str">
        <v>DDSC</v>
      </c>
      <c r="B71" s="146" t="str">
        <v>2025</v>
      </c>
      <c r="C71" s="146" t="str">
        <v>1</v>
      </c>
      <c r="D71" s="146" t="str">
        <v>ELIMINADO</v>
      </c>
      <c r="E71" s="146" t="str">
        <v>23 - RETIRO - RETRACTO</v>
      </c>
      <c r="F71" s="146" t="n">
        <v>1</v>
      </c>
    </row>
    <row r="72" ht="32" customHeight="1">
      <c r="A72" s="146" t="str">
        <v>DDSC</v>
      </c>
      <c r="B72" s="146" t="str">
        <v>2025</v>
      </c>
      <c r="C72" s="146" t="str">
        <v>1</v>
      </c>
      <c r="D72" s="146" t="str">
        <v>VIGENTE</v>
      </c>
      <c r="E72" s="146" t="str">
        <v>1 - ALUMNO REGULAR</v>
      </c>
      <c r="F72" s="146" t="n">
        <v>2</v>
      </c>
    </row>
    <row r="73" ht="32" customHeight="1">
      <c r="A73" s="146" t="str">
        <v>DDSC</v>
      </c>
      <c r="B73" s="146" t="str">
        <v>2025</v>
      </c>
      <c r="C73" s="146" t="str">
        <v>2</v>
      </c>
      <c r="D73" s="146" t="str">
        <v>ELIMINADO</v>
      </c>
      <c r="E73" s="146" t="str">
        <v>23 - RETIRO - RETRACTO</v>
      </c>
      <c r="F73" s="146" t="n">
        <v>1</v>
      </c>
    </row>
    <row r="74" ht="32" customHeight="1">
      <c r="A74" s="146" t="str">
        <v>DDSC</v>
      </c>
      <c r="B74" s="146" t="str">
        <v>2025</v>
      </c>
      <c r="C74" s="146" t="str">
        <v>2</v>
      </c>
      <c r="D74" s="146" t="str">
        <v>VIGENTE</v>
      </c>
      <c r="E74" s="146" t="str">
        <v>1 - ALUMNO REGULAR</v>
      </c>
      <c r="F74" s="146" t="n">
        <v>8</v>
      </c>
    </row>
    <row r="75" ht="32" customHeight="1">
      <c r="A75" s="146" t="str">
        <v>DDSS</v>
      </c>
      <c r="B75" s="146" t="str">
        <v>2025</v>
      </c>
      <c r="C75" s="146" t="str">
        <v>2</v>
      </c>
      <c r="D75" s="146" t="str">
        <v>ELIMINADO</v>
      </c>
      <c r="E75" s="146" t="str">
        <v>23 - RETIRO - RETRACTO</v>
      </c>
      <c r="F75" s="146" t="n">
        <v>1</v>
      </c>
    </row>
    <row r="76" ht="32" customHeight="1">
      <c r="A76" s="146" t="str">
        <v>DFSK</v>
      </c>
      <c r="B76" s="146" t="str">
        <v>2025</v>
      </c>
      <c r="C76" s="146" t="str">
        <v>1</v>
      </c>
      <c r="D76" s="146" t="str">
        <v>VIGENTE</v>
      </c>
      <c r="E76" s="146" t="str">
        <v>1 - ALUMNO REGULAR</v>
      </c>
      <c r="F76" s="146" t="n">
        <v>18</v>
      </c>
    </row>
    <row r="77" ht="32" customHeight="1">
      <c r="A77" s="146" t="str">
        <v>DFSK</v>
      </c>
      <c r="B77" s="146" t="str">
        <v>2025</v>
      </c>
      <c r="C77" s="146" t="str">
        <v>2</v>
      </c>
      <c r="D77" s="146" t="str">
        <v>ELIMINADO</v>
      </c>
      <c r="E77" s="146" t="str">
        <v>23 - RETIRO - RETRACTO</v>
      </c>
      <c r="F77" s="146" t="n">
        <v>1</v>
      </c>
    </row>
    <row r="78" ht="32" customHeight="1">
      <c r="A78" s="146" t="str">
        <v>DGDA</v>
      </c>
      <c r="B78" s="146" t="str">
        <v>2025</v>
      </c>
      <c r="C78" s="146" t="str">
        <v>2</v>
      </c>
      <c r="D78" s="146" t="str">
        <v>ELIMINADO</v>
      </c>
      <c r="E78" s="146" t="str">
        <v>23 - RETIRO - RETRACTO</v>
      </c>
      <c r="F78" s="146" t="n">
        <v>1</v>
      </c>
    </row>
    <row r="79" ht="32" customHeight="1">
      <c r="A79" s="146" t="str">
        <v>DHDS</v>
      </c>
      <c r="B79" s="146" t="str">
        <v>2025</v>
      </c>
      <c r="C79" s="146" t="str">
        <v>1</v>
      </c>
      <c r="D79" s="146" t="str">
        <v>ELIMINADO</v>
      </c>
      <c r="E79" s="146" t="str">
        <v>23 - RETIRO - RETRACTO</v>
      </c>
      <c r="F79" s="146" t="n">
        <v>1</v>
      </c>
    </row>
    <row r="80" ht="32" customHeight="1">
      <c r="A80" s="146" t="str">
        <v>DIAR</v>
      </c>
      <c r="B80" s="146" t="str">
        <v>2025</v>
      </c>
      <c r="C80" s="146" t="str">
        <v>1</v>
      </c>
      <c r="D80" s="146" t="str">
        <v>VIGENTE</v>
      </c>
      <c r="E80" s="146" t="str">
        <v>1 - ALUMNO REGULAR</v>
      </c>
      <c r="F80" s="146" t="n">
        <v>5</v>
      </c>
    </row>
    <row r="81" ht="32" customHeight="1">
      <c r="A81" s="146" t="str">
        <v>DICD</v>
      </c>
      <c r="B81" s="146" t="str">
        <v>2025</v>
      </c>
      <c r="C81" s="146" t="str">
        <v>2</v>
      </c>
      <c r="D81" s="146" t="str">
        <v>ELIMINADO</v>
      </c>
      <c r="E81" s="146" t="str">
        <v>23 - RETIRO - RETRACTO</v>
      </c>
      <c r="F81" s="146" t="n">
        <v>1</v>
      </c>
    </row>
    <row r="82" ht="32" customHeight="1">
      <c r="A82" s="146" t="str">
        <v>DICD</v>
      </c>
      <c r="B82" s="146" t="str">
        <v>2025</v>
      </c>
      <c r="C82" s="146" t="str">
        <v>2</v>
      </c>
      <c r="D82" s="146" t="str">
        <v>VIGENTE</v>
      </c>
      <c r="E82" s="146" t="str">
        <v>1 - ALUMNO REGULAR</v>
      </c>
      <c r="F82" s="146" t="n">
        <v>9</v>
      </c>
    </row>
    <row r="83" ht="32" customHeight="1">
      <c r="A83" s="146" t="str">
        <v>DQAS</v>
      </c>
      <c r="B83" s="146" t="str">
        <v>2025</v>
      </c>
      <c r="C83" s="146" t="str">
        <v>2</v>
      </c>
      <c r="D83" s="146" t="str">
        <v>ELIMINADO</v>
      </c>
      <c r="E83" s="146" t="str">
        <v>23 - RETIRO - RETRACTO</v>
      </c>
      <c r="F83" s="146" t="n">
        <v>3</v>
      </c>
    </row>
    <row r="84" ht="32" customHeight="1">
      <c r="A84" s="146" t="str">
        <v>DRID</v>
      </c>
      <c r="B84" s="146" t="str">
        <v>2025</v>
      </c>
      <c r="C84" s="146" t="str">
        <v>2</v>
      </c>
      <c r="D84" s="146" t="str">
        <v>ELIMINADO</v>
      </c>
      <c r="E84" s="146" t="str">
        <v>23 - RETIRO - RETRACTO</v>
      </c>
      <c r="F84" s="146" t="n">
        <v>2</v>
      </c>
    </row>
    <row r="85" ht="32" customHeight="1">
      <c r="A85" s="146" t="str">
        <v>DSCM</v>
      </c>
      <c r="B85" s="146" t="str">
        <v>2025</v>
      </c>
      <c r="C85" s="146" t="str">
        <v>1</v>
      </c>
      <c r="D85" s="146" t="str">
        <v>ELIMINADO</v>
      </c>
      <c r="E85" s="146" t="str">
        <v>23 - RETIRO - RETRACTO</v>
      </c>
      <c r="F85" s="146" t="n">
        <v>1</v>
      </c>
    </row>
    <row r="86" ht="32" customHeight="1">
      <c r="A86" s="146" t="str">
        <v>DSFA</v>
      </c>
      <c r="B86" s="146" t="str">
        <v>2025</v>
      </c>
      <c r="C86" s="146" t="str">
        <v>1</v>
      </c>
      <c r="D86" s="146" t="str">
        <v>ELIMINADO</v>
      </c>
      <c r="E86" s="146" t="str">
        <v>23 - RETIRO - RETRACTO</v>
      </c>
      <c r="F86" s="146" t="n">
        <v>1</v>
      </c>
    </row>
    <row r="87" ht="32" customHeight="1">
      <c r="A87" s="146" t="str">
        <v>DSOF</v>
      </c>
      <c r="B87" s="146" t="str">
        <v>2025</v>
      </c>
      <c r="C87" s="146" t="str">
        <v>1</v>
      </c>
      <c r="D87" s="146" t="str">
        <v>ELIMINADO</v>
      </c>
      <c r="E87" s="146" t="str">
        <v>23 - RETIRO - RETRACTO</v>
      </c>
      <c r="F87" s="146" t="n">
        <v>1</v>
      </c>
    </row>
    <row r="88" ht="32" customHeight="1">
      <c r="A88" s="146" t="str">
        <v>ECCURYDP</v>
      </c>
      <c r="B88" s="146" t="str">
        <v>2025</v>
      </c>
      <c r="C88" s="146" t="str">
        <v>1</v>
      </c>
      <c r="D88" s="146" t="str">
        <v>VIGENTE</v>
      </c>
      <c r="E88" s="146" t="str">
        <v>1 - ALUMNO REGULAR</v>
      </c>
      <c r="F88" s="146" t="n">
        <v>2</v>
      </c>
    </row>
    <row r="89" ht="32" customHeight="1">
      <c r="A89" s="146" t="str">
        <v>IADM</v>
      </c>
      <c r="B89" s="146" t="str">
        <v>2025</v>
      </c>
      <c r="C89" s="146" t="str">
        <v>1</v>
      </c>
      <c r="D89" s="146" t="str">
        <v>ELIMINADO</v>
      </c>
      <c r="E89" s="146" t="str">
        <v>11 - RENUNCIA POST INICIO CLASES</v>
      </c>
      <c r="F89" s="146" t="n">
        <v>8</v>
      </c>
    </row>
    <row r="90" ht="32" customHeight="1">
      <c r="A90" s="146" t="str">
        <v>IADM</v>
      </c>
      <c r="B90" s="146" t="str">
        <v>2025</v>
      </c>
      <c r="C90" s="146" t="str">
        <v>1</v>
      </c>
      <c r="D90" s="146" t="str">
        <v>ELIMINADO</v>
      </c>
      <c r="E90" s="146" t="str">
        <v>23 - RETIRO - RETRACTO</v>
      </c>
      <c r="F90" s="146" t="n">
        <v>21</v>
      </c>
    </row>
    <row r="91" ht="32" customHeight="1">
      <c r="A91" s="146" t="str">
        <v>IADM</v>
      </c>
      <c r="B91" s="146" t="str">
        <v>2025</v>
      </c>
      <c r="C91" s="146" t="str">
        <v>1</v>
      </c>
      <c r="D91" s="146" t="str">
        <v>ELIMINADO</v>
      </c>
      <c r="E91" s="146" t="str">
        <v>24 - CAMBIO DE CARRERA</v>
      </c>
      <c r="F91" s="146" t="n">
        <v>3</v>
      </c>
    </row>
    <row r="92" ht="32" customHeight="1">
      <c r="A92" s="146" t="str">
        <v>IADM</v>
      </c>
      <c r="B92" s="146" t="str">
        <v>2025</v>
      </c>
      <c r="C92" s="146" t="str">
        <v>1</v>
      </c>
      <c r="D92" s="146" t="str">
        <v>SUSPENDIDO</v>
      </c>
      <c r="E92" s="146" t="str">
        <v>2 - SUSPENSIÓN TEMPORAL</v>
      </c>
      <c r="F92" s="146" t="n">
        <v>2</v>
      </c>
    </row>
    <row r="93" ht="32" customHeight="1">
      <c r="A93" s="146" t="str">
        <v>IADM</v>
      </c>
      <c r="B93" s="146" t="str">
        <v>2025</v>
      </c>
      <c r="C93" s="146" t="str">
        <v>1</v>
      </c>
      <c r="D93" s="146" t="str">
        <v>VIGENTE</v>
      </c>
      <c r="E93" s="146" t="str">
        <v>1 - ALUMNO REGULAR</v>
      </c>
      <c r="F93" s="146" t="n">
        <v>51</v>
      </c>
    </row>
    <row r="94" ht="32" customHeight="1">
      <c r="A94" s="146" t="str">
        <v>IADM</v>
      </c>
      <c r="B94" s="146" t="str">
        <v>2025</v>
      </c>
      <c r="C94" s="146" t="str">
        <v>1</v>
      </c>
      <c r="D94" s="146" t="str">
        <v>VIGENTE</v>
      </c>
      <c r="E94" s="146" t="str">
        <v>20 - VIGENTE SIN ACTIVIDAD ACADEMICA</v>
      </c>
      <c r="F94" s="146" t="n">
        <v>35</v>
      </c>
    </row>
    <row r="95" ht="32" customHeight="1">
      <c r="A95" s="146" t="str">
        <v>IADM</v>
      </c>
      <c r="B95" s="146" t="str">
        <v>2025</v>
      </c>
      <c r="C95" s="146" t="str">
        <v>1</v>
      </c>
      <c r="D95" s="146" t="str">
        <v>VIGENTE</v>
      </c>
      <c r="E95" s="146" t="str">
        <v>49 - CAMBIO DE JORNADA</v>
      </c>
      <c r="F95" s="146" t="n">
        <v>5</v>
      </c>
    </row>
    <row r="96" ht="32" customHeight="1">
      <c r="A96" s="146" t="str">
        <v>IADM</v>
      </c>
      <c r="B96" s="146" t="str">
        <v>2025</v>
      </c>
      <c r="C96" s="146" t="str">
        <v>2</v>
      </c>
      <c r="D96" s="146" t="str">
        <v>ELIMINADO</v>
      </c>
      <c r="E96" s="146" t="str">
        <v>11 - RENUNCIA POST INICIO CLASES</v>
      </c>
      <c r="F96" s="146" t="n">
        <v>3</v>
      </c>
    </row>
    <row r="97" ht="32" customHeight="1">
      <c r="A97" s="146" t="str">
        <v>IADM</v>
      </c>
      <c r="B97" s="146" t="str">
        <v>2025</v>
      </c>
      <c r="C97" s="146" t="str">
        <v>2</v>
      </c>
      <c r="D97" s="146" t="str">
        <v>ELIMINADO</v>
      </c>
      <c r="E97" s="146" t="str">
        <v>23 - RETIRO - RETRACTO</v>
      </c>
      <c r="F97" s="146" t="n">
        <v>2</v>
      </c>
    </row>
    <row r="98" ht="32" customHeight="1">
      <c r="A98" s="146" t="str">
        <v>IADM</v>
      </c>
      <c r="B98" s="146" t="str">
        <v>2025</v>
      </c>
      <c r="C98" s="146" t="str">
        <v>2</v>
      </c>
      <c r="D98" s="146" t="str">
        <v>ELIMINADO</v>
      </c>
      <c r="E98" s="146" t="str">
        <v>24 - CAMBIO DE CARRERA</v>
      </c>
      <c r="F98" s="146" t="n">
        <v>1</v>
      </c>
    </row>
    <row r="99" ht="32" customHeight="1">
      <c r="A99" s="146" t="str">
        <v>IADM</v>
      </c>
      <c r="B99" s="146" t="str">
        <v>2025</v>
      </c>
      <c r="C99" s="146" t="str">
        <v>2</v>
      </c>
      <c r="D99" s="146" t="str">
        <v>VIGENTE</v>
      </c>
      <c r="E99" s="146" t="str">
        <v>1 - ALUMNO REGULAR</v>
      </c>
      <c r="F99" s="146" t="n">
        <v>34</v>
      </c>
    </row>
    <row r="100" ht="32" customHeight="1">
      <c r="A100" s="146" t="str">
        <v>IADM</v>
      </c>
      <c r="B100" s="146" t="str">
        <v>2025</v>
      </c>
      <c r="C100" s="146" t="str">
        <v>3</v>
      </c>
      <c r="D100" s="146" t="str">
        <v>ELIMINADO</v>
      </c>
      <c r="E100" s="146" t="str">
        <v>23 - RETIRO - RETRACTO</v>
      </c>
      <c r="F100" s="146" t="n">
        <v>1</v>
      </c>
    </row>
    <row r="101" ht="32" customHeight="1">
      <c r="A101" s="146" t="str">
        <v>IADM</v>
      </c>
      <c r="B101" s="146" t="str">
        <v>2025</v>
      </c>
      <c r="C101" s="146" t="str">
        <v>3</v>
      </c>
      <c r="D101" s="146" t="str">
        <v>VIGENTE</v>
      </c>
      <c r="E101" s="146" t="str">
        <v>1 - ALUMNO REGULAR</v>
      </c>
      <c r="F101" s="146" t="n">
        <v>20</v>
      </c>
    </row>
    <row r="102" ht="32" customHeight="1">
      <c r="A102" s="146" t="str">
        <v>ICDA</v>
      </c>
      <c r="B102" s="146" t="str">
        <v>2025</v>
      </c>
      <c r="C102" s="146" t="str">
        <v>1</v>
      </c>
      <c r="D102" s="146" t="str">
        <v>ELIMINADO</v>
      </c>
      <c r="E102" s="146" t="str">
        <v>11 - RENUNCIA POST INICIO CLASES</v>
      </c>
      <c r="F102" s="146" t="n">
        <v>2</v>
      </c>
    </row>
    <row r="103" ht="32" customHeight="1">
      <c r="A103" s="146" t="str">
        <v>ICDA</v>
      </c>
      <c r="B103" s="146" t="str">
        <v>2025</v>
      </c>
      <c r="C103" s="146" t="str">
        <v>1</v>
      </c>
      <c r="D103" s="146" t="str">
        <v>ELIMINADO</v>
      </c>
      <c r="E103" s="146" t="str">
        <v>23 - RETIRO - RETRACTO</v>
      </c>
      <c r="F103" s="146" t="n">
        <v>2</v>
      </c>
    </row>
    <row r="104" ht="32" customHeight="1">
      <c r="A104" s="146" t="str">
        <v>ICDA</v>
      </c>
      <c r="B104" s="146" t="str">
        <v>2025</v>
      </c>
      <c r="C104" s="146" t="str">
        <v>1</v>
      </c>
      <c r="D104" s="146" t="str">
        <v>ELIMINADO</v>
      </c>
      <c r="E104" s="146" t="str">
        <v>24 - CAMBIO DE CARRERA</v>
      </c>
      <c r="F104" s="146" t="n">
        <v>2</v>
      </c>
    </row>
    <row r="105" ht="32" customHeight="1">
      <c r="A105" s="146" t="str">
        <v>ICDA</v>
      </c>
      <c r="B105" s="146" t="str">
        <v>2025</v>
      </c>
      <c r="C105" s="146" t="str">
        <v>1</v>
      </c>
      <c r="D105" s="146" t="str">
        <v>VIGENTE</v>
      </c>
      <c r="E105" s="146" t="str">
        <v>1 - ALUMNO REGULAR</v>
      </c>
      <c r="F105" s="146" t="n">
        <v>31</v>
      </c>
    </row>
    <row r="106" ht="32" customHeight="1">
      <c r="A106" s="146" t="str">
        <v>ICDA</v>
      </c>
      <c r="B106" s="146" t="str">
        <v>2025</v>
      </c>
      <c r="C106" s="146" t="str">
        <v>1</v>
      </c>
      <c r="D106" s="146" t="str">
        <v>VIGENTE</v>
      </c>
      <c r="E106" s="146" t="str">
        <v>20 - VIGENTE SIN ACTIVIDAD ACADEMICA</v>
      </c>
      <c r="F106" s="146" t="n">
        <v>10</v>
      </c>
    </row>
    <row r="107" ht="32" customHeight="1">
      <c r="A107" s="146" t="str">
        <v>ICDA</v>
      </c>
      <c r="B107" s="146" t="str">
        <v>2025</v>
      </c>
      <c r="C107" s="146" t="str">
        <v>1</v>
      </c>
      <c r="D107" s="146" t="str">
        <v>VIGENTE</v>
      </c>
      <c r="E107" s="146" t="str">
        <v>38 - REINCORPORACION DE ACTIVIDADES</v>
      </c>
      <c r="F107" s="146" t="n">
        <v>1</v>
      </c>
    </row>
    <row r="108" ht="32" customHeight="1">
      <c r="A108" s="146" t="str">
        <v>ICDA</v>
      </c>
      <c r="B108" s="146" t="str">
        <v>2025</v>
      </c>
      <c r="C108" s="146" t="str">
        <v>2</v>
      </c>
      <c r="D108" s="146" t="str">
        <v>ELIMINADO</v>
      </c>
      <c r="E108" s="146" t="str">
        <v>23 - RETIRO - RETRACTO</v>
      </c>
      <c r="F108" s="146" t="n">
        <v>4</v>
      </c>
    </row>
    <row r="109" ht="32" customHeight="1">
      <c r="A109" s="146" t="str">
        <v>ICIB</v>
      </c>
      <c r="B109" s="146" t="str">
        <v>2025</v>
      </c>
      <c r="C109" s="146" t="str">
        <v>1</v>
      </c>
      <c r="D109" s="146" t="str">
        <v>ELIMINADO</v>
      </c>
      <c r="E109" s="146" t="str">
        <v>11 - RENUNCIA POST INICIO CLASES</v>
      </c>
      <c r="F109" s="146" t="n">
        <v>12</v>
      </c>
    </row>
    <row r="110" ht="32" customHeight="1">
      <c r="A110" s="146" t="str">
        <v>ICIB</v>
      </c>
      <c r="B110" s="146" t="str">
        <v>2025</v>
      </c>
      <c r="C110" s="146" t="str">
        <v>1</v>
      </c>
      <c r="D110" s="146" t="str">
        <v>ELIMINADO</v>
      </c>
      <c r="E110" s="146" t="str">
        <v>23 - RETIRO - RETRACTO</v>
      </c>
      <c r="F110" s="146" t="n">
        <v>11</v>
      </c>
    </row>
    <row r="111" ht="32" customHeight="1">
      <c r="A111" s="146" t="str">
        <v>ICIB</v>
      </c>
      <c r="B111" s="146" t="str">
        <v>2025</v>
      </c>
      <c r="C111" s="146" t="str">
        <v>1</v>
      </c>
      <c r="D111" s="146" t="str">
        <v>ELIMINADO</v>
      </c>
      <c r="E111" s="146" t="str">
        <v>24 - CAMBIO DE CARRERA</v>
      </c>
      <c r="F111" s="146" t="n">
        <v>3</v>
      </c>
    </row>
    <row r="112" ht="32" customHeight="1">
      <c r="A112" s="146" t="str">
        <v>ICIB</v>
      </c>
      <c r="B112" s="146" t="str">
        <v>2025</v>
      </c>
      <c r="C112" s="146" t="str">
        <v>1</v>
      </c>
      <c r="D112" s="146" t="str">
        <v>SUSPENDIDO</v>
      </c>
      <c r="E112" s="146" t="str">
        <v>2 - SUSPENSIÓN TEMPORAL</v>
      </c>
      <c r="F112" s="146" t="n">
        <v>1</v>
      </c>
    </row>
    <row r="113" ht="32" customHeight="1">
      <c r="A113" s="146" t="str">
        <v>ICIB</v>
      </c>
      <c r="B113" s="146" t="str">
        <v>2025</v>
      </c>
      <c r="C113" s="146" t="str">
        <v>1</v>
      </c>
      <c r="D113" s="146" t="str">
        <v>VIGENTE</v>
      </c>
      <c r="E113" s="146" t="str">
        <v>1 - ALUMNO REGULAR</v>
      </c>
      <c r="F113" s="146" t="n">
        <v>170</v>
      </c>
    </row>
    <row r="114" ht="32" customHeight="1">
      <c r="A114" s="146" t="str">
        <v>ICIB</v>
      </c>
      <c r="B114" s="146" t="str">
        <v>2025</v>
      </c>
      <c r="C114" s="146" t="str">
        <v>1</v>
      </c>
      <c r="D114" s="146" t="str">
        <v>VIGENTE</v>
      </c>
      <c r="E114" s="146" t="str">
        <v>100 - TITULACIÓN INTERMEDIA</v>
      </c>
      <c r="F114" s="146" t="n">
        <v>12</v>
      </c>
    </row>
    <row r="115" ht="32" customHeight="1">
      <c r="A115" s="146" t="str">
        <v>ICIB</v>
      </c>
      <c r="B115" s="146" t="str">
        <v>2025</v>
      </c>
      <c r="C115" s="146" t="str">
        <v>1</v>
      </c>
      <c r="D115" s="146" t="str">
        <v>VIGENTE</v>
      </c>
      <c r="E115" s="146" t="str">
        <v>20 - VIGENTE SIN ACTIVIDAD ACADEMICA</v>
      </c>
      <c r="F115" s="146" t="n">
        <v>16</v>
      </c>
    </row>
    <row r="116" ht="32" customHeight="1">
      <c r="A116" s="146" t="str">
        <v>ICIB</v>
      </c>
      <c r="B116" s="146" t="str">
        <v>2025</v>
      </c>
      <c r="C116" s="146" t="str">
        <v>1</v>
      </c>
      <c r="D116" s="146" t="str">
        <v>VIGENTE</v>
      </c>
      <c r="E116" s="146" t="str">
        <v>38 - REINCORPORACION DE ACTIVIDADES</v>
      </c>
      <c r="F116" s="146" t="n">
        <v>1</v>
      </c>
    </row>
    <row r="117" ht="32" customHeight="1">
      <c r="A117" s="146" t="str">
        <v>ICIB</v>
      </c>
      <c r="B117" s="146" t="str">
        <v>2025</v>
      </c>
      <c r="C117" s="146" t="str">
        <v>1</v>
      </c>
      <c r="D117" s="146" t="str">
        <v>VIGENTE</v>
      </c>
      <c r="E117" s="146" t="str">
        <v>49 - CAMBIO DE JORNADA</v>
      </c>
      <c r="F117" s="146" t="n">
        <v>16</v>
      </c>
    </row>
    <row r="118" ht="32" customHeight="1">
      <c r="A118" s="146" t="str">
        <v>ICIB</v>
      </c>
      <c r="B118" s="146" t="str">
        <v>2025</v>
      </c>
      <c r="C118" s="146" t="str">
        <v>2</v>
      </c>
      <c r="D118" s="146" t="str">
        <v>ELIMINADO</v>
      </c>
      <c r="E118" s="146" t="str">
        <v>11 - RENUNCIA POST INICIO CLASES</v>
      </c>
      <c r="F118" s="146" t="n">
        <v>3</v>
      </c>
    </row>
    <row r="119" ht="32" customHeight="1">
      <c r="A119" s="146" t="str">
        <v>ICIB</v>
      </c>
      <c r="B119" s="146" t="str">
        <v>2025</v>
      </c>
      <c r="C119" s="146" t="str">
        <v>2</v>
      </c>
      <c r="D119" s="146" t="str">
        <v>ELIMINADO</v>
      </c>
      <c r="E119" s="146" t="str">
        <v>23 - RETIRO - RETRACTO</v>
      </c>
      <c r="F119" s="146" t="n">
        <v>1</v>
      </c>
    </row>
    <row r="120" ht="32" customHeight="1">
      <c r="A120" s="146" t="str">
        <v>ICIB</v>
      </c>
      <c r="B120" s="146" t="str">
        <v>2025</v>
      </c>
      <c r="C120" s="146" t="str">
        <v>2</v>
      </c>
      <c r="D120" s="146" t="str">
        <v>VIGENTE</v>
      </c>
      <c r="E120" s="146" t="str">
        <v>1 - ALUMNO REGULAR</v>
      </c>
      <c r="F120" s="146" t="n">
        <v>34</v>
      </c>
    </row>
    <row r="121" ht="32" customHeight="1">
      <c r="A121" s="146" t="str">
        <v>ICIB</v>
      </c>
      <c r="B121" s="146" t="str">
        <v>2025</v>
      </c>
      <c r="C121" s="146" t="str">
        <v>2</v>
      </c>
      <c r="D121" s="146" t="str">
        <v>VIGENTE</v>
      </c>
      <c r="E121" s="146" t="str">
        <v>38 - REINCORPORACION DE ACTIVIDADES</v>
      </c>
      <c r="F121" s="146" t="n">
        <v>1</v>
      </c>
    </row>
    <row r="122" ht="32" customHeight="1">
      <c r="A122" s="146" t="str">
        <v>ICIB</v>
      </c>
      <c r="B122" s="146" t="str">
        <v>2025</v>
      </c>
      <c r="C122" s="146" t="str">
        <v>3</v>
      </c>
      <c r="D122" s="146" t="str">
        <v>VIGENTE</v>
      </c>
      <c r="E122" s="146" t="str">
        <v>1 - ALUMNO REGULAR</v>
      </c>
      <c r="F122" s="146" t="n">
        <v>25</v>
      </c>
    </row>
    <row r="123" ht="32" customHeight="1">
      <c r="A123" s="146" t="str">
        <v>ICRE</v>
      </c>
      <c r="B123" s="146" t="str">
        <v>2025</v>
      </c>
      <c r="C123" s="146" t="str">
        <v>1</v>
      </c>
      <c r="D123" s="146" t="str">
        <v>ELIMINADO</v>
      </c>
      <c r="E123" s="146" t="str">
        <v>11 - RENUNCIA POST INICIO CLASES</v>
      </c>
      <c r="F123" s="146" t="n">
        <v>4</v>
      </c>
    </row>
    <row r="124" ht="32" customHeight="1">
      <c r="A124" s="146" t="str">
        <v>ICRE</v>
      </c>
      <c r="B124" s="146" t="str">
        <v>2025</v>
      </c>
      <c r="C124" s="146" t="str">
        <v>1</v>
      </c>
      <c r="D124" s="146" t="str">
        <v>ELIMINADO</v>
      </c>
      <c r="E124" s="146" t="str">
        <v>23 - RETIRO - RETRACTO</v>
      </c>
      <c r="F124" s="146" t="n">
        <v>5</v>
      </c>
    </row>
    <row r="125" ht="32" customHeight="1">
      <c r="A125" s="146" t="str">
        <v>ICRE</v>
      </c>
      <c r="B125" s="146" t="str">
        <v>2025</v>
      </c>
      <c r="C125" s="146" t="str">
        <v>1</v>
      </c>
      <c r="D125" s="146" t="str">
        <v>ELIMINADO</v>
      </c>
      <c r="E125" s="146" t="str">
        <v>24 - CAMBIO DE CARRERA</v>
      </c>
      <c r="F125" s="146" t="n">
        <v>5</v>
      </c>
    </row>
    <row r="126" ht="32" customHeight="1">
      <c r="A126" s="146" t="str">
        <v>ICRE</v>
      </c>
      <c r="B126" s="146" t="str">
        <v>2025</v>
      </c>
      <c r="C126" s="146" t="str">
        <v>1</v>
      </c>
      <c r="D126" s="146" t="str">
        <v>ELIMINADO</v>
      </c>
      <c r="E126" s="146" t="str">
        <v>95 - DEFUNCIÓN</v>
      </c>
      <c r="F126" s="146" t="n">
        <v>1</v>
      </c>
    </row>
    <row r="127" ht="32" customHeight="1">
      <c r="A127" s="146" t="str">
        <v>ICRE</v>
      </c>
      <c r="B127" s="146" t="str">
        <v>2025</v>
      </c>
      <c r="C127" s="146" t="str">
        <v>1</v>
      </c>
      <c r="D127" s="146" t="str">
        <v>VIGENTE</v>
      </c>
      <c r="E127" s="146" t="str">
        <v>1 - ALUMNO REGULAR</v>
      </c>
      <c r="F127" s="146" t="n">
        <v>131</v>
      </c>
    </row>
    <row r="128" ht="32" customHeight="1">
      <c r="A128" s="146" t="str">
        <v>ICRE</v>
      </c>
      <c r="B128" s="146" t="str">
        <v>2025</v>
      </c>
      <c r="C128" s="146" t="str">
        <v>1</v>
      </c>
      <c r="D128" s="146" t="str">
        <v>VIGENTE</v>
      </c>
      <c r="E128" s="146" t="str">
        <v>100 - TITULACIÓN INTERMEDIA</v>
      </c>
      <c r="F128" s="146" t="n">
        <v>2</v>
      </c>
    </row>
    <row r="129" ht="32" customHeight="1">
      <c r="A129" s="146" t="str">
        <v>ICRE</v>
      </c>
      <c r="B129" s="146" t="str">
        <v>2025</v>
      </c>
      <c r="C129" s="146" t="str">
        <v>1</v>
      </c>
      <c r="D129" s="146" t="str">
        <v>VIGENTE</v>
      </c>
      <c r="E129" s="146" t="str">
        <v>20 - VIGENTE SIN ACTIVIDAD ACADEMICA</v>
      </c>
      <c r="F129" s="146" t="n">
        <v>7</v>
      </c>
    </row>
    <row r="130" ht="32" customHeight="1">
      <c r="A130" s="146" t="str">
        <v>ICRE</v>
      </c>
      <c r="B130" s="146" t="str">
        <v>2025</v>
      </c>
      <c r="C130" s="146" t="str">
        <v>1</v>
      </c>
      <c r="D130" s="146" t="str">
        <v>VIGENTE</v>
      </c>
      <c r="E130" s="146" t="str">
        <v>38 - REINCORPORACION DE ACTIVIDADES</v>
      </c>
      <c r="F130" s="146" t="n">
        <v>2</v>
      </c>
    </row>
    <row r="131" ht="32" customHeight="1">
      <c r="A131" s="146" t="str">
        <v>ICRE</v>
      </c>
      <c r="B131" s="146" t="str">
        <v>2025</v>
      </c>
      <c r="C131" s="146" t="str">
        <v>1</v>
      </c>
      <c r="D131" s="146" t="str">
        <v>VIGENTE</v>
      </c>
      <c r="E131" s="146" t="str">
        <v>49 - CAMBIO DE JORNADA</v>
      </c>
      <c r="F131" s="146" t="n">
        <v>8</v>
      </c>
    </row>
    <row r="132" ht="32" customHeight="1">
      <c r="A132" s="146" t="str">
        <v>ICRE</v>
      </c>
      <c r="B132" s="146" t="str">
        <v>2025</v>
      </c>
      <c r="C132" s="146" t="str">
        <v>2</v>
      </c>
      <c r="D132" s="146" t="str">
        <v>ELIMINADO</v>
      </c>
      <c r="E132" s="146" t="str">
        <v>23 - RETIRO - RETRACTO</v>
      </c>
      <c r="F132" s="146" t="n">
        <v>4</v>
      </c>
    </row>
    <row r="133" ht="32" customHeight="1">
      <c r="A133" s="146" t="str">
        <v>ICRE</v>
      </c>
      <c r="B133" s="146" t="str">
        <v>2025</v>
      </c>
      <c r="C133" s="146" t="str">
        <v>2</v>
      </c>
      <c r="D133" s="146" t="str">
        <v>ELIMINADO</v>
      </c>
      <c r="E133" s="146" t="str">
        <v>24 - CAMBIO DE CARRERA</v>
      </c>
      <c r="F133" s="146" t="n">
        <v>1</v>
      </c>
    </row>
    <row r="134" ht="32" customHeight="1">
      <c r="A134" s="146" t="str">
        <v>ICRE</v>
      </c>
      <c r="B134" s="146" t="str">
        <v>2025</v>
      </c>
      <c r="C134" s="146" t="str">
        <v>2</v>
      </c>
      <c r="D134" s="146" t="str">
        <v>VIGENTE</v>
      </c>
      <c r="E134" s="146" t="str">
        <v>1 - ALUMNO REGULAR</v>
      </c>
      <c r="F134" s="146" t="n">
        <v>3</v>
      </c>
    </row>
    <row r="135" ht="32" customHeight="1">
      <c r="A135" s="146" t="str">
        <v>IECIREOL</v>
      </c>
      <c r="B135" s="146" t="str">
        <v>2025</v>
      </c>
      <c r="C135" s="146" t="str">
        <v>1</v>
      </c>
      <c r="D135" s="146" t="str">
        <v>VIGENTE</v>
      </c>
      <c r="E135" s="146" t="str">
        <v>1 - ALUMNO REGULAR</v>
      </c>
      <c r="F135" s="146" t="n">
        <v>9</v>
      </c>
    </row>
    <row r="136" ht="32" customHeight="1">
      <c r="A136" s="146" t="str">
        <v>IECIREOL</v>
      </c>
      <c r="B136" s="146" t="str">
        <v>2025</v>
      </c>
      <c r="C136" s="146" t="str">
        <v>1</v>
      </c>
      <c r="D136" s="146" t="str">
        <v>VIGENTE</v>
      </c>
      <c r="E136" s="146" t="str">
        <v>38 - REINCORPORACION DE ACTIVIDADES</v>
      </c>
      <c r="F136" s="146" t="n">
        <v>5</v>
      </c>
    </row>
    <row r="137" ht="32" customHeight="1">
      <c r="A137" s="146" t="str">
        <v>IECSRE</v>
      </c>
      <c r="B137" s="146" t="str">
        <v>2025</v>
      </c>
      <c r="C137" s="146" t="str">
        <v>1</v>
      </c>
      <c r="D137" s="146" t="str">
        <v>VIGENTE</v>
      </c>
      <c r="E137" s="146" t="str">
        <v>1 - ALUMNO REGULAR</v>
      </c>
      <c r="F137" s="146" t="n">
        <v>4</v>
      </c>
    </row>
    <row r="138" ht="32" customHeight="1">
      <c r="A138" s="146" t="str">
        <v>IECSREOL</v>
      </c>
      <c r="B138" s="146" t="str">
        <v>2025</v>
      </c>
      <c r="C138" s="146" t="str">
        <v>1</v>
      </c>
      <c r="D138" s="146" t="str">
        <v>VIGENTE</v>
      </c>
      <c r="E138" s="146" t="str">
        <v>1 - ALUMNO REGULAR</v>
      </c>
      <c r="F138" s="146" t="n">
        <v>18</v>
      </c>
    </row>
    <row r="139" ht="32" customHeight="1">
      <c r="A139" s="146" t="str">
        <v>IECSREOL</v>
      </c>
      <c r="B139" s="146" t="str">
        <v>2025</v>
      </c>
      <c r="C139" s="146" t="str">
        <v>1</v>
      </c>
      <c r="D139" s="146" t="str">
        <v>VIGENTE</v>
      </c>
      <c r="E139" s="146" t="str">
        <v>38 - REINCORPORACION DE ACTIVIDADES</v>
      </c>
      <c r="F139" s="146" t="n">
        <v>1</v>
      </c>
    </row>
    <row r="140" ht="32" customHeight="1">
      <c r="A140" s="146" t="str">
        <v>IETMRE</v>
      </c>
      <c r="B140" s="146" t="str">
        <v>2025</v>
      </c>
      <c r="C140" s="146" t="str">
        <v>1</v>
      </c>
      <c r="D140" s="146" t="str">
        <v>VIGENTE</v>
      </c>
      <c r="E140" s="146" t="str">
        <v>1 - ALUMNO REGULAR</v>
      </c>
      <c r="F140" s="146" t="n">
        <v>1</v>
      </c>
    </row>
    <row r="141" ht="32" customHeight="1">
      <c r="A141" s="146" t="str">
        <v>IETMREOL</v>
      </c>
      <c r="B141" s="146" t="str">
        <v>2025</v>
      </c>
      <c r="C141" s="146" t="str">
        <v>1</v>
      </c>
      <c r="D141" s="146" t="str">
        <v>SUSPENDIDO</v>
      </c>
      <c r="E141" s="146" t="str">
        <v>2 - SUSPENSIÓN TEMPORAL</v>
      </c>
      <c r="F141" s="146" t="n">
        <v>1</v>
      </c>
    </row>
    <row r="142" ht="32" customHeight="1">
      <c r="A142" s="146" t="str">
        <v>IETMREOL</v>
      </c>
      <c r="B142" s="146" t="str">
        <v>2025</v>
      </c>
      <c r="C142" s="146" t="str">
        <v>1</v>
      </c>
      <c r="D142" s="146" t="str">
        <v>VIGENTE</v>
      </c>
      <c r="E142" s="146" t="str">
        <v>1 - ALUMNO REGULAR</v>
      </c>
      <c r="F142" s="146" t="n">
        <v>15</v>
      </c>
    </row>
    <row r="143" ht="32" customHeight="1">
      <c r="A143" s="146" t="str">
        <v>IETMREOL</v>
      </c>
      <c r="B143" s="146" t="str">
        <v>2025</v>
      </c>
      <c r="C143" s="146" t="str">
        <v>1</v>
      </c>
      <c r="D143" s="146" t="str">
        <v>VIGENTE</v>
      </c>
      <c r="E143" s="146" t="str">
        <v>38 - REINCORPORACION DE ACTIVIDADES</v>
      </c>
      <c r="F143" s="146" t="n">
        <v>1</v>
      </c>
    </row>
    <row r="144" ht="32" customHeight="1">
      <c r="A144" s="146" t="str">
        <v>IETMREOL</v>
      </c>
      <c r="B144" s="146" t="str">
        <v>2025</v>
      </c>
      <c r="C144" s="146" t="str">
        <v>2</v>
      </c>
      <c r="D144" s="146" t="str">
        <v>VIGENTE</v>
      </c>
      <c r="E144" s="146" t="str">
        <v>1 - ALUMNO REGULAR</v>
      </c>
      <c r="F144" s="146" t="n">
        <v>1</v>
      </c>
    </row>
    <row r="145" ht="32" customHeight="1">
      <c r="A145" s="146" t="str">
        <v>IIND</v>
      </c>
      <c r="B145" s="146" t="str">
        <v>2025</v>
      </c>
      <c r="C145" s="146" t="str">
        <v>2</v>
      </c>
      <c r="D145" s="146" t="str">
        <v>ELIMINADO</v>
      </c>
      <c r="E145" s="146" t="str">
        <v>24 - CAMBIO DE CARRERA</v>
      </c>
      <c r="F145" s="146" t="n">
        <v>1</v>
      </c>
    </row>
    <row r="146" ht="32" customHeight="1">
      <c r="A146" s="146" t="str">
        <v>IIND</v>
      </c>
      <c r="B146" s="146" t="str">
        <v>2025</v>
      </c>
      <c r="C146" s="146" t="str">
        <v>2</v>
      </c>
      <c r="D146" s="146" t="str">
        <v>VIGENTE</v>
      </c>
      <c r="E146" s="146" t="str">
        <v>1 - ALUMNO REGULAR</v>
      </c>
      <c r="F146" s="146" t="n">
        <v>28</v>
      </c>
    </row>
    <row r="147" ht="32" customHeight="1">
      <c r="A147" s="146" t="str">
        <v>IIND</v>
      </c>
      <c r="B147" s="146" t="str">
        <v>2025</v>
      </c>
      <c r="C147" s="146" t="str">
        <v>3</v>
      </c>
      <c r="D147" s="146" t="str">
        <v>ELIMINADO</v>
      </c>
      <c r="E147" s="146" t="str">
        <v>23 - RETIRO - RETRACTO</v>
      </c>
      <c r="F147" s="146" t="n">
        <v>2</v>
      </c>
    </row>
    <row r="148" ht="32" customHeight="1">
      <c r="A148" s="146" t="str">
        <v>IIND</v>
      </c>
      <c r="B148" s="146" t="str">
        <v>2025</v>
      </c>
      <c r="C148" s="146" t="str">
        <v>3</v>
      </c>
      <c r="D148" s="146" t="str">
        <v>VIGENTE</v>
      </c>
      <c r="E148" s="146" t="str">
        <v>1 - ALUMNO REGULAR</v>
      </c>
      <c r="F148" s="146" t="n">
        <v>18</v>
      </c>
    </row>
    <row r="149" ht="32" customHeight="1">
      <c r="A149" s="146" t="str">
        <v>IINF</v>
      </c>
      <c r="B149" s="146" t="str">
        <v>2025</v>
      </c>
      <c r="C149" s="146" t="str">
        <v>1</v>
      </c>
      <c r="D149" s="146" t="str">
        <v>ELIMINADO</v>
      </c>
      <c r="E149" s="146" t="str">
        <v>11 - RENUNCIA POST INICIO CLASES</v>
      </c>
      <c r="F149" s="146" t="n">
        <v>19</v>
      </c>
    </row>
    <row r="150" ht="32" customHeight="1">
      <c r="A150" s="146" t="str">
        <v>IINF</v>
      </c>
      <c r="B150" s="146" t="str">
        <v>2025</v>
      </c>
      <c r="C150" s="146" t="str">
        <v>1</v>
      </c>
      <c r="D150" s="146" t="str">
        <v>ELIMINADO</v>
      </c>
      <c r="E150" s="146" t="str">
        <v>23 - RETIRO - RETRACTO</v>
      </c>
      <c r="F150" s="146" t="n">
        <v>6</v>
      </c>
    </row>
    <row r="151" ht="32" customHeight="1">
      <c r="A151" s="146" t="str">
        <v>IINF</v>
      </c>
      <c r="B151" s="146" t="str">
        <v>2025</v>
      </c>
      <c r="C151" s="146" t="str">
        <v>1</v>
      </c>
      <c r="D151" s="146" t="str">
        <v>ELIMINADO</v>
      </c>
      <c r="E151" s="146" t="str">
        <v>24 - CAMBIO DE CARRERA</v>
      </c>
      <c r="F151" s="146" t="n">
        <v>2</v>
      </c>
    </row>
    <row r="152" ht="32" customHeight="1">
      <c r="A152" s="146" t="str">
        <v>IINF</v>
      </c>
      <c r="B152" s="146" t="str">
        <v>2025</v>
      </c>
      <c r="C152" s="146" t="str">
        <v>1</v>
      </c>
      <c r="D152" s="146" t="str">
        <v>SUSPENDIDO</v>
      </c>
      <c r="E152" s="146" t="str">
        <v>2 - SUSPENSIÓN TEMPORAL</v>
      </c>
      <c r="F152" s="146" t="n">
        <v>3</v>
      </c>
    </row>
    <row r="153" ht="32" customHeight="1">
      <c r="A153" s="146" t="str">
        <v>IINF</v>
      </c>
      <c r="B153" s="146" t="str">
        <v>2025</v>
      </c>
      <c r="C153" s="146" t="str">
        <v>1</v>
      </c>
      <c r="D153" s="146" t="str">
        <v>VIGENTE</v>
      </c>
      <c r="E153" s="146" t="str">
        <v>1 - ALUMNO REGULAR</v>
      </c>
      <c r="F153" s="146" t="n">
        <v>186</v>
      </c>
    </row>
    <row r="154" ht="32" customHeight="1">
      <c r="A154" s="146" t="str">
        <v>IINF</v>
      </c>
      <c r="B154" s="146" t="str">
        <v>2025</v>
      </c>
      <c r="C154" s="146" t="str">
        <v>1</v>
      </c>
      <c r="D154" s="146" t="str">
        <v>VIGENTE</v>
      </c>
      <c r="E154" s="146" t="str">
        <v>100 - TITULACIÓN INTERMEDIA</v>
      </c>
      <c r="F154" s="146" t="n">
        <v>4</v>
      </c>
    </row>
    <row r="155" ht="32" customHeight="1">
      <c r="A155" s="146" t="str">
        <v>IINF</v>
      </c>
      <c r="B155" s="146" t="str">
        <v>2025</v>
      </c>
      <c r="C155" s="146" t="str">
        <v>1</v>
      </c>
      <c r="D155" s="146" t="str">
        <v>VIGENTE</v>
      </c>
      <c r="E155" s="146" t="str">
        <v>20 - VIGENTE SIN ACTIVIDAD ACADEMICA</v>
      </c>
      <c r="F155" s="146" t="n">
        <v>15</v>
      </c>
    </row>
    <row r="156" ht="32" customHeight="1">
      <c r="A156" s="146" t="str">
        <v>IINF</v>
      </c>
      <c r="B156" s="146" t="str">
        <v>2025</v>
      </c>
      <c r="C156" s="146" t="str">
        <v>1</v>
      </c>
      <c r="D156" s="146" t="str">
        <v>VIGENTE</v>
      </c>
      <c r="E156" s="146" t="str">
        <v>38 - REINCORPORACION DE ACTIVIDADES</v>
      </c>
      <c r="F156" s="146" t="n">
        <v>2</v>
      </c>
    </row>
    <row r="157" ht="32" customHeight="1">
      <c r="A157" s="146" t="str">
        <v>IINF</v>
      </c>
      <c r="B157" s="146" t="str">
        <v>2025</v>
      </c>
      <c r="C157" s="146" t="str">
        <v>1</v>
      </c>
      <c r="D157" s="146" t="str">
        <v>VIGENTE</v>
      </c>
      <c r="E157" s="146" t="str">
        <v>49 - CAMBIO DE JORNADA</v>
      </c>
      <c r="F157" s="146" t="n">
        <v>14</v>
      </c>
    </row>
    <row r="158" ht="32" customHeight="1">
      <c r="A158" s="146" t="str">
        <v>IINF</v>
      </c>
      <c r="B158" s="146" t="str">
        <v>2025</v>
      </c>
      <c r="C158" s="146" t="str">
        <v>2</v>
      </c>
      <c r="D158" s="146" t="str">
        <v>ELIMINADO</v>
      </c>
      <c r="E158" s="146" t="str">
        <v>11 - RENUNCIA POST INICIO CLASES</v>
      </c>
      <c r="F158" s="146" t="n">
        <v>3</v>
      </c>
    </row>
    <row r="159" ht="32" customHeight="1">
      <c r="A159" s="146" t="str">
        <v>IINF</v>
      </c>
      <c r="B159" s="146" t="str">
        <v>2025</v>
      </c>
      <c r="C159" s="146" t="str">
        <v>2</v>
      </c>
      <c r="D159" s="146" t="str">
        <v>ELIMINADO</v>
      </c>
      <c r="E159" s="146" t="str">
        <v>23 - RETIRO - RETRACTO</v>
      </c>
      <c r="F159" s="146" t="n">
        <v>4</v>
      </c>
    </row>
    <row r="160" ht="32" customHeight="1">
      <c r="A160" s="146" t="str">
        <v>IINF</v>
      </c>
      <c r="B160" s="146" t="str">
        <v>2025</v>
      </c>
      <c r="C160" s="146" t="str">
        <v>2</v>
      </c>
      <c r="D160" s="146" t="str">
        <v>VIGENTE</v>
      </c>
      <c r="E160" s="146" t="str">
        <v>1 - ALUMNO REGULAR</v>
      </c>
      <c r="F160" s="146" t="n">
        <v>29</v>
      </c>
    </row>
    <row r="161" ht="32" customHeight="1">
      <c r="A161" s="146" t="str">
        <v>IINF</v>
      </c>
      <c r="B161" s="146" t="str">
        <v>2025</v>
      </c>
      <c r="C161" s="146" t="str">
        <v>3</v>
      </c>
      <c r="D161" s="146" t="str">
        <v>ELIMINADO</v>
      </c>
      <c r="E161" s="146" t="str">
        <v>23 - RETIRO - RETRACTO</v>
      </c>
      <c r="F161" s="146" t="n">
        <v>1</v>
      </c>
    </row>
    <row r="162" ht="32" customHeight="1">
      <c r="A162" s="146" t="str">
        <v>IINF</v>
      </c>
      <c r="B162" s="146" t="str">
        <v>2025</v>
      </c>
      <c r="C162" s="146" t="str">
        <v>3</v>
      </c>
      <c r="D162" s="146" t="str">
        <v>VIGENTE</v>
      </c>
      <c r="E162" s="146" t="str">
        <v>1 - ALUMNO REGULAR</v>
      </c>
      <c r="F162" s="146" t="n">
        <v>15</v>
      </c>
    </row>
    <row r="163" ht="32" customHeight="1">
      <c r="A163" s="146" t="str">
        <v>ILOG</v>
      </c>
      <c r="B163" s="146" t="str">
        <v>2025</v>
      </c>
      <c r="C163" s="146" t="str">
        <v>1</v>
      </c>
      <c r="D163" s="146" t="str">
        <v>ELIMINADO</v>
      </c>
      <c r="E163" s="146" t="str">
        <v>11 - RENUNCIA POST INICIO CLASES</v>
      </c>
      <c r="F163" s="146" t="n">
        <v>7</v>
      </c>
    </row>
    <row r="164" ht="32" customHeight="1">
      <c r="A164" s="146" t="str">
        <v>ILOG</v>
      </c>
      <c r="B164" s="146" t="str">
        <v>2025</v>
      </c>
      <c r="C164" s="146" t="str">
        <v>1</v>
      </c>
      <c r="D164" s="146" t="str">
        <v>ELIMINADO</v>
      </c>
      <c r="E164" s="146" t="str">
        <v>23 - RETIRO - RETRACTO</v>
      </c>
      <c r="F164" s="146" t="n">
        <v>12</v>
      </c>
    </row>
    <row r="165" ht="32" customHeight="1">
      <c r="A165" s="146" t="str">
        <v>ILOG</v>
      </c>
      <c r="B165" s="146" t="str">
        <v>2025</v>
      </c>
      <c r="C165" s="146" t="str">
        <v>1</v>
      </c>
      <c r="D165" s="146" t="str">
        <v>ELIMINADO</v>
      </c>
      <c r="E165" s="146" t="str">
        <v>24 - CAMBIO DE CARRERA</v>
      </c>
      <c r="F165" s="146" t="n">
        <v>4</v>
      </c>
    </row>
    <row r="166" ht="32" customHeight="1">
      <c r="A166" s="146" t="str">
        <v>ILOG</v>
      </c>
      <c r="B166" s="146" t="str">
        <v>2025</v>
      </c>
      <c r="C166" s="146" t="str">
        <v>1</v>
      </c>
      <c r="D166" s="146" t="str">
        <v>SUSPENDIDO</v>
      </c>
      <c r="E166" s="146" t="str">
        <v>2 - SUSPENSIÓN TEMPORAL</v>
      </c>
      <c r="F166" s="146" t="n">
        <v>1</v>
      </c>
    </row>
    <row r="167" ht="32" customHeight="1">
      <c r="A167" s="146" t="str">
        <v>ILOG</v>
      </c>
      <c r="B167" s="146" t="str">
        <v>2025</v>
      </c>
      <c r="C167" s="146" t="str">
        <v>1</v>
      </c>
      <c r="D167" s="146" t="str">
        <v>VIGENTE</v>
      </c>
      <c r="E167" s="146" t="str">
        <v>1 - ALUMNO REGULAR</v>
      </c>
      <c r="F167" s="146" t="n">
        <v>49</v>
      </c>
    </row>
    <row r="168" ht="32" customHeight="1">
      <c r="A168" s="146" t="str">
        <v>ILOG</v>
      </c>
      <c r="B168" s="146" t="str">
        <v>2025</v>
      </c>
      <c r="C168" s="146" t="str">
        <v>1</v>
      </c>
      <c r="D168" s="146" t="str">
        <v>VIGENTE</v>
      </c>
      <c r="E168" s="146" t="str">
        <v>20 - VIGENTE SIN ACTIVIDAD ACADEMICA</v>
      </c>
      <c r="F168" s="146" t="n">
        <v>22</v>
      </c>
    </row>
    <row r="169" ht="32" customHeight="1">
      <c r="A169" s="146" t="str">
        <v>ILOG</v>
      </c>
      <c r="B169" s="146" t="str">
        <v>2025</v>
      </c>
      <c r="C169" s="146" t="str">
        <v>1</v>
      </c>
      <c r="D169" s="146" t="str">
        <v>VIGENTE</v>
      </c>
      <c r="E169" s="146" t="str">
        <v>49 - CAMBIO DE JORNADA</v>
      </c>
      <c r="F169" s="146" t="n">
        <v>3</v>
      </c>
    </row>
    <row r="170" ht="32" customHeight="1">
      <c r="A170" s="146" t="str">
        <v>ILOG</v>
      </c>
      <c r="B170" s="146" t="str">
        <v>2025</v>
      </c>
      <c r="C170" s="146" t="str">
        <v>2</v>
      </c>
      <c r="D170" s="146" t="str">
        <v>ELIMINADO</v>
      </c>
      <c r="E170" s="146" t="str">
        <v>11 - RENUNCIA POST INICIO CLASES</v>
      </c>
      <c r="F170" s="146" t="n">
        <v>3</v>
      </c>
    </row>
    <row r="171" ht="32" customHeight="1">
      <c r="A171" s="146" t="str">
        <v>ILOG</v>
      </c>
      <c r="B171" s="146" t="str">
        <v>2025</v>
      </c>
      <c r="C171" s="146" t="str">
        <v>2</v>
      </c>
      <c r="D171" s="146" t="str">
        <v>ELIMINADO</v>
      </c>
      <c r="E171" s="146" t="str">
        <v>23 - RETIRO - RETRACTO</v>
      </c>
      <c r="F171" s="146" t="n">
        <v>1</v>
      </c>
    </row>
    <row r="172" ht="32" customHeight="1">
      <c r="A172" s="146" t="str">
        <v>ILOG</v>
      </c>
      <c r="B172" s="146" t="str">
        <v>2025</v>
      </c>
      <c r="C172" s="146" t="str">
        <v>2</v>
      </c>
      <c r="D172" s="146" t="str">
        <v>ELIMINADO</v>
      </c>
      <c r="E172" s="146" t="str">
        <v>24 - CAMBIO DE CARRERA</v>
      </c>
      <c r="F172" s="146" t="n">
        <v>1</v>
      </c>
    </row>
    <row r="173" ht="32" customHeight="1">
      <c r="A173" s="146" t="str">
        <v>ILOG</v>
      </c>
      <c r="B173" s="146" t="str">
        <v>2025</v>
      </c>
      <c r="C173" s="146" t="str">
        <v>2</v>
      </c>
      <c r="D173" s="146" t="str">
        <v>VIGENTE</v>
      </c>
      <c r="E173" s="146" t="str">
        <v>1 - ALUMNO REGULAR</v>
      </c>
      <c r="F173" s="146" t="n">
        <v>17</v>
      </c>
    </row>
    <row r="174" ht="32" customHeight="1">
      <c r="A174" s="146" t="str">
        <v>ILOG</v>
      </c>
      <c r="B174" s="146" t="str">
        <v>2025</v>
      </c>
      <c r="C174" s="146" t="str">
        <v>3</v>
      </c>
      <c r="D174" s="146" t="str">
        <v>ELIMINADO</v>
      </c>
      <c r="E174" s="146" t="str">
        <v>24 - CAMBIO DE CARRERA</v>
      </c>
      <c r="F174" s="146" t="n">
        <v>1</v>
      </c>
    </row>
    <row r="175" ht="32" customHeight="1">
      <c r="A175" s="146" t="str">
        <v>ILOG</v>
      </c>
      <c r="B175" s="146" t="str">
        <v>2025</v>
      </c>
      <c r="C175" s="146" t="str">
        <v>3</v>
      </c>
      <c r="D175" s="146" t="str">
        <v>VIGENTE</v>
      </c>
      <c r="E175" s="146" t="str">
        <v>1 - ALUMNO REGULAR</v>
      </c>
      <c r="F175" s="146" t="n">
        <v>11</v>
      </c>
    </row>
    <row r="176" ht="32" customHeight="1">
      <c r="A176" s="146" t="str">
        <v>NATP</v>
      </c>
      <c r="B176" s="146" t="str">
        <v>2025</v>
      </c>
      <c r="C176" s="146" t="str">
        <v>2</v>
      </c>
      <c r="D176" s="146" t="str">
        <v>ELIMINADO</v>
      </c>
      <c r="E176" s="146" t="str">
        <v>23 - RETIRO - RETRACTO</v>
      </c>
      <c r="F176" s="146" t="n">
        <v>2</v>
      </c>
    </row>
    <row r="177" ht="32" customHeight="1">
      <c r="A177" s="146" t="str">
        <v>NETMRE</v>
      </c>
      <c r="B177" s="146" t="str">
        <v>2025</v>
      </c>
      <c r="C177" s="146" t="str">
        <v>2</v>
      </c>
      <c r="D177" s="146" t="str">
        <v>VIGENTE</v>
      </c>
      <c r="E177" s="146" t="str">
        <v>38 - REINCORPORACION DE ACTIVIDADES</v>
      </c>
      <c r="F177" s="146" t="n">
        <v>1</v>
      </c>
    </row>
    <row r="178" ht="32" customHeight="1">
      <c r="A178" s="146" t="str">
        <v>NITMRE</v>
      </c>
      <c r="B178" s="146" t="str">
        <v>2025</v>
      </c>
      <c r="C178" s="146" t="str">
        <v>1</v>
      </c>
      <c r="D178" s="146" t="str">
        <v>VIGENTE</v>
      </c>
      <c r="E178" s="146" t="str">
        <v>38 - REINCORPORACION DE ACTIVIDADES</v>
      </c>
      <c r="F178" s="146" t="n">
        <v>1</v>
      </c>
    </row>
    <row r="179" ht="32" customHeight="1">
      <c r="A179" s="146" t="str">
        <v>TADP</v>
      </c>
      <c r="B179" s="146" t="str">
        <v>2025</v>
      </c>
      <c r="C179" s="146" t="str">
        <v>1</v>
      </c>
      <c r="D179" s="146" t="str">
        <v>ELIMINADO</v>
      </c>
      <c r="E179" s="146" t="str">
        <v>11 - RENUNCIA POST INICIO CLASES</v>
      </c>
      <c r="F179" s="146" t="n">
        <v>8</v>
      </c>
    </row>
    <row r="180" ht="32" customHeight="1">
      <c r="A180" s="146" t="str">
        <v>TADP</v>
      </c>
      <c r="B180" s="146" t="str">
        <v>2025</v>
      </c>
      <c r="C180" s="146" t="str">
        <v>1</v>
      </c>
      <c r="D180" s="146" t="str">
        <v>ELIMINADO</v>
      </c>
      <c r="E180" s="146" t="str">
        <v>23 - RETIRO - RETRACTO</v>
      </c>
      <c r="F180" s="146" t="n">
        <v>6</v>
      </c>
    </row>
    <row r="181" ht="32" customHeight="1">
      <c r="A181" s="146" t="str">
        <v>TADP</v>
      </c>
      <c r="B181" s="146" t="str">
        <v>2025</v>
      </c>
      <c r="C181" s="146" t="str">
        <v>1</v>
      </c>
      <c r="D181" s="146" t="str">
        <v>VIGENTE</v>
      </c>
      <c r="E181" s="146" t="str">
        <v>1 - ALUMNO REGULAR</v>
      </c>
      <c r="F181" s="146" t="n">
        <v>12</v>
      </c>
    </row>
    <row r="182" ht="32" customHeight="1">
      <c r="A182" s="146" t="str">
        <v>TADP</v>
      </c>
      <c r="B182" s="146" t="str">
        <v>2025</v>
      </c>
      <c r="C182" s="146" t="str">
        <v>1</v>
      </c>
      <c r="D182" s="146" t="str">
        <v>VIGENTE</v>
      </c>
      <c r="E182" s="146" t="str">
        <v>20 - VIGENTE SIN ACTIVIDAD ACADEMICA</v>
      </c>
      <c r="F182" s="146" t="n">
        <v>6</v>
      </c>
    </row>
    <row r="183" ht="32" customHeight="1">
      <c r="A183" s="146" t="str">
        <v>TAMD</v>
      </c>
      <c r="B183" s="146" t="str">
        <v>2025</v>
      </c>
      <c r="C183" s="146" t="str">
        <v>1</v>
      </c>
      <c r="D183" s="146" t="str">
        <v>ELIMINADO</v>
      </c>
      <c r="E183" s="146" t="str">
        <v>11 - RENUNCIA POST INICIO CLASES</v>
      </c>
      <c r="F183" s="146" t="n">
        <v>12</v>
      </c>
    </row>
    <row r="184" ht="32" customHeight="1">
      <c r="A184" s="146" t="str">
        <v>TAMD</v>
      </c>
      <c r="B184" s="146" t="str">
        <v>2025</v>
      </c>
      <c r="C184" s="146" t="str">
        <v>1</v>
      </c>
      <c r="D184" s="146" t="str">
        <v>ELIMINADO</v>
      </c>
      <c r="E184" s="146" t="str">
        <v>23 - RETIRO - RETRACTO</v>
      </c>
      <c r="F184" s="146" t="n">
        <v>20</v>
      </c>
    </row>
    <row r="185" ht="32" customHeight="1">
      <c r="A185" s="146" t="str">
        <v>TAMD</v>
      </c>
      <c r="B185" s="146" t="str">
        <v>2025</v>
      </c>
      <c r="C185" s="146" t="str">
        <v>1</v>
      </c>
      <c r="D185" s="146" t="str">
        <v>ELIMINADO</v>
      </c>
      <c r="E185" s="146" t="str">
        <v>24 - CAMBIO DE CARRERA</v>
      </c>
      <c r="F185" s="146" t="n">
        <v>3</v>
      </c>
    </row>
    <row r="186" ht="32" customHeight="1">
      <c r="A186" s="146" t="str">
        <v>TAMD</v>
      </c>
      <c r="B186" s="146" t="str">
        <v>2025</v>
      </c>
      <c r="C186" s="146" t="str">
        <v>1</v>
      </c>
      <c r="D186" s="146" t="str">
        <v>SUSPENDIDO</v>
      </c>
      <c r="E186" s="146" t="str">
        <v>2 - SUSPENSIÓN TEMPORAL</v>
      </c>
      <c r="F186" s="146" t="n">
        <v>2</v>
      </c>
    </row>
    <row r="187" ht="32" customHeight="1">
      <c r="A187" s="146" t="str">
        <v>TAMD</v>
      </c>
      <c r="B187" s="146" t="str">
        <v>2025</v>
      </c>
      <c r="C187" s="146" t="str">
        <v>1</v>
      </c>
      <c r="D187" s="146" t="str">
        <v>VIGENTE</v>
      </c>
      <c r="E187" s="146" t="str">
        <v>1 - ALUMNO REGULAR</v>
      </c>
      <c r="F187" s="146" t="n">
        <v>40</v>
      </c>
    </row>
    <row r="188" ht="32" customHeight="1">
      <c r="A188" s="146" t="str">
        <v>TAMD</v>
      </c>
      <c r="B188" s="146" t="str">
        <v>2025</v>
      </c>
      <c r="C188" s="146" t="str">
        <v>1</v>
      </c>
      <c r="D188" s="146" t="str">
        <v>VIGENTE</v>
      </c>
      <c r="E188" s="146" t="str">
        <v>20 - VIGENTE SIN ACTIVIDAD ACADEMICA</v>
      </c>
      <c r="F188" s="146" t="n">
        <v>29</v>
      </c>
    </row>
    <row r="189" ht="32" customHeight="1">
      <c r="A189" s="146" t="str">
        <v>TAMD</v>
      </c>
      <c r="B189" s="146" t="str">
        <v>2025</v>
      </c>
      <c r="C189" s="146" t="str">
        <v>1</v>
      </c>
      <c r="D189" s="146" t="str">
        <v>VIGENTE</v>
      </c>
      <c r="E189" s="146" t="str">
        <v>38 - REINCORPORACION DE ACTIVIDADES</v>
      </c>
      <c r="F189" s="146" t="n">
        <v>1</v>
      </c>
    </row>
    <row r="190" ht="32" customHeight="1">
      <c r="A190" s="146" t="str">
        <v>TAMD</v>
      </c>
      <c r="B190" s="146" t="str">
        <v>2025</v>
      </c>
      <c r="C190" s="146" t="str">
        <v>1</v>
      </c>
      <c r="D190" s="146" t="str">
        <v>VIGENTE</v>
      </c>
      <c r="E190" s="146" t="str">
        <v>49 - CAMBIO DE JORNADA</v>
      </c>
      <c r="F190" s="146" t="n">
        <v>6</v>
      </c>
    </row>
    <row r="191" ht="32" customHeight="1">
      <c r="A191" s="146" t="str">
        <v>TCDA</v>
      </c>
      <c r="B191" s="146" t="str">
        <v>2025</v>
      </c>
      <c r="C191" s="146" t="str">
        <v>1</v>
      </c>
      <c r="D191" s="146" t="str">
        <v>ELIMINADO</v>
      </c>
      <c r="E191" s="146" t="str">
        <v>11 - RENUNCIA POST INICIO CLASES</v>
      </c>
      <c r="F191" s="146" t="n">
        <v>4</v>
      </c>
    </row>
    <row r="192" ht="32" customHeight="1">
      <c r="A192" s="146" t="str">
        <v>TCDA</v>
      </c>
      <c r="B192" s="146" t="str">
        <v>2025</v>
      </c>
      <c r="C192" s="146" t="str">
        <v>1</v>
      </c>
      <c r="D192" s="146" t="str">
        <v>ELIMINADO</v>
      </c>
      <c r="E192" s="146" t="str">
        <v>23 - RETIRO - RETRACTO</v>
      </c>
      <c r="F192" s="146" t="n">
        <v>1</v>
      </c>
    </row>
    <row r="193" ht="32" customHeight="1">
      <c r="A193" s="146" t="str">
        <v>TCDA</v>
      </c>
      <c r="B193" s="146" t="str">
        <v>2025</v>
      </c>
      <c r="C193" s="146" t="str">
        <v>1</v>
      </c>
      <c r="D193" s="146" t="str">
        <v>ELIMINADO</v>
      </c>
      <c r="E193" s="146" t="str">
        <v>24 - CAMBIO DE CARRERA</v>
      </c>
      <c r="F193" s="146" t="n">
        <v>3</v>
      </c>
    </row>
    <row r="194" ht="32" customHeight="1">
      <c r="A194" s="146" t="str">
        <v>TCDA</v>
      </c>
      <c r="B194" s="146" t="str">
        <v>2025</v>
      </c>
      <c r="C194" s="146" t="str">
        <v>1</v>
      </c>
      <c r="D194" s="146" t="str">
        <v>SUSPENDIDO</v>
      </c>
      <c r="E194" s="146" t="str">
        <v>2 - SUSPENSIÓN TEMPORAL</v>
      </c>
      <c r="F194" s="146" t="n">
        <v>2</v>
      </c>
    </row>
    <row r="195" ht="32" customHeight="1">
      <c r="A195" s="146" t="str">
        <v>TCDA</v>
      </c>
      <c r="B195" s="146" t="str">
        <v>2025</v>
      </c>
      <c r="C195" s="146" t="str">
        <v>1</v>
      </c>
      <c r="D195" s="146" t="str">
        <v>VIGENTE</v>
      </c>
      <c r="E195" s="146" t="str">
        <v>1 - ALUMNO REGULAR</v>
      </c>
      <c r="F195" s="146" t="n">
        <v>16</v>
      </c>
    </row>
    <row r="196" ht="32" customHeight="1">
      <c r="A196" s="146" t="str">
        <v>TCDA</v>
      </c>
      <c r="B196" s="146" t="str">
        <v>2025</v>
      </c>
      <c r="C196" s="146" t="str">
        <v>1</v>
      </c>
      <c r="D196" s="146" t="str">
        <v>VIGENTE</v>
      </c>
      <c r="E196" s="146" t="str">
        <v>20 - VIGENTE SIN ACTIVIDAD ACADEMICA</v>
      </c>
      <c r="F196" s="146" t="n">
        <v>2</v>
      </c>
    </row>
    <row r="197" ht="32" customHeight="1">
      <c r="A197" s="146" t="str">
        <v>TCIB</v>
      </c>
      <c r="B197" s="146" t="str">
        <v>2025</v>
      </c>
      <c r="C197" s="146" t="str">
        <v>1</v>
      </c>
      <c r="D197" s="146" t="str">
        <v>ELIMINADO</v>
      </c>
      <c r="E197" s="146" t="str">
        <v>11 - RENUNCIA POST INICIO CLASES</v>
      </c>
      <c r="F197" s="146" t="n">
        <v>9</v>
      </c>
    </row>
    <row r="198" ht="32" customHeight="1">
      <c r="A198" s="146" t="str">
        <v>TCIB</v>
      </c>
      <c r="B198" s="146" t="str">
        <v>2025</v>
      </c>
      <c r="C198" s="146" t="str">
        <v>1</v>
      </c>
      <c r="D198" s="146" t="str">
        <v>ELIMINADO</v>
      </c>
      <c r="E198" s="146" t="str">
        <v>12 - ELIMINADO MATRICULA SIN FIRMA</v>
      </c>
      <c r="F198" s="146" t="n">
        <v>1</v>
      </c>
    </row>
    <row r="199" ht="32" customHeight="1">
      <c r="A199" s="146" t="str">
        <v>TCIB</v>
      </c>
      <c r="B199" s="146" t="str">
        <v>2025</v>
      </c>
      <c r="C199" s="146" t="str">
        <v>1</v>
      </c>
      <c r="D199" s="146" t="str">
        <v>ELIMINADO</v>
      </c>
      <c r="E199" s="146" t="str">
        <v>23 - RETIRO - RETRACTO</v>
      </c>
      <c r="F199" s="146" t="n">
        <v>11</v>
      </c>
    </row>
    <row r="200" ht="32" customHeight="1">
      <c r="A200" s="146" t="str">
        <v>TCIB</v>
      </c>
      <c r="B200" s="146" t="str">
        <v>2025</v>
      </c>
      <c r="C200" s="146" t="str">
        <v>1</v>
      </c>
      <c r="D200" s="146" t="str">
        <v>ELIMINADO</v>
      </c>
      <c r="E200" s="146" t="str">
        <v>24 - CAMBIO DE CARRERA</v>
      </c>
      <c r="F200" s="146" t="n">
        <v>2</v>
      </c>
    </row>
    <row r="201" ht="32" customHeight="1">
      <c r="A201" s="146" t="str">
        <v>TCIB</v>
      </c>
      <c r="B201" s="146" t="str">
        <v>2025</v>
      </c>
      <c r="C201" s="146" t="str">
        <v>1</v>
      </c>
      <c r="D201" s="146" t="str">
        <v>ELIMINADO</v>
      </c>
      <c r="E201" s="146" t="str">
        <v>5 - RENUNCIA ENTRE PERIODOS</v>
      </c>
      <c r="F201" s="146" t="n">
        <v>1</v>
      </c>
    </row>
    <row r="202" ht="32" customHeight="1">
      <c r="A202" s="146" t="str">
        <v>TCIB</v>
      </c>
      <c r="B202" s="146" t="str">
        <v>2025</v>
      </c>
      <c r="C202" s="146" t="str">
        <v>1</v>
      </c>
      <c r="D202" s="146" t="str">
        <v>TITULADO</v>
      </c>
      <c r="E202" s="146" t="str">
        <v>31 - TITULADO APROBADO</v>
      </c>
      <c r="F202" s="146" t="n">
        <v>13</v>
      </c>
    </row>
    <row r="203" ht="32" customHeight="1">
      <c r="A203" s="146" t="str">
        <v>TCIB</v>
      </c>
      <c r="B203" s="146" t="str">
        <v>2025</v>
      </c>
      <c r="C203" s="146" t="str">
        <v>1</v>
      </c>
      <c r="D203" s="146" t="str">
        <v>VIGENTE</v>
      </c>
      <c r="E203" s="146" t="str">
        <v>1 - ALUMNO REGULAR</v>
      </c>
      <c r="F203" s="146" t="n">
        <v>112</v>
      </c>
    </row>
    <row r="204" ht="32" customHeight="1">
      <c r="A204" s="146" t="str">
        <v>TCIB</v>
      </c>
      <c r="B204" s="146" t="str">
        <v>2025</v>
      </c>
      <c r="C204" s="146" t="str">
        <v>1</v>
      </c>
      <c r="D204" s="146" t="str">
        <v>VIGENTE</v>
      </c>
      <c r="E204" s="146" t="str">
        <v>20 - VIGENTE SIN ACTIVIDAD ACADEMICA</v>
      </c>
      <c r="F204" s="146" t="n">
        <v>14</v>
      </c>
    </row>
    <row r="205" ht="32" customHeight="1">
      <c r="A205" s="146" t="str">
        <v>TCIB</v>
      </c>
      <c r="B205" s="146" t="str">
        <v>2025</v>
      </c>
      <c r="C205" s="146" t="str">
        <v>1</v>
      </c>
      <c r="D205" s="146" t="str">
        <v>VIGENTE</v>
      </c>
      <c r="E205" s="146" t="str">
        <v>49 - CAMBIO DE JORNADA</v>
      </c>
      <c r="F205" s="146" t="n">
        <v>4</v>
      </c>
    </row>
    <row r="206" ht="32" customHeight="1">
      <c r="A206" s="146" t="str">
        <v>TCIB</v>
      </c>
      <c r="B206" s="146" t="str">
        <v>2025</v>
      </c>
      <c r="C206" s="146" t="str">
        <v>2</v>
      </c>
      <c r="D206" s="146" t="str">
        <v>VIGENTE</v>
      </c>
      <c r="E206" s="146" t="str">
        <v>1 - ALUMNO REGULAR</v>
      </c>
      <c r="F206" s="146" t="n">
        <v>5</v>
      </c>
    </row>
    <row r="207" ht="32" customHeight="1">
      <c r="A207" s="146" t="str">
        <v>TCIB</v>
      </c>
      <c r="B207" s="146" t="str">
        <v>2025</v>
      </c>
      <c r="C207" s="146" t="str">
        <v>3</v>
      </c>
      <c r="D207" s="146" t="str">
        <v>VIGENTE</v>
      </c>
      <c r="E207" s="146" t="str">
        <v>1 - ALUMNO REGULAR</v>
      </c>
      <c r="F207" s="146" t="n">
        <v>1</v>
      </c>
    </row>
    <row r="208" ht="32" customHeight="1">
      <c r="A208" s="146" t="str">
        <v>TCRE</v>
      </c>
      <c r="B208" s="146" t="str">
        <v>2025</v>
      </c>
      <c r="C208" s="146" t="str">
        <v>1</v>
      </c>
      <c r="D208" s="146" t="str">
        <v>ELIMINADO</v>
      </c>
      <c r="E208" s="146" t="str">
        <v>11 - RENUNCIA POST INICIO CLASES</v>
      </c>
      <c r="F208" s="146" t="n">
        <v>6</v>
      </c>
    </row>
    <row r="209" ht="32" customHeight="1">
      <c r="A209" s="146" t="str">
        <v>TCRE</v>
      </c>
      <c r="B209" s="146" t="str">
        <v>2025</v>
      </c>
      <c r="C209" s="146" t="str">
        <v>1</v>
      </c>
      <c r="D209" s="146" t="str">
        <v>ELIMINADO</v>
      </c>
      <c r="E209" s="146" t="str">
        <v>23 - RETIRO - RETRACTO</v>
      </c>
      <c r="F209" s="146" t="n">
        <v>4</v>
      </c>
    </row>
    <row r="210" ht="32" customHeight="1">
      <c r="A210" s="146" t="str">
        <v>TCRE</v>
      </c>
      <c r="B210" s="146" t="str">
        <v>2025</v>
      </c>
      <c r="C210" s="146" t="str">
        <v>1</v>
      </c>
      <c r="D210" s="146" t="str">
        <v>ELIMINADO</v>
      </c>
      <c r="E210" s="146" t="str">
        <v>24 - CAMBIO DE CARRERA</v>
      </c>
      <c r="F210" s="146" t="n">
        <v>1</v>
      </c>
    </row>
    <row r="211" ht="32" customHeight="1">
      <c r="A211" s="146" t="str">
        <v>TCRE</v>
      </c>
      <c r="B211" s="146" t="str">
        <v>2025</v>
      </c>
      <c r="C211" s="146" t="str">
        <v>1</v>
      </c>
      <c r="D211" s="146" t="str">
        <v>SUSPENDIDO</v>
      </c>
      <c r="E211" s="146" t="str">
        <v>2 - SUSPENSIÓN TEMPORAL</v>
      </c>
      <c r="F211" s="146" t="n">
        <v>2</v>
      </c>
    </row>
    <row r="212" ht="32" customHeight="1">
      <c r="A212" s="146" t="str">
        <v>TCRE</v>
      </c>
      <c r="B212" s="146" t="str">
        <v>2025</v>
      </c>
      <c r="C212" s="146" t="str">
        <v>1</v>
      </c>
      <c r="D212" s="146" t="str">
        <v>TITULADO</v>
      </c>
      <c r="E212" s="146" t="str">
        <v>31 - TITULADO APROBADO</v>
      </c>
      <c r="F212" s="146" t="n">
        <v>8</v>
      </c>
    </row>
    <row r="213" ht="32" customHeight="1">
      <c r="A213" s="146" t="str">
        <v>TCRE</v>
      </c>
      <c r="B213" s="146" t="str">
        <v>2025</v>
      </c>
      <c r="C213" s="146" t="str">
        <v>1</v>
      </c>
      <c r="D213" s="146" t="str">
        <v>VIGENTE</v>
      </c>
      <c r="E213" s="146" t="str">
        <v>1 - ALUMNO REGULAR</v>
      </c>
      <c r="F213" s="146" t="n">
        <v>42</v>
      </c>
    </row>
    <row r="214" ht="32" customHeight="1">
      <c r="A214" s="146" t="str">
        <v>TCRE</v>
      </c>
      <c r="B214" s="146" t="str">
        <v>2025</v>
      </c>
      <c r="C214" s="146" t="str">
        <v>1</v>
      </c>
      <c r="D214" s="146" t="str">
        <v>VIGENTE</v>
      </c>
      <c r="E214" s="146" t="str">
        <v>20 - VIGENTE SIN ACTIVIDAD ACADEMICA</v>
      </c>
      <c r="F214" s="146" t="n">
        <v>8</v>
      </c>
    </row>
    <row r="215" ht="32" customHeight="1">
      <c r="A215" s="146" t="str">
        <v>TCRE</v>
      </c>
      <c r="B215" s="146" t="str">
        <v>2025</v>
      </c>
      <c r="C215" s="146" t="str">
        <v>2</v>
      </c>
      <c r="D215" s="146" t="str">
        <v>VIGENTE</v>
      </c>
      <c r="E215" s="146" t="str">
        <v>1 - ALUMNO REGULAR</v>
      </c>
      <c r="F215" s="146" t="n">
        <v>4</v>
      </c>
    </row>
    <row r="216" ht="32" customHeight="1">
      <c r="A216" s="146" t="str">
        <v>TCSRE</v>
      </c>
      <c r="B216" s="146" t="str">
        <v>2025</v>
      </c>
      <c r="C216" s="146" t="str">
        <v>1</v>
      </c>
      <c r="D216" s="146" t="str">
        <v>TITULADO</v>
      </c>
      <c r="E216" s="146" t="str">
        <v>31 - TITULADO APROBADO</v>
      </c>
      <c r="F216" s="146" t="n">
        <v>1</v>
      </c>
    </row>
    <row r="217" ht="32" customHeight="1">
      <c r="A217" s="146" t="str">
        <v>TCSREOL</v>
      </c>
      <c r="B217" s="146" t="str">
        <v>2025</v>
      </c>
      <c r="C217" s="146" t="str">
        <v>1</v>
      </c>
      <c r="D217" s="146" t="str">
        <v>TITULADO</v>
      </c>
      <c r="E217" s="146" t="str">
        <v>31 - TITULADO APROBADO</v>
      </c>
      <c r="F217" s="146" t="n">
        <v>2</v>
      </c>
    </row>
    <row r="218" ht="32" customHeight="1">
      <c r="A218" s="146" t="str">
        <v>TCSREOL</v>
      </c>
      <c r="B218" s="146" t="str">
        <v>2025</v>
      </c>
      <c r="C218" s="146" t="str">
        <v>1</v>
      </c>
      <c r="D218" s="146" t="str">
        <v>VIGENTE</v>
      </c>
      <c r="E218" s="146" t="str">
        <v>1 - ALUMNO REGULAR</v>
      </c>
      <c r="F218" s="146" t="n">
        <v>1</v>
      </c>
    </row>
    <row r="219" ht="32" customHeight="1">
      <c r="A219" s="146" t="str">
        <v>TCSREOL</v>
      </c>
      <c r="B219" s="146" t="str">
        <v>2025</v>
      </c>
      <c r="C219" s="146" t="str">
        <v>1</v>
      </c>
      <c r="D219" s="146" t="str">
        <v>VIGENTE</v>
      </c>
      <c r="E219" s="146" t="str">
        <v>38 - REINCORPORACION DE ACTIVIDADES</v>
      </c>
      <c r="F219" s="146" t="n">
        <v>2</v>
      </c>
    </row>
    <row r="220" ht="32" customHeight="1">
      <c r="A220" s="146" t="str">
        <v>TENS</v>
      </c>
      <c r="B220" s="146" t="str">
        <v>2025</v>
      </c>
      <c r="C220" s="146" t="str">
        <v>1</v>
      </c>
      <c r="D220" s="146" t="str">
        <v>ELIMINADO</v>
      </c>
      <c r="E220" s="146" t="str">
        <v>11 - RENUNCIA POST INICIO CLASES</v>
      </c>
      <c r="F220" s="146" t="n">
        <v>18</v>
      </c>
    </row>
    <row r="221" ht="32" customHeight="1">
      <c r="A221" s="146" t="str">
        <v>TENS</v>
      </c>
      <c r="B221" s="146" t="str">
        <v>2025</v>
      </c>
      <c r="C221" s="146" t="str">
        <v>1</v>
      </c>
      <c r="D221" s="146" t="str">
        <v>ELIMINADO</v>
      </c>
      <c r="E221" s="146" t="str">
        <v>23 - RETIRO - RETRACTO</v>
      </c>
      <c r="F221" s="146" t="n">
        <v>34</v>
      </c>
    </row>
    <row r="222" ht="32" customHeight="1">
      <c r="A222" s="146" t="str">
        <v>TENS</v>
      </c>
      <c r="B222" s="146" t="str">
        <v>2025</v>
      </c>
      <c r="C222" s="146" t="str">
        <v>1</v>
      </c>
      <c r="D222" s="146" t="str">
        <v>VIGENTE</v>
      </c>
      <c r="E222" s="146" t="str">
        <v>1 - ALUMNO REGULAR</v>
      </c>
      <c r="F222" s="146" t="n">
        <v>50</v>
      </c>
    </row>
    <row r="223" ht="32" customHeight="1">
      <c r="A223" s="146" t="str">
        <v>TENS</v>
      </c>
      <c r="B223" s="146" t="str">
        <v>2025</v>
      </c>
      <c r="C223" s="146" t="str">
        <v>1</v>
      </c>
      <c r="D223" s="146" t="str">
        <v>VIGENTE</v>
      </c>
      <c r="E223" s="146" t="str">
        <v>20 - VIGENTE SIN ACTIVIDAD ACADEMICA</v>
      </c>
      <c r="F223" s="146" t="n">
        <v>11</v>
      </c>
    </row>
    <row r="224" ht="32" customHeight="1">
      <c r="A224" s="146" t="str">
        <v>TENS</v>
      </c>
      <c r="B224" s="146" t="str">
        <v>2025</v>
      </c>
      <c r="C224" s="146" t="str">
        <v>1</v>
      </c>
      <c r="D224" s="146" t="str">
        <v>VIGENTE</v>
      </c>
      <c r="E224" s="146" t="str">
        <v>38 - REINCORPORACION DE ACTIVIDADES</v>
      </c>
      <c r="F224" s="146" t="n">
        <v>2</v>
      </c>
    </row>
    <row r="225" ht="32" customHeight="1">
      <c r="A225" s="146" t="str">
        <v>TENS</v>
      </c>
      <c r="B225" s="146" t="str">
        <v>2025</v>
      </c>
      <c r="C225" s="146" t="str">
        <v>1</v>
      </c>
      <c r="D225" s="146" t="str">
        <v>VIGENTE</v>
      </c>
      <c r="E225" s="146" t="str">
        <v>49 - CAMBIO DE JORNADA</v>
      </c>
      <c r="F225" s="146" t="n">
        <v>3</v>
      </c>
    </row>
    <row r="226" ht="32" customHeight="1">
      <c r="A226" s="146" t="str">
        <v>TENS</v>
      </c>
      <c r="B226" s="146" t="str">
        <v>2025</v>
      </c>
      <c r="C226" s="146" t="str">
        <v>2</v>
      </c>
      <c r="D226" s="146" t="str">
        <v>ELIMINADO</v>
      </c>
      <c r="E226" s="146" t="str">
        <v>11 - RENUNCIA POST INICIO CLASES</v>
      </c>
      <c r="F226" s="146" t="n">
        <v>3</v>
      </c>
    </row>
    <row r="227" ht="32" customHeight="1">
      <c r="A227" s="146" t="str">
        <v>TENS</v>
      </c>
      <c r="B227" s="146" t="str">
        <v>2025</v>
      </c>
      <c r="C227" s="146" t="str">
        <v>2</v>
      </c>
      <c r="D227" s="146" t="str">
        <v>ELIMINADO</v>
      </c>
      <c r="E227" s="146" t="str">
        <v>23 - RETIRO - RETRACTO</v>
      </c>
      <c r="F227" s="146" t="n">
        <v>5</v>
      </c>
    </row>
    <row r="228" ht="32" customHeight="1">
      <c r="A228" s="146" t="str">
        <v>TENS</v>
      </c>
      <c r="B228" s="146" t="str">
        <v>2025</v>
      </c>
      <c r="C228" s="146" t="str">
        <v>2</v>
      </c>
      <c r="D228" s="146" t="str">
        <v>ELIMINADO</v>
      </c>
      <c r="E228" s="146" t="str">
        <v>24 - CAMBIO DE CARRERA</v>
      </c>
      <c r="F228" s="146" t="n">
        <v>1</v>
      </c>
    </row>
    <row r="229" ht="32" customHeight="1">
      <c r="A229" s="146" t="str">
        <v>TENS</v>
      </c>
      <c r="B229" s="146" t="str">
        <v>2025</v>
      </c>
      <c r="C229" s="146" t="str">
        <v>2</v>
      </c>
      <c r="D229" s="146" t="str">
        <v>VIGENTE</v>
      </c>
      <c r="E229" s="146" t="str">
        <v>1 - ALUMNO REGULAR</v>
      </c>
      <c r="F229" s="146" t="n">
        <v>16</v>
      </c>
    </row>
    <row r="230" ht="32" customHeight="1">
      <c r="A230" s="146" t="str">
        <v>TENS</v>
      </c>
      <c r="B230" s="146" t="str">
        <v>2025</v>
      </c>
      <c r="C230" s="146" t="str">
        <v>2</v>
      </c>
      <c r="D230" s="146" t="str">
        <v>VIGENTE</v>
      </c>
      <c r="E230" s="146" t="str">
        <v>38 - REINCORPORACION DE ACTIVIDADES</v>
      </c>
      <c r="F230" s="146" t="n">
        <v>1</v>
      </c>
    </row>
    <row r="231" ht="32" customHeight="1">
      <c r="A231" s="146" t="str">
        <v>TENS</v>
      </c>
      <c r="B231" s="146" t="str">
        <v>2025</v>
      </c>
      <c r="C231" s="146" t="str">
        <v>2</v>
      </c>
      <c r="D231" s="146" t="str">
        <v>VIGENTE</v>
      </c>
      <c r="E231" s="146" t="str">
        <v>49 - CAMBIO DE JORNADA</v>
      </c>
      <c r="F231" s="146" t="n">
        <v>1</v>
      </c>
    </row>
    <row r="232" ht="32" customHeight="1">
      <c r="A232" s="146" t="str">
        <v>TENS</v>
      </c>
      <c r="B232" s="146" t="str">
        <v>2025</v>
      </c>
      <c r="C232" s="146" t="str">
        <v>3</v>
      </c>
      <c r="D232" s="146" t="str">
        <v>ELIMINADO</v>
      </c>
      <c r="E232" s="146" t="str">
        <v>23 - RETIRO - RETRACTO</v>
      </c>
      <c r="F232" s="146" t="n">
        <v>1</v>
      </c>
    </row>
    <row r="233" ht="32" customHeight="1">
      <c r="A233" s="146" t="str">
        <v>TENS</v>
      </c>
      <c r="B233" s="146" t="str">
        <v>2025</v>
      </c>
      <c r="C233" s="146" t="str">
        <v>3</v>
      </c>
      <c r="D233" s="146" t="str">
        <v>VIGENTE</v>
      </c>
      <c r="E233" s="146" t="str">
        <v>1 - ALUMNO REGULAR</v>
      </c>
      <c r="F233" s="146" t="n">
        <v>11</v>
      </c>
    </row>
    <row r="234" ht="32" customHeight="1">
      <c r="A234" s="146" t="str">
        <v>TLOG</v>
      </c>
      <c r="B234" s="146" t="str">
        <v>2025</v>
      </c>
      <c r="C234" s="146" t="str">
        <v>1</v>
      </c>
      <c r="D234" s="146" t="str">
        <v>ELIMINADO</v>
      </c>
      <c r="E234" s="146" t="str">
        <v>11 - RENUNCIA POST INICIO CLASES</v>
      </c>
      <c r="F234" s="146" t="n">
        <v>7</v>
      </c>
    </row>
    <row r="235" ht="32" customHeight="1">
      <c r="A235" s="146" t="str">
        <v>TLOG</v>
      </c>
      <c r="B235" s="146" t="str">
        <v>2025</v>
      </c>
      <c r="C235" s="146" t="str">
        <v>1</v>
      </c>
      <c r="D235" s="146" t="str">
        <v>ELIMINADO</v>
      </c>
      <c r="E235" s="146" t="str">
        <v>23 - RETIRO - RETRACTO</v>
      </c>
      <c r="F235" s="146" t="n">
        <v>8</v>
      </c>
    </row>
    <row r="236" ht="32" customHeight="1">
      <c r="A236" s="146" t="str">
        <v>TLOG</v>
      </c>
      <c r="B236" s="146" t="str">
        <v>2025</v>
      </c>
      <c r="C236" s="146" t="str">
        <v>1</v>
      </c>
      <c r="D236" s="146" t="str">
        <v>ELIMINADO</v>
      </c>
      <c r="E236" s="146" t="str">
        <v>24 - CAMBIO DE CARRERA</v>
      </c>
      <c r="F236" s="146" t="n">
        <v>2</v>
      </c>
    </row>
    <row r="237" ht="32" customHeight="1">
      <c r="A237" s="146" t="str">
        <v>TLOG</v>
      </c>
      <c r="B237" s="146" t="str">
        <v>2025</v>
      </c>
      <c r="C237" s="146" t="str">
        <v>1</v>
      </c>
      <c r="D237" s="146" t="str">
        <v>SUSPENDIDO</v>
      </c>
      <c r="E237" s="146" t="str">
        <v>2 - SUSPENSIÓN TEMPORAL</v>
      </c>
      <c r="F237" s="146" t="n">
        <v>2</v>
      </c>
    </row>
    <row r="238" ht="32" customHeight="1">
      <c r="A238" s="146" t="str">
        <v>TLOG</v>
      </c>
      <c r="B238" s="146" t="str">
        <v>2025</v>
      </c>
      <c r="C238" s="146" t="str">
        <v>1</v>
      </c>
      <c r="D238" s="146" t="str">
        <v>VIGENTE</v>
      </c>
      <c r="E238" s="146" t="str">
        <v>1 - ALUMNO REGULAR</v>
      </c>
      <c r="F238" s="146" t="n">
        <v>56</v>
      </c>
    </row>
    <row r="239" ht="32" customHeight="1">
      <c r="A239" s="146" t="str">
        <v>TLOG</v>
      </c>
      <c r="B239" s="146" t="str">
        <v>2025</v>
      </c>
      <c r="C239" s="146" t="str">
        <v>1</v>
      </c>
      <c r="D239" s="146" t="str">
        <v>VIGENTE</v>
      </c>
      <c r="E239" s="146" t="str">
        <v>20 - VIGENTE SIN ACTIVIDAD ACADEMICA</v>
      </c>
      <c r="F239" s="146" t="n">
        <v>28</v>
      </c>
    </row>
    <row r="240" ht="32" customHeight="1">
      <c r="A240" s="146" t="str">
        <v>TLOG</v>
      </c>
      <c r="B240" s="146" t="str">
        <v>2025</v>
      </c>
      <c r="C240" s="146" t="str">
        <v>1</v>
      </c>
      <c r="D240" s="146" t="str">
        <v>VIGENTE</v>
      </c>
      <c r="E240" s="146" t="str">
        <v>38 - REINCORPORACION DE ACTIVIDADES</v>
      </c>
      <c r="F240" s="146" t="n">
        <v>1</v>
      </c>
    </row>
    <row r="241" ht="32" customHeight="1">
      <c r="A241" s="146" t="str">
        <v>TLOG</v>
      </c>
      <c r="B241" s="146" t="str">
        <v>2025</v>
      </c>
      <c r="C241" s="146" t="str">
        <v>1</v>
      </c>
      <c r="D241" s="146" t="str">
        <v>VIGENTE</v>
      </c>
      <c r="E241" s="146" t="str">
        <v>49 - CAMBIO DE JORNADA</v>
      </c>
      <c r="F241" s="146" t="n">
        <v>7</v>
      </c>
    </row>
    <row r="242" ht="32" customHeight="1">
      <c r="A242" s="146" t="str">
        <v>TMIRE</v>
      </c>
      <c r="B242" s="146" t="str">
        <v>2025</v>
      </c>
      <c r="C242" s="146" t="str">
        <v>1</v>
      </c>
      <c r="D242" s="146" t="str">
        <v>TITULADO</v>
      </c>
      <c r="E242" s="146" t="str">
        <v>31 - TITULADO APROBADO</v>
      </c>
      <c r="F242" s="146" t="n">
        <v>1</v>
      </c>
    </row>
    <row r="243" ht="32" customHeight="1">
      <c r="A243" s="146" t="str">
        <v>TPARE</v>
      </c>
      <c r="B243" s="146" t="str">
        <v>2025</v>
      </c>
      <c r="C243" s="146" t="str">
        <v>1</v>
      </c>
      <c r="D243" s="146" t="str">
        <v>TITULADO</v>
      </c>
      <c r="E243" s="146" t="str">
        <v>31 - TITULADO APROBADO</v>
      </c>
      <c r="F243" s="146" t="n">
        <v>1</v>
      </c>
    </row>
    <row r="244" ht="32" customHeight="1">
      <c r="A244" s="146" t="str">
        <v>TPAREOL</v>
      </c>
      <c r="B244" s="146" t="str">
        <v>2025</v>
      </c>
      <c r="C244" s="146" t="str">
        <v>1</v>
      </c>
      <c r="D244" s="146" t="str">
        <v>ELIMINADO</v>
      </c>
      <c r="E244" s="146" t="str">
        <v>10 - ACTUALIZACIÓN DE PLAN DE ESTUDIO 2024</v>
      </c>
      <c r="F244" s="146" t="n">
        <v>2</v>
      </c>
    </row>
    <row r="245" ht="32" customHeight="1">
      <c r="A245" s="146" t="str">
        <v>TPAREOL</v>
      </c>
      <c r="B245" s="146" t="str">
        <v>2025</v>
      </c>
      <c r="C245" s="146" t="str">
        <v>1</v>
      </c>
      <c r="D245" s="146" t="str">
        <v>TITULADO</v>
      </c>
      <c r="E245" s="146" t="str">
        <v>31 - TITULADO APROBADO</v>
      </c>
      <c r="F245" s="146" t="n">
        <v>8</v>
      </c>
    </row>
    <row r="246" ht="32" customHeight="1">
      <c r="A246" s="146" t="str">
        <v>TPAREOL</v>
      </c>
      <c r="B246" s="146" t="str">
        <v>2025</v>
      </c>
      <c r="C246" s="146" t="str">
        <v>1</v>
      </c>
      <c r="D246" s="146" t="str">
        <v>VIGENTE</v>
      </c>
      <c r="E246" s="146" t="str">
        <v>1 - ALUMNO REGULAR</v>
      </c>
      <c r="F246" s="146" t="n">
        <v>1</v>
      </c>
    </row>
    <row r="247" ht="32" customHeight="1">
      <c r="A247" s="146" t="str">
        <v>TPAREOL</v>
      </c>
      <c r="B247" s="146" t="str">
        <v>2025</v>
      </c>
      <c r="C247" s="146" t="str">
        <v>2</v>
      </c>
      <c r="D247" s="146" t="str">
        <v>VIGENTE</v>
      </c>
      <c r="E247" s="146" t="str">
        <v>38 - REINCORPORACION DE ACTIVIDADES</v>
      </c>
      <c r="F247" s="146" t="n">
        <v>1</v>
      </c>
    </row>
    <row r="248" ht="32" customHeight="1">
      <c r="A248" s="146" t="str">
        <v>TPAS</v>
      </c>
      <c r="B248" s="146" t="str">
        <v>2025</v>
      </c>
      <c r="C248" s="146" t="str">
        <v>1</v>
      </c>
      <c r="D248" s="146" t="str">
        <v>ELIMINADO</v>
      </c>
      <c r="E248" s="146" t="str">
        <v>11 - RENUNCIA POST INICIO CLASES</v>
      </c>
      <c r="F248" s="146" t="n">
        <v>20</v>
      </c>
    </row>
    <row r="249" ht="32" customHeight="1">
      <c r="A249" s="146" t="str">
        <v>TPAS</v>
      </c>
      <c r="B249" s="146" t="str">
        <v>2025</v>
      </c>
      <c r="C249" s="146" t="str">
        <v>1</v>
      </c>
      <c r="D249" s="146" t="str">
        <v>ELIMINADO</v>
      </c>
      <c r="E249" s="146" t="str">
        <v>23 - RETIRO - RETRACTO</v>
      </c>
      <c r="F249" s="146" t="n">
        <v>13</v>
      </c>
    </row>
    <row r="250" ht="32" customHeight="1">
      <c r="A250" s="146" t="str">
        <v>TPAS</v>
      </c>
      <c r="B250" s="146" t="str">
        <v>2025</v>
      </c>
      <c r="C250" s="146" t="str">
        <v>1</v>
      </c>
      <c r="D250" s="146" t="str">
        <v>ELIMINADO</v>
      </c>
      <c r="E250" s="146" t="str">
        <v>24 - CAMBIO DE CARRERA</v>
      </c>
      <c r="F250" s="146" t="n">
        <v>5</v>
      </c>
    </row>
    <row r="251" ht="32" customHeight="1">
      <c r="A251" s="146" t="str">
        <v>TPAS</v>
      </c>
      <c r="B251" s="146" t="str">
        <v>2025</v>
      </c>
      <c r="C251" s="146" t="str">
        <v>1</v>
      </c>
      <c r="D251" s="146" t="str">
        <v>ELIMINADO</v>
      </c>
      <c r="E251" s="146" t="str">
        <v>9 - RECHAZO ACTUALIZACION DE PLAN 2024</v>
      </c>
      <c r="F251" s="146" t="n">
        <v>1</v>
      </c>
    </row>
    <row r="252" ht="32" customHeight="1">
      <c r="A252" s="146" t="str">
        <v>TPAS</v>
      </c>
      <c r="B252" s="146" t="str">
        <v>2025</v>
      </c>
      <c r="C252" s="146" t="str">
        <v>1</v>
      </c>
      <c r="D252" s="146" t="str">
        <v>SUSPENDIDO</v>
      </c>
      <c r="E252" s="146" t="str">
        <v>2 - SUSPENSIÓN TEMPORAL</v>
      </c>
      <c r="F252" s="146" t="n">
        <v>4</v>
      </c>
    </row>
    <row r="253" ht="32" customHeight="1">
      <c r="A253" s="146" t="str">
        <v>TPAS</v>
      </c>
      <c r="B253" s="146" t="str">
        <v>2025</v>
      </c>
      <c r="C253" s="146" t="str">
        <v>1</v>
      </c>
      <c r="D253" s="146" t="str">
        <v>TITULADO</v>
      </c>
      <c r="E253" s="146" t="str">
        <v>31 - TITULADO APROBADO</v>
      </c>
      <c r="F253" s="146" t="n">
        <v>38</v>
      </c>
    </row>
    <row r="254" ht="32" customHeight="1">
      <c r="A254" s="146" t="str">
        <v>TPAS</v>
      </c>
      <c r="B254" s="146" t="str">
        <v>2025</v>
      </c>
      <c r="C254" s="146" t="str">
        <v>1</v>
      </c>
      <c r="D254" s="146" t="str">
        <v>VIGENTE</v>
      </c>
      <c r="E254" s="146" t="str">
        <v>1 - ALUMNO REGULAR</v>
      </c>
      <c r="F254" s="146" t="n">
        <v>200</v>
      </c>
    </row>
    <row r="255" ht="32" customHeight="1">
      <c r="A255" s="146" t="str">
        <v>TPAS</v>
      </c>
      <c r="B255" s="146" t="str">
        <v>2025</v>
      </c>
      <c r="C255" s="146" t="str">
        <v>1</v>
      </c>
      <c r="D255" s="146" t="str">
        <v>VIGENTE</v>
      </c>
      <c r="E255" s="146" t="str">
        <v>20 - VIGENTE SIN ACTIVIDAD ACADEMICA</v>
      </c>
      <c r="F255" s="146" t="n">
        <v>24</v>
      </c>
    </row>
    <row r="256" ht="32" customHeight="1">
      <c r="A256" s="146" t="str">
        <v>TPAS</v>
      </c>
      <c r="B256" s="146" t="str">
        <v>2025</v>
      </c>
      <c r="C256" s="146" t="str">
        <v>1</v>
      </c>
      <c r="D256" s="146" t="str">
        <v>VIGENTE</v>
      </c>
      <c r="E256" s="146" t="str">
        <v>38 - REINCORPORACION DE ACTIVIDADES</v>
      </c>
      <c r="F256" s="146" t="n">
        <v>6</v>
      </c>
    </row>
    <row r="257" ht="32" customHeight="1">
      <c r="A257" s="146" t="str">
        <v>TPAS</v>
      </c>
      <c r="B257" s="146" t="str">
        <v>2025</v>
      </c>
      <c r="C257" s="146" t="str">
        <v>1</v>
      </c>
      <c r="D257" s="146" t="str">
        <v>VIGENTE</v>
      </c>
      <c r="E257" s="146" t="str">
        <v>49 - CAMBIO DE JORNADA</v>
      </c>
      <c r="F257" s="146" t="n">
        <v>15</v>
      </c>
    </row>
    <row r="258" ht="32" customHeight="1">
      <c r="A258" s="146" t="str">
        <v>TPAS</v>
      </c>
      <c r="B258" s="146" t="str">
        <v>2025</v>
      </c>
      <c r="C258" s="146" t="str">
        <v>2</v>
      </c>
      <c r="D258" s="146" t="str">
        <v>ELIMINADO</v>
      </c>
      <c r="E258" s="146" t="str">
        <v>11 - RENUNCIA POST INICIO CLASES</v>
      </c>
      <c r="F258" s="146" t="n">
        <v>1</v>
      </c>
    </row>
    <row r="259" ht="32" customHeight="1">
      <c r="A259" s="146" t="str">
        <v>TPAS</v>
      </c>
      <c r="B259" s="146" t="str">
        <v>2025</v>
      </c>
      <c r="C259" s="146" t="str">
        <v>2</v>
      </c>
      <c r="D259" s="146" t="str">
        <v>ELIMINADO</v>
      </c>
      <c r="E259" s="146" t="str">
        <v>23 - RETIRO - RETRACTO</v>
      </c>
      <c r="F259" s="146" t="n">
        <v>1</v>
      </c>
    </row>
    <row r="260" ht="32" customHeight="1">
      <c r="A260" s="146" t="str">
        <v>TPAS</v>
      </c>
      <c r="B260" s="146" t="str">
        <v>2025</v>
      </c>
      <c r="C260" s="146" t="str">
        <v>2</v>
      </c>
      <c r="D260" s="146" t="str">
        <v>SUSPENDIDO</v>
      </c>
      <c r="E260" s="146" t="str">
        <v>2 - SUSPENSIÓN TEMPORAL</v>
      </c>
      <c r="F260" s="146" t="n">
        <v>1</v>
      </c>
    </row>
    <row r="261" ht="32" customHeight="1">
      <c r="A261" s="146" t="str">
        <v>TPAS</v>
      </c>
      <c r="B261" s="146" t="str">
        <v>2025</v>
      </c>
      <c r="C261" s="146" t="str">
        <v>2</v>
      </c>
      <c r="D261" s="146" t="str">
        <v>VIGENTE</v>
      </c>
      <c r="E261" s="146" t="str">
        <v>1 - ALUMNO REGULAR</v>
      </c>
      <c r="F261" s="146" t="n">
        <v>20</v>
      </c>
    </row>
    <row r="262" ht="32" customHeight="1">
      <c r="A262" s="146" t="str">
        <v>TPAS</v>
      </c>
      <c r="B262" s="146" t="str">
        <v>2025</v>
      </c>
      <c r="C262" s="146" t="str">
        <v>2</v>
      </c>
      <c r="D262" s="146" t="str">
        <v>VIGENTE</v>
      </c>
      <c r="E262" s="146" t="str">
        <v>49 - CAMBIO DE JORNADA</v>
      </c>
      <c r="F262" s="146" t="n">
        <v>2</v>
      </c>
    </row>
    <row r="263" ht="32" customHeight="1">
      <c r="A263" s="146" t="str">
        <v>TPAS</v>
      </c>
      <c r="B263" s="146" t="str">
        <v>2025</v>
      </c>
      <c r="C263" s="146" t="str">
        <v>3</v>
      </c>
      <c r="D263" s="146" t="str">
        <v>VIGENTE</v>
      </c>
      <c r="E263" s="146" t="str">
        <v>1 - ALUMNO REGULAR</v>
      </c>
      <c r="F263" s="146" t="n">
        <v>23</v>
      </c>
    </row>
    <row r="264" ht="32" customHeight="1">
      <c r="A264" s="146" t="str">
        <v>TPAS</v>
      </c>
      <c r="B264" s="146" t="str">
        <v>2025</v>
      </c>
      <c r="C264" s="146" t="str">
        <v>3</v>
      </c>
      <c r="D264" s="146" t="str">
        <v>VIGENTE</v>
      </c>
      <c r="E264" s="146" t="str">
        <v>38 - REINCORPORACION DE ACTIVIDADES</v>
      </c>
      <c r="F264" s="146" t="n">
        <v>1</v>
      </c>
    </row>
    <row r="265" ht="32" customHeight="1">
      <c r="A265" s="146" t="str">
        <v>TTMREOL</v>
      </c>
      <c r="B265" s="146" t="str">
        <v>2025</v>
      </c>
      <c r="C265" s="146" t="str">
        <v>1</v>
      </c>
      <c r="D265" s="146" t="str">
        <v>TITULADO</v>
      </c>
      <c r="E265" s="146" t="str">
        <v>31 - TITULADO APROBADO</v>
      </c>
      <c r="F265" s="146" t="n">
        <v>2</v>
      </c>
    </row>
    <row r="266" ht="32" customHeight="1">
      <c r="A266" s="146" t="str">
        <v>TTMREOL</v>
      </c>
      <c r="B266" s="146" t="str">
        <v>2025</v>
      </c>
      <c r="C266" s="146" t="str">
        <v>1</v>
      </c>
      <c r="D266" s="146" t="str">
        <v>VIGENTE</v>
      </c>
      <c r="E266" s="146" t="str">
        <v>38 - REINCORPORACION DE ACTIVIDADES</v>
      </c>
      <c r="F266" s="146" t="n">
        <v>2</v>
      </c>
    </row>
    <row r="267" ht="32" customHeight="1">
      <c r="A267" s="146" t="str">
        <v>TTMREOL</v>
      </c>
      <c r="B267" s="146" t="str">
        <v>2025</v>
      </c>
      <c r="C267" s="146" t="str">
        <v>2</v>
      </c>
      <c r="D267" s="146" t="str">
        <v>VIGENTE</v>
      </c>
      <c r="E267" s="146" t="str">
        <v>38 - REINCORPORACION DE ACTIVIDADES</v>
      </c>
      <c r="F267" s="146" t="n">
        <v>1</v>
      </c>
    </row>
  </sheetData>
  <pageMargins left="0.7" right="0.7" top="0.75" bottom="0.75" header="0.3" footer="0.3"/>
</worksheet>
</file>

<file path=xl/worksheets/sheet26.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22" hidden="0" customWidth="1"/>
    <col min="6" max="6" width="22" hidden="0" customWidth="1"/>
  </cols>
  <sheetData>
    <row r="1" ht="32" customHeight="1">
      <c r="A1" s="149" t="str">
        <v>25_Foto_Corte_T3_2026 · agregado provisional</v>
      </c>
      <c r="B1" s="5"/>
      <c r="C1" s="5"/>
      <c r="D1" s="5"/>
      <c r="E1" s="5"/>
      <c r="F1" s="5"/>
    </row>
    <row r="2" ht="32" customHeight="1">
      <c r="A2" s="146" t="str">
        <v>2026-10-22 · detalle individual excluido; original preservado</v>
      </c>
      <c r="B2" s="2"/>
      <c r="C2" s="2"/>
      <c r="D2" s="2"/>
      <c r="E2" s="2"/>
      <c r="F2" s="2"/>
    </row>
    <row r="3" ht="32" customHeight="1">
      <c r="A3" s="146" t="str">
        <v>C · Cantidad de registros de la fuente; no se interpreta como personas únicas</v>
      </c>
      <c r="B3" s="2"/>
      <c r="C3" s="2"/>
      <c r="D3" s="2"/>
      <c r="E3" s="2"/>
      <c r="F3" s="2"/>
    </row>
    <row r="4" ht="32" customHeight="1">
      <c r="A4" s="151" t="str">
        <v>CODCARPR</v>
      </c>
      <c r="B4" s="151" t="str">
        <v>ANOMATRICULA</v>
      </c>
      <c r="C4" s="151" t="str">
        <v>PERIODOMATRICULA</v>
      </c>
      <c r="D4" s="151" t="str">
        <v>ESTADOACADEMICO</v>
      </c>
      <c r="E4" s="151" t="str">
        <v>SITUACION</v>
      </c>
      <c r="F4" s="151" t="str">
        <v>Registros</v>
      </c>
    </row>
    <row r="5" ht="32" customHeight="1">
      <c r="A5" s="146" t="str">
        <v>ADMP</v>
      </c>
      <c r="B5" s="146" t="str">
        <v>2025</v>
      </c>
      <c r="C5" s="146" t="str">
        <v>1</v>
      </c>
      <c r="D5" s="146" t="str">
        <v>ELIMINADO</v>
      </c>
      <c r="E5" s="146" t="str">
        <v>11 - RENUNCIA POST INICIO CLASES</v>
      </c>
      <c r="F5" s="146" t="n">
        <v>10</v>
      </c>
    </row>
    <row r="6" ht="32" customHeight="1">
      <c r="A6" s="146" t="str">
        <v>ADMP</v>
      </c>
      <c r="B6" s="146" t="str">
        <v>2025</v>
      </c>
      <c r="C6" s="146" t="str">
        <v>1</v>
      </c>
      <c r="D6" s="146" t="str">
        <v>ELIMINADO</v>
      </c>
      <c r="E6" s="146" t="str">
        <v>20 - VIGENTE SIN ACTIVIDAD ACADEMICA</v>
      </c>
      <c r="F6" s="146" t="n">
        <v>1</v>
      </c>
    </row>
    <row r="7" ht="32" customHeight="1">
      <c r="A7" s="146" t="str">
        <v>ADMP</v>
      </c>
      <c r="B7" s="146" t="str">
        <v>2025</v>
      </c>
      <c r="C7" s="146" t="str">
        <v>1</v>
      </c>
      <c r="D7" s="146" t="str">
        <v>ELIMINADO</v>
      </c>
      <c r="E7" s="146" t="str">
        <v>23 - RETIRO - RETRACTO</v>
      </c>
      <c r="F7" s="146" t="n">
        <v>5</v>
      </c>
    </row>
    <row r="8" ht="32" customHeight="1">
      <c r="A8" s="146" t="str">
        <v>ADMP</v>
      </c>
      <c r="B8" s="146" t="str">
        <v>2025</v>
      </c>
      <c r="C8" s="146" t="str">
        <v>1</v>
      </c>
      <c r="D8" s="146" t="str">
        <v>ELIMINADO</v>
      </c>
      <c r="E8" s="146" t="str">
        <v>24 - CAMBIO DE CARRERA</v>
      </c>
      <c r="F8" s="146" t="n">
        <v>4</v>
      </c>
    </row>
    <row r="9" ht="32" customHeight="1">
      <c r="A9" s="146" t="str">
        <v>ADMP</v>
      </c>
      <c r="B9" s="146" t="str">
        <v>2025</v>
      </c>
      <c r="C9" s="146" t="str">
        <v>1</v>
      </c>
      <c r="D9" s="146" t="str">
        <v>ELIMINADO</v>
      </c>
      <c r="E9" s="146" t="str">
        <v>7 - NO RENUEVA MATRICULA</v>
      </c>
      <c r="F9" s="146" t="n">
        <v>9</v>
      </c>
    </row>
    <row r="10" ht="32" customHeight="1">
      <c r="A10" s="146" t="str">
        <v>ADMP</v>
      </c>
      <c r="B10" s="146" t="str">
        <v>2025</v>
      </c>
      <c r="C10" s="146" t="str">
        <v>1</v>
      </c>
      <c r="D10" s="146" t="str">
        <v>SUSPENDIDO</v>
      </c>
      <c r="E10" s="146" t="str">
        <v>2 - SUSPENSIÓN TEMPORAL</v>
      </c>
      <c r="F10" s="146" t="n">
        <v>2</v>
      </c>
    </row>
    <row r="11" ht="32" customHeight="1">
      <c r="A11" s="146" t="str">
        <v>ADMP</v>
      </c>
      <c r="B11" s="146" t="str">
        <v>2025</v>
      </c>
      <c r="C11" s="146" t="str">
        <v>1</v>
      </c>
      <c r="D11" s="146" t="str">
        <v>VIGENTE</v>
      </c>
      <c r="E11" s="146" t="str">
        <v>1 - ALUMNO REGULAR</v>
      </c>
      <c r="F11" s="146" t="n">
        <v>7</v>
      </c>
    </row>
    <row r="12" ht="32" customHeight="1">
      <c r="A12" s="146" t="str">
        <v>ADMP</v>
      </c>
      <c r="B12" s="146" t="str">
        <v>2025</v>
      </c>
      <c r="C12" s="146" t="str">
        <v>1</v>
      </c>
      <c r="D12" s="146" t="str">
        <v>VIGENTE</v>
      </c>
      <c r="E12" s="146" t="str">
        <v>20 - VIGENTE SIN ACTIVIDAD ACADEMICA</v>
      </c>
      <c r="F12" s="146" t="n">
        <v>24</v>
      </c>
    </row>
    <row r="13" ht="32" customHeight="1">
      <c r="A13" s="146" t="str">
        <v>ADMP</v>
      </c>
      <c r="B13" s="146" t="str">
        <v>2025</v>
      </c>
      <c r="C13" s="146" t="str">
        <v>2</v>
      </c>
      <c r="D13" s="146" t="str">
        <v>ELIMINADO</v>
      </c>
      <c r="E13" s="146" t="str">
        <v>11 - RENUNCIA POST INICIO CLASES</v>
      </c>
      <c r="F13" s="146" t="n">
        <v>2</v>
      </c>
    </row>
    <row r="14" ht="32" customHeight="1">
      <c r="A14" s="146" t="str">
        <v>ADMP</v>
      </c>
      <c r="B14" s="146" t="str">
        <v>2025</v>
      </c>
      <c r="C14" s="146" t="str">
        <v>2</v>
      </c>
      <c r="D14" s="146" t="str">
        <v>ELIMINADO</v>
      </c>
      <c r="E14" s="146" t="str">
        <v>23 - RETIRO - RETRACTO</v>
      </c>
      <c r="F14" s="146" t="n">
        <v>1</v>
      </c>
    </row>
    <row r="15" ht="32" customHeight="1">
      <c r="A15" s="146" t="str">
        <v>ADMP</v>
      </c>
      <c r="B15" s="146" t="str">
        <v>2025</v>
      </c>
      <c r="C15" s="146" t="str">
        <v>2</v>
      </c>
      <c r="D15" s="146" t="str">
        <v>SUSPENDIDO</v>
      </c>
      <c r="E15" s="146" t="str">
        <v>2 - SUSPENSIÓN TEMPORAL</v>
      </c>
      <c r="F15" s="146" t="n">
        <v>2</v>
      </c>
    </row>
    <row r="16" ht="32" customHeight="1">
      <c r="A16" s="146" t="str">
        <v>ADMP</v>
      </c>
      <c r="B16" s="146" t="str">
        <v>2025</v>
      </c>
      <c r="C16" s="146" t="str">
        <v>2</v>
      </c>
      <c r="D16" s="146" t="str">
        <v>VIGENTE</v>
      </c>
      <c r="E16" s="146" t="str">
        <v>1 - ALUMNO REGULAR</v>
      </c>
      <c r="F16" s="146" t="n">
        <v>15</v>
      </c>
    </row>
    <row r="17" ht="32" customHeight="1">
      <c r="A17" s="146" t="str">
        <v>ADMP</v>
      </c>
      <c r="B17" s="146" t="str">
        <v>2025</v>
      </c>
      <c r="C17" s="146" t="str">
        <v>3</v>
      </c>
      <c r="D17" s="146" t="str">
        <v>VIGENTE</v>
      </c>
      <c r="E17" s="146" t="str">
        <v>1 - ALUMNO REGULAR</v>
      </c>
      <c r="F17" s="146" t="n">
        <v>14</v>
      </c>
    </row>
    <row r="18" ht="32" customHeight="1">
      <c r="A18" s="146" t="str">
        <v>ADMP</v>
      </c>
      <c r="B18" s="146" t="str">
        <v>2026</v>
      </c>
      <c r="C18" s="146" t="str">
        <v>1</v>
      </c>
      <c r="D18" s="146" t="str">
        <v>ELIMINADO</v>
      </c>
      <c r="E18" s="146" t="str">
        <v>11 - RENUNCIA POST INICIO CLASES</v>
      </c>
      <c r="F18" s="146" t="n">
        <v>10</v>
      </c>
    </row>
    <row r="19" ht="32" customHeight="1">
      <c r="A19" s="146" t="str">
        <v>ADMP</v>
      </c>
      <c r="B19" s="146" t="str">
        <v>2026</v>
      </c>
      <c r="C19" s="146" t="str">
        <v>1</v>
      </c>
      <c r="D19" s="146" t="str">
        <v>ELIMINADO</v>
      </c>
      <c r="E19" s="146" t="str">
        <v>23 - RETIRO - RETRACTO</v>
      </c>
      <c r="F19" s="146" t="n">
        <v>9</v>
      </c>
    </row>
    <row r="20" ht="32" customHeight="1">
      <c r="A20" s="146" t="str">
        <v>ADMP</v>
      </c>
      <c r="B20" s="146" t="str">
        <v>2026</v>
      </c>
      <c r="C20" s="146" t="str">
        <v>1</v>
      </c>
      <c r="D20" s="146" t="str">
        <v>ELIMINADO</v>
      </c>
      <c r="E20" s="146" t="str">
        <v>24 - CAMBIO DE CARRERA</v>
      </c>
      <c r="F20" s="146" t="n">
        <v>1</v>
      </c>
    </row>
    <row r="21" ht="32" customHeight="1">
      <c r="A21" s="146" t="str">
        <v>ADMP</v>
      </c>
      <c r="B21" s="146" t="str">
        <v>2026</v>
      </c>
      <c r="C21" s="146" t="str">
        <v>1</v>
      </c>
      <c r="D21" s="146" t="str">
        <v>ELIMINADO</v>
      </c>
      <c r="E21" s="146" t="str">
        <v>8 - ELIMINADO SIN ACTIVIDAD ACADÉMICA</v>
      </c>
      <c r="F21" s="146" t="n">
        <v>10</v>
      </c>
    </row>
    <row r="22" ht="32" customHeight="1">
      <c r="A22" s="146" t="str">
        <v>ADMP</v>
      </c>
      <c r="B22" s="146" t="str">
        <v>2026</v>
      </c>
      <c r="C22" s="146" t="str">
        <v>1</v>
      </c>
      <c r="D22" s="146" t="str">
        <v>SUSPENDIDO</v>
      </c>
      <c r="E22" s="146" t="str">
        <v>2 - SUSPENSIÓN TEMPORAL</v>
      </c>
      <c r="F22" s="146" t="n">
        <v>1</v>
      </c>
    </row>
    <row r="23" ht="32" customHeight="1">
      <c r="A23" s="146" t="str">
        <v>ADMP</v>
      </c>
      <c r="B23" s="146" t="str">
        <v>2026</v>
      </c>
      <c r="C23" s="146" t="str">
        <v>1</v>
      </c>
      <c r="D23" s="146" t="str">
        <v>VIGENTE</v>
      </c>
      <c r="E23" s="146" t="str">
        <v>1 - ALUMNO REGULAR</v>
      </c>
      <c r="F23" s="146" t="n">
        <v>64</v>
      </c>
    </row>
    <row r="24" ht="32" customHeight="1">
      <c r="A24" s="146" t="str">
        <v>ADMP</v>
      </c>
      <c r="B24" s="146" t="str">
        <v>2026</v>
      </c>
      <c r="C24" s="146" t="str">
        <v>1</v>
      </c>
      <c r="D24" s="146" t="str">
        <v>VIGENTE</v>
      </c>
      <c r="E24" s="146" t="str">
        <v>38 - REINCORPORACION DE ACTIVIDADES</v>
      </c>
      <c r="F24" s="146" t="n">
        <v>1</v>
      </c>
    </row>
    <row r="25" ht="32" customHeight="1">
      <c r="A25" s="146" t="str">
        <v>ADMP</v>
      </c>
      <c r="B25" s="146" t="str">
        <v>2026</v>
      </c>
      <c r="C25" s="146" t="str">
        <v>2</v>
      </c>
      <c r="D25" s="146" t="str">
        <v>ELIMINADO</v>
      </c>
      <c r="E25" s="146" t="str">
        <v>11 - RENUNCIA POST INICIO CLASES</v>
      </c>
      <c r="F25" s="146" t="n">
        <v>2</v>
      </c>
    </row>
    <row r="26" ht="32" customHeight="1">
      <c r="A26" s="146" t="str">
        <v>ADMP</v>
      </c>
      <c r="B26" s="146" t="str">
        <v>2026</v>
      </c>
      <c r="C26" s="146" t="str">
        <v>2</v>
      </c>
      <c r="D26" s="146" t="str">
        <v>VIGENTE</v>
      </c>
      <c r="E26" s="146" t="str">
        <v>1 - ALUMNO REGULAR</v>
      </c>
      <c r="F26" s="146" t="n">
        <v>21</v>
      </c>
    </row>
    <row r="27" ht="32" customHeight="1">
      <c r="A27" s="146" t="str">
        <v>ADMP</v>
      </c>
      <c r="B27" s="146" t="str">
        <v>2026</v>
      </c>
      <c r="C27" s="146" t="str">
        <v>3</v>
      </c>
      <c r="D27" s="146" t="str">
        <v>VIGENTE</v>
      </c>
      <c r="E27" s="146" t="str">
        <v>1 - ALUMNO REGULAR</v>
      </c>
      <c r="F27" s="146" t="n">
        <v>1</v>
      </c>
    </row>
    <row r="28" ht="32" customHeight="1">
      <c r="A28" s="146" t="str">
        <v>ADMP</v>
      </c>
      <c r="B28" s="146" t="str">
        <v>2027</v>
      </c>
      <c r="C28" s="146" t="str">
        <v>1</v>
      </c>
      <c r="D28" s="146" t="str">
        <v>VIGENTE</v>
      </c>
      <c r="E28" s="146" t="str">
        <v>1 - ALUMNO REGULAR</v>
      </c>
      <c r="F28" s="146" t="n">
        <v>6</v>
      </c>
    </row>
    <row r="29" ht="32" customHeight="1">
      <c r="A29" s="146" t="str">
        <v>ASRE</v>
      </c>
      <c r="B29" s="146" t="str">
        <v>2015</v>
      </c>
      <c r="C29" s="146" t="str">
        <v>1</v>
      </c>
      <c r="D29" s="146" t="str">
        <v>ELIMINADO</v>
      </c>
      <c r="E29" s="146" t="str">
        <v>24 - CAMBIO DE CARRERA</v>
      </c>
      <c r="F29" s="146" t="n">
        <v>17</v>
      </c>
    </row>
    <row r="30" ht="32" customHeight="1">
      <c r="A30" s="146" t="str">
        <v>ASRE</v>
      </c>
      <c r="B30" s="146" t="str">
        <v>2015</v>
      </c>
      <c r="C30" s="146" t="str">
        <v>1</v>
      </c>
      <c r="D30" s="146" t="str">
        <v>ELIMINADO</v>
      </c>
      <c r="E30" s="146" t="str">
        <v>3 - ELIMINACION AUTOMATICA</v>
      </c>
      <c r="F30" s="146" t="n">
        <v>2</v>
      </c>
    </row>
    <row r="31" ht="32" customHeight="1">
      <c r="A31" s="146" t="str">
        <v>ASRE</v>
      </c>
      <c r="B31" s="146" t="str">
        <v>2015</v>
      </c>
      <c r="C31" s="146" t="str">
        <v>1</v>
      </c>
      <c r="D31" s="146" t="str">
        <v>ELIMINADO</v>
      </c>
      <c r="E31" s="146" t="str">
        <v>38 - REINCORPORACION DE ACTIVIDADES</v>
      </c>
      <c r="F31" s="146" t="n">
        <v>1</v>
      </c>
    </row>
    <row r="32" ht="32" customHeight="1">
      <c r="A32" s="146" t="str">
        <v>ASRE</v>
      </c>
      <c r="B32" s="146" t="str">
        <v>2016</v>
      </c>
      <c r="C32" s="146" t="str">
        <v>1</v>
      </c>
      <c r="D32" s="146" t="str">
        <v>ELIMINADO</v>
      </c>
      <c r="E32" s="146" t="str">
        <v>23 - RETIRO - RETRACTO</v>
      </c>
      <c r="F32" s="146" t="n">
        <v>1</v>
      </c>
    </row>
    <row r="33" ht="32" customHeight="1">
      <c r="A33" s="146" t="str">
        <v>ASRE</v>
      </c>
      <c r="B33" s="146" t="str">
        <v>2016</v>
      </c>
      <c r="C33" s="146" t="str">
        <v>1</v>
      </c>
      <c r="D33" s="146" t="str">
        <v>ELIMINADO</v>
      </c>
      <c r="E33" s="146" t="str">
        <v>3 - ELIMINACION AUTOMATICA</v>
      </c>
      <c r="F33" s="146" t="n">
        <v>17</v>
      </c>
    </row>
    <row r="34" ht="32" customHeight="1">
      <c r="A34" s="146" t="str">
        <v>ASRE</v>
      </c>
      <c r="B34" s="146" t="str">
        <v>2016</v>
      </c>
      <c r="C34" s="146" t="str">
        <v>1</v>
      </c>
      <c r="D34" s="146" t="str">
        <v>ELIMINADO</v>
      </c>
      <c r="E34" s="146" t="str">
        <v>7 - NO RENUEVA MATRICULA</v>
      </c>
      <c r="F34" s="146" t="n">
        <v>5</v>
      </c>
    </row>
    <row r="35" ht="32" customHeight="1">
      <c r="A35" s="146" t="str">
        <v>ASRE</v>
      </c>
      <c r="B35" s="146" t="str">
        <v>2016</v>
      </c>
      <c r="C35" s="146" t="str">
        <v>2</v>
      </c>
      <c r="D35" s="146" t="str">
        <v>ELIMINADO</v>
      </c>
      <c r="E35" s="146" t="str">
        <v>38 - REINCORPORACION DE ACTIVIDADES</v>
      </c>
      <c r="F35" s="146" t="n">
        <v>1</v>
      </c>
    </row>
    <row r="36" ht="32" customHeight="1">
      <c r="A36" s="146" t="str">
        <v>ASRE</v>
      </c>
      <c r="B36" s="146" t="str">
        <v>2017</v>
      </c>
      <c r="C36" s="146" t="str">
        <v>1</v>
      </c>
      <c r="D36" s="146" t="str">
        <v>ELIMINADO</v>
      </c>
      <c r="E36" s="146" t="str">
        <v>23 - RETIRO - RETRACTO</v>
      </c>
      <c r="F36" s="146" t="n">
        <v>3</v>
      </c>
    </row>
    <row r="37" ht="32" customHeight="1">
      <c r="A37" s="146" t="str">
        <v>ASRE</v>
      </c>
      <c r="B37" s="146" t="str">
        <v>2017</v>
      </c>
      <c r="C37" s="146" t="str">
        <v>1</v>
      </c>
      <c r="D37" s="146" t="str">
        <v>ELIMINADO</v>
      </c>
      <c r="E37" s="146" t="str">
        <v>24 - CAMBIO DE CARRERA</v>
      </c>
      <c r="F37" s="146" t="n">
        <v>7</v>
      </c>
    </row>
    <row r="38" ht="32" customHeight="1">
      <c r="A38" s="146" t="str">
        <v>ASRE</v>
      </c>
      <c r="B38" s="146" t="str">
        <v>2017</v>
      </c>
      <c r="C38" s="146" t="str">
        <v>1</v>
      </c>
      <c r="D38" s="146" t="str">
        <v>ELIMINADO</v>
      </c>
      <c r="E38" s="146" t="str">
        <v>3 - ELIMINACION AUTOMATICA</v>
      </c>
      <c r="F38" s="146" t="n">
        <v>33</v>
      </c>
    </row>
    <row r="39" ht="32" customHeight="1">
      <c r="A39" s="146" t="str">
        <v>ASRE</v>
      </c>
      <c r="B39" s="146" t="str">
        <v>2017</v>
      </c>
      <c r="C39" s="146" t="str">
        <v>1</v>
      </c>
      <c r="D39" s="146" t="str">
        <v>TITULADO</v>
      </c>
      <c r="E39" s="146" t="str">
        <v>31 - TITULADO APROBADO</v>
      </c>
      <c r="F39" s="146" t="n">
        <v>2</v>
      </c>
    </row>
    <row r="40" ht="32" customHeight="1">
      <c r="A40" s="146" t="str">
        <v>ASRE</v>
      </c>
      <c r="B40" s="146" t="str">
        <v>2017</v>
      </c>
      <c r="C40" s="146" t="str">
        <v>2</v>
      </c>
      <c r="D40" s="146" t="str">
        <v>ELIMINADO</v>
      </c>
      <c r="E40" s="146" t="str">
        <v>1 - ALUMNO REGULAR</v>
      </c>
      <c r="F40" s="146" t="n">
        <v>1</v>
      </c>
    </row>
    <row r="41" ht="32" customHeight="1">
      <c r="A41" s="146" t="str">
        <v>ASRE</v>
      </c>
      <c r="B41" s="146" t="str">
        <v>2017</v>
      </c>
      <c r="C41" s="146" t="str">
        <v>2</v>
      </c>
      <c r="D41" s="146" t="str">
        <v>ELIMINADO</v>
      </c>
      <c r="E41" s="146" t="str">
        <v>24 - CAMBIO DE CARRERA</v>
      </c>
      <c r="F41" s="146" t="n">
        <v>1</v>
      </c>
    </row>
    <row r="42" ht="32" customHeight="1">
      <c r="A42" s="146" t="str">
        <v>ASRE</v>
      </c>
      <c r="B42" s="146" t="str">
        <v>2018</v>
      </c>
      <c r="C42" s="146" t="str">
        <v>1</v>
      </c>
      <c r="D42" s="146" t="str">
        <v>ELIMINADO</v>
      </c>
      <c r="E42" s="146" t="str">
        <v>23 - RETIRO - RETRACTO</v>
      </c>
      <c r="F42" s="146" t="n">
        <v>1</v>
      </c>
    </row>
    <row r="43" ht="32" customHeight="1">
      <c r="A43" s="146" t="str">
        <v>ASRE</v>
      </c>
      <c r="B43" s="146" t="str">
        <v>2018</v>
      </c>
      <c r="C43" s="146" t="str">
        <v>1</v>
      </c>
      <c r="D43" s="146" t="str">
        <v>ELIMINADO</v>
      </c>
      <c r="E43" s="146" t="str">
        <v>24 - CAMBIO DE CARRERA</v>
      </c>
      <c r="F43" s="146" t="n">
        <v>4</v>
      </c>
    </row>
    <row r="44" ht="32" customHeight="1">
      <c r="A44" s="146" t="str">
        <v>ASRE</v>
      </c>
      <c r="B44" s="146" t="str">
        <v>2018</v>
      </c>
      <c r="C44" s="146" t="str">
        <v>1</v>
      </c>
      <c r="D44" s="146" t="str">
        <v>ELIMINADO</v>
      </c>
      <c r="E44" s="146" t="str">
        <v>3 - ELIMINACION AUTOMATICA</v>
      </c>
      <c r="F44" s="146" t="n">
        <v>11</v>
      </c>
    </row>
    <row r="45" ht="32" customHeight="1">
      <c r="A45" s="146" t="str">
        <v>ASRE</v>
      </c>
      <c r="B45" s="146" t="str">
        <v>2018</v>
      </c>
      <c r="C45" s="146" t="str">
        <v>1</v>
      </c>
      <c r="D45" s="146" t="str">
        <v>ELIMINADO</v>
      </c>
      <c r="E45" s="146" t="str">
        <v>95 - DEFUNCIÓN</v>
      </c>
      <c r="F45" s="146" t="n">
        <v>1</v>
      </c>
    </row>
    <row r="46" ht="32" customHeight="1">
      <c r="A46" s="146" t="str">
        <v>ASRE</v>
      </c>
      <c r="B46" s="146" t="str">
        <v>2018</v>
      </c>
      <c r="C46" s="146" t="str">
        <v>1</v>
      </c>
      <c r="D46" s="146" t="str">
        <v>TITULADO</v>
      </c>
      <c r="E46" s="146" t="str">
        <v>31 - TITULADO APROBADO</v>
      </c>
      <c r="F46" s="146" t="n">
        <v>3</v>
      </c>
    </row>
    <row r="47" ht="32" customHeight="1">
      <c r="A47" s="146" t="str">
        <v>ASRE</v>
      </c>
      <c r="B47" s="146" t="str">
        <v>2018</v>
      </c>
      <c r="C47" s="146" t="str">
        <v>2</v>
      </c>
      <c r="D47" s="146" t="str">
        <v>ELIMINADO</v>
      </c>
      <c r="E47" s="146" t="str">
        <v>24 - CAMBIO DE CARRERA</v>
      </c>
      <c r="F47" s="146" t="n">
        <v>1</v>
      </c>
    </row>
    <row r="48" ht="32" customHeight="1">
      <c r="A48" s="146" t="str">
        <v>ASRE</v>
      </c>
      <c r="B48" s="146" t="str">
        <v>2019</v>
      </c>
      <c r="C48" s="146" t="str">
        <v>1</v>
      </c>
      <c r="D48" s="146" t="str">
        <v>ELIMINADO</v>
      </c>
      <c r="E48" s="146" t="str">
        <v>1 - ALUMNO REGULAR</v>
      </c>
      <c r="F48" s="146" t="n">
        <v>16</v>
      </c>
    </row>
    <row r="49" ht="32" customHeight="1">
      <c r="A49" s="146" t="str">
        <v>ASRE</v>
      </c>
      <c r="B49" s="146" t="str">
        <v>2019</v>
      </c>
      <c r="C49" s="146" t="str">
        <v>1</v>
      </c>
      <c r="D49" s="146" t="str">
        <v>ELIMINADO</v>
      </c>
      <c r="E49" s="146" t="str">
        <v>100 - TITULACIÓN INTERMEDIA</v>
      </c>
      <c r="F49" s="146" t="n">
        <v>1</v>
      </c>
    </row>
    <row r="50" ht="32" customHeight="1">
      <c r="A50" s="146" t="str">
        <v>ASRE</v>
      </c>
      <c r="B50" s="146" t="str">
        <v>2019</v>
      </c>
      <c r="C50" s="146" t="str">
        <v>1</v>
      </c>
      <c r="D50" s="146" t="str">
        <v>ELIMINADO</v>
      </c>
      <c r="E50" s="146" t="str">
        <v>23 - RETIRO - RETRACTO</v>
      </c>
      <c r="F50" s="146" t="n">
        <v>3</v>
      </c>
    </row>
    <row r="51" ht="32" customHeight="1">
      <c r="A51" s="146" t="str">
        <v>ASRE</v>
      </c>
      <c r="B51" s="146" t="str">
        <v>2019</v>
      </c>
      <c r="C51" s="146" t="str">
        <v>1</v>
      </c>
      <c r="D51" s="146" t="str">
        <v>ELIMINADO</v>
      </c>
      <c r="E51" s="146" t="str">
        <v>24 - CAMBIO DE CARRERA</v>
      </c>
      <c r="F51" s="146" t="n">
        <v>17</v>
      </c>
    </row>
    <row r="52" ht="32" customHeight="1">
      <c r="A52" s="146" t="str">
        <v>ASRE</v>
      </c>
      <c r="B52" s="146" t="str">
        <v>2019</v>
      </c>
      <c r="C52" s="146" t="str">
        <v>1</v>
      </c>
      <c r="D52" s="146" t="str">
        <v>ELIMINADO</v>
      </c>
      <c r="E52" s="146" t="str">
        <v>3 - ELIMINACION AUTOMATICA</v>
      </c>
      <c r="F52" s="146" t="n">
        <v>3</v>
      </c>
    </row>
    <row r="53" ht="32" customHeight="1">
      <c r="A53" s="146" t="str">
        <v>ASRE</v>
      </c>
      <c r="B53" s="146" t="str">
        <v>2019</v>
      </c>
      <c r="C53" s="146" t="str">
        <v>1</v>
      </c>
      <c r="D53" s="146" t="str">
        <v>ELIMINADO</v>
      </c>
      <c r="E53" s="146" t="str">
        <v>38 - REINCORPORACION DE ACTIVIDADES</v>
      </c>
      <c r="F53" s="146" t="n">
        <v>2</v>
      </c>
    </row>
    <row r="54" ht="32" customHeight="1">
      <c r="A54" s="146" t="str">
        <v>ASRE</v>
      </c>
      <c r="B54" s="146" t="str">
        <v>2019</v>
      </c>
      <c r="C54" s="146" t="str">
        <v>1</v>
      </c>
      <c r="D54" s="146" t="str">
        <v>TITULADO</v>
      </c>
      <c r="E54" s="146" t="str">
        <v>31 - TITULADO APROBADO</v>
      </c>
      <c r="F54" s="146" t="n">
        <v>6</v>
      </c>
    </row>
    <row r="55" ht="32" customHeight="1">
      <c r="A55" s="146" t="str">
        <v>ASRE</v>
      </c>
      <c r="B55" s="146" t="str">
        <v>2020</v>
      </c>
      <c r="C55" s="146" t="str">
        <v>1</v>
      </c>
      <c r="D55" s="146" t="str">
        <v>ELIMINADO</v>
      </c>
      <c r="E55" s="146" t="str">
        <v>3 - ELIMINACION AUTOMATICA</v>
      </c>
      <c r="F55" s="146" t="n">
        <v>13</v>
      </c>
    </row>
    <row r="56" ht="32" customHeight="1">
      <c r="A56" s="146" t="str">
        <v>ASRE</v>
      </c>
      <c r="B56" s="146" t="str">
        <v>2020</v>
      </c>
      <c r="C56" s="146" t="str">
        <v>1</v>
      </c>
      <c r="D56" s="146" t="str">
        <v>TITULADO</v>
      </c>
      <c r="E56" s="146" t="str">
        <v>31 - TITULADO APROBADO</v>
      </c>
      <c r="F56" s="146" t="n">
        <v>4</v>
      </c>
    </row>
    <row r="57" ht="32" customHeight="1">
      <c r="A57" s="146" t="str">
        <v>ASRE</v>
      </c>
      <c r="B57" s="146" t="str">
        <v>2021</v>
      </c>
      <c r="C57" s="146" t="str">
        <v>1</v>
      </c>
      <c r="D57" s="146" t="str">
        <v>ELIMINADO</v>
      </c>
      <c r="E57" s="146" t="str">
        <v>1 - ALUMNO REGULAR</v>
      </c>
      <c r="F57" s="146" t="n">
        <v>2</v>
      </c>
    </row>
    <row r="58" ht="32" customHeight="1">
      <c r="A58" s="146" t="str">
        <v>ASRE</v>
      </c>
      <c r="B58" s="146" t="str">
        <v>2021</v>
      </c>
      <c r="C58" s="146" t="str">
        <v>1</v>
      </c>
      <c r="D58" s="146" t="str">
        <v>ELIMINADO</v>
      </c>
      <c r="E58" s="146" t="str">
        <v>24 - CAMBIO DE CARRERA</v>
      </c>
      <c r="F58" s="146" t="n">
        <v>3</v>
      </c>
    </row>
    <row r="59" ht="32" customHeight="1">
      <c r="A59" s="146" t="str">
        <v>ASRE</v>
      </c>
      <c r="B59" s="146" t="str">
        <v>2021</v>
      </c>
      <c r="C59" s="146" t="str">
        <v>1</v>
      </c>
      <c r="D59" s="146" t="str">
        <v>TITULADO</v>
      </c>
      <c r="E59" s="146" t="str">
        <v>31 - TITULADO APROBADO</v>
      </c>
      <c r="F59" s="146" t="n">
        <v>3</v>
      </c>
    </row>
    <row r="60" ht="32" customHeight="1">
      <c r="A60" s="146" t="str">
        <v>ASREOL</v>
      </c>
      <c r="B60" s="146" t="str">
        <v>2018</v>
      </c>
      <c r="C60" s="146" t="str">
        <v>1</v>
      </c>
      <c r="D60" s="146" t="str">
        <v>ELIMINADO</v>
      </c>
      <c r="E60" s="146" t="str">
        <v>3 - ELIMINACION AUTOMATICA</v>
      </c>
      <c r="F60" s="146" t="n">
        <v>9</v>
      </c>
    </row>
    <row r="61" ht="32" customHeight="1">
      <c r="A61" s="146" t="str">
        <v>ASREOL</v>
      </c>
      <c r="B61" s="146" t="str">
        <v>2018</v>
      </c>
      <c r="C61" s="146" t="str">
        <v>2</v>
      </c>
      <c r="D61" s="146" t="str">
        <v>ELIMINADO</v>
      </c>
      <c r="E61" s="146" t="str">
        <v>1 - ALUMNO REGULAR</v>
      </c>
      <c r="F61" s="146" t="n">
        <v>3</v>
      </c>
    </row>
    <row r="62" ht="32" customHeight="1">
      <c r="A62" s="146" t="str">
        <v>ASREOL</v>
      </c>
      <c r="B62" s="146" t="str">
        <v>2018</v>
      </c>
      <c r="C62" s="146" t="str">
        <v>2</v>
      </c>
      <c r="D62" s="146" t="str">
        <v>ELIMINADO</v>
      </c>
      <c r="E62" s="146" t="str">
        <v>24 - CAMBIO DE CARRERA</v>
      </c>
      <c r="F62" s="146" t="n">
        <v>2</v>
      </c>
    </row>
    <row r="63" ht="32" customHeight="1">
      <c r="A63" s="146" t="str">
        <v>ASREOL</v>
      </c>
      <c r="B63" s="146" t="str">
        <v>2019</v>
      </c>
      <c r="C63" s="146" t="str">
        <v>1</v>
      </c>
      <c r="D63" s="146" t="str">
        <v>ELIMINADO</v>
      </c>
      <c r="E63" s="146" t="str">
        <v>1 - ALUMNO REGULAR</v>
      </c>
      <c r="F63" s="146" t="n">
        <v>8</v>
      </c>
    </row>
    <row r="64" ht="32" customHeight="1">
      <c r="A64" s="146" t="str">
        <v>ASREOL</v>
      </c>
      <c r="B64" s="146" t="str">
        <v>2019</v>
      </c>
      <c r="C64" s="146" t="str">
        <v>1</v>
      </c>
      <c r="D64" s="146" t="str">
        <v>ELIMINADO</v>
      </c>
      <c r="E64" s="146" t="str">
        <v>24 - CAMBIO DE CARRERA</v>
      </c>
      <c r="F64" s="146" t="n">
        <v>1</v>
      </c>
    </row>
    <row r="65" ht="32" customHeight="1">
      <c r="A65" s="146" t="str">
        <v>ASREOL</v>
      </c>
      <c r="B65" s="146" t="str">
        <v>2019</v>
      </c>
      <c r="C65" s="146" t="str">
        <v>1</v>
      </c>
      <c r="D65" s="146" t="str">
        <v>ELIMINADO</v>
      </c>
      <c r="E65" s="146" t="str">
        <v>3 - ELIMINACION AUTOMATICA</v>
      </c>
      <c r="F65" s="146" t="n">
        <v>1</v>
      </c>
    </row>
    <row r="66" ht="32" customHeight="1">
      <c r="A66" s="146" t="str">
        <v>ASREOL</v>
      </c>
      <c r="B66" s="146" t="str">
        <v>2019</v>
      </c>
      <c r="C66" s="146" t="str">
        <v>1</v>
      </c>
      <c r="D66" s="146" t="str">
        <v>TITULADO</v>
      </c>
      <c r="E66" s="146" t="str">
        <v>31 - TITULADO APROBADO</v>
      </c>
      <c r="F66" s="146" t="n">
        <v>2</v>
      </c>
    </row>
    <row r="67" ht="32" customHeight="1">
      <c r="A67" s="146" t="str">
        <v>ASREOL</v>
      </c>
      <c r="B67" s="146" t="str">
        <v>2019</v>
      </c>
      <c r="C67" s="146" t="str">
        <v>2</v>
      </c>
      <c r="D67" s="146" t="str">
        <v>ELIMINADO</v>
      </c>
      <c r="E67" s="146" t="str">
        <v>1 - ALUMNO REGULAR</v>
      </c>
      <c r="F67" s="146" t="n">
        <v>3</v>
      </c>
    </row>
    <row r="68" ht="32" customHeight="1">
      <c r="A68" s="146" t="str">
        <v>ASREOL</v>
      </c>
      <c r="B68" s="146" t="str">
        <v>2020</v>
      </c>
      <c r="C68" s="146" t="str">
        <v>1</v>
      </c>
      <c r="D68" s="146" t="str">
        <v>ELIMINADO</v>
      </c>
      <c r="E68" s="146" t="str">
        <v>24 - CAMBIO DE CARRERA</v>
      </c>
      <c r="F68" s="146" t="n">
        <v>1</v>
      </c>
    </row>
    <row r="69" ht="32" customHeight="1">
      <c r="A69" s="146" t="str">
        <v>ASREOL</v>
      </c>
      <c r="B69" s="146" t="str">
        <v>2020</v>
      </c>
      <c r="C69" s="146" t="str">
        <v>1</v>
      </c>
      <c r="D69" s="146" t="str">
        <v>ELIMINADO</v>
      </c>
      <c r="E69" s="146" t="str">
        <v>3 - ELIMINACION AUTOMATICA</v>
      </c>
      <c r="F69" s="146" t="n">
        <v>17</v>
      </c>
    </row>
    <row r="70" ht="32" customHeight="1">
      <c r="A70" s="146" t="str">
        <v>ASREOL</v>
      </c>
      <c r="B70" s="146" t="str">
        <v>2020</v>
      </c>
      <c r="C70" s="146" t="str">
        <v>1</v>
      </c>
      <c r="D70" s="146" t="str">
        <v>TITULADO</v>
      </c>
      <c r="E70" s="146" t="str">
        <v>31 - TITULADO APROBADO</v>
      </c>
      <c r="F70" s="146" t="n">
        <v>7</v>
      </c>
    </row>
    <row r="71" ht="32" customHeight="1">
      <c r="A71" s="146" t="str">
        <v>ASREOL</v>
      </c>
      <c r="B71" s="146" t="str">
        <v>2021</v>
      </c>
      <c r="C71" s="146" t="str">
        <v>1</v>
      </c>
      <c r="D71" s="146" t="str">
        <v>ELIMINADO</v>
      </c>
      <c r="E71" s="146" t="str">
        <v>1 - ALUMNO REGULAR</v>
      </c>
      <c r="F71" s="146" t="n">
        <v>1</v>
      </c>
    </row>
    <row r="72" ht="32" customHeight="1">
      <c r="A72" s="146" t="str">
        <v>ASREOL</v>
      </c>
      <c r="B72" s="146" t="str">
        <v>2021</v>
      </c>
      <c r="C72" s="146" t="str">
        <v>1</v>
      </c>
      <c r="D72" s="146" t="str">
        <v>ELIMINADO</v>
      </c>
      <c r="E72" s="146" t="str">
        <v>24 - CAMBIO DE CARRERA</v>
      </c>
      <c r="F72" s="146" t="n">
        <v>3</v>
      </c>
    </row>
    <row r="73" ht="32" customHeight="1">
      <c r="A73" s="146" t="str">
        <v>ASREOL</v>
      </c>
      <c r="B73" s="146" t="str">
        <v>2021</v>
      </c>
      <c r="C73" s="146" t="str">
        <v>1</v>
      </c>
      <c r="D73" s="146" t="str">
        <v>TITULADO</v>
      </c>
      <c r="E73" s="146" t="str">
        <v>31 - TITULADO APROBADO</v>
      </c>
      <c r="F73" s="146" t="n">
        <v>8</v>
      </c>
    </row>
    <row r="74" ht="32" customHeight="1">
      <c r="A74" s="146" t="str">
        <v>ASREOL</v>
      </c>
      <c r="B74" s="146" t="str">
        <v>2022</v>
      </c>
      <c r="C74" s="146" t="str">
        <v>1</v>
      </c>
      <c r="D74" s="146" t="str">
        <v>ELIMINADO</v>
      </c>
      <c r="E74" s="146" t="str">
        <v>1 - ALUMNO REGULAR</v>
      </c>
      <c r="F74" s="146" t="n">
        <v>2</v>
      </c>
    </row>
    <row r="75" ht="32" customHeight="1">
      <c r="A75" s="146" t="str">
        <v>ASREOL</v>
      </c>
      <c r="B75" s="146" t="str">
        <v>2022</v>
      </c>
      <c r="C75" s="146" t="str">
        <v>1</v>
      </c>
      <c r="D75" s="146" t="str">
        <v>ELIMINADO</v>
      </c>
      <c r="E75" s="146" t="str">
        <v>24 - CAMBIO DE CARRERA</v>
      </c>
      <c r="F75" s="146" t="n">
        <v>1</v>
      </c>
    </row>
    <row r="76" ht="32" customHeight="1">
      <c r="A76" s="146" t="str">
        <v>AUDT</v>
      </c>
      <c r="B76" s="146" t="str">
        <v>2025</v>
      </c>
      <c r="C76" s="146" t="str">
        <v>1</v>
      </c>
      <c r="D76" s="146" t="str">
        <v>ELIMINADO</v>
      </c>
      <c r="E76" s="146" t="str">
        <v>11 - RENUNCIA POST INICIO CLASES</v>
      </c>
      <c r="F76" s="146" t="n">
        <v>4</v>
      </c>
    </row>
    <row r="77" ht="32" customHeight="1">
      <c r="A77" s="146" t="str">
        <v>AUDT</v>
      </c>
      <c r="B77" s="146" t="str">
        <v>2025</v>
      </c>
      <c r="C77" s="146" t="str">
        <v>1</v>
      </c>
      <c r="D77" s="146" t="str">
        <v>ELIMINADO</v>
      </c>
      <c r="E77" s="146" t="str">
        <v>23 - RETIRO - RETRACTO</v>
      </c>
      <c r="F77" s="146" t="n">
        <v>2</v>
      </c>
    </row>
    <row r="78" ht="32" customHeight="1">
      <c r="A78" s="146" t="str">
        <v>AUDT</v>
      </c>
      <c r="B78" s="146" t="str">
        <v>2025</v>
      </c>
      <c r="C78" s="146" t="str">
        <v>1</v>
      </c>
      <c r="D78" s="146" t="str">
        <v>ELIMINADO</v>
      </c>
      <c r="E78" s="146" t="str">
        <v>24 - CAMBIO DE CARRERA</v>
      </c>
      <c r="F78" s="146" t="n">
        <v>4</v>
      </c>
    </row>
    <row r="79" ht="32" customHeight="1">
      <c r="A79" s="146" t="str">
        <v>AUDT</v>
      </c>
      <c r="B79" s="146" t="str">
        <v>2025</v>
      </c>
      <c r="C79" s="146" t="str">
        <v>1</v>
      </c>
      <c r="D79" s="146" t="str">
        <v>SUSPENDIDO</v>
      </c>
      <c r="E79" s="146" t="str">
        <v>2 - SUSPENSIÓN TEMPORAL</v>
      </c>
      <c r="F79" s="146" t="n">
        <v>3</v>
      </c>
    </row>
    <row r="80" ht="32" customHeight="1">
      <c r="A80" s="146" t="str">
        <v>AUDT</v>
      </c>
      <c r="B80" s="146" t="str">
        <v>2025</v>
      </c>
      <c r="C80" s="146" t="str">
        <v>1</v>
      </c>
      <c r="D80" s="146" t="str">
        <v>VIGENTE</v>
      </c>
      <c r="E80" s="146" t="str">
        <v>1 - ALUMNO REGULAR</v>
      </c>
      <c r="F80" s="146" t="n">
        <v>13</v>
      </c>
    </row>
    <row r="81" ht="32" customHeight="1">
      <c r="A81" s="146" t="str">
        <v>AUDT</v>
      </c>
      <c r="B81" s="146" t="str">
        <v>2025</v>
      </c>
      <c r="C81" s="146" t="str">
        <v>1</v>
      </c>
      <c r="D81" s="146" t="str">
        <v>VIGENTE</v>
      </c>
      <c r="E81" s="146" t="str">
        <v>20 - VIGENTE SIN ACTIVIDAD ACADEMICA</v>
      </c>
      <c r="F81" s="146" t="n">
        <v>9</v>
      </c>
    </row>
    <row r="82" ht="32" customHeight="1">
      <c r="A82" s="146" t="str">
        <v>AUDT</v>
      </c>
      <c r="B82" s="146" t="str">
        <v>2025</v>
      </c>
      <c r="C82" s="146" t="str">
        <v>2</v>
      </c>
      <c r="D82" s="146" t="str">
        <v>ELIMINADO</v>
      </c>
      <c r="E82" s="146" t="str">
        <v>11 - RENUNCIA POST INICIO CLASES</v>
      </c>
      <c r="F82" s="146" t="n">
        <v>3</v>
      </c>
    </row>
    <row r="83" ht="32" customHeight="1">
      <c r="A83" s="146" t="str">
        <v>AUDT</v>
      </c>
      <c r="B83" s="146" t="str">
        <v>2025</v>
      </c>
      <c r="C83" s="146" t="str">
        <v>2</v>
      </c>
      <c r="D83" s="146" t="str">
        <v>ELIMINADO</v>
      </c>
      <c r="E83" s="146" t="str">
        <v>23 - RETIRO - RETRACTO</v>
      </c>
      <c r="F83" s="146" t="n">
        <v>2</v>
      </c>
    </row>
    <row r="84" ht="32" customHeight="1">
      <c r="A84" s="146" t="str">
        <v>AUDT</v>
      </c>
      <c r="B84" s="146" t="str">
        <v>2025</v>
      </c>
      <c r="C84" s="146" t="str">
        <v>2</v>
      </c>
      <c r="D84" s="146" t="str">
        <v>VIGENTE</v>
      </c>
      <c r="E84" s="146" t="str">
        <v>1 - ALUMNO REGULAR</v>
      </c>
      <c r="F84" s="146" t="n">
        <v>10</v>
      </c>
    </row>
    <row r="85" ht="32" customHeight="1">
      <c r="A85" s="146" t="str">
        <v>AUDT</v>
      </c>
      <c r="B85" s="146" t="str">
        <v>2025</v>
      </c>
      <c r="C85" s="146" t="str">
        <v>3</v>
      </c>
      <c r="D85" s="146" t="str">
        <v>ELIMINADO</v>
      </c>
      <c r="E85" s="146" t="str">
        <v>23 - RETIRO - RETRACTO</v>
      </c>
      <c r="F85" s="146" t="n">
        <v>10</v>
      </c>
    </row>
    <row r="86" ht="32" customHeight="1">
      <c r="A86" s="146" t="str">
        <v>AUDT</v>
      </c>
      <c r="B86" s="146" t="str">
        <v>2025</v>
      </c>
      <c r="C86" s="146" t="str">
        <v>3</v>
      </c>
      <c r="D86" s="146" t="str">
        <v>ELIMINADO</v>
      </c>
      <c r="E86" s="146" t="str">
        <v>24 - CAMBIO DE CARRERA</v>
      </c>
      <c r="F86" s="146" t="n">
        <v>1</v>
      </c>
    </row>
    <row r="87" ht="32" customHeight="1">
      <c r="A87" s="146" t="str">
        <v>AUDT</v>
      </c>
      <c r="B87" s="146" t="str">
        <v>2026</v>
      </c>
      <c r="C87" s="146" t="str">
        <v>1</v>
      </c>
      <c r="D87" s="146" t="str">
        <v>ELIMINADO</v>
      </c>
      <c r="E87" s="146" t="str">
        <v>11 - RENUNCIA POST INICIO CLASES</v>
      </c>
      <c r="F87" s="146" t="n">
        <v>4</v>
      </c>
    </row>
    <row r="88" ht="32" customHeight="1">
      <c r="A88" s="146" t="str">
        <v>AUDT</v>
      </c>
      <c r="B88" s="146" t="str">
        <v>2026</v>
      </c>
      <c r="C88" s="146" t="str">
        <v>1</v>
      </c>
      <c r="D88" s="146" t="str">
        <v>ELIMINADO</v>
      </c>
      <c r="E88" s="146" t="str">
        <v>23 - RETIRO - RETRACTO</v>
      </c>
      <c r="F88" s="146" t="n">
        <v>12</v>
      </c>
    </row>
    <row r="89" ht="32" customHeight="1">
      <c r="A89" s="146" t="str">
        <v>AUDT</v>
      </c>
      <c r="B89" s="146" t="str">
        <v>2026</v>
      </c>
      <c r="C89" s="146" t="str">
        <v>1</v>
      </c>
      <c r="D89" s="146" t="str">
        <v>ELIMINADO</v>
      </c>
      <c r="E89" s="146" t="str">
        <v>24 - CAMBIO DE CARRERA</v>
      </c>
      <c r="F89" s="146" t="n">
        <v>1</v>
      </c>
    </row>
    <row r="90" ht="32" customHeight="1">
      <c r="A90" s="146" t="str">
        <v>AUDT</v>
      </c>
      <c r="B90" s="146" t="str">
        <v>2026</v>
      </c>
      <c r="C90" s="146" t="str">
        <v>1</v>
      </c>
      <c r="D90" s="146" t="str">
        <v>ELIMINADO</v>
      </c>
      <c r="E90" s="146" t="str">
        <v>8 - ELIMINADO SIN ACTIVIDAD ACADÉMICA</v>
      </c>
      <c r="F90" s="146" t="n">
        <v>12</v>
      </c>
    </row>
    <row r="91" ht="32" customHeight="1">
      <c r="A91" s="146" t="str">
        <v>AUDT</v>
      </c>
      <c r="B91" s="146" t="str">
        <v>2026</v>
      </c>
      <c r="C91" s="146" t="str">
        <v>1</v>
      </c>
      <c r="D91" s="146" t="str">
        <v>VIGENTE</v>
      </c>
      <c r="E91" s="146" t="str">
        <v>1 - ALUMNO REGULAR</v>
      </c>
      <c r="F91" s="146" t="n">
        <v>37</v>
      </c>
    </row>
    <row r="92" ht="32" customHeight="1">
      <c r="A92" s="146" t="str">
        <v>AUDT</v>
      </c>
      <c r="B92" s="146" t="str">
        <v>2026</v>
      </c>
      <c r="C92" s="146" t="str">
        <v>2</v>
      </c>
      <c r="D92" s="146" t="str">
        <v>ELIMINADO</v>
      </c>
      <c r="E92" s="146" t="str">
        <v>11 - RENUNCIA POST INICIO CLASES</v>
      </c>
      <c r="F92" s="146" t="n">
        <v>5</v>
      </c>
    </row>
    <row r="93" ht="32" customHeight="1">
      <c r="A93" s="146" t="str">
        <v>AUDT</v>
      </c>
      <c r="B93" s="146" t="str">
        <v>2026</v>
      </c>
      <c r="C93" s="146" t="str">
        <v>2</v>
      </c>
      <c r="D93" s="146" t="str">
        <v>ELIMINADO</v>
      </c>
      <c r="E93" s="146" t="str">
        <v>23 - RETIRO - RETRACTO</v>
      </c>
      <c r="F93" s="146" t="n">
        <v>1</v>
      </c>
    </row>
    <row r="94" ht="32" customHeight="1">
      <c r="A94" s="146" t="str">
        <v>AUDT</v>
      </c>
      <c r="B94" s="146" t="str">
        <v>2026</v>
      </c>
      <c r="C94" s="146" t="str">
        <v>2</v>
      </c>
      <c r="D94" s="146" t="str">
        <v>VIGENTE</v>
      </c>
      <c r="E94" s="146" t="str">
        <v>1 - ALUMNO REGULAR</v>
      </c>
      <c r="F94" s="146" t="n">
        <v>21</v>
      </c>
    </row>
    <row r="95" ht="32" customHeight="1">
      <c r="A95" s="146" t="str">
        <v>AUDT</v>
      </c>
      <c r="B95" s="146" t="str">
        <v>2027</v>
      </c>
      <c r="C95" s="146" t="str">
        <v>1</v>
      </c>
      <c r="D95" s="146" t="str">
        <v>VIGENTE</v>
      </c>
      <c r="E95" s="146" t="str">
        <v>1 - ALUMNO REGULAR</v>
      </c>
      <c r="F95" s="146" t="n">
        <v>4</v>
      </c>
    </row>
    <row r="96" ht="32" customHeight="1">
      <c r="A96" s="146" t="str">
        <v>CADMP</v>
      </c>
      <c r="B96" s="146" t="str">
        <v>2025</v>
      </c>
      <c r="C96" s="146" t="str">
        <v>1</v>
      </c>
      <c r="D96" s="146" t="str">
        <v>ELIMINADO</v>
      </c>
      <c r="E96" s="146" t="str">
        <v>23 - RETIRO - RETRACTO</v>
      </c>
      <c r="F96" s="146" t="n">
        <v>1</v>
      </c>
    </row>
    <row r="97" ht="32" customHeight="1">
      <c r="A97" s="146" t="str">
        <v>CADMP</v>
      </c>
      <c r="B97" s="146" t="str">
        <v>2026</v>
      </c>
      <c r="C97" s="146" t="str">
        <v>1</v>
      </c>
      <c r="D97" s="146" t="str">
        <v>ELIMINADO</v>
      </c>
      <c r="E97" s="146" t="str">
        <v>11 - RENUNCIA POST INICIO CLASES</v>
      </c>
      <c r="F97" s="146" t="n">
        <v>2</v>
      </c>
    </row>
    <row r="98" ht="32" customHeight="1">
      <c r="A98" s="146" t="str">
        <v>CADMP</v>
      </c>
      <c r="B98" s="146" t="str">
        <v>2026</v>
      </c>
      <c r="C98" s="146" t="str">
        <v>1</v>
      </c>
      <c r="D98" s="146" t="str">
        <v>ELIMINADO</v>
      </c>
      <c r="E98" s="146" t="str">
        <v>8 - ELIMINADO SIN ACTIVIDAD ACADÉMICA</v>
      </c>
      <c r="F98" s="146" t="n">
        <v>1</v>
      </c>
    </row>
    <row r="99" ht="32" customHeight="1">
      <c r="A99" s="146" t="str">
        <v>CADMP</v>
      </c>
      <c r="B99" s="146" t="str">
        <v>2026</v>
      </c>
      <c r="C99" s="146" t="str">
        <v>1</v>
      </c>
      <c r="D99" s="146" t="str">
        <v>VIGENTE</v>
      </c>
      <c r="E99" s="146" t="str">
        <v>1 - ALUMNO REGULAR</v>
      </c>
      <c r="F99" s="146" t="n">
        <v>7</v>
      </c>
    </row>
    <row r="100" ht="32" customHeight="1">
      <c r="A100" s="146" t="str">
        <v>CAUDT</v>
      </c>
      <c r="B100" s="146" t="str">
        <v>2026</v>
      </c>
      <c r="C100" s="146" t="str">
        <v>1</v>
      </c>
      <c r="D100" s="146" t="str">
        <v>ELIMINADO</v>
      </c>
      <c r="E100" s="146" t="str">
        <v>23 - RETIRO - RETRACTO</v>
      </c>
      <c r="F100" s="146" t="n">
        <v>4</v>
      </c>
    </row>
    <row r="101" ht="32" customHeight="1">
      <c r="A101" s="146" t="str">
        <v>CIACI</v>
      </c>
      <c r="B101" s="146" t="str">
        <v>2024</v>
      </c>
      <c r="C101" s="146" t="str">
        <v>1</v>
      </c>
      <c r="D101" s="146" t="str">
        <v>ELIMINADO</v>
      </c>
      <c r="E101" s="146" t="str">
        <v>23 - RETIRO - RETRACTO</v>
      </c>
      <c r="F101" s="146" t="n">
        <v>2</v>
      </c>
    </row>
    <row r="102" ht="32" customHeight="1">
      <c r="A102" s="146" t="str">
        <v>CIADM</v>
      </c>
      <c r="B102" s="146" t="str">
        <v>2024</v>
      </c>
      <c r="C102" s="146" t="str">
        <v>1</v>
      </c>
      <c r="D102" s="146" t="str">
        <v>ELIMINADO</v>
      </c>
      <c r="E102" s="146" t="str">
        <v>23 - RETIRO - RETRACTO</v>
      </c>
      <c r="F102" s="146" t="n">
        <v>1</v>
      </c>
    </row>
    <row r="103" ht="32" customHeight="1">
      <c r="A103" s="146" t="str">
        <v>CIADM</v>
      </c>
      <c r="B103" s="146" t="str">
        <v>2025</v>
      </c>
      <c r="C103" s="146" t="str">
        <v>1</v>
      </c>
      <c r="D103" s="146" t="str">
        <v>ELIMINADO</v>
      </c>
      <c r="E103" s="146" t="str">
        <v>11 - RENUNCIA POST INICIO CLASES</v>
      </c>
      <c r="F103" s="146" t="n">
        <v>5</v>
      </c>
    </row>
    <row r="104" ht="32" customHeight="1">
      <c r="A104" s="146" t="str">
        <v>CIADM</v>
      </c>
      <c r="B104" s="146" t="str">
        <v>2025</v>
      </c>
      <c r="C104" s="146" t="str">
        <v>1</v>
      </c>
      <c r="D104" s="146" t="str">
        <v>ELIMINADO</v>
      </c>
      <c r="E104" s="146" t="str">
        <v>23 - RETIRO - RETRACTO</v>
      </c>
      <c r="F104" s="146" t="n">
        <v>1</v>
      </c>
    </row>
    <row r="105" ht="32" customHeight="1">
      <c r="A105" s="146" t="str">
        <v>CIADM</v>
      </c>
      <c r="B105" s="146" t="str">
        <v>2025</v>
      </c>
      <c r="C105" s="146" t="str">
        <v>1</v>
      </c>
      <c r="D105" s="146" t="str">
        <v>VIGENTE</v>
      </c>
      <c r="E105" s="146" t="str">
        <v>1 - ALUMNO REGULAR</v>
      </c>
      <c r="F105" s="146" t="n">
        <v>4</v>
      </c>
    </row>
    <row r="106" ht="32" customHeight="1">
      <c r="A106" s="146" t="str">
        <v>CIADM</v>
      </c>
      <c r="B106" s="146" t="str">
        <v>2026</v>
      </c>
      <c r="C106" s="146" t="str">
        <v>1</v>
      </c>
      <c r="D106" s="146" t="str">
        <v>ELIMINADO</v>
      </c>
      <c r="E106" s="146" t="str">
        <v>11 - RENUNCIA POST INICIO CLASES</v>
      </c>
      <c r="F106" s="146" t="n">
        <v>1</v>
      </c>
    </row>
    <row r="107" ht="32" customHeight="1">
      <c r="A107" s="146" t="str">
        <v>CIADM</v>
      </c>
      <c r="B107" s="146" t="str">
        <v>2026</v>
      </c>
      <c r="C107" s="146" t="str">
        <v>1</v>
      </c>
      <c r="D107" s="146" t="str">
        <v>ELIMINADO</v>
      </c>
      <c r="E107" s="146" t="str">
        <v>23 - RETIRO - RETRACTO</v>
      </c>
      <c r="F107" s="146" t="n">
        <v>2</v>
      </c>
    </row>
    <row r="108" ht="32" customHeight="1">
      <c r="A108" s="146" t="str">
        <v>CIADM</v>
      </c>
      <c r="B108" s="146" t="str">
        <v>2026</v>
      </c>
      <c r="C108" s="146" t="str">
        <v>1</v>
      </c>
      <c r="D108" s="146" t="str">
        <v>ELIMINADO</v>
      </c>
      <c r="E108" s="146" t="str">
        <v>24 - CAMBIO DE CARRERA</v>
      </c>
      <c r="F108" s="146" t="n">
        <v>1</v>
      </c>
    </row>
    <row r="109" ht="32" customHeight="1">
      <c r="A109" s="146" t="str">
        <v>CIADM</v>
      </c>
      <c r="B109" s="146" t="str">
        <v>2026</v>
      </c>
      <c r="C109" s="146" t="str">
        <v>1</v>
      </c>
      <c r="D109" s="146" t="str">
        <v>ELIMINADO</v>
      </c>
      <c r="E109" s="146" t="str">
        <v>8 - ELIMINADO SIN ACTIVIDAD ACADÉMICA</v>
      </c>
      <c r="F109" s="146" t="n">
        <v>2</v>
      </c>
    </row>
    <row r="110" ht="32" customHeight="1">
      <c r="A110" s="146" t="str">
        <v>CIADM</v>
      </c>
      <c r="B110" s="146" t="str">
        <v>2026</v>
      </c>
      <c r="C110" s="146" t="str">
        <v>1</v>
      </c>
      <c r="D110" s="146" t="str">
        <v>SUSPENDIDO</v>
      </c>
      <c r="E110" s="146" t="str">
        <v>2 - SUSPENSIÓN TEMPORAL</v>
      </c>
      <c r="F110" s="146" t="n">
        <v>1</v>
      </c>
    </row>
    <row r="111" ht="32" customHeight="1">
      <c r="A111" s="146" t="str">
        <v>CIADM</v>
      </c>
      <c r="B111" s="146" t="str">
        <v>2026</v>
      </c>
      <c r="C111" s="146" t="str">
        <v>1</v>
      </c>
      <c r="D111" s="146" t="str">
        <v>VIGENTE</v>
      </c>
      <c r="E111" s="146" t="str">
        <v>1 - ALUMNO REGULAR</v>
      </c>
      <c r="F111" s="146" t="n">
        <v>18</v>
      </c>
    </row>
    <row r="112" ht="32" customHeight="1">
      <c r="A112" s="146" t="str">
        <v>CIADM</v>
      </c>
      <c r="B112" s="146" t="str">
        <v>2026</v>
      </c>
      <c r="C112" s="146" t="str">
        <v>1</v>
      </c>
      <c r="D112" s="146" t="str">
        <v>VIGENTE</v>
      </c>
      <c r="E112" s="146" t="str">
        <v>38 - REINCORPORACION DE ACTIVIDADES</v>
      </c>
      <c r="F112" s="146" t="n">
        <v>1</v>
      </c>
    </row>
    <row r="113" ht="32" customHeight="1">
      <c r="A113" s="146" t="str">
        <v>CICDA</v>
      </c>
      <c r="B113" s="146" t="str">
        <v>2026</v>
      </c>
      <c r="C113" s="146" t="str">
        <v>1</v>
      </c>
      <c r="D113" s="146" t="str">
        <v>ELIMINADO</v>
      </c>
      <c r="E113" s="146" t="str">
        <v>23 - RETIRO - RETRACTO</v>
      </c>
      <c r="F113" s="146" t="n">
        <v>2</v>
      </c>
    </row>
    <row r="114" ht="32" customHeight="1">
      <c r="A114" s="146" t="str">
        <v>CICDA</v>
      </c>
      <c r="B114" s="146" t="str">
        <v>2026</v>
      </c>
      <c r="C114" s="146" t="str">
        <v>1</v>
      </c>
      <c r="D114" s="146" t="str">
        <v>ELIMINADO</v>
      </c>
      <c r="E114" s="146" t="str">
        <v>24 - CAMBIO DE CARRERA</v>
      </c>
      <c r="F114" s="146" t="n">
        <v>1</v>
      </c>
    </row>
    <row r="115" ht="32" customHeight="1">
      <c r="A115" s="146" t="str">
        <v>CICDA</v>
      </c>
      <c r="B115" s="146" t="str">
        <v>2027</v>
      </c>
      <c r="C115" s="146" t="str">
        <v>1</v>
      </c>
      <c r="D115" s="146" t="str">
        <v>VIGENTE</v>
      </c>
      <c r="E115" s="146" t="str">
        <v>1 - ALUMNO REGULAR</v>
      </c>
      <c r="F115" s="146" t="n">
        <v>1</v>
      </c>
    </row>
    <row r="116" ht="32" customHeight="1">
      <c r="A116" s="146" t="str">
        <v>CICIB</v>
      </c>
      <c r="B116" s="146" t="str">
        <v>2024</v>
      </c>
      <c r="C116" s="146" t="str">
        <v>1</v>
      </c>
      <c r="D116" s="146" t="str">
        <v>ELIMINADO</v>
      </c>
      <c r="E116" s="146" t="str">
        <v>3 - ELIMINACION AUTOMATICA</v>
      </c>
      <c r="F116" s="146" t="n">
        <v>3</v>
      </c>
    </row>
    <row r="117" ht="32" customHeight="1">
      <c r="A117" s="146" t="str">
        <v>CICIB</v>
      </c>
      <c r="B117" s="146" t="str">
        <v>2024</v>
      </c>
      <c r="C117" s="146" t="str">
        <v>1</v>
      </c>
      <c r="D117" s="146" t="str">
        <v>ELIMINADO</v>
      </c>
      <c r="E117" s="146" t="str">
        <v>7 - NO RENUEVA MATRICULA</v>
      </c>
      <c r="F117" s="146" t="n">
        <v>3</v>
      </c>
    </row>
    <row r="118" ht="32" customHeight="1">
      <c r="A118" s="146" t="str">
        <v>CICIB</v>
      </c>
      <c r="B118" s="146" t="str">
        <v>2025</v>
      </c>
      <c r="C118" s="146" t="str">
        <v>1</v>
      </c>
      <c r="D118" s="146" t="str">
        <v>ELIMINADO</v>
      </c>
      <c r="E118" s="146" t="str">
        <v>11 - RENUNCIA POST INICIO CLASES</v>
      </c>
      <c r="F118" s="146" t="n">
        <v>8</v>
      </c>
    </row>
    <row r="119" ht="32" customHeight="1">
      <c r="A119" s="146" t="str">
        <v>CICIB</v>
      </c>
      <c r="B119" s="146" t="str">
        <v>2025</v>
      </c>
      <c r="C119" s="146" t="str">
        <v>1</v>
      </c>
      <c r="D119" s="146" t="str">
        <v>ELIMINADO</v>
      </c>
      <c r="E119" s="146" t="str">
        <v>23 - RETIRO - RETRACTO</v>
      </c>
      <c r="F119" s="146" t="n">
        <v>1</v>
      </c>
    </row>
    <row r="120" ht="32" customHeight="1">
      <c r="A120" s="146" t="str">
        <v>CICIB</v>
      </c>
      <c r="B120" s="146" t="str">
        <v>2025</v>
      </c>
      <c r="C120" s="146" t="str">
        <v>1</v>
      </c>
      <c r="D120" s="146" t="str">
        <v>SUSPENDIDO</v>
      </c>
      <c r="E120" s="146" t="str">
        <v>2 - SUSPENSIÓN TEMPORAL</v>
      </c>
      <c r="F120" s="146" t="n">
        <v>1</v>
      </c>
    </row>
    <row r="121" ht="32" customHeight="1">
      <c r="A121" s="146" t="str">
        <v>CICIB</v>
      </c>
      <c r="B121" s="146" t="str">
        <v>2025</v>
      </c>
      <c r="C121" s="146" t="str">
        <v>1</v>
      </c>
      <c r="D121" s="146" t="str">
        <v>TITULADO</v>
      </c>
      <c r="E121" s="146" t="str">
        <v>31 - TITULADO APROBADO</v>
      </c>
      <c r="F121" s="146" t="n">
        <v>36</v>
      </c>
    </row>
    <row r="122" ht="32" customHeight="1">
      <c r="A122" s="146" t="str">
        <v>CICIB</v>
      </c>
      <c r="B122" s="146" t="str">
        <v>2025</v>
      </c>
      <c r="C122" s="146" t="str">
        <v>1</v>
      </c>
      <c r="D122" s="146" t="str">
        <v>VIGENTE</v>
      </c>
      <c r="E122" s="146" t="str">
        <v>1 - ALUMNO REGULAR</v>
      </c>
      <c r="F122" s="146" t="n">
        <v>6</v>
      </c>
    </row>
    <row r="123" ht="32" customHeight="1">
      <c r="A123" s="146" t="str">
        <v>CICIB</v>
      </c>
      <c r="B123" s="146" t="str">
        <v>2025</v>
      </c>
      <c r="C123" s="146" t="str">
        <v>2</v>
      </c>
      <c r="D123" s="146" t="str">
        <v>VIGENTE</v>
      </c>
      <c r="E123" s="146" t="str">
        <v>1 - ALUMNO REGULAR</v>
      </c>
      <c r="F123" s="146" t="n">
        <v>1</v>
      </c>
    </row>
    <row r="124" ht="32" customHeight="1">
      <c r="A124" s="146" t="str">
        <v>CICIB</v>
      </c>
      <c r="B124" s="146" t="str">
        <v>2026</v>
      </c>
      <c r="C124" s="146" t="str">
        <v>1</v>
      </c>
      <c r="D124" s="146" t="str">
        <v>ELIMINADO</v>
      </c>
      <c r="E124" s="146" t="str">
        <v>11 - RENUNCIA POST INICIO CLASES</v>
      </c>
      <c r="F124" s="146" t="n">
        <v>5</v>
      </c>
    </row>
    <row r="125" ht="32" customHeight="1">
      <c r="A125" s="146" t="str">
        <v>CICIB</v>
      </c>
      <c r="B125" s="146" t="str">
        <v>2026</v>
      </c>
      <c r="C125" s="146" t="str">
        <v>1</v>
      </c>
      <c r="D125" s="146" t="str">
        <v>ELIMINADO</v>
      </c>
      <c r="E125" s="146" t="str">
        <v>23 - RETIRO - RETRACTO</v>
      </c>
      <c r="F125" s="146" t="n">
        <v>5</v>
      </c>
    </row>
    <row r="126" ht="32" customHeight="1">
      <c r="A126" s="146" t="str">
        <v>CICIB</v>
      </c>
      <c r="B126" s="146" t="str">
        <v>2026</v>
      </c>
      <c r="C126" s="146" t="str">
        <v>1</v>
      </c>
      <c r="D126" s="146" t="str">
        <v>ELIMINADO</v>
      </c>
      <c r="E126" s="146" t="str">
        <v>24 - CAMBIO DE CARRERA</v>
      </c>
      <c r="F126" s="146" t="n">
        <v>5</v>
      </c>
    </row>
    <row r="127" ht="32" customHeight="1">
      <c r="A127" s="146" t="str">
        <v>CICIB</v>
      </c>
      <c r="B127" s="146" t="str">
        <v>2026</v>
      </c>
      <c r="C127" s="146" t="str">
        <v>1</v>
      </c>
      <c r="D127" s="146" t="str">
        <v>ELIMINADO</v>
      </c>
      <c r="E127" s="146" t="str">
        <v>8 - ELIMINADO SIN ACTIVIDAD ACADÉMICA</v>
      </c>
      <c r="F127" s="146" t="n">
        <v>1</v>
      </c>
    </row>
    <row r="128" ht="32" customHeight="1">
      <c r="A128" s="146" t="str">
        <v>CICIB</v>
      </c>
      <c r="B128" s="146" t="str">
        <v>2026</v>
      </c>
      <c r="C128" s="146" t="str">
        <v>1</v>
      </c>
      <c r="D128" s="146" t="str">
        <v>TITULADO</v>
      </c>
      <c r="E128" s="146" t="str">
        <v>31 - TITULADO APROBADO</v>
      </c>
      <c r="F128" s="146" t="n">
        <v>3</v>
      </c>
    </row>
    <row r="129" ht="32" customHeight="1">
      <c r="A129" s="146" t="str">
        <v>CICIB</v>
      </c>
      <c r="B129" s="146" t="str">
        <v>2026</v>
      </c>
      <c r="C129" s="146" t="str">
        <v>1</v>
      </c>
      <c r="D129" s="146" t="str">
        <v>VIGENTE</v>
      </c>
      <c r="E129" s="146" t="str">
        <v>1 - ALUMNO REGULAR</v>
      </c>
      <c r="F129" s="146" t="n">
        <v>75</v>
      </c>
    </row>
    <row r="130" ht="32" customHeight="1">
      <c r="A130" s="146" t="str">
        <v>CICIB</v>
      </c>
      <c r="B130" s="146" t="str">
        <v>2026</v>
      </c>
      <c r="C130" s="146" t="str">
        <v>1</v>
      </c>
      <c r="D130" s="146" t="str">
        <v>VIGENTE</v>
      </c>
      <c r="E130" s="146" t="str">
        <v>38 - REINCORPORACION DE ACTIVIDADES</v>
      </c>
      <c r="F130" s="146" t="n">
        <v>2</v>
      </c>
    </row>
    <row r="131" ht="32" customHeight="1">
      <c r="A131" s="146" t="str">
        <v>CICIB</v>
      </c>
      <c r="B131" s="146" t="str">
        <v>2026</v>
      </c>
      <c r="C131" s="146" t="str">
        <v>1</v>
      </c>
      <c r="D131" s="146" t="str">
        <v>VIGENTE</v>
      </c>
      <c r="E131" s="146" t="str">
        <v>49 - CAMBIO DE JORNADA</v>
      </c>
      <c r="F131" s="146" t="n">
        <v>1</v>
      </c>
    </row>
    <row r="132" ht="32" customHeight="1">
      <c r="A132" s="146" t="str">
        <v>CICIB</v>
      </c>
      <c r="B132" s="146" t="str">
        <v>2026</v>
      </c>
      <c r="C132" s="146" t="str">
        <v>3</v>
      </c>
      <c r="D132" s="146" t="str">
        <v>VIGENTE</v>
      </c>
      <c r="E132" s="146" t="str">
        <v>1 - ALUMNO REGULAR</v>
      </c>
      <c r="F132" s="146" t="n">
        <v>2</v>
      </c>
    </row>
    <row r="133" ht="32" customHeight="1">
      <c r="A133" s="146" t="str">
        <v>CICIB</v>
      </c>
      <c r="B133" s="146" t="str">
        <v>2027</v>
      </c>
      <c r="C133" s="146" t="str">
        <v>1</v>
      </c>
      <c r="D133" s="146" t="str">
        <v>VIGENTE</v>
      </c>
      <c r="E133" s="146" t="str">
        <v>1 - ALUMNO REGULAR</v>
      </c>
      <c r="F133" s="146" t="n">
        <v>8</v>
      </c>
    </row>
    <row r="134" ht="32" customHeight="1">
      <c r="A134" s="146" t="str">
        <v>CICRE</v>
      </c>
      <c r="B134" s="146" t="str">
        <v>2024</v>
      </c>
      <c r="C134" s="146" t="str">
        <v>1</v>
      </c>
      <c r="D134" s="146" t="str">
        <v>ELIMINADO</v>
      </c>
      <c r="E134" s="146" t="str">
        <v>11 - RENUNCIA POST INICIO CLASES</v>
      </c>
      <c r="F134" s="146" t="n">
        <v>6</v>
      </c>
    </row>
    <row r="135" ht="32" customHeight="1">
      <c r="A135" s="146" t="str">
        <v>CICRE</v>
      </c>
      <c r="B135" s="146" t="str">
        <v>2024</v>
      </c>
      <c r="C135" s="146" t="str">
        <v>1</v>
      </c>
      <c r="D135" s="146" t="str">
        <v>ELIMINADO</v>
      </c>
      <c r="E135" s="146" t="str">
        <v>23 - RETIRO - RETRACTO</v>
      </c>
      <c r="F135" s="146" t="n">
        <v>1</v>
      </c>
    </row>
    <row r="136" ht="32" customHeight="1">
      <c r="A136" s="146" t="str">
        <v>CICRE</v>
      </c>
      <c r="B136" s="146" t="str">
        <v>2024</v>
      </c>
      <c r="C136" s="146" t="str">
        <v>1</v>
      </c>
      <c r="D136" s="146" t="str">
        <v>ELIMINADO</v>
      </c>
      <c r="E136" s="146" t="str">
        <v>24 - CAMBIO DE CARRERA</v>
      </c>
      <c r="F136" s="146" t="n">
        <v>1</v>
      </c>
    </row>
    <row r="137" ht="32" customHeight="1">
      <c r="A137" s="146" t="str">
        <v>CICRE</v>
      </c>
      <c r="B137" s="146" t="str">
        <v>2024</v>
      </c>
      <c r="C137" s="146" t="str">
        <v>1</v>
      </c>
      <c r="D137" s="146" t="str">
        <v>ELIMINADO</v>
      </c>
      <c r="E137" s="146" t="str">
        <v>7 - NO RENUEVA MATRICULA</v>
      </c>
      <c r="F137" s="146" t="n">
        <v>9</v>
      </c>
    </row>
    <row r="138" ht="32" customHeight="1">
      <c r="A138" s="146" t="str">
        <v>CICRE</v>
      </c>
      <c r="B138" s="146" t="str">
        <v>2024</v>
      </c>
      <c r="C138" s="146" t="str">
        <v>1</v>
      </c>
      <c r="D138" s="146" t="str">
        <v>SUSPENDIDO</v>
      </c>
      <c r="E138" s="146" t="str">
        <v>2 - SUSPENSIÓN TEMPORAL</v>
      </c>
      <c r="F138" s="146" t="n">
        <v>3</v>
      </c>
    </row>
    <row r="139" ht="32" customHeight="1">
      <c r="A139" s="146" t="str">
        <v>CICRE</v>
      </c>
      <c r="B139" s="146" t="str">
        <v>2025</v>
      </c>
      <c r="C139" s="146" t="str">
        <v>1</v>
      </c>
      <c r="D139" s="146" t="str">
        <v>ELIMINADO</v>
      </c>
      <c r="E139" s="146" t="str">
        <v>11 - RENUNCIA POST INICIO CLASES</v>
      </c>
      <c r="F139" s="146" t="n">
        <v>5</v>
      </c>
    </row>
    <row r="140" ht="32" customHeight="1">
      <c r="A140" s="146" t="str">
        <v>CICRE</v>
      </c>
      <c r="B140" s="146" t="str">
        <v>2025</v>
      </c>
      <c r="C140" s="146" t="str">
        <v>1</v>
      </c>
      <c r="D140" s="146" t="str">
        <v>ELIMINADO</v>
      </c>
      <c r="E140" s="146" t="str">
        <v>23 - RETIRO - RETRACTO</v>
      </c>
      <c r="F140" s="146" t="n">
        <v>3</v>
      </c>
    </row>
    <row r="141" ht="32" customHeight="1">
      <c r="A141" s="146" t="str">
        <v>CICRE</v>
      </c>
      <c r="B141" s="146" t="str">
        <v>2025</v>
      </c>
      <c r="C141" s="146" t="str">
        <v>1</v>
      </c>
      <c r="D141" s="146" t="str">
        <v>ELIMINADO</v>
      </c>
      <c r="E141" s="146" t="str">
        <v>24 - CAMBIO DE CARRERA</v>
      </c>
      <c r="F141" s="146" t="n">
        <v>2</v>
      </c>
    </row>
    <row r="142" ht="32" customHeight="1">
      <c r="A142" s="146" t="str">
        <v>CICRE</v>
      </c>
      <c r="B142" s="146" t="str">
        <v>2025</v>
      </c>
      <c r="C142" s="146" t="str">
        <v>1</v>
      </c>
      <c r="D142" s="146" t="str">
        <v>ELIMINADO</v>
      </c>
      <c r="E142" s="146" t="str">
        <v>7 - NO RENUEVA MATRICULA</v>
      </c>
      <c r="F142" s="146" t="n">
        <v>3</v>
      </c>
    </row>
    <row r="143" ht="32" customHeight="1">
      <c r="A143" s="146" t="str">
        <v>CICRE</v>
      </c>
      <c r="B143" s="146" t="str">
        <v>2025</v>
      </c>
      <c r="C143" s="146" t="str">
        <v>1</v>
      </c>
      <c r="D143" s="146" t="str">
        <v>SUSPENDIDO</v>
      </c>
      <c r="E143" s="146" t="str">
        <v>2 - SUSPENSIÓN TEMPORAL</v>
      </c>
      <c r="F143" s="146" t="n">
        <v>1</v>
      </c>
    </row>
    <row r="144" ht="32" customHeight="1">
      <c r="A144" s="146" t="str">
        <v>CICRE</v>
      </c>
      <c r="B144" s="146" t="str">
        <v>2025</v>
      </c>
      <c r="C144" s="146" t="str">
        <v>1</v>
      </c>
      <c r="D144" s="146" t="str">
        <v>TITULADO</v>
      </c>
      <c r="E144" s="146" t="str">
        <v>31 - TITULADO APROBADO</v>
      </c>
      <c r="F144" s="146" t="n">
        <v>40</v>
      </c>
    </row>
    <row r="145" ht="32" customHeight="1">
      <c r="A145" s="146" t="str">
        <v>CICRE</v>
      </c>
      <c r="B145" s="146" t="str">
        <v>2025</v>
      </c>
      <c r="C145" s="146" t="str">
        <v>1</v>
      </c>
      <c r="D145" s="146" t="str">
        <v>VIGENTE</v>
      </c>
      <c r="E145" s="146" t="str">
        <v>1 - ALUMNO REGULAR</v>
      </c>
      <c r="F145" s="146" t="n">
        <v>5</v>
      </c>
    </row>
    <row r="146" ht="32" customHeight="1">
      <c r="A146" s="146" t="str">
        <v>CICRE</v>
      </c>
      <c r="B146" s="146" t="str">
        <v>2025</v>
      </c>
      <c r="C146" s="146" t="str">
        <v>2</v>
      </c>
      <c r="D146" s="146" t="str">
        <v>ELIMINADO</v>
      </c>
      <c r="E146" s="146" t="str">
        <v>23 - RETIRO - RETRACTO</v>
      </c>
      <c r="F146" s="146" t="n">
        <v>2</v>
      </c>
    </row>
    <row r="147" ht="32" customHeight="1">
      <c r="A147" s="146" t="str">
        <v>CICRE</v>
      </c>
      <c r="B147" s="146" t="str">
        <v>2025</v>
      </c>
      <c r="C147" s="146" t="str">
        <v>2</v>
      </c>
      <c r="D147" s="146" t="str">
        <v>ELIMINADO</v>
      </c>
      <c r="E147" s="146" t="str">
        <v>24 - CAMBIO DE CARRERA</v>
      </c>
      <c r="F147" s="146" t="n">
        <v>1</v>
      </c>
    </row>
    <row r="148" ht="32" customHeight="1">
      <c r="A148" s="146" t="str">
        <v>CICRE</v>
      </c>
      <c r="B148" s="146" t="str">
        <v>2026</v>
      </c>
      <c r="C148" s="146" t="str">
        <v>1</v>
      </c>
      <c r="D148" s="146" t="str">
        <v>ELIMINADO</v>
      </c>
      <c r="E148" s="146" t="str">
        <v>11 - RENUNCIA POST INICIO CLASES</v>
      </c>
      <c r="F148" s="146" t="n">
        <v>6</v>
      </c>
    </row>
    <row r="149" ht="32" customHeight="1">
      <c r="A149" s="146" t="str">
        <v>CICRE</v>
      </c>
      <c r="B149" s="146" t="str">
        <v>2026</v>
      </c>
      <c r="C149" s="146" t="str">
        <v>1</v>
      </c>
      <c r="D149" s="146" t="str">
        <v>ELIMINADO</v>
      </c>
      <c r="E149" s="146" t="str">
        <v>23 - RETIRO - RETRACTO</v>
      </c>
      <c r="F149" s="146" t="n">
        <v>2</v>
      </c>
    </row>
    <row r="150" ht="32" customHeight="1">
      <c r="A150" s="146" t="str">
        <v>CICRE</v>
      </c>
      <c r="B150" s="146" t="str">
        <v>2026</v>
      </c>
      <c r="C150" s="146" t="str">
        <v>1</v>
      </c>
      <c r="D150" s="146" t="str">
        <v>ELIMINADO</v>
      </c>
      <c r="E150" s="146" t="str">
        <v>8 - ELIMINADO SIN ACTIVIDAD ACADÉMICA</v>
      </c>
      <c r="F150" s="146" t="n">
        <v>2</v>
      </c>
    </row>
    <row r="151" ht="32" customHeight="1">
      <c r="A151" s="146" t="str">
        <v>CICRE</v>
      </c>
      <c r="B151" s="146" t="str">
        <v>2026</v>
      </c>
      <c r="C151" s="146" t="str">
        <v>1</v>
      </c>
      <c r="D151" s="146" t="str">
        <v>SUSPENDIDO</v>
      </c>
      <c r="E151" s="146" t="str">
        <v>2 - SUSPENSIÓN TEMPORAL</v>
      </c>
      <c r="F151" s="146" t="n">
        <v>2</v>
      </c>
    </row>
    <row r="152" ht="32" customHeight="1">
      <c r="A152" s="146" t="str">
        <v>CICRE</v>
      </c>
      <c r="B152" s="146" t="str">
        <v>2026</v>
      </c>
      <c r="C152" s="146" t="str">
        <v>1</v>
      </c>
      <c r="D152" s="146" t="str">
        <v>TITULADO</v>
      </c>
      <c r="E152" s="146" t="str">
        <v>31 - TITULADO APROBADO</v>
      </c>
      <c r="F152" s="146" t="n">
        <v>3</v>
      </c>
    </row>
    <row r="153" ht="32" customHeight="1">
      <c r="A153" s="146" t="str">
        <v>CICRE</v>
      </c>
      <c r="B153" s="146" t="str">
        <v>2026</v>
      </c>
      <c r="C153" s="146" t="str">
        <v>1</v>
      </c>
      <c r="D153" s="146" t="str">
        <v>VIGENTE</v>
      </c>
      <c r="E153" s="146" t="str">
        <v>1 - ALUMNO REGULAR</v>
      </c>
      <c r="F153" s="146" t="n">
        <v>106</v>
      </c>
    </row>
    <row r="154" ht="32" customHeight="1">
      <c r="A154" s="146" t="str">
        <v>CICRE</v>
      </c>
      <c r="B154" s="146" t="str">
        <v>2026</v>
      </c>
      <c r="C154" s="146" t="str">
        <v>1</v>
      </c>
      <c r="D154" s="146" t="str">
        <v>VIGENTE</v>
      </c>
      <c r="E154" s="146" t="str">
        <v>49 - CAMBIO DE JORNADA</v>
      </c>
      <c r="F154" s="146" t="n">
        <v>1</v>
      </c>
    </row>
    <row r="155" ht="32" customHeight="1">
      <c r="A155" s="146" t="str">
        <v>CICRE</v>
      </c>
      <c r="B155" s="146" t="str">
        <v>2027</v>
      </c>
      <c r="C155" s="146" t="str">
        <v>1</v>
      </c>
      <c r="D155" s="146" t="str">
        <v>VIGENTE</v>
      </c>
      <c r="E155" s="146" t="str">
        <v>1 - ALUMNO REGULAR</v>
      </c>
      <c r="F155" s="146" t="n">
        <v>11</v>
      </c>
    </row>
    <row r="156" ht="32" customHeight="1">
      <c r="A156" s="146" t="str">
        <v>CIFIN</v>
      </c>
      <c r="B156" s="146" t="str">
        <v>2026</v>
      </c>
      <c r="C156" s="146" t="str">
        <v>1</v>
      </c>
      <c r="D156" s="146" t="str">
        <v>ELIMINADO</v>
      </c>
      <c r="E156" s="146" t="str">
        <v>23 - RETIRO - RETRACTO</v>
      </c>
      <c r="F156" s="146" t="n">
        <v>1</v>
      </c>
    </row>
    <row r="157" ht="32" customHeight="1">
      <c r="A157" s="146" t="str">
        <v>CIFIN</v>
      </c>
      <c r="B157" s="146" t="str">
        <v>2027</v>
      </c>
      <c r="C157" s="146" t="str">
        <v>1</v>
      </c>
      <c r="D157" s="146" t="str">
        <v>VIGENTE</v>
      </c>
      <c r="E157" s="146" t="str">
        <v>1 - ALUMNO REGULAR</v>
      </c>
      <c r="F157" s="146" t="n">
        <v>1</v>
      </c>
    </row>
    <row r="158" ht="32" customHeight="1">
      <c r="A158" s="146" t="str">
        <v>CIIND</v>
      </c>
      <c r="B158" s="146" t="str">
        <v>2025</v>
      </c>
      <c r="C158" s="146" t="str">
        <v>1</v>
      </c>
      <c r="D158" s="146" t="str">
        <v>ELIMINADO</v>
      </c>
      <c r="E158" s="146" t="str">
        <v>11 - RENUNCIA POST INICIO CLASES</v>
      </c>
      <c r="F158" s="146" t="n">
        <v>2</v>
      </c>
    </row>
    <row r="159" ht="32" customHeight="1">
      <c r="A159" s="146" t="str">
        <v>CIIND</v>
      </c>
      <c r="B159" s="146" t="str">
        <v>2025</v>
      </c>
      <c r="C159" s="146" t="str">
        <v>1</v>
      </c>
      <c r="D159" s="146" t="str">
        <v>ELIMINADO</v>
      </c>
      <c r="E159" s="146" t="str">
        <v>23 - RETIRO - RETRACTO</v>
      </c>
      <c r="F159" s="146" t="n">
        <v>2</v>
      </c>
    </row>
    <row r="160" ht="32" customHeight="1">
      <c r="A160" s="146" t="str">
        <v>CIIND</v>
      </c>
      <c r="B160" s="146" t="str">
        <v>2025</v>
      </c>
      <c r="C160" s="146" t="str">
        <v>1</v>
      </c>
      <c r="D160" s="146" t="str">
        <v>VIGENTE</v>
      </c>
      <c r="E160" s="146" t="str">
        <v>1 - ALUMNO REGULAR</v>
      </c>
      <c r="F160" s="146" t="n">
        <v>19</v>
      </c>
    </row>
    <row r="161" ht="32" customHeight="1">
      <c r="A161" s="146" t="str">
        <v>CIIND</v>
      </c>
      <c r="B161" s="146" t="str">
        <v>2025</v>
      </c>
      <c r="C161" s="146" t="str">
        <v>2</v>
      </c>
      <c r="D161" s="146" t="str">
        <v>ELIMINADO</v>
      </c>
      <c r="E161" s="146" t="str">
        <v>23 - RETIRO - RETRACTO</v>
      </c>
      <c r="F161" s="146" t="n">
        <v>1</v>
      </c>
    </row>
    <row r="162" ht="32" customHeight="1">
      <c r="A162" s="146" t="str">
        <v>CIIND</v>
      </c>
      <c r="B162" s="146" t="str">
        <v>2026</v>
      </c>
      <c r="C162" s="146" t="str">
        <v>1</v>
      </c>
      <c r="D162" s="146" t="str">
        <v>ELIMINADO</v>
      </c>
      <c r="E162" s="146" t="str">
        <v>23 - RETIRO - RETRACTO</v>
      </c>
      <c r="F162" s="146" t="n">
        <v>5</v>
      </c>
    </row>
    <row r="163" ht="32" customHeight="1">
      <c r="A163" s="146" t="str">
        <v>CIIND</v>
      </c>
      <c r="B163" s="146" t="str">
        <v>2026</v>
      </c>
      <c r="C163" s="146" t="str">
        <v>1</v>
      </c>
      <c r="D163" s="146" t="str">
        <v>ELIMINADO</v>
      </c>
      <c r="E163" s="146" t="str">
        <v>8 - ELIMINADO SIN ACTIVIDAD ACADÉMICA</v>
      </c>
      <c r="F163" s="146" t="n">
        <v>3</v>
      </c>
    </row>
    <row r="164" ht="32" customHeight="1">
      <c r="A164" s="146" t="str">
        <v>CIIND</v>
      </c>
      <c r="B164" s="146" t="str">
        <v>2026</v>
      </c>
      <c r="C164" s="146" t="str">
        <v>1</v>
      </c>
      <c r="D164" s="146" t="str">
        <v>VIGENTE</v>
      </c>
      <c r="E164" s="146" t="str">
        <v>1 - ALUMNO REGULAR</v>
      </c>
      <c r="F164" s="146" t="n">
        <v>35</v>
      </c>
    </row>
    <row r="165" ht="32" customHeight="1">
      <c r="A165" s="146" t="str">
        <v>CIIND</v>
      </c>
      <c r="B165" s="146" t="str">
        <v>2026</v>
      </c>
      <c r="C165" s="146" t="str">
        <v>1</v>
      </c>
      <c r="D165" s="146" t="str">
        <v>VIGENTE</v>
      </c>
      <c r="E165" s="146" t="str">
        <v>38 - REINCORPORACION DE ACTIVIDADES</v>
      </c>
      <c r="F165" s="146" t="n">
        <v>2</v>
      </c>
    </row>
    <row r="166" ht="32" customHeight="1">
      <c r="A166" s="146" t="str">
        <v>CIIND</v>
      </c>
      <c r="B166" s="146" t="str">
        <v>2027</v>
      </c>
      <c r="C166" s="146" t="str">
        <v>1</v>
      </c>
      <c r="D166" s="146" t="str">
        <v>VIGENTE</v>
      </c>
      <c r="E166" s="146" t="str">
        <v>1 - ALUMNO REGULAR</v>
      </c>
      <c r="F166" s="146" t="n">
        <v>6</v>
      </c>
    </row>
    <row r="167" ht="32" customHeight="1">
      <c r="A167" s="146" t="str">
        <v>CIINF</v>
      </c>
      <c r="B167" s="146" t="str">
        <v>2024</v>
      </c>
      <c r="C167" s="146" t="str">
        <v>1</v>
      </c>
      <c r="D167" s="146" t="str">
        <v>ELIMINADO</v>
      </c>
      <c r="E167" s="146" t="str">
        <v>23 - RETIRO - RETRACTO</v>
      </c>
      <c r="F167" s="146" t="n">
        <v>1</v>
      </c>
    </row>
    <row r="168" ht="32" customHeight="1">
      <c r="A168" s="146" t="str">
        <v>CIINF</v>
      </c>
      <c r="B168" s="146" t="str">
        <v>2024</v>
      </c>
      <c r="C168" s="146" t="str">
        <v>1</v>
      </c>
      <c r="D168" s="146" t="str">
        <v>ELIMINADO</v>
      </c>
      <c r="E168" s="146" t="str">
        <v>7 - NO RENUEVA MATRICULA</v>
      </c>
      <c r="F168" s="146" t="n">
        <v>2</v>
      </c>
    </row>
    <row r="169" ht="32" customHeight="1">
      <c r="A169" s="146" t="str">
        <v>CIINF</v>
      </c>
      <c r="B169" s="146" t="str">
        <v>2025</v>
      </c>
      <c r="C169" s="146" t="str">
        <v>1</v>
      </c>
      <c r="D169" s="146" t="str">
        <v>ELIMINADO</v>
      </c>
      <c r="E169" s="146" t="str">
        <v>11 - RENUNCIA POST INICIO CLASES</v>
      </c>
      <c r="F169" s="146" t="n">
        <v>1</v>
      </c>
    </row>
    <row r="170" ht="32" customHeight="1">
      <c r="A170" s="146" t="str">
        <v>CIINF</v>
      </c>
      <c r="B170" s="146" t="str">
        <v>2025</v>
      </c>
      <c r="C170" s="146" t="str">
        <v>1</v>
      </c>
      <c r="D170" s="146" t="str">
        <v>ELIMINADO</v>
      </c>
      <c r="E170" s="146" t="str">
        <v>23 - RETIRO - RETRACTO</v>
      </c>
      <c r="F170" s="146" t="n">
        <v>4</v>
      </c>
    </row>
    <row r="171" ht="32" customHeight="1">
      <c r="A171" s="146" t="str">
        <v>CIINF</v>
      </c>
      <c r="B171" s="146" t="str">
        <v>2025</v>
      </c>
      <c r="C171" s="146" t="str">
        <v>1</v>
      </c>
      <c r="D171" s="146" t="str">
        <v>ELIMINADO</v>
      </c>
      <c r="E171" s="146" t="str">
        <v>24 - CAMBIO DE CARRERA</v>
      </c>
      <c r="F171" s="146" t="n">
        <v>3</v>
      </c>
    </row>
    <row r="172" ht="32" customHeight="1">
      <c r="A172" s="146" t="str">
        <v>CIINF</v>
      </c>
      <c r="B172" s="146" t="str">
        <v>2025</v>
      </c>
      <c r="C172" s="146" t="str">
        <v>1</v>
      </c>
      <c r="D172" s="146" t="str">
        <v>SUSPENDIDO</v>
      </c>
      <c r="E172" s="146" t="str">
        <v>2 - SUSPENSIÓN TEMPORAL</v>
      </c>
      <c r="F172" s="146" t="n">
        <v>1</v>
      </c>
    </row>
    <row r="173" ht="32" customHeight="1">
      <c r="A173" s="146" t="str">
        <v>CIINF</v>
      </c>
      <c r="B173" s="146" t="str">
        <v>2025</v>
      </c>
      <c r="C173" s="146" t="str">
        <v>1</v>
      </c>
      <c r="D173" s="146" t="str">
        <v>TITULADO</v>
      </c>
      <c r="E173" s="146" t="str">
        <v>31 - TITULADO APROBADO</v>
      </c>
      <c r="F173" s="146" t="n">
        <v>24</v>
      </c>
    </row>
    <row r="174" ht="32" customHeight="1">
      <c r="A174" s="146" t="str">
        <v>CIINF</v>
      </c>
      <c r="B174" s="146" t="str">
        <v>2025</v>
      </c>
      <c r="C174" s="146" t="str">
        <v>1</v>
      </c>
      <c r="D174" s="146" t="str">
        <v>VIGENTE</v>
      </c>
      <c r="E174" s="146" t="str">
        <v>1 - ALUMNO REGULAR</v>
      </c>
      <c r="F174" s="146" t="n">
        <v>6</v>
      </c>
    </row>
    <row r="175" ht="32" customHeight="1">
      <c r="A175" s="146" t="str">
        <v>CIINF</v>
      </c>
      <c r="B175" s="146" t="str">
        <v>2026</v>
      </c>
      <c r="C175" s="146" t="str">
        <v>1</v>
      </c>
      <c r="D175" s="146" t="str">
        <v>ELIMINADO</v>
      </c>
      <c r="E175" s="146" t="str">
        <v>11 - RENUNCIA POST INICIO CLASES</v>
      </c>
      <c r="F175" s="146" t="n">
        <v>1</v>
      </c>
    </row>
    <row r="176" ht="32" customHeight="1">
      <c r="A176" s="146" t="str">
        <v>CIINF</v>
      </c>
      <c r="B176" s="146" t="str">
        <v>2026</v>
      </c>
      <c r="C176" s="146" t="str">
        <v>1</v>
      </c>
      <c r="D176" s="146" t="str">
        <v>ELIMINADO</v>
      </c>
      <c r="E176" s="146" t="str">
        <v>23 - RETIRO - RETRACTO</v>
      </c>
      <c r="F176" s="146" t="n">
        <v>3</v>
      </c>
    </row>
    <row r="177" ht="32" customHeight="1">
      <c r="A177" s="146" t="str">
        <v>CIINF</v>
      </c>
      <c r="B177" s="146" t="str">
        <v>2026</v>
      </c>
      <c r="C177" s="146" t="str">
        <v>1</v>
      </c>
      <c r="D177" s="146" t="str">
        <v>ELIMINADO</v>
      </c>
      <c r="E177" s="146" t="str">
        <v>8 - ELIMINADO SIN ACTIVIDAD ACADÉMICA</v>
      </c>
      <c r="F177" s="146" t="n">
        <v>1</v>
      </c>
    </row>
    <row r="178" ht="32" customHeight="1">
      <c r="A178" s="146" t="str">
        <v>CIINF</v>
      </c>
      <c r="B178" s="146" t="str">
        <v>2026</v>
      </c>
      <c r="C178" s="146" t="str">
        <v>1</v>
      </c>
      <c r="D178" s="146" t="str">
        <v>SUSPENDIDO</v>
      </c>
      <c r="E178" s="146" t="str">
        <v>2 - SUSPENSIÓN TEMPORAL</v>
      </c>
      <c r="F178" s="146" t="n">
        <v>1</v>
      </c>
    </row>
    <row r="179" ht="32" customHeight="1">
      <c r="A179" s="146" t="str">
        <v>CIINF</v>
      </c>
      <c r="B179" s="146" t="str">
        <v>2026</v>
      </c>
      <c r="C179" s="146" t="str">
        <v>1</v>
      </c>
      <c r="D179" s="146" t="str">
        <v>TITULADO</v>
      </c>
      <c r="E179" s="146" t="str">
        <v>31 - TITULADO APROBADO</v>
      </c>
      <c r="F179" s="146" t="n">
        <v>1</v>
      </c>
    </row>
    <row r="180" ht="32" customHeight="1">
      <c r="A180" s="146" t="str">
        <v>CIINF</v>
      </c>
      <c r="B180" s="146" t="str">
        <v>2026</v>
      </c>
      <c r="C180" s="146" t="str">
        <v>1</v>
      </c>
      <c r="D180" s="146" t="str">
        <v>VIGENTE</v>
      </c>
      <c r="E180" s="146" t="str">
        <v>1 - ALUMNO REGULAR</v>
      </c>
      <c r="F180" s="146" t="n">
        <v>84</v>
      </c>
    </row>
    <row r="181" ht="32" customHeight="1">
      <c r="A181" s="146" t="str">
        <v>CIINF</v>
      </c>
      <c r="B181" s="146" t="str">
        <v>2026</v>
      </c>
      <c r="C181" s="146" t="str">
        <v>1</v>
      </c>
      <c r="D181" s="146" t="str">
        <v>VIGENTE</v>
      </c>
      <c r="E181" s="146" t="str">
        <v>38 - REINCORPORACION DE ACTIVIDADES</v>
      </c>
      <c r="F181" s="146" t="n">
        <v>1</v>
      </c>
    </row>
    <row r="182" ht="32" customHeight="1">
      <c r="A182" s="146" t="str">
        <v>CIINF</v>
      </c>
      <c r="B182" s="146" t="str">
        <v>2026</v>
      </c>
      <c r="C182" s="146" t="str">
        <v>2</v>
      </c>
      <c r="D182" s="146" t="str">
        <v>VIGENTE</v>
      </c>
      <c r="E182" s="146" t="str">
        <v>1 - ALUMNO REGULAR</v>
      </c>
      <c r="F182" s="146" t="n">
        <v>3</v>
      </c>
    </row>
    <row r="183" ht="32" customHeight="1">
      <c r="A183" s="146" t="str">
        <v>CIINF</v>
      </c>
      <c r="B183" s="146" t="str">
        <v>2026</v>
      </c>
      <c r="C183" s="146" t="str">
        <v>3</v>
      </c>
      <c r="D183" s="146" t="str">
        <v>VIGENTE</v>
      </c>
      <c r="E183" s="146" t="str">
        <v>1 - ALUMNO REGULAR</v>
      </c>
      <c r="F183" s="146" t="n">
        <v>1</v>
      </c>
    </row>
    <row r="184" ht="32" customHeight="1">
      <c r="A184" s="146" t="str">
        <v>CIINF</v>
      </c>
      <c r="B184" s="146" t="str">
        <v>2027</v>
      </c>
      <c r="C184" s="146" t="str">
        <v>1</v>
      </c>
      <c r="D184" s="146" t="str">
        <v>VIGENTE</v>
      </c>
      <c r="E184" s="146" t="str">
        <v>1 - ALUMNO REGULAR</v>
      </c>
      <c r="F184" s="146" t="n">
        <v>1</v>
      </c>
    </row>
    <row r="185" ht="32" customHeight="1">
      <c r="A185" s="146" t="str">
        <v>CILOG</v>
      </c>
      <c r="B185" s="146" t="str">
        <v>2024</v>
      </c>
      <c r="C185" s="146" t="str">
        <v>1</v>
      </c>
      <c r="D185" s="146" t="str">
        <v>ELIMINADO</v>
      </c>
      <c r="E185" s="146" t="str">
        <v>23 - RETIRO - RETRACTO</v>
      </c>
      <c r="F185" s="146" t="n">
        <v>3</v>
      </c>
    </row>
    <row r="186" ht="32" customHeight="1">
      <c r="A186" s="146" t="str">
        <v>CILOG</v>
      </c>
      <c r="B186" s="146" t="str">
        <v>2025</v>
      </c>
      <c r="C186" s="146" t="str">
        <v>1</v>
      </c>
      <c r="D186" s="146" t="str">
        <v>ELIMINADO</v>
      </c>
      <c r="E186" s="146" t="str">
        <v>11 - RENUNCIA POST INICIO CLASES</v>
      </c>
      <c r="F186" s="146" t="n">
        <v>1</v>
      </c>
    </row>
    <row r="187" ht="32" customHeight="1">
      <c r="A187" s="146" t="str">
        <v>CILOG</v>
      </c>
      <c r="B187" s="146" t="str">
        <v>2025</v>
      </c>
      <c r="C187" s="146" t="str">
        <v>1</v>
      </c>
      <c r="D187" s="146" t="str">
        <v>ELIMINADO</v>
      </c>
      <c r="E187" s="146" t="str">
        <v>23 - RETIRO - RETRACTO</v>
      </c>
      <c r="F187" s="146" t="n">
        <v>1</v>
      </c>
    </row>
    <row r="188" ht="32" customHeight="1">
      <c r="A188" s="146" t="str">
        <v>CILOG</v>
      </c>
      <c r="B188" s="146" t="str">
        <v>2025</v>
      </c>
      <c r="C188" s="146" t="str">
        <v>1</v>
      </c>
      <c r="D188" s="146" t="str">
        <v>SUSPENDIDO</v>
      </c>
      <c r="E188" s="146" t="str">
        <v>2 - SUSPENSIÓN TEMPORAL</v>
      </c>
      <c r="F188" s="146" t="n">
        <v>1</v>
      </c>
    </row>
    <row r="189" ht="32" customHeight="1">
      <c r="A189" s="146" t="str">
        <v>CILOG</v>
      </c>
      <c r="B189" s="146" t="str">
        <v>2025</v>
      </c>
      <c r="C189" s="146" t="str">
        <v>1</v>
      </c>
      <c r="D189" s="146" t="str">
        <v>VIGENTE</v>
      </c>
      <c r="E189" s="146" t="str">
        <v>1 - ALUMNO REGULAR</v>
      </c>
      <c r="F189" s="146" t="n">
        <v>3</v>
      </c>
    </row>
    <row r="190" ht="32" customHeight="1">
      <c r="A190" s="146" t="str">
        <v>CILOG</v>
      </c>
      <c r="B190" s="146" t="str">
        <v>2025</v>
      </c>
      <c r="C190" s="146" t="str">
        <v>1</v>
      </c>
      <c r="D190" s="146" t="str">
        <v>VIGENTE</v>
      </c>
      <c r="E190" s="146" t="str">
        <v>20 - VIGENTE SIN ACTIVIDAD ACADEMICA</v>
      </c>
      <c r="F190" s="146" t="n">
        <v>2</v>
      </c>
    </row>
    <row r="191" ht="32" customHeight="1">
      <c r="A191" s="146" t="str">
        <v>CILOG</v>
      </c>
      <c r="B191" s="146" t="str">
        <v>2026</v>
      </c>
      <c r="C191" s="146" t="str">
        <v>1</v>
      </c>
      <c r="D191" s="146" t="str">
        <v>ELIMINADO</v>
      </c>
      <c r="E191" s="146" t="str">
        <v>11 - RENUNCIA POST INICIO CLASES</v>
      </c>
      <c r="F191" s="146" t="n">
        <v>1</v>
      </c>
    </row>
    <row r="192" ht="32" customHeight="1">
      <c r="A192" s="146" t="str">
        <v>CILOG</v>
      </c>
      <c r="B192" s="146" t="str">
        <v>2026</v>
      </c>
      <c r="C192" s="146" t="str">
        <v>1</v>
      </c>
      <c r="D192" s="146" t="str">
        <v>ELIMINADO</v>
      </c>
      <c r="E192" s="146" t="str">
        <v>23 - RETIRO - RETRACTO</v>
      </c>
      <c r="F192" s="146" t="n">
        <v>2</v>
      </c>
    </row>
    <row r="193" ht="32" customHeight="1">
      <c r="A193" s="146" t="str">
        <v>CILOG</v>
      </c>
      <c r="B193" s="146" t="str">
        <v>2026</v>
      </c>
      <c r="C193" s="146" t="str">
        <v>1</v>
      </c>
      <c r="D193" s="146" t="str">
        <v>ELIMINADO</v>
      </c>
      <c r="E193" s="146" t="str">
        <v>24 - CAMBIO DE CARRERA</v>
      </c>
      <c r="F193" s="146" t="n">
        <v>1</v>
      </c>
    </row>
    <row r="194" ht="32" customHeight="1">
      <c r="A194" s="146" t="str">
        <v>CILOG</v>
      </c>
      <c r="B194" s="146" t="str">
        <v>2026</v>
      </c>
      <c r="C194" s="146" t="str">
        <v>1</v>
      </c>
      <c r="D194" s="146" t="str">
        <v>ELIMINADO</v>
      </c>
      <c r="E194" s="146" t="str">
        <v>8 - ELIMINADO SIN ACTIVIDAD ACADÉMICA</v>
      </c>
      <c r="F194" s="146" t="n">
        <v>2</v>
      </c>
    </row>
    <row r="195" ht="32" customHeight="1">
      <c r="A195" s="146" t="str">
        <v>CILOG</v>
      </c>
      <c r="B195" s="146" t="str">
        <v>2026</v>
      </c>
      <c r="C195" s="146" t="str">
        <v>1</v>
      </c>
      <c r="D195" s="146" t="str">
        <v>VIGENTE</v>
      </c>
      <c r="E195" s="146" t="str">
        <v>1 - ALUMNO REGULAR</v>
      </c>
      <c r="F195" s="146" t="n">
        <v>31</v>
      </c>
    </row>
    <row r="196" ht="32" customHeight="1">
      <c r="A196" s="146" t="str">
        <v>CILOG</v>
      </c>
      <c r="B196" s="146" t="str">
        <v>2026</v>
      </c>
      <c r="C196" s="146" t="str">
        <v>1</v>
      </c>
      <c r="D196" s="146" t="str">
        <v>VIGENTE</v>
      </c>
      <c r="E196" s="146" t="str">
        <v>38 - REINCORPORACION DE ACTIVIDADES</v>
      </c>
      <c r="F196" s="146" t="n">
        <v>1</v>
      </c>
    </row>
    <row r="197" ht="32" customHeight="1">
      <c r="A197" s="146" t="str">
        <v>CILOG</v>
      </c>
      <c r="B197" s="146" t="str">
        <v>2027</v>
      </c>
      <c r="C197" s="146" t="str">
        <v>1</v>
      </c>
      <c r="D197" s="146" t="str">
        <v>VIGENTE</v>
      </c>
      <c r="E197" s="146" t="str">
        <v>1 - ALUMNO REGULAR</v>
      </c>
      <c r="F197" s="146" t="n">
        <v>8</v>
      </c>
    </row>
    <row r="198" ht="32" customHeight="1">
      <c r="A198" s="146" t="str">
        <v>CIMDI</v>
      </c>
      <c r="B198" s="146" t="str">
        <v>2026</v>
      </c>
      <c r="C198" s="146" t="str">
        <v>1</v>
      </c>
      <c r="D198" s="146" t="str">
        <v>ELIMINADO</v>
      </c>
      <c r="E198" s="146" t="str">
        <v>23 - RETIRO - RETRACTO</v>
      </c>
      <c r="F198" s="146" t="n">
        <v>3</v>
      </c>
    </row>
    <row r="199" ht="32" customHeight="1">
      <c r="A199" s="146" t="str">
        <v>CIMDI</v>
      </c>
      <c r="B199" s="146" t="str">
        <v>2027</v>
      </c>
      <c r="C199" s="146" t="str">
        <v>1</v>
      </c>
      <c r="D199" s="146" t="str">
        <v>VIGENTE</v>
      </c>
      <c r="E199" s="146" t="str">
        <v>1 - ALUMNO REGULAR</v>
      </c>
      <c r="F199" s="146" t="n">
        <v>3</v>
      </c>
    </row>
    <row r="200" ht="32" customHeight="1">
      <c r="A200" s="146" t="str">
        <v>CIPRE</v>
      </c>
      <c r="B200" s="146" t="str">
        <v>2026</v>
      </c>
      <c r="C200" s="146" t="str">
        <v>1</v>
      </c>
      <c r="D200" s="146" t="str">
        <v>ELIMINADO</v>
      </c>
      <c r="E200" s="146" t="str">
        <v>23 - RETIRO - RETRACTO</v>
      </c>
      <c r="F200" s="146" t="n">
        <v>5</v>
      </c>
    </row>
    <row r="201" ht="32" customHeight="1">
      <c r="A201" s="146" t="str">
        <v>CIPRE</v>
      </c>
      <c r="B201" s="146" t="str">
        <v>2027</v>
      </c>
      <c r="C201" s="146" t="str">
        <v>1</v>
      </c>
      <c r="D201" s="146" t="str">
        <v>VIGENTE</v>
      </c>
      <c r="E201" s="146" t="str">
        <v>1 - ALUMNO REGULAR</v>
      </c>
      <c r="F201" s="146" t="n">
        <v>2</v>
      </c>
    </row>
    <row r="202" ht="32" customHeight="1">
      <c r="A202" s="146" t="str">
        <v>CIRHU</v>
      </c>
      <c r="B202" s="146" t="str">
        <v>2026</v>
      </c>
      <c r="C202" s="146" t="str">
        <v>1</v>
      </c>
      <c r="D202" s="146" t="str">
        <v>ELIMINADO</v>
      </c>
      <c r="E202" s="146" t="str">
        <v>23 - RETIRO - RETRACTO</v>
      </c>
      <c r="F202" s="146" t="n">
        <v>7</v>
      </c>
    </row>
    <row r="203" ht="32" customHeight="1">
      <c r="A203" s="146" t="str">
        <v>CISEP</v>
      </c>
      <c r="B203" s="146" t="str">
        <v>2026</v>
      </c>
      <c r="C203" s="146" t="str">
        <v>1</v>
      </c>
      <c r="D203" s="146" t="str">
        <v>ELIMINADO</v>
      </c>
      <c r="E203" s="146" t="str">
        <v>23 - RETIRO - RETRACTO</v>
      </c>
      <c r="F203" s="146" t="n">
        <v>7</v>
      </c>
    </row>
    <row r="204" ht="32" customHeight="1">
      <c r="A204" s="146" t="str">
        <v>CISEP</v>
      </c>
      <c r="B204" s="146" t="str">
        <v>2027</v>
      </c>
      <c r="C204" s="146" t="str">
        <v>1</v>
      </c>
      <c r="D204" s="146" t="str">
        <v>VIGENTE</v>
      </c>
      <c r="E204" s="146" t="str">
        <v>1 - ALUMNO REGULAR</v>
      </c>
      <c r="F204" s="146" t="n">
        <v>3</v>
      </c>
    </row>
    <row r="205" ht="32" customHeight="1">
      <c r="A205" s="146" t="str">
        <v>CNATP</v>
      </c>
      <c r="B205" s="146" t="str">
        <v>2025</v>
      </c>
      <c r="C205" s="146" t="str">
        <v>1</v>
      </c>
      <c r="D205" s="146" t="str">
        <v>ELIMINADO</v>
      </c>
      <c r="E205" s="146" t="str">
        <v>23 - RETIRO - RETRACTO</v>
      </c>
      <c r="F205" s="146" t="n">
        <v>1</v>
      </c>
    </row>
    <row r="206" ht="32" customHeight="1">
      <c r="A206" s="146" t="str">
        <v>COICONSSP</v>
      </c>
      <c r="B206" s="146" t="str">
        <v>2027</v>
      </c>
      <c r="C206" s="146" t="str">
        <v>1</v>
      </c>
      <c r="D206" s="146" t="str">
        <v>VIGENTE</v>
      </c>
      <c r="E206" s="146" t="str">
        <v>1 - ALUMNO REGULAR</v>
      </c>
      <c r="F206" s="146" t="n">
        <v>2</v>
      </c>
    </row>
    <row r="207" ht="32" customHeight="1">
      <c r="A207" s="146" t="str">
        <v>COIELECSP</v>
      </c>
      <c r="B207" s="146" t="str">
        <v>2027</v>
      </c>
      <c r="C207" s="146" t="str">
        <v>1</v>
      </c>
      <c r="D207" s="146" t="str">
        <v>VIGENTE</v>
      </c>
      <c r="E207" s="146" t="str">
        <v>1 - ALUMNO REGULAR</v>
      </c>
      <c r="F207" s="146" t="n">
        <v>1</v>
      </c>
    </row>
    <row r="208" ht="32" customHeight="1">
      <c r="A208" s="146" t="str">
        <v>CONG</v>
      </c>
      <c r="B208" s="146" t="str">
        <v>2025</v>
      </c>
      <c r="C208" s="146" t="str">
        <v>1</v>
      </c>
      <c r="D208" s="146" t="str">
        <v>ELIMINADO</v>
      </c>
      <c r="E208" s="146" t="str">
        <v>11 - RENUNCIA POST INICIO CLASES</v>
      </c>
      <c r="F208" s="146" t="n">
        <v>5</v>
      </c>
    </row>
    <row r="209" ht="32" customHeight="1">
      <c r="A209" s="146" t="str">
        <v>CONG</v>
      </c>
      <c r="B209" s="146" t="str">
        <v>2025</v>
      </c>
      <c r="C209" s="146" t="str">
        <v>1</v>
      </c>
      <c r="D209" s="146" t="str">
        <v>ELIMINADO</v>
      </c>
      <c r="E209" s="146" t="str">
        <v>23 - RETIRO - RETRACTO</v>
      </c>
      <c r="F209" s="146" t="n">
        <v>4</v>
      </c>
    </row>
    <row r="210" ht="32" customHeight="1">
      <c r="A210" s="146" t="str">
        <v>CONG</v>
      </c>
      <c r="B210" s="146" t="str">
        <v>2025</v>
      </c>
      <c r="C210" s="146" t="str">
        <v>1</v>
      </c>
      <c r="D210" s="146" t="str">
        <v>ELIMINADO</v>
      </c>
      <c r="E210" s="146" t="str">
        <v>24 - CAMBIO DE CARRERA</v>
      </c>
      <c r="F210" s="146" t="n">
        <v>1</v>
      </c>
    </row>
    <row r="211" ht="32" customHeight="1">
      <c r="A211" s="146" t="str">
        <v>CONG</v>
      </c>
      <c r="B211" s="146" t="str">
        <v>2025</v>
      </c>
      <c r="C211" s="146" t="str">
        <v>1</v>
      </c>
      <c r="D211" s="146" t="str">
        <v>SUSPENDIDO</v>
      </c>
      <c r="E211" s="146" t="str">
        <v>2 - SUSPENSIÓN TEMPORAL</v>
      </c>
      <c r="F211" s="146" t="n">
        <v>1</v>
      </c>
    </row>
    <row r="212" ht="32" customHeight="1">
      <c r="A212" s="146" t="str">
        <v>CONG</v>
      </c>
      <c r="B212" s="146" t="str">
        <v>2025</v>
      </c>
      <c r="C212" s="146" t="str">
        <v>1</v>
      </c>
      <c r="D212" s="146" t="str">
        <v>VIGENTE</v>
      </c>
      <c r="E212" s="146" t="str">
        <v>1 - ALUMNO REGULAR</v>
      </c>
      <c r="F212" s="146" t="n">
        <v>10</v>
      </c>
    </row>
    <row r="213" ht="32" customHeight="1">
      <c r="A213" s="146" t="str">
        <v>CONG</v>
      </c>
      <c r="B213" s="146" t="str">
        <v>2025</v>
      </c>
      <c r="C213" s="146" t="str">
        <v>1</v>
      </c>
      <c r="D213" s="146" t="str">
        <v>VIGENTE</v>
      </c>
      <c r="E213" s="146" t="str">
        <v>20 - VIGENTE SIN ACTIVIDAD ACADEMICA</v>
      </c>
      <c r="F213" s="146" t="n">
        <v>12</v>
      </c>
    </row>
    <row r="214" ht="32" customHeight="1">
      <c r="A214" s="146" t="str">
        <v>CONG</v>
      </c>
      <c r="B214" s="146" t="str">
        <v>2026</v>
      </c>
      <c r="C214" s="146" t="str">
        <v>1</v>
      </c>
      <c r="D214" s="146" t="str">
        <v>ELIMINADO</v>
      </c>
      <c r="E214" s="146" t="str">
        <v>11 - RENUNCIA POST INICIO CLASES</v>
      </c>
      <c r="F214" s="146" t="n">
        <v>5</v>
      </c>
    </row>
    <row r="215" ht="32" customHeight="1">
      <c r="A215" s="146" t="str">
        <v>CONG</v>
      </c>
      <c r="B215" s="146" t="str">
        <v>2026</v>
      </c>
      <c r="C215" s="146" t="str">
        <v>1</v>
      </c>
      <c r="D215" s="146" t="str">
        <v>ELIMINADO</v>
      </c>
      <c r="E215" s="146" t="str">
        <v>23 - RETIRO - RETRACTO</v>
      </c>
      <c r="F215" s="146" t="n">
        <v>6</v>
      </c>
    </row>
    <row r="216" ht="32" customHeight="1">
      <c r="A216" s="146" t="str">
        <v>CONG</v>
      </c>
      <c r="B216" s="146" t="str">
        <v>2026</v>
      </c>
      <c r="C216" s="146" t="str">
        <v>1</v>
      </c>
      <c r="D216" s="146" t="str">
        <v>ELIMINADO</v>
      </c>
      <c r="E216" s="146" t="str">
        <v>8 - ELIMINADO SIN ACTIVIDAD ACADÉMICA</v>
      </c>
      <c r="F216" s="146" t="n">
        <v>14</v>
      </c>
    </row>
    <row r="217" ht="32" customHeight="1">
      <c r="A217" s="146" t="str">
        <v>CONG</v>
      </c>
      <c r="B217" s="146" t="str">
        <v>2026</v>
      </c>
      <c r="C217" s="146" t="str">
        <v>1</v>
      </c>
      <c r="D217" s="146" t="str">
        <v>VIGENTE</v>
      </c>
      <c r="E217" s="146" t="str">
        <v>1 - ALUMNO REGULAR</v>
      </c>
      <c r="F217" s="146" t="n">
        <v>46</v>
      </c>
    </row>
    <row r="218" ht="32" customHeight="1">
      <c r="A218" s="146" t="str">
        <v>CONG</v>
      </c>
      <c r="B218" s="146" t="str">
        <v>2026</v>
      </c>
      <c r="C218" s="146" t="str">
        <v>2</v>
      </c>
      <c r="D218" s="146" t="str">
        <v>ELIMINADO</v>
      </c>
      <c r="E218" s="146" t="str">
        <v>11 - RENUNCIA POST INICIO CLASES</v>
      </c>
      <c r="F218" s="146" t="n">
        <v>2</v>
      </c>
    </row>
    <row r="219" ht="32" customHeight="1">
      <c r="A219" s="146" t="str">
        <v>CONG</v>
      </c>
      <c r="B219" s="146" t="str">
        <v>2026</v>
      </c>
      <c r="C219" s="146" t="str">
        <v>2</v>
      </c>
      <c r="D219" s="146" t="str">
        <v>ELIMINADO</v>
      </c>
      <c r="E219" s="146" t="str">
        <v>23 - RETIRO - RETRACTO</v>
      </c>
      <c r="F219" s="146" t="n">
        <v>2</v>
      </c>
    </row>
    <row r="220" ht="32" customHeight="1">
      <c r="A220" s="146" t="str">
        <v>CONG</v>
      </c>
      <c r="B220" s="146" t="str">
        <v>2026</v>
      </c>
      <c r="C220" s="146" t="str">
        <v>2</v>
      </c>
      <c r="D220" s="146" t="str">
        <v>ELIMINADO</v>
      </c>
      <c r="E220" s="146" t="str">
        <v>24 - CAMBIO DE CARRERA</v>
      </c>
      <c r="F220" s="146" t="n">
        <v>1</v>
      </c>
    </row>
    <row r="221" ht="32" customHeight="1">
      <c r="A221" s="146" t="str">
        <v>CONG</v>
      </c>
      <c r="B221" s="146" t="str">
        <v>2026</v>
      </c>
      <c r="C221" s="146" t="str">
        <v>2</v>
      </c>
      <c r="D221" s="146" t="str">
        <v>VIGENTE</v>
      </c>
      <c r="E221" s="146" t="str">
        <v>1 - ALUMNO REGULAR</v>
      </c>
      <c r="F221" s="146" t="n">
        <v>23</v>
      </c>
    </row>
    <row r="222" ht="32" customHeight="1">
      <c r="A222" s="146" t="str">
        <v>CONG</v>
      </c>
      <c r="B222" s="146" t="str">
        <v>2027</v>
      </c>
      <c r="C222" s="146" t="str">
        <v>1</v>
      </c>
      <c r="D222" s="146" t="str">
        <v>VIGENTE</v>
      </c>
      <c r="E222" s="146" t="str">
        <v>1 - ALUMNO REGULAR</v>
      </c>
      <c r="F222" s="146" t="n">
        <v>6</v>
      </c>
    </row>
    <row r="223" ht="32" customHeight="1">
      <c r="A223" s="146" t="str">
        <v>COTCONSSP</v>
      </c>
      <c r="B223" s="146" t="str">
        <v>2027</v>
      </c>
      <c r="C223" s="146" t="str">
        <v>1</v>
      </c>
      <c r="D223" s="146" t="str">
        <v>VIGENTE</v>
      </c>
      <c r="E223" s="146" t="str">
        <v>1 - ALUMNO REGULAR</v>
      </c>
      <c r="F223" s="146" t="n">
        <v>1</v>
      </c>
    </row>
    <row r="224" ht="32" customHeight="1">
      <c r="A224" s="146" t="str">
        <v>COTEIQ</v>
      </c>
      <c r="B224" s="146" t="str">
        <v>2026</v>
      </c>
      <c r="C224" s="146" t="str">
        <v>1</v>
      </c>
      <c r="D224" s="146" t="str">
        <v>ELIMINADO</v>
      </c>
      <c r="E224" s="146" t="str">
        <v>11 - RENUNCIA POST INICIO CLASES</v>
      </c>
      <c r="F224" s="146" t="n">
        <v>5</v>
      </c>
    </row>
    <row r="225" ht="32" customHeight="1">
      <c r="A225" s="146" t="str">
        <v>COTEIQ</v>
      </c>
      <c r="B225" s="146" t="str">
        <v>2026</v>
      </c>
      <c r="C225" s="146" t="str">
        <v>1</v>
      </c>
      <c r="D225" s="146" t="str">
        <v>ELIMINADO</v>
      </c>
      <c r="E225" s="146" t="str">
        <v>23 - RETIRO - RETRACTO</v>
      </c>
      <c r="F225" s="146" t="n">
        <v>4</v>
      </c>
    </row>
    <row r="226" ht="32" customHeight="1">
      <c r="A226" s="146" t="str">
        <v>COTEIQ</v>
      </c>
      <c r="B226" s="146" t="str">
        <v>2026</v>
      </c>
      <c r="C226" s="146" t="str">
        <v>1</v>
      </c>
      <c r="D226" s="146" t="str">
        <v>ELIMINADO</v>
      </c>
      <c r="E226" s="146" t="str">
        <v>24 - CAMBIO DE CARRERA</v>
      </c>
      <c r="F226" s="146" t="n">
        <v>2</v>
      </c>
    </row>
    <row r="227" ht="32" customHeight="1">
      <c r="A227" s="146" t="str">
        <v>COTEIQ</v>
      </c>
      <c r="B227" s="146" t="str">
        <v>2026</v>
      </c>
      <c r="C227" s="146" t="str">
        <v>1</v>
      </c>
      <c r="D227" s="146" t="str">
        <v>ELIMINADO</v>
      </c>
      <c r="E227" s="146" t="str">
        <v>8 - ELIMINADO SIN ACTIVIDAD ACADÉMICA</v>
      </c>
      <c r="F227" s="146" t="n">
        <v>1</v>
      </c>
    </row>
    <row r="228" ht="32" customHeight="1">
      <c r="A228" s="146" t="str">
        <v>COTEIQ</v>
      </c>
      <c r="B228" s="146" t="str">
        <v>2026</v>
      </c>
      <c r="C228" s="146" t="str">
        <v>1</v>
      </c>
      <c r="D228" s="146" t="str">
        <v>VIGENTE</v>
      </c>
      <c r="E228" s="146" t="str">
        <v>1 - ALUMNO REGULAR</v>
      </c>
      <c r="F228" s="146" t="n">
        <v>34</v>
      </c>
    </row>
    <row r="229" ht="32" customHeight="1">
      <c r="A229" s="146" t="str">
        <v>COTEIQ</v>
      </c>
      <c r="B229" s="146" t="str">
        <v>2026</v>
      </c>
      <c r="C229" s="146" t="str">
        <v>2</v>
      </c>
      <c r="D229" s="146" t="str">
        <v>ELIMINADO</v>
      </c>
      <c r="E229" s="146" t="str">
        <v>23 - RETIRO - RETRACTO</v>
      </c>
      <c r="F229" s="146" t="n">
        <v>4</v>
      </c>
    </row>
    <row r="230" ht="32" customHeight="1">
      <c r="A230" s="146" t="str">
        <v>COTEIQ</v>
      </c>
      <c r="B230" s="146" t="str">
        <v>2026</v>
      </c>
      <c r="C230" s="146" t="str">
        <v>2</v>
      </c>
      <c r="D230" s="146" t="str">
        <v>VIGENTE</v>
      </c>
      <c r="E230" s="146" t="str">
        <v>1 - ALUMNO REGULAR</v>
      </c>
      <c r="F230" s="146" t="n">
        <v>2</v>
      </c>
    </row>
    <row r="231" ht="32" customHeight="1">
      <c r="A231" s="146" t="str">
        <v>COTEIQ</v>
      </c>
      <c r="B231" s="146" t="str">
        <v>2027</v>
      </c>
      <c r="C231" s="146" t="str">
        <v>1</v>
      </c>
      <c r="D231" s="146" t="str">
        <v>VIGENTE</v>
      </c>
      <c r="E231" s="146" t="str">
        <v>1 - ALUMNO REGULAR</v>
      </c>
      <c r="F231" s="146" t="n">
        <v>8</v>
      </c>
    </row>
    <row r="232" ht="32" customHeight="1">
      <c r="A232" s="146" t="str">
        <v>COTELECSP</v>
      </c>
      <c r="B232" s="146" t="str">
        <v>2027</v>
      </c>
      <c r="C232" s="146" t="str">
        <v>1</v>
      </c>
      <c r="D232" s="146" t="str">
        <v>VIGENTE</v>
      </c>
      <c r="E232" s="146" t="str">
        <v>1 - ALUMNO REGULAR</v>
      </c>
      <c r="F232" s="146" t="n">
        <v>3</v>
      </c>
    </row>
    <row r="233" ht="32" customHeight="1">
      <c r="A233" s="146" t="str">
        <v>COTENS</v>
      </c>
      <c r="B233" s="146" t="str">
        <v>2026</v>
      </c>
      <c r="C233" s="146" t="str">
        <v>1</v>
      </c>
      <c r="D233" s="146" t="str">
        <v>ELIMINADO</v>
      </c>
      <c r="E233" s="146" t="str">
        <v>11 - RENUNCIA POST INICIO CLASES</v>
      </c>
      <c r="F233" s="146" t="n">
        <v>6</v>
      </c>
    </row>
    <row r="234" ht="32" customHeight="1">
      <c r="A234" s="146" t="str">
        <v>COTENS</v>
      </c>
      <c r="B234" s="146" t="str">
        <v>2026</v>
      </c>
      <c r="C234" s="146" t="str">
        <v>1</v>
      </c>
      <c r="D234" s="146" t="str">
        <v>ELIMINADO</v>
      </c>
      <c r="E234" s="146" t="str">
        <v>23 - RETIRO - RETRACTO</v>
      </c>
      <c r="F234" s="146" t="n">
        <v>8</v>
      </c>
    </row>
    <row r="235" ht="32" customHeight="1">
      <c r="A235" s="146" t="str">
        <v>COTENS</v>
      </c>
      <c r="B235" s="146" t="str">
        <v>2026</v>
      </c>
      <c r="C235" s="146" t="str">
        <v>1</v>
      </c>
      <c r="D235" s="146" t="str">
        <v>ELIMINADO</v>
      </c>
      <c r="E235" s="146" t="str">
        <v>24 - CAMBIO DE CARRERA</v>
      </c>
      <c r="F235" s="146" t="n">
        <v>2</v>
      </c>
    </row>
    <row r="236" ht="32" customHeight="1">
      <c r="A236" s="146" t="str">
        <v>COTENS</v>
      </c>
      <c r="B236" s="146" t="str">
        <v>2026</v>
      </c>
      <c r="C236" s="146" t="str">
        <v>1</v>
      </c>
      <c r="D236" s="146" t="str">
        <v>ELIMINADO</v>
      </c>
      <c r="E236" s="146" t="str">
        <v>8 - ELIMINADO SIN ACTIVIDAD ACADÉMICA</v>
      </c>
      <c r="F236" s="146" t="n">
        <v>1</v>
      </c>
    </row>
    <row r="237" ht="32" customHeight="1">
      <c r="A237" s="146" t="str">
        <v>COTENS</v>
      </c>
      <c r="B237" s="146" t="str">
        <v>2026</v>
      </c>
      <c r="C237" s="146" t="str">
        <v>1</v>
      </c>
      <c r="D237" s="146" t="str">
        <v>VIGENTE</v>
      </c>
      <c r="E237" s="146" t="str">
        <v>1 - ALUMNO REGULAR</v>
      </c>
      <c r="F237" s="146" t="n">
        <v>11</v>
      </c>
    </row>
    <row r="238" ht="32" customHeight="1">
      <c r="A238" s="146" t="str">
        <v>COTENS</v>
      </c>
      <c r="B238" s="146" t="str">
        <v>2026</v>
      </c>
      <c r="C238" s="146" t="str">
        <v>2</v>
      </c>
      <c r="D238" s="146" t="str">
        <v>ELIMINADO</v>
      </c>
      <c r="E238" s="146" t="str">
        <v>23 - RETIRO - RETRACTO</v>
      </c>
      <c r="F238" s="146" t="n">
        <v>1</v>
      </c>
    </row>
    <row r="239" ht="32" customHeight="1">
      <c r="A239" s="146" t="str">
        <v>COTENS</v>
      </c>
      <c r="B239" s="146" t="str">
        <v>2026</v>
      </c>
      <c r="C239" s="146" t="str">
        <v>2</v>
      </c>
      <c r="D239" s="146" t="str">
        <v>VIGENTE</v>
      </c>
      <c r="E239" s="146" t="str">
        <v>1 - ALUMNO REGULAR</v>
      </c>
      <c r="F239" s="146" t="n">
        <v>1</v>
      </c>
    </row>
    <row r="240" ht="32" customHeight="1">
      <c r="A240" s="146" t="str">
        <v>COTENS</v>
      </c>
      <c r="B240" s="146" t="str">
        <v>2027</v>
      </c>
      <c r="C240" s="146" t="str">
        <v>1</v>
      </c>
      <c r="D240" s="146" t="str">
        <v>ELIMINADO</v>
      </c>
      <c r="E240" s="146" t="str">
        <v>23 - RETIRO - RETRACTO</v>
      </c>
      <c r="F240" s="146" t="n">
        <v>1</v>
      </c>
    </row>
    <row r="241" ht="32" customHeight="1">
      <c r="A241" s="146" t="str">
        <v>COTENS</v>
      </c>
      <c r="B241" s="146" t="str">
        <v>2027</v>
      </c>
      <c r="C241" s="146" t="str">
        <v>1</v>
      </c>
      <c r="D241" s="146" t="str">
        <v>VIGENTE</v>
      </c>
      <c r="E241" s="146" t="str">
        <v>1 - ALUMNO REGULAR</v>
      </c>
      <c r="F241" s="146" t="n">
        <v>3</v>
      </c>
    </row>
    <row r="242" ht="32" customHeight="1">
      <c r="A242" s="146" t="str">
        <v>COTENSSP</v>
      </c>
      <c r="B242" s="146" t="str">
        <v>2027</v>
      </c>
      <c r="C242" s="146" t="str">
        <v>1</v>
      </c>
      <c r="D242" s="146" t="str">
        <v>VIGENTE</v>
      </c>
      <c r="E242" s="146" t="str">
        <v>1 - ALUMNO REGULAR</v>
      </c>
      <c r="F242" s="146" t="n">
        <v>2</v>
      </c>
    </row>
    <row r="243" ht="32" customHeight="1">
      <c r="A243" s="146" t="str">
        <v>COTFAR</v>
      </c>
      <c r="B243" s="146" t="str">
        <v>2026</v>
      </c>
      <c r="C243" s="146" t="str">
        <v>1</v>
      </c>
      <c r="D243" s="146" t="str">
        <v>ELIMINADO</v>
      </c>
      <c r="E243" s="146" t="str">
        <v>11 - RENUNCIA POST INICIO CLASES</v>
      </c>
      <c r="F243" s="146" t="n">
        <v>3</v>
      </c>
    </row>
    <row r="244" ht="32" customHeight="1">
      <c r="A244" s="146" t="str">
        <v>COTFAR</v>
      </c>
      <c r="B244" s="146" t="str">
        <v>2026</v>
      </c>
      <c r="C244" s="146" t="str">
        <v>1</v>
      </c>
      <c r="D244" s="146" t="str">
        <v>ELIMINADO</v>
      </c>
      <c r="E244" s="146" t="str">
        <v>23 - RETIRO - RETRACTO</v>
      </c>
      <c r="F244" s="146" t="n">
        <v>6</v>
      </c>
    </row>
    <row r="245" ht="32" customHeight="1">
      <c r="A245" s="146" t="str">
        <v>COTFAR</v>
      </c>
      <c r="B245" s="146" t="str">
        <v>2026</v>
      </c>
      <c r="C245" s="146" t="str">
        <v>1</v>
      </c>
      <c r="D245" s="146" t="str">
        <v>ELIMINADO</v>
      </c>
      <c r="E245" s="146" t="str">
        <v>8 - ELIMINADO SIN ACTIVIDAD ACADÉMICA</v>
      </c>
      <c r="F245" s="146" t="n">
        <v>2</v>
      </c>
    </row>
    <row r="246" ht="32" customHeight="1">
      <c r="A246" s="146" t="str">
        <v>COTFAR</v>
      </c>
      <c r="B246" s="146" t="str">
        <v>2026</v>
      </c>
      <c r="C246" s="146" t="str">
        <v>1</v>
      </c>
      <c r="D246" s="146" t="str">
        <v>VIGENTE</v>
      </c>
      <c r="E246" s="146" t="str">
        <v>1 - ALUMNO REGULAR</v>
      </c>
      <c r="F246" s="146" t="n">
        <v>17</v>
      </c>
    </row>
    <row r="247" ht="32" customHeight="1">
      <c r="A247" s="146" t="str">
        <v>COTFARSP</v>
      </c>
      <c r="B247" s="146" t="str">
        <v>2027</v>
      </c>
      <c r="C247" s="146" t="str">
        <v>1</v>
      </c>
      <c r="D247" s="146" t="str">
        <v>VIGENTE</v>
      </c>
      <c r="E247" s="146" t="str">
        <v>1 - ALUMNO REGULAR</v>
      </c>
      <c r="F247" s="146" t="n">
        <v>1</v>
      </c>
    </row>
    <row r="248" ht="32" customHeight="1">
      <c r="A248" s="146" t="str">
        <v>COTIMAGSP</v>
      </c>
      <c r="B248" s="146" t="str">
        <v>2027</v>
      </c>
      <c r="C248" s="146" t="str">
        <v>1</v>
      </c>
      <c r="D248" s="146" t="str">
        <v>VIGENTE</v>
      </c>
      <c r="E248" s="146" t="str">
        <v>1 - ALUMNO REGULAR</v>
      </c>
      <c r="F248" s="146" t="n">
        <v>1</v>
      </c>
    </row>
    <row r="249" ht="32" customHeight="1">
      <c r="A249" s="146" t="str">
        <v>COTVETSP</v>
      </c>
      <c r="B249" s="146" t="str">
        <v>2027</v>
      </c>
      <c r="C249" s="146" t="str">
        <v>1</v>
      </c>
      <c r="D249" s="146" t="str">
        <v>VIGENTE</v>
      </c>
      <c r="E249" s="146" t="str">
        <v>1 - ALUMNO REGULAR</v>
      </c>
      <c r="F249" s="146" t="n">
        <v>11</v>
      </c>
    </row>
    <row r="250" ht="32" customHeight="1">
      <c r="A250" s="146" t="str">
        <v>DACD</v>
      </c>
      <c r="B250" s="146" t="str">
        <v>2025</v>
      </c>
      <c r="C250" s="146" t="str">
        <v>1</v>
      </c>
      <c r="D250" s="146" t="str">
        <v>ELIMINADO</v>
      </c>
      <c r="E250" s="146" t="str">
        <v>15 - REPRUEBA PROGRAMA EC</v>
      </c>
      <c r="F250" s="146" t="n">
        <v>3</v>
      </c>
    </row>
    <row r="251" ht="32" customHeight="1">
      <c r="A251" s="146" t="str">
        <v>DACD</v>
      </c>
      <c r="B251" s="146" t="str">
        <v>2025</v>
      </c>
      <c r="C251" s="146" t="str">
        <v>3</v>
      </c>
      <c r="D251" s="146" t="str">
        <v>EGRESADO</v>
      </c>
      <c r="E251" s="146" t="str">
        <v>14 - APRUEBA PROGRAMA EC</v>
      </c>
      <c r="F251" s="146" t="n">
        <v>7</v>
      </c>
    </row>
    <row r="252" ht="32" customHeight="1">
      <c r="A252" s="146" t="str">
        <v>DACD</v>
      </c>
      <c r="B252" s="146" t="str">
        <v>2025</v>
      </c>
      <c r="C252" s="146" t="str">
        <v>3</v>
      </c>
      <c r="D252" s="146" t="str">
        <v>ELIMINADO</v>
      </c>
      <c r="E252" s="146" t="str">
        <v>11 - RENUNCIA POST INICIO CLASES</v>
      </c>
      <c r="F252" s="146" t="n">
        <v>1</v>
      </c>
    </row>
    <row r="253" ht="32" customHeight="1">
      <c r="A253" s="146" t="str">
        <v>DACD</v>
      </c>
      <c r="B253" s="146" t="str">
        <v>2025</v>
      </c>
      <c r="C253" s="146" t="str">
        <v>3</v>
      </c>
      <c r="D253" s="146" t="str">
        <v>ELIMINADO</v>
      </c>
      <c r="E253" s="146" t="str">
        <v>15 - REPRUEBA PROGRAMA EC</v>
      </c>
      <c r="F253" s="146" t="n">
        <v>2</v>
      </c>
    </row>
    <row r="254" ht="32" customHeight="1">
      <c r="A254" s="146" t="str">
        <v>DACD</v>
      </c>
      <c r="B254" s="146" t="str">
        <v>2026</v>
      </c>
      <c r="C254" s="146" t="str">
        <v>2</v>
      </c>
      <c r="D254" s="146" t="str">
        <v>VIGENTE</v>
      </c>
      <c r="E254" s="146" t="str">
        <v>1 - ALUMNO REGULAR</v>
      </c>
      <c r="F254" s="146" t="n">
        <v>11</v>
      </c>
    </row>
    <row r="255" ht="32" customHeight="1">
      <c r="A255" s="146" t="str">
        <v>DACD</v>
      </c>
      <c r="B255" s="146" t="str">
        <v>2026</v>
      </c>
      <c r="C255" s="146" t="str">
        <v>3</v>
      </c>
      <c r="D255" s="146" t="str">
        <v>VIGENTE</v>
      </c>
      <c r="E255" s="146" t="str">
        <v>1 - ALUMNO REGULAR</v>
      </c>
      <c r="F255" s="146" t="n">
        <v>6</v>
      </c>
    </row>
    <row r="256" ht="32" customHeight="1">
      <c r="A256" s="146" t="str">
        <v>DAPB</v>
      </c>
      <c r="B256" s="146" t="str">
        <v>2025</v>
      </c>
      <c r="C256" s="146" t="str">
        <v>3</v>
      </c>
      <c r="D256" s="146" t="str">
        <v>VIGENTE</v>
      </c>
      <c r="E256" s="146" t="str">
        <v>1 - ALUMNO REGULAR</v>
      </c>
      <c r="F256" s="146" t="n">
        <v>2</v>
      </c>
    </row>
    <row r="257" ht="32" customHeight="1">
      <c r="A257" s="146" t="str">
        <v>DCBS</v>
      </c>
      <c r="B257" s="146" t="str">
        <v>2025</v>
      </c>
      <c r="C257" s="146" t="str">
        <v>1</v>
      </c>
      <c r="D257" s="146" t="str">
        <v>EGRESADO</v>
      </c>
      <c r="E257" s="146" t="str">
        <v>14 - APRUEBA PROGRAMA EC</v>
      </c>
      <c r="F257" s="146" t="n">
        <v>6</v>
      </c>
    </row>
    <row r="258" ht="32" customHeight="1">
      <c r="A258" s="146" t="str">
        <v>DCBS</v>
      </c>
      <c r="B258" s="146" t="str">
        <v>2025</v>
      </c>
      <c r="C258" s="146" t="str">
        <v>3</v>
      </c>
      <c r="D258" s="146" t="str">
        <v>ELIMINADO</v>
      </c>
      <c r="E258" s="146" t="str">
        <v>15 - REPRUEBA PROGRAMA EC</v>
      </c>
      <c r="F258" s="146" t="n">
        <v>2</v>
      </c>
    </row>
    <row r="259" ht="32" customHeight="1">
      <c r="A259" s="146" t="str">
        <v>DCBS</v>
      </c>
      <c r="B259" s="146" t="str">
        <v>2025</v>
      </c>
      <c r="C259" s="146" t="str">
        <v>3</v>
      </c>
      <c r="D259" s="146" t="str">
        <v>ELIMINADO</v>
      </c>
      <c r="E259" s="146" t="str">
        <v>23 - RETIRO - RETRACTO</v>
      </c>
      <c r="F259" s="146" t="n">
        <v>1</v>
      </c>
    </row>
    <row r="260" ht="32" customHeight="1">
      <c r="A260" s="146" t="str">
        <v>DCBS</v>
      </c>
      <c r="B260" s="146" t="str">
        <v>2026</v>
      </c>
      <c r="C260" s="146" t="str">
        <v>1</v>
      </c>
      <c r="D260" s="146" t="str">
        <v>EGRESADO</v>
      </c>
      <c r="E260" s="146" t="str">
        <v>14 - APRUEBA PROGRAMA EC</v>
      </c>
      <c r="F260" s="146" t="n">
        <v>16</v>
      </c>
    </row>
    <row r="261" ht="32" customHeight="1">
      <c r="A261" s="146" t="str">
        <v>DCBS</v>
      </c>
      <c r="B261" s="146" t="str">
        <v>2026</v>
      </c>
      <c r="C261" s="146" t="str">
        <v>1</v>
      </c>
      <c r="D261" s="146" t="str">
        <v>ELIMINADO</v>
      </c>
      <c r="E261" s="146" t="str">
        <v>11 - RENUNCIA POST INICIO CLASES</v>
      </c>
      <c r="F261" s="146" t="n">
        <v>2</v>
      </c>
    </row>
    <row r="262" ht="32" customHeight="1">
      <c r="A262" s="146" t="str">
        <v>DCBS</v>
      </c>
      <c r="B262" s="146" t="str">
        <v>2026</v>
      </c>
      <c r="C262" s="146" t="str">
        <v>2</v>
      </c>
      <c r="D262" s="146" t="str">
        <v>ELIMINADO</v>
      </c>
      <c r="E262" s="146" t="str">
        <v>23 - RETIRO - RETRACTO</v>
      </c>
      <c r="F262" s="146" t="n">
        <v>1</v>
      </c>
    </row>
    <row r="263" ht="32" customHeight="1">
      <c r="A263" s="146" t="str">
        <v>DCBS</v>
      </c>
      <c r="B263" s="146" t="str">
        <v>2026</v>
      </c>
      <c r="C263" s="146" t="str">
        <v>2</v>
      </c>
      <c r="D263" s="146" t="str">
        <v>VIGENTE</v>
      </c>
      <c r="E263" s="146" t="str">
        <v>1 - ALUMNO REGULAR</v>
      </c>
      <c r="F263" s="146" t="n">
        <v>9</v>
      </c>
    </row>
    <row r="264" ht="32" customHeight="1">
      <c r="A264" s="146" t="str">
        <v>DCBS</v>
      </c>
      <c r="B264" s="146" t="str">
        <v>2026</v>
      </c>
      <c r="C264" s="146" t="str">
        <v>3</v>
      </c>
      <c r="D264" s="146" t="str">
        <v>VIGENTE</v>
      </c>
      <c r="E264" s="146" t="str">
        <v>1 - ALUMNO REGULAR</v>
      </c>
      <c r="F264" s="146" t="n">
        <v>5</v>
      </c>
    </row>
    <row r="265" ht="32" customHeight="1">
      <c r="A265" s="146" t="str">
        <v>DCID</v>
      </c>
      <c r="B265" s="146" t="str">
        <v>2026</v>
      </c>
      <c r="C265" s="146" t="str">
        <v>3</v>
      </c>
      <c r="D265" s="146" t="str">
        <v>VIGENTE</v>
      </c>
      <c r="E265" s="146" t="str">
        <v>1 - ALUMNO REGULAR</v>
      </c>
      <c r="F265" s="146" t="n">
        <v>2</v>
      </c>
    </row>
    <row r="266" ht="32" customHeight="1">
      <c r="A266" s="146" t="str">
        <v>DCPTS</v>
      </c>
      <c r="B266" s="146" t="str">
        <v>2026</v>
      </c>
      <c r="C266" s="146" t="str">
        <v>3</v>
      </c>
      <c r="D266" s="146" t="str">
        <v>VIGENTE</v>
      </c>
      <c r="E266" s="146" t="str">
        <v>1 - ALUMNO REGULAR</v>
      </c>
      <c r="F266" s="146" t="n">
        <v>4</v>
      </c>
    </row>
    <row r="267" ht="32" customHeight="1">
      <c r="A267" s="146" t="str">
        <v>DCSARE</v>
      </c>
      <c r="B267" s="146" t="str">
        <v>2019</v>
      </c>
      <c r="C267" s="146" t="str">
        <v>1</v>
      </c>
      <c r="D267" s="146" t="str">
        <v>ELIMINADO</v>
      </c>
      <c r="E267" s="146" t="str">
        <v>1 - ALUMNO REGULAR</v>
      </c>
      <c r="F267" s="146" t="n">
        <v>16</v>
      </c>
    </row>
    <row r="268" ht="32" customHeight="1">
      <c r="A268" s="146" t="str">
        <v>DCSARE</v>
      </c>
      <c r="B268" s="146" t="str">
        <v>2019</v>
      </c>
      <c r="C268" s="146" t="str">
        <v>2</v>
      </c>
      <c r="D268" s="146" t="str">
        <v>ELIMINADO</v>
      </c>
      <c r="E268" s="146" t="str">
        <v>1 - ALUMNO REGULAR</v>
      </c>
      <c r="F268" s="146" t="n">
        <v>9</v>
      </c>
    </row>
    <row r="269" ht="32" customHeight="1">
      <c r="A269" s="146" t="str">
        <v>DCSARE</v>
      </c>
      <c r="B269" s="146" t="str">
        <v>2020</v>
      </c>
      <c r="C269" s="146" t="str">
        <v>1</v>
      </c>
      <c r="D269" s="146" t="str">
        <v>ELIMINADO</v>
      </c>
      <c r="E269" s="146" t="str">
        <v>3 - ELIMINACION AUTOMATICA</v>
      </c>
      <c r="F269" s="146" t="n">
        <v>5</v>
      </c>
    </row>
    <row r="270" ht="32" customHeight="1">
      <c r="A270" s="146" t="str">
        <v>DCSI</v>
      </c>
      <c r="B270" s="146" t="str">
        <v>2025</v>
      </c>
      <c r="C270" s="146" t="str">
        <v>1</v>
      </c>
      <c r="D270" s="146" t="str">
        <v>ELIMINADO</v>
      </c>
      <c r="E270" s="146" t="str">
        <v>23 - RETIRO - RETRACTO</v>
      </c>
      <c r="F270" s="146" t="n">
        <v>4</v>
      </c>
    </row>
    <row r="271" ht="32" customHeight="1">
      <c r="A271" s="146" t="str">
        <v>DCSI</v>
      </c>
      <c r="B271" s="146" t="str">
        <v>2025</v>
      </c>
      <c r="C271" s="146" t="str">
        <v>2</v>
      </c>
      <c r="D271" s="146" t="str">
        <v>ELIMINADO</v>
      </c>
      <c r="E271" s="146" t="str">
        <v>23 - RETIRO - RETRACTO</v>
      </c>
      <c r="F271" s="146" t="n">
        <v>1</v>
      </c>
    </row>
    <row r="272" ht="32" customHeight="1">
      <c r="A272" s="146" t="str">
        <v>DDASC</v>
      </c>
      <c r="B272" s="146" t="str">
        <v>2026</v>
      </c>
      <c r="C272" s="146" t="str">
        <v>1</v>
      </c>
      <c r="D272" s="146" t="str">
        <v>EGRESADO</v>
      </c>
      <c r="E272" s="146" t="str">
        <v>14 - APRUEBA PROGRAMA EC</v>
      </c>
      <c r="F272" s="146" t="n">
        <v>7</v>
      </c>
    </row>
    <row r="273" ht="32" customHeight="1">
      <c r="A273" s="146" t="str">
        <v>DDASC</v>
      </c>
      <c r="B273" s="146" t="str">
        <v>2026</v>
      </c>
      <c r="C273" s="146" t="str">
        <v>1</v>
      </c>
      <c r="D273" s="146" t="str">
        <v>ELIMINADO</v>
      </c>
      <c r="E273" s="146" t="str">
        <v>15 - REPRUEBA PROGRAMA EC</v>
      </c>
      <c r="F273" s="146" t="n">
        <v>3</v>
      </c>
    </row>
    <row r="274" ht="32" customHeight="1">
      <c r="A274" s="146" t="str">
        <v>DDASC</v>
      </c>
      <c r="B274" s="146" t="str">
        <v>2026</v>
      </c>
      <c r="C274" s="146" t="str">
        <v>1</v>
      </c>
      <c r="D274" s="146" t="str">
        <v>ELIMINADO</v>
      </c>
      <c r="E274" s="146" t="str">
        <v>23 - RETIRO - RETRACTO</v>
      </c>
      <c r="F274" s="146" t="n">
        <v>1</v>
      </c>
    </row>
    <row r="275" ht="32" customHeight="1">
      <c r="A275" s="146" t="str">
        <v>DDSC</v>
      </c>
      <c r="B275" s="146" t="str">
        <v>2025</v>
      </c>
      <c r="C275" s="146" t="str">
        <v>1</v>
      </c>
      <c r="D275" s="146" t="str">
        <v>ELIMINADO</v>
      </c>
      <c r="E275" s="146" t="str">
        <v>15 - REPRUEBA PROGRAMA EC</v>
      </c>
      <c r="F275" s="146" t="n">
        <v>2</v>
      </c>
    </row>
    <row r="276" ht="32" customHeight="1">
      <c r="A276" s="146" t="str">
        <v>DDSC</v>
      </c>
      <c r="B276" s="146" t="str">
        <v>2025</v>
      </c>
      <c r="C276" s="146" t="str">
        <v>1</v>
      </c>
      <c r="D276" s="146" t="str">
        <v>ELIMINADO</v>
      </c>
      <c r="E276" s="146" t="str">
        <v>23 - RETIRO - RETRACTO</v>
      </c>
      <c r="F276" s="146" t="n">
        <v>1</v>
      </c>
    </row>
    <row r="277" ht="32" customHeight="1">
      <c r="A277" s="146" t="str">
        <v>DDSC</v>
      </c>
      <c r="B277" s="146" t="str">
        <v>2025</v>
      </c>
      <c r="C277" s="146" t="str">
        <v>2</v>
      </c>
      <c r="D277" s="146" t="str">
        <v>ELIMINADO</v>
      </c>
      <c r="E277" s="146" t="str">
        <v>15 - REPRUEBA PROGRAMA EC</v>
      </c>
      <c r="F277" s="146" t="n">
        <v>4</v>
      </c>
    </row>
    <row r="278" ht="32" customHeight="1">
      <c r="A278" s="146" t="str">
        <v>DDSC</v>
      </c>
      <c r="B278" s="146" t="str">
        <v>2025</v>
      </c>
      <c r="C278" s="146" t="str">
        <v>2</v>
      </c>
      <c r="D278" s="146" t="str">
        <v>ELIMINADO</v>
      </c>
      <c r="E278" s="146" t="str">
        <v>23 - RETIRO - RETRACTO</v>
      </c>
      <c r="F278" s="146" t="n">
        <v>1</v>
      </c>
    </row>
    <row r="279" ht="32" customHeight="1">
      <c r="A279" s="146" t="str">
        <v>DDSC</v>
      </c>
      <c r="B279" s="146" t="str">
        <v>2025</v>
      </c>
      <c r="C279" s="146" t="str">
        <v>3</v>
      </c>
      <c r="D279" s="146" t="str">
        <v>VIGENTE</v>
      </c>
      <c r="E279" s="146" t="str">
        <v>1 - ALUMNO REGULAR</v>
      </c>
      <c r="F279" s="146" t="n">
        <v>1</v>
      </c>
    </row>
    <row r="280" ht="32" customHeight="1">
      <c r="A280" s="146" t="str">
        <v>DDSS</v>
      </c>
      <c r="B280" s="146" t="str">
        <v>2025</v>
      </c>
      <c r="C280" s="146" t="str">
        <v>2</v>
      </c>
      <c r="D280" s="146" t="str">
        <v>ELIMINADO</v>
      </c>
      <c r="E280" s="146" t="str">
        <v>23 - RETIRO - RETRACTO</v>
      </c>
      <c r="F280" s="146" t="n">
        <v>1</v>
      </c>
    </row>
    <row r="281" ht="32" customHeight="1">
      <c r="A281" s="146" t="str">
        <v>DDSS</v>
      </c>
      <c r="B281" s="146" t="str">
        <v>2025</v>
      </c>
      <c r="C281" s="146" t="str">
        <v>3</v>
      </c>
      <c r="D281" s="146" t="str">
        <v>VIGENTE</v>
      </c>
      <c r="E281" s="146" t="str">
        <v>1 - ALUMNO REGULAR</v>
      </c>
      <c r="F281" s="146" t="n">
        <v>1</v>
      </c>
    </row>
    <row r="282" ht="32" customHeight="1">
      <c r="A282" s="146" t="str">
        <v>DECAV</v>
      </c>
      <c r="B282" s="146" t="str">
        <v>2026</v>
      </c>
      <c r="C282" s="146" t="str">
        <v>3</v>
      </c>
      <c r="D282" s="146" t="str">
        <v>VIGENTE</v>
      </c>
      <c r="E282" s="146" t="str">
        <v>1 - ALUMNO REGULAR</v>
      </c>
      <c r="F282" s="146" t="n">
        <v>5</v>
      </c>
    </row>
    <row r="283" ht="32" customHeight="1">
      <c r="A283" s="146" t="str">
        <v>DEIAG</v>
      </c>
      <c r="B283" s="146" t="str">
        <v>2026</v>
      </c>
      <c r="C283" s="146" t="str">
        <v>3</v>
      </c>
      <c r="D283" s="146" t="str">
        <v>VIGENTE</v>
      </c>
      <c r="E283" s="146" t="str">
        <v>1 - ALUMNO REGULAR</v>
      </c>
      <c r="F283" s="146" t="n">
        <v>5</v>
      </c>
    </row>
    <row r="284" ht="32" customHeight="1">
      <c r="A284" s="146" t="str">
        <v>DEUIA</v>
      </c>
      <c r="B284" s="146" t="str">
        <v>2026</v>
      </c>
      <c r="C284" s="146" t="str">
        <v>3</v>
      </c>
      <c r="D284" s="146" t="str">
        <v>VIGENTE</v>
      </c>
      <c r="E284" s="146" t="str">
        <v>1 - ALUMNO REGULAR</v>
      </c>
      <c r="F284" s="146" t="n">
        <v>1</v>
      </c>
    </row>
    <row r="285" ht="32" customHeight="1">
      <c r="A285" s="146" t="str">
        <v>DFSCK</v>
      </c>
      <c r="B285" s="146" t="str">
        <v>2026</v>
      </c>
      <c r="C285" s="146" t="str">
        <v>1</v>
      </c>
      <c r="D285" s="146" t="str">
        <v>ELIMINADO</v>
      </c>
      <c r="E285" s="146" t="str">
        <v>11 - RENUNCIA POST INICIO CLASES</v>
      </c>
      <c r="F285" s="146" t="n">
        <v>1</v>
      </c>
    </row>
    <row r="286" ht="32" customHeight="1">
      <c r="A286" s="146" t="str">
        <v>DFSCK</v>
      </c>
      <c r="B286" s="146" t="str">
        <v>2026</v>
      </c>
      <c r="C286" s="146" t="str">
        <v>1</v>
      </c>
      <c r="D286" s="146" t="str">
        <v>VIGENTE</v>
      </c>
      <c r="E286" s="146" t="str">
        <v>1 - ALUMNO REGULAR</v>
      </c>
      <c r="F286" s="146" t="n">
        <v>14</v>
      </c>
    </row>
    <row r="287" ht="32" customHeight="1">
      <c r="A287" s="146" t="str">
        <v>DFSK</v>
      </c>
      <c r="B287" s="146" t="str">
        <v>2025</v>
      </c>
      <c r="C287" s="146" t="str">
        <v>1</v>
      </c>
      <c r="D287" s="146" t="str">
        <v>EGRESADO</v>
      </c>
      <c r="E287" s="146" t="str">
        <v>14 - APRUEBA PROGRAMA EC</v>
      </c>
      <c r="F287" s="146" t="n">
        <v>1</v>
      </c>
    </row>
    <row r="288" ht="32" customHeight="1">
      <c r="A288" s="146" t="str">
        <v>DFSK</v>
      </c>
      <c r="B288" s="146" t="str">
        <v>2025</v>
      </c>
      <c r="C288" s="146" t="str">
        <v>1</v>
      </c>
      <c r="D288" s="146" t="str">
        <v>ELIMINADO</v>
      </c>
      <c r="E288" s="146" t="str">
        <v>15 - REPRUEBA PROGRAMA EC</v>
      </c>
      <c r="F288" s="146" t="n">
        <v>3</v>
      </c>
    </row>
    <row r="289" ht="32" customHeight="1">
      <c r="A289" s="146" t="str">
        <v>DFSK</v>
      </c>
      <c r="B289" s="146" t="str">
        <v>2025</v>
      </c>
      <c r="C289" s="146" t="str">
        <v>2</v>
      </c>
      <c r="D289" s="146" t="str">
        <v>ELIMINADO</v>
      </c>
      <c r="E289" s="146" t="str">
        <v>23 - RETIRO - RETRACTO</v>
      </c>
      <c r="F289" s="146" t="n">
        <v>1</v>
      </c>
    </row>
    <row r="290" ht="32" customHeight="1">
      <c r="A290" s="146" t="str">
        <v>DFSK</v>
      </c>
      <c r="B290" s="146" t="str">
        <v>2025</v>
      </c>
      <c r="C290" s="146" t="str">
        <v>3</v>
      </c>
      <c r="D290" s="146" t="str">
        <v>EGRESADO</v>
      </c>
      <c r="E290" s="146" t="str">
        <v>14 - APRUEBA PROGRAMA EC</v>
      </c>
      <c r="F290" s="146" t="n">
        <v>11</v>
      </c>
    </row>
    <row r="291" ht="32" customHeight="1">
      <c r="A291" s="146" t="str">
        <v>DFSK</v>
      </c>
      <c r="B291" s="146" t="str">
        <v>2025</v>
      </c>
      <c r="C291" s="146" t="str">
        <v>3</v>
      </c>
      <c r="D291" s="146" t="str">
        <v>ELIMINADO</v>
      </c>
      <c r="E291" s="146" t="str">
        <v>15 - REPRUEBA PROGRAMA EC</v>
      </c>
      <c r="F291" s="146" t="n">
        <v>2</v>
      </c>
    </row>
    <row r="292" ht="32" customHeight="1">
      <c r="A292" s="146" t="str">
        <v>DFSK</v>
      </c>
      <c r="B292" s="146" t="str">
        <v>2025</v>
      </c>
      <c r="C292" s="146" t="str">
        <v>3</v>
      </c>
      <c r="D292" s="146" t="str">
        <v>ELIMINADO</v>
      </c>
      <c r="E292" s="146" t="str">
        <v>23 - RETIRO - RETRACTO</v>
      </c>
      <c r="F292" s="146" t="n">
        <v>1</v>
      </c>
    </row>
    <row r="293" ht="32" customHeight="1">
      <c r="A293" s="146" t="str">
        <v>DFSK</v>
      </c>
      <c r="B293" s="146" t="str">
        <v>2026</v>
      </c>
      <c r="C293" s="146" t="str">
        <v>2</v>
      </c>
      <c r="D293" s="146" t="str">
        <v>ELIMINADO</v>
      </c>
      <c r="E293" s="146" t="str">
        <v>23 - RETIRO - RETRACTO</v>
      </c>
      <c r="F293" s="146" t="n">
        <v>1</v>
      </c>
    </row>
    <row r="294" ht="32" customHeight="1">
      <c r="A294" s="146" t="str">
        <v>DFSK</v>
      </c>
      <c r="B294" s="146" t="str">
        <v>2026</v>
      </c>
      <c r="C294" s="146" t="str">
        <v>2</v>
      </c>
      <c r="D294" s="146" t="str">
        <v>VIGENTE</v>
      </c>
      <c r="E294" s="146" t="str">
        <v>1 - ALUMNO REGULAR</v>
      </c>
      <c r="F294" s="146" t="n">
        <v>18</v>
      </c>
    </row>
    <row r="295" ht="32" customHeight="1">
      <c r="A295" s="146" t="str">
        <v>DFSK</v>
      </c>
      <c r="B295" s="146" t="str">
        <v>2026</v>
      </c>
      <c r="C295" s="146" t="str">
        <v>3</v>
      </c>
      <c r="D295" s="146" t="str">
        <v>VIGENTE</v>
      </c>
      <c r="E295" s="146" t="str">
        <v>1 - ALUMNO REGULAR</v>
      </c>
      <c r="F295" s="146" t="n">
        <v>2</v>
      </c>
    </row>
    <row r="296" ht="32" customHeight="1">
      <c r="A296" s="146" t="str">
        <v>DGAS</v>
      </c>
      <c r="B296" s="146" t="str">
        <v>2025</v>
      </c>
      <c r="C296" s="146" t="str">
        <v>3</v>
      </c>
      <c r="D296" s="146" t="str">
        <v>ELIMINADO</v>
      </c>
      <c r="E296" s="146" t="str">
        <v>23 - RETIRO - RETRACTO</v>
      </c>
      <c r="F296" s="146" t="n">
        <v>2</v>
      </c>
    </row>
    <row r="297" ht="32" customHeight="1">
      <c r="A297" s="146" t="str">
        <v>DGDA</v>
      </c>
      <c r="B297" s="146" t="str">
        <v>2025</v>
      </c>
      <c r="C297" s="146" t="str">
        <v>2</v>
      </c>
      <c r="D297" s="146" t="str">
        <v>ELIMINADO</v>
      </c>
      <c r="E297" s="146" t="str">
        <v>23 - RETIRO - RETRACTO</v>
      </c>
      <c r="F297" s="146" t="n">
        <v>1</v>
      </c>
    </row>
    <row r="298" ht="32" customHeight="1">
      <c r="A298" s="146" t="str">
        <v>DGDA</v>
      </c>
      <c r="B298" s="146" t="str">
        <v>2025</v>
      </c>
      <c r="C298" s="146" t="str">
        <v>3</v>
      </c>
      <c r="D298" s="146" t="str">
        <v>VIGENTE</v>
      </c>
      <c r="E298" s="146" t="str">
        <v>1 - ALUMNO REGULAR</v>
      </c>
      <c r="F298" s="146" t="n">
        <v>2</v>
      </c>
    </row>
    <row r="299" ht="32" customHeight="1">
      <c r="A299" s="146" t="str">
        <v>DHDS</v>
      </c>
      <c r="B299" s="146" t="str">
        <v>2025</v>
      </c>
      <c r="C299" s="146" t="str">
        <v>1</v>
      </c>
      <c r="D299" s="146" t="str">
        <v>ELIMINADO</v>
      </c>
      <c r="E299" s="146" t="str">
        <v>23 - RETIRO - RETRACTO</v>
      </c>
      <c r="F299" s="146" t="n">
        <v>1</v>
      </c>
    </row>
    <row r="300" ht="32" customHeight="1">
      <c r="A300" s="146" t="str">
        <v>DHDS</v>
      </c>
      <c r="B300" s="146" t="str">
        <v>2025</v>
      </c>
      <c r="C300" s="146" t="str">
        <v>3</v>
      </c>
      <c r="D300" s="146" t="str">
        <v>ELIMINADO</v>
      </c>
      <c r="E300" s="146" t="str">
        <v>23 - RETIRO - RETRACTO</v>
      </c>
      <c r="F300" s="146" t="n">
        <v>2</v>
      </c>
    </row>
    <row r="301" ht="32" customHeight="1">
      <c r="A301" s="146" t="str">
        <v>DHDS</v>
      </c>
      <c r="B301" s="146" t="str">
        <v>2025</v>
      </c>
      <c r="C301" s="146" t="str">
        <v>3</v>
      </c>
      <c r="D301" s="146" t="str">
        <v>VIGENTE</v>
      </c>
      <c r="E301" s="146" t="str">
        <v>1 - ALUMNO REGULAR</v>
      </c>
      <c r="F301" s="146" t="n">
        <v>1</v>
      </c>
    </row>
    <row r="302" ht="32" customHeight="1">
      <c r="A302" s="146" t="str">
        <v>DHIAD</v>
      </c>
      <c r="B302" s="146" t="str">
        <v>2026</v>
      </c>
      <c r="C302" s="146" t="str">
        <v>1</v>
      </c>
      <c r="D302" s="146" t="str">
        <v>VIGENTE</v>
      </c>
      <c r="E302" s="146" t="str">
        <v>1 - ALUMNO REGULAR</v>
      </c>
      <c r="F302" s="146" t="n">
        <v>4</v>
      </c>
    </row>
    <row r="303" ht="32" customHeight="1">
      <c r="A303" s="146" t="str">
        <v>DIAR</v>
      </c>
      <c r="B303" s="146" t="str">
        <v>2025</v>
      </c>
      <c r="C303" s="146" t="str">
        <v>1</v>
      </c>
      <c r="D303" s="146" t="str">
        <v>EGRESADO</v>
      </c>
      <c r="E303" s="146" t="str">
        <v>14 - APRUEBA PROGRAMA EC</v>
      </c>
      <c r="F303" s="146" t="n">
        <v>5</v>
      </c>
    </row>
    <row r="304" ht="32" customHeight="1">
      <c r="A304" s="146" t="str">
        <v>DICD</v>
      </c>
      <c r="B304" s="146" t="str">
        <v>2025</v>
      </c>
      <c r="C304" s="146" t="str">
        <v>2</v>
      </c>
      <c r="D304" s="146" t="str">
        <v>ELIMINADO</v>
      </c>
      <c r="E304" s="146" t="str">
        <v>23 - RETIRO - RETRACTO</v>
      </c>
      <c r="F304" s="146" t="n">
        <v>1</v>
      </c>
    </row>
    <row r="305" ht="32" customHeight="1">
      <c r="A305" s="146" t="str">
        <v>DICD</v>
      </c>
      <c r="B305" s="146" t="str">
        <v>2025</v>
      </c>
      <c r="C305" s="146" t="str">
        <v>3</v>
      </c>
      <c r="D305" s="146" t="str">
        <v>ELIMINADO</v>
      </c>
      <c r="E305" s="146" t="str">
        <v>23 - RETIRO - RETRACTO</v>
      </c>
      <c r="F305" s="146" t="n">
        <v>1</v>
      </c>
    </row>
    <row r="306" ht="32" customHeight="1">
      <c r="A306" s="146" t="str">
        <v>DICD</v>
      </c>
      <c r="B306" s="146" t="str">
        <v>2026</v>
      </c>
      <c r="C306" s="146" t="str">
        <v>2</v>
      </c>
      <c r="D306" s="146" t="str">
        <v>ELIMINADO</v>
      </c>
      <c r="E306" s="146" t="str">
        <v>23 - RETIRO - RETRACTO</v>
      </c>
      <c r="F306" s="146" t="n">
        <v>3</v>
      </c>
    </row>
    <row r="307" ht="32" customHeight="1">
      <c r="A307" s="146" t="str">
        <v>DICD</v>
      </c>
      <c r="B307" s="146" t="str">
        <v>2026</v>
      </c>
      <c r="C307" s="146" t="str">
        <v>3</v>
      </c>
      <c r="D307" s="146" t="str">
        <v>VIGENTE</v>
      </c>
      <c r="E307" s="146" t="str">
        <v>1 - ALUMNO REGULAR</v>
      </c>
      <c r="F307" s="146" t="n">
        <v>2</v>
      </c>
    </row>
    <row r="308" ht="32" customHeight="1">
      <c r="A308" s="146" t="str">
        <v>DLEMS</v>
      </c>
      <c r="B308" s="146" t="str">
        <v>2026</v>
      </c>
      <c r="C308" s="146" t="str">
        <v>1</v>
      </c>
      <c r="D308" s="146" t="str">
        <v>ELIMINADO</v>
      </c>
      <c r="E308" s="146" t="str">
        <v>11 - RENUNCIA POST INICIO CLASES</v>
      </c>
      <c r="F308" s="146" t="n">
        <v>1</v>
      </c>
    </row>
    <row r="309" ht="32" customHeight="1">
      <c r="A309" s="146" t="str">
        <v>DLEMS</v>
      </c>
      <c r="B309" s="146" t="str">
        <v>2026</v>
      </c>
      <c r="C309" s="146" t="str">
        <v>1</v>
      </c>
      <c r="D309" s="146" t="str">
        <v>ELIMINADO</v>
      </c>
      <c r="E309" s="146" t="str">
        <v>23 - RETIRO - RETRACTO</v>
      </c>
      <c r="F309" s="146" t="n">
        <v>1</v>
      </c>
    </row>
    <row r="310" ht="32" customHeight="1">
      <c r="A310" s="146" t="str">
        <v>DQAS</v>
      </c>
      <c r="B310" s="146" t="str">
        <v>2025</v>
      </c>
      <c r="C310" s="146" t="str">
        <v>2</v>
      </c>
      <c r="D310" s="146" t="str">
        <v>ELIMINADO</v>
      </c>
      <c r="E310" s="146" t="str">
        <v>23 - RETIRO - RETRACTO</v>
      </c>
      <c r="F310" s="146" t="n">
        <v>3</v>
      </c>
    </row>
    <row r="311" ht="32" customHeight="1">
      <c r="A311" s="146" t="str">
        <v>DQAS</v>
      </c>
      <c r="B311" s="146" t="str">
        <v>2025</v>
      </c>
      <c r="C311" s="146" t="str">
        <v>3</v>
      </c>
      <c r="D311" s="146" t="str">
        <v>ELIMINADO</v>
      </c>
      <c r="E311" s="146" t="str">
        <v>23 - RETIRO - RETRACTO</v>
      </c>
      <c r="F311" s="146" t="n">
        <v>2</v>
      </c>
    </row>
    <row r="312" ht="32" customHeight="1">
      <c r="A312" s="146" t="str">
        <v>DREIN</v>
      </c>
      <c r="B312" s="146" t="str">
        <v>2026</v>
      </c>
      <c r="C312" s="146" t="str">
        <v>1</v>
      </c>
      <c r="D312" s="146" t="str">
        <v>EGRESADO</v>
      </c>
      <c r="E312" s="146" t="str">
        <v>14 - APRUEBA PROGRAMA EC</v>
      </c>
      <c r="F312" s="146" t="n">
        <v>19</v>
      </c>
    </row>
    <row r="313" ht="32" customHeight="1">
      <c r="A313" s="146" t="str">
        <v>DREIN</v>
      </c>
      <c r="B313" s="146" t="str">
        <v>2026</v>
      </c>
      <c r="C313" s="146" t="str">
        <v>1</v>
      </c>
      <c r="D313" s="146" t="str">
        <v>ELIMINADO</v>
      </c>
      <c r="E313" s="146" t="str">
        <v>15 - REPRUEBA PROGRAMA EC</v>
      </c>
      <c r="F313" s="146" t="n">
        <v>3</v>
      </c>
    </row>
    <row r="314" ht="32" customHeight="1">
      <c r="A314" s="146" t="str">
        <v>DRID</v>
      </c>
      <c r="B314" s="146" t="str">
        <v>2025</v>
      </c>
      <c r="C314" s="146" t="str">
        <v>2</v>
      </c>
      <c r="D314" s="146" t="str">
        <v>ELIMINADO</v>
      </c>
      <c r="E314" s="146" t="str">
        <v>23 - RETIRO - RETRACTO</v>
      </c>
      <c r="F314" s="146" t="n">
        <v>2</v>
      </c>
    </row>
    <row r="315" ht="32" customHeight="1">
      <c r="A315" s="146" t="str">
        <v>DRID</v>
      </c>
      <c r="B315" s="146" t="str">
        <v>2025</v>
      </c>
      <c r="C315" s="146" t="str">
        <v>3</v>
      </c>
      <c r="D315" s="146" t="str">
        <v>EGRESADO</v>
      </c>
      <c r="E315" s="146" t="str">
        <v>14 - APRUEBA PROGRAMA EC</v>
      </c>
      <c r="F315" s="146" t="n">
        <v>8</v>
      </c>
    </row>
    <row r="316" ht="32" customHeight="1">
      <c r="A316" s="146" t="str">
        <v>DRID</v>
      </c>
      <c r="B316" s="146" t="str">
        <v>2025</v>
      </c>
      <c r="C316" s="146" t="str">
        <v>3</v>
      </c>
      <c r="D316" s="146" t="str">
        <v>ELIMINADO</v>
      </c>
      <c r="E316" s="146" t="str">
        <v>15 - REPRUEBA PROGRAMA EC</v>
      </c>
      <c r="F316" s="146" t="n">
        <v>5</v>
      </c>
    </row>
    <row r="317" ht="32" customHeight="1">
      <c r="A317" s="146" t="str">
        <v>DRID</v>
      </c>
      <c r="B317" s="146" t="str">
        <v>2025</v>
      </c>
      <c r="C317" s="146" t="str">
        <v>3</v>
      </c>
      <c r="D317" s="146" t="str">
        <v>ELIMINADO</v>
      </c>
      <c r="E317" s="146" t="str">
        <v>24 - CAMBIO DE CARRERA</v>
      </c>
      <c r="F317" s="146" t="n">
        <v>1</v>
      </c>
    </row>
    <row r="318" ht="32" customHeight="1">
      <c r="A318" s="146" t="str">
        <v>DRID</v>
      </c>
      <c r="B318" s="146" t="str">
        <v>2025</v>
      </c>
      <c r="C318" s="146" t="str">
        <v>3</v>
      </c>
      <c r="D318" s="146" t="str">
        <v>VIGENTE</v>
      </c>
      <c r="E318" s="146" t="str">
        <v>1 - ALUMNO REGULAR</v>
      </c>
      <c r="F318" s="146" t="n">
        <v>1</v>
      </c>
    </row>
    <row r="319" ht="32" customHeight="1">
      <c r="A319" s="146" t="str">
        <v>DRID</v>
      </c>
      <c r="B319" s="146" t="str">
        <v>2026</v>
      </c>
      <c r="C319" s="146" t="str">
        <v>2</v>
      </c>
      <c r="D319" s="146" t="str">
        <v>VIGENTE</v>
      </c>
      <c r="E319" s="146" t="str">
        <v>1 - ALUMNO REGULAR</v>
      </c>
      <c r="F319" s="146" t="n">
        <v>22</v>
      </c>
    </row>
    <row r="320" ht="32" customHeight="1">
      <c r="A320" s="146" t="str">
        <v>DRID</v>
      </c>
      <c r="B320" s="146" t="str">
        <v>2026</v>
      </c>
      <c r="C320" s="146" t="str">
        <v>3</v>
      </c>
      <c r="D320" s="146" t="str">
        <v>VIGENTE</v>
      </c>
      <c r="E320" s="146" t="str">
        <v>1 - ALUMNO REGULAR</v>
      </c>
      <c r="F320" s="146" t="n">
        <v>6</v>
      </c>
    </row>
    <row r="321" ht="32" customHeight="1">
      <c r="A321" s="146" t="str">
        <v>DSCM</v>
      </c>
      <c r="B321" s="146" t="str">
        <v>2025</v>
      </c>
      <c r="C321" s="146" t="str">
        <v>1</v>
      </c>
      <c r="D321" s="146" t="str">
        <v>ELIMINADO</v>
      </c>
      <c r="E321" s="146" t="str">
        <v>23 - RETIRO - RETRACTO</v>
      </c>
      <c r="F321" s="146" t="n">
        <v>1</v>
      </c>
    </row>
    <row r="322" ht="32" customHeight="1">
      <c r="A322" s="146" t="str">
        <v>DSCM</v>
      </c>
      <c r="B322" s="146" t="str">
        <v>2025</v>
      </c>
      <c r="C322" s="146" t="str">
        <v>3</v>
      </c>
      <c r="D322" s="146" t="str">
        <v>ELIMINADO</v>
      </c>
      <c r="E322" s="146" t="str">
        <v>23 - RETIRO - RETRACTO</v>
      </c>
      <c r="F322" s="146" t="n">
        <v>2</v>
      </c>
    </row>
    <row r="323" ht="32" customHeight="1">
      <c r="A323" s="146" t="str">
        <v>DSFA</v>
      </c>
      <c r="B323" s="146" t="str">
        <v>2025</v>
      </c>
      <c r="C323" s="146" t="str">
        <v>1</v>
      </c>
      <c r="D323" s="146" t="str">
        <v>ELIMINADO</v>
      </c>
      <c r="E323" s="146" t="str">
        <v>23 - RETIRO - RETRACTO</v>
      </c>
      <c r="F323" s="146" t="n">
        <v>1</v>
      </c>
    </row>
    <row r="324" ht="32" customHeight="1">
      <c r="A324" s="146" t="str">
        <v>DSOE</v>
      </c>
      <c r="B324" s="146" t="str">
        <v>2026</v>
      </c>
      <c r="C324" s="146" t="str">
        <v>2</v>
      </c>
      <c r="D324" s="146" t="str">
        <v>ELIMINADO</v>
      </c>
      <c r="E324" s="146" t="str">
        <v>23 - RETIRO - RETRACTO</v>
      </c>
      <c r="F324" s="146" t="n">
        <v>2</v>
      </c>
    </row>
    <row r="325" ht="32" customHeight="1">
      <c r="A325" s="146" t="str">
        <v>DSOE</v>
      </c>
      <c r="B325" s="146" t="str">
        <v>2026</v>
      </c>
      <c r="C325" s="146" t="str">
        <v>3</v>
      </c>
      <c r="D325" s="146" t="str">
        <v>VIGENTE</v>
      </c>
      <c r="E325" s="146" t="str">
        <v>1 - ALUMNO REGULAR</v>
      </c>
      <c r="F325" s="146" t="n">
        <v>1</v>
      </c>
    </row>
    <row r="326" ht="32" customHeight="1">
      <c r="A326" s="146" t="str">
        <v>DSOF</v>
      </c>
      <c r="B326" s="146" t="str">
        <v>2025</v>
      </c>
      <c r="C326" s="146" t="str">
        <v>1</v>
      </c>
      <c r="D326" s="146" t="str">
        <v>ELIMINADO</v>
      </c>
      <c r="E326" s="146" t="str">
        <v>23 - RETIRO - RETRACTO</v>
      </c>
      <c r="F326" s="146" t="n">
        <v>1</v>
      </c>
    </row>
    <row r="327" ht="32" customHeight="1">
      <c r="A327" s="146" t="str">
        <v>ECCURYDP</v>
      </c>
      <c r="B327" s="146" t="str">
        <v>2024</v>
      </c>
      <c r="C327" s="146" t="str">
        <v>1</v>
      </c>
      <c r="D327" s="146" t="str">
        <v>EGRESADO</v>
      </c>
      <c r="E327" s="146" t="str">
        <v>14 - APRUEBA PROGRAMA EC</v>
      </c>
      <c r="F327" s="146" t="n">
        <v>93</v>
      </c>
    </row>
    <row r="328" ht="32" customHeight="1">
      <c r="A328" s="146" t="str">
        <v>ECCURYDP</v>
      </c>
      <c r="B328" s="146" t="str">
        <v>2024</v>
      </c>
      <c r="C328" s="146" t="str">
        <v>1</v>
      </c>
      <c r="D328" s="146" t="str">
        <v>ELIMINADO</v>
      </c>
      <c r="E328" s="146" t="str">
        <v>11 - RENUNCIA POST INICIO CLASES</v>
      </c>
      <c r="F328" s="146" t="n">
        <v>4</v>
      </c>
    </row>
    <row r="329" ht="32" customHeight="1">
      <c r="A329" s="146" t="str">
        <v>ECCURYDP</v>
      </c>
      <c r="B329" s="146" t="str">
        <v>2024</v>
      </c>
      <c r="C329" s="146" t="str">
        <v>1</v>
      </c>
      <c r="D329" s="146" t="str">
        <v>ELIMINADO</v>
      </c>
      <c r="E329" s="146" t="str">
        <v>15 - REPRUEBA PROGRAMA EC</v>
      </c>
      <c r="F329" s="146" t="n">
        <v>31</v>
      </c>
    </row>
    <row r="330" ht="32" customHeight="1">
      <c r="A330" s="146" t="str">
        <v>ECCURYDP</v>
      </c>
      <c r="B330" s="146" t="str">
        <v>2024</v>
      </c>
      <c r="C330" s="146" t="str">
        <v>1</v>
      </c>
      <c r="D330" s="146" t="str">
        <v>ELIMINADO</v>
      </c>
      <c r="E330" s="146" t="str">
        <v>23 - RETIRO - RETRACTO</v>
      </c>
      <c r="F330" s="146" t="n">
        <v>4</v>
      </c>
    </row>
    <row r="331" ht="32" customHeight="1">
      <c r="A331" s="146" t="str">
        <v>ECCURYDP</v>
      </c>
      <c r="B331" s="146" t="str">
        <v>2024</v>
      </c>
      <c r="C331" s="146" t="str">
        <v>1</v>
      </c>
      <c r="D331" s="146" t="str">
        <v>ELIMINADO</v>
      </c>
      <c r="E331" s="146" t="str">
        <v>5 - RENUNCIA ENTRE PERIODOS</v>
      </c>
      <c r="F331" s="146" t="n">
        <v>1</v>
      </c>
    </row>
    <row r="332" ht="32" customHeight="1">
      <c r="A332" s="146" t="str">
        <v>ECCURYDP</v>
      </c>
      <c r="B332" s="146" t="str">
        <v>2024</v>
      </c>
      <c r="C332" s="146" t="str">
        <v>1</v>
      </c>
      <c r="D332" s="146" t="str">
        <v>ELIMINADO</v>
      </c>
      <c r="E332" s="146" t="str">
        <v>8 - ELIMINADO SIN ACTIVIDAD ACADÉMICA</v>
      </c>
      <c r="F332" s="146" t="n">
        <v>1</v>
      </c>
    </row>
    <row r="333" ht="32" customHeight="1">
      <c r="A333" s="146" t="str">
        <v>ECCURYDP</v>
      </c>
      <c r="B333" s="146" t="str">
        <v>2024</v>
      </c>
      <c r="C333" s="146" t="str">
        <v>1</v>
      </c>
      <c r="D333" s="146" t="str">
        <v>VIGENTE</v>
      </c>
      <c r="E333" s="146" t="str">
        <v>1 - ALUMNO REGULAR</v>
      </c>
      <c r="F333" s="146" t="n">
        <v>1</v>
      </c>
    </row>
    <row r="334" ht="32" customHeight="1">
      <c r="A334" s="146" t="str">
        <v>ECCURYDP</v>
      </c>
      <c r="B334" s="146" t="str">
        <v>2025</v>
      </c>
      <c r="C334" s="146" t="str">
        <v>1</v>
      </c>
      <c r="D334" s="146" t="str">
        <v>EGRESADO</v>
      </c>
      <c r="E334" s="146" t="str">
        <v>14 - APRUEBA PROGRAMA EC</v>
      </c>
      <c r="F334" s="146" t="n">
        <v>2</v>
      </c>
    </row>
    <row r="335" ht="32" customHeight="1">
      <c r="A335" s="146" t="str">
        <v>ECCURYDP</v>
      </c>
      <c r="B335" s="146" t="str">
        <v>2025</v>
      </c>
      <c r="C335" s="146" t="str">
        <v>1</v>
      </c>
      <c r="D335" s="146" t="str">
        <v>ELIMINADO</v>
      </c>
      <c r="E335" s="146" t="str">
        <v>15 - REPRUEBA PROGRAMA EC</v>
      </c>
      <c r="F335" s="146" t="n">
        <v>8</v>
      </c>
    </row>
    <row r="336" ht="32" customHeight="1">
      <c r="A336" s="146" t="str">
        <v>ECCURYDP</v>
      </c>
      <c r="B336" s="146" t="str">
        <v>2026</v>
      </c>
      <c r="C336" s="146" t="str">
        <v>1</v>
      </c>
      <c r="D336" s="146" t="str">
        <v>ELIMINADO</v>
      </c>
      <c r="E336" s="146" t="str">
        <v>11 - RENUNCIA POST INICIO CLASES</v>
      </c>
      <c r="F336" s="146" t="n">
        <v>1</v>
      </c>
    </row>
    <row r="337" ht="32" customHeight="1">
      <c r="A337" s="146" t="str">
        <v>ECCURYDP</v>
      </c>
      <c r="B337" s="146" t="str">
        <v>2026</v>
      </c>
      <c r="C337" s="146" t="str">
        <v>1</v>
      </c>
      <c r="D337" s="146" t="str">
        <v>VIGENTE</v>
      </c>
      <c r="E337" s="146" t="str">
        <v>1 - ALUMNO REGULAR</v>
      </c>
      <c r="F337" s="146" t="n">
        <v>77</v>
      </c>
    </row>
    <row r="338" ht="32" customHeight="1">
      <c r="A338" s="146" t="str">
        <v>IACI</v>
      </c>
      <c r="B338" s="146" t="str">
        <v>2024</v>
      </c>
      <c r="C338" s="146" t="str">
        <v>1</v>
      </c>
      <c r="D338" s="146" t="str">
        <v>ELIMINADO</v>
      </c>
      <c r="E338" s="146" t="str">
        <v>23 - RETIRO - RETRACTO</v>
      </c>
      <c r="F338" s="146" t="n">
        <v>1</v>
      </c>
    </row>
    <row r="339" ht="32" customHeight="1">
      <c r="A339" s="146" t="str">
        <v>IADM</v>
      </c>
      <c r="B339" s="146" t="str">
        <v>2024</v>
      </c>
      <c r="C339" s="146" t="str">
        <v>1</v>
      </c>
      <c r="D339" s="146" t="str">
        <v>ELIMINADO</v>
      </c>
      <c r="E339" s="146" t="str">
        <v>11 - RENUNCIA POST INICIO CLASES</v>
      </c>
      <c r="F339" s="146" t="n">
        <v>1</v>
      </c>
    </row>
    <row r="340" ht="32" customHeight="1">
      <c r="A340" s="146" t="str">
        <v>IADM</v>
      </c>
      <c r="B340" s="146" t="str">
        <v>2024</v>
      </c>
      <c r="C340" s="146" t="str">
        <v>1</v>
      </c>
      <c r="D340" s="146" t="str">
        <v>ELIMINADO</v>
      </c>
      <c r="E340" s="146" t="str">
        <v>12 - ELIMINADO MATRICULA SIN FIRMA</v>
      </c>
      <c r="F340" s="146" t="n">
        <v>1</v>
      </c>
    </row>
    <row r="341" ht="32" customHeight="1">
      <c r="A341" s="146" t="str">
        <v>IADM</v>
      </c>
      <c r="B341" s="146" t="str">
        <v>2024</v>
      </c>
      <c r="C341" s="146" t="str">
        <v>1</v>
      </c>
      <c r="D341" s="146" t="str">
        <v>ELIMINADO</v>
      </c>
      <c r="E341" s="146" t="str">
        <v>23 - RETIRO - RETRACTO</v>
      </c>
      <c r="F341" s="146" t="n">
        <v>8</v>
      </c>
    </row>
    <row r="342" ht="32" customHeight="1">
      <c r="A342" s="146" t="str">
        <v>IADM</v>
      </c>
      <c r="B342" s="146" t="str">
        <v>2024</v>
      </c>
      <c r="C342" s="146" t="str">
        <v>1</v>
      </c>
      <c r="D342" s="146" t="str">
        <v>ELIMINADO</v>
      </c>
      <c r="E342" s="146" t="str">
        <v>24 - CAMBIO DE CARRERA</v>
      </c>
      <c r="F342" s="146" t="n">
        <v>1</v>
      </c>
    </row>
    <row r="343" ht="32" customHeight="1">
      <c r="A343" s="146" t="str">
        <v>IADM</v>
      </c>
      <c r="B343" s="146" t="str">
        <v>2024</v>
      </c>
      <c r="C343" s="146" t="str">
        <v>1</v>
      </c>
      <c r="D343" s="146" t="str">
        <v>ELIMINADO</v>
      </c>
      <c r="E343" s="146" t="str">
        <v>7 - NO RENUEVA MATRICULA</v>
      </c>
      <c r="F343" s="146" t="n">
        <v>3</v>
      </c>
    </row>
    <row r="344" ht="32" customHeight="1">
      <c r="A344" s="146" t="str">
        <v>IADM</v>
      </c>
      <c r="B344" s="146" t="str">
        <v>2024</v>
      </c>
      <c r="C344" s="146" t="str">
        <v>1</v>
      </c>
      <c r="D344" s="146" t="str">
        <v>ELIMINADO</v>
      </c>
      <c r="E344" s="146" t="str">
        <v>8 - ELIMINADO SIN ACTIVIDAD ACADÉMICA</v>
      </c>
      <c r="F344" s="146" t="n">
        <v>3</v>
      </c>
    </row>
    <row r="345" ht="32" customHeight="1">
      <c r="A345" s="146" t="str">
        <v>IADM</v>
      </c>
      <c r="B345" s="146" t="str">
        <v>2024</v>
      </c>
      <c r="C345" s="146" t="str">
        <v>2</v>
      </c>
      <c r="D345" s="146" t="str">
        <v>ELIMINADO</v>
      </c>
      <c r="E345" s="146" t="str">
        <v>23 - RETIRO - RETRACTO</v>
      </c>
      <c r="F345" s="146" t="n">
        <v>1</v>
      </c>
    </row>
    <row r="346" ht="32" customHeight="1">
      <c r="A346" s="146" t="str">
        <v>IADM</v>
      </c>
      <c r="B346" s="146" t="str">
        <v>2024</v>
      </c>
      <c r="C346" s="146" t="str">
        <v>2</v>
      </c>
      <c r="D346" s="146" t="str">
        <v>ELIMINADO</v>
      </c>
      <c r="E346" s="146" t="str">
        <v>7 - NO RENUEVA MATRICULA</v>
      </c>
      <c r="F346" s="146" t="n">
        <v>7</v>
      </c>
    </row>
    <row r="347" ht="32" customHeight="1">
      <c r="A347" s="146" t="str">
        <v>IADM</v>
      </c>
      <c r="B347" s="146" t="str">
        <v>2024</v>
      </c>
      <c r="C347" s="146" t="str">
        <v>2</v>
      </c>
      <c r="D347" s="146" t="str">
        <v>ELIMINADO</v>
      </c>
      <c r="E347" s="146" t="str">
        <v>8 - ELIMINADO SIN ACTIVIDAD ACADÉMICA</v>
      </c>
      <c r="F347" s="146" t="n">
        <v>1</v>
      </c>
    </row>
    <row r="348" ht="32" customHeight="1">
      <c r="A348" s="146" t="str">
        <v>IADM</v>
      </c>
      <c r="B348" s="146" t="str">
        <v>2024</v>
      </c>
      <c r="C348" s="146" t="str">
        <v>3</v>
      </c>
      <c r="D348" s="146" t="str">
        <v>ELIMINADO</v>
      </c>
      <c r="E348" s="146" t="str">
        <v>23 - RETIRO - RETRACTO</v>
      </c>
      <c r="F348" s="146" t="n">
        <v>1</v>
      </c>
    </row>
    <row r="349" ht="32" customHeight="1">
      <c r="A349" s="146" t="str">
        <v>IADM</v>
      </c>
      <c r="B349" s="146" t="str">
        <v>2024</v>
      </c>
      <c r="C349" s="146" t="str">
        <v>3</v>
      </c>
      <c r="D349" s="146" t="str">
        <v>ELIMINADO</v>
      </c>
      <c r="E349" s="146" t="str">
        <v>7 - NO RENUEVA MATRICULA</v>
      </c>
      <c r="F349" s="146" t="n">
        <v>17</v>
      </c>
    </row>
    <row r="350" ht="32" customHeight="1">
      <c r="A350" s="146" t="str">
        <v>IADM</v>
      </c>
      <c r="B350" s="146" t="str">
        <v>2025</v>
      </c>
      <c r="C350" s="146" t="str">
        <v>1</v>
      </c>
      <c r="D350" s="146" t="str">
        <v>ELIMINADO</v>
      </c>
      <c r="E350" s="146" t="str">
        <v>11 - RENUNCIA POST INICIO CLASES</v>
      </c>
      <c r="F350" s="146" t="n">
        <v>9</v>
      </c>
    </row>
    <row r="351" ht="32" customHeight="1">
      <c r="A351" s="146" t="str">
        <v>IADM</v>
      </c>
      <c r="B351" s="146" t="str">
        <v>2025</v>
      </c>
      <c r="C351" s="146" t="str">
        <v>1</v>
      </c>
      <c r="D351" s="146" t="str">
        <v>ELIMINADO</v>
      </c>
      <c r="E351" s="146" t="str">
        <v>23 - RETIRO - RETRACTO</v>
      </c>
      <c r="F351" s="146" t="n">
        <v>21</v>
      </c>
    </row>
    <row r="352" ht="32" customHeight="1">
      <c r="A352" s="146" t="str">
        <v>IADM</v>
      </c>
      <c r="B352" s="146" t="str">
        <v>2025</v>
      </c>
      <c r="C352" s="146" t="str">
        <v>1</v>
      </c>
      <c r="D352" s="146" t="str">
        <v>ELIMINADO</v>
      </c>
      <c r="E352" s="146" t="str">
        <v>24 - CAMBIO DE CARRERA</v>
      </c>
      <c r="F352" s="146" t="n">
        <v>3</v>
      </c>
    </row>
    <row r="353" ht="32" customHeight="1">
      <c r="A353" s="146" t="str">
        <v>IADM</v>
      </c>
      <c r="B353" s="146" t="str">
        <v>2025</v>
      </c>
      <c r="C353" s="146" t="str">
        <v>1</v>
      </c>
      <c r="D353" s="146" t="str">
        <v>SUSPENDIDO</v>
      </c>
      <c r="E353" s="146" t="str">
        <v>2 - SUSPENSIÓN TEMPORAL</v>
      </c>
      <c r="F353" s="146" t="n">
        <v>4</v>
      </c>
    </row>
    <row r="354" ht="32" customHeight="1">
      <c r="A354" s="146" t="str">
        <v>IADM</v>
      </c>
      <c r="B354" s="146" t="str">
        <v>2025</v>
      </c>
      <c r="C354" s="146" t="str">
        <v>1</v>
      </c>
      <c r="D354" s="146" t="str">
        <v>VIGENTE</v>
      </c>
      <c r="E354" s="146" t="str">
        <v>1 - ALUMNO REGULAR</v>
      </c>
      <c r="F354" s="146" t="n">
        <v>12</v>
      </c>
    </row>
    <row r="355" ht="32" customHeight="1">
      <c r="A355" s="146" t="str">
        <v>IADM</v>
      </c>
      <c r="B355" s="146" t="str">
        <v>2025</v>
      </c>
      <c r="C355" s="146" t="str">
        <v>1</v>
      </c>
      <c r="D355" s="146" t="str">
        <v>VIGENTE</v>
      </c>
      <c r="E355" s="146" t="str">
        <v>20 - VIGENTE SIN ACTIVIDAD ACADEMICA</v>
      </c>
      <c r="F355" s="146" t="n">
        <v>34</v>
      </c>
    </row>
    <row r="356" ht="32" customHeight="1">
      <c r="A356" s="146" t="str">
        <v>IADM</v>
      </c>
      <c r="B356" s="146" t="str">
        <v>2025</v>
      </c>
      <c r="C356" s="146" t="str">
        <v>2</v>
      </c>
      <c r="D356" s="146" t="str">
        <v>ELIMINADO</v>
      </c>
      <c r="E356" s="146" t="str">
        <v>11 - RENUNCIA POST INICIO CLASES</v>
      </c>
      <c r="F356" s="146" t="n">
        <v>6</v>
      </c>
    </row>
    <row r="357" ht="32" customHeight="1">
      <c r="A357" s="146" t="str">
        <v>IADM</v>
      </c>
      <c r="B357" s="146" t="str">
        <v>2025</v>
      </c>
      <c r="C357" s="146" t="str">
        <v>2</v>
      </c>
      <c r="D357" s="146" t="str">
        <v>ELIMINADO</v>
      </c>
      <c r="E357" s="146" t="str">
        <v>23 - RETIRO - RETRACTO</v>
      </c>
      <c r="F357" s="146" t="n">
        <v>2</v>
      </c>
    </row>
    <row r="358" ht="32" customHeight="1">
      <c r="A358" s="146" t="str">
        <v>IADM</v>
      </c>
      <c r="B358" s="146" t="str">
        <v>2025</v>
      </c>
      <c r="C358" s="146" t="str">
        <v>2</v>
      </c>
      <c r="D358" s="146" t="str">
        <v>ELIMINADO</v>
      </c>
      <c r="E358" s="146" t="str">
        <v>24 - CAMBIO DE CARRERA</v>
      </c>
      <c r="F358" s="146" t="n">
        <v>1</v>
      </c>
    </row>
    <row r="359" ht="32" customHeight="1">
      <c r="A359" s="146" t="str">
        <v>IADM</v>
      </c>
      <c r="B359" s="146" t="str">
        <v>2025</v>
      </c>
      <c r="C359" s="146" t="str">
        <v>2</v>
      </c>
      <c r="D359" s="146" t="str">
        <v>SUSPENDIDO</v>
      </c>
      <c r="E359" s="146" t="str">
        <v>2 - SUSPENSIÓN TEMPORAL</v>
      </c>
      <c r="F359" s="146" t="n">
        <v>2</v>
      </c>
    </row>
    <row r="360" ht="32" customHeight="1">
      <c r="A360" s="146" t="str">
        <v>IADM</v>
      </c>
      <c r="B360" s="146" t="str">
        <v>2025</v>
      </c>
      <c r="C360" s="146" t="str">
        <v>2</v>
      </c>
      <c r="D360" s="146" t="str">
        <v>VIGENTE</v>
      </c>
      <c r="E360" s="146" t="str">
        <v>1 - ALUMNO REGULAR</v>
      </c>
      <c r="F360" s="146" t="n">
        <v>22</v>
      </c>
    </row>
    <row r="361" ht="32" customHeight="1">
      <c r="A361" s="146" t="str">
        <v>IADM</v>
      </c>
      <c r="B361" s="146" t="str">
        <v>2025</v>
      </c>
      <c r="C361" s="146" t="str">
        <v>3</v>
      </c>
      <c r="D361" s="146" t="str">
        <v>ELIMINADO</v>
      </c>
      <c r="E361" s="146" t="str">
        <v>11 - RENUNCIA POST INICIO CLASES</v>
      </c>
      <c r="F361" s="146" t="n">
        <v>5</v>
      </c>
    </row>
    <row r="362" ht="32" customHeight="1">
      <c r="A362" s="146" t="str">
        <v>IADM</v>
      </c>
      <c r="B362" s="146" t="str">
        <v>2025</v>
      </c>
      <c r="C362" s="146" t="str">
        <v>3</v>
      </c>
      <c r="D362" s="146" t="str">
        <v>ELIMINADO</v>
      </c>
      <c r="E362" s="146" t="str">
        <v>23 - RETIRO - RETRACTO</v>
      </c>
      <c r="F362" s="146" t="n">
        <v>1</v>
      </c>
    </row>
    <row r="363" ht="32" customHeight="1">
      <c r="A363" s="146" t="str">
        <v>IADM</v>
      </c>
      <c r="B363" s="146" t="str">
        <v>2025</v>
      </c>
      <c r="C363" s="146" t="str">
        <v>3</v>
      </c>
      <c r="D363" s="146" t="str">
        <v>ELIMINADO</v>
      </c>
      <c r="E363" s="146" t="str">
        <v>24 - CAMBIO DE CARRERA</v>
      </c>
      <c r="F363" s="146" t="n">
        <v>2</v>
      </c>
    </row>
    <row r="364" ht="32" customHeight="1">
      <c r="A364" s="146" t="str">
        <v>IADM</v>
      </c>
      <c r="B364" s="146" t="str">
        <v>2025</v>
      </c>
      <c r="C364" s="146" t="str">
        <v>3</v>
      </c>
      <c r="D364" s="146" t="str">
        <v>VIGENTE</v>
      </c>
      <c r="E364" s="146" t="str">
        <v>1 - ALUMNO REGULAR</v>
      </c>
      <c r="F364" s="146" t="n">
        <v>9</v>
      </c>
    </row>
    <row r="365" ht="32" customHeight="1">
      <c r="A365" s="146" t="str">
        <v>IADM</v>
      </c>
      <c r="B365" s="146" t="str">
        <v>2026</v>
      </c>
      <c r="C365" s="146" t="str">
        <v>1</v>
      </c>
      <c r="D365" s="146" t="str">
        <v>ELIMINADO</v>
      </c>
      <c r="E365" s="146" t="str">
        <v>11 - RENUNCIA POST INICIO CLASES</v>
      </c>
      <c r="F365" s="146" t="n">
        <v>18</v>
      </c>
    </row>
    <row r="366" ht="32" customHeight="1">
      <c r="A366" s="146" t="str">
        <v>IADM</v>
      </c>
      <c r="B366" s="146" t="str">
        <v>2026</v>
      </c>
      <c r="C366" s="146" t="str">
        <v>1</v>
      </c>
      <c r="D366" s="146" t="str">
        <v>ELIMINADO</v>
      </c>
      <c r="E366" s="146" t="str">
        <v>23 - RETIRO - RETRACTO</v>
      </c>
      <c r="F366" s="146" t="n">
        <v>23</v>
      </c>
    </row>
    <row r="367" ht="32" customHeight="1">
      <c r="A367" s="146" t="str">
        <v>IADM</v>
      </c>
      <c r="B367" s="146" t="str">
        <v>2026</v>
      </c>
      <c r="C367" s="146" t="str">
        <v>1</v>
      </c>
      <c r="D367" s="146" t="str">
        <v>ELIMINADO</v>
      </c>
      <c r="E367" s="146" t="str">
        <v>24 - CAMBIO DE CARRERA</v>
      </c>
      <c r="F367" s="146" t="n">
        <v>10</v>
      </c>
    </row>
    <row r="368" ht="32" customHeight="1">
      <c r="A368" s="146" t="str">
        <v>IADM</v>
      </c>
      <c r="B368" s="146" t="str">
        <v>2026</v>
      </c>
      <c r="C368" s="146" t="str">
        <v>1</v>
      </c>
      <c r="D368" s="146" t="str">
        <v>ELIMINADO</v>
      </c>
      <c r="E368" s="146" t="str">
        <v>8 - ELIMINADO SIN ACTIVIDAD ACADÉMICA</v>
      </c>
      <c r="F368" s="146" t="n">
        <v>26</v>
      </c>
    </row>
    <row r="369" ht="32" customHeight="1">
      <c r="A369" s="146" t="str">
        <v>IADM</v>
      </c>
      <c r="B369" s="146" t="str">
        <v>2026</v>
      </c>
      <c r="C369" s="146" t="str">
        <v>1</v>
      </c>
      <c r="D369" s="146" t="str">
        <v>SUSPENDIDO</v>
      </c>
      <c r="E369" s="146" t="str">
        <v>2 - SUSPENSIÓN TEMPORAL</v>
      </c>
      <c r="F369" s="146" t="n">
        <v>1</v>
      </c>
    </row>
    <row r="370" ht="32" customHeight="1">
      <c r="A370" s="146" t="str">
        <v>IADM</v>
      </c>
      <c r="B370" s="146" t="str">
        <v>2026</v>
      </c>
      <c r="C370" s="146" t="str">
        <v>1</v>
      </c>
      <c r="D370" s="146" t="str">
        <v>VIGENTE</v>
      </c>
      <c r="E370" s="146" t="str">
        <v>1 - ALUMNO REGULAR</v>
      </c>
      <c r="F370" s="146" t="n">
        <v>94</v>
      </c>
    </row>
    <row r="371" ht="32" customHeight="1">
      <c r="A371" s="146" t="str">
        <v>IADM</v>
      </c>
      <c r="B371" s="146" t="str">
        <v>2026</v>
      </c>
      <c r="C371" s="146" t="str">
        <v>1</v>
      </c>
      <c r="D371" s="146" t="str">
        <v>VIGENTE</v>
      </c>
      <c r="E371" s="146" t="str">
        <v>100 - TITULACIÓN INTERMEDIA</v>
      </c>
      <c r="F371" s="146" t="n">
        <v>3</v>
      </c>
    </row>
    <row r="372" ht="32" customHeight="1">
      <c r="A372" s="146" t="str">
        <v>IADM</v>
      </c>
      <c r="B372" s="146" t="str">
        <v>2026</v>
      </c>
      <c r="C372" s="146" t="str">
        <v>1</v>
      </c>
      <c r="D372" s="146" t="str">
        <v>VIGENTE</v>
      </c>
      <c r="E372" s="146" t="str">
        <v>38 - REINCORPORACION DE ACTIVIDADES</v>
      </c>
      <c r="F372" s="146" t="n">
        <v>4</v>
      </c>
    </row>
    <row r="373" ht="32" customHeight="1">
      <c r="A373" s="146" t="str">
        <v>IADM</v>
      </c>
      <c r="B373" s="146" t="str">
        <v>2026</v>
      </c>
      <c r="C373" s="146" t="str">
        <v>1</v>
      </c>
      <c r="D373" s="146" t="str">
        <v>VIGENTE</v>
      </c>
      <c r="E373" s="146" t="str">
        <v>49 - CAMBIO DE JORNADA</v>
      </c>
      <c r="F373" s="146" t="n">
        <v>6</v>
      </c>
    </row>
    <row r="374" ht="32" customHeight="1">
      <c r="A374" s="146" t="str">
        <v>IADM</v>
      </c>
      <c r="B374" s="146" t="str">
        <v>2026</v>
      </c>
      <c r="C374" s="146" t="str">
        <v>2</v>
      </c>
      <c r="D374" s="146" t="str">
        <v>ELIMINADO</v>
      </c>
      <c r="E374" s="146" t="str">
        <v>11 - RENUNCIA POST INICIO CLASES</v>
      </c>
      <c r="F374" s="146" t="n">
        <v>8</v>
      </c>
    </row>
    <row r="375" ht="32" customHeight="1">
      <c r="A375" s="146" t="str">
        <v>IADM</v>
      </c>
      <c r="B375" s="146" t="str">
        <v>2026</v>
      </c>
      <c r="C375" s="146" t="str">
        <v>2</v>
      </c>
      <c r="D375" s="146" t="str">
        <v>ELIMINADO</v>
      </c>
      <c r="E375" s="146" t="str">
        <v>23 - RETIRO - RETRACTO</v>
      </c>
      <c r="F375" s="146" t="n">
        <v>3</v>
      </c>
    </row>
    <row r="376" ht="32" customHeight="1">
      <c r="A376" s="146" t="str">
        <v>IADM</v>
      </c>
      <c r="B376" s="146" t="str">
        <v>2026</v>
      </c>
      <c r="C376" s="146" t="str">
        <v>2</v>
      </c>
      <c r="D376" s="146" t="str">
        <v>ELIMINADO</v>
      </c>
      <c r="E376" s="146" t="str">
        <v>24 - CAMBIO DE CARRERA</v>
      </c>
      <c r="F376" s="146" t="n">
        <v>2</v>
      </c>
    </row>
    <row r="377" ht="32" customHeight="1">
      <c r="A377" s="146" t="str">
        <v>IADM</v>
      </c>
      <c r="B377" s="146" t="str">
        <v>2026</v>
      </c>
      <c r="C377" s="146" t="str">
        <v>2</v>
      </c>
      <c r="D377" s="146" t="str">
        <v>VIGENTE</v>
      </c>
      <c r="E377" s="146" t="str">
        <v>1 - ALUMNO REGULAR</v>
      </c>
      <c r="F377" s="146" t="n">
        <v>39</v>
      </c>
    </row>
    <row r="378" ht="32" customHeight="1">
      <c r="A378" s="146" t="str">
        <v>IADM</v>
      </c>
      <c r="B378" s="146" t="str">
        <v>2026</v>
      </c>
      <c r="C378" s="146" t="str">
        <v>2</v>
      </c>
      <c r="D378" s="146" t="str">
        <v>VIGENTE</v>
      </c>
      <c r="E378" s="146" t="str">
        <v>49 - CAMBIO DE JORNADA</v>
      </c>
      <c r="F378" s="146" t="n">
        <v>1</v>
      </c>
    </row>
    <row r="379" ht="32" customHeight="1">
      <c r="A379" s="146" t="str">
        <v>IADM</v>
      </c>
      <c r="B379" s="146" t="str">
        <v>2026</v>
      </c>
      <c r="C379" s="146" t="str">
        <v>3</v>
      </c>
      <c r="D379" s="146" t="str">
        <v>ELIMINADO</v>
      </c>
      <c r="E379" s="146" t="str">
        <v>23 - RETIRO - RETRACTO</v>
      </c>
      <c r="F379" s="146" t="n">
        <v>1</v>
      </c>
    </row>
    <row r="380" ht="32" customHeight="1">
      <c r="A380" s="146" t="str">
        <v>IADM</v>
      </c>
      <c r="B380" s="146" t="str">
        <v>2026</v>
      </c>
      <c r="C380" s="146" t="str">
        <v>3</v>
      </c>
      <c r="D380" s="146" t="str">
        <v>ELIMINADO</v>
      </c>
      <c r="E380" s="146" t="str">
        <v>24 - CAMBIO DE CARRERA</v>
      </c>
      <c r="F380" s="146" t="n">
        <v>1</v>
      </c>
    </row>
    <row r="381" ht="32" customHeight="1">
      <c r="A381" s="146" t="str">
        <v>IADM</v>
      </c>
      <c r="B381" s="146" t="str">
        <v>2026</v>
      </c>
      <c r="C381" s="146" t="str">
        <v>3</v>
      </c>
      <c r="D381" s="146" t="str">
        <v>VIGENTE</v>
      </c>
      <c r="E381" s="146" t="str">
        <v>1 - ALUMNO REGULAR</v>
      </c>
      <c r="F381" s="146" t="n">
        <v>38</v>
      </c>
    </row>
    <row r="382" ht="32" customHeight="1">
      <c r="A382" s="146" t="str">
        <v>IADM</v>
      </c>
      <c r="B382" s="146" t="str">
        <v>2027</v>
      </c>
      <c r="C382" s="146" t="str">
        <v>1</v>
      </c>
      <c r="D382" s="146" t="str">
        <v>VIGENTE</v>
      </c>
      <c r="E382" s="146" t="str">
        <v>1 - ALUMNO REGULAR</v>
      </c>
      <c r="F382" s="146" t="n">
        <v>14</v>
      </c>
    </row>
    <row r="383" ht="32" customHeight="1">
      <c r="A383" s="146" t="str">
        <v>IARCL</v>
      </c>
      <c r="B383" s="146" t="str">
        <v>2027</v>
      </c>
      <c r="C383" s="146" t="str">
        <v>1</v>
      </c>
      <c r="D383" s="146" t="str">
        <v>VIGENTE</v>
      </c>
      <c r="E383" s="146" t="str">
        <v>1 - ALUMNO REGULAR</v>
      </c>
      <c r="F383" s="146" t="n">
        <v>1</v>
      </c>
    </row>
    <row r="384" ht="32" customHeight="1">
      <c r="A384" s="146" t="str">
        <v>ICDA</v>
      </c>
      <c r="B384" s="146" t="str">
        <v>2025</v>
      </c>
      <c r="C384" s="146" t="str">
        <v>1</v>
      </c>
      <c r="D384" s="146" t="str">
        <v>ELIMINADO</v>
      </c>
      <c r="E384" s="146" t="str">
        <v>11 - RENUNCIA POST INICIO CLASES</v>
      </c>
      <c r="F384" s="146" t="n">
        <v>4</v>
      </c>
    </row>
    <row r="385" ht="32" customHeight="1">
      <c r="A385" s="146" t="str">
        <v>ICDA</v>
      </c>
      <c r="B385" s="146" t="str">
        <v>2025</v>
      </c>
      <c r="C385" s="146" t="str">
        <v>1</v>
      </c>
      <c r="D385" s="146" t="str">
        <v>ELIMINADO</v>
      </c>
      <c r="E385" s="146" t="str">
        <v>23 - RETIRO - RETRACTO</v>
      </c>
      <c r="F385" s="146" t="n">
        <v>2</v>
      </c>
    </row>
    <row r="386" ht="32" customHeight="1">
      <c r="A386" s="146" t="str">
        <v>ICDA</v>
      </c>
      <c r="B386" s="146" t="str">
        <v>2025</v>
      </c>
      <c r="C386" s="146" t="str">
        <v>1</v>
      </c>
      <c r="D386" s="146" t="str">
        <v>ELIMINADO</v>
      </c>
      <c r="E386" s="146" t="str">
        <v>24 - CAMBIO DE CARRERA</v>
      </c>
      <c r="F386" s="146" t="n">
        <v>2</v>
      </c>
    </row>
    <row r="387" ht="32" customHeight="1">
      <c r="A387" s="146" t="str">
        <v>ICDA</v>
      </c>
      <c r="B387" s="146" t="str">
        <v>2025</v>
      </c>
      <c r="C387" s="146" t="str">
        <v>1</v>
      </c>
      <c r="D387" s="146" t="str">
        <v>SUSPENDIDO</v>
      </c>
      <c r="E387" s="146" t="str">
        <v>2 - SUSPENSIÓN TEMPORAL</v>
      </c>
      <c r="F387" s="146" t="n">
        <v>4</v>
      </c>
    </row>
    <row r="388" ht="32" customHeight="1">
      <c r="A388" s="146" t="str">
        <v>ICDA</v>
      </c>
      <c r="B388" s="146" t="str">
        <v>2025</v>
      </c>
      <c r="C388" s="146" t="str">
        <v>1</v>
      </c>
      <c r="D388" s="146" t="str">
        <v>VIGENTE</v>
      </c>
      <c r="E388" s="146" t="str">
        <v>1 - ALUMNO REGULAR</v>
      </c>
      <c r="F388" s="146" t="n">
        <v>8</v>
      </c>
    </row>
    <row r="389" ht="32" customHeight="1">
      <c r="A389" s="146" t="str">
        <v>ICDA</v>
      </c>
      <c r="B389" s="146" t="str">
        <v>2025</v>
      </c>
      <c r="C389" s="146" t="str">
        <v>1</v>
      </c>
      <c r="D389" s="146" t="str">
        <v>VIGENTE</v>
      </c>
      <c r="E389" s="146" t="str">
        <v>20 - VIGENTE SIN ACTIVIDAD ACADEMICA</v>
      </c>
      <c r="F389" s="146" t="n">
        <v>10</v>
      </c>
    </row>
    <row r="390" ht="32" customHeight="1">
      <c r="A390" s="146" t="str">
        <v>ICDA</v>
      </c>
      <c r="B390" s="146" t="str">
        <v>2025</v>
      </c>
      <c r="C390" s="146" t="str">
        <v>2</v>
      </c>
      <c r="D390" s="146" t="str">
        <v>ELIMINADO</v>
      </c>
      <c r="E390" s="146" t="str">
        <v>11 - RENUNCIA POST INICIO CLASES</v>
      </c>
      <c r="F390" s="146" t="n">
        <v>1</v>
      </c>
    </row>
    <row r="391" ht="32" customHeight="1">
      <c r="A391" s="146" t="str">
        <v>ICDA</v>
      </c>
      <c r="B391" s="146" t="str">
        <v>2025</v>
      </c>
      <c r="C391" s="146" t="str">
        <v>2</v>
      </c>
      <c r="D391" s="146" t="str">
        <v>ELIMINADO</v>
      </c>
      <c r="E391" s="146" t="str">
        <v>23 - RETIRO - RETRACTO</v>
      </c>
      <c r="F391" s="146" t="n">
        <v>3</v>
      </c>
    </row>
    <row r="392" ht="32" customHeight="1">
      <c r="A392" s="146" t="str">
        <v>ICDA</v>
      </c>
      <c r="B392" s="146" t="str">
        <v>2026</v>
      </c>
      <c r="C392" s="146" t="str">
        <v>1</v>
      </c>
      <c r="D392" s="146" t="str">
        <v>ELIMINADO</v>
      </c>
      <c r="E392" s="146" t="str">
        <v>11 - RENUNCIA POST INICIO CLASES</v>
      </c>
      <c r="F392" s="146" t="n">
        <v>5</v>
      </c>
    </row>
    <row r="393" ht="32" customHeight="1">
      <c r="A393" s="146" t="str">
        <v>ICDA</v>
      </c>
      <c r="B393" s="146" t="str">
        <v>2026</v>
      </c>
      <c r="C393" s="146" t="str">
        <v>1</v>
      </c>
      <c r="D393" s="146" t="str">
        <v>ELIMINADO</v>
      </c>
      <c r="E393" s="146" t="str">
        <v>23 - RETIRO - RETRACTO</v>
      </c>
      <c r="F393" s="146" t="n">
        <v>4</v>
      </c>
    </row>
    <row r="394" ht="32" customHeight="1">
      <c r="A394" s="146" t="str">
        <v>ICDA</v>
      </c>
      <c r="B394" s="146" t="str">
        <v>2026</v>
      </c>
      <c r="C394" s="146" t="str">
        <v>1</v>
      </c>
      <c r="D394" s="146" t="str">
        <v>ELIMINADO</v>
      </c>
      <c r="E394" s="146" t="str">
        <v>24 - CAMBIO DE CARRERA</v>
      </c>
      <c r="F394" s="146" t="n">
        <v>4</v>
      </c>
    </row>
    <row r="395" ht="32" customHeight="1">
      <c r="A395" s="146" t="str">
        <v>ICDA</v>
      </c>
      <c r="B395" s="146" t="str">
        <v>2026</v>
      </c>
      <c r="C395" s="146" t="str">
        <v>1</v>
      </c>
      <c r="D395" s="146" t="str">
        <v>ELIMINADO</v>
      </c>
      <c r="E395" s="146" t="str">
        <v>8 - ELIMINADO SIN ACTIVIDAD ACADÉMICA</v>
      </c>
      <c r="F395" s="146" t="n">
        <v>3</v>
      </c>
    </row>
    <row r="396" ht="32" customHeight="1">
      <c r="A396" s="146" t="str">
        <v>ICDA</v>
      </c>
      <c r="B396" s="146" t="str">
        <v>2026</v>
      </c>
      <c r="C396" s="146" t="str">
        <v>1</v>
      </c>
      <c r="D396" s="146" t="str">
        <v>SUSPENDIDO</v>
      </c>
      <c r="E396" s="146" t="str">
        <v>2 - SUSPENSIÓN TEMPORAL</v>
      </c>
      <c r="F396" s="146" t="n">
        <v>2</v>
      </c>
    </row>
    <row r="397" ht="32" customHeight="1">
      <c r="A397" s="146" t="str">
        <v>ICDA</v>
      </c>
      <c r="B397" s="146" t="str">
        <v>2026</v>
      </c>
      <c r="C397" s="146" t="str">
        <v>1</v>
      </c>
      <c r="D397" s="146" t="str">
        <v>VIGENTE</v>
      </c>
      <c r="E397" s="146" t="str">
        <v>1 - ALUMNO REGULAR</v>
      </c>
      <c r="F397" s="146" t="n">
        <v>41</v>
      </c>
    </row>
    <row r="398" ht="32" customHeight="1">
      <c r="A398" s="146" t="str">
        <v>ICDA</v>
      </c>
      <c r="B398" s="146" t="str">
        <v>2026</v>
      </c>
      <c r="C398" s="146" t="str">
        <v>1</v>
      </c>
      <c r="D398" s="146" t="str">
        <v>VIGENTE</v>
      </c>
      <c r="E398" s="146" t="str">
        <v>38 - REINCORPORACION DE ACTIVIDADES</v>
      </c>
      <c r="F398" s="146" t="n">
        <v>2</v>
      </c>
    </row>
    <row r="399" ht="32" customHeight="1">
      <c r="A399" s="146" t="str">
        <v>ICDA</v>
      </c>
      <c r="B399" s="146" t="str">
        <v>2027</v>
      </c>
      <c r="C399" s="146" t="str">
        <v>1</v>
      </c>
      <c r="D399" s="146" t="str">
        <v>VIGENTE</v>
      </c>
      <c r="E399" s="146" t="str">
        <v>1 - ALUMNO REGULAR</v>
      </c>
      <c r="F399" s="146" t="n">
        <v>2</v>
      </c>
    </row>
    <row r="400" ht="32" customHeight="1">
      <c r="A400" s="146" t="str">
        <v>ICEX</v>
      </c>
      <c r="B400" s="146" t="str">
        <v>2027</v>
      </c>
      <c r="C400" s="146" t="str">
        <v>1</v>
      </c>
      <c r="D400" s="146" t="str">
        <v>VIGENTE</v>
      </c>
      <c r="E400" s="146" t="str">
        <v>1 - ALUMNO REGULAR</v>
      </c>
      <c r="F400" s="146" t="n">
        <v>2</v>
      </c>
    </row>
    <row r="401" ht="32" customHeight="1">
      <c r="A401" s="146" t="str">
        <v>ICIB</v>
      </c>
      <c r="B401" s="146" t="str">
        <v>2024</v>
      </c>
      <c r="C401" s="146" t="str">
        <v>1</v>
      </c>
      <c r="D401" s="146" t="str">
        <v>ELIMINADO</v>
      </c>
      <c r="E401" s="146" t="str">
        <v>11 - RENUNCIA POST INICIO CLASES</v>
      </c>
      <c r="F401" s="146" t="n">
        <v>5</v>
      </c>
    </row>
    <row r="402" ht="32" customHeight="1">
      <c r="A402" s="146" t="str">
        <v>ICIB</v>
      </c>
      <c r="B402" s="146" t="str">
        <v>2024</v>
      </c>
      <c r="C402" s="146" t="str">
        <v>1</v>
      </c>
      <c r="D402" s="146" t="str">
        <v>ELIMINADO</v>
      </c>
      <c r="E402" s="146" t="str">
        <v>12 - ELIMINADO MATRICULA SIN FIRMA</v>
      </c>
      <c r="F402" s="146" t="n">
        <v>3</v>
      </c>
    </row>
    <row r="403" ht="32" customHeight="1">
      <c r="A403" s="146" t="str">
        <v>ICIB</v>
      </c>
      <c r="B403" s="146" t="str">
        <v>2024</v>
      </c>
      <c r="C403" s="146" t="str">
        <v>1</v>
      </c>
      <c r="D403" s="146" t="str">
        <v>ELIMINADO</v>
      </c>
      <c r="E403" s="146" t="str">
        <v>23 - RETIRO - RETRACTO</v>
      </c>
      <c r="F403" s="146" t="n">
        <v>12</v>
      </c>
    </row>
    <row r="404" ht="32" customHeight="1">
      <c r="A404" s="146" t="str">
        <v>ICIB</v>
      </c>
      <c r="B404" s="146" t="str">
        <v>2024</v>
      </c>
      <c r="C404" s="146" t="str">
        <v>1</v>
      </c>
      <c r="D404" s="146" t="str">
        <v>ELIMINADO</v>
      </c>
      <c r="E404" s="146" t="str">
        <v>24 - CAMBIO DE CARRERA</v>
      </c>
      <c r="F404" s="146" t="n">
        <v>7</v>
      </c>
    </row>
    <row r="405" ht="32" customHeight="1">
      <c r="A405" s="146" t="str">
        <v>ICIB</v>
      </c>
      <c r="B405" s="146" t="str">
        <v>2024</v>
      </c>
      <c r="C405" s="146" t="str">
        <v>1</v>
      </c>
      <c r="D405" s="146" t="str">
        <v>ELIMINADO</v>
      </c>
      <c r="E405" s="146" t="str">
        <v>5 - RENUNCIA ENTRE PERIODOS</v>
      </c>
      <c r="F405" s="146" t="n">
        <v>1</v>
      </c>
    </row>
    <row r="406" ht="32" customHeight="1">
      <c r="A406" s="146" t="str">
        <v>ICIB</v>
      </c>
      <c r="B406" s="146" t="str">
        <v>2024</v>
      </c>
      <c r="C406" s="146" t="str">
        <v>1</v>
      </c>
      <c r="D406" s="146" t="str">
        <v>ELIMINADO</v>
      </c>
      <c r="E406" s="146" t="str">
        <v>7 - NO RENUEVA MATRICULA</v>
      </c>
      <c r="F406" s="146" t="n">
        <v>36</v>
      </c>
    </row>
    <row r="407" ht="32" customHeight="1">
      <c r="A407" s="146" t="str">
        <v>ICIB</v>
      </c>
      <c r="B407" s="146" t="str">
        <v>2024</v>
      </c>
      <c r="C407" s="146" t="str">
        <v>1</v>
      </c>
      <c r="D407" s="146" t="str">
        <v>ELIMINADO</v>
      </c>
      <c r="E407" s="146" t="str">
        <v>8 - ELIMINADO SIN ACTIVIDAD ACADÉMICA</v>
      </c>
      <c r="F407" s="146" t="n">
        <v>4</v>
      </c>
    </row>
    <row r="408" ht="32" customHeight="1">
      <c r="A408" s="146" t="str">
        <v>ICIB</v>
      </c>
      <c r="B408" s="146" t="str">
        <v>2024</v>
      </c>
      <c r="C408" s="146" t="str">
        <v>1</v>
      </c>
      <c r="D408" s="146" t="str">
        <v>SUSPENDIDO</v>
      </c>
      <c r="E408" s="146" t="str">
        <v>2 - SUSPENSIÓN TEMPORAL</v>
      </c>
      <c r="F408" s="146" t="n">
        <v>8</v>
      </c>
    </row>
    <row r="409" ht="32" customHeight="1">
      <c r="A409" s="146" t="str">
        <v>ICIB</v>
      </c>
      <c r="B409" s="146" t="str">
        <v>2024</v>
      </c>
      <c r="C409" s="146" t="str">
        <v>2</v>
      </c>
      <c r="D409" s="146" t="str">
        <v>ELIMINADO</v>
      </c>
      <c r="E409" s="146" t="str">
        <v>23 - RETIRO - RETRACTO</v>
      </c>
      <c r="F409" s="146" t="n">
        <v>4</v>
      </c>
    </row>
    <row r="410" ht="32" customHeight="1">
      <c r="A410" s="146" t="str">
        <v>ICIB</v>
      </c>
      <c r="B410" s="146" t="str">
        <v>2024</v>
      </c>
      <c r="C410" s="146" t="str">
        <v>2</v>
      </c>
      <c r="D410" s="146" t="str">
        <v>ELIMINADO</v>
      </c>
      <c r="E410" s="146" t="str">
        <v>7 - NO RENUEVA MATRICULA</v>
      </c>
      <c r="F410" s="146" t="n">
        <v>7</v>
      </c>
    </row>
    <row r="411" ht="32" customHeight="1">
      <c r="A411" s="146" t="str">
        <v>ICIB</v>
      </c>
      <c r="B411" s="146" t="str">
        <v>2024</v>
      </c>
      <c r="C411" s="146" t="str">
        <v>3</v>
      </c>
      <c r="D411" s="146" t="str">
        <v>ELIMINADO</v>
      </c>
      <c r="E411" s="146" t="str">
        <v>11 - RENUNCIA POST INICIO CLASES</v>
      </c>
      <c r="F411" s="146" t="n">
        <v>1</v>
      </c>
    </row>
    <row r="412" ht="32" customHeight="1">
      <c r="A412" s="146" t="str">
        <v>ICIB</v>
      </c>
      <c r="B412" s="146" t="str">
        <v>2024</v>
      </c>
      <c r="C412" s="146" t="str">
        <v>3</v>
      </c>
      <c r="D412" s="146" t="str">
        <v>ELIMINADO</v>
      </c>
      <c r="E412" s="146" t="str">
        <v>23 - RETIRO - RETRACTO</v>
      </c>
      <c r="F412" s="146" t="n">
        <v>1</v>
      </c>
    </row>
    <row r="413" ht="32" customHeight="1">
      <c r="A413" s="146" t="str">
        <v>ICIB</v>
      </c>
      <c r="B413" s="146" t="str">
        <v>2024</v>
      </c>
      <c r="C413" s="146" t="str">
        <v>3</v>
      </c>
      <c r="D413" s="146" t="str">
        <v>ELIMINADO</v>
      </c>
      <c r="E413" s="146" t="str">
        <v>24 - CAMBIO DE CARRERA</v>
      </c>
      <c r="F413" s="146" t="n">
        <v>1</v>
      </c>
    </row>
    <row r="414" ht="32" customHeight="1">
      <c r="A414" s="146" t="str">
        <v>ICIB</v>
      </c>
      <c r="B414" s="146" t="str">
        <v>2024</v>
      </c>
      <c r="C414" s="146" t="str">
        <v>3</v>
      </c>
      <c r="D414" s="146" t="str">
        <v>ELIMINADO</v>
      </c>
      <c r="E414" s="146" t="str">
        <v>7 - NO RENUEVA MATRICULA</v>
      </c>
      <c r="F414" s="146" t="n">
        <v>7</v>
      </c>
    </row>
    <row r="415" ht="32" customHeight="1">
      <c r="A415" s="146" t="str">
        <v>ICIB</v>
      </c>
      <c r="B415" s="146" t="str">
        <v>2024</v>
      </c>
      <c r="C415" s="146" t="str">
        <v>3</v>
      </c>
      <c r="D415" s="146" t="str">
        <v>SUSPENDIDO</v>
      </c>
      <c r="E415" s="146" t="str">
        <v>2 - SUSPENSIÓN TEMPORAL</v>
      </c>
      <c r="F415" s="146" t="n">
        <v>1</v>
      </c>
    </row>
    <row r="416" ht="32" customHeight="1">
      <c r="A416" s="146" t="str">
        <v>ICIB</v>
      </c>
      <c r="B416" s="146" t="str">
        <v>2025</v>
      </c>
      <c r="C416" s="146" t="str">
        <v>1</v>
      </c>
      <c r="D416" s="146" t="str">
        <v>ELIMINADO</v>
      </c>
      <c r="E416" s="146" t="str">
        <v>11 - RENUNCIA POST INICIO CLASES</v>
      </c>
      <c r="F416" s="146" t="n">
        <v>14</v>
      </c>
    </row>
    <row r="417" ht="32" customHeight="1">
      <c r="A417" s="146" t="str">
        <v>ICIB</v>
      </c>
      <c r="B417" s="146" t="str">
        <v>2025</v>
      </c>
      <c r="C417" s="146" t="str">
        <v>1</v>
      </c>
      <c r="D417" s="146" t="str">
        <v>ELIMINADO</v>
      </c>
      <c r="E417" s="146" t="str">
        <v>23 - RETIRO - RETRACTO</v>
      </c>
      <c r="F417" s="146" t="n">
        <v>11</v>
      </c>
    </row>
    <row r="418" ht="32" customHeight="1">
      <c r="A418" s="146" t="str">
        <v>ICIB</v>
      </c>
      <c r="B418" s="146" t="str">
        <v>2025</v>
      </c>
      <c r="C418" s="146" t="str">
        <v>1</v>
      </c>
      <c r="D418" s="146" t="str">
        <v>ELIMINADO</v>
      </c>
      <c r="E418" s="146" t="str">
        <v>24 - CAMBIO DE CARRERA</v>
      </c>
      <c r="F418" s="146" t="n">
        <v>4</v>
      </c>
    </row>
    <row r="419" ht="32" customHeight="1">
      <c r="A419" s="146" t="str">
        <v>ICIB</v>
      </c>
      <c r="B419" s="146" t="str">
        <v>2025</v>
      </c>
      <c r="C419" s="146" t="str">
        <v>1</v>
      </c>
      <c r="D419" s="146" t="str">
        <v>ELIMINADO</v>
      </c>
      <c r="E419" s="146" t="str">
        <v>7 - NO RENUEVA MATRICULA</v>
      </c>
      <c r="F419" s="146" t="n">
        <v>5</v>
      </c>
    </row>
    <row r="420" ht="32" customHeight="1">
      <c r="A420" s="146" t="str">
        <v>ICIB</v>
      </c>
      <c r="B420" s="146" t="str">
        <v>2025</v>
      </c>
      <c r="C420" s="146" t="str">
        <v>1</v>
      </c>
      <c r="D420" s="146" t="str">
        <v>SUSPENDIDO</v>
      </c>
      <c r="E420" s="146" t="str">
        <v>2 - SUSPENSIÓN TEMPORAL</v>
      </c>
      <c r="F420" s="146" t="n">
        <v>6</v>
      </c>
    </row>
    <row r="421" ht="32" customHeight="1">
      <c r="A421" s="146" t="str">
        <v>ICIB</v>
      </c>
      <c r="B421" s="146" t="str">
        <v>2025</v>
      </c>
      <c r="C421" s="146" t="str">
        <v>1</v>
      </c>
      <c r="D421" s="146" t="str">
        <v>TITULADO</v>
      </c>
      <c r="E421" s="146" t="str">
        <v>31 - TITULADO APROBADO</v>
      </c>
      <c r="F421" s="146" t="n">
        <v>21</v>
      </c>
    </row>
    <row r="422" ht="32" customHeight="1">
      <c r="A422" s="146" t="str">
        <v>ICIB</v>
      </c>
      <c r="B422" s="146" t="str">
        <v>2025</v>
      </c>
      <c r="C422" s="146" t="str">
        <v>1</v>
      </c>
      <c r="D422" s="146" t="str">
        <v>VIGENTE</v>
      </c>
      <c r="E422" s="146" t="str">
        <v>1 - ALUMNO REGULAR</v>
      </c>
      <c r="F422" s="146" t="n">
        <v>18</v>
      </c>
    </row>
    <row r="423" ht="32" customHeight="1">
      <c r="A423" s="146" t="str">
        <v>ICIB</v>
      </c>
      <c r="B423" s="146" t="str">
        <v>2025</v>
      </c>
      <c r="C423" s="146" t="str">
        <v>1</v>
      </c>
      <c r="D423" s="146" t="str">
        <v>VIGENTE</v>
      </c>
      <c r="E423" s="146" t="str">
        <v>20 - VIGENTE SIN ACTIVIDAD ACADEMICA</v>
      </c>
      <c r="F423" s="146" t="n">
        <v>14</v>
      </c>
    </row>
    <row r="424" ht="32" customHeight="1">
      <c r="A424" s="146" t="str">
        <v>ICIB</v>
      </c>
      <c r="B424" s="146" t="str">
        <v>2025</v>
      </c>
      <c r="C424" s="146" t="str">
        <v>2</v>
      </c>
      <c r="D424" s="146" t="str">
        <v>ELIMINADO</v>
      </c>
      <c r="E424" s="146" t="str">
        <v>11 - RENUNCIA POST INICIO CLASES</v>
      </c>
      <c r="F424" s="146" t="n">
        <v>6</v>
      </c>
    </row>
    <row r="425" ht="32" customHeight="1">
      <c r="A425" s="146" t="str">
        <v>ICIB</v>
      </c>
      <c r="B425" s="146" t="str">
        <v>2025</v>
      </c>
      <c r="C425" s="146" t="str">
        <v>2</v>
      </c>
      <c r="D425" s="146" t="str">
        <v>ELIMINADO</v>
      </c>
      <c r="E425" s="146" t="str">
        <v>23 - RETIRO - RETRACTO</v>
      </c>
      <c r="F425" s="146" t="n">
        <v>1</v>
      </c>
    </row>
    <row r="426" ht="32" customHeight="1">
      <c r="A426" s="146" t="str">
        <v>ICIB</v>
      </c>
      <c r="B426" s="146" t="str">
        <v>2025</v>
      </c>
      <c r="C426" s="146" t="str">
        <v>2</v>
      </c>
      <c r="D426" s="146" t="str">
        <v>ELIMINADO</v>
      </c>
      <c r="E426" s="146" t="str">
        <v>24 - CAMBIO DE CARRERA</v>
      </c>
      <c r="F426" s="146" t="n">
        <v>1</v>
      </c>
    </row>
    <row r="427" ht="32" customHeight="1">
      <c r="A427" s="146" t="str">
        <v>ICIB</v>
      </c>
      <c r="B427" s="146" t="str">
        <v>2025</v>
      </c>
      <c r="C427" s="146" t="str">
        <v>2</v>
      </c>
      <c r="D427" s="146" t="str">
        <v>SUSPENDIDO</v>
      </c>
      <c r="E427" s="146" t="str">
        <v>2 - SUSPENSIÓN TEMPORAL</v>
      </c>
      <c r="F427" s="146" t="n">
        <v>1</v>
      </c>
    </row>
    <row r="428" ht="32" customHeight="1">
      <c r="A428" s="146" t="str">
        <v>ICIB</v>
      </c>
      <c r="B428" s="146" t="str">
        <v>2025</v>
      </c>
      <c r="C428" s="146" t="str">
        <v>2</v>
      </c>
      <c r="D428" s="146" t="str">
        <v>VIGENTE</v>
      </c>
      <c r="E428" s="146" t="str">
        <v>1 - ALUMNO REGULAR</v>
      </c>
      <c r="F428" s="146" t="n">
        <v>12</v>
      </c>
    </row>
    <row r="429" ht="32" customHeight="1">
      <c r="A429" s="146" t="str">
        <v>ICIB</v>
      </c>
      <c r="B429" s="146" t="str">
        <v>2025</v>
      </c>
      <c r="C429" s="146" t="str">
        <v>2</v>
      </c>
      <c r="D429" s="146" t="str">
        <v>VIGENTE</v>
      </c>
      <c r="E429" s="146" t="str">
        <v>38 - REINCORPORACION DE ACTIVIDADES</v>
      </c>
      <c r="F429" s="146" t="n">
        <v>1</v>
      </c>
    </row>
    <row r="430" ht="32" customHeight="1">
      <c r="A430" s="146" t="str">
        <v>ICIB</v>
      </c>
      <c r="B430" s="146" t="str">
        <v>2025</v>
      </c>
      <c r="C430" s="146" t="str">
        <v>3</v>
      </c>
      <c r="D430" s="146" t="str">
        <v>ELIMINADO</v>
      </c>
      <c r="E430" s="146" t="str">
        <v>11 - RENUNCIA POST INICIO CLASES</v>
      </c>
      <c r="F430" s="146" t="n">
        <v>2</v>
      </c>
    </row>
    <row r="431" ht="32" customHeight="1">
      <c r="A431" s="146" t="str">
        <v>ICIB</v>
      </c>
      <c r="B431" s="146" t="str">
        <v>2025</v>
      </c>
      <c r="C431" s="146" t="str">
        <v>3</v>
      </c>
      <c r="D431" s="146" t="str">
        <v>SUSPENDIDO</v>
      </c>
      <c r="E431" s="146" t="str">
        <v>2 - SUSPENSIÓN TEMPORAL</v>
      </c>
      <c r="F431" s="146" t="n">
        <v>2</v>
      </c>
    </row>
    <row r="432" ht="32" customHeight="1">
      <c r="A432" s="146" t="str">
        <v>ICIB</v>
      </c>
      <c r="B432" s="146" t="str">
        <v>2025</v>
      </c>
      <c r="C432" s="146" t="str">
        <v>3</v>
      </c>
      <c r="D432" s="146" t="str">
        <v>VIGENTE</v>
      </c>
      <c r="E432" s="146" t="str">
        <v>1 - ALUMNO REGULAR</v>
      </c>
      <c r="F432" s="146" t="n">
        <v>8</v>
      </c>
    </row>
    <row r="433" ht="32" customHeight="1">
      <c r="A433" s="146" t="str">
        <v>ICIB</v>
      </c>
      <c r="B433" s="146" t="str">
        <v>2026</v>
      </c>
      <c r="C433" s="146" t="str">
        <v>1</v>
      </c>
      <c r="D433" s="146" t="str">
        <v>ELIMINADO</v>
      </c>
      <c r="E433" s="146" t="str">
        <v>11 - RENUNCIA POST INICIO CLASES</v>
      </c>
      <c r="F433" s="146" t="n">
        <v>16</v>
      </c>
    </row>
    <row r="434" ht="32" customHeight="1">
      <c r="A434" s="146" t="str">
        <v>ICIB</v>
      </c>
      <c r="B434" s="146" t="str">
        <v>2026</v>
      </c>
      <c r="C434" s="146" t="str">
        <v>1</v>
      </c>
      <c r="D434" s="146" t="str">
        <v>ELIMINADO</v>
      </c>
      <c r="E434" s="146" t="str">
        <v>23 - RETIRO - RETRACTO</v>
      </c>
      <c r="F434" s="146" t="n">
        <v>29</v>
      </c>
    </row>
    <row r="435" ht="32" customHeight="1">
      <c r="A435" s="146" t="str">
        <v>ICIB</v>
      </c>
      <c r="B435" s="146" t="str">
        <v>2026</v>
      </c>
      <c r="C435" s="146" t="str">
        <v>1</v>
      </c>
      <c r="D435" s="146" t="str">
        <v>ELIMINADO</v>
      </c>
      <c r="E435" s="146" t="str">
        <v>24 - CAMBIO DE CARRERA</v>
      </c>
      <c r="F435" s="146" t="n">
        <v>10</v>
      </c>
    </row>
    <row r="436" ht="32" customHeight="1">
      <c r="A436" s="146" t="str">
        <v>ICIB</v>
      </c>
      <c r="B436" s="146" t="str">
        <v>2026</v>
      </c>
      <c r="C436" s="146" t="str">
        <v>1</v>
      </c>
      <c r="D436" s="146" t="str">
        <v>ELIMINADO</v>
      </c>
      <c r="E436" s="146" t="str">
        <v>8 - ELIMINADO SIN ACTIVIDAD ACADÉMICA</v>
      </c>
      <c r="F436" s="146" t="n">
        <v>15</v>
      </c>
    </row>
    <row r="437" ht="32" customHeight="1">
      <c r="A437" s="146" t="str">
        <v>ICIB</v>
      </c>
      <c r="B437" s="146" t="str">
        <v>2026</v>
      </c>
      <c r="C437" s="146" t="str">
        <v>1</v>
      </c>
      <c r="D437" s="146" t="str">
        <v>SUSPENDIDO</v>
      </c>
      <c r="E437" s="146" t="str">
        <v>2 - SUSPENSIÓN TEMPORAL</v>
      </c>
      <c r="F437" s="146" t="n">
        <v>4</v>
      </c>
    </row>
    <row r="438" ht="32" customHeight="1">
      <c r="A438" s="146" t="str">
        <v>ICIB</v>
      </c>
      <c r="B438" s="146" t="str">
        <v>2026</v>
      </c>
      <c r="C438" s="146" t="str">
        <v>1</v>
      </c>
      <c r="D438" s="146" t="str">
        <v>TITULADO</v>
      </c>
      <c r="E438" s="146" t="str">
        <v>31 - TITULADO APROBADO</v>
      </c>
      <c r="F438" s="146" t="n">
        <v>7</v>
      </c>
    </row>
    <row r="439" ht="32" customHeight="1">
      <c r="A439" s="146" t="str">
        <v>ICIB</v>
      </c>
      <c r="B439" s="146" t="str">
        <v>2026</v>
      </c>
      <c r="C439" s="146" t="str">
        <v>1</v>
      </c>
      <c r="D439" s="146" t="str">
        <v>VIGENTE</v>
      </c>
      <c r="E439" s="146" t="str">
        <v>1 - ALUMNO REGULAR</v>
      </c>
      <c r="F439" s="146" t="n">
        <v>194</v>
      </c>
    </row>
    <row r="440" ht="32" customHeight="1">
      <c r="A440" s="146" t="str">
        <v>ICIB</v>
      </c>
      <c r="B440" s="146" t="str">
        <v>2026</v>
      </c>
      <c r="C440" s="146" t="str">
        <v>1</v>
      </c>
      <c r="D440" s="146" t="str">
        <v>VIGENTE</v>
      </c>
      <c r="E440" s="146" t="str">
        <v>100 - TITULACIÓN INTERMEDIA</v>
      </c>
      <c r="F440" s="146" t="n">
        <v>41</v>
      </c>
    </row>
    <row r="441" ht="32" customHeight="1">
      <c r="A441" s="146" t="str">
        <v>ICIB</v>
      </c>
      <c r="B441" s="146" t="str">
        <v>2026</v>
      </c>
      <c r="C441" s="146" t="str">
        <v>1</v>
      </c>
      <c r="D441" s="146" t="str">
        <v>VIGENTE</v>
      </c>
      <c r="E441" s="146" t="str">
        <v>38 - REINCORPORACION DE ACTIVIDADES</v>
      </c>
      <c r="F441" s="146" t="n">
        <v>3</v>
      </c>
    </row>
    <row r="442" ht="32" customHeight="1">
      <c r="A442" s="146" t="str">
        <v>ICIB</v>
      </c>
      <c r="B442" s="146" t="str">
        <v>2026</v>
      </c>
      <c r="C442" s="146" t="str">
        <v>1</v>
      </c>
      <c r="D442" s="146" t="str">
        <v>VIGENTE</v>
      </c>
      <c r="E442" s="146" t="str">
        <v>49 - CAMBIO DE JORNADA</v>
      </c>
      <c r="F442" s="146" t="n">
        <v>15</v>
      </c>
    </row>
    <row r="443" ht="32" customHeight="1">
      <c r="A443" s="146" t="str">
        <v>ICIB</v>
      </c>
      <c r="B443" s="146" t="str">
        <v>2026</v>
      </c>
      <c r="C443" s="146" t="str">
        <v>2</v>
      </c>
      <c r="D443" s="146" t="str">
        <v>ELIMINADO</v>
      </c>
      <c r="E443" s="146" t="str">
        <v>23 - RETIRO - RETRACTO</v>
      </c>
      <c r="F443" s="146" t="n">
        <v>5</v>
      </c>
    </row>
    <row r="444" ht="32" customHeight="1">
      <c r="A444" s="146" t="str">
        <v>ICIB</v>
      </c>
      <c r="B444" s="146" t="str">
        <v>2026</v>
      </c>
      <c r="C444" s="146" t="str">
        <v>2</v>
      </c>
      <c r="D444" s="146" t="str">
        <v>ELIMINADO</v>
      </c>
      <c r="E444" s="146" t="str">
        <v>24 - CAMBIO DE CARRERA</v>
      </c>
      <c r="F444" s="146" t="n">
        <v>3</v>
      </c>
    </row>
    <row r="445" ht="32" customHeight="1">
      <c r="A445" s="146" t="str">
        <v>ICIB</v>
      </c>
      <c r="B445" s="146" t="str">
        <v>2026</v>
      </c>
      <c r="C445" s="146" t="str">
        <v>2</v>
      </c>
      <c r="D445" s="146" t="str">
        <v>VIGENTE</v>
      </c>
      <c r="E445" s="146" t="str">
        <v>1 - ALUMNO REGULAR</v>
      </c>
      <c r="F445" s="146" t="n">
        <v>45</v>
      </c>
    </row>
    <row r="446" ht="32" customHeight="1">
      <c r="A446" s="146" t="str">
        <v>ICIB</v>
      </c>
      <c r="B446" s="146" t="str">
        <v>2026</v>
      </c>
      <c r="C446" s="146" t="str">
        <v>2</v>
      </c>
      <c r="D446" s="146" t="str">
        <v>VIGENTE</v>
      </c>
      <c r="E446" s="146" t="str">
        <v>100 - TITULACIÓN INTERMEDIA</v>
      </c>
      <c r="F446" s="146" t="n">
        <v>3</v>
      </c>
    </row>
    <row r="447" ht="32" customHeight="1">
      <c r="A447" s="146" t="str">
        <v>ICIB</v>
      </c>
      <c r="B447" s="146" t="str">
        <v>2026</v>
      </c>
      <c r="C447" s="146" t="str">
        <v>2</v>
      </c>
      <c r="D447" s="146" t="str">
        <v>VIGENTE</v>
      </c>
      <c r="E447" s="146" t="str">
        <v>38 - REINCORPORACION DE ACTIVIDADES</v>
      </c>
      <c r="F447" s="146" t="n">
        <v>1</v>
      </c>
    </row>
    <row r="448" ht="32" customHeight="1">
      <c r="A448" s="146" t="str">
        <v>ICIB</v>
      </c>
      <c r="B448" s="146" t="str">
        <v>2026</v>
      </c>
      <c r="C448" s="146" t="str">
        <v>2</v>
      </c>
      <c r="D448" s="146" t="str">
        <v>VIGENTE</v>
      </c>
      <c r="E448" s="146" t="str">
        <v>49 - CAMBIO DE JORNADA</v>
      </c>
      <c r="F448" s="146" t="n">
        <v>1</v>
      </c>
    </row>
    <row r="449" ht="32" customHeight="1">
      <c r="A449" s="146" t="str">
        <v>ICIB</v>
      </c>
      <c r="B449" s="146" t="str">
        <v>2026</v>
      </c>
      <c r="C449" s="146" t="str">
        <v>3</v>
      </c>
      <c r="D449" s="146" t="str">
        <v>ELIMINADO</v>
      </c>
      <c r="E449" s="146" t="str">
        <v>23 - RETIRO - RETRACTO</v>
      </c>
      <c r="F449" s="146" t="n">
        <v>4</v>
      </c>
    </row>
    <row r="450" ht="32" customHeight="1">
      <c r="A450" s="146" t="str">
        <v>ICIB</v>
      </c>
      <c r="B450" s="146" t="str">
        <v>2026</v>
      </c>
      <c r="C450" s="146" t="str">
        <v>3</v>
      </c>
      <c r="D450" s="146" t="str">
        <v>ELIMINADO</v>
      </c>
      <c r="E450" s="146" t="str">
        <v>24 - CAMBIO DE CARRERA</v>
      </c>
      <c r="F450" s="146" t="n">
        <v>1</v>
      </c>
    </row>
    <row r="451" ht="32" customHeight="1">
      <c r="A451" s="146" t="str">
        <v>ICIB</v>
      </c>
      <c r="B451" s="146" t="str">
        <v>2026</v>
      </c>
      <c r="C451" s="146" t="str">
        <v>3</v>
      </c>
      <c r="D451" s="146" t="str">
        <v>VIGENTE</v>
      </c>
      <c r="E451" s="146" t="str">
        <v>1 - ALUMNO REGULAR</v>
      </c>
      <c r="F451" s="146" t="n">
        <v>44</v>
      </c>
    </row>
    <row r="452" ht="32" customHeight="1">
      <c r="A452" s="146" t="str">
        <v>ICIB</v>
      </c>
      <c r="B452" s="146" t="str">
        <v>2026</v>
      </c>
      <c r="C452" s="146" t="str">
        <v>3</v>
      </c>
      <c r="D452" s="146" t="str">
        <v>VIGENTE</v>
      </c>
      <c r="E452" s="146" t="str">
        <v>38 - REINCORPORACION DE ACTIVIDADES</v>
      </c>
      <c r="F452" s="146" t="n">
        <v>1</v>
      </c>
    </row>
    <row r="453" ht="32" customHeight="1">
      <c r="A453" s="146" t="str">
        <v>ICIB</v>
      </c>
      <c r="B453" s="146" t="str">
        <v>2027</v>
      </c>
      <c r="C453" s="146" t="str">
        <v>1</v>
      </c>
      <c r="D453" s="146" t="str">
        <v>VIGENTE</v>
      </c>
      <c r="E453" s="146" t="str">
        <v>1 - ALUMNO REGULAR</v>
      </c>
      <c r="F453" s="146" t="n">
        <v>23</v>
      </c>
    </row>
    <row r="454" ht="32" customHeight="1">
      <c r="A454" s="146" t="str">
        <v>ICONSSP</v>
      </c>
      <c r="B454" s="146" t="str">
        <v>2027</v>
      </c>
      <c r="C454" s="146" t="str">
        <v>1</v>
      </c>
      <c r="D454" s="146" t="str">
        <v>VIGENTE</v>
      </c>
      <c r="E454" s="146" t="str">
        <v>1 - ALUMNO REGULAR</v>
      </c>
      <c r="F454" s="146" t="n">
        <v>6</v>
      </c>
    </row>
    <row r="455" ht="32" customHeight="1">
      <c r="A455" s="146" t="str">
        <v>ICRE</v>
      </c>
      <c r="B455" s="146" t="str">
        <v>2024</v>
      </c>
      <c r="C455" s="146" t="str">
        <v>1</v>
      </c>
      <c r="D455" s="146" t="str">
        <v>ELIMINADO</v>
      </c>
      <c r="E455" s="146" t="str">
        <v>11 - RENUNCIA POST INICIO CLASES</v>
      </c>
      <c r="F455" s="146" t="n">
        <v>1</v>
      </c>
    </row>
    <row r="456" ht="32" customHeight="1">
      <c r="A456" s="146" t="str">
        <v>ICRE</v>
      </c>
      <c r="B456" s="146" t="str">
        <v>2024</v>
      </c>
      <c r="C456" s="146" t="str">
        <v>1</v>
      </c>
      <c r="D456" s="146" t="str">
        <v>ELIMINADO</v>
      </c>
      <c r="E456" s="146" t="str">
        <v>12 - ELIMINADO MATRICULA SIN FIRMA</v>
      </c>
      <c r="F456" s="146" t="n">
        <v>1</v>
      </c>
    </row>
    <row r="457" ht="32" customHeight="1">
      <c r="A457" s="146" t="str">
        <v>ICRE</v>
      </c>
      <c r="B457" s="146" t="str">
        <v>2024</v>
      </c>
      <c r="C457" s="146" t="str">
        <v>1</v>
      </c>
      <c r="D457" s="146" t="str">
        <v>ELIMINADO</v>
      </c>
      <c r="E457" s="146" t="str">
        <v>23 - RETIRO - RETRACTO</v>
      </c>
      <c r="F457" s="146" t="n">
        <v>11</v>
      </c>
    </row>
    <row r="458" ht="32" customHeight="1">
      <c r="A458" s="146" t="str">
        <v>ICRE</v>
      </c>
      <c r="B458" s="146" t="str">
        <v>2024</v>
      </c>
      <c r="C458" s="146" t="str">
        <v>1</v>
      </c>
      <c r="D458" s="146" t="str">
        <v>ELIMINADO</v>
      </c>
      <c r="E458" s="146" t="str">
        <v>24 - CAMBIO DE CARRERA</v>
      </c>
      <c r="F458" s="146" t="n">
        <v>7</v>
      </c>
    </row>
    <row r="459" ht="32" customHeight="1">
      <c r="A459" s="146" t="str">
        <v>ICRE</v>
      </c>
      <c r="B459" s="146" t="str">
        <v>2024</v>
      </c>
      <c r="C459" s="146" t="str">
        <v>1</v>
      </c>
      <c r="D459" s="146" t="str">
        <v>ELIMINADO</v>
      </c>
      <c r="E459" s="146" t="str">
        <v>7 - NO RENUEVA MATRICULA</v>
      </c>
      <c r="F459" s="146" t="n">
        <v>28</v>
      </c>
    </row>
    <row r="460" ht="32" customHeight="1">
      <c r="A460" s="146" t="str">
        <v>ICRE</v>
      </c>
      <c r="B460" s="146" t="str">
        <v>2024</v>
      </c>
      <c r="C460" s="146" t="str">
        <v>1</v>
      </c>
      <c r="D460" s="146" t="str">
        <v>ELIMINADO</v>
      </c>
      <c r="E460" s="146" t="str">
        <v>8 - ELIMINADO SIN ACTIVIDAD ACADÉMICA</v>
      </c>
      <c r="F460" s="146" t="n">
        <v>2</v>
      </c>
    </row>
    <row r="461" ht="32" customHeight="1">
      <c r="A461" s="146" t="str">
        <v>ICRE</v>
      </c>
      <c r="B461" s="146" t="str">
        <v>2024</v>
      </c>
      <c r="C461" s="146" t="str">
        <v>1</v>
      </c>
      <c r="D461" s="146" t="str">
        <v>SUSPENDIDO</v>
      </c>
      <c r="E461" s="146" t="str">
        <v>2 - SUSPENSIÓN TEMPORAL</v>
      </c>
      <c r="F461" s="146" t="n">
        <v>2</v>
      </c>
    </row>
    <row r="462" ht="32" customHeight="1">
      <c r="A462" s="146" t="str">
        <v>ICRE</v>
      </c>
      <c r="B462" s="146" t="str">
        <v>2024</v>
      </c>
      <c r="C462" s="146" t="str">
        <v>2</v>
      </c>
      <c r="D462" s="146" t="str">
        <v>ELIMINADO</v>
      </c>
      <c r="E462" s="146" t="str">
        <v>12 - ELIMINADO MATRICULA SIN FIRMA</v>
      </c>
      <c r="F462" s="146" t="n">
        <v>1</v>
      </c>
    </row>
    <row r="463" ht="32" customHeight="1">
      <c r="A463" s="146" t="str">
        <v>ICRE</v>
      </c>
      <c r="B463" s="146" t="str">
        <v>2024</v>
      </c>
      <c r="C463" s="146" t="str">
        <v>2</v>
      </c>
      <c r="D463" s="146" t="str">
        <v>ELIMINADO</v>
      </c>
      <c r="E463" s="146" t="str">
        <v>23 - RETIRO - RETRACTO</v>
      </c>
      <c r="F463" s="146" t="n">
        <v>2</v>
      </c>
    </row>
    <row r="464" ht="32" customHeight="1">
      <c r="A464" s="146" t="str">
        <v>ICRE</v>
      </c>
      <c r="B464" s="146" t="str">
        <v>2024</v>
      </c>
      <c r="C464" s="146" t="str">
        <v>2</v>
      </c>
      <c r="D464" s="146" t="str">
        <v>ELIMINADO</v>
      </c>
      <c r="E464" s="146" t="str">
        <v>7 - NO RENUEVA MATRICULA</v>
      </c>
      <c r="F464" s="146" t="n">
        <v>3</v>
      </c>
    </row>
    <row r="465" ht="32" customHeight="1">
      <c r="A465" s="146" t="str">
        <v>ICRE</v>
      </c>
      <c r="B465" s="146" t="str">
        <v>2024</v>
      </c>
      <c r="C465" s="146" t="str">
        <v>2</v>
      </c>
      <c r="D465" s="146" t="str">
        <v>ELIMINADO</v>
      </c>
      <c r="E465" s="146" t="str">
        <v>8 - ELIMINADO SIN ACTIVIDAD ACADÉMICA</v>
      </c>
      <c r="F465" s="146" t="n">
        <v>1</v>
      </c>
    </row>
    <row r="466" ht="32" customHeight="1">
      <c r="A466" s="146" t="str">
        <v>ICRE</v>
      </c>
      <c r="B466" s="146" t="str">
        <v>2024</v>
      </c>
      <c r="C466" s="146" t="str">
        <v>2</v>
      </c>
      <c r="D466" s="146" t="str">
        <v>SUSPENDIDO</v>
      </c>
      <c r="E466" s="146" t="str">
        <v>2 - SUSPENSIÓN TEMPORAL</v>
      </c>
      <c r="F466" s="146" t="n">
        <v>1</v>
      </c>
    </row>
    <row r="467" ht="32" customHeight="1">
      <c r="A467" s="146" t="str">
        <v>ICRE</v>
      </c>
      <c r="B467" s="146" t="str">
        <v>2024</v>
      </c>
      <c r="C467" s="146" t="str">
        <v>3</v>
      </c>
      <c r="D467" s="146" t="str">
        <v>ELIMINADO</v>
      </c>
      <c r="E467" s="146" t="str">
        <v>23 - RETIRO - RETRACTO</v>
      </c>
      <c r="F467" s="146" t="n">
        <v>1</v>
      </c>
    </row>
    <row r="468" ht="32" customHeight="1">
      <c r="A468" s="146" t="str">
        <v>ICRE</v>
      </c>
      <c r="B468" s="146" t="str">
        <v>2025</v>
      </c>
      <c r="C468" s="146" t="str">
        <v>1</v>
      </c>
      <c r="D468" s="146" t="str">
        <v>ELIMINADO</v>
      </c>
      <c r="E468" s="146" t="str">
        <v>11 - RENUNCIA POST INICIO CLASES</v>
      </c>
      <c r="F468" s="146" t="n">
        <v>5</v>
      </c>
    </row>
    <row r="469" ht="32" customHeight="1">
      <c r="A469" s="146" t="str">
        <v>ICRE</v>
      </c>
      <c r="B469" s="146" t="str">
        <v>2025</v>
      </c>
      <c r="C469" s="146" t="str">
        <v>1</v>
      </c>
      <c r="D469" s="146" t="str">
        <v>ELIMINADO</v>
      </c>
      <c r="E469" s="146" t="str">
        <v>23 - RETIRO - RETRACTO</v>
      </c>
      <c r="F469" s="146" t="n">
        <v>5</v>
      </c>
    </row>
    <row r="470" ht="32" customHeight="1">
      <c r="A470" s="146" t="str">
        <v>ICRE</v>
      </c>
      <c r="B470" s="146" t="str">
        <v>2025</v>
      </c>
      <c r="C470" s="146" t="str">
        <v>1</v>
      </c>
      <c r="D470" s="146" t="str">
        <v>ELIMINADO</v>
      </c>
      <c r="E470" s="146" t="str">
        <v>24 - CAMBIO DE CARRERA</v>
      </c>
      <c r="F470" s="146" t="n">
        <v>9</v>
      </c>
    </row>
    <row r="471" ht="32" customHeight="1">
      <c r="A471" s="146" t="str">
        <v>ICRE</v>
      </c>
      <c r="B471" s="146" t="str">
        <v>2025</v>
      </c>
      <c r="C471" s="146" t="str">
        <v>1</v>
      </c>
      <c r="D471" s="146" t="str">
        <v>ELIMINADO</v>
      </c>
      <c r="E471" s="146" t="str">
        <v>7 - NO RENUEVA MATRICULA</v>
      </c>
      <c r="F471" s="146" t="n">
        <v>4</v>
      </c>
    </row>
    <row r="472" ht="32" customHeight="1">
      <c r="A472" s="146" t="str">
        <v>ICRE</v>
      </c>
      <c r="B472" s="146" t="str">
        <v>2025</v>
      </c>
      <c r="C472" s="146" t="str">
        <v>1</v>
      </c>
      <c r="D472" s="146" t="str">
        <v>ELIMINADO</v>
      </c>
      <c r="E472" s="146" t="str">
        <v>95 - DEFUNCIÓN</v>
      </c>
      <c r="F472" s="146" t="n">
        <v>1</v>
      </c>
    </row>
    <row r="473" ht="32" customHeight="1">
      <c r="A473" s="146" t="str">
        <v>ICRE</v>
      </c>
      <c r="B473" s="146" t="str">
        <v>2025</v>
      </c>
      <c r="C473" s="146" t="str">
        <v>1</v>
      </c>
      <c r="D473" s="146" t="str">
        <v>SUSPENDIDO</v>
      </c>
      <c r="E473" s="146" t="str">
        <v>2 - SUSPENSIÓN TEMPORAL</v>
      </c>
      <c r="F473" s="146" t="n">
        <v>3</v>
      </c>
    </row>
    <row r="474" ht="32" customHeight="1">
      <c r="A474" s="146" t="str">
        <v>ICRE</v>
      </c>
      <c r="B474" s="146" t="str">
        <v>2025</v>
      </c>
      <c r="C474" s="146" t="str">
        <v>1</v>
      </c>
      <c r="D474" s="146" t="str">
        <v>TITULADO</v>
      </c>
      <c r="E474" s="146" t="str">
        <v>31 - TITULADO APROBADO</v>
      </c>
      <c r="F474" s="146" t="n">
        <v>20</v>
      </c>
    </row>
    <row r="475" ht="32" customHeight="1">
      <c r="A475" s="146" t="str">
        <v>ICRE</v>
      </c>
      <c r="B475" s="146" t="str">
        <v>2025</v>
      </c>
      <c r="C475" s="146" t="str">
        <v>1</v>
      </c>
      <c r="D475" s="146" t="str">
        <v>VIGENTE</v>
      </c>
      <c r="E475" s="146" t="str">
        <v>1 - ALUMNO REGULAR</v>
      </c>
      <c r="F475" s="146" t="n">
        <v>10</v>
      </c>
    </row>
    <row r="476" ht="32" customHeight="1">
      <c r="A476" s="146" t="str">
        <v>ICRE</v>
      </c>
      <c r="B476" s="146" t="str">
        <v>2025</v>
      </c>
      <c r="C476" s="146" t="str">
        <v>1</v>
      </c>
      <c r="D476" s="146" t="str">
        <v>VIGENTE</v>
      </c>
      <c r="E476" s="146" t="str">
        <v>20 - VIGENTE SIN ACTIVIDAD ACADEMICA</v>
      </c>
      <c r="F476" s="146" t="n">
        <v>7</v>
      </c>
    </row>
    <row r="477" ht="32" customHeight="1">
      <c r="A477" s="146" t="str">
        <v>ICRE</v>
      </c>
      <c r="B477" s="146" t="str">
        <v>2025</v>
      </c>
      <c r="C477" s="146" t="str">
        <v>2</v>
      </c>
      <c r="D477" s="146" t="str">
        <v>ELIMINADO</v>
      </c>
      <c r="E477" s="146" t="str">
        <v>23 - RETIRO - RETRACTO</v>
      </c>
      <c r="F477" s="146" t="n">
        <v>4</v>
      </c>
    </row>
    <row r="478" ht="32" customHeight="1">
      <c r="A478" s="146" t="str">
        <v>ICRE</v>
      </c>
      <c r="B478" s="146" t="str">
        <v>2025</v>
      </c>
      <c r="C478" s="146" t="str">
        <v>2</v>
      </c>
      <c r="D478" s="146" t="str">
        <v>ELIMINADO</v>
      </c>
      <c r="E478" s="146" t="str">
        <v>24 - CAMBIO DE CARRERA</v>
      </c>
      <c r="F478" s="146" t="n">
        <v>1</v>
      </c>
    </row>
    <row r="479" ht="32" customHeight="1">
      <c r="A479" s="146" t="str">
        <v>ICRE</v>
      </c>
      <c r="B479" s="146" t="str">
        <v>2025</v>
      </c>
      <c r="C479" s="146" t="str">
        <v>2</v>
      </c>
      <c r="D479" s="146" t="str">
        <v>ELIMINADO</v>
      </c>
      <c r="E479" s="146" t="str">
        <v>7 - NO RENUEVA MATRICULA</v>
      </c>
      <c r="F479" s="146" t="n">
        <v>1</v>
      </c>
    </row>
    <row r="480" ht="32" customHeight="1">
      <c r="A480" s="146" t="str">
        <v>ICRE</v>
      </c>
      <c r="B480" s="146" t="str">
        <v>2026</v>
      </c>
      <c r="C480" s="146" t="str">
        <v>1</v>
      </c>
      <c r="D480" s="146" t="str">
        <v>ELIMINADO</v>
      </c>
      <c r="E480" s="146" t="str">
        <v>11 - RENUNCIA POST INICIO CLASES</v>
      </c>
      <c r="F480" s="146" t="n">
        <v>5</v>
      </c>
    </row>
    <row r="481" ht="32" customHeight="1">
      <c r="A481" s="146" t="str">
        <v>ICRE</v>
      </c>
      <c r="B481" s="146" t="str">
        <v>2026</v>
      </c>
      <c r="C481" s="146" t="str">
        <v>1</v>
      </c>
      <c r="D481" s="146" t="str">
        <v>ELIMINADO</v>
      </c>
      <c r="E481" s="146" t="str">
        <v>23 - RETIRO - RETRACTO</v>
      </c>
      <c r="F481" s="146" t="n">
        <v>7</v>
      </c>
    </row>
    <row r="482" ht="32" customHeight="1">
      <c r="A482" s="146" t="str">
        <v>ICRE</v>
      </c>
      <c r="B482" s="146" t="str">
        <v>2026</v>
      </c>
      <c r="C482" s="146" t="str">
        <v>1</v>
      </c>
      <c r="D482" s="146" t="str">
        <v>ELIMINADO</v>
      </c>
      <c r="E482" s="146" t="str">
        <v>24 - CAMBIO DE CARRERA</v>
      </c>
      <c r="F482" s="146" t="n">
        <v>4</v>
      </c>
    </row>
    <row r="483" ht="32" customHeight="1">
      <c r="A483" s="146" t="str">
        <v>ICRE</v>
      </c>
      <c r="B483" s="146" t="str">
        <v>2026</v>
      </c>
      <c r="C483" s="146" t="str">
        <v>1</v>
      </c>
      <c r="D483" s="146" t="str">
        <v>ELIMINADO</v>
      </c>
      <c r="E483" s="146" t="str">
        <v>8 - ELIMINADO SIN ACTIVIDAD ACADÉMICA</v>
      </c>
      <c r="F483" s="146" t="n">
        <v>3</v>
      </c>
    </row>
    <row r="484" ht="32" customHeight="1">
      <c r="A484" s="146" t="str">
        <v>ICRE</v>
      </c>
      <c r="B484" s="146" t="str">
        <v>2026</v>
      </c>
      <c r="C484" s="146" t="str">
        <v>1</v>
      </c>
      <c r="D484" s="146" t="str">
        <v>SUSPENDIDO</v>
      </c>
      <c r="E484" s="146" t="str">
        <v>2 - SUSPENSIÓN TEMPORAL</v>
      </c>
      <c r="F484" s="146" t="n">
        <v>1</v>
      </c>
    </row>
    <row r="485" ht="32" customHeight="1">
      <c r="A485" s="146" t="str">
        <v>ICRE</v>
      </c>
      <c r="B485" s="146" t="str">
        <v>2026</v>
      </c>
      <c r="C485" s="146" t="str">
        <v>1</v>
      </c>
      <c r="D485" s="146" t="str">
        <v>TITULADO</v>
      </c>
      <c r="E485" s="146" t="str">
        <v>31 - TITULADO APROBADO</v>
      </c>
      <c r="F485" s="146" t="n">
        <v>9</v>
      </c>
    </row>
    <row r="486" ht="32" customHeight="1">
      <c r="A486" s="146" t="str">
        <v>ICRE</v>
      </c>
      <c r="B486" s="146" t="str">
        <v>2026</v>
      </c>
      <c r="C486" s="146" t="str">
        <v>1</v>
      </c>
      <c r="D486" s="146" t="str">
        <v>VIGENTE</v>
      </c>
      <c r="E486" s="146" t="str">
        <v>1 - ALUMNO REGULAR</v>
      </c>
      <c r="F486" s="146" t="n">
        <v>104</v>
      </c>
    </row>
    <row r="487" ht="32" customHeight="1">
      <c r="A487" s="146" t="str">
        <v>ICRE</v>
      </c>
      <c r="B487" s="146" t="str">
        <v>2026</v>
      </c>
      <c r="C487" s="146" t="str">
        <v>1</v>
      </c>
      <c r="D487" s="146" t="str">
        <v>VIGENTE</v>
      </c>
      <c r="E487" s="146" t="str">
        <v>100 - TITULACIÓN INTERMEDIA</v>
      </c>
      <c r="F487" s="146" t="n">
        <v>30</v>
      </c>
    </row>
    <row r="488" ht="32" customHeight="1">
      <c r="A488" s="146" t="str">
        <v>ICRE</v>
      </c>
      <c r="B488" s="146" t="str">
        <v>2026</v>
      </c>
      <c r="C488" s="146" t="str">
        <v>1</v>
      </c>
      <c r="D488" s="146" t="str">
        <v>VIGENTE</v>
      </c>
      <c r="E488" s="146" t="str">
        <v>38 - REINCORPORACION DE ACTIVIDADES</v>
      </c>
      <c r="F488" s="146" t="n">
        <v>3</v>
      </c>
    </row>
    <row r="489" ht="32" customHeight="1">
      <c r="A489" s="146" t="str">
        <v>ICRE</v>
      </c>
      <c r="B489" s="146" t="str">
        <v>2026</v>
      </c>
      <c r="C489" s="146" t="str">
        <v>1</v>
      </c>
      <c r="D489" s="146" t="str">
        <v>VIGENTE</v>
      </c>
      <c r="E489" s="146" t="str">
        <v>49 - CAMBIO DE JORNADA</v>
      </c>
      <c r="F489" s="146" t="n">
        <v>1</v>
      </c>
    </row>
    <row r="490" ht="32" customHeight="1">
      <c r="A490" s="146" t="str">
        <v>ICRE</v>
      </c>
      <c r="B490" s="146" t="str">
        <v>2026</v>
      </c>
      <c r="C490" s="146" t="str">
        <v>2</v>
      </c>
      <c r="D490" s="146" t="str">
        <v>VIGENTE</v>
      </c>
      <c r="E490" s="146" t="str">
        <v>1 - ALUMNO REGULAR</v>
      </c>
      <c r="F490" s="146" t="n">
        <v>1</v>
      </c>
    </row>
    <row r="491" ht="32" customHeight="1">
      <c r="A491" s="146" t="str">
        <v>ICRE</v>
      </c>
      <c r="B491" s="146" t="str">
        <v>2026</v>
      </c>
      <c r="C491" s="146" t="str">
        <v>2</v>
      </c>
      <c r="D491" s="146" t="str">
        <v>VIGENTE</v>
      </c>
      <c r="E491" s="146" t="str">
        <v>100 - TITULACIÓN INTERMEDIA</v>
      </c>
      <c r="F491" s="146" t="n">
        <v>1</v>
      </c>
    </row>
    <row r="492" ht="32" customHeight="1">
      <c r="A492" s="146" t="str">
        <v>ICRE</v>
      </c>
      <c r="B492" s="146" t="str">
        <v>2026</v>
      </c>
      <c r="C492" s="146" t="str">
        <v>2</v>
      </c>
      <c r="D492" s="146" t="str">
        <v>VIGENTE</v>
      </c>
      <c r="E492" s="146" t="str">
        <v>38 - REINCORPORACION DE ACTIVIDADES</v>
      </c>
      <c r="F492" s="146" t="n">
        <v>1</v>
      </c>
    </row>
    <row r="493" ht="32" customHeight="1">
      <c r="A493" s="146" t="str">
        <v>ICRE</v>
      </c>
      <c r="B493" s="146" t="str">
        <v>2027</v>
      </c>
      <c r="C493" s="146" t="str">
        <v>1</v>
      </c>
      <c r="D493" s="146" t="str">
        <v>ELIMINADO</v>
      </c>
      <c r="E493" s="146" t="str">
        <v>24 - CAMBIO DE CARRERA</v>
      </c>
      <c r="F493" s="146" t="n">
        <v>1</v>
      </c>
    </row>
    <row r="494" ht="32" customHeight="1">
      <c r="A494" s="146" t="str">
        <v>ICRE</v>
      </c>
      <c r="B494" s="146" t="str">
        <v>2027</v>
      </c>
      <c r="C494" s="146" t="str">
        <v>1</v>
      </c>
      <c r="D494" s="146" t="str">
        <v>VIGENTE</v>
      </c>
      <c r="E494" s="146" t="str">
        <v>1 - ALUMNO REGULAR</v>
      </c>
      <c r="F494" s="146" t="n">
        <v>5</v>
      </c>
    </row>
    <row r="495" ht="32" customHeight="1">
      <c r="A495" s="146" t="str">
        <v>IECIRE</v>
      </c>
      <c r="B495" s="146" t="str">
        <v>2013</v>
      </c>
      <c r="C495" s="146" t="str">
        <v>1</v>
      </c>
      <c r="D495" s="146" t="str">
        <v>ELIMINADO</v>
      </c>
      <c r="E495" s="146" t="str">
        <v>100 - TITULACIÓN INTERMEDIA</v>
      </c>
      <c r="F495" s="146" t="n">
        <v>1</v>
      </c>
    </row>
    <row r="496" ht="32" customHeight="1">
      <c r="A496" s="146" t="str">
        <v>IECIRE</v>
      </c>
      <c r="B496" s="146" t="str">
        <v>2013</v>
      </c>
      <c r="C496" s="146" t="str">
        <v>1</v>
      </c>
      <c r="D496" s="146" t="str">
        <v>ELIMINADO</v>
      </c>
      <c r="E496" s="146" t="str">
        <v>24 - CAMBIO DE CARRERA</v>
      </c>
      <c r="F496" s="146" t="n">
        <v>39</v>
      </c>
    </row>
    <row r="497" ht="32" customHeight="1">
      <c r="A497" s="146" t="str">
        <v>IECIRE</v>
      </c>
      <c r="B497" s="146" t="str">
        <v>2013</v>
      </c>
      <c r="C497" s="146" t="str">
        <v>1</v>
      </c>
      <c r="D497" s="146" t="str">
        <v>ELIMINADO</v>
      </c>
      <c r="E497" s="146" t="str">
        <v>3 - ELIMINACION AUTOMATICA</v>
      </c>
      <c r="F497" s="146" t="n">
        <v>2</v>
      </c>
    </row>
    <row r="498" ht="32" customHeight="1">
      <c r="A498" s="146" t="str">
        <v>IECIRE</v>
      </c>
      <c r="B498" s="146" t="str">
        <v>2013</v>
      </c>
      <c r="C498" s="146" t="str">
        <v>1</v>
      </c>
      <c r="D498" s="146" t="str">
        <v>TITULADO</v>
      </c>
      <c r="E498" s="146" t="str">
        <v>31 - TITULADO APROBADO</v>
      </c>
      <c r="F498" s="146" t="n">
        <v>8</v>
      </c>
    </row>
    <row r="499" ht="32" customHeight="1">
      <c r="A499" s="146" t="str">
        <v>IECIRE</v>
      </c>
      <c r="B499" s="146" t="str">
        <v>2013</v>
      </c>
      <c r="C499" s="146" t="str">
        <v>2</v>
      </c>
      <c r="D499" s="146" t="str">
        <v>TITULADO</v>
      </c>
      <c r="E499" s="146" t="str">
        <v>31 - TITULADO APROBADO</v>
      </c>
      <c r="F499" s="146" t="n">
        <v>1</v>
      </c>
    </row>
    <row r="500" ht="32" customHeight="1">
      <c r="A500" s="146" t="str">
        <v>IECIRE</v>
      </c>
      <c r="B500" s="146" t="str">
        <v>2014</v>
      </c>
      <c r="C500" s="146" t="str">
        <v>1</v>
      </c>
      <c r="D500" s="146" t="str">
        <v>ELIMINADO</v>
      </c>
      <c r="E500" s="146" t="str">
        <v>100 - TITULACIÓN INTERMEDIA</v>
      </c>
      <c r="F500" s="146" t="n">
        <v>3</v>
      </c>
    </row>
    <row r="501" ht="32" customHeight="1">
      <c r="A501" s="146" t="str">
        <v>IECIRE</v>
      </c>
      <c r="B501" s="146" t="str">
        <v>2014</v>
      </c>
      <c r="C501" s="146" t="str">
        <v>1</v>
      </c>
      <c r="D501" s="146" t="str">
        <v>ELIMINADO</v>
      </c>
      <c r="E501" s="146" t="str">
        <v>24 - CAMBIO DE CARRERA</v>
      </c>
      <c r="F501" s="146" t="n">
        <v>34</v>
      </c>
    </row>
    <row r="502" ht="32" customHeight="1">
      <c r="A502" s="146" t="str">
        <v>IECIRE</v>
      </c>
      <c r="B502" s="146" t="str">
        <v>2014</v>
      </c>
      <c r="C502" s="146" t="str">
        <v>1</v>
      </c>
      <c r="D502" s="146" t="str">
        <v>ELIMINADO</v>
      </c>
      <c r="E502" s="146" t="str">
        <v>3 - ELIMINACION AUTOMATICA</v>
      </c>
      <c r="F502" s="146" t="n">
        <v>3</v>
      </c>
    </row>
    <row r="503" ht="32" customHeight="1">
      <c r="A503" s="146" t="str">
        <v>IECIRE</v>
      </c>
      <c r="B503" s="146" t="str">
        <v>2014</v>
      </c>
      <c r="C503" s="146" t="str">
        <v>1</v>
      </c>
      <c r="D503" s="146" t="str">
        <v>ELIMINADO</v>
      </c>
      <c r="E503" s="146" t="str">
        <v>49 - CAMBIO DE JORNADA</v>
      </c>
      <c r="F503" s="146" t="n">
        <v>2</v>
      </c>
    </row>
    <row r="504" ht="32" customHeight="1">
      <c r="A504" s="146" t="str">
        <v>IECIRE</v>
      </c>
      <c r="B504" s="146" t="str">
        <v>2014</v>
      </c>
      <c r="C504" s="146" t="str">
        <v>1</v>
      </c>
      <c r="D504" s="146" t="str">
        <v>TITULADO</v>
      </c>
      <c r="E504" s="146" t="str">
        <v>31 - TITULADO APROBADO</v>
      </c>
      <c r="F504" s="146" t="n">
        <v>11</v>
      </c>
    </row>
    <row r="505" ht="32" customHeight="1">
      <c r="A505" s="146" t="str">
        <v>IECIRE</v>
      </c>
      <c r="B505" s="146" t="str">
        <v>2014</v>
      </c>
      <c r="C505" s="146" t="str">
        <v>2</v>
      </c>
      <c r="D505" s="146" t="str">
        <v>ELIMINADO</v>
      </c>
      <c r="E505" s="146" t="str">
        <v>24 - CAMBIO DE CARRERA</v>
      </c>
      <c r="F505" s="146" t="n">
        <v>3</v>
      </c>
    </row>
    <row r="506" ht="32" customHeight="1">
      <c r="A506" s="146" t="str">
        <v>IECIRE</v>
      </c>
      <c r="B506" s="146" t="str">
        <v>2015</v>
      </c>
      <c r="C506" s="146" t="str">
        <v>1</v>
      </c>
      <c r="D506" s="146" t="str">
        <v>ELIMINADO</v>
      </c>
      <c r="E506" s="146" t="str">
        <v>100 - TITULACIÓN INTERMEDIA</v>
      </c>
      <c r="F506" s="146" t="n">
        <v>2</v>
      </c>
    </row>
    <row r="507" ht="32" customHeight="1">
      <c r="A507" s="146" t="str">
        <v>IECIRE</v>
      </c>
      <c r="B507" s="146" t="str">
        <v>2015</v>
      </c>
      <c r="C507" s="146" t="str">
        <v>1</v>
      </c>
      <c r="D507" s="146" t="str">
        <v>ELIMINADO</v>
      </c>
      <c r="E507" s="146" t="str">
        <v>24 - CAMBIO DE CARRERA</v>
      </c>
      <c r="F507" s="146" t="n">
        <v>31</v>
      </c>
    </row>
    <row r="508" ht="32" customHeight="1">
      <c r="A508" s="146" t="str">
        <v>IECIRE</v>
      </c>
      <c r="B508" s="146" t="str">
        <v>2015</v>
      </c>
      <c r="C508" s="146" t="str">
        <v>1</v>
      </c>
      <c r="D508" s="146" t="str">
        <v>ELIMINADO</v>
      </c>
      <c r="E508" s="146" t="str">
        <v>3 - ELIMINACION AUTOMATICA</v>
      </c>
      <c r="F508" s="146" t="n">
        <v>1</v>
      </c>
    </row>
    <row r="509" ht="32" customHeight="1">
      <c r="A509" s="146" t="str">
        <v>IECIRE</v>
      </c>
      <c r="B509" s="146" t="str">
        <v>2015</v>
      </c>
      <c r="C509" s="146" t="str">
        <v>1</v>
      </c>
      <c r="D509" s="146" t="str">
        <v>ELIMINADO</v>
      </c>
      <c r="E509" s="146" t="str">
        <v>38 - REINCORPORACION DE ACTIVIDADES</v>
      </c>
      <c r="F509" s="146" t="n">
        <v>1</v>
      </c>
    </row>
    <row r="510" ht="32" customHeight="1">
      <c r="A510" s="146" t="str">
        <v>IECIRE</v>
      </c>
      <c r="B510" s="146" t="str">
        <v>2015</v>
      </c>
      <c r="C510" s="146" t="str">
        <v>1</v>
      </c>
      <c r="D510" s="146" t="str">
        <v>ELIMINADO</v>
      </c>
      <c r="E510" s="146" t="str">
        <v>49 - CAMBIO DE JORNADA</v>
      </c>
      <c r="F510" s="146" t="n">
        <v>3</v>
      </c>
    </row>
    <row r="511" ht="32" customHeight="1">
      <c r="A511" s="146" t="str">
        <v>IECIRE</v>
      </c>
      <c r="B511" s="146" t="str">
        <v>2015</v>
      </c>
      <c r="C511" s="146" t="str">
        <v>1</v>
      </c>
      <c r="D511" s="146" t="str">
        <v>ELIMINADO</v>
      </c>
      <c r="E511" s="146" t="str">
        <v>5 - RENUNCIA ENTRE PERIODOS</v>
      </c>
      <c r="F511" s="146" t="n">
        <v>1</v>
      </c>
    </row>
    <row r="512" ht="32" customHeight="1">
      <c r="A512" s="146" t="str">
        <v>IECIRE</v>
      </c>
      <c r="B512" s="146" t="str">
        <v>2015</v>
      </c>
      <c r="C512" s="146" t="str">
        <v>1</v>
      </c>
      <c r="D512" s="146" t="str">
        <v>TITULADO</v>
      </c>
      <c r="E512" s="146" t="str">
        <v>31 - TITULADO APROBADO</v>
      </c>
      <c r="F512" s="146" t="n">
        <v>10</v>
      </c>
    </row>
    <row r="513" ht="32" customHeight="1">
      <c r="A513" s="146" t="str">
        <v>IECIRE</v>
      </c>
      <c r="B513" s="146" t="str">
        <v>2015</v>
      </c>
      <c r="C513" s="146" t="str">
        <v>2</v>
      </c>
      <c r="D513" s="146" t="str">
        <v>TITULADO</v>
      </c>
      <c r="E513" s="146" t="str">
        <v>31 - TITULADO APROBADO</v>
      </c>
      <c r="F513" s="146" t="n">
        <v>1</v>
      </c>
    </row>
    <row r="514" ht="32" customHeight="1">
      <c r="A514" s="146" t="str">
        <v>IECIRE</v>
      </c>
      <c r="B514" s="146" t="str">
        <v>2016</v>
      </c>
      <c r="C514" s="146" t="str">
        <v>1</v>
      </c>
      <c r="D514" s="146" t="str">
        <v>ELIMINADO</v>
      </c>
      <c r="E514" s="146" t="str">
        <v>24 - CAMBIO DE CARRERA</v>
      </c>
      <c r="F514" s="146" t="n">
        <v>5</v>
      </c>
    </row>
    <row r="515" ht="32" customHeight="1">
      <c r="A515" s="146" t="str">
        <v>IECIRE</v>
      </c>
      <c r="B515" s="146" t="str">
        <v>2016</v>
      </c>
      <c r="C515" s="146" t="str">
        <v>1</v>
      </c>
      <c r="D515" s="146" t="str">
        <v>ELIMINADO</v>
      </c>
      <c r="E515" s="146" t="str">
        <v>3 - ELIMINACION AUTOMATICA</v>
      </c>
      <c r="F515" s="146" t="n">
        <v>24</v>
      </c>
    </row>
    <row r="516" ht="32" customHeight="1">
      <c r="A516" s="146" t="str">
        <v>IECIRE</v>
      </c>
      <c r="B516" s="146" t="str">
        <v>2016</v>
      </c>
      <c r="C516" s="146" t="str">
        <v>1</v>
      </c>
      <c r="D516" s="146" t="str">
        <v>ELIMINADO</v>
      </c>
      <c r="E516" s="146" t="str">
        <v>38 - REINCORPORACION DE ACTIVIDADES</v>
      </c>
      <c r="F516" s="146" t="n">
        <v>2</v>
      </c>
    </row>
    <row r="517" ht="32" customHeight="1">
      <c r="A517" s="146" t="str">
        <v>IECIRE</v>
      </c>
      <c r="B517" s="146" t="str">
        <v>2016</v>
      </c>
      <c r="C517" s="146" t="str">
        <v>1</v>
      </c>
      <c r="D517" s="146" t="str">
        <v>ELIMINADO</v>
      </c>
      <c r="E517" s="146" t="str">
        <v>7 - NO RENUEVA MATRICULA</v>
      </c>
      <c r="F517" s="146" t="n">
        <v>4</v>
      </c>
    </row>
    <row r="518" ht="32" customHeight="1">
      <c r="A518" s="146" t="str">
        <v>IECIRE</v>
      </c>
      <c r="B518" s="146" t="str">
        <v>2016</v>
      </c>
      <c r="C518" s="146" t="str">
        <v>1</v>
      </c>
      <c r="D518" s="146" t="str">
        <v>TITULADO</v>
      </c>
      <c r="E518" s="146" t="str">
        <v>31 - TITULADO APROBADO</v>
      </c>
      <c r="F518" s="146" t="n">
        <v>14</v>
      </c>
    </row>
    <row r="519" ht="32" customHeight="1">
      <c r="A519" s="146" t="str">
        <v>IECIRE</v>
      </c>
      <c r="B519" s="146" t="str">
        <v>2016</v>
      </c>
      <c r="C519" s="146" t="str">
        <v>2</v>
      </c>
      <c r="D519" s="146" t="str">
        <v>ELIMINADO</v>
      </c>
      <c r="E519" s="146" t="str">
        <v>1 - ALUMNO REGULAR</v>
      </c>
      <c r="F519" s="146" t="n">
        <v>1</v>
      </c>
    </row>
    <row r="520" ht="32" customHeight="1">
      <c r="A520" s="146" t="str">
        <v>IECIRE</v>
      </c>
      <c r="B520" s="146" t="str">
        <v>2016</v>
      </c>
      <c r="C520" s="146" t="str">
        <v>2</v>
      </c>
      <c r="D520" s="146" t="str">
        <v>ELIMINADO</v>
      </c>
      <c r="E520" s="146" t="str">
        <v>3 - ELIMINACION AUTOMATICA</v>
      </c>
      <c r="F520" s="146" t="n">
        <v>1</v>
      </c>
    </row>
    <row r="521" ht="32" customHeight="1">
      <c r="A521" s="146" t="str">
        <v>IECIRE</v>
      </c>
      <c r="B521" s="146" t="str">
        <v>2016</v>
      </c>
      <c r="C521" s="146" t="str">
        <v>2</v>
      </c>
      <c r="D521" s="146" t="str">
        <v>TITULADO</v>
      </c>
      <c r="E521" s="146" t="str">
        <v>31 - TITULADO APROBADO</v>
      </c>
      <c r="F521" s="146" t="n">
        <v>1</v>
      </c>
    </row>
    <row r="522" ht="32" customHeight="1">
      <c r="A522" s="146" t="str">
        <v>IECIRE</v>
      </c>
      <c r="B522" s="146" t="str">
        <v>2017</v>
      </c>
      <c r="C522" s="146" t="str">
        <v>1</v>
      </c>
      <c r="D522" s="146" t="str">
        <v>ELIMINADO</v>
      </c>
      <c r="E522" s="146" t="str">
        <v>23 - RETIRO - RETRACTO</v>
      </c>
      <c r="F522" s="146" t="n">
        <v>4</v>
      </c>
    </row>
    <row r="523" ht="32" customHeight="1">
      <c r="A523" s="146" t="str">
        <v>IECIRE</v>
      </c>
      <c r="B523" s="146" t="str">
        <v>2017</v>
      </c>
      <c r="C523" s="146" t="str">
        <v>1</v>
      </c>
      <c r="D523" s="146" t="str">
        <v>ELIMINADO</v>
      </c>
      <c r="E523" s="146" t="str">
        <v>24 - CAMBIO DE CARRERA</v>
      </c>
      <c r="F523" s="146" t="n">
        <v>7</v>
      </c>
    </row>
    <row r="524" ht="32" customHeight="1">
      <c r="A524" s="146" t="str">
        <v>IECIRE</v>
      </c>
      <c r="B524" s="146" t="str">
        <v>2017</v>
      </c>
      <c r="C524" s="146" t="str">
        <v>1</v>
      </c>
      <c r="D524" s="146" t="str">
        <v>ELIMINADO</v>
      </c>
      <c r="E524" s="146" t="str">
        <v>3 - ELIMINACION AUTOMATICA</v>
      </c>
      <c r="F524" s="146" t="n">
        <v>47</v>
      </c>
    </row>
    <row r="525" ht="32" customHeight="1">
      <c r="A525" s="146" t="str">
        <v>IECIRE</v>
      </c>
      <c r="B525" s="146" t="str">
        <v>2017</v>
      </c>
      <c r="C525" s="146" t="str">
        <v>1</v>
      </c>
      <c r="D525" s="146" t="str">
        <v>TITULADO</v>
      </c>
      <c r="E525" s="146" t="str">
        <v>31 - TITULADO APROBADO</v>
      </c>
      <c r="F525" s="146" t="n">
        <v>13</v>
      </c>
    </row>
    <row r="526" ht="32" customHeight="1">
      <c r="A526" s="146" t="str">
        <v>IECIRE</v>
      </c>
      <c r="B526" s="146" t="str">
        <v>2017</v>
      </c>
      <c r="C526" s="146" t="str">
        <v>2</v>
      </c>
      <c r="D526" s="146" t="str">
        <v>ELIMINADO</v>
      </c>
      <c r="E526" s="146" t="str">
        <v>38 - REINCORPORACION DE ACTIVIDADES</v>
      </c>
      <c r="F526" s="146" t="n">
        <v>2</v>
      </c>
    </row>
    <row r="527" ht="32" customHeight="1">
      <c r="A527" s="146" t="str">
        <v>IECIRE</v>
      </c>
      <c r="B527" s="146" t="str">
        <v>2017</v>
      </c>
      <c r="C527" s="146" t="str">
        <v>2</v>
      </c>
      <c r="D527" s="146" t="str">
        <v>TITULADO</v>
      </c>
      <c r="E527" s="146" t="str">
        <v>31 - TITULADO APROBADO</v>
      </c>
      <c r="F527" s="146" t="n">
        <v>1</v>
      </c>
    </row>
    <row r="528" ht="32" customHeight="1">
      <c r="A528" s="146" t="str">
        <v>IECIRE</v>
      </c>
      <c r="B528" s="146" t="str">
        <v>2018</v>
      </c>
      <c r="C528" s="146" t="str">
        <v>1</v>
      </c>
      <c r="D528" s="146" t="str">
        <v>ELIMINADO</v>
      </c>
      <c r="E528" s="146" t="str">
        <v>23 - RETIRO - RETRACTO</v>
      </c>
      <c r="F528" s="146" t="n">
        <v>2</v>
      </c>
    </row>
    <row r="529" ht="32" customHeight="1">
      <c r="A529" s="146" t="str">
        <v>IECIRE</v>
      </c>
      <c r="B529" s="146" t="str">
        <v>2018</v>
      </c>
      <c r="C529" s="146" t="str">
        <v>1</v>
      </c>
      <c r="D529" s="146" t="str">
        <v>ELIMINADO</v>
      </c>
      <c r="E529" s="146" t="str">
        <v>24 - CAMBIO DE CARRERA</v>
      </c>
      <c r="F529" s="146" t="n">
        <v>4</v>
      </c>
    </row>
    <row r="530" ht="32" customHeight="1">
      <c r="A530" s="146" t="str">
        <v>IECIRE</v>
      </c>
      <c r="B530" s="146" t="str">
        <v>2018</v>
      </c>
      <c r="C530" s="146" t="str">
        <v>1</v>
      </c>
      <c r="D530" s="146" t="str">
        <v>ELIMINADO</v>
      </c>
      <c r="E530" s="146" t="str">
        <v>3 - ELIMINACION AUTOMATICA</v>
      </c>
      <c r="F530" s="146" t="n">
        <v>21</v>
      </c>
    </row>
    <row r="531" ht="32" customHeight="1">
      <c r="A531" s="146" t="str">
        <v>IECIRE</v>
      </c>
      <c r="B531" s="146" t="str">
        <v>2018</v>
      </c>
      <c r="C531" s="146" t="str">
        <v>1</v>
      </c>
      <c r="D531" s="146" t="str">
        <v>ELIMINADO</v>
      </c>
      <c r="E531" s="146" t="str">
        <v>38 - REINCORPORACION DE ACTIVIDADES</v>
      </c>
      <c r="F531" s="146" t="n">
        <v>1</v>
      </c>
    </row>
    <row r="532" ht="32" customHeight="1">
      <c r="A532" s="146" t="str">
        <v>IECIRE</v>
      </c>
      <c r="B532" s="146" t="str">
        <v>2018</v>
      </c>
      <c r="C532" s="146" t="str">
        <v>1</v>
      </c>
      <c r="D532" s="146" t="str">
        <v>SUSPENDIDO</v>
      </c>
      <c r="E532" s="146" t="str">
        <v>2 - SUSPENSIÓN TEMPORAL</v>
      </c>
      <c r="F532" s="146" t="n">
        <v>1</v>
      </c>
    </row>
    <row r="533" ht="32" customHeight="1">
      <c r="A533" s="146" t="str">
        <v>IECIRE</v>
      </c>
      <c r="B533" s="146" t="str">
        <v>2018</v>
      </c>
      <c r="C533" s="146" t="str">
        <v>1</v>
      </c>
      <c r="D533" s="146" t="str">
        <v>TITULADO</v>
      </c>
      <c r="E533" s="146" t="str">
        <v>31 - TITULADO APROBADO</v>
      </c>
      <c r="F533" s="146" t="n">
        <v>11</v>
      </c>
    </row>
    <row r="534" ht="32" customHeight="1">
      <c r="A534" s="146" t="str">
        <v>IECIRE</v>
      </c>
      <c r="B534" s="146" t="str">
        <v>2019</v>
      </c>
      <c r="C534" s="146" t="str">
        <v>1</v>
      </c>
      <c r="D534" s="146" t="str">
        <v>ELIMINADO</v>
      </c>
      <c r="E534" s="146" t="str">
        <v>1 - ALUMNO REGULAR</v>
      </c>
      <c r="F534" s="146" t="n">
        <v>20</v>
      </c>
    </row>
    <row r="535" ht="32" customHeight="1">
      <c r="A535" s="146" t="str">
        <v>IECIRE</v>
      </c>
      <c r="B535" s="146" t="str">
        <v>2019</v>
      </c>
      <c r="C535" s="146" t="str">
        <v>1</v>
      </c>
      <c r="D535" s="146" t="str">
        <v>ELIMINADO</v>
      </c>
      <c r="E535" s="146" t="str">
        <v>101 - TITULO INTERMEDIO 2</v>
      </c>
      <c r="F535" s="146" t="n">
        <v>1</v>
      </c>
    </row>
    <row r="536" ht="32" customHeight="1">
      <c r="A536" s="146" t="str">
        <v>IECIRE</v>
      </c>
      <c r="B536" s="146" t="str">
        <v>2019</v>
      </c>
      <c r="C536" s="146" t="str">
        <v>1</v>
      </c>
      <c r="D536" s="146" t="str">
        <v>ELIMINADO</v>
      </c>
      <c r="E536" s="146" t="str">
        <v>23 - RETIRO - RETRACTO</v>
      </c>
      <c r="F536" s="146" t="n">
        <v>1</v>
      </c>
    </row>
    <row r="537" ht="32" customHeight="1">
      <c r="A537" s="146" t="str">
        <v>IECIRE</v>
      </c>
      <c r="B537" s="146" t="str">
        <v>2019</v>
      </c>
      <c r="C537" s="146" t="str">
        <v>1</v>
      </c>
      <c r="D537" s="146" t="str">
        <v>ELIMINADO</v>
      </c>
      <c r="E537" s="146" t="str">
        <v>24 - CAMBIO DE CARRERA</v>
      </c>
      <c r="F537" s="146" t="n">
        <v>8</v>
      </c>
    </row>
    <row r="538" ht="32" customHeight="1">
      <c r="A538" s="146" t="str">
        <v>IECIRE</v>
      </c>
      <c r="B538" s="146" t="str">
        <v>2019</v>
      </c>
      <c r="C538" s="146" t="str">
        <v>1</v>
      </c>
      <c r="D538" s="146" t="str">
        <v>ELIMINADO</v>
      </c>
      <c r="E538" s="146" t="str">
        <v>3 - ELIMINACION AUTOMATICA</v>
      </c>
      <c r="F538" s="146" t="n">
        <v>1</v>
      </c>
    </row>
    <row r="539" ht="32" customHeight="1">
      <c r="A539" s="146" t="str">
        <v>IECIRE</v>
      </c>
      <c r="B539" s="146" t="str">
        <v>2019</v>
      </c>
      <c r="C539" s="146" t="str">
        <v>1</v>
      </c>
      <c r="D539" s="146" t="str">
        <v>ELIMINADO</v>
      </c>
      <c r="E539" s="146" t="str">
        <v>38 - REINCORPORACION DE ACTIVIDADES</v>
      </c>
      <c r="F539" s="146" t="n">
        <v>4</v>
      </c>
    </row>
    <row r="540" ht="32" customHeight="1">
      <c r="A540" s="146" t="str">
        <v>IECIRE</v>
      </c>
      <c r="B540" s="146" t="str">
        <v>2019</v>
      </c>
      <c r="C540" s="146" t="str">
        <v>1</v>
      </c>
      <c r="D540" s="146" t="str">
        <v>ELIMINADO</v>
      </c>
      <c r="E540" s="146" t="str">
        <v>49 - CAMBIO DE JORNADA</v>
      </c>
      <c r="F540" s="146" t="n">
        <v>5</v>
      </c>
    </row>
    <row r="541" ht="32" customHeight="1">
      <c r="A541" s="146" t="str">
        <v>IECIRE</v>
      </c>
      <c r="B541" s="146" t="str">
        <v>2019</v>
      </c>
      <c r="C541" s="146" t="str">
        <v>1</v>
      </c>
      <c r="D541" s="146" t="str">
        <v>SUSPENDIDO</v>
      </c>
      <c r="E541" s="146" t="str">
        <v>2 - SUSPENSIÓN TEMPORAL</v>
      </c>
      <c r="F541" s="146" t="n">
        <v>1</v>
      </c>
    </row>
    <row r="542" ht="32" customHeight="1">
      <c r="A542" s="146" t="str">
        <v>IECIRE</v>
      </c>
      <c r="B542" s="146" t="str">
        <v>2019</v>
      </c>
      <c r="C542" s="146" t="str">
        <v>1</v>
      </c>
      <c r="D542" s="146" t="str">
        <v>TITULADO</v>
      </c>
      <c r="E542" s="146" t="str">
        <v>31 - TITULADO APROBADO</v>
      </c>
      <c r="F542" s="146" t="n">
        <v>8</v>
      </c>
    </row>
    <row r="543" ht="32" customHeight="1">
      <c r="A543" s="146" t="str">
        <v>IECIRE</v>
      </c>
      <c r="B543" s="146" t="str">
        <v>2019</v>
      </c>
      <c r="C543" s="146" t="str">
        <v>2</v>
      </c>
      <c r="D543" s="146" t="str">
        <v>ELIMINADO</v>
      </c>
      <c r="E543" s="146" t="str">
        <v>1 - ALUMNO REGULAR</v>
      </c>
      <c r="F543" s="146" t="n">
        <v>1</v>
      </c>
    </row>
    <row r="544" ht="32" customHeight="1">
      <c r="A544" s="146" t="str">
        <v>IECIRE</v>
      </c>
      <c r="B544" s="146" t="str">
        <v>2019</v>
      </c>
      <c r="C544" s="146" t="str">
        <v>2</v>
      </c>
      <c r="D544" s="146" t="str">
        <v>ELIMINADO</v>
      </c>
      <c r="E544" s="146" t="str">
        <v>38 - REINCORPORACION DE ACTIVIDADES</v>
      </c>
      <c r="F544" s="146" t="n">
        <v>2</v>
      </c>
    </row>
    <row r="545" ht="32" customHeight="1">
      <c r="A545" s="146" t="str">
        <v>IECIRE</v>
      </c>
      <c r="B545" s="146" t="str">
        <v>2020</v>
      </c>
      <c r="C545" s="146" t="str">
        <v>1</v>
      </c>
      <c r="D545" s="146" t="str">
        <v>ELIMINADO</v>
      </c>
      <c r="E545" s="146" t="str">
        <v>23 - RETIRO - RETRACTO</v>
      </c>
      <c r="F545" s="146" t="n">
        <v>3</v>
      </c>
    </row>
    <row r="546" ht="32" customHeight="1">
      <c r="A546" s="146" t="str">
        <v>IECIRE</v>
      </c>
      <c r="B546" s="146" t="str">
        <v>2020</v>
      </c>
      <c r="C546" s="146" t="str">
        <v>1</v>
      </c>
      <c r="D546" s="146" t="str">
        <v>ELIMINADO</v>
      </c>
      <c r="E546" s="146" t="str">
        <v>24 - CAMBIO DE CARRERA</v>
      </c>
      <c r="F546" s="146" t="n">
        <v>4</v>
      </c>
    </row>
    <row r="547" ht="32" customHeight="1">
      <c r="A547" s="146" t="str">
        <v>IECIRE</v>
      </c>
      <c r="B547" s="146" t="str">
        <v>2020</v>
      </c>
      <c r="C547" s="146" t="str">
        <v>1</v>
      </c>
      <c r="D547" s="146" t="str">
        <v>ELIMINADO</v>
      </c>
      <c r="E547" s="146" t="str">
        <v>3 - ELIMINACION AUTOMATICA</v>
      </c>
      <c r="F547" s="146" t="n">
        <v>27</v>
      </c>
    </row>
    <row r="548" ht="32" customHeight="1">
      <c r="A548" s="146" t="str">
        <v>IECIRE</v>
      </c>
      <c r="B548" s="146" t="str">
        <v>2020</v>
      </c>
      <c r="C548" s="146" t="str">
        <v>1</v>
      </c>
      <c r="D548" s="146" t="str">
        <v>ELIMINADO</v>
      </c>
      <c r="E548" s="146" t="str">
        <v>41 - RETIRO SIN AVISO </v>
      </c>
      <c r="F548" s="146" t="n">
        <v>1</v>
      </c>
    </row>
    <row r="549" ht="32" customHeight="1">
      <c r="A549" s="146" t="str">
        <v>IECIRE</v>
      </c>
      <c r="B549" s="146" t="str">
        <v>2020</v>
      </c>
      <c r="C549" s="146" t="str">
        <v>1</v>
      </c>
      <c r="D549" s="146" t="str">
        <v>TITULADO</v>
      </c>
      <c r="E549" s="146" t="str">
        <v>31 - TITULADO APROBADO</v>
      </c>
      <c r="F549" s="146" t="n">
        <v>25</v>
      </c>
    </row>
    <row r="550" ht="32" customHeight="1">
      <c r="A550" s="146" t="str">
        <v>IECIRE</v>
      </c>
      <c r="B550" s="146" t="str">
        <v>2020</v>
      </c>
      <c r="C550" s="146" t="str">
        <v>2</v>
      </c>
      <c r="D550" s="146" t="str">
        <v>ELIMINADO</v>
      </c>
      <c r="E550" s="146" t="str">
        <v>3 - ELIMINACION AUTOMATICA</v>
      </c>
      <c r="F550" s="146" t="n">
        <v>1</v>
      </c>
    </row>
    <row r="551" ht="32" customHeight="1">
      <c r="A551" s="146" t="str">
        <v>IECIRE</v>
      </c>
      <c r="B551" s="146" t="str">
        <v>2021</v>
      </c>
      <c r="C551" s="146" t="str">
        <v>1</v>
      </c>
      <c r="D551" s="146" t="str">
        <v>ELIMINADO</v>
      </c>
      <c r="E551" s="146" t="str">
        <v>1 - ALUMNO REGULAR</v>
      </c>
      <c r="F551" s="146" t="n">
        <v>12</v>
      </c>
    </row>
    <row r="552" ht="32" customHeight="1">
      <c r="A552" s="146" t="str">
        <v>IECIRE</v>
      </c>
      <c r="B552" s="146" t="str">
        <v>2021</v>
      </c>
      <c r="C552" s="146" t="str">
        <v>1</v>
      </c>
      <c r="D552" s="146" t="str">
        <v>ELIMINADO</v>
      </c>
      <c r="E552" s="146" t="str">
        <v>23 - RETIRO - RETRACTO</v>
      </c>
      <c r="F552" s="146" t="n">
        <v>4</v>
      </c>
    </row>
    <row r="553" ht="32" customHeight="1">
      <c r="A553" s="146" t="str">
        <v>IECIRE</v>
      </c>
      <c r="B553" s="146" t="str">
        <v>2021</v>
      </c>
      <c r="C553" s="146" t="str">
        <v>1</v>
      </c>
      <c r="D553" s="146" t="str">
        <v>ELIMINADO</v>
      </c>
      <c r="E553" s="146" t="str">
        <v>24 - CAMBIO DE CARRERA</v>
      </c>
      <c r="F553" s="146" t="n">
        <v>11</v>
      </c>
    </row>
    <row r="554" ht="32" customHeight="1">
      <c r="A554" s="146" t="str">
        <v>IECIRE</v>
      </c>
      <c r="B554" s="146" t="str">
        <v>2021</v>
      </c>
      <c r="C554" s="146" t="str">
        <v>1</v>
      </c>
      <c r="D554" s="146" t="str">
        <v>TITULADO</v>
      </c>
      <c r="E554" s="146" t="str">
        <v>31 - TITULADO APROBADO</v>
      </c>
      <c r="F554" s="146" t="n">
        <v>7</v>
      </c>
    </row>
    <row r="555" ht="32" customHeight="1">
      <c r="A555" s="146" t="str">
        <v>IECIRE</v>
      </c>
      <c r="B555" s="146" t="str">
        <v>2021</v>
      </c>
      <c r="C555" s="146" t="str">
        <v>2</v>
      </c>
      <c r="D555" s="146" t="str">
        <v>ELIMINADO</v>
      </c>
      <c r="E555" s="146" t="str">
        <v>38 - REINCORPORACION DE ACTIVIDADES</v>
      </c>
      <c r="F555" s="146" t="n">
        <v>1</v>
      </c>
    </row>
    <row r="556" ht="32" customHeight="1">
      <c r="A556" s="146" t="str">
        <v>IECIRE</v>
      </c>
      <c r="B556" s="146" t="str">
        <v>2021</v>
      </c>
      <c r="C556" s="146" t="str">
        <v>2</v>
      </c>
      <c r="D556" s="146" t="str">
        <v>TITULADO</v>
      </c>
      <c r="E556" s="146" t="str">
        <v>31 - TITULADO APROBADO</v>
      </c>
      <c r="F556" s="146" t="n">
        <v>1</v>
      </c>
    </row>
    <row r="557" ht="32" customHeight="1">
      <c r="A557" s="146" t="str">
        <v>IECIRE</v>
      </c>
      <c r="B557" s="146" t="str">
        <v>2022</v>
      </c>
      <c r="C557" s="146" t="str">
        <v>1</v>
      </c>
      <c r="D557" s="146" t="str">
        <v>ELIMINADO</v>
      </c>
      <c r="E557" s="146" t="str">
        <v>1 - ALUMNO REGULAR</v>
      </c>
      <c r="F557" s="146" t="n">
        <v>9</v>
      </c>
    </row>
    <row r="558" ht="32" customHeight="1">
      <c r="A558" s="146" t="str">
        <v>IECIRE</v>
      </c>
      <c r="B558" s="146" t="str">
        <v>2022</v>
      </c>
      <c r="C558" s="146" t="str">
        <v>1</v>
      </c>
      <c r="D558" s="146" t="str">
        <v>ELIMINADO</v>
      </c>
      <c r="E558" s="146" t="str">
        <v>24 - CAMBIO DE CARRERA</v>
      </c>
      <c r="F558" s="146" t="n">
        <v>7</v>
      </c>
    </row>
    <row r="559" ht="32" customHeight="1">
      <c r="A559" s="146" t="str">
        <v>IECIRE</v>
      </c>
      <c r="B559" s="146" t="str">
        <v>2022</v>
      </c>
      <c r="C559" s="146" t="str">
        <v>1</v>
      </c>
      <c r="D559" s="146" t="str">
        <v>ELIMINADO</v>
      </c>
      <c r="E559" s="146" t="str">
        <v>38 - REINCORPORACION DE ACTIVIDADES</v>
      </c>
      <c r="F559" s="146" t="n">
        <v>2</v>
      </c>
    </row>
    <row r="560" ht="32" customHeight="1">
      <c r="A560" s="146" t="str">
        <v>IECIRE</v>
      </c>
      <c r="B560" s="146" t="str">
        <v>2022</v>
      </c>
      <c r="C560" s="146" t="str">
        <v>1</v>
      </c>
      <c r="D560" s="146" t="str">
        <v>TITULADO</v>
      </c>
      <c r="E560" s="146" t="str">
        <v>31 - TITULADO APROBADO</v>
      </c>
      <c r="F560" s="146" t="n">
        <v>13</v>
      </c>
    </row>
    <row r="561" ht="32" customHeight="1">
      <c r="A561" s="146" t="str">
        <v>IECIRE</v>
      </c>
      <c r="B561" s="146" t="str">
        <v>2022</v>
      </c>
      <c r="C561" s="146" t="str">
        <v>2</v>
      </c>
      <c r="D561" s="146" t="str">
        <v>ELIMINADO</v>
      </c>
      <c r="E561" s="146" t="str">
        <v>23 - RETIRO - RETRACTO</v>
      </c>
      <c r="F561" s="146" t="n">
        <v>1</v>
      </c>
    </row>
    <row r="562" ht="32" customHeight="1">
      <c r="A562" s="146" t="str">
        <v>IECIRE</v>
      </c>
      <c r="B562" s="146" t="str">
        <v>2023</v>
      </c>
      <c r="C562" s="146" t="str">
        <v>1</v>
      </c>
      <c r="D562" s="146" t="str">
        <v>ELIMINADO</v>
      </c>
      <c r="E562" s="146" t="str">
        <v>1 - ALUMNO REGULAR</v>
      </c>
      <c r="F562" s="146" t="n">
        <v>6</v>
      </c>
    </row>
    <row r="563" ht="32" customHeight="1">
      <c r="A563" s="146" t="str">
        <v>IECIRE</v>
      </c>
      <c r="B563" s="146" t="str">
        <v>2023</v>
      </c>
      <c r="C563" s="146" t="str">
        <v>1</v>
      </c>
      <c r="D563" s="146" t="str">
        <v>ELIMINADO</v>
      </c>
      <c r="E563" s="146" t="str">
        <v>23 - RETIRO - RETRACTO</v>
      </c>
      <c r="F563" s="146" t="n">
        <v>2</v>
      </c>
    </row>
    <row r="564" ht="32" customHeight="1">
      <c r="A564" s="146" t="str">
        <v>IECIRE</v>
      </c>
      <c r="B564" s="146" t="str">
        <v>2023</v>
      </c>
      <c r="C564" s="146" t="str">
        <v>1</v>
      </c>
      <c r="D564" s="146" t="str">
        <v>ELIMINADO</v>
      </c>
      <c r="E564" s="146" t="str">
        <v>24 - CAMBIO DE CARRERA</v>
      </c>
      <c r="F564" s="146" t="n">
        <v>11</v>
      </c>
    </row>
    <row r="565" ht="32" customHeight="1">
      <c r="A565" s="146" t="str">
        <v>IECIRE</v>
      </c>
      <c r="B565" s="146" t="str">
        <v>2023</v>
      </c>
      <c r="C565" s="146" t="str">
        <v>1</v>
      </c>
      <c r="D565" s="146" t="str">
        <v>TITULADO</v>
      </c>
      <c r="E565" s="146" t="str">
        <v>31 - TITULADO APROBADO</v>
      </c>
      <c r="F565" s="146" t="n">
        <v>6</v>
      </c>
    </row>
    <row r="566" ht="32" customHeight="1">
      <c r="A566" s="146" t="str">
        <v>IECIRE</v>
      </c>
      <c r="B566" s="146" t="str">
        <v>2023</v>
      </c>
      <c r="C566" s="146" t="str">
        <v>1</v>
      </c>
      <c r="D566" s="146" t="str">
        <v>VIGENTE</v>
      </c>
      <c r="E566" s="146" t="str">
        <v>1 - ALUMNO REGULAR</v>
      </c>
      <c r="F566" s="146" t="n">
        <v>1</v>
      </c>
    </row>
    <row r="567" ht="32" customHeight="1">
      <c r="A567" s="146" t="str">
        <v>IECIRE</v>
      </c>
      <c r="B567" s="146" t="str">
        <v>2024</v>
      </c>
      <c r="C567" s="146" t="str">
        <v>1</v>
      </c>
      <c r="D567" s="146" t="str">
        <v>ELIMINADO</v>
      </c>
      <c r="E567" s="146" t="str">
        <v>10 - ACTUALIZACIÓN DE PLAN DE ESTUDIO 2024</v>
      </c>
      <c r="F567" s="146" t="n">
        <v>8</v>
      </c>
    </row>
    <row r="568" ht="32" customHeight="1">
      <c r="A568" s="146" t="str">
        <v>IECIRE</v>
      </c>
      <c r="B568" s="146" t="str">
        <v>2024</v>
      </c>
      <c r="C568" s="146" t="str">
        <v>1</v>
      </c>
      <c r="D568" s="146" t="str">
        <v>ELIMINADO</v>
      </c>
      <c r="E568" s="146" t="str">
        <v>24 - CAMBIO DE CARRERA</v>
      </c>
      <c r="F568" s="146" t="n">
        <v>1</v>
      </c>
    </row>
    <row r="569" ht="32" customHeight="1">
      <c r="A569" s="146" t="str">
        <v>IECIRE</v>
      </c>
      <c r="B569" s="146" t="str">
        <v>2024</v>
      </c>
      <c r="C569" s="146" t="str">
        <v>1</v>
      </c>
      <c r="D569" s="146" t="str">
        <v>TITULADO</v>
      </c>
      <c r="E569" s="146" t="str">
        <v>31 - TITULADO APROBADO</v>
      </c>
      <c r="F569" s="146" t="n">
        <v>7</v>
      </c>
    </row>
    <row r="570" ht="32" customHeight="1">
      <c r="A570" s="146" t="str">
        <v>IECIRE</v>
      </c>
      <c r="B570" s="146" t="str">
        <v>2026</v>
      </c>
      <c r="C570" s="146" t="str">
        <v>1</v>
      </c>
      <c r="D570" s="146" t="str">
        <v>TITULADO</v>
      </c>
      <c r="E570" s="146" t="str">
        <v>31 - TITULADO APROBADO</v>
      </c>
      <c r="F570" s="146" t="n">
        <v>1</v>
      </c>
    </row>
    <row r="571" ht="32" customHeight="1">
      <c r="A571" s="146" t="str">
        <v>IECIREOL</v>
      </c>
      <c r="B571" s="146" t="str">
        <v>2018</v>
      </c>
      <c r="C571" s="146" t="str">
        <v>1</v>
      </c>
      <c r="D571" s="146" t="str">
        <v>ELIMINADO</v>
      </c>
      <c r="E571" s="146" t="str">
        <v>3 - ELIMINACION AUTOMATICA</v>
      </c>
      <c r="F571" s="146" t="n">
        <v>7</v>
      </c>
    </row>
    <row r="572" ht="32" customHeight="1">
      <c r="A572" s="146" t="str">
        <v>IECIREOL</v>
      </c>
      <c r="B572" s="146" t="str">
        <v>2019</v>
      </c>
      <c r="C572" s="146" t="str">
        <v>1</v>
      </c>
      <c r="D572" s="146" t="str">
        <v>ELIMINADO</v>
      </c>
      <c r="E572" s="146" t="str">
        <v>1 - ALUMNO REGULAR</v>
      </c>
      <c r="F572" s="146" t="n">
        <v>10</v>
      </c>
    </row>
    <row r="573" ht="32" customHeight="1">
      <c r="A573" s="146" t="str">
        <v>IECIREOL</v>
      </c>
      <c r="B573" s="146" t="str">
        <v>2019</v>
      </c>
      <c r="C573" s="146" t="str">
        <v>1</v>
      </c>
      <c r="D573" s="146" t="str">
        <v>ELIMINADO</v>
      </c>
      <c r="E573" s="146" t="str">
        <v>24 - CAMBIO DE CARRERA</v>
      </c>
      <c r="F573" s="146" t="n">
        <v>2</v>
      </c>
    </row>
    <row r="574" ht="32" customHeight="1">
      <c r="A574" s="146" t="str">
        <v>IECIREOL</v>
      </c>
      <c r="B574" s="146" t="str">
        <v>2019</v>
      </c>
      <c r="C574" s="146" t="str">
        <v>1</v>
      </c>
      <c r="D574" s="146" t="str">
        <v>ELIMINADO</v>
      </c>
      <c r="E574" s="146" t="str">
        <v>3 - ELIMINACION AUTOMATICA</v>
      </c>
      <c r="F574" s="146" t="n">
        <v>1</v>
      </c>
    </row>
    <row r="575" ht="32" customHeight="1">
      <c r="A575" s="146" t="str">
        <v>IECIREOL</v>
      </c>
      <c r="B575" s="146" t="str">
        <v>2019</v>
      </c>
      <c r="C575" s="146" t="str">
        <v>2</v>
      </c>
      <c r="D575" s="146" t="str">
        <v>ELIMINADO</v>
      </c>
      <c r="E575" s="146" t="str">
        <v>1 - ALUMNO REGULAR</v>
      </c>
      <c r="F575" s="146" t="n">
        <v>1</v>
      </c>
    </row>
    <row r="576" ht="32" customHeight="1">
      <c r="A576" s="146" t="str">
        <v>IECIREOL</v>
      </c>
      <c r="B576" s="146" t="str">
        <v>2020</v>
      </c>
      <c r="C576" s="146" t="str">
        <v>1</v>
      </c>
      <c r="D576" s="146" t="str">
        <v>ELIMINADO</v>
      </c>
      <c r="E576" s="146" t="str">
        <v>23 - RETIRO - RETRACTO</v>
      </c>
      <c r="F576" s="146" t="n">
        <v>1</v>
      </c>
    </row>
    <row r="577" ht="32" customHeight="1">
      <c r="A577" s="146" t="str">
        <v>IECIREOL</v>
      </c>
      <c r="B577" s="146" t="str">
        <v>2020</v>
      </c>
      <c r="C577" s="146" t="str">
        <v>1</v>
      </c>
      <c r="D577" s="146" t="str">
        <v>ELIMINADO</v>
      </c>
      <c r="E577" s="146" t="str">
        <v>24 - CAMBIO DE CARRERA</v>
      </c>
      <c r="F577" s="146" t="n">
        <v>1</v>
      </c>
    </row>
    <row r="578" ht="32" customHeight="1">
      <c r="A578" s="146" t="str">
        <v>IECIREOL</v>
      </c>
      <c r="B578" s="146" t="str">
        <v>2020</v>
      </c>
      <c r="C578" s="146" t="str">
        <v>1</v>
      </c>
      <c r="D578" s="146" t="str">
        <v>ELIMINADO</v>
      </c>
      <c r="E578" s="146" t="str">
        <v>3 - ELIMINACION AUTOMATICA</v>
      </c>
      <c r="F578" s="146" t="n">
        <v>19</v>
      </c>
    </row>
    <row r="579" ht="32" customHeight="1">
      <c r="A579" s="146" t="str">
        <v>IECIREOL</v>
      </c>
      <c r="B579" s="146" t="str">
        <v>2020</v>
      </c>
      <c r="C579" s="146" t="str">
        <v>1</v>
      </c>
      <c r="D579" s="146" t="str">
        <v>ELIMINADO</v>
      </c>
      <c r="E579" s="146" t="str">
        <v>38 - REINCORPORACION DE ACTIVIDADES</v>
      </c>
      <c r="F579" s="146" t="n">
        <v>1</v>
      </c>
    </row>
    <row r="580" ht="32" customHeight="1">
      <c r="A580" s="146" t="str">
        <v>IECIREOL</v>
      </c>
      <c r="B580" s="146" t="str">
        <v>2020</v>
      </c>
      <c r="C580" s="146" t="str">
        <v>1</v>
      </c>
      <c r="D580" s="146" t="str">
        <v>SUSPENDIDO</v>
      </c>
      <c r="E580" s="146" t="str">
        <v>2 - SUSPENSIÓN TEMPORAL</v>
      </c>
      <c r="F580" s="146" t="n">
        <v>1</v>
      </c>
    </row>
    <row r="581" ht="32" customHeight="1">
      <c r="A581" s="146" t="str">
        <v>IECIREOL</v>
      </c>
      <c r="B581" s="146" t="str">
        <v>2020</v>
      </c>
      <c r="C581" s="146" t="str">
        <v>1</v>
      </c>
      <c r="D581" s="146" t="str">
        <v>TITULADO</v>
      </c>
      <c r="E581" s="146" t="str">
        <v>31 - TITULADO APROBADO</v>
      </c>
      <c r="F581" s="146" t="n">
        <v>3</v>
      </c>
    </row>
    <row r="582" ht="32" customHeight="1">
      <c r="A582" s="146" t="str">
        <v>IECIREOL</v>
      </c>
      <c r="B582" s="146" t="str">
        <v>2020</v>
      </c>
      <c r="C582" s="146" t="str">
        <v>2</v>
      </c>
      <c r="D582" s="146" t="str">
        <v>ELIMINADO</v>
      </c>
      <c r="E582" s="146" t="str">
        <v>24 - CAMBIO DE CARRERA</v>
      </c>
      <c r="F582" s="146" t="n">
        <v>1</v>
      </c>
    </row>
    <row r="583" ht="32" customHeight="1">
      <c r="A583" s="146" t="str">
        <v>IECIREOL</v>
      </c>
      <c r="B583" s="146" t="str">
        <v>2021</v>
      </c>
      <c r="C583" s="146" t="str">
        <v>1</v>
      </c>
      <c r="D583" s="146" t="str">
        <v>ELIMINADO</v>
      </c>
      <c r="E583" s="146" t="str">
        <v>1 - ALUMNO REGULAR</v>
      </c>
      <c r="F583" s="146" t="n">
        <v>16</v>
      </c>
    </row>
    <row r="584" ht="32" customHeight="1">
      <c r="A584" s="146" t="str">
        <v>IECIREOL</v>
      </c>
      <c r="B584" s="146" t="str">
        <v>2021</v>
      </c>
      <c r="C584" s="146" t="str">
        <v>1</v>
      </c>
      <c r="D584" s="146" t="str">
        <v>ELIMINADO</v>
      </c>
      <c r="E584" s="146" t="str">
        <v>23 - RETIRO - RETRACTO</v>
      </c>
      <c r="F584" s="146" t="n">
        <v>4</v>
      </c>
    </row>
    <row r="585" ht="32" customHeight="1">
      <c r="A585" s="146" t="str">
        <v>IECIREOL</v>
      </c>
      <c r="B585" s="146" t="str">
        <v>2021</v>
      </c>
      <c r="C585" s="146" t="str">
        <v>1</v>
      </c>
      <c r="D585" s="146" t="str">
        <v>ELIMINADO</v>
      </c>
      <c r="E585" s="146" t="str">
        <v>24 - CAMBIO DE CARRERA</v>
      </c>
      <c r="F585" s="146" t="n">
        <v>1</v>
      </c>
    </row>
    <row r="586" ht="32" customHeight="1">
      <c r="A586" s="146" t="str">
        <v>IECIREOL</v>
      </c>
      <c r="B586" s="146" t="str">
        <v>2021</v>
      </c>
      <c r="C586" s="146" t="str">
        <v>1</v>
      </c>
      <c r="D586" s="146" t="str">
        <v>TITULADO</v>
      </c>
      <c r="E586" s="146" t="str">
        <v>31 - TITULADO APROBADO</v>
      </c>
      <c r="F586" s="146" t="n">
        <v>12</v>
      </c>
    </row>
    <row r="587" ht="32" customHeight="1">
      <c r="A587" s="146" t="str">
        <v>IECIREOL</v>
      </c>
      <c r="B587" s="146" t="str">
        <v>2022</v>
      </c>
      <c r="C587" s="146" t="str">
        <v>1</v>
      </c>
      <c r="D587" s="146" t="str">
        <v>ELIMINADO</v>
      </c>
      <c r="E587" s="146" t="str">
        <v>1 - ALUMNO REGULAR</v>
      </c>
      <c r="F587" s="146" t="n">
        <v>14</v>
      </c>
    </row>
    <row r="588" ht="32" customHeight="1">
      <c r="A588" s="146" t="str">
        <v>IECIREOL</v>
      </c>
      <c r="B588" s="146" t="str">
        <v>2022</v>
      </c>
      <c r="C588" s="146" t="str">
        <v>1</v>
      </c>
      <c r="D588" s="146" t="str">
        <v>ELIMINADO</v>
      </c>
      <c r="E588" s="146" t="str">
        <v>100 - TITULACIÓN INTERMEDIA</v>
      </c>
      <c r="F588" s="146" t="n">
        <v>1</v>
      </c>
    </row>
    <row r="589" ht="32" customHeight="1">
      <c r="A589" s="146" t="str">
        <v>IECIREOL</v>
      </c>
      <c r="B589" s="146" t="str">
        <v>2022</v>
      </c>
      <c r="C589" s="146" t="str">
        <v>1</v>
      </c>
      <c r="D589" s="146" t="str">
        <v>ELIMINADO</v>
      </c>
      <c r="E589" s="146" t="str">
        <v>23 - RETIRO - RETRACTO</v>
      </c>
      <c r="F589" s="146" t="n">
        <v>1</v>
      </c>
    </row>
    <row r="590" ht="32" customHeight="1">
      <c r="A590" s="146" t="str">
        <v>IECIREOL</v>
      </c>
      <c r="B590" s="146" t="str">
        <v>2022</v>
      </c>
      <c r="C590" s="146" t="str">
        <v>1</v>
      </c>
      <c r="D590" s="146" t="str">
        <v>ELIMINADO</v>
      </c>
      <c r="E590" s="146" t="str">
        <v>24 - CAMBIO DE CARRERA</v>
      </c>
      <c r="F590" s="146" t="n">
        <v>1</v>
      </c>
    </row>
    <row r="591" ht="32" customHeight="1">
      <c r="A591" s="146" t="str">
        <v>IECIREOL</v>
      </c>
      <c r="B591" s="146" t="str">
        <v>2022</v>
      </c>
      <c r="C591" s="146" t="str">
        <v>1</v>
      </c>
      <c r="D591" s="146" t="str">
        <v>ELIMINADO</v>
      </c>
      <c r="E591" s="146" t="str">
        <v>3 - ELIMINACION AUTOMATICA</v>
      </c>
      <c r="F591" s="146" t="n">
        <v>1</v>
      </c>
    </row>
    <row r="592" ht="32" customHeight="1">
      <c r="A592" s="146" t="str">
        <v>IECIREOL</v>
      </c>
      <c r="B592" s="146" t="str">
        <v>2022</v>
      </c>
      <c r="C592" s="146" t="str">
        <v>1</v>
      </c>
      <c r="D592" s="146" t="str">
        <v>ELIMINADO</v>
      </c>
      <c r="E592" s="146" t="str">
        <v>38 - REINCORPORACION DE ACTIVIDADES</v>
      </c>
      <c r="F592" s="146" t="n">
        <v>1</v>
      </c>
    </row>
    <row r="593" ht="32" customHeight="1">
      <c r="A593" s="146" t="str">
        <v>IECIREOL</v>
      </c>
      <c r="B593" s="146" t="str">
        <v>2022</v>
      </c>
      <c r="C593" s="146" t="str">
        <v>1</v>
      </c>
      <c r="D593" s="146" t="str">
        <v>TITULADO</v>
      </c>
      <c r="E593" s="146" t="str">
        <v>31 - TITULADO APROBADO</v>
      </c>
      <c r="F593" s="146" t="n">
        <v>36</v>
      </c>
    </row>
    <row r="594" ht="32" customHeight="1">
      <c r="A594" s="146" t="str">
        <v>IECIREOL</v>
      </c>
      <c r="B594" s="146" t="str">
        <v>2022</v>
      </c>
      <c r="C594" s="146" t="str">
        <v>1</v>
      </c>
      <c r="D594" s="146" t="str">
        <v>VIGENTE</v>
      </c>
      <c r="E594" s="146" t="str">
        <v>1 - ALUMNO REGULAR</v>
      </c>
      <c r="F594" s="146" t="n">
        <v>1</v>
      </c>
    </row>
    <row r="595" ht="32" customHeight="1">
      <c r="A595" s="146" t="str">
        <v>IECIREOL</v>
      </c>
      <c r="B595" s="146" t="str">
        <v>2022</v>
      </c>
      <c r="C595" s="146" t="str">
        <v>2</v>
      </c>
      <c r="D595" s="146" t="str">
        <v>ELIMINADO</v>
      </c>
      <c r="E595" s="146" t="str">
        <v>1 - ALUMNO REGULAR</v>
      </c>
      <c r="F595" s="146" t="n">
        <v>8</v>
      </c>
    </row>
    <row r="596" ht="32" customHeight="1">
      <c r="A596" s="146" t="str">
        <v>IECIREOL</v>
      </c>
      <c r="B596" s="146" t="str">
        <v>2022</v>
      </c>
      <c r="C596" s="146" t="str">
        <v>2</v>
      </c>
      <c r="D596" s="146" t="str">
        <v>ELIMINADO</v>
      </c>
      <c r="E596" s="146" t="str">
        <v>23 - RETIRO - RETRACTO</v>
      </c>
      <c r="F596" s="146" t="n">
        <v>1</v>
      </c>
    </row>
    <row r="597" ht="32" customHeight="1">
      <c r="A597" s="146" t="str">
        <v>IECIREOL</v>
      </c>
      <c r="B597" s="146" t="str">
        <v>2022</v>
      </c>
      <c r="C597" s="146" t="str">
        <v>2</v>
      </c>
      <c r="D597" s="146" t="str">
        <v>ELIMINADO</v>
      </c>
      <c r="E597" s="146" t="str">
        <v>24 - CAMBIO DE CARRERA</v>
      </c>
      <c r="F597" s="146" t="n">
        <v>1</v>
      </c>
    </row>
    <row r="598" ht="32" customHeight="1">
      <c r="A598" s="146" t="str">
        <v>IECIREOL</v>
      </c>
      <c r="B598" s="146" t="str">
        <v>2023</v>
      </c>
      <c r="C598" s="146" t="str">
        <v>1</v>
      </c>
      <c r="D598" s="146" t="str">
        <v>ELIMINADO</v>
      </c>
      <c r="E598" s="146" t="str">
        <v>1 - ALUMNO REGULAR</v>
      </c>
      <c r="F598" s="146" t="n">
        <v>17</v>
      </c>
    </row>
    <row r="599" ht="32" customHeight="1">
      <c r="A599" s="146" t="str">
        <v>IECIREOL</v>
      </c>
      <c r="B599" s="146" t="str">
        <v>2023</v>
      </c>
      <c r="C599" s="146" t="str">
        <v>1</v>
      </c>
      <c r="D599" s="146" t="str">
        <v>ELIMINADO</v>
      </c>
      <c r="E599" s="146" t="str">
        <v>10 - ACTUALIZACIÓN DE PLAN DE ESTUDIO 2024</v>
      </c>
      <c r="F599" s="146" t="n">
        <v>1</v>
      </c>
    </row>
    <row r="600" ht="32" customHeight="1">
      <c r="A600" s="146" t="str">
        <v>IECIREOL</v>
      </c>
      <c r="B600" s="146" t="str">
        <v>2023</v>
      </c>
      <c r="C600" s="146" t="str">
        <v>1</v>
      </c>
      <c r="D600" s="146" t="str">
        <v>ELIMINADO</v>
      </c>
      <c r="E600" s="146" t="str">
        <v>23 - RETIRO - RETRACTO</v>
      </c>
      <c r="F600" s="146" t="n">
        <v>6</v>
      </c>
    </row>
    <row r="601" ht="32" customHeight="1">
      <c r="A601" s="146" t="str">
        <v>IECIREOL</v>
      </c>
      <c r="B601" s="146" t="str">
        <v>2023</v>
      </c>
      <c r="C601" s="146" t="str">
        <v>1</v>
      </c>
      <c r="D601" s="146" t="str">
        <v>ELIMINADO</v>
      </c>
      <c r="E601" s="146" t="str">
        <v>24 - CAMBIO DE CARRERA</v>
      </c>
      <c r="F601" s="146" t="n">
        <v>4</v>
      </c>
    </row>
    <row r="602" ht="32" customHeight="1">
      <c r="A602" s="146" t="str">
        <v>IECIREOL</v>
      </c>
      <c r="B602" s="146" t="str">
        <v>2023</v>
      </c>
      <c r="C602" s="146" t="str">
        <v>1</v>
      </c>
      <c r="D602" s="146" t="str">
        <v>ELIMINADO</v>
      </c>
      <c r="E602" s="146" t="str">
        <v>3 - ELIMINACION AUTOMATICA</v>
      </c>
      <c r="F602" s="146" t="n">
        <v>1</v>
      </c>
    </row>
    <row r="603" ht="32" customHeight="1">
      <c r="A603" s="146" t="str">
        <v>IECIREOL</v>
      </c>
      <c r="B603" s="146" t="str">
        <v>2023</v>
      </c>
      <c r="C603" s="146" t="str">
        <v>1</v>
      </c>
      <c r="D603" s="146" t="str">
        <v>SUSPENDIDO</v>
      </c>
      <c r="E603" s="146" t="str">
        <v>2 - SUSPENSIÓN TEMPORAL</v>
      </c>
      <c r="F603" s="146" t="n">
        <v>5</v>
      </c>
    </row>
    <row r="604" ht="32" customHeight="1">
      <c r="A604" s="146" t="str">
        <v>IECIREOL</v>
      </c>
      <c r="B604" s="146" t="str">
        <v>2023</v>
      </c>
      <c r="C604" s="146" t="str">
        <v>1</v>
      </c>
      <c r="D604" s="146" t="str">
        <v>TITULADO</v>
      </c>
      <c r="E604" s="146" t="str">
        <v>31 - TITULADO APROBADO</v>
      </c>
      <c r="F604" s="146" t="n">
        <v>26</v>
      </c>
    </row>
    <row r="605" ht="32" customHeight="1">
      <c r="A605" s="146" t="str">
        <v>IECIREOL</v>
      </c>
      <c r="B605" s="146" t="str">
        <v>2023</v>
      </c>
      <c r="C605" s="146" t="str">
        <v>1</v>
      </c>
      <c r="D605" s="146" t="str">
        <v>VIGENTE</v>
      </c>
      <c r="E605" s="146" t="str">
        <v>1 - ALUMNO REGULAR</v>
      </c>
      <c r="F605" s="146" t="n">
        <v>2</v>
      </c>
    </row>
    <row r="606" ht="32" customHeight="1">
      <c r="A606" s="146" t="str">
        <v>IECIREOL</v>
      </c>
      <c r="B606" s="146" t="str">
        <v>2023</v>
      </c>
      <c r="C606" s="146" t="str">
        <v>2</v>
      </c>
      <c r="D606" s="146" t="str">
        <v>ELIMINADO</v>
      </c>
      <c r="E606" s="146" t="str">
        <v>1 - ALUMNO REGULAR</v>
      </c>
      <c r="F606" s="146" t="n">
        <v>7</v>
      </c>
    </row>
    <row r="607" ht="32" customHeight="1">
      <c r="A607" s="146" t="str">
        <v>IECIREOL</v>
      </c>
      <c r="B607" s="146" t="str">
        <v>2023</v>
      </c>
      <c r="C607" s="146" t="str">
        <v>2</v>
      </c>
      <c r="D607" s="146" t="str">
        <v>ELIMINADO</v>
      </c>
      <c r="E607" s="146" t="str">
        <v>23 - RETIRO - RETRACTO</v>
      </c>
      <c r="F607" s="146" t="n">
        <v>2</v>
      </c>
    </row>
    <row r="608" ht="32" customHeight="1">
      <c r="A608" s="146" t="str">
        <v>IECIREOL</v>
      </c>
      <c r="B608" s="146" t="str">
        <v>2023</v>
      </c>
      <c r="C608" s="146" t="str">
        <v>2</v>
      </c>
      <c r="D608" s="146" t="str">
        <v>SUSPENDIDO</v>
      </c>
      <c r="E608" s="146" t="str">
        <v>2 - SUSPENSIÓN TEMPORAL</v>
      </c>
      <c r="F608" s="146" t="n">
        <v>2</v>
      </c>
    </row>
    <row r="609" ht="32" customHeight="1">
      <c r="A609" s="146" t="str">
        <v>IECIREOL</v>
      </c>
      <c r="B609" s="146" t="str">
        <v>2024</v>
      </c>
      <c r="C609" s="146" t="str">
        <v>1</v>
      </c>
      <c r="D609" s="146" t="str">
        <v>ELIMINADO</v>
      </c>
      <c r="E609" s="146" t="str">
        <v>10 - ACTUALIZACIÓN DE PLAN DE ESTUDIO 2024</v>
      </c>
      <c r="F609" s="146" t="n">
        <v>50</v>
      </c>
    </row>
    <row r="610" ht="32" customHeight="1">
      <c r="A610" s="146" t="str">
        <v>IECIREOL</v>
      </c>
      <c r="B610" s="146" t="str">
        <v>2024</v>
      </c>
      <c r="C610" s="146" t="str">
        <v>1</v>
      </c>
      <c r="D610" s="146" t="str">
        <v>ELIMINADO</v>
      </c>
      <c r="E610" s="146" t="str">
        <v>7 - NO RENUEVA MATRICULA</v>
      </c>
      <c r="F610" s="146" t="n">
        <v>3</v>
      </c>
    </row>
    <row r="611" ht="32" customHeight="1">
      <c r="A611" s="146" t="str">
        <v>IECIREOL</v>
      </c>
      <c r="B611" s="146" t="str">
        <v>2024</v>
      </c>
      <c r="C611" s="146" t="str">
        <v>1</v>
      </c>
      <c r="D611" s="146" t="str">
        <v>TITULADO</v>
      </c>
      <c r="E611" s="146" t="str">
        <v>31 - TITULADO APROBADO</v>
      </c>
      <c r="F611" s="146" t="n">
        <v>54</v>
      </c>
    </row>
    <row r="612" ht="32" customHeight="1">
      <c r="A612" s="146" t="str">
        <v>IECIREOL</v>
      </c>
      <c r="B612" s="146" t="str">
        <v>2024</v>
      </c>
      <c r="C612" s="146" t="str">
        <v>1</v>
      </c>
      <c r="D612" s="146" t="str">
        <v>VIGENTE</v>
      </c>
      <c r="E612" s="146" t="str">
        <v>1 - ALUMNO REGULAR</v>
      </c>
      <c r="F612" s="146" t="n">
        <v>1</v>
      </c>
    </row>
    <row r="613" ht="32" customHeight="1">
      <c r="A613" s="146" t="str">
        <v>IECIREOL</v>
      </c>
      <c r="B613" s="146" t="str">
        <v>2024</v>
      </c>
      <c r="C613" s="146" t="str">
        <v>2</v>
      </c>
      <c r="D613" s="146" t="str">
        <v>TITULADO</v>
      </c>
      <c r="E613" s="146" t="str">
        <v>31 - TITULADO APROBADO</v>
      </c>
      <c r="F613" s="146" t="n">
        <v>3</v>
      </c>
    </row>
    <row r="614" ht="32" customHeight="1">
      <c r="A614" s="146" t="str">
        <v>IECIREOL</v>
      </c>
      <c r="B614" s="146" t="str">
        <v>2025</v>
      </c>
      <c r="C614" s="146" t="str">
        <v>1</v>
      </c>
      <c r="D614" s="146" t="str">
        <v>TITULADO</v>
      </c>
      <c r="E614" s="146" t="str">
        <v>31 - TITULADO APROBADO</v>
      </c>
      <c r="F614" s="146" t="n">
        <v>14</v>
      </c>
    </row>
    <row r="615" ht="32" customHeight="1">
      <c r="A615" s="146" t="str">
        <v>IECIREOL</v>
      </c>
      <c r="B615" s="146" t="str">
        <v>2026</v>
      </c>
      <c r="C615" s="146" t="str">
        <v>1</v>
      </c>
      <c r="D615" s="146" t="str">
        <v>TITULADO</v>
      </c>
      <c r="E615" s="146" t="str">
        <v>31 - TITULADO APROBADO</v>
      </c>
      <c r="F615" s="146" t="n">
        <v>1</v>
      </c>
    </row>
    <row r="616" ht="32" customHeight="1">
      <c r="A616" s="146" t="str">
        <v>IECSRE</v>
      </c>
      <c r="B616" s="146" t="str">
        <v>2019</v>
      </c>
      <c r="C616" s="146" t="str">
        <v>1</v>
      </c>
      <c r="D616" s="146" t="str">
        <v>ELIMINADO</v>
      </c>
      <c r="E616" s="146" t="str">
        <v>1 - ALUMNO REGULAR</v>
      </c>
      <c r="F616" s="146" t="n">
        <v>2</v>
      </c>
    </row>
    <row r="617" ht="32" customHeight="1">
      <c r="A617" s="146" t="str">
        <v>IECSRE</v>
      </c>
      <c r="B617" s="146" t="str">
        <v>2019</v>
      </c>
      <c r="C617" s="146" t="str">
        <v>1</v>
      </c>
      <c r="D617" s="146" t="str">
        <v>ELIMINADO</v>
      </c>
      <c r="E617" s="146" t="str">
        <v>23 - RETIRO - RETRACTO</v>
      </c>
      <c r="F617" s="146" t="n">
        <v>4</v>
      </c>
    </row>
    <row r="618" ht="32" customHeight="1">
      <c r="A618" s="146" t="str">
        <v>IECSRE</v>
      </c>
      <c r="B618" s="146" t="str">
        <v>2019</v>
      </c>
      <c r="C618" s="146" t="str">
        <v>1</v>
      </c>
      <c r="D618" s="146" t="str">
        <v>ELIMINADO</v>
      </c>
      <c r="E618" s="146" t="str">
        <v>24 - CAMBIO DE CARRERA</v>
      </c>
      <c r="F618" s="146" t="n">
        <v>3</v>
      </c>
    </row>
    <row r="619" ht="32" customHeight="1">
      <c r="A619" s="146" t="str">
        <v>IECSRE</v>
      </c>
      <c r="B619" s="146" t="str">
        <v>2020</v>
      </c>
      <c r="C619" s="146" t="str">
        <v>1</v>
      </c>
      <c r="D619" s="146" t="str">
        <v>ELIMINADO</v>
      </c>
      <c r="E619" s="146" t="str">
        <v>24 - CAMBIO DE CARRERA</v>
      </c>
      <c r="F619" s="146" t="n">
        <v>2</v>
      </c>
    </row>
    <row r="620" ht="32" customHeight="1">
      <c r="A620" s="146" t="str">
        <v>IECSRE</v>
      </c>
      <c r="B620" s="146" t="str">
        <v>2020</v>
      </c>
      <c r="C620" s="146" t="str">
        <v>1</v>
      </c>
      <c r="D620" s="146" t="str">
        <v>ELIMINADO</v>
      </c>
      <c r="E620" s="146" t="str">
        <v>3 - ELIMINACION AUTOMATICA</v>
      </c>
      <c r="F620" s="146" t="n">
        <v>4</v>
      </c>
    </row>
    <row r="621" ht="32" customHeight="1">
      <c r="A621" s="146" t="str">
        <v>IECSRE</v>
      </c>
      <c r="B621" s="146" t="str">
        <v>2020</v>
      </c>
      <c r="C621" s="146" t="str">
        <v>2</v>
      </c>
      <c r="D621" s="146" t="str">
        <v>ELIMINADO</v>
      </c>
      <c r="E621" s="146" t="str">
        <v>24 - CAMBIO DE CARRERA</v>
      </c>
      <c r="F621" s="146" t="n">
        <v>1</v>
      </c>
    </row>
    <row r="622" ht="32" customHeight="1">
      <c r="A622" s="146" t="str">
        <v>IECSRE</v>
      </c>
      <c r="B622" s="146" t="str">
        <v>2021</v>
      </c>
      <c r="C622" s="146" t="str">
        <v>1</v>
      </c>
      <c r="D622" s="146" t="str">
        <v>ELIMINADO</v>
      </c>
      <c r="E622" s="146" t="str">
        <v>1 - ALUMNO REGULAR</v>
      </c>
      <c r="F622" s="146" t="n">
        <v>4</v>
      </c>
    </row>
    <row r="623" ht="32" customHeight="1">
      <c r="A623" s="146" t="str">
        <v>IECSRE</v>
      </c>
      <c r="B623" s="146" t="str">
        <v>2021</v>
      </c>
      <c r="C623" s="146" t="str">
        <v>1</v>
      </c>
      <c r="D623" s="146" t="str">
        <v>ELIMINADO</v>
      </c>
      <c r="E623" s="146" t="str">
        <v>10 - ACTUALIZACIÓN DE PLAN DE ESTUDIO 2024</v>
      </c>
      <c r="F623" s="146" t="n">
        <v>1</v>
      </c>
    </row>
    <row r="624" ht="32" customHeight="1">
      <c r="A624" s="146" t="str">
        <v>IECSRE</v>
      </c>
      <c r="B624" s="146" t="str">
        <v>2021</v>
      </c>
      <c r="C624" s="146" t="str">
        <v>1</v>
      </c>
      <c r="D624" s="146" t="str">
        <v>ELIMINADO</v>
      </c>
      <c r="E624" s="146" t="str">
        <v>23 - RETIRO - RETRACTO</v>
      </c>
      <c r="F624" s="146" t="n">
        <v>1</v>
      </c>
    </row>
    <row r="625" ht="32" customHeight="1">
      <c r="A625" s="146" t="str">
        <v>IECSRE</v>
      </c>
      <c r="B625" s="146" t="str">
        <v>2021</v>
      </c>
      <c r="C625" s="146" t="str">
        <v>1</v>
      </c>
      <c r="D625" s="146" t="str">
        <v>ELIMINADO</v>
      </c>
      <c r="E625" s="146" t="str">
        <v>24 - CAMBIO DE CARRERA</v>
      </c>
      <c r="F625" s="146" t="n">
        <v>9</v>
      </c>
    </row>
    <row r="626" ht="32" customHeight="1">
      <c r="A626" s="146" t="str">
        <v>IECSRE</v>
      </c>
      <c r="B626" s="146" t="str">
        <v>2021</v>
      </c>
      <c r="C626" s="146" t="str">
        <v>1</v>
      </c>
      <c r="D626" s="146" t="str">
        <v>ELIMINADO</v>
      </c>
      <c r="E626" s="146" t="str">
        <v>27 - CAMBIO PLAN OTRA JORNADA</v>
      </c>
      <c r="F626" s="146" t="n">
        <v>1</v>
      </c>
    </row>
    <row r="627" ht="32" customHeight="1">
      <c r="A627" s="146" t="str">
        <v>IECSRE</v>
      </c>
      <c r="B627" s="146" t="str">
        <v>2021</v>
      </c>
      <c r="C627" s="146" t="str">
        <v>1</v>
      </c>
      <c r="D627" s="146" t="str">
        <v>ELIMINADO</v>
      </c>
      <c r="E627" s="146" t="str">
        <v>3 - ELIMINACION AUTOMATICA</v>
      </c>
      <c r="F627" s="146" t="n">
        <v>1</v>
      </c>
    </row>
    <row r="628" ht="32" customHeight="1">
      <c r="A628" s="146" t="str">
        <v>IECSRE</v>
      </c>
      <c r="B628" s="146" t="str">
        <v>2021</v>
      </c>
      <c r="C628" s="146" t="str">
        <v>1</v>
      </c>
      <c r="D628" s="146" t="str">
        <v>TITULADO</v>
      </c>
      <c r="E628" s="146" t="str">
        <v>31 - TITULADO APROBADO</v>
      </c>
      <c r="F628" s="146" t="n">
        <v>2</v>
      </c>
    </row>
    <row r="629" ht="32" customHeight="1">
      <c r="A629" s="146" t="str">
        <v>IECSRE</v>
      </c>
      <c r="B629" s="146" t="str">
        <v>2022</v>
      </c>
      <c r="C629" s="146" t="str">
        <v>1</v>
      </c>
      <c r="D629" s="146" t="str">
        <v>ELIMINADO</v>
      </c>
      <c r="E629" s="146" t="str">
        <v>1 - ALUMNO REGULAR</v>
      </c>
      <c r="F629" s="146" t="n">
        <v>5</v>
      </c>
    </row>
    <row r="630" ht="32" customHeight="1">
      <c r="A630" s="146" t="str">
        <v>IECSRE</v>
      </c>
      <c r="B630" s="146" t="str">
        <v>2022</v>
      </c>
      <c r="C630" s="146" t="str">
        <v>1</v>
      </c>
      <c r="D630" s="146" t="str">
        <v>ELIMINADO</v>
      </c>
      <c r="E630" s="146" t="str">
        <v>24 - CAMBIO DE CARRERA</v>
      </c>
      <c r="F630" s="146" t="n">
        <v>5</v>
      </c>
    </row>
    <row r="631" ht="32" customHeight="1">
      <c r="A631" s="146" t="str">
        <v>IECSRE</v>
      </c>
      <c r="B631" s="146" t="str">
        <v>2022</v>
      </c>
      <c r="C631" s="146" t="str">
        <v>1</v>
      </c>
      <c r="D631" s="146" t="str">
        <v>TITULADO</v>
      </c>
      <c r="E631" s="146" t="str">
        <v>31 - TITULADO APROBADO</v>
      </c>
      <c r="F631" s="146" t="n">
        <v>5</v>
      </c>
    </row>
    <row r="632" ht="32" customHeight="1">
      <c r="A632" s="146" t="str">
        <v>IECSRE</v>
      </c>
      <c r="B632" s="146" t="str">
        <v>2022</v>
      </c>
      <c r="C632" s="146" t="str">
        <v>2</v>
      </c>
      <c r="D632" s="146" t="str">
        <v>ELIMINADO</v>
      </c>
      <c r="E632" s="146" t="str">
        <v>24 - CAMBIO DE CARRERA</v>
      </c>
      <c r="F632" s="146" t="n">
        <v>2</v>
      </c>
    </row>
    <row r="633" ht="32" customHeight="1">
      <c r="A633" s="146" t="str">
        <v>IECSRE</v>
      </c>
      <c r="B633" s="146" t="str">
        <v>2023</v>
      </c>
      <c r="C633" s="146" t="str">
        <v>1</v>
      </c>
      <c r="D633" s="146" t="str">
        <v>ELIMINADO</v>
      </c>
      <c r="E633" s="146" t="str">
        <v>1 - ALUMNO REGULAR</v>
      </c>
      <c r="F633" s="146" t="n">
        <v>4</v>
      </c>
    </row>
    <row r="634" ht="32" customHeight="1">
      <c r="A634" s="146" t="str">
        <v>IECSRE</v>
      </c>
      <c r="B634" s="146" t="str">
        <v>2023</v>
      </c>
      <c r="C634" s="146" t="str">
        <v>1</v>
      </c>
      <c r="D634" s="146" t="str">
        <v>ELIMINADO</v>
      </c>
      <c r="E634" s="146" t="str">
        <v>23 - RETIRO - RETRACTO</v>
      </c>
      <c r="F634" s="146" t="n">
        <v>3</v>
      </c>
    </row>
    <row r="635" ht="32" customHeight="1">
      <c r="A635" s="146" t="str">
        <v>IECSRE</v>
      </c>
      <c r="B635" s="146" t="str">
        <v>2023</v>
      </c>
      <c r="C635" s="146" t="str">
        <v>1</v>
      </c>
      <c r="D635" s="146" t="str">
        <v>ELIMINADO</v>
      </c>
      <c r="E635" s="146" t="str">
        <v>24 - CAMBIO DE CARRERA</v>
      </c>
      <c r="F635" s="146" t="n">
        <v>8</v>
      </c>
    </row>
    <row r="636" ht="32" customHeight="1">
      <c r="A636" s="146" t="str">
        <v>IECSRE</v>
      </c>
      <c r="B636" s="146" t="str">
        <v>2023</v>
      </c>
      <c r="C636" s="146" t="str">
        <v>1</v>
      </c>
      <c r="D636" s="146" t="str">
        <v>SUSPENDIDO</v>
      </c>
      <c r="E636" s="146" t="str">
        <v>2 - SUSPENSIÓN TEMPORAL</v>
      </c>
      <c r="F636" s="146" t="n">
        <v>2</v>
      </c>
    </row>
    <row r="637" ht="32" customHeight="1">
      <c r="A637" s="146" t="str">
        <v>IECSRE</v>
      </c>
      <c r="B637" s="146" t="str">
        <v>2023</v>
      </c>
      <c r="C637" s="146" t="str">
        <v>1</v>
      </c>
      <c r="D637" s="146" t="str">
        <v>TITULADO</v>
      </c>
      <c r="E637" s="146" t="str">
        <v>31 - TITULADO APROBADO</v>
      </c>
      <c r="F637" s="146" t="n">
        <v>12</v>
      </c>
    </row>
    <row r="638" ht="32" customHeight="1">
      <c r="A638" s="146" t="str">
        <v>IECSRE</v>
      </c>
      <c r="B638" s="146" t="str">
        <v>2024</v>
      </c>
      <c r="C638" s="146" t="str">
        <v>1</v>
      </c>
      <c r="D638" s="146" t="str">
        <v>ELIMINADO</v>
      </c>
      <c r="E638" s="146" t="str">
        <v>10 - ACTUALIZACIÓN DE PLAN DE ESTUDIO 2024</v>
      </c>
      <c r="F638" s="146" t="n">
        <v>14</v>
      </c>
    </row>
    <row r="639" ht="32" customHeight="1">
      <c r="A639" s="146" t="str">
        <v>IECSRE</v>
      </c>
      <c r="B639" s="146" t="str">
        <v>2024</v>
      </c>
      <c r="C639" s="146" t="str">
        <v>1</v>
      </c>
      <c r="D639" s="146" t="str">
        <v>ELIMINADO</v>
      </c>
      <c r="E639" s="146" t="str">
        <v>49 - CAMBIO DE JORNADA</v>
      </c>
      <c r="F639" s="146" t="n">
        <v>2</v>
      </c>
    </row>
    <row r="640" ht="32" customHeight="1">
      <c r="A640" s="146" t="str">
        <v>IECSRE</v>
      </c>
      <c r="B640" s="146" t="str">
        <v>2024</v>
      </c>
      <c r="C640" s="146" t="str">
        <v>1</v>
      </c>
      <c r="D640" s="146" t="str">
        <v>ELIMINADO</v>
      </c>
      <c r="E640" s="146" t="str">
        <v>7 - NO RENUEVA MATRICULA</v>
      </c>
      <c r="F640" s="146" t="n">
        <v>1</v>
      </c>
    </row>
    <row r="641" ht="32" customHeight="1">
      <c r="A641" s="146" t="str">
        <v>IECSRE</v>
      </c>
      <c r="B641" s="146" t="str">
        <v>2024</v>
      </c>
      <c r="C641" s="146" t="str">
        <v>1</v>
      </c>
      <c r="D641" s="146" t="str">
        <v>TITULADO</v>
      </c>
      <c r="E641" s="146" t="str">
        <v>31 - TITULADO APROBADO</v>
      </c>
      <c r="F641" s="146" t="n">
        <v>8</v>
      </c>
    </row>
    <row r="642" ht="32" customHeight="1">
      <c r="A642" s="146" t="str">
        <v>IECSRE</v>
      </c>
      <c r="B642" s="146" t="str">
        <v>2025</v>
      </c>
      <c r="C642" s="146" t="str">
        <v>1</v>
      </c>
      <c r="D642" s="146" t="str">
        <v>TITULADO</v>
      </c>
      <c r="E642" s="146" t="str">
        <v>31 - TITULADO APROBADO</v>
      </c>
      <c r="F642" s="146" t="n">
        <v>4</v>
      </c>
    </row>
    <row r="643" ht="32" customHeight="1">
      <c r="A643" s="146" t="str">
        <v>IECSREOL</v>
      </c>
      <c r="B643" s="146" t="str">
        <v>2021</v>
      </c>
      <c r="C643" s="146" t="str">
        <v>1</v>
      </c>
      <c r="D643" s="146" t="str">
        <v>ELIMINADO</v>
      </c>
      <c r="E643" s="146" t="str">
        <v>1 - ALUMNO REGULAR</v>
      </c>
      <c r="F643" s="146" t="n">
        <v>13</v>
      </c>
    </row>
    <row r="644" ht="32" customHeight="1">
      <c r="A644" s="146" t="str">
        <v>IECSREOL</v>
      </c>
      <c r="B644" s="146" t="str">
        <v>2021</v>
      </c>
      <c r="C644" s="146" t="str">
        <v>1</v>
      </c>
      <c r="D644" s="146" t="str">
        <v>ELIMINADO</v>
      </c>
      <c r="E644" s="146" t="str">
        <v>23 - RETIRO - RETRACTO</v>
      </c>
      <c r="F644" s="146" t="n">
        <v>2</v>
      </c>
    </row>
    <row r="645" ht="32" customHeight="1">
      <c r="A645" s="146" t="str">
        <v>IECSREOL</v>
      </c>
      <c r="B645" s="146" t="str">
        <v>2021</v>
      </c>
      <c r="C645" s="146" t="str">
        <v>1</v>
      </c>
      <c r="D645" s="146" t="str">
        <v>ELIMINADO</v>
      </c>
      <c r="E645" s="146" t="str">
        <v>24 - CAMBIO DE CARRERA</v>
      </c>
      <c r="F645" s="146" t="n">
        <v>2</v>
      </c>
    </row>
    <row r="646" ht="32" customHeight="1">
      <c r="A646" s="146" t="str">
        <v>IECSREOL</v>
      </c>
      <c r="B646" s="146" t="str">
        <v>2021</v>
      </c>
      <c r="C646" s="146" t="str">
        <v>1</v>
      </c>
      <c r="D646" s="146" t="str">
        <v>ELIMINADO</v>
      </c>
      <c r="E646" s="146" t="str">
        <v>3 - ELIMINACION AUTOMATICA</v>
      </c>
      <c r="F646" s="146" t="n">
        <v>1</v>
      </c>
    </row>
    <row r="647" ht="32" customHeight="1">
      <c r="A647" s="146" t="str">
        <v>IECSREOL</v>
      </c>
      <c r="B647" s="146" t="str">
        <v>2021</v>
      </c>
      <c r="C647" s="146" t="str">
        <v>2</v>
      </c>
      <c r="D647" s="146" t="str">
        <v>ELIMINADO</v>
      </c>
      <c r="E647" s="146" t="str">
        <v>1 - ALUMNO REGULAR</v>
      </c>
      <c r="F647" s="146" t="n">
        <v>2</v>
      </c>
    </row>
    <row r="648" ht="32" customHeight="1">
      <c r="A648" s="146" t="str">
        <v>IECSREOL</v>
      </c>
      <c r="B648" s="146" t="str">
        <v>2021</v>
      </c>
      <c r="C648" s="146" t="str">
        <v>2</v>
      </c>
      <c r="D648" s="146" t="str">
        <v>ELIMINADO</v>
      </c>
      <c r="E648" s="146" t="str">
        <v>3 - ELIMINACION AUTOMATICA</v>
      </c>
      <c r="F648" s="146" t="n">
        <v>1</v>
      </c>
    </row>
    <row r="649" ht="32" customHeight="1">
      <c r="A649" s="146" t="str">
        <v>IECSREOL</v>
      </c>
      <c r="B649" s="146" t="str">
        <v>2022</v>
      </c>
      <c r="C649" s="146" t="str">
        <v>1</v>
      </c>
      <c r="D649" s="146" t="str">
        <v>ELIMINADO</v>
      </c>
      <c r="E649" s="146" t="str">
        <v>1 - ALUMNO REGULAR</v>
      </c>
      <c r="F649" s="146" t="n">
        <v>8</v>
      </c>
    </row>
    <row r="650" ht="32" customHeight="1">
      <c r="A650" s="146" t="str">
        <v>IECSREOL</v>
      </c>
      <c r="B650" s="146" t="str">
        <v>2022</v>
      </c>
      <c r="C650" s="146" t="str">
        <v>1</v>
      </c>
      <c r="D650" s="146" t="str">
        <v>TITULADO</v>
      </c>
      <c r="E650" s="146" t="str">
        <v>31 - TITULADO APROBADO</v>
      </c>
      <c r="F650" s="146" t="n">
        <v>11</v>
      </c>
    </row>
    <row r="651" ht="32" customHeight="1">
      <c r="A651" s="146" t="str">
        <v>IECSREOL</v>
      </c>
      <c r="B651" s="146" t="str">
        <v>2022</v>
      </c>
      <c r="C651" s="146" t="str">
        <v>2</v>
      </c>
      <c r="D651" s="146" t="str">
        <v>ELIMINADO</v>
      </c>
      <c r="E651" s="146" t="str">
        <v>1 - ALUMNO REGULAR</v>
      </c>
      <c r="F651" s="146" t="n">
        <v>11</v>
      </c>
    </row>
    <row r="652" ht="32" customHeight="1">
      <c r="A652" s="146" t="str">
        <v>IECSREOL</v>
      </c>
      <c r="B652" s="146" t="str">
        <v>2022</v>
      </c>
      <c r="C652" s="146" t="str">
        <v>2</v>
      </c>
      <c r="D652" s="146" t="str">
        <v>ELIMINADO</v>
      </c>
      <c r="E652" s="146" t="str">
        <v>24 - CAMBIO DE CARRERA</v>
      </c>
      <c r="F652" s="146" t="n">
        <v>1</v>
      </c>
    </row>
    <row r="653" ht="32" customHeight="1">
      <c r="A653" s="146" t="str">
        <v>IECSREOL</v>
      </c>
      <c r="B653" s="146" t="str">
        <v>2022</v>
      </c>
      <c r="C653" s="146" t="str">
        <v>2</v>
      </c>
      <c r="D653" s="146" t="str">
        <v>ELIMINADO</v>
      </c>
      <c r="E653" s="146" t="str">
        <v>38 - REINCORPORACION DE ACTIVIDADES</v>
      </c>
      <c r="F653" s="146" t="n">
        <v>1</v>
      </c>
    </row>
    <row r="654" ht="32" customHeight="1">
      <c r="A654" s="146" t="str">
        <v>IECSREOL</v>
      </c>
      <c r="B654" s="146" t="str">
        <v>2023</v>
      </c>
      <c r="C654" s="146" t="str">
        <v>1</v>
      </c>
      <c r="D654" s="146" t="str">
        <v>ELIMINADO</v>
      </c>
      <c r="E654" s="146" t="str">
        <v>1 - ALUMNO REGULAR</v>
      </c>
      <c r="F654" s="146" t="n">
        <v>20</v>
      </c>
    </row>
    <row r="655" ht="32" customHeight="1">
      <c r="A655" s="146" t="str">
        <v>IECSREOL</v>
      </c>
      <c r="B655" s="146" t="str">
        <v>2023</v>
      </c>
      <c r="C655" s="146" t="str">
        <v>1</v>
      </c>
      <c r="D655" s="146" t="str">
        <v>ELIMINADO</v>
      </c>
      <c r="E655" s="146" t="str">
        <v>10 - ACTUALIZACIÓN DE PLAN DE ESTUDIO 2024</v>
      </c>
      <c r="F655" s="146" t="n">
        <v>1</v>
      </c>
    </row>
    <row r="656" ht="32" customHeight="1">
      <c r="A656" s="146" t="str">
        <v>IECSREOL</v>
      </c>
      <c r="B656" s="146" t="str">
        <v>2023</v>
      </c>
      <c r="C656" s="146" t="str">
        <v>1</v>
      </c>
      <c r="D656" s="146" t="str">
        <v>ELIMINADO</v>
      </c>
      <c r="E656" s="146" t="str">
        <v>23 - RETIRO - RETRACTO</v>
      </c>
      <c r="F656" s="146" t="n">
        <v>5</v>
      </c>
    </row>
    <row r="657" ht="32" customHeight="1">
      <c r="A657" s="146" t="str">
        <v>IECSREOL</v>
      </c>
      <c r="B657" s="146" t="str">
        <v>2023</v>
      </c>
      <c r="C657" s="146" t="str">
        <v>1</v>
      </c>
      <c r="D657" s="146" t="str">
        <v>ELIMINADO</v>
      </c>
      <c r="E657" s="146" t="str">
        <v>24 - CAMBIO DE CARRERA</v>
      </c>
      <c r="F657" s="146" t="n">
        <v>3</v>
      </c>
    </row>
    <row r="658" ht="32" customHeight="1">
      <c r="A658" s="146" t="str">
        <v>IECSREOL</v>
      </c>
      <c r="B658" s="146" t="str">
        <v>2023</v>
      </c>
      <c r="C658" s="146" t="str">
        <v>1</v>
      </c>
      <c r="D658" s="146" t="str">
        <v>SUSPENDIDO</v>
      </c>
      <c r="E658" s="146" t="str">
        <v>2 - SUSPENSIÓN TEMPORAL</v>
      </c>
      <c r="F658" s="146" t="n">
        <v>1</v>
      </c>
    </row>
    <row r="659" ht="32" customHeight="1">
      <c r="A659" s="146" t="str">
        <v>IECSREOL</v>
      </c>
      <c r="B659" s="146" t="str">
        <v>2023</v>
      </c>
      <c r="C659" s="146" t="str">
        <v>1</v>
      </c>
      <c r="D659" s="146" t="str">
        <v>TITULADO</v>
      </c>
      <c r="E659" s="146" t="str">
        <v>31 - TITULADO APROBADO</v>
      </c>
      <c r="F659" s="146" t="n">
        <v>32</v>
      </c>
    </row>
    <row r="660" ht="32" customHeight="1">
      <c r="A660" s="146" t="str">
        <v>IECSREOL</v>
      </c>
      <c r="B660" s="146" t="str">
        <v>2023</v>
      </c>
      <c r="C660" s="146" t="str">
        <v>1</v>
      </c>
      <c r="D660" s="146" t="str">
        <v>VIGENTE</v>
      </c>
      <c r="E660" s="146" t="str">
        <v>1 - ALUMNO REGULAR</v>
      </c>
      <c r="F660" s="146" t="n">
        <v>4</v>
      </c>
    </row>
    <row r="661" ht="32" customHeight="1">
      <c r="A661" s="146" t="str">
        <v>IECSREOL</v>
      </c>
      <c r="B661" s="146" t="str">
        <v>2023</v>
      </c>
      <c r="C661" s="146" t="str">
        <v>2</v>
      </c>
      <c r="D661" s="146" t="str">
        <v>ELIMINADO</v>
      </c>
      <c r="E661" s="146" t="str">
        <v>1 - ALUMNO REGULAR</v>
      </c>
      <c r="F661" s="146" t="n">
        <v>7</v>
      </c>
    </row>
    <row r="662" ht="32" customHeight="1">
      <c r="A662" s="146" t="str">
        <v>IECSREOL</v>
      </c>
      <c r="B662" s="146" t="str">
        <v>2023</v>
      </c>
      <c r="C662" s="146" t="str">
        <v>2</v>
      </c>
      <c r="D662" s="146" t="str">
        <v>ELIMINADO</v>
      </c>
      <c r="E662" s="146" t="str">
        <v>24 - CAMBIO DE CARRERA</v>
      </c>
      <c r="F662" s="146" t="n">
        <v>4</v>
      </c>
    </row>
    <row r="663" ht="32" customHeight="1">
      <c r="A663" s="146" t="str">
        <v>IECSREOL</v>
      </c>
      <c r="B663" s="146" t="str">
        <v>2023</v>
      </c>
      <c r="C663" s="146" t="str">
        <v>2</v>
      </c>
      <c r="D663" s="146" t="str">
        <v>ELIMINADO</v>
      </c>
      <c r="E663" s="146" t="str">
        <v>38 - REINCORPORACION DE ACTIVIDADES</v>
      </c>
      <c r="F663" s="146" t="n">
        <v>1</v>
      </c>
    </row>
    <row r="664" ht="32" customHeight="1">
      <c r="A664" s="146" t="str">
        <v>IECSREOL</v>
      </c>
      <c r="B664" s="146" t="str">
        <v>2024</v>
      </c>
      <c r="C664" s="146" t="str">
        <v>1</v>
      </c>
      <c r="D664" s="146" t="str">
        <v>ELIMINADO</v>
      </c>
      <c r="E664" s="146" t="str">
        <v>10 - ACTUALIZACIÓN DE PLAN DE ESTUDIO 2024</v>
      </c>
      <c r="F664" s="146" t="n">
        <v>63</v>
      </c>
    </row>
    <row r="665" ht="32" customHeight="1">
      <c r="A665" s="146" t="str">
        <v>IECSREOL</v>
      </c>
      <c r="B665" s="146" t="str">
        <v>2024</v>
      </c>
      <c r="C665" s="146" t="str">
        <v>1</v>
      </c>
      <c r="D665" s="146" t="str">
        <v>SUSPENDIDO</v>
      </c>
      <c r="E665" s="146" t="str">
        <v>2 - SUSPENSIÓN TEMPORAL</v>
      </c>
      <c r="F665" s="146" t="n">
        <v>1</v>
      </c>
    </row>
    <row r="666" ht="32" customHeight="1">
      <c r="A666" s="146" t="str">
        <v>IECSREOL</v>
      </c>
      <c r="B666" s="146" t="str">
        <v>2024</v>
      </c>
      <c r="C666" s="146" t="str">
        <v>1</v>
      </c>
      <c r="D666" s="146" t="str">
        <v>TITULADO</v>
      </c>
      <c r="E666" s="146" t="str">
        <v>31 - TITULADO APROBADO</v>
      </c>
      <c r="F666" s="146" t="n">
        <v>40</v>
      </c>
    </row>
    <row r="667" ht="32" customHeight="1">
      <c r="A667" s="146" t="str">
        <v>IECSREOL</v>
      </c>
      <c r="B667" s="146" t="str">
        <v>2024</v>
      </c>
      <c r="C667" s="146" t="str">
        <v>1</v>
      </c>
      <c r="D667" s="146" t="str">
        <v>VIGENTE</v>
      </c>
      <c r="E667" s="146" t="str">
        <v>1 - ALUMNO REGULAR</v>
      </c>
      <c r="F667" s="146" t="n">
        <v>2</v>
      </c>
    </row>
    <row r="668" ht="32" customHeight="1">
      <c r="A668" s="146" t="str">
        <v>IECSREOL</v>
      </c>
      <c r="B668" s="146" t="str">
        <v>2025</v>
      </c>
      <c r="C668" s="146" t="str">
        <v>1</v>
      </c>
      <c r="D668" s="146" t="str">
        <v>TITULADO</v>
      </c>
      <c r="E668" s="146" t="str">
        <v>31 - TITULADO APROBADO</v>
      </c>
      <c r="F668" s="146" t="n">
        <v>19</v>
      </c>
    </row>
    <row r="669" ht="32" customHeight="1">
      <c r="A669" s="146" t="str">
        <v>IELECSP</v>
      </c>
      <c r="B669" s="146" t="str">
        <v>2027</v>
      </c>
      <c r="C669" s="146" t="str">
        <v>1</v>
      </c>
      <c r="D669" s="146" t="str">
        <v>VIGENTE</v>
      </c>
      <c r="E669" s="146" t="str">
        <v>1 - ALUMNO REGULAR</v>
      </c>
      <c r="F669" s="146" t="n">
        <v>3</v>
      </c>
    </row>
    <row r="670" ht="32" customHeight="1">
      <c r="A670" s="146" t="str">
        <v>IEMORE</v>
      </c>
      <c r="B670" s="146" t="str">
        <v>2014</v>
      </c>
      <c r="C670" s="146" t="str">
        <v>1</v>
      </c>
      <c r="D670" s="146" t="str">
        <v>ELIMINADO</v>
      </c>
      <c r="E670" s="146" t="str">
        <v>24 - CAMBIO DE CARRERA</v>
      </c>
      <c r="F670" s="146" t="n">
        <v>4</v>
      </c>
    </row>
    <row r="671" ht="32" customHeight="1">
      <c r="A671" s="146" t="str">
        <v>IEMORE</v>
      </c>
      <c r="B671" s="146" t="str">
        <v>2014</v>
      </c>
      <c r="C671" s="146" t="str">
        <v>1</v>
      </c>
      <c r="D671" s="146" t="str">
        <v>ELIMINADO</v>
      </c>
      <c r="E671" s="146" t="str">
        <v>3 - ELIMINACION AUTOMATICA</v>
      </c>
      <c r="F671" s="146" t="n">
        <v>2</v>
      </c>
    </row>
    <row r="672" ht="32" customHeight="1">
      <c r="A672" s="146" t="str">
        <v>IEMORE</v>
      </c>
      <c r="B672" s="146" t="str">
        <v>2014</v>
      </c>
      <c r="C672" s="146" t="str">
        <v>1</v>
      </c>
      <c r="D672" s="146" t="str">
        <v>ELIMINADO</v>
      </c>
      <c r="E672" s="146" t="str">
        <v>5 - RENUNCIA ENTRE PERIODOS</v>
      </c>
      <c r="F672" s="146" t="n">
        <v>2</v>
      </c>
    </row>
    <row r="673" ht="32" customHeight="1">
      <c r="A673" s="146" t="str">
        <v>IEMORE</v>
      </c>
      <c r="B673" s="146" t="str">
        <v>2014</v>
      </c>
      <c r="C673" s="146" t="str">
        <v>2</v>
      </c>
      <c r="D673" s="146" t="str">
        <v>ELIMINADO</v>
      </c>
      <c r="E673" s="146" t="str">
        <v>24 - CAMBIO DE CARRERA</v>
      </c>
      <c r="F673" s="146" t="n">
        <v>1</v>
      </c>
    </row>
    <row r="674" ht="32" customHeight="1">
      <c r="A674" s="146" t="str">
        <v>IEMORE</v>
      </c>
      <c r="B674" s="146" t="str">
        <v>2015</v>
      </c>
      <c r="C674" s="146" t="str">
        <v>1</v>
      </c>
      <c r="D674" s="146" t="str">
        <v>ELIMINADO</v>
      </c>
      <c r="E674" s="146" t="str">
        <v>24 - CAMBIO DE CARRERA</v>
      </c>
      <c r="F674" s="146" t="n">
        <v>3</v>
      </c>
    </row>
    <row r="675" ht="32" customHeight="1">
      <c r="A675" s="146" t="str">
        <v>IEMORE</v>
      </c>
      <c r="B675" s="146" t="str">
        <v>2015</v>
      </c>
      <c r="C675" s="146" t="str">
        <v>1</v>
      </c>
      <c r="D675" s="146" t="str">
        <v>ELIMINADO</v>
      </c>
      <c r="E675" s="146" t="str">
        <v>5 - RENUNCIA ENTRE PERIODOS</v>
      </c>
      <c r="F675" s="146" t="n">
        <v>4</v>
      </c>
    </row>
    <row r="676" ht="32" customHeight="1">
      <c r="A676" s="146" t="str">
        <v>IEMORE</v>
      </c>
      <c r="B676" s="146" t="str">
        <v>2016</v>
      </c>
      <c r="C676" s="146" t="str">
        <v>1</v>
      </c>
      <c r="D676" s="146" t="str">
        <v>ELIMINADO</v>
      </c>
      <c r="E676" s="146" t="str">
        <v>3 - ELIMINACION AUTOMATICA</v>
      </c>
      <c r="F676" s="146" t="n">
        <v>1</v>
      </c>
    </row>
    <row r="677" ht="32" customHeight="1">
      <c r="A677" s="146" t="str">
        <v>IEMORE</v>
      </c>
      <c r="B677" s="146" t="str">
        <v>2016</v>
      </c>
      <c r="C677" s="146" t="str">
        <v>1</v>
      </c>
      <c r="D677" s="146" t="str">
        <v>ELIMINADO</v>
      </c>
      <c r="E677" s="146" t="str">
        <v>5 - RENUNCIA ENTRE PERIODOS</v>
      </c>
      <c r="F677" s="146" t="n">
        <v>1</v>
      </c>
    </row>
    <row r="678" ht="32" customHeight="1">
      <c r="A678" s="146" t="str">
        <v>IEMORE</v>
      </c>
      <c r="B678" s="146" t="str">
        <v>2016</v>
      </c>
      <c r="C678" s="146" t="str">
        <v>2</v>
      </c>
      <c r="D678" s="146" t="str">
        <v>ELIMINADO</v>
      </c>
      <c r="E678" s="146" t="str">
        <v>1 - ALUMNO REGULAR</v>
      </c>
      <c r="F678" s="146" t="n">
        <v>1</v>
      </c>
    </row>
    <row r="679" ht="32" customHeight="1">
      <c r="A679" s="146" t="str">
        <v>IEMORE</v>
      </c>
      <c r="B679" s="146" t="str">
        <v>2017</v>
      </c>
      <c r="C679" s="146" t="str">
        <v>1</v>
      </c>
      <c r="D679" s="146" t="str">
        <v>ELIMINADO</v>
      </c>
      <c r="E679" s="146" t="str">
        <v>3 - ELIMINACION AUTOMATICA</v>
      </c>
      <c r="F679" s="146" t="n">
        <v>2</v>
      </c>
    </row>
    <row r="680" ht="32" customHeight="1">
      <c r="A680" s="146" t="str">
        <v>IEMORE</v>
      </c>
      <c r="B680" s="146" t="str">
        <v>2017</v>
      </c>
      <c r="C680" s="146" t="str">
        <v>1</v>
      </c>
      <c r="D680" s="146" t="str">
        <v>TITULADO</v>
      </c>
      <c r="E680" s="146" t="str">
        <v>31 - TITULADO APROBADO</v>
      </c>
      <c r="F680" s="146" t="n">
        <v>7</v>
      </c>
    </row>
    <row r="681" ht="32" customHeight="1">
      <c r="A681" s="146" t="str">
        <v>IEMORE</v>
      </c>
      <c r="B681" s="146" t="str">
        <v>2017</v>
      </c>
      <c r="C681" s="146" t="str">
        <v>2</v>
      </c>
      <c r="D681" s="146" t="str">
        <v>TITULADO</v>
      </c>
      <c r="E681" s="146" t="str">
        <v>31 - TITULADO APROBADO</v>
      </c>
      <c r="F681" s="146" t="n">
        <v>1</v>
      </c>
    </row>
    <row r="682" ht="32" customHeight="1">
      <c r="A682" s="146" t="str">
        <v>IEMORE</v>
      </c>
      <c r="B682" s="146" t="str">
        <v>2018</v>
      </c>
      <c r="C682" s="146" t="str">
        <v>1</v>
      </c>
      <c r="D682" s="146" t="str">
        <v>ELIMINADO</v>
      </c>
      <c r="E682" s="146" t="str">
        <v>23 - RETIRO - RETRACTO</v>
      </c>
      <c r="F682" s="146" t="n">
        <v>1</v>
      </c>
    </row>
    <row r="683" ht="32" customHeight="1">
      <c r="A683" s="146" t="str">
        <v>IEMORE</v>
      </c>
      <c r="B683" s="146" t="str">
        <v>2018</v>
      </c>
      <c r="C683" s="146" t="str">
        <v>1</v>
      </c>
      <c r="D683" s="146" t="str">
        <v>ELIMINADO</v>
      </c>
      <c r="E683" s="146" t="str">
        <v>3 - ELIMINACION AUTOMATICA</v>
      </c>
      <c r="F683" s="146" t="n">
        <v>3</v>
      </c>
    </row>
    <row r="684" ht="32" customHeight="1">
      <c r="A684" s="146" t="str">
        <v>IEMORE</v>
      </c>
      <c r="B684" s="146" t="str">
        <v>2018</v>
      </c>
      <c r="C684" s="146" t="str">
        <v>1</v>
      </c>
      <c r="D684" s="146" t="str">
        <v>ELIMINADO</v>
      </c>
      <c r="E684" s="146" t="str">
        <v>5 - RENUNCIA ENTRE PERIODOS</v>
      </c>
      <c r="F684" s="146" t="n">
        <v>1</v>
      </c>
    </row>
    <row r="685" ht="32" customHeight="1">
      <c r="A685" s="146" t="str">
        <v>IEMORE</v>
      </c>
      <c r="B685" s="146" t="str">
        <v>2018</v>
      </c>
      <c r="C685" s="146" t="str">
        <v>1</v>
      </c>
      <c r="D685" s="146" t="str">
        <v>TITULADO</v>
      </c>
      <c r="E685" s="146" t="str">
        <v>31 - TITULADO APROBADO</v>
      </c>
      <c r="F685" s="146" t="n">
        <v>7</v>
      </c>
    </row>
    <row r="686" ht="32" customHeight="1">
      <c r="A686" s="146" t="str">
        <v>IEMORE</v>
      </c>
      <c r="B686" s="146" t="str">
        <v>2019</v>
      </c>
      <c r="C686" s="146" t="str">
        <v>1</v>
      </c>
      <c r="D686" s="146" t="str">
        <v>ELIMINADO</v>
      </c>
      <c r="E686" s="146" t="str">
        <v>1 - ALUMNO REGULAR</v>
      </c>
      <c r="F686" s="146" t="n">
        <v>2</v>
      </c>
    </row>
    <row r="687" ht="32" customHeight="1">
      <c r="A687" s="146" t="str">
        <v>IEMORE</v>
      </c>
      <c r="B687" s="146" t="str">
        <v>2019</v>
      </c>
      <c r="C687" s="146" t="str">
        <v>1</v>
      </c>
      <c r="D687" s="146" t="str">
        <v>ELIMINADO</v>
      </c>
      <c r="E687" s="146" t="str">
        <v>24 - CAMBIO DE CARRERA</v>
      </c>
      <c r="F687" s="146" t="n">
        <v>3</v>
      </c>
    </row>
    <row r="688" ht="32" customHeight="1">
      <c r="A688" s="146" t="str">
        <v>IEMORE</v>
      </c>
      <c r="B688" s="146" t="str">
        <v>2019</v>
      </c>
      <c r="C688" s="146" t="str">
        <v>2</v>
      </c>
      <c r="D688" s="146" t="str">
        <v>ELIMINADO</v>
      </c>
      <c r="E688" s="146" t="str">
        <v>38 - REINCORPORACION DE ACTIVIDADES</v>
      </c>
      <c r="F688" s="146" t="n">
        <v>1</v>
      </c>
    </row>
    <row r="689" ht="32" customHeight="1">
      <c r="A689" s="146" t="str">
        <v>IEMORE</v>
      </c>
      <c r="B689" s="146" t="str">
        <v>2019</v>
      </c>
      <c r="C689" s="146" t="str">
        <v>2</v>
      </c>
      <c r="D689" s="146" t="str">
        <v>VIGENTE</v>
      </c>
      <c r="E689" s="146" t="str">
        <v>38 - REINCORPORACION DE ACTIVIDADES</v>
      </c>
      <c r="F689" s="146" t="n">
        <v>1</v>
      </c>
    </row>
    <row r="690" ht="32" customHeight="1">
      <c r="A690" s="146" t="str">
        <v>IEMORE</v>
      </c>
      <c r="B690" s="146" t="str">
        <v>2020</v>
      </c>
      <c r="C690" s="146" t="str">
        <v>1</v>
      </c>
      <c r="D690" s="146" t="str">
        <v>TITULADO</v>
      </c>
      <c r="E690" s="146" t="str">
        <v>31 - TITULADO APROBADO</v>
      </c>
      <c r="F690" s="146" t="n">
        <v>5</v>
      </c>
    </row>
    <row r="691" ht="32" customHeight="1">
      <c r="A691" s="146" t="str">
        <v>IEMORE</v>
      </c>
      <c r="B691" s="146" t="str">
        <v>2021</v>
      </c>
      <c r="C691" s="146" t="str">
        <v>1</v>
      </c>
      <c r="D691" s="146" t="str">
        <v>ELIMINADO</v>
      </c>
      <c r="E691" s="146" t="str">
        <v>1 - ALUMNO REGULAR</v>
      </c>
      <c r="F691" s="146" t="n">
        <v>7</v>
      </c>
    </row>
    <row r="692" ht="32" customHeight="1">
      <c r="A692" s="146" t="str">
        <v>IEMORE</v>
      </c>
      <c r="B692" s="146" t="str">
        <v>2021</v>
      </c>
      <c r="C692" s="146" t="str">
        <v>1</v>
      </c>
      <c r="D692" s="146" t="str">
        <v>ELIMINADO</v>
      </c>
      <c r="E692" s="146" t="str">
        <v>24 - CAMBIO DE CARRERA</v>
      </c>
      <c r="F692" s="146" t="n">
        <v>1</v>
      </c>
    </row>
    <row r="693" ht="32" customHeight="1">
      <c r="A693" s="146" t="str">
        <v>IEMORE</v>
      </c>
      <c r="B693" s="146" t="str">
        <v>2021</v>
      </c>
      <c r="C693" s="146" t="str">
        <v>1</v>
      </c>
      <c r="D693" s="146" t="str">
        <v>TITULADO</v>
      </c>
      <c r="E693" s="146" t="str">
        <v>31 - TITULADO APROBADO</v>
      </c>
      <c r="F693" s="146" t="n">
        <v>4</v>
      </c>
    </row>
    <row r="694" ht="32" customHeight="1">
      <c r="A694" s="146" t="str">
        <v>IEMORE</v>
      </c>
      <c r="B694" s="146" t="str">
        <v>2021</v>
      </c>
      <c r="C694" s="146" t="str">
        <v>2</v>
      </c>
      <c r="D694" s="146" t="str">
        <v>ELIMINADO</v>
      </c>
      <c r="E694" s="146" t="str">
        <v>38 - REINCORPORACION DE ACTIVIDADES</v>
      </c>
      <c r="F694" s="146" t="n">
        <v>1</v>
      </c>
    </row>
    <row r="695" ht="32" customHeight="1">
      <c r="A695" s="146" t="str">
        <v>IEMORE</v>
      </c>
      <c r="B695" s="146" t="str">
        <v>2022</v>
      </c>
      <c r="C695" s="146" t="str">
        <v>1</v>
      </c>
      <c r="D695" s="146" t="str">
        <v>TITULADO</v>
      </c>
      <c r="E695" s="146" t="str">
        <v>31 - TITULADO APROBADO</v>
      </c>
      <c r="F695" s="146" t="n">
        <v>16</v>
      </c>
    </row>
    <row r="696" ht="32" customHeight="1">
      <c r="A696" s="146" t="str">
        <v>IETMRE</v>
      </c>
      <c r="B696" s="146" t="str">
        <v>2013</v>
      </c>
      <c r="C696" s="146" t="str">
        <v>1</v>
      </c>
      <c r="D696" s="146" t="str">
        <v>ELIMINADO</v>
      </c>
      <c r="E696" s="146" t="str">
        <v>23 - RETIRO - RETRACTO</v>
      </c>
      <c r="F696" s="146" t="n">
        <v>3</v>
      </c>
    </row>
    <row r="697" ht="32" customHeight="1">
      <c r="A697" s="146" t="str">
        <v>IETMRE</v>
      </c>
      <c r="B697" s="146" t="str">
        <v>2013</v>
      </c>
      <c r="C697" s="146" t="str">
        <v>1</v>
      </c>
      <c r="D697" s="146" t="str">
        <v>ELIMINADO</v>
      </c>
      <c r="E697" s="146" t="str">
        <v>24 - CAMBIO DE CARRERA</v>
      </c>
      <c r="F697" s="146" t="n">
        <v>24</v>
      </c>
    </row>
    <row r="698" ht="32" customHeight="1">
      <c r="A698" s="146" t="str">
        <v>IETMRE</v>
      </c>
      <c r="B698" s="146" t="str">
        <v>2013</v>
      </c>
      <c r="C698" s="146" t="str">
        <v>1</v>
      </c>
      <c r="D698" s="146" t="str">
        <v>ELIMINADO</v>
      </c>
      <c r="E698" s="146" t="str">
        <v>38 - REINCORPORACION DE ACTIVIDADES</v>
      </c>
      <c r="F698" s="146" t="n">
        <v>2</v>
      </c>
    </row>
    <row r="699" ht="32" customHeight="1">
      <c r="A699" s="146" t="str">
        <v>IETMRE</v>
      </c>
      <c r="B699" s="146" t="str">
        <v>2013</v>
      </c>
      <c r="C699" s="146" t="str">
        <v>1</v>
      </c>
      <c r="D699" s="146" t="str">
        <v>ELIMINADO</v>
      </c>
      <c r="E699" s="146" t="str">
        <v>41 - RETIRO SIN AVISO </v>
      </c>
      <c r="F699" s="146" t="n">
        <v>1</v>
      </c>
    </row>
    <row r="700" ht="32" customHeight="1">
      <c r="A700" s="146" t="str">
        <v>IETMRE</v>
      </c>
      <c r="B700" s="146" t="str">
        <v>2013</v>
      </c>
      <c r="C700" s="146" t="str">
        <v>1</v>
      </c>
      <c r="D700" s="146" t="str">
        <v>TITULADO</v>
      </c>
      <c r="E700" s="146" t="str">
        <v>31 - TITULADO APROBADO</v>
      </c>
      <c r="F700" s="146" t="n">
        <v>12</v>
      </c>
    </row>
    <row r="701" ht="32" customHeight="1">
      <c r="A701" s="146" t="str">
        <v>IETMRE</v>
      </c>
      <c r="B701" s="146" t="str">
        <v>2013</v>
      </c>
      <c r="C701" s="146" t="str">
        <v>2</v>
      </c>
      <c r="D701" s="146" t="str">
        <v>ELIMINADO</v>
      </c>
      <c r="E701" s="146" t="str">
        <v>100 - TITULACIÓN INTERMEDIA</v>
      </c>
      <c r="F701" s="146" t="n">
        <v>1</v>
      </c>
    </row>
    <row r="702" ht="32" customHeight="1">
      <c r="A702" s="146" t="str">
        <v>IETMRE</v>
      </c>
      <c r="B702" s="146" t="str">
        <v>2013</v>
      </c>
      <c r="C702" s="146" t="str">
        <v>2</v>
      </c>
      <c r="D702" s="146" t="str">
        <v>ELIMINADO</v>
      </c>
      <c r="E702" s="146" t="str">
        <v>24 - CAMBIO DE CARRERA</v>
      </c>
      <c r="F702" s="146" t="n">
        <v>4</v>
      </c>
    </row>
    <row r="703" ht="32" customHeight="1">
      <c r="A703" s="146" t="str">
        <v>IETMRE</v>
      </c>
      <c r="B703" s="146" t="str">
        <v>2013</v>
      </c>
      <c r="C703" s="146" t="str">
        <v>2</v>
      </c>
      <c r="D703" s="146" t="str">
        <v>ELIMINADO</v>
      </c>
      <c r="E703" s="146" t="str">
        <v>38 - REINCORPORACION DE ACTIVIDADES</v>
      </c>
      <c r="F703" s="146" t="n">
        <v>1</v>
      </c>
    </row>
    <row r="704" ht="32" customHeight="1">
      <c r="A704" s="146" t="str">
        <v>IETMRE</v>
      </c>
      <c r="B704" s="146" t="str">
        <v>2013</v>
      </c>
      <c r="C704" s="146" t="str">
        <v>2</v>
      </c>
      <c r="D704" s="146" t="str">
        <v>TITULADO</v>
      </c>
      <c r="E704" s="146" t="str">
        <v>31 - TITULADO APROBADO</v>
      </c>
      <c r="F704" s="146" t="n">
        <v>1</v>
      </c>
    </row>
    <row r="705" ht="32" customHeight="1">
      <c r="A705" s="146" t="str">
        <v>IETMRE</v>
      </c>
      <c r="B705" s="146" t="str">
        <v>2014</v>
      </c>
      <c r="C705" s="146" t="str">
        <v>1</v>
      </c>
      <c r="D705" s="146" t="str">
        <v>ELIMINADO</v>
      </c>
      <c r="E705" s="146" t="str">
        <v>24 - CAMBIO DE CARRERA</v>
      </c>
      <c r="F705" s="146" t="n">
        <v>19</v>
      </c>
    </row>
    <row r="706" ht="32" customHeight="1">
      <c r="A706" s="146" t="str">
        <v>IETMRE</v>
      </c>
      <c r="B706" s="146" t="str">
        <v>2014</v>
      </c>
      <c r="C706" s="146" t="str">
        <v>1</v>
      </c>
      <c r="D706" s="146" t="str">
        <v>ELIMINADO</v>
      </c>
      <c r="E706" s="146" t="str">
        <v>3 - ELIMINACION AUTOMATICA</v>
      </c>
      <c r="F706" s="146" t="n">
        <v>2</v>
      </c>
    </row>
    <row r="707" ht="32" customHeight="1">
      <c r="A707" s="146" t="str">
        <v>IETMRE</v>
      </c>
      <c r="B707" s="146" t="str">
        <v>2014</v>
      </c>
      <c r="C707" s="146" t="str">
        <v>1</v>
      </c>
      <c r="D707" s="146" t="str">
        <v>TITULADO</v>
      </c>
      <c r="E707" s="146" t="str">
        <v>31 - TITULADO APROBADO</v>
      </c>
      <c r="F707" s="146" t="n">
        <v>15</v>
      </c>
    </row>
    <row r="708" ht="32" customHeight="1">
      <c r="A708" s="146" t="str">
        <v>IETMRE</v>
      </c>
      <c r="B708" s="146" t="str">
        <v>2014</v>
      </c>
      <c r="C708" s="146" t="str">
        <v>2</v>
      </c>
      <c r="D708" s="146" t="str">
        <v>ELIMINADO</v>
      </c>
      <c r="E708" s="146" t="str">
        <v>24 - CAMBIO DE CARRERA</v>
      </c>
      <c r="F708" s="146" t="n">
        <v>2</v>
      </c>
    </row>
    <row r="709" ht="32" customHeight="1">
      <c r="A709" s="146" t="str">
        <v>IETMRE</v>
      </c>
      <c r="B709" s="146" t="str">
        <v>2014</v>
      </c>
      <c r="C709" s="146" t="str">
        <v>2</v>
      </c>
      <c r="D709" s="146" t="str">
        <v>TITULADO</v>
      </c>
      <c r="E709" s="146" t="str">
        <v>31 - TITULADO APROBADO</v>
      </c>
      <c r="F709" s="146" t="n">
        <v>4</v>
      </c>
    </row>
    <row r="710" ht="32" customHeight="1">
      <c r="A710" s="146" t="str">
        <v>IETMRE</v>
      </c>
      <c r="B710" s="146" t="str">
        <v>2015</v>
      </c>
      <c r="C710" s="146" t="str">
        <v>1</v>
      </c>
      <c r="D710" s="146" t="str">
        <v>ELIMINADO</v>
      </c>
      <c r="E710" s="146" t="str">
        <v>24 - CAMBIO DE CARRERA</v>
      </c>
      <c r="F710" s="146" t="n">
        <v>28</v>
      </c>
    </row>
    <row r="711" ht="32" customHeight="1">
      <c r="A711" s="146" t="str">
        <v>IETMRE</v>
      </c>
      <c r="B711" s="146" t="str">
        <v>2015</v>
      </c>
      <c r="C711" s="146" t="str">
        <v>1</v>
      </c>
      <c r="D711" s="146" t="str">
        <v>ELIMINADO</v>
      </c>
      <c r="E711" s="146" t="str">
        <v>3 - ELIMINACION AUTOMATICA</v>
      </c>
      <c r="F711" s="146" t="n">
        <v>2</v>
      </c>
    </row>
    <row r="712" ht="32" customHeight="1">
      <c r="A712" s="146" t="str">
        <v>IETMRE</v>
      </c>
      <c r="B712" s="146" t="str">
        <v>2015</v>
      </c>
      <c r="C712" s="146" t="str">
        <v>1</v>
      </c>
      <c r="D712" s="146" t="str">
        <v>ELIMINADO</v>
      </c>
      <c r="E712" s="146" t="str">
        <v>38 - REINCORPORACION DE ACTIVIDADES</v>
      </c>
      <c r="F712" s="146" t="n">
        <v>1</v>
      </c>
    </row>
    <row r="713" ht="32" customHeight="1">
      <c r="A713" s="146" t="str">
        <v>IETMRE</v>
      </c>
      <c r="B713" s="146" t="str">
        <v>2015</v>
      </c>
      <c r="C713" s="146" t="str">
        <v>1</v>
      </c>
      <c r="D713" s="146" t="str">
        <v>ELIMINADO</v>
      </c>
      <c r="E713" s="146" t="str">
        <v>5 - RENUNCIA ENTRE PERIODOS</v>
      </c>
      <c r="F713" s="146" t="n">
        <v>2</v>
      </c>
    </row>
    <row r="714" ht="32" customHeight="1">
      <c r="A714" s="146" t="str">
        <v>IETMRE</v>
      </c>
      <c r="B714" s="146" t="str">
        <v>2015</v>
      </c>
      <c r="C714" s="146" t="str">
        <v>1</v>
      </c>
      <c r="D714" s="146" t="str">
        <v>TITULADO</v>
      </c>
      <c r="E714" s="146" t="str">
        <v>31 - TITULADO APROBADO</v>
      </c>
      <c r="F714" s="146" t="n">
        <v>16</v>
      </c>
    </row>
    <row r="715" ht="32" customHeight="1">
      <c r="A715" s="146" t="str">
        <v>IETMRE</v>
      </c>
      <c r="B715" s="146" t="str">
        <v>2016</v>
      </c>
      <c r="C715" s="146" t="str">
        <v>1</v>
      </c>
      <c r="D715" s="146" t="str">
        <v>ELIMINADO</v>
      </c>
      <c r="E715" s="146" t="str">
        <v>100 - TITULACIÓN INTERMEDIA</v>
      </c>
      <c r="F715" s="146" t="n">
        <v>1</v>
      </c>
    </row>
    <row r="716" ht="32" customHeight="1">
      <c r="A716" s="146" t="str">
        <v>IETMRE</v>
      </c>
      <c r="B716" s="146" t="str">
        <v>2016</v>
      </c>
      <c r="C716" s="146" t="str">
        <v>1</v>
      </c>
      <c r="D716" s="146" t="str">
        <v>ELIMINADO</v>
      </c>
      <c r="E716" s="146" t="str">
        <v>24 - CAMBIO DE CARRERA</v>
      </c>
      <c r="F716" s="146" t="n">
        <v>2</v>
      </c>
    </row>
    <row r="717" ht="32" customHeight="1">
      <c r="A717" s="146" t="str">
        <v>IETMRE</v>
      </c>
      <c r="B717" s="146" t="str">
        <v>2016</v>
      </c>
      <c r="C717" s="146" t="str">
        <v>1</v>
      </c>
      <c r="D717" s="146" t="str">
        <v>ELIMINADO</v>
      </c>
      <c r="E717" s="146" t="str">
        <v>3 - ELIMINACION AUTOMATICA</v>
      </c>
      <c r="F717" s="146" t="n">
        <v>15</v>
      </c>
    </row>
    <row r="718" ht="32" customHeight="1">
      <c r="A718" s="146" t="str">
        <v>IETMRE</v>
      </c>
      <c r="B718" s="146" t="str">
        <v>2016</v>
      </c>
      <c r="C718" s="146" t="str">
        <v>1</v>
      </c>
      <c r="D718" s="146" t="str">
        <v>ELIMINADO</v>
      </c>
      <c r="E718" s="146" t="str">
        <v>38 - REINCORPORACION DE ACTIVIDADES</v>
      </c>
      <c r="F718" s="146" t="n">
        <v>2</v>
      </c>
    </row>
    <row r="719" ht="32" customHeight="1">
      <c r="A719" s="146" t="str">
        <v>IETMRE</v>
      </c>
      <c r="B719" s="146" t="str">
        <v>2016</v>
      </c>
      <c r="C719" s="146" t="str">
        <v>1</v>
      </c>
      <c r="D719" s="146" t="str">
        <v>ELIMINADO</v>
      </c>
      <c r="E719" s="146" t="str">
        <v>7 - NO RENUEVA MATRICULA</v>
      </c>
      <c r="F719" s="146" t="n">
        <v>1</v>
      </c>
    </row>
    <row r="720" ht="32" customHeight="1">
      <c r="A720" s="146" t="str">
        <v>IETMRE</v>
      </c>
      <c r="B720" s="146" t="str">
        <v>2016</v>
      </c>
      <c r="C720" s="146" t="str">
        <v>1</v>
      </c>
      <c r="D720" s="146" t="str">
        <v>TITULADO</v>
      </c>
      <c r="E720" s="146" t="str">
        <v>31 - TITULADO APROBADO</v>
      </c>
      <c r="F720" s="146" t="n">
        <v>16</v>
      </c>
    </row>
    <row r="721" ht="32" customHeight="1">
      <c r="A721" s="146" t="str">
        <v>IETMRE</v>
      </c>
      <c r="B721" s="146" t="str">
        <v>2016</v>
      </c>
      <c r="C721" s="146" t="str">
        <v>2</v>
      </c>
      <c r="D721" s="146" t="str">
        <v>ELIMINADO</v>
      </c>
      <c r="E721" s="146" t="str">
        <v>1 - ALUMNO REGULAR</v>
      </c>
      <c r="F721" s="146" t="n">
        <v>2</v>
      </c>
    </row>
    <row r="722" ht="32" customHeight="1">
      <c r="A722" s="146" t="str">
        <v>IETMRE</v>
      </c>
      <c r="B722" s="146" t="str">
        <v>2016</v>
      </c>
      <c r="C722" s="146" t="str">
        <v>2</v>
      </c>
      <c r="D722" s="146" t="str">
        <v>TITULADO</v>
      </c>
      <c r="E722" s="146" t="str">
        <v>31 - TITULADO APROBADO</v>
      </c>
      <c r="F722" s="146" t="n">
        <v>1</v>
      </c>
    </row>
    <row r="723" ht="32" customHeight="1">
      <c r="A723" s="146" t="str">
        <v>IETMRE</v>
      </c>
      <c r="B723" s="146" t="str">
        <v>2017</v>
      </c>
      <c r="C723" s="146" t="str">
        <v>1</v>
      </c>
      <c r="D723" s="146" t="str">
        <v>ELIMINADO</v>
      </c>
      <c r="E723" s="146" t="str">
        <v>23 - RETIRO - RETRACTO</v>
      </c>
      <c r="F723" s="146" t="n">
        <v>2</v>
      </c>
    </row>
    <row r="724" ht="32" customHeight="1">
      <c r="A724" s="146" t="str">
        <v>IETMRE</v>
      </c>
      <c r="B724" s="146" t="str">
        <v>2017</v>
      </c>
      <c r="C724" s="146" t="str">
        <v>1</v>
      </c>
      <c r="D724" s="146" t="str">
        <v>ELIMINADO</v>
      </c>
      <c r="E724" s="146" t="str">
        <v>24 - CAMBIO DE CARRERA</v>
      </c>
      <c r="F724" s="146" t="n">
        <v>3</v>
      </c>
    </row>
    <row r="725" ht="32" customHeight="1">
      <c r="A725" s="146" t="str">
        <v>IETMRE</v>
      </c>
      <c r="B725" s="146" t="str">
        <v>2017</v>
      </c>
      <c r="C725" s="146" t="str">
        <v>1</v>
      </c>
      <c r="D725" s="146" t="str">
        <v>ELIMINADO</v>
      </c>
      <c r="E725" s="146" t="str">
        <v>3 - ELIMINACION AUTOMATICA</v>
      </c>
      <c r="F725" s="146" t="n">
        <v>21</v>
      </c>
    </row>
    <row r="726" ht="32" customHeight="1">
      <c r="A726" s="146" t="str">
        <v>IETMRE</v>
      </c>
      <c r="B726" s="146" t="str">
        <v>2017</v>
      </c>
      <c r="C726" s="146" t="str">
        <v>1</v>
      </c>
      <c r="D726" s="146" t="str">
        <v>TITULADO</v>
      </c>
      <c r="E726" s="146" t="str">
        <v>31 - TITULADO APROBADO</v>
      </c>
      <c r="F726" s="146" t="n">
        <v>32</v>
      </c>
    </row>
    <row r="727" ht="32" customHeight="1">
      <c r="A727" s="146" t="str">
        <v>IETMRE</v>
      </c>
      <c r="B727" s="146" t="str">
        <v>2018</v>
      </c>
      <c r="C727" s="146" t="str">
        <v>1</v>
      </c>
      <c r="D727" s="146" t="str">
        <v>ELIMINADO</v>
      </c>
      <c r="E727" s="146" t="str">
        <v>23 - RETIRO - RETRACTO</v>
      </c>
      <c r="F727" s="146" t="n">
        <v>2</v>
      </c>
    </row>
    <row r="728" ht="32" customHeight="1">
      <c r="A728" s="146" t="str">
        <v>IETMRE</v>
      </c>
      <c r="B728" s="146" t="str">
        <v>2018</v>
      </c>
      <c r="C728" s="146" t="str">
        <v>1</v>
      </c>
      <c r="D728" s="146" t="str">
        <v>ELIMINADO</v>
      </c>
      <c r="E728" s="146" t="str">
        <v>24 - CAMBIO DE CARRERA</v>
      </c>
      <c r="F728" s="146" t="n">
        <v>8</v>
      </c>
    </row>
    <row r="729" ht="32" customHeight="1">
      <c r="A729" s="146" t="str">
        <v>IETMRE</v>
      </c>
      <c r="B729" s="146" t="str">
        <v>2018</v>
      </c>
      <c r="C729" s="146" t="str">
        <v>1</v>
      </c>
      <c r="D729" s="146" t="str">
        <v>ELIMINADO</v>
      </c>
      <c r="E729" s="146" t="str">
        <v>3 - ELIMINACION AUTOMATICA</v>
      </c>
      <c r="F729" s="146" t="n">
        <v>17</v>
      </c>
    </row>
    <row r="730" ht="32" customHeight="1">
      <c r="A730" s="146" t="str">
        <v>IETMRE</v>
      </c>
      <c r="B730" s="146" t="str">
        <v>2018</v>
      </c>
      <c r="C730" s="146" t="str">
        <v>1</v>
      </c>
      <c r="D730" s="146" t="str">
        <v>ELIMINADO</v>
      </c>
      <c r="E730" s="146" t="str">
        <v>38 - REINCORPORACION DE ACTIVIDADES</v>
      </c>
      <c r="F730" s="146" t="n">
        <v>1</v>
      </c>
    </row>
    <row r="731" ht="32" customHeight="1">
      <c r="A731" s="146" t="str">
        <v>IETMRE</v>
      </c>
      <c r="B731" s="146" t="str">
        <v>2018</v>
      </c>
      <c r="C731" s="146" t="str">
        <v>1</v>
      </c>
      <c r="D731" s="146" t="str">
        <v>TITULADO</v>
      </c>
      <c r="E731" s="146" t="str">
        <v>31 - TITULADO APROBADO</v>
      </c>
      <c r="F731" s="146" t="n">
        <v>18</v>
      </c>
    </row>
    <row r="732" ht="32" customHeight="1">
      <c r="A732" s="146" t="str">
        <v>IETMRE</v>
      </c>
      <c r="B732" s="146" t="str">
        <v>2018</v>
      </c>
      <c r="C732" s="146" t="str">
        <v>2</v>
      </c>
      <c r="D732" s="146" t="str">
        <v>ELIMINADO</v>
      </c>
      <c r="E732" s="146" t="str">
        <v>3 - ELIMINACION AUTOMATICA</v>
      </c>
      <c r="F732" s="146" t="n">
        <v>1</v>
      </c>
    </row>
    <row r="733" ht="32" customHeight="1">
      <c r="A733" s="146" t="str">
        <v>IETMRE</v>
      </c>
      <c r="B733" s="146" t="str">
        <v>2019</v>
      </c>
      <c r="C733" s="146" t="str">
        <v>1</v>
      </c>
      <c r="D733" s="146" t="str">
        <v>ELIMINADO</v>
      </c>
      <c r="E733" s="146" t="str">
        <v>1 - ALUMNO REGULAR</v>
      </c>
      <c r="F733" s="146" t="n">
        <v>5</v>
      </c>
    </row>
    <row r="734" ht="32" customHeight="1">
      <c r="A734" s="146" t="str">
        <v>IETMRE</v>
      </c>
      <c r="B734" s="146" t="str">
        <v>2019</v>
      </c>
      <c r="C734" s="146" t="str">
        <v>1</v>
      </c>
      <c r="D734" s="146" t="str">
        <v>ELIMINADO</v>
      </c>
      <c r="E734" s="146" t="str">
        <v>23 - RETIRO - RETRACTO</v>
      </c>
      <c r="F734" s="146" t="n">
        <v>2</v>
      </c>
    </row>
    <row r="735" ht="32" customHeight="1">
      <c r="A735" s="146" t="str">
        <v>IETMRE</v>
      </c>
      <c r="B735" s="146" t="str">
        <v>2019</v>
      </c>
      <c r="C735" s="146" t="str">
        <v>1</v>
      </c>
      <c r="D735" s="146" t="str">
        <v>ELIMINADO</v>
      </c>
      <c r="E735" s="146" t="str">
        <v>24 - CAMBIO DE CARRERA</v>
      </c>
      <c r="F735" s="146" t="n">
        <v>3</v>
      </c>
    </row>
    <row r="736" ht="32" customHeight="1">
      <c r="A736" s="146" t="str">
        <v>IETMRE</v>
      </c>
      <c r="B736" s="146" t="str">
        <v>2019</v>
      </c>
      <c r="C736" s="146" t="str">
        <v>1</v>
      </c>
      <c r="D736" s="146" t="str">
        <v>ELIMINADO</v>
      </c>
      <c r="E736" s="146" t="str">
        <v>3 - ELIMINACION AUTOMATICA</v>
      </c>
      <c r="F736" s="146" t="n">
        <v>1</v>
      </c>
    </row>
    <row r="737" ht="32" customHeight="1">
      <c r="A737" s="146" t="str">
        <v>IETMRE</v>
      </c>
      <c r="B737" s="146" t="str">
        <v>2019</v>
      </c>
      <c r="C737" s="146" t="str">
        <v>1</v>
      </c>
      <c r="D737" s="146" t="str">
        <v>TITULADO</v>
      </c>
      <c r="E737" s="146" t="str">
        <v>31 - TITULADO APROBADO</v>
      </c>
      <c r="F737" s="146" t="n">
        <v>19</v>
      </c>
    </row>
    <row r="738" ht="32" customHeight="1">
      <c r="A738" s="146" t="str">
        <v>IETMRE</v>
      </c>
      <c r="B738" s="146" t="str">
        <v>2019</v>
      </c>
      <c r="C738" s="146" t="str">
        <v>2</v>
      </c>
      <c r="D738" s="146" t="str">
        <v>ELIMINADO</v>
      </c>
      <c r="E738" s="146" t="str">
        <v>100 - TITULACIÓN INTERMEDIA</v>
      </c>
      <c r="F738" s="146" t="n">
        <v>1</v>
      </c>
    </row>
    <row r="739" ht="32" customHeight="1">
      <c r="A739" s="146" t="str">
        <v>IETMRE</v>
      </c>
      <c r="B739" s="146" t="str">
        <v>2020</v>
      </c>
      <c r="C739" s="146" t="str">
        <v>1</v>
      </c>
      <c r="D739" s="146" t="str">
        <v>ELIMINADO</v>
      </c>
      <c r="E739" s="146" t="str">
        <v>100 - TITULACIÓN INTERMEDIA</v>
      </c>
      <c r="F739" s="146" t="n">
        <v>1</v>
      </c>
    </row>
    <row r="740" ht="32" customHeight="1">
      <c r="A740" s="146" t="str">
        <v>IETMRE</v>
      </c>
      <c r="B740" s="146" t="str">
        <v>2020</v>
      </c>
      <c r="C740" s="146" t="str">
        <v>1</v>
      </c>
      <c r="D740" s="146" t="str">
        <v>ELIMINADO</v>
      </c>
      <c r="E740" s="146" t="str">
        <v>24 - CAMBIO DE CARRERA</v>
      </c>
      <c r="F740" s="146" t="n">
        <v>4</v>
      </c>
    </row>
    <row r="741" ht="32" customHeight="1">
      <c r="A741" s="146" t="str">
        <v>IETMRE</v>
      </c>
      <c r="B741" s="146" t="str">
        <v>2020</v>
      </c>
      <c r="C741" s="146" t="str">
        <v>1</v>
      </c>
      <c r="D741" s="146" t="str">
        <v>ELIMINADO</v>
      </c>
      <c r="E741" s="146" t="str">
        <v>3 - ELIMINACION AUTOMATICA</v>
      </c>
      <c r="F741" s="146" t="n">
        <v>22</v>
      </c>
    </row>
    <row r="742" ht="32" customHeight="1">
      <c r="A742" s="146" t="str">
        <v>IETMRE</v>
      </c>
      <c r="B742" s="146" t="str">
        <v>2020</v>
      </c>
      <c r="C742" s="146" t="str">
        <v>1</v>
      </c>
      <c r="D742" s="146" t="str">
        <v>TITULADO</v>
      </c>
      <c r="E742" s="146" t="str">
        <v>31 - TITULADO APROBADO</v>
      </c>
      <c r="F742" s="146" t="n">
        <v>17</v>
      </c>
    </row>
    <row r="743" ht="32" customHeight="1">
      <c r="A743" s="146" t="str">
        <v>IETMRE</v>
      </c>
      <c r="B743" s="146" t="str">
        <v>2020</v>
      </c>
      <c r="C743" s="146" t="str">
        <v>2</v>
      </c>
      <c r="D743" s="146" t="str">
        <v>TITULADO</v>
      </c>
      <c r="E743" s="146" t="str">
        <v>31 - TITULADO APROBADO</v>
      </c>
      <c r="F743" s="146" t="n">
        <v>1</v>
      </c>
    </row>
    <row r="744" ht="32" customHeight="1">
      <c r="A744" s="146" t="str">
        <v>IETMRE</v>
      </c>
      <c r="B744" s="146" t="str">
        <v>2021</v>
      </c>
      <c r="C744" s="146" t="str">
        <v>1</v>
      </c>
      <c r="D744" s="146" t="str">
        <v>ELIMINADO</v>
      </c>
      <c r="E744" s="146" t="str">
        <v>1 - ALUMNO REGULAR</v>
      </c>
      <c r="F744" s="146" t="n">
        <v>6</v>
      </c>
    </row>
    <row r="745" ht="32" customHeight="1">
      <c r="A745" s="146" t="str">
        <v>IETMRE</v>
      </c>
      <c r="B745" s="146" t="str">
        <v>2021</v>
      </c>
      <c r="C745" s="146" t="str">
        <v>1</v>
      </c>
      <c r="D745" s="146" t="str">
        <v>ELIMINADO</v>
      </c>
      <c r="E745" s="146" t="str">
        <v>24 - CAMBIO DE CARRERA</v>
      </c>
      <c r="F745" s="146" t="n">
        <v>4</v>
      </c>
    </row>
    <row r="746" ht="32" customHeight="1">
      <c r="A746" s="146" t="str">
        <v>IETMRE</v>
      </c>
      <c r="B746" s="146" t="str">
        <v>2021</v>
      </c>
      <c r="C746" s="146" t="str">
        <v>1</v>
      </c>
      <c r="D746" s="146" t="str">
        <v>TITULADO</v>
      </c>
      <c r="E746" s="146" t="str">
        <v>31 - TITULADO APROBADO</v>
      </c>
      <c r="F746" s="146" t="n">
        <v>11</v>
      </c>
    </row>
    <row r="747" ht="32" customHeight="1">
      <c r="A747" s="146" t="str">
        <v>IETMRE</v>
      </c>
      <c r="B747" s="146" t="str">
        <v>2022</v>
      </c>
      <c r="C747" s="146" t="str">
        <v>1</v>
      </c>
      <c r="D747" s="146" t="str">
        <v>ELIMINADO</v>
      </c>
      <c r="E747" s="146" t="str">
        <v>1 - ALUMNO REGULAR</v>
      </c>
      <c r="F747" s="146" t="n">
        <v>1</v>
      </c>
    </row>
    <row r="748" ht="32" customHeight="1">
      <c r="A748" s="146" t="str">
        <v>IETMRE</v>
      </c>
      <c r="B748" s="146" t="str">
        <v>2022</v>
      </c>
      <c r="C748" s="146" t="str">
        <v>1</v>
      </c>
      <c r="D748" s="146" t="str">
        <v>ELIMINADO</v>
      </c>
      <c r="E748" s="146" t="str">
        <v>23 - RETIRO - RETRACTO</v>
      </c>
      <c r="F748" s="146" t="n">
        <v>1</v>
      </c>
    </row>
    <row r="749" ht="32" customHeight="1">
      <c r="A749" s="146" t="str">
        <v>IETMRE</v>
      </c>
      <c r="B749" s="146" t="str">
        <v>2022</v>
      </c>
      <c r="C749" s="146" t="str">
        <v>1</v>
      </c>
      <c r="D749" s="146" t="str">
        <v>ELIMINADO</v>
      </c>
      <c r="E749" s="146" t="str">
        <v>24 - CAMBIO DE CARRERA</v>
      </c>
      <c r="F749" s="146" t="n">
        <v>5</v>
      </c>
    </row>
    <row r="750" ht="32" customHeight="1">
      <c r="A750" s="146" t="str">
        <v>IETMRE</v>
      </c>
      <c r="B750" s="146" t="str">
        <v>2022</v>
      </c>
      <c r="C750" s="146" t="str">
        <v>1</v>
      </c>
      <c r="D750" s="146" t="str">
        <v>ELIMINADO</v>
      </c>
      <c r="E750" s="146" t="str">
        <v>38 - REINCORPORACION DE ACTIVIDADES</v>
      </c>
      <c r="F750" s="146" t="n">
        <v>2</v>
      </c>
    </row>
    <row r="751" ht="32" customHeight="1">
      <c r="A751" s="146" t="str">
        <v>IETMRE</v>
      </c>
      <c r="B751" s="146" t="str">
        <v>2022</v>
      </c>
      <c r="C751" s="146" t="str">
        <v>1</v>
      </c>
      <c r="D751" s="146" t="str">
        <v>TITULADO</v>
      </c>
      <c r="E751" s="146" t="str">
        <v>31 - TITULADO APROBADO</v>
      </c>
      <c r="F751" s="146" t="n">
        <v>20</v>
      </c>
    </row>
    <row r="752" ht="32" customHeight="1">
      <c r="A752" s="146" t="str">
        <v>IETMRE</v>
      </c>
      <c r="B752" s="146" t="str">
        <v>2023</v>
      </c>
      <c r="C752" s="146" t="str">
        <v>1</v>
      </c>
      <c r="D752" s="146" t="str">
        <v>ELIMINADO</v>
      </c>
      <c r="E752" s="146" t="str">
        <v>23 - RETIRO - RETRACTO</v>
      </c>
      <c r="F752" s="146" t="n">
        <v>4</v>
      </c>
    </row>
    <row r="753" ht="32" customHeight="1">
      <c r="A753" s="146" t="str">
        <v>IETMRE</v>
      </c>
      <c r="B753" s="146" t="str">
        <v>2023</v>
      </c>
      <c r="C753" s="146" t="str">
        <v>1</v>
      </c>
      <c r="D753" s="146" t="str">
        <v>ELIMINADO</v>
      </c>
      <c r="E753" s="146" t="str">
        <v>24 - CAMBIO DE CARRERA</v>
      </c>
      <c r="F753" s="146" t="n">
        <v>1</v>
      </c>
    </row>
    <row r="754" ht="32" customHeight="1">
      <c r="A754" s="146" t="str">
        <v>IETMRE</v>
      </c>
      <c r="B754" s="146" t="str">
        <v>2023</v>
      </c>
      <c r="C754" s="146" t="str">
        <v>1</v>
      </c>
      <c r="D754" s="146" t="str">
        <v>TITULADO</v>
      </c>
      <c r="E754" s="146" t="str">
        <v>31 - TITULADO APROBADO</v>
      </c>
      <c r="F754" s="146" t="n">
        <v>13</v>
      </c>
    </row>
    <row r="755" ht="32" customHeight="1">
      <c r="A755" s="146" t="str">
        <v>IETMRE</v>
      </c>
      <c r="B755" s="146" t="str">
        <v>2024</v>
      </c>
      <c r="C755" s="146" t="str">
        <v>1</v>
      </c>
      <c r="D755" s="146" t="str">
        <v>ELIMINADO</v>
      </c>
      <c r="E755" s="146" t="str">
        <v>10 - ACTUALIZACIÓN DE PLAN DE ESTUDIO 2024</v>
      </c>
      <c r="F755" s="146" t="n">
        <v>4</v>
      </c>
    </row>
    <row r="756" ht="32" customHeight="1">
      <c r="A756" s="146" t="str">
        <v>IETMRE</v>
      </c>
      <c r="B756" s="146" t="str">
        <v>2024</v>
      </c>
      <c r="C756" s="146" t="str">
        <v>1</v>
      </c>
      <c r="D756" s="146" t="str">
        <v>ELIMINADO</v>
      </c>
      <c r="E756" s="146" t="str">
        <v>7 - NO RENUEVA MATRICULA</v>
      </c>
      <c r="F756" s="146" t="n">
        <v>1</v>
      </c>
    </row>
    <row r="757" ht="32" customHeight="1">
      <c r="A757" s="146" t="str">
        <v>IETMRE</v>
      </c>
      <c r="B757" s="146" t="str">
        <v>2024</v>
      </c>
      <c r="C757" s="146" t="str">
        <v>1</v>
      </c>
      <c r="D757" s="146" t="str">
        <v>TITULADO</v>
      </c>
      <c r="E757" s="146" t="str">
        <v>31 - TITULADO APROBADO</v>
      </c>
      <c r="F757" s="146" t="n">
        <v>12</v>
      </c>
    </row>
    <row r="758" ht="32" customHeight="1">
      <c r="A758" s="146" t="str">
        <v>IETMRE</v>
      </c>
      <c r="B758" s="146" t="str">
        <v>2025</v>
      </c>
      <c r="C758" s="146" t="str">
        <v>1</v>
      </c>
      <c r="D758" s="146" t="str">
        <v>TITULADO</v>
      </c>
      <c r="E758" s="146" t="str">
        <v>31 - TITULADO APROBADO</v>
      </c>
      <c r="F758" s="146" t="n">
        <v>1</v>
      </c>
    </row>
    <row r="759" ht="32" customHeight="1">
      <c r="A759" s="146" t="str">
        <v>IETMREOL</v>
      </c>
      <c r="B759" s="146" t="str">
        <v>2018</v>
      </c>
      <c r="C759" s="146" t="str">
        <v>1</v>
      </c>
      <c r="D759" s="146" t="str">
        <v>ELIMINADO</v>
      </c>
      <c r="E759" s="146" t="str">
        <v>3 - ELIMINACION AUTOMATICA</v>
      </c>
      <c r="F759" s="146" t="n">
        <v>5</v>
      </c>
    </row>
    <row r="760" ht="32" customHeight="1">
      <c r="A760" s="146" t="str">
        <v>IETMREOL</v>
      </c>
      <c r="B760" s="146" t="str">
        <v>2019</v>
      </c>
      <c r="C760" s="146" t="str">
        <v>1</v>
      </c>
      <c r="D760" s="146" t="str">
        <v>ELIMINADO</v>
      </c>
      <c r="E760" s="146" t="str">
        <v>1 - ALUMNO REGULAR</v>
      </c>
      <c r="F760" s="146" t="n">
        <v>3</v>
      </c>
    </row>
    <row r="761" ht="32" customHeight="1">
      <c r="A761" s="146" t="str">
        <v>IETMREOL</v>
      </c>
      <c r="B761" s="146" t="str">
        <v>2019</v>
      </c>
      <c r="C761" s="146" t="str">
        <v>1</v>
      </c>
      <c r="D761" s="146" t="str">
        <v>ELIMINADO</v>
      </c>
      <c r="E761" s="146" t="str">
        <v>23 - RETIRO - RETRACTO</v>
      </c>
      <c r="F761" s="146" t="n">
        <v>2</v>
      </c>
    </row>
    <row r="762" ht="32" customHeight="1">
      <c r="A762" s="146" t="str">
        <v>IETMREOL</v>
      </c>
      <c r="B762" s="146" t="str">
        <v>2019</v>
      </c>
      <c r="C762" s="146" t="str">
        <v>1</v>
      </c>
      <c r="D762" s="146" t="str">
        <v>ELIMINADO</v>
      </c>
      <c r="E762" s="146" t="str">
        <v>24 - CAMBIO DE CARRERA</v>
      </c>
      <c r="F762" s="146" t="n">
        <v>1</v>
      </c>
    </row>
    <row r="763" ht="32" customHeight="1">
      <c r="A763" s="146" t="str">
        <v>IETMREOL</v>
      </c>
      <c r="B763" s="146" t="str">
        <v>2020</v>
      </c>
      <c r="C763" s="146" t="str">
        <v>1</v>
      </c>
      <c r="D763" s="146" t="str">
        <v>ELIMINADO</v>
      </c>
      <c r="E763" s="146" t="str">
        <v>24 - CAMBIO DE CARRERA</v>
      </c>
      <c r="F763" s="146" t="n">
        <v>3</v>
      </c>
    </row>
    <row r="764" ht="32" customHeight="1">
      <c r="A764" s="146" t="str">
        <v>IETMREOL</v>
      </c>
      <c r="B764" s="146" t="str">
        <v>2020</v>
      </c>
      <c r="C764" s="146" t="str">
        <v>1</v>
      </c>
      <c r="D764" s="146" t="str">
        <v>ELIMINADO</v>
      </c>
      <c r="E764" s="146" t="str">
        <v>3 - ELIMINACION AUTOMATICA</v>
      </c>
      <c r="F764" s="146" t="n">
        <v>10</v>
      </c>
    </row>
    <row r="765" ht="32" customHeight="1">
      <c r="A765" s="146" t="str">
        <v>IETMREOL</v>
      </c>
      <c r="B765" s="146" t="str">
        <v>2020</v>
      </c>
      <c r="C765" s="146" t="str">
        <v>1</v>
      </c>
      <c r="D765" s="146" t="str">
        <v>TITULADO</v>
      </c>
      <c r="E765" s="146" t="str">
        <v>31 - TITULADO APROBADO</v>
      </c>
      <c r="F765" s="146" t="n">
        <v>1</v>
      </c>
    </row>
    <row r="766" ht="32" customHeight="1">
      <c r="A766" s="146" t="str">
        <v>IETMREOL</v>
      </c>
      <c r="B766" s="146" t="str">
        <v>2020</v>
      </c>
      <c r="C766" s="146" t="str">
        <v>2</v>
      </c>
      <c r="D766" s="146" t="str">
        <v>ELIMINADO</v>
      </c>
      <c r="E766" s="146" t="str">
        <v>3 - ELIMINACION AUTOMATICA</v>
      </c>
      <c r="F766" s="146" t="n">
        <v>1</v>
      </c>
    </row>
    <row r="767" ht="32" customHeight="1">
      <c r="A767" s="146" t="str">
        <v>IETMREOL</v>
      </c>
      <c r="B767" s="146" t="str">
        <v>2021</v>
      </c>
      <c r="C767" s="146" t="str">
        <v>1</v>
      </c>
      <c r="D767" s="146" t="str">
        <v>ELIMINADO</v>
      </c>
      <c r="E767" s="146" t="str">
        <v>1 - ALUMNO REGULAR</v>
      </c>
      <c r="F767" s="146" t="n">
        <v>8</v>
      </c>
    </row>
    <row r="768" ht="32" customHeight="1">
      <c r="A768" s="146" t="str">
        <v>IETMREOL</v>
      </c>
      <c r="B768" s="146" t="str">
        <v>2021</v>
      </c>
      <c r="C768" s="146" t="str">
        <v>1</v>
      </c>
      <c r="D768" s="146" t="str">
        <v>ELIMINADO</v>
      </c>
      <c r="E768" s="146" t="str">
        <v>23 - RETIRO - RETRACTO</v>
      </c>
      <c r="F768" s="146" t="n">
        <v>1</v>
      </c>
    </row>
    <row r="769" ht="32" customHeight="1">
      <c r="A769" s="146" t="str">
        <v>IETMREOL</v>
      </c>
      <c r="B769" s="146" t="str">
        <v>2021</v>
      </c>
      <c r="C769" s="146" t="str">
        <v>1</v>
      </c>
      <c r="D769" s="146" t="str">
        <v>ELIMINADO</v>
      </c>
      <c r="E769" s="146" t="str">
        <v>24 - CAMBIO DE CARRERA</v>
      </c>
      <c r="F769" s="146" t="n">
        <v>2</v>
      </c>
    </row>
    <row r="770" ht="32" customHeight="1">
      <c r="A770" s="146" t="str">
        <v>IETMREOL</v>
      </c>
      <c r="B770" s="146" t="str">
        <v>2021</v>
      </c>
      <c r="C770" s="146" t="str">
        <v>1</v>
      </c>
      <c r="D770" s="146" t="str">
        <v>ELIMINADO</v>
      </c>
      <c r="E770" s="146" t="str">
        <v>3 - ELIMINACION AUTOMATICA</v>
      </c>
      <c r="F770" s="146" t="n">
        <v>1</v>
      </c>
    </row>
    <row r="771" ht="32" customHeight="1">
      <c r="A771" s="146" t="str">
        <v>IETMREOL</v>
      </c>
      <c r="B771" s="146" t="str">
        <v>2021</v>
      </c>
      <c r="C771" s="146" t="str">
        <v>1</v>
      </c>
      <c r="D771" s="146" t="str">
        <v>ELIMINADO</v>
      </c>
      <c r="E771" s="146" t="str">
        <v>38 - REINCORPORACION DE ACTIVIDADES</v>
      </c>
      <c r="F771" s="146" t="n">
        <v>1</v>
      </c>
    </row>
    <row r="772" ht="32" customHeight="1">
      <c r="A772" s="146" t="str">
        <v>IETMREOL</v>
      </c>
      <c r="B772" s="146" t="str">
        <v>2021</v>
      </c>
      <c r="C772" s="146" t="str">
        <v>1</v>
      </c>
      <c r="D772" s="146" t="str">
        <v>TITULADO</v>
      </c>
      <c r="E772" s="146" t="str">
        <v>31 - TITULADO APROBADO</v>
      </c>
      <c r="F772" s="146" t="n">
        <v>12</v>
      </c>
    </row>
    <row r="773" ht="32" customHeight="1">
      <c r="A773" s="146" t="str">
        <v>IETMREOL</v>
      </c>
      <c r="B773" s="146" t="str">
        <v>2021</v>
      </c>
      <c r="C773" s="146" t="str">
        <v>2</v>
      </c>
      <c r="D773" s="146" t="str">
        <v>ELIMINADO</v>
      </c>
      <c r="E773" s="146" t="str">
        <v>1 - ALUMNO REGULAR</v>
      </c>
      <c r="F773" s="146" t="n">
        <v>5</v>
      </c>
    </row>
    <row r="774" ht="32" customHeight="1">
      <c r="A774" s="146" t="str">
        <v>IETMREOL</v>
      </c>
      <c r="B774" s="146" t="str">
        <v>2021</v>
      </c>
      <c r="C774" s="146" t="str">
        <v>2</v>
      </c>
      <c r="D774" s="146" t="str">
        <v>ELIMINADO</v>
      </c>
      <c r="E774" s="146" t="str">
        <v>3 - ELIMINACION AUTOMATICA</v>
      </c>
      <c r="F774" s="146" t="n">
        <v>1</v>
      </c>
    </row>
    <row r="775" ht="32" customHeight="1">
      <c r="A775" s="146" t="str">
        <v>IETMREOL</v>
      </c>
      <c r="B775" s="146" t="str">
        <v>2021</v>
      </c>
      <c r="C775" s="146" t="str">
        <v>2</v>
      </c>
      <c r="D775" s="146" t="str">
        <v>ELIMINADO</v>
      </c>
      <c r="E775" s="146" t="str">
        <v>38 - REINCORPORACION DE ACTIVIDADES</v>
      </c>
      <c r="F775" s="146" t="n">
        <v>1</v>
      </c>
    </row>
    <row r="776" ht="32" customHeight="1">
      <c r="A776" s="146" t="str">
        <v>IETMREOL</v>
      </c>
      <c r="B776" s="146" t="str">
        <v>2022</v>
      </c>
      <c r="C776" s="146" t="str">
        <v>1</v>
      </c>
      <c r="D776" s="146" t="str">
        <v>ELIMINADO</v>
      </c>
      <c r="E776" s="146" t="str">
        <v>1 - ALUMNO REGULAR</v>
      </c>
      <c r="F776" s="146" t="n">
        <v>20</v>
      </c>
    </row>
    <row r="777" ht="32" customHeight="1">
      <c r="A777" s="146" t="str">
        <v>IETMREOL</v>
      </c>
      <c r="B777" s="146" t="str">
        <v>2022</v>
      </c>
      <c r="C777" s="146" t="str">
        <v>1</v>
      </c>
      <c r="D777" s="146" t="str">
        <v>ELIMINADO</v>
      </c>
      <c r="E777" s="146" t="str">
        <v>10 - ACTUALIZACIÓN DE PLAN DE ESTUDIO 2024</v>
      </c>
      <c r="F777" s="146" t="n">
        <v>1</v>
      </c>
    </row>
    <row r="778" ht="32" customHeight="1">
      <c r="A778" s="146" t="str">
        <v>IETMREOL</v>
      </c>
      <c r="B778" s="146" t="str">
        <v>2022</v>
      </c>
      <c r="C778" s="146" t="str">
        <v>1</v>
      </c>
      <c r="D778" s="146" t="str">
        <v>ELIMINADO</v>
      </c>
      <c r="E778" s="146" t="str">
        <v>23 - RETIRO - RETRACTO</v>
      </c>
      <c r="F778" s="146" t="n">
        <v>1</v>
      </c>
    </row>
    <row r="779" ht="32" customHeight="1">
      <c r="A779" s="146" t="str">
        <v>IETMREOL</v>
      </c>
      <c r="B779" s="146" t="str">
        <v>2022</v>
      </c>
      <c r="C779" s="146" t="str">
        <v>1</v>
      </c>
      <c r="D779" s="146" t="str">
        <v>TITULADO</v>
      </c>
      <c r="E779" s="146" t="str">
        <v>31 - TITULADO APROBADO</v>
      </c>
      <c r="F779" s="146" t="n">
        <v>43</v>
      </c>
    </row>
    <row r="780" ht="32" customHeight="1">
      <c r="A780" s="146" t="str">
        <v>IETMREOL</v>
      </c>
      <c r="B780" s="146" t="str">
        <v>2022</v>
      </c>
      <c r="C780" s="146" t="str">
        <v>2</v>
      </c>
      <c r="D780" s="146" t="str">
        <v>ELIMINADO</v>
      </c>
      <c r="E780" s="146" t="str">
        <v>1 - ALUMNO REGULAR</v>
      </c>
      <c r="F780" s="146" t="n">
        <v>9</v>
      </c>
    </row>
    <row r="781" ht="32" customHeight="1">
      <c r="A781" s="146" t="str">
        <v>IETMREOL</v>
      </c>
      <c r="B781" s="146" t="str">
        <v>2022</v>
      </c>
      <c r="C781" s="146" t="str">
        <v>2</v>
      </c>
      <c r="D781" s="146" t="str">
        <v>ELIMINADO</v>
      </c>
      <c r="E781" s="146" t="str">
        <v>24 - CAMBIO DE CARRERA</v>
      </c>
      <c r="F781" s="146" t="n">
        <v>2</v>
      </c>
    </row>
    <row r="782" ht="32" customHeight="1">
      <c r="A782" s="146" t="str">
        <v>IETMREOL</v>
      </c>
      <c r="B782" s="146" t="str">
        <v>2022</v>
      </c>
      <c r="C782" s="146" t="str">
        <v>2</v>
      </c>
      <c r="D782" s="146" t="str">
        <v>ELIMINADO</v>
      </c>
      <c r="E782" s="146" t="str">
        <v>3 - ELIMINACION AUTOMATICA</v>
      </c>
      <c r="F782" s="146" t="n">
        <v>1</v>
      </c>
    </row>
    <row r="783" ht="32" customHeight="1">
      <c r="A783" s="146" t="str">
        <v>IETMREOL</v>
      </c>
      <c r="B783" s="146" t="str">
        <v>2022</v>
      </c>
      <c r="C783" s="146" t="str">
        <v>2</v>
      </c>
      <c r="D783" s="146" t="str">
        <v>ELIMINADO</v>
      </c>
      <c r="E783" s="146" t="str">
        <v>38 - REINCORPORACION DE ACTIVIDADES</v>
      </c>
      <c r="F783" s="146" t="n">
        <v>1</v>
      </c>
    </row>
    <row r="784" ht="32" customHeight="1">
      <c r="A784" s="146" t="str">
        <v>IETMREOL</v>
      </c>
      <c r="B784" s="146" t="str">
        <v>2023</v>
      </c>
      <c r="C784" s="146" t="str">
        <v>1</v>
      </c>
      <c r="D784" s="146" t="str">
        <v>ELIMINADO</v>
      </c>
      <c r="E784" s="146" t="str">
        <v>1 - ALUMNO REGULAR</v>
      </c>
      <c r="F784" s="146" t="n">
        <v>19</v>
      </c>
    </row>
    <row r="785" ht="32" customHeight="1">
      <c r="A785" s="146" t="str">
        <v>IETMREOL</v>
      </c>
      <c r="B785" s="146" t="str">
        <v>2023</v>
      </c>
      <c r="C785" s="146" t="str">
        <v>1</v>
      </c>
      <c r="D785" s="146" t="str">
        <v>ELIMINADO</v>
      </c>
      <c r="E785" s="146" t="str">
        <v>10 - ACTUALIZACIÓN DE PLAN DE ESTUDIO 2024</v>
      </c>
      <c r="F785" s="146" t="n">
        <v>1</v>
      </c>
    </row>
    <row r="786" ht="32" customHeight="1">
      <c r="A786" s="146" t="str">
        <v>IETMREOL</v>
      </c>
      <c r="B786" s="146" t="str">
        <v>2023</v>
      </c>
      <c r="C786" s="146" t="str">
        <v>1</v>
      </c>
      <c r="D786" s="146" t="str">
        <v>ELIMINADO</v>
      </c>
      <c r="E786" s="146" t="str">
        <v>24 - CAMBIO DE CARRERA</v>
      </c>
      <c r="F786" s="146" t="n">
        <v>2</v>
      </c>
    </row>
    <row r="787" ht="32" customHeight="1">
      <c r="A787" s="146" t="str">
        <v>IETMREOL</v>
      </c>
      <c r="B787" s="146" t="str">
        <v>2023</v>
      </c>
      <c r="C787" s="146" t="str">
        <v>1</v>
      </c>
      <c r="D787" s="146" t="str">
        <v>ELIMINADO</v>
      </c>
      <c r="E787" s="146" t="str">
        <v>3 - ELIMINACION AUTOMATICA</v>
      </c>
      <c r="F787" s="146" t="n">
        <v>1</v>
      </c>
    </row>
    <row r="788" ht="32" customHeight="1">
      <c r="A788" s="146" t="str">
        <v>IETMREOL</v>
      </c>
      <c r="B788" s="146" t="str">
        <v>2023</v>
      </c>
      <c r="C788" s="146" t="str">
        <v>1</v>
      </c>
      <c r="D788" s="146" t="str">
        <v>SUSPENDIDO</v>
      </c>
      <c r="E788" s="146" t="str">
        <v>2 - SUSPENSIÓN TEMPORAL</v>
      </c>
      <c r="F788" s="146" t="n">
        <v>3</v>
      </c>
    </row>
    <row r="789" ht="32" customHeight="1">
      <c r="A789" s="146" t="str">
        <v>IETMREOL</v>
      </c>
      <c r="B789" s="146" t="str">
        <v>2023</v>
      </c>
      <c r="C789" s="146" t="str">
        <v>1</v>
      </c>
      <c r="D789" s="146" t="str">
        <v>TITULADO</v>
      </c>
      <c r="E789" s="146" t="str">
        <v>31 - TITULADO APROBADO</v>
      </c>
      <c r="F789" s="146" t="n">
        <v>50</v>
      </c>
    </row>
    <row r="790" ht="32" customHeight="1">
      <c r="A790" s="146" t="str">
        <v>IETMREOL</v>
      </c>
      <c r="B790" s="146" t="str">
        <v>2023</v>
      </c>
      <c r="C790" s="146" t="str">
        <v>1</v>
      </c>
      <c r="D790" s="146" t="str">
        <v>VIGENTE</v>
      </c>
      <c r="E790" s="146" t="str">
        <v>1 - ALUMNO REGULAR</v>
      </c>
      <c r="F790" s="146" t="n">
        <v>3</v>
      </c>
    </row>
    <row r="791" ht="32" customHeight="1">
      <c r="A791" s="146" t="str">
        <v>IETMREOL</v>
      </c>
      <c r="B791" s="146" t="str">
        <v>2023</v>
      </c>
      <c r="C791" s="146" t="str">
        <v>2</v>
      </c>
      <c r="D791" s="146" t="str">
        <v>ELIMINADO</v>
      </c>
      <c r="E791" s="146" t="str">
        <v>1 - ALUMNO REGULAR</v>
      </c>
      <c r="F791" s="146" t="n">
        <v>6</v>
      </c>
    </row>
    <row r="792" ht="32" customHeight="1">
      <c r="A792" s="146" t="str">
        <v>IETMREOL</v>
      </c>
      <c r="B792" s="146" t="str">
        <v>2023</v>
      </c>
      <c r="C792" s="146" t="str">
        <v>2</v>
      </c>
      <c r="D792" s="146" t="str">
        <v>SUSPENDIDO</v>
      </c>
      <c r="E792" s="146" t="str">
        <v>2 - SUSPENSIÓN TEMPORAL</v>
      </c>
      <c r="F792" s="146" t="n">
        <v>1</v>
      </c>
    </row>
    <row r="793" ht="32" customHeight="1">
      <c r="A793" s="146" t="str">
        <v>IETMREOL</v>
      </c>
      <c r="B793" s="146" t="str">
        <v>2023</v>
      </c>
      <c r="C793" s="146" t="str">
        <v>2</v>
      </c>
      <c r="D793" s="146" t="str">
        <v>TITULADO</v>
      </c>
      <c r="E793" s="146" t="str">
        <v>31 - TITULADO APROBADO</v>
      </c>
      <c r="F793" s="146" t="n">
        <v>1</v>
      </c>
    </row>
    <row r="794" ht="32" customHeight="1">
      <c r="A794" s="146" t="str">
        <v>IETMREOL</v>
      </c>
      <c r="B794" s="146" t="str">
        <v>2024</v>
      </c>
      <c r="C794" s="146" t="str">
        <v>1</v>
      </c>
      <c r="D794" s="146" t="str">
        <v>ELIMINADO</v>
      </c>
      <c r="E794" s="146" t="str">
        <v>10 - ACTUALIZACIÓN DE PLAN DE ESTUDIO 2024</v>
      </c>
      <c r="F794" s="146" t="n">
        <v>54</v>
      </c>
    </row>
    <row r="795" ht="32" customHeight="1">
      <c r="A795" s="146" t="str">
        <v>IETMREOL</v>
      </c>
      <c r="B795" s="146" t="str">
        <v>2024</v>
      </c>
      <c r="C795" s="146" t="str">
        <v>1</v>
      </c>
      <c r="D795" s="146" t="str">
        <v>ELIMINADO</v>
      </c>
      <c r="E795" s="146" t="str">
        <v>7 - NO RENUEVA MATRICULA</v>
      </c>
      <c r="F795" s="146" t="n">
        <v>2</v>
      </c>
    </row>
    <row r="796" ht="32" customHeight="1">
      <c r="A796" s="146" t="str">
        <v>IETMREOL</v>
      </c>
      <c r="B796" s="146" t="str">
        <v>2024</v>
      </c>
      <c r="C796" s="146" t="str">
        <v>1</v>
      </c>
      <c r="D796" s="146" t="str">
        <v>TITULADO</v>
      </c>
      <c r="E796" s="146" t="str">
        <v>31 - TITULADO APROBADO</v>
      </c>
      <c r="F796" s="146" t="n">
        <v>67</v>
      </c>
    </row>
    <row r="797" ht="32" customHeight="1">
      <c r="A797" s="146" t="str">
        <v>IETMREOL</v>
      </c>
      <c r="B797" s="146" t="str">
        <v>2024</v>
      </c>
      <c r="C797" s="146" t="str">
        <v>1</v>
      </c>
      <c r="D797" s="146" t="str">
        <v>VIGENTE</v>
      </c>
      <c r="E797" s="146" t="str">
        <v>1 - ALUMNO REGULAR</v>
      </c>
      <c r="F797" s="146" t="n">
        <v>2</v>
      </c>
    </row>
    <row r="798" ht="32" customHeight="1">
      <c r="A798" s="146" t="str">
        <v>IETMREOL</v>
      </c>
      <c r="B798" s="146" t="str">
        <v>2024</v>
      </c>
      <c r="C798" s="146" t="str">
        <v>2</v>
      </c>
      <c r="D798" s="146" t="str">
        <v>TITULADO</v>
      </c>
      <c r="E798" s="146" t="str">
        <v>31 - TITULADO APROBADO</v>
      </c>
      <c r="F798" s="146" t="n">
        <v>1</v>
      </c>
    </row>
    <row r="799" ht="32" customHeight="1">
      <c r="A799" s="146" t="str">
        <v>IETMREOL</v>
      </c>
      <c r="B799" s="146" t="str">
        <v>2025</v>
      </c>
      <c r="C799" s="146" t="str">
        <v>1</v>
      </c>
      <c r="D799" s="146" t="str">
        <v>TITULADO</v>
      </c>
      <c r="E799" s="146" t="str">
        <v>31 - TITULADO APROBADO</v>
      </c>
      <c r="F799" s="146" t="n">
        <v>15</v>
      </c>
    </row>
    <row r="800" ht="32" customHeight="1">
      <c r="A800" s="146" t="str">
        <v>IETMREOL</v>
      </c>
      <c r="B800" s="146" t="str">
        <v>2025</v>
      </c>
      <c r="C800" s="146" t="str">
        <v>1</v>
      </c>
      <c r="D800" s="146" t="str">
        <v>VIGENTE</v>
      </c>
      <c r="E800" s="146" t="str">
        <v>1 - ALUMNO REGULAR</v>
      </c>
      <c r="F800" s="146" t="n">
        <v>1</v>
      </c>
    </row>
    <row r="801" ht="32" customHeight="1">
      <c r="A801" s="146" t="str">
        <v>IETMREOL</v>
      </c>
      <c r="B801" s="146" t="str">
        <v>2025</v>
      </c>
      <c r="C801" s="146" t="str">
        <v>2</v>
      </c>
      <c r="D801" s="146" t="str">
        <v>TITULADO</v>
      </c>
      <c r="E801" s="146" t="str">
        <v>31 - TITULADO APROBADO</v>
      </c>
      <c r="F801" s="146" t="n">
        <v>1</v>
      </c>
    </row>
    <row r="802" ht="32" customHeight="1">
      <c r="A802" s="146" t="str">
        <v>IFIN</v>
      </c>
      <c r="B802" s="146" t="str">
        <v>2026</v>
      </c>
      <c r="C802" s="146" t="str">
        <v>1</v>
      </c>
      <c r="D802" s="146" t="str">
        <v>ELIMINADO</v>
      </c>
      <c r="E802" s="146" t="str">
        <v>11 - RENUNCIA POST INICIO CLASES</v>
      </c>
      <c r="F802" s="146" t="n">
        <v>8</v>
      </c>
    </row>
    <row r="803" ht="32" customHeight="1">
      <c r="A803" s="146" t="str">
        <v>IFIN</v>
      </c>
      <c r="B803" s="146" t="str">
        <v>2026</v>
      </c>
      <c r="C803" s="146" t="str">
        <v>1</v>
      </c>
      <c r="D803" s="146" t="str">
        <v>ELIMINADO</v>
      </c>
      <c r="E803" s="146" t="str">
        <v>23 - RETIRO - RETRACTO</v>
      </c>
      <c r="F803" s="146" t="n">
        <v>8</v>
      </c>
    </row>
    <row r="804" ht="32" customHeight="1">
      <c r="A804" s="146" t="str">
        <v>IFIN</v>
      </c>
      <c r="B804" s="146" t="str">
        <v>2026</v>
      </c>
      <c r="C804" s="146" t="str">
        <v>1</v>
      </c>
      <c r="D804" s="146" t="str">
        <v>ELIMINADO</v>
      </c>
      <c r="E804" s="146" t="str">
        <v>24 - CAMBIO DE CARRERA</v>
      </c>
      <c r="F804" s="146" t="n">
        <v>2</v>
      </c>
    </row>
    <row r="805" ht="32" customHeight="1">
      <c r="A805" s="146" t="str">
        <v>IFIN</v>
      </c>
      <c r="B805" s="146" t="str">
        <v>2026</v>
      </c>
      <c r="C805" s="146" t="str">
        <v>1</v>
      </c>
      <c r="D805" s="146" t="str">
        <v>ELIMINADO</v>
      </c>
      <c r="E805" s="146" t="str">
        <v>8 - ELIMINADO SIN ACTIVIDAD ACADÉMICA</v>
      </c>
      <c r="F805" s="146" t="n">
        <v>6</v>
      </c>
    </row>
    <row r="806" ht="32" customHeight="1">
      <c r="A806" s="146" t="str">
        <v>IFIN</v>
      </c>
      <c r="B806" s="146" t="str">
        <v>2026</v>
      </c>
      <c r="C806" s="146" t="str">
        <v>1</v>
      </c>
      <c r="D806" s="146" t="str">
        <v>VIGENTE</v>
      </c>
      <c r="E806" s="146" t="str">
        <v>1 - ALUMNO REGULAR</v>
      </c>
      <c r="F806" s="146" t="n">
        <v>19</v>
      </c>
    </row>
    <row r="807" ht="32" customHeight="1">
      <c r="A807" s="146" t="str">
        <v>IFIN</v>
      </c>
      <c r="B807" s="146" t="str">
        <v>2027</v>
      </c>
      <c r="C807" s="146" t="str">
        <v>1</v>
      </c>
      <c r="D807" s="146" t="str">
        <v>VIGENTE</v>
      </c>
      <c r="E807" s="146" t="str">
        <v>1 - ALUMNO REGULAR</v>
      </c>
      <c r="F807" s="146" t="n">
        <v>10</v>
      </c>
    </row>
    <row r="808" ht="32" customHeight="1">
      <c r="A808" s="146" t="str">
        <v>IIART</v>
      </c>
      <c r="B808" s="146" t="str">
        <v>2027</v>
      </c>
      <c r="C808" s="146" t="str">
        <v>1</v>
      </c>
      <c r="D808" s="146" t="str">
        <v>VIGENTE</v>
      </c>
      <c r="E808" s="146" t="str">
        <v>1 - ALUMNO REGULAR</v>
      </c>
      <c r="F808" s="146" t="n">
        <v>8</v>
      </c>
    </row>
    <row r="809" ht="32" customHeight="1">
      <c r="A809" s="146" t="str">
        <v>IIND</v>
      </c>
      <c r="B809" s="146" t="str">
        <v>2025</v>
      </c>
      <c r="C809" s="146" t="str">
        <v>2</v>
      </c>
      <c r="D809" s="146" t="str">
        <v>ELIMINADO</v>
      </c>
      <c r="E809" s="146" t="str">
        <v>24 - CAMBIO DE CARRERA</v>
      </c>
      <c r="F809" s="146" t="n">
        <v>1</v>
      </c>
    </row>
    <row r="810" ht="32" customHeight="1">
      <c r="A810" s="146" t="str">
        <v>IIND</v>
      </c>
      <c r="B810" s="146" t="str">
        <v>2025</v>
      </c>
      <c r="C810" s="146" t="str">
        <v>2</v>
      </c>
      <c r="D810" s="146" t="str">
        <v>VIGENTE</v>
      </c>
      <c r="E810" s="146" t="str">
        <v>1 - ALUMNO REGULAR</v>
      </c>
      <c r="F810" s="146" t="n">
        <v>17</v>
      </c>
    </row>
    <row r="811" ht="32" customHeight="1">
      <c r="A811" s="146" t="str">
        <v>IIND</v>
      </c>
      <c r="B811" s="146" t="str">
        <v>2025</v>
      </c>
      <c r="C811" s="146" t="str">
        <v>3</v>
      </c>
      <c r="D811" s="146" t="str">
        <v>ELIMINADO</v>
      </c>
      <c r="E811" s="146" t="str">
        <v>11 - RENUNCIA POST INICIO CLASES</v>
      </c>
      <c r="F811" s="146" t="n">
        <v>1</v>
      </c>
    </row>
    <row r="812" ht="32" customHeight="1">
      <c r="A812" s="146" t="str">
        <v>IIND</v>
      </c>
      <c r="B812" s="146" t="str">
        <v>2025</v>
      </c>
      <c r="C812" s="146" t="str">
        <v>3</v>
      </c>
      <c r="D812" s="146" t="str">
        <v>ELIMINADO</v>
      </c>
      <c r="E812" s="146" t="str">
        <v>23 - RETIRO - RETRACTO</v>
      </c>
      <c r="F812" s="146" t="n">
        <v>2</v>
      </c>
    </row>
    <row r="813" ht="32" customHeight="1">
      <c r="A813" s="146" t="str">
        <v>IIND</v>
      </c>
      <c r="B813" s="146" t="str">
        <v>2025</v>
      </c>
      <c r="C813" s="146" t="str">
        <v>3</v>
      </c>
      <c r="D813" s="146" t="str">
        <v>SUSPENDIDO</v>
      </c>
      <c r="E813" s="146" t="str">
        <v>2 - SUSPENSIÓN TEMPORAL</v>
      </c>
      <c r="F813" s="146" t="n">
        <v>1</v>
      </c>
    </row>
    <row r="814" ht="32" customHeight="1">
      <c r="A814" s="146" t="str">
        <v>IIND</v>
      </c>
      <c r="B814" s="146" t="str">
        <v>2025</v>
      </c>
      <c r="C814" s="146" t="str">
        <v>3</v>
      </c>
      <c r="D814" s="146" t="str">
        <v>VIGENTE</v>
      </c>
      <c r="E814" s="146" t="str">
        <v>1 - ALUMNO REGULAR</v>
      </c>
      <c r="F814" s="146" t="n">
        <v>13</v>
      </c>
    </row>
    <row r="815" ht="32" customHeight="1">
      <c r="A815" s="146" t="str">
        <v>IIND</v>
      </c>
      <c r="B815" s="146" t="str">
        <v>2026</v>
      </c>
      <c r="C815" s="146" t="str">
        <v>1</v>
      </c>
      <c r="D815" s="146" t="str">
        <v>ELIMINADO</v>
      </c>
      <c r="E815" s="146" t="str">
        <v>11 - RENUNCIA POST INICIO CLASES</v>
      </c>
      <c r="F815" s="146" t="n">
        <v>5</v>
      </c>
    </row>
    <row r="816" ht="32" customHeight="1">
      <c r="A816" s="146" t="str">
        <v>IIND</v>
      </c>
      <c r="B816" s="146" t="str">
        <v>2026</v>
      </c>
      <c r="C816" s="146" t="str">
        <v>1</v>
      </c>
      <c r="D816" s="146" t="str">
        <v>ELIMINADO</v>
      </c>
      <c r="E816" s="146" t="str">
        <v>23 - RETIRO - RETRACTO</v>
      </c>
      <c r="F816" s="146" t="n">
        <v>16</v>
      </c>
    </row>
    <row r="817" ht="32" customHeight="1">
      <c r="A817" s="146" t="str">
        <v>IIND</v>
      </c>
      <c r="B817" s="146" t="str">
        <v>2026</v>
      </c>
      <c r="C817" s="146" t="str">
        <v>1</v>
      </c>
      <c r="D817" s="146" t="str">
        <v>ELIMINADO</v>
      </c>
      <c r="E817" s="146" t="str">
        <v>24 - CAMBIO DE CARRERA</v>
      </c>
      <c r="F817" s="146" t="n">
        <v>2</v>
      </c>
    </row>
    <row r="818" ht="32" customHeight="1">
      <c r="A818" s="146" t="str">
        <v>IIND</v>
      </c>
      <c r="B818" s="146" t="str">
        <v>2026</v>
      </c>
      <c r="C818" s="146" t="str">
        <v>1</v>
      </c>
      <c r="D818" s="146" t="str">
        <v>ELIMINADO</v>
      </c>
      <c r="E818" s="146" t="str">
        <v>8 - ELIMINADO SIN ACTIVIDAD ACADÉMICA</v>
      </c>
      <c r="F818" s="146" t="n">
        <v>29</v>
      </c>
    </row>
    <row r="819" ht="32" customHeight="1">
      <c r="A819" s="146" t="str">
        <v>IIND</v>
      </c>
      <c r="B819" s="146" t="str">
        <v>2026</v>
      </c>
      <c r="C819" s="146" t="str">
        <v>1</v>
      </c>
      <c r="D819" s="146" t="str">
        <v>VIGENTE</v>
      </c>
      <c r="E819" s="146" t="str">
        <v>1 - ALUMNO REGULAR</v>
      </c>
      <c r="F819" s="146" t="n">
        <v>53</v>
      </c>
    </row>
    <row r="820" ht="32" customHeight="1">
      <c r="A820" s="146" t="str">
        <v>IIND</v>
      </c>
      <c r="B820" s="146" t="str">
        <v>2026</v>
      </c>
      <c r="C820" s="146" t="str">
        <v>1</v>
      </c>
      <c r="D820" s="146" t="str">
        <v>VIGENTE</v>
      </c>
      <c r="E820" s="146" t="str">
        <v>38 - REINCORPORACION DE ACTIVIDADES</v>
      </c>
      <c r="F820" s="146" t="n">
        <v>2</v>
      </c>
    </row>
    <row r="821" ht="32" customHeight="1">
      <c r="A821" s="146" t="str">
        <v>IIND</v>
      </c>
      <c r="B821" s="146" t="str">
        <v>2026</v>
      </c>
      <c r="C821" s="146" t="str">
        <v>2</v>
      </c>
      <c r="D821" s="146" t="str">
        <v>ELIMINADO</v>
      </c>
      <c r="E821" s="146" t="str">
        <v>11 - RENUNCIA POST INICIO CLASES</v>
      </c>
      <c r="F821" s="146" t="n">
        <v>3</v>
      </c>
    </row>
    <row r="822" ht="32" customHeight="1">
      <c r="A822" s="146" t="str">
        <v>IIND</v>
      </c>
      <c r="B822" s="146" t="str">
        <v>2026</v>
      </c>
      <c r="C822" s="146" t="str">
        <v>2</v>
      </c>
      <c r="D822" s="146" t="str">
        <v>ELIMINADO</v>
      </c>
      <c r="E822" s="146" t="str">
        <v>23 - RETIRO - RETRACTO</v>
      </c>
      <c r="F822" s="146" t="n">
        <v>1</v>
      </c>
    </row>
    <row r="823" ht="32" customHeight="1">
      <c r="A823" s="146" t="str">
        <v>IIND</v>
      </c>
      <c r="B823" s="146" t="str">
        <v>2026</v>
      </c>
      <c r="C823" s="146" t="str">
        <v>2</v>
      </c>
      <c r="D823" s="146" t="str">
        <v>ELIMINADO</v>
      </c>
      <c r="E823" s="146" t="str">
        <v>24 - CAMBIO DE CARRERA</v>
      </c>
      <c r="F823" s="146" t="n">
        <v>1</v>
      </c>
    </row>
    <row r="824" ht="32" customHeight="1">
      <c r="A824" s="146" t="str">
        <v>IIND</v>
      </c>
      <c r="B824" s="146" t="str">
        <v>2026</v>
      </c>
      <c r="C824" s="146" t="str">
        <v>2</v>
      </c>
      <c r="D824" s="146" t="str">
        <v>VIGENTE</v>
      </c>
      <c r="E824" s="146" t="str">
        <v>1 - ALUMNO REGULAR</v>
      </c>
      <c r="F824" s="146" t="n">
        <v>35</v>
      </c>
    </row>
    <row r="825" ht="32" customHeight="1">
      <c r="A825" s="146" t="str">
        <v>IIND</v>
      </c>
      <c r="B825" s="146" t="str">
        <v>2026</v>
      </c>
      <c r="C825" s="146" t="str">
        <v>2</v>
      </c>
      <c r="D825" s="146" t="str">
        <v>VIGENTE</v>
      </c>
      <c r="E825" s="146" t="str">
        <v>38 - REINCORPORACION DE ACTIVIDADES</v>
      </c>
      <c r="F825" s="146" t="n">
        <v>1</v>
      </c>
    </row>
    <row r="826" ht="32" customHeight="1">
      <c r="A826" s="146" t="str">
        <v>IIND</v>
      </c>
      <c r="B826" s="146" t="str">
        <v>2026</v>
      </c>
      <c r="C826" s="146" t="str">
        <v>3</v>
      </c>
      <c r="D826" s="146" t="str">
        <v>ELIMINADO</v>
      </c>
      <c r="E826" s="146" t="str">
        <v>23 - RETIRO - RETRACTO</v>
      </c>
      <c r="F826" s="146" t="n">
        <v>4</v>
      </c>
    </row>
    <row r="827" ht="32" customHeight="1">
      <c r="A827" s="146" t="str">
        <v>IIND</v>
      </c>
      <c r="B827" s="146" t="str">
        <v>2026</v>
      </c>
      <c r="C827" s="146" t="str">
        <v>3</v>
      </c>
      <c r="D827" s="146" t="str">
        <v>VIGENTE</v>
      </c>
      <c r="E827" s="146" t="str">
        <v>1 - ALUMNO REGULAR</v>
      </c>
      <c r="F827" s="146" t="n">
        <v>44</v>
      </c>
    </row>
    <row r="828" ht="32" customHeight="1">
      <c r="A828" s="146" t="str">
        <v>IIND</v>
      </c>
      <c r="B828" s="146" t="str">
        <v>2027</v>
      </c>
      <c r="C828" s="146" t="str">
        <v>1</v>
      </c>
      <c r="D828" s="146" t="str">
        <v>VIGENTE</v>
      </c>
      <c r="E828" s="146" t="str">
        <v>1 - ALUMNO REGULAR</v>
      </c>
      <c r="F828" s="146" t="n">
        <v>5</v>
      </c>
    </row>
    <row r="829" ht="32" customHeight="1">
      <c r="A829" s="146" t="str">
        <v>IINF</v>
      </c>
      <c r="B829" s="146" t="str">
        <v>2024</v>
      </c>
      <c r="C829" s="146" t="str">
        <v>1</v>
      </c>
      <c r="D829" s="146" t="str">
        <v>ELIMINADO</v>
      </c>
      <c r="E829" s="146" t="str">
        <v>11 - RENUNCIA POST INICIO CLASES</v>
      </c>
      <c r="F829" s="146" t="n">
        <v>6</v>
      </c>
    </row>
    <row r="830" ht="32" customHeight="1">
      <c r="A830" s="146" t="str">
        <v>IINF</v>
      </c>
      <c r="B830" s="146" t="str">
        <v>2024</v>
      </c>
      <c r="C830" s="146" t="str">
        <v>1</v>
      </c>
      <c r="D830" s="146" t="str">
        <v>ELIMINADO</v>
      </c>
      <c r="E830" s="146" t="str">
        <v>12 - ELIMINADO MATRICULA SIN FIRMA</v>
      </c>
      <c r="F830" s="146" t="n">
        <v>2</v>
      </c>
    </row>
    <row r="831" ht="32" customHeight="1">
      <c r="A831" s="146" t="str">
        <v>IINF</v>
      </c>
      <c r="B831" s="146" t="str">
        <v>2024</v>
      </c>
      <c r="C831" s="146" t="str">
        <v>1</v>
      </c>
      <c r="D831" s="146" t="str">
        <v>ELIMINADO</v>
      </c>
      <c r="E831" s="146" t="str">
        <v>23 - RETIRO - RETRACTO</v>
      </c>
      <c r="F831" s="146" t="n">
        <v>9</v>
      </c>
    </row>
    <row r="832" ht="32" customHeight="1">
      <c r="A832" s="146" t="str">
        <v>IINF</v>
      </c>
      <c r="B832" s="146" t="str">
        <v>2024</v>
      </c>
      <c r="C832" s="146" t="str">
        <v>1</v>
      </c>
      <c r="D832" s="146" t="str">
        <v>ELIMINADO</v>
      </c>
      <c r="E832" s="146" t="str">
        <v>24 - CAMBIO DE CARRERA</v>
      </c>
      <c r="F832" s="146" t="n">
        <v>5</v>
      </c>
    </row>
    <row r="833" ht="32" customHeight="1">
      <c r="A833" s="146" t="str">
        <v>IINF</v>
      </c>
      <c r="B833" s="146" t="str">
        <v>2024</v>
      </c>
      <c r="C833" s="146" t="str">
        <v>1</v>
      </c>
      <c r="D833" s="146" t="str">
        <v>ELIMINADO</v>
      </c>
      <c r="E833" s="146" t="str">
        <v>5 - RENUNCIA ENTRE PERIODOS</v>
      </c>
      <c r="F833" s="146" t="n">
        <v>2</v>
      </c>
    </row>
    <row r="834" ht="32" customHeight="1">
      <c r="A834" s="146" t="str">
        <v>IINF</v>
      </c>
      <c r="B834" s="146" t="str">
        <v>2024</v>
      </c>
      <c r="C834" s="146" t="str">
        <v>1</v>
      </c>
      <c r="D834" s="146" t="str">
        <v>ELIMINADO</v>
      </c>
      <c r="E834" s="146" t="str">
        <v>7 - NO RENUEVA MATRICULA</v>
      </c>
      <c r="F834" s="146" t="n">
        <v>38</v>
      </c>
    </row>
    <row r="835" ht="32" customHeight="1">
      <c r="A835" s="146" t="str">
        <v>IINF</v>
      </c>
      <c r="B835" s="146" t="str">
        <v>2024</v>
      </c>
      <c r="C835" s="146" t="str">
        <v>1</v>
      </c>
      <c r="D835" s="146" t="str">
        <v>ELIMINADO</v>
      </c>
      <c r="E835" s="146" t="str">
        <v>8 - ELIMINADO SIN ACTIVIDAD ACADÉMICA</v>
      </c>
      <c r="F835" s="146" t="n">
        <v>1</v>
      </c>
    </row>
    <row r="836" ht="32" customHeight="1">
      <c r="A836" s="146" t="str">
        <v>IINF</v>
      </c>
      <c r="B836" s="146" t="str">
        <v>2024</v>
      </c>
      <c r="C836" s="146" t="str">
        <v>1</v>
      </c>
      <c r="D836" s="146" t="str">
        <v>ELIMINADO</v>
      </c>
      <c r="E836" s="146" t="str">
        <v>9 - RECHAZO ACTUALIZACION DE PLAN 2024</v>
      </c>
      <c r="F836" s="146" t="n">
        <v>2</v>
      </c>
    </row>
    <row r="837" ht="32" customHeight="1">
      <c r="A837" s="146" t="str">
        <v>IINF</v>
      </c>
      <c r="B837" s="146" t="str">
        <v>2024</v>
      </c>
      <c r="C837" s="146" t="str">
        <v>1</v>
      </c>
      <c r="D837" s="146" t="str">
        <v>SUSPENDIDO</v>
      </c>
      <c r="E837" s="146" t="str">
        <v>2 - SUSPENSIÓN TEMPORAL</v>
      </c>
      <c r="F837" s="146" t="n">
        <v>6</v>
      </c>
    </row>
    <row r="838" ht="32" customHeight="1">
      <c r="A838" s="146" t="str">
        <v>IINF</v>
      </c>
      <c r="B838" s="146" t="str">
        <v>2024</v>
      </c>
      <c r="C838" s="146" t="str">
        <v>2</v>
      </c>
      <c r="D838" s="146" t="str">
        <v>ELIMINADO</v>
      </c>
      <c r="E838" s="146" t="str">
        <v>11 - RENUNCIA POST INICIO CLASES</v>
      </c>
      <c r="F838" s="146" t="n">
        <v>1</v>
      </c>
    </row>
    <row r="839" ht="32" customHeight="1">
      <c r="A839" s="146" t="str">
        <v>IINF</v>
      </c>
      <c r="B839" s="146" t="str">
        <v>2024</v>
      </c>
      <c r="C839" s="146" t="str">
        <v>2</v>
      </c>
      <c r="D839" s="146" t="str">
        <v>ELIMINADO</v>
      </c>
      <c r="E839" s="146" t="str">
        <v>12 - ELIMINADO MATRICULA SIN FIRMA</v>
      </c>
      <c r="F839" s="146" t="n">
        <v>1</v>
      </c>
    </row>
    <row r="840" ht="32" customHeight="1">
      <c r="A840" s="146" t="str">
        <v>IINF</v>
      </c>
      <c r="B840" s="146" t="str">
        <v>2024</v>
      </c>
      <c r="C840" s="146" t="str">
        <v>2</v>
      </c>
      <c r="D840" s="146" t="str">
        <v>ELIMINADO</v>
      </c>
      <c r="E840" s="146" t="str">
        <v>23 - RETIRO - RETRACTO</v>
      </c>
      <c r="F840" s="146" t="n">
        <v>3</v>
      </c>
    </row>
    <row r="841" ht="32" customHeight="1">
      <c r="A841" s="146" t="str">
        <v>IINF</v>
      </c>
      <c r="B841" s="146" t="str">
        <v>2024</v>
      </c>
      <c r="C841" s="146" t="str">
        <v>2</v>
      </c>
      <c r="D841" s="146" t="str">
        <v>ELIMINADO</v>
      </c>
      <c r="E841" s="146" t="str">
        <v>7 - NO RENUEVA MATRICULA</v>
      </c>
      <c r="F841" s="146" t="n">
        <v>7</v>
      </c>
    </row>
    <row r="842" ht="32" customHeight="1">
      <c r="A842" s="146" t="str">
        <v>IINF</v>
      </c>
      <c r="B842" s="146" t="str">
        <v>2024</v>
      </c>
      <c r="C842" s="146" t="str">
        <v>2</v>
      </c>
      <c r="D842" s="146" t="str">
        <v>ELIMINADO</v>
      </c>
      <c r="E842" s="146" t="str">
        <v>8 - ELIMINADO SIN ACTIVIDAD ACADÉMICA</v>
      </c>
      <c r="F842" s="146" t="n">
        <v>1</v>
      </c>
    </row>
    <row r="843" ht="32" customHeight="1">
      <c r="A843" s="146" t="str">
        <v>IINF</v>
      </c>
      <c r="B843" s="146" t="str">
        <v>2024</v>
      </c>
      <c r="C843" s="146" t="str">
        <v>2</v>
      </c>
      <c r="D843" s="146" t="str">
        <v>SUSPENDIDO</v>
      </c>
      <c r="E843" s="146" t="str">
        <v>2 - SUSPENSIÓN TEMPORAL</v>
      </c>
      <c r="F843" s="146" t="n">
        <v>1</v>
      </c>
    </row>
    <row r="844" ht="32" customHeight="1">
      <c r="A844" s="146" t="str">
        <v>IINF</v>
      </c>
      <c r="B844" s="146" t="str">
        <v>2024</v>
      </c>
      <c r="C844" s="146" t="str">
        <v>3</v>
      </c>
      <c r="D844" s="146" t="str">
        <v>ELIMINADO</v>
      </c>
      <c r="E844" s="146" t="str">
        <v>12 - ELIMINADO MATRICULA SIN FIRMA</v>
      </c>
      <c r="F844" s="146" t="n">
        <v>1</v>
      </c>
    </row>
    <row r="845" ht="32" customHeight="1">
      <c r="A845" s="146" t="str">
        <v>IINF</v>
      </c>
      <c r="B845" s="146" t="str">
        <v>2024</v>
      </c>
      <c r="C845" s="146" t="str">
        <v>3</v>
      </c>
      <c r="D845" s="146" t="str">
        <v>ELIMINADO</v>
      </c>
      <c r="E845" s="146" t="str">
        <v>23 - RETIRO - RETRACTO</v>
      </c>
      <c r="F845" s="146" t="n">
        <v>1</v>
      </c>
    </row>
    <row r="846" ht="32" customHeight="1">
      <c r="A846" s="146" t="str">
        <v>IINF</v>
      </c>
      <c r="B846" s="146" t="str">
        <v>2024</v>
      </c>
      <c r="C846" s="146" t="str">
        <v>3</v>
      </c>
      <c r="D846" s="146" t="str">
        <v>ELIMINADO</v>
      </c>
      <c r="E846" s="146" t="str">
        <v>24 - CAMBIO DE CARRERA</v>
      </c>
      <c r="F846" s="146" t="n">
        <v>1</v>
      </c>
    </row>
    <row r="847" ht="32" customHeight="1">
      <c r="A847" s="146" t="str">
        <v>IINF</v>
      </c>
      <c r="B847" s="146" t="str">
        <v>2024</v>
      </c>
      <c r="C847" s="146" t="str">
        <v>3</v>
      </c>
      <c r="D847" s="146" t="str">
        <v>ELIMINADO</v>
      </c>
      <c r="E847" s="146" t="str">
        <v>5 - RENUNCIA ENTRE PERIODOS</v>
      </c>
      <c r="F847" s="146" t="n">
        <v>2</v>
      </c>
    </row>
    <row r="848" ht="32" customHeight="1">
      <c r="A848" s="146" t="str">
        <v>IINF</v>
      </c>
      <c r="B848" s="146" t="str">
        <v>2024</v>
      </c>
      <c r="C848" s="146" t="str">
        <v>3</v>
      </c>
      <c r="D848" s="146" t="str">
        <v>ELIMINADO</v>
      </c>
      <c r="E848" s="146" t="str">
        <v>7 - NO RENUEVA MATRICULA</v>
      </c>
      <c r="F848" s="146" t="n">
        <v>6</v>
      </c>
    </row>
    <row r="849" ht="32" customHeight="1">
      <c r="A849" s="146" t="str">
        <v>IINF</v>
      </c>
      <c r="B849" s="146" t="str">
        <v>2025</v>
      </c>
      <c r="C849" s="146" t="str">
        <v>1</v>
      </c>
      <c r="D849" s="146" t="str">
        <v>ELIMINADO</v>
      </c>
      <c r="E849" s="146" t="str">
        <v>11 - RENUNCIA POST INICIO CLASES</v>
      </c>
      <c r="F849" s="146" t="n">
        <v>24</v>
      </c>
    </row>
    <row r="850" ht="32" customHeight="1">
      <c r="A850" s="146" t="str">
        <v>IINF</v>
      </c>
      <c r="B850" s="146" t="str">
        <v>2025</v>
      </c>
      <c r="C850" s="146" t="str">
        <v>1</v>
      </c>
      <c r="D850" s="146" t="str">
        <v>ELIMINADO</v>
      </c>
      <c r="E850" s="146" t="str">
        <v>23 - RETIRO - RETRACTO</v>
      </c>
      <c r="F850" s="146" t="n">
        <v>6</v>
      </c>
    </row>
    <row r="851" ht="32" customHeight="1">
      <c r="A851" s="146" t="str">
        <v>IINF</v>
      </c>
      <c r="B851" s="146" t="str">
        <v>2025</v>
      </c>
      <c r="C851" s="146" t="str">
        <v>1</v>
      </c>
      <c r="D851" s="146" t="str">
        <v>ELIMINADO</v>
      </c>
      <c r="E851" s="146" t="str">
        <v>24 - CAMBIO DE CARRERA</v>
      </c>
      <c r="F851" s="146" t="n">
        <v>5</v>
      </c>
    </row>
    <row r="852" ht="32" customHeight="1">
      <c r="A852" s="146" t="str">
        <v>IINF</v>
      </c>
      <c r="B852" s="146" t="str">
        <v>2025</v>
      </c>
      <c r="C852" s="146" t="str">
        <v>1</v>
      </c>
      <c r="D852" s="146" t="str">
        <v>ELIMINADO</v>
      </c>
      <c r="E852" s="146" t="str">
        <v>7 - NO RENUEVA MATRICULA</v>
      </c>
      <c r="F852" s="146" t="n">
        <v>9</v>
      </c>
    </row>
    <row r="853" ht="32" customHeight="1">
      <c r="A853" s="146" t="str">
        <v>IINF</v>
      </c>
      <c r="B853" s="146" t="str">
        <v>2025</v>
      </c>
      <c r="C853" s="146" t="str">
        <v>1</v>
      </c>
      <c r="D853" s="146" t="str">
        <v>SUSPENDIDO</v>
      </c>
      <c r="E853" s="146" t="str">
        <v>2 - SUSPENSIÓN TEMPORAL</v>
      </c>
      <c r="F853" s="146" t="n">
        <v>8</v>
      </c>
    </row>
    <row r="854" ht="32" customHeight="1">
      <c r="A854" s="146" t="str">
        <v>IINF</v>
      </c>
      <c r="B854" s="146" t="str">
        <v>2025</v>
      </c>
      <c r="C854" s="146" t="str">
        <v>1</v>
      </c>
      <c r="D854" s="146" t="str">
        <v>TITULADO</v>
      </c>
      <c r="E854" s="146" t="str">
        <v>31 - TITULADO APROBADO</v>
      </c>
      <c r="F854" s="146" t="n">
        <v>8</v>
      </c>
    </row>
    <row r="855" ht="32" customHeight="1">
      <c r="A855" s="146" t="str">
        <v>IINF</v>
      </c>
      <c r="B855" s="146" t="str">
        <v>2025</v>
      </c>
      <c r="C855" s="146" t="str">
        <v>1</v>
      </c>
      <c r="D855" s="146" t="str">
        <v>VIGENTE</v>
      </c>
      <c r="E855" s="146" t="str">
        <v>1 - ALUMNO REGULAR</v>
      </c>
      <c r="F855" s="146" t="n">
        <v>20</v>
      </c>
    </row>
    <row r="856" ht="32" customHeight="1">
      <c r="A856" s="146" t="str">
        <v>IINF</v>
      </c>
      <c r="B856" s="146" t="str">
        <v>2025</v>
      </c>
      <c r="C856" s="146" t="str">
        <v>1</v>
      </c>
      <c r="D856" s="146" t="str">
        <v>VIGENTE</v>
      </c>
      <c r="E856" s="146" t="str">
        <v>20 - VIGENTE SIN ACTIVIDAD ACADEMICA</v>
      </c>
      <c r="F856" s="146" t="n">
        <v>13</v>
      </c>
    </row>
    <row r="857" ht="32" customHeight="1">
      <c r="A857" s="146" t="str">
        <v>IINF</v>
      </c>
      <c r="B857" s="146" t="str">
        <v>2025</v>
      </c>
      <c r="C857" s="146" t="str">
        <v>1</v>
      </c>
      <c r="D857" s="146" t="str">
        <v>VIGENTE</v>
      </c>
      <c r="E857" s="146" t="str">
        <v>49 - CAMBIO DE JORNADA</v>
      </c>
      <c r="F857" s="146" t="n">
        <v>3</v>
      </c>
    </row>
    <row r="858" ht="32" customHeight="1">
      <c r="A858" s="146" t="str">
        <v>IINF</v>
      </c>
      <c r="B858" s="146" t="str">
        <v>2025</v>
      </c>
      <c r="C858" s="146" t="str">
        <v>2</v>
      </c>
      <c r="D858" s="146" t="str">
        <v>ELIMINADO</v>
      </c>
      <c r="E858" s="146" t="str">
        <v>11 - RENUNCIA POST INICIO CLASES</v>
      </c>
      <c r="F858" s="146" t="n">
        <v>6</v>
      </c>
    </row>
    <row r="859" ht="32" customHeight="1">
      <c r="A859" s="146" t="str">
        <v>IINF</v>
      </c>
      <c r="B859" s="146" t="str">
        <v>2025</v>
      </c>
      <c r="C859" s="146" t="str">
        <v>2</v>
      </c>
      <c r="D859" s="146" t="str">
        <v>ELIMINADO</v>
      </c>
      <c r="E859" s="146" t="str">
        <v>23 - RETIRO - RETRACTO</v>
      </c>
      <c r="F859" s="146" t="n">
        <v>4</v>
      </c>
    </row>
    <row r="860" ht="32" customHeight="1">
      <c r="A860" s="146" t="str">
        <v>IINF</v>
      </c>
      <c r="B860" s="146" t="str">
        <v>2025</v>
      </c>
      <c r="C860" s="146" t="str">
        <v>2</v>
      </c>
      <c r="D860" s="146" t="str">
        <v>ELIMINADO</v>
      </c>
      <c r="E860" s="146" t="str">
        <v>7 - NO RENUEVA MATRICULA</v>
      </c>
      <c r="F860" s="146" t="n">
        <v>1</v>
      </c>
    </row>
    <row r="861" ht="32" customHeight="1">
      <c r="A861" s="146" t="str">
        <v>IINF</v>
      </c>
      <c r="B861" s="146" t="str">
        <v>2025</v>
      </c>
      <c r="C861" s="146" t="str">
        <v>2</v>
      </c>
      <c r="D861" s="146" t="str">
        <v>SUSPENDIDO</v>
      </c>
      <c r="E861" s="146" t="str">
        <v>2 - SUSPENSIÓN TEMPORAL</v>
      </c>
      <c r="F861" s="146" t="n">
        <v>1</v>
      </c>
    </row>
    <row r="862" ht="32" customHeight="1">
      <c r="A862" s="146" t="str">
        <v>IINF</v>
      </c>
      <c r="B862" s="146" t="str">
        <v>2025</v>
      </c>
      <c r="C862" s="146" t="str">
        <v>2</v>
      </c>
      <c r="D862" s="146" t="str">
        <v>VIGENTE</v>
      </c>
      <c r="E862" s="146" t="str">
        <v>1 - ALUMNO REGULAR</v>
      </c>
      <c r="F862" s="146" t="n">
        <v>12</v>
      </c>
    </row>
    <row r="863" ht="32" customHeight="1">
      <c r="A863" s="146" t="str">
        <v>IINF</v>
      </c>
      <c r="B863" s="146" t="str">
        <v>2025</v>
      </c>
      <c r="C863" s="146" t="str">
        <v>3</v>
      </c>
      <c r="D863" s="146" t="str">
        <v>ELIMINADO</v>
      </c>
      <c r="E863" s="146" t="str">
        <v>23 - RETIRO - RETRACTO</v>
      </c>
      <c r="F863" s="146" t="n">
        <v>2</v>
      </c>
    </row>
    <row r="864" ht="32" customHeight="1">
      <c r="A864" s="146" t="str">
        <v>IINF</v>
      </c>
      <c r="B864" s="146" t="str">
        <v>2025</v>
      </c>
      <c r="C864" s="146" t="str">
        <v>3</v>
      </c>
      <c r="D864" s="146" t="str">
        <v>ELIMINADO</v>
      </c>
      <c r="E864" s="146" t="str">
        <v>7 - NO RENUEVA MATRICULA</v>
      </c>
      <c r="F864" s="146" t="n">
        <v>1</v>
      </c>
    </row>
    <row r="865" ht="32" customHeight="1">
      <c r="A865" s="146" t="str">
        <v>IINF</v>
      </c>
      <c r="B865" s="146" t="str">
        <v>2025</v>
      </c>
      <c r="C865" s="146" t="str">
        <v>3</v>
      </c>
      <c r="D865" s="146" t="str">
        <v>SUSPENDIDO</v>
      </c>
      <c r="E865" s="146" t="str">
        <v>2 - SUSPENSIÓN TEMPORAL</v>
      </c>
      <c r="F865" s="146" t="n">
        <v>1</v>
      </c>
    </row>
    <row r="866" ht="32" customHeight="1">
      <c r="A866" s="146" t="str">
        <v>IINF</v>
      </c>
      <c r="B866" s="146" t="str">
        <v>2025</v>
      </c>
      <c r="C866" s="146" t="str">
        <v>3</v>
      </c>
      <c r="D866" s="146" t="str">
        <v>VIGENTE</v>
      </c>
      <c r="E866" s="146" t="str">
        <v>1 - ALUMNO REGULAR</v>
      </c>
      <c r="F866" s="146" t="n">
        <v>6</v>
      </c>
    </row>
    <row r="867" ht="32" customHeight="1">
      <c r="A867" s="146" t="str">
        <v>IINF</v>
      </c>
      <c r="B867" s="146" t="str">
        <v>2026</v>
      </c>
      <c r="C867" s="146" t="str">
        <v>1</v>
      </c>
      <c r="D867" s="146" t="str">
        <v>ELIMINADO</v>
      </c>
      <c r="E867" s="146" t="str">
        <v>11 - RENUNCIA POST INICIO CLASES</v>
      </c>
      <c r="F867" s="146" t="n">
        <v>4</v>
      </c>
    </row>
    <row r="868" ht="32" customHeight="1">
      <c r="A868" s="146" t="str">
        <v>IINF</v>
      </c>
      <c r="B868" s="146" t="str">
        <v>2026</v>
      </c>
      <c r="C868" s="146" t="str">
        <v>1</v>
      </c>
      <c r="D868" s="146" t="str">
        <v>ELIMINADO</v>
      </c>
      <c r="E868" s="146" t="str">
        <v>23 - RETIRO - RETRACTO</v>
      </c>
      <c r="F868" s="146" t="n">
        <v>24</v>
      </c>
    </row>
    <row r="869" ht="32" customHeight="1">
      <c r="A869" s="146" t="str">
        <v>IINF</v>
      </c>
      <c r="B869" s="146" t="str">
        <v>2026</v>
      </c>
      <c r="C869" s="146" t="str">
        <v>1</v>
      </c>
      <c r="D869" s="146" t="str">
        <v>ELIMINADO</v>
      </c>
      <c r="E869" s="146" t="str">
        <v>24 - CAMBIO DE CARRERA</v>
      </c>
      <c r="F869" s="146" t="n">
        <v>4</v>
      </c>
    </row>
    <row r="870" ht="32" customHeight="1">
      <c r="A870" s="146" t="str">
        <v>IINF</v>
      </c>
      <c r="B870" s="146" t="str">
        <v>2026</v>
      </c>
      <c r="C870" s="146" t="str">
        <v>1</v>
      </c>
      <c r="D870" s="146" t="str">
        <v>ELIMINADO</v>
      </c>
      <c r="E870" s="146" t="str">
        <v>8 - ELIMINADO SIN ACTIVIDAD ACADÉMICA</v>
      </c>
      <c r="F870" s="146" t="n">
        <v>20</v>
      </c>
    </row>
    <row r="871" ht="32" customHeight="1">
      <c r="A871" s="146" t="str">
        <v>IINF</v>
      </c>
      <c r="B871" s="146" t="str">
        <v>2026</v>
      </c>
      <c r="C871" s="146" t="str">
        <v>1</v>
      </c>
      <c r="D871" s="146" t="str">
        <v>SUSPENDIDO</v>
      </c>
      <c r="E871" s="146" t="str">
        <v>2 - SUSPENSIÓN TEMPORAL</v>
      </c>
      <c r="F871" s="146" t="n">
        <v>3</v>
      </c>
    </row>
    <row r="872" ht="32" customHeight="1">
      <c r="A872" s="146" t="str">
        <v>IINF</v>
      </c>
      <c r="B872" s="146" t="str">
        <v>2026</v>
      </c>
      <c r="C872" s="146" t="str">
        <v>1</v>
      </c>
      <c r="D872" s="146" t="str">
        <v>TITULADO</v>
      </c>
      <c r="E872" s="146" t="str">
        <v>31 - TITULADO APROBADO</v>
      </c>
      <c r="F872" s="146" t="n">
        <v>3</v>
      </c>
    </row>
    <row r="873" ht="32" customHeight="1">
      <c r="A873" s="146" t="str">
        <v>IINF</v>
      </c>
      <c r="B873" s="146" t="str">
        <v>2026</v>
      </c>
      <c r="C873" s="146" t="str">
        <v>1</v>
      </c>
      <c r="D873" s="146" t="str">
        <v>VIGENTE</v>
      </c>
      <c r="E873" s="146" t="str">
        <v>1 - ALUMNO REGULAR</v>
      </c>
      <c r="F873" s="146" t="n">
        <v>202</v>
      </c>
    </row>
    <row r="874" ht="32" customHeight="1">
      <c r="A874" s="146" t="str">
        <v>IINF</v>
      </c>
      <c r="B874" s="146" t="str">
        <v>2026</v>
      </c>
      <c r="C874" s="146" t="str">
        <v>1</v>
      </c>
      <c r="D874" s="146" t="str">
        <v>VIGENTE</v>
      </c>
      <c r="E874" s="146" t="str">
        <v>100 - TITULACIÓN INTERMEDIA</v>
      </c>
      <c r="F874" s="146" t="n">
        <v>29</v>
      </c>
    </row>
    <row r="875" ht="32" customHeight="1">
      <c r="A875" s="146" t="str">
        <v>IINF</v>
      </c>
      <c r="B875" s="146" t="str">
        <v>2026</v>
      </c>
      <c r="C875" s="146" t="str">
        <v>1</v>
      </c>
      <c r="D875" s="146" t="str">
        <v>VIGENTE</v>
      </c>
      <c r="E875" s="146" t="str">
        <v>20 - VIGENTE SIN ACTIVIDAD ACADEMICA</v>
      </c>
      <c r="F875" s="146" t="n">
        <v>1</v>
      </c>
    </row>
    <row r="876" ht="32" customHeight="1">
      <c r="A876" s="146" t="str">
        <v>IINF</v>
      </c>
      <c r="B876" s="146" t="str">
        <v>2026</v>
      </c>
      <c r="C876" s="146" t="str">
        <v>1</v>
      </c>
      <c r="D876" s="146" t="str">
        <v>VIGENTE</v>
      </c>
      <c r="E876" s="146" t="str">
        <v>38 - REINCORPORACION DE ACTIVIDADES</v>
      </c>
      <c r="F876" s="146" t="n">
        <v>9</v>
      </c>
    </row>
    <row r="877" ht="32" customHeight="1">
      <c r="A877" s="146" t="str">
        <v>IINF</v>
      </c>
      <c r="B877" s="146" t="str">
        <v>2026</v>
      </c>
      <c r="C877" s="146" t="str">
        <v>1</v>
      </c>
      <c r="D877" s="146" t="str">
        <v>VIGENTE</v>
      </c>
      <c r="E877" s="146" t="str">
        <v>49 - CAMBIO DE JORNADA</v>
      </c>
      <c r="F877" s="146" t="n">
        <v>11</v>
      </c>
    </row>
    <row r="878" ht="32" customHeight="1">
      <c r="A878" s="146" t="str">
        <v>IINF</v>
      </c>
      <c r="B878" s="146" t="str">
        <v>2026</v>
      </c>
      <c r="C878" s="146" t="str">
        <v>2</v>
      </c>
      <c r="D878" s="146" t="str">
        <v>ELIMINADO</v>
      </c>
      <c r="E878" s="146" t="str">
        <v>11 - RENUNCIA POST INICIO CLASES</v>
      </c>
      <c r="F878" s="146" t="n">
        <v>6</v>
      </c>
    </row>
    <row r="879" ht="32" customHeight="1">
      <c r="A879" s="146" t="str">
        <v>IINF</v>
      </c>
      <c r="B879" s="146" t="str">
        <v>2026</v>
      </c>
      <c r="C879" s="146" t="str">
        <v>2</v>
      </c>
      <c r="D879" s="146" t="str">
        <v>ELIMINADO</v>
      </c>
      <c r="E879" s="146" t="str">
        <v>23 - RETIRO - RETRACTO</v>
      </c>
      <c r="F879" s="146" t="n">
        <v>2</v>
      </c>
    </row>
    <row r="880" ht="32" customHeight="1">
      <c r="A880" s="146" t="str">
        <v>IINF</v>
      </c>
      <c r="B880" s="146" t="str">
        <v>2026</v>
      </c>
      <c r="C880" s="146" t="str">
        <v>2</v>
      </c>
      <c r="D880" s="146" t="str">
        <v>ELIMINADO</v>
      </c>
      <c r="E880" s="146" t="str">
        <v>24 - CAMBIO DE CARRERA</v>
      </c>
      <c r="F880" s="146" t="n">
        <v>1</v>
      </c>
    </row>
    <row r="881" ht="32" customHeight="1">
      <c r="A881" s="146" t="str">
        <v>IINF</v>
      </c>
      <c r="B881" s="146" t="str">
        <v>2026</v>
      </c>
      <c r="C881" s="146" t="str">
        <v>2</v>
      </c>
      <c r="D881" s="146" t="str">
        <v>VIGENTE</v>
      </c>
      <c r="E881" s="146" t="str">
        <v>1 - ALUMNO REGULAR</v>
      </c>
      <c r="F881" s="146" t="n">
        <v>42</v>
      </c>
    </row>
    <row r="882" ht="32" customHeight="1">
      <c r="A882" s="146" t="str">
        <v>IINF</v>
      </c>
      <c r="B882" s="146" t="str">
        <v>2026</v>
      </c>
      <c r="C882" s="146" t="str">
        <v>3</v>
      </c>
      <c r="D882" s="146" t="str">
        <v>ELIMINADO</v>
      </c>
      <c r="E882" s="146" t="str">
        <v>23 - RETIRO - RETRACTO</v>
      </c>
      <c r="F882" s="146" t="n">
        <v>7</v>
      </c>
    </row>
    <row r="883" ht="32" customHeight="1">
      <c r="A883" s="146" t="str">
        <v>IINF</v>
      </c>
      <c r="B883" s="146" t="str">
        <v>2026</v>
      </c>
      <c r="C883" s="146" t="str">
        <v>3</v>
      </c>
      <c r="D883" s="146" t="str">
        <v>ELIMINADO</v>
      </c>
      <c r="E883" s="146" t="str">
        <v>24 - CAMBIO DE CARRERA</v>
      </c>
      <c r="F883" s="146" t="n">
        <v>2</v>
      </c>
    </row>
    <row r="884" ht="32" customHeight="1">
      <c r="A884" s="146" t="str">
        <v>IINF</v>
      </c>
      <c r="B884" s="146" t="str">
        <v>2026</v>
      </c>
      <c r="C884" s="146" t="str">
        <v>3</v>
      </c>
      <c r="D884" s="146" t="str">
        <v>VIGENTE</v>
      </c>
      <c r="E884" s="146" t="str">
        <v>1 - ALUMNO REGULAR</v>
      </c>
      <c r="F884" s="146" t="n">
        <v>35</v>
      </c>
    </row>
    <row r="885" ht="32" customHeight="1">
      <c r="A885" s="146" t="str">
        <v>IINF</v>
      </c>
      <c r="B885" s="146" t="str">
        <v>2026</v>
      </c>
      <c r="C885" s="146" t="str">
        <v>3</v>
      </c>
      <c r="D885" s="146" t="str">
        <v>VIGENTE</v>
      </c>
      <c r="E885" s="146" t="str">
        <v>38 - REINCORPORACION DE ACTIVIDADES</v>
      </c>
      <c r="F885" s="146" t="n">
        <v>1</v>
      </c>
    </row>
    <row r="886" ht="32" customHeight="1">
      <c r="A886" s="146" t="str">
        <v>IINF</v>
      </c>
      <c r="B886" s="146" t="str">
        <v>2027</v>
      </c>
      <c r="C886" s="146" t="str">
        <v>1</v>
      </c>
      <c r="D886" s="146" t="str">
        <v>VIGENTE</v>
      </c>
      <c r="E886" s="146" t="str">
        <v>1 - ALUMNO REGULAR</v>
      </c>
      <c r="F886" s="146" t="n">
        <v>8</v>
      </c>
    </row>
    <row r="887" ht="32" customHeight="1">
      <c r="A887" s="146" t="str">
        <v>ILOG</v>
      </c>
      <c r="B887" s="146" t="str">
        <v>2024</v>
      </c>
      <c r="C887" s="146" t="str">
        <v>1</v>
      </c>
      <c r="D887" s="146" t="str">
        <v>ELIMINADO</v>
      </c>
      <c r="E887" s="146" t="str">
        <v>11 - RENUNCIA POST INICIO CLASES</v>
      </c>
      <c r="F887" s="146" t="n">
        <v>1</v>
      </c>
    </row>
    <row r="888" ht="32" customHeight="1">
      <c r="A888" s="146" t="str">
        <v>ILOG</v>
      </c>
      <c r="B888" s="146" t="str">
        <v>2024</v>
      </c>
      <c r="C888" s="146" t="str">
        <v>1</v>
      </c>
      <c r="D888" s="146" t="str">
        <v>ELIMINADO</v>
      </c>
      <c r="E888" s="146" t="str">
        <v>23 - RETIRO - RETRACTO</v>
      </c>
      <c r="F888" s="146" t="n">
        <v>3</v>
      </c>
    </row>
    <row r="889" ht="32" customHeight="1">
      <c r="A889" s="146" t="str">
        <v>ILOG</v>
      </c>
      <c r="B889" s="146" t="str">
        <v>2024</v>
      </c>
      <c r="C889" s="146" t="str">
        <v>1</v>
      </c>
      <c r="D889" s="146" t="str">
        <v>ELIMINADO</v>
      </c>
      <c r="E889" s="146" t="str">
        <v>24 - CAMBIO DE CARRERA</v>
      </c>
      <c r="F889" s="146" t="n">
        <v>1</v>
      </c>
    </row>
    <row r="890" ht="32" customHeight="1">
      <c r="A890" s="146" t="str">
        <v>ILOG</v>
      </c>
      <c r="B890" s="146" t="str">
        <v>2024</v>
      </c>
      <c r="C890" s="146" t="str">
        <v>1</v>
      </c>
      <c r="D890" s="146" t="str">
        <v>ELIMINADO</v>
      </c>
      <c r="E890" s="146" t="str">
        <v>5 - RENUNCIA ENTRE PERIODOS</v>
      </c>
      <c r="F890" s="146" t="n">
        <v>2</v>
      </c>
    </row>
    <row r="891" ht="32" customHeight="1">
      <c r="A891" s="146" t="str">
        <v>ILOG</v>
      </c>
      <c r="B891" s="146" t="str">
        <v>2024</v>
      </c>
      <c r="C891" s="146" t="str">
        <v>1</v>
      </c>
      <c r="D891" s="146" t="str">
        <v>ELIMINADO</v>
      </c>
      <c r="E891" s="146" t="str">
        <v>7 - NO RENUEVA MATRICULA</v>
      </c>
      <c r="F891" s="146" t="n">
        <v>6</v>
      </c>
    </row>
    <row r="892" ht="32" customHeight="1">
      <c r="A892" s="146" t="str">
        <v>ILOG</v>
      </c>
      <c r="B892" s="146" t="str">
        <v>2024</v>
      </c>
      <c r="C892" s="146" t="str">
        <v>1</v>
      </c>
      <c r="D892" s="146" t="str">
        <v>ELIMINADO</v>
      </c>
      <c r="E892" s="146" t="str">
        <v>8 - ELIMINADO SIN ACTIVIDAD ACADÉMICA</v>
      </c>
      <c r="F892" s="146" t="n">
        <v>2</v>
      </c>
    </row>
    <row r="893" ht="32" customHeight="1">
      <c r="A893" s="146" t="str">
        <v>ILOG</v>
      </c>
      <c r="B893" s="146" t="str">
        <v>2024</v>
      </c>
      <c r="C893" s="146" t="str">
        <v>2</v>
      </c>
      <c r="D893" s="146" t="str">
        <v>ELIMINADO</v>
      </c>
      <c r="E893" s="146" t="str">
        <v>23 - RETIRO - RETRACTO</v>
      </c>
      <c r="F893" s="146" t="n">
        <v>1</v>
      </c>
    </row>
    <row r="894" ht="32" customHeight="1">
      <c r="A894" s="146" t="str">
        <v>ILOG</v>
      </c>
      <c r="B894" s="146" t="str">
        <v>2024</v>
      </c>
      <c r="C894" s="146" t="str">
        <v>2</v>
      </c>
      <c r="D894" s="146" t="str">
        <v>ELIMINADO</v>
      </c>
      <c r="E894" s="146" t="str">
        <v>24 - CAMBIO DE CARRERA</v>
      </c>
      <c r="F894" s="146" t="n">
        <v>1</v>
      </c>
    </row>
    <row r="895" ht="32" customHeight="1">
      <c r="A895" s="146" t="str">
        <v>ILOG</v>
      </c>
      <c r="B895" s="146" t="str">
        <v>2024</v>
      </c>
      <c r="C895" s="146" t="str">
        <v>3</v>
      </c>
      <c r="D895" s="146" t="str">
        <v>ELIMINADO</v>
      </c>
      <c r="E895" s="146" t="str">
        <v>12 - ELIMINADO MATRICULA SIN FIRMA</v>
      </c>
      <c r="F895" s="146" t="n">
        <v>1</v>
      </c>
    </row>
    <row r="896" ht="32" customHeight="1">
      <c r="A896" s="146" t="str">
        <v>ILOG</v>
      </c>
      <c r="B896" s="146" t="str">
        <v>2024</v>
      </c>
      <c r="C896" s="146" t="str">
        <v>3</v>
      </c>
      <c r="D896" s="146" t="str">
        <v>ELIMINADO</v>
      </c>
      <c r="E896" s="146" t="str">
        <v>23 - RETIRO - RETRACTO</v>
      </c>
      <c r="F896" s="146" t="n">
        <v>4</v>
      </c>
    </row>
    <row r="897" ht="32" customHeight="1">
      <c r="A897" s="146" t="str">
        <v>ILOG</v>
      </c>
      <c r="B897" s="146" t="str">
        <v>2024</v>
      </c>
      <c r="C897" s="146" t="str">
        <v>3</v>
      </c>
      <c r="D897" s="146" t="str">
        <v>ELIMINADO</v>
      </c>
      <c r="E897" s="146" t="str">
        <v>24 - CAMBIO DE CARRERA</v>
      </c>
      <c r="F897" s="146" t="n">
        <v>1</v>
      </c>
    </row>
    <row r="898" ht="32" customHeight="1">
      <c r="A898" s="146" t="str">
        <v>ILOG</v>
      </c>
      <c r="B898" s="146" t="str">
        <v>2025</v>
      </c>
      <c r="C898" s="146" t="str">
        <v>1</v>
      </c>
      <c r="D898" s="146" t="str">
        <v>ELIMINADO</v>
      </c>
      <c r="E898" s="146" t="str">
        <v>11 - RENUNCIA POST INICIO CLASES</v>
      </c>
      <c r="F898" s="146" t="n">
        <v>7</v>
      </c>
    </row>
    <row r="899" ht="32" customHeight="1">
      <c r="A899" s="146" t="str">
        <v>ILOG</v>
      </c>
      <c r="B899" s="146" t="str">
        <v>2025</v>
      </c>
      <c r="C899" s="146" t="str">
        <v>1</v>
      </c>
      <c r="D899" s="146" t="str">
        <v>ELIMINADO</v>
      </c>
      <c r="E899" s="146" t="str">
        <v>23 - RETIRO - RETRACTO</v>
      </c>
      <c r="F899" s="146" t="n">
        <v>12</v>
      </c>
    </row>
    <row r="900" ht="32" customHeight="1">
      <c r="A900" s="146" t="str">
        <v>ILOG</v>
      </c>
      <c r="B900" s="146" t="str">
        <v>2025</v>
      </c>
      <c r="C900" s="146" t="str">
        <v>1</v>
      </c>
      <c r="D900" s="146" t="str">
        <v>ELIMINADO</v>
      </c>
      <c r="E900" s="146" t="str">
        <v>24 - CAMBIO DE CARRERA</v>
      </c>
      <c r="F900" s="146" t="n">
        <v>4</v>
      </c>
    </row>
    <row r="901" ht="32" customHeight="1">
      <c r="A901" s="146" t="str">
        <v>ILOG</v>
      </c>
      <c r="B901" s="146" t="str">
        <v>2025</v>
      </c>
      <c r="C901" s="146" t="str">
        <v>1</v>
      </c>
      <c r="D901" s="146" t="str">
        <v>SUSPENDIDO</v>
      </c>
      <c r="E901" s="146" t="str">
        <v>2 - SUSPENSIÓN TEMPORAL</v>
      </c>
      <c r="F901" s="146" t="n">
        <v>2</v>
      </c>
    </row>
    <row r="902" ht="32" customHeight="1">
      <c r="A902" s="146" t="str">
        <v>ILOG</v>
      </c>
      <c r="B902" s="146" t="str">
        <v>2025</v>
      </c>
      <c r="C902" s="146" t="str">
        <v>1</v>
      </c>
      <c r="D902" s="146" t="str">
        <v>VIGENTE</v>
      </c>
      <c r="E902" s="146" t="str">
        <v>1 - ALUMNO REGULAR</v>
      </c>
      <c r="F902" s="146" t="n">
        <v>14</v>
      </c>
    </row>
    <row r="903" ht="32" customHeight="1">
      <c r="A903" s="146" t="str">
        <v>ILOG</v>
      </c>
      <c r="B903" s="146" t="str">
        <v>2025</v>
      </c>
      <c r="C903" s="146" t="str">
        <v>1</v>
      </c>
      <c r="D903" s="146" t="str">
        <v>VIGENTE</v>
      </c>
      <c r="E903" s="146" t="str">
        <v>20 - VIGENTE SIN ACTIVIDAD ACADEMICA</v>
      </c>
      <c r="F903" s="146" t="n">
        <v>22</v>
      </c>
    </row>
    <row r="904" ht="32" customHeight="1">
      <c r="A904" s="146" t="str">
        <v>ILOG</v>
      </c>
      <c r="B904" s="146" t="str">
        <v>2025</v>
      </c>
      <c r="C904" s="146" t="str">
        <v>2</v>
      </c>
      <c r="D904" s="146" t="str">
        <v>ELIMINADO</v>
      </c>
      <c r="E904" s="146" t="str">
        <v>11 - RENUNCIA POST INICIO CLASES</v>
      </c>
      <c r="F904" s="146" t="n">
        <v>3</v>
      </c>
    </row>
    <row r="905" ht="32" customHeight="1">
      <c r="A905" s="146" t="str">
        <v>ILOG</v>
      </c>
      <c r="B905" s="146" t="str">
        <v>2025</v>
      </c>
      <c r="C905" s="146" t="str">
        <v>2</v>
      </c>
      <c r="D905" s="146" t="str">
        <v>ELIMINADO</v>
      </c>
      <c r="E905" s="146" t="str">
        <v>23 - RETIRO - RETRACTO</v>
      </c>
      <c r="F905" s="146" t="n">
        <v>1</v>
      </c>
    </row>
    <row r="906" ht="32" customHeight="1">
      <c r="A906" s="146" t="str">
        <v>ILOG</v>
      </c>
      <c r="B906" s="146" t="str">
        <v>2025</v>
      </c>
      <c r="C906" s="146" t="str">
        <v>2</v>
      </c>
      <c r="D906" s="146" t="str">
        <v>ELIMINADO</v>
      </c>
      <c r="E906" s="146" t="str">
        <v>24 - CAMBIO DE CARRERA</v>
      </c>
      <c r="F906" s="146" t="n">
        <v>1</v>
      </c>
    </row>
    <row r="907" ht="32" customHeight="1">
      <c r="A907" s="146" t="str">
        <v>ILOG</v>
      </c>
      <c r="B907" s="146" t="str">
        <v>2025</v>
      </c>
      <c r="C907" s="146" t="str">
        <v>2</v>
      </c>
      <c r="D907" s="146" t="str">
        <v>SUSPENDIDO</v>
      </c>
      <c r="E907" s="146" t="str">
        <v>2 - SUSPENSIÓN TEMPORAL</v>
      </c>
      <c r="F907" s="146" t="n">
        <v>1</v>
      </c>
    </row>
    <row r="908" ht="32" customHeight="1">
      <c r="A908" s="146" t="str">
        <v>ILOG</v>
      </c>
      <c r="B908" s="146" t="str">
        <v>2025</v>
      </c>
      <c r="C908" s="146" t="str">
        <v>2</v>
      </c>
      <c r="D908" s="146" t="str">
        <v>VIGENTE</v>
      </c>
      <c r="E908" s="146" t="str">
        <v>1 - ALUMNO REGULAR</v>
      </c>
      <c r="F908" s="146" t="n">
        <v>11</v>
      </c>
    </row>
    <row r="909" ht="32" customHeight="1">
      <c r="A909" s="146" t="str">
        <v>ILOG</v>
      </c>
      <c r="B909" s="146" t="str">
        <v>2025</v>
      </c>
      <c r="C909" s="146" t="str">
        <v>3</v>
      </c>
      <c r="D909" s="146" t="str">
        <v>ELIMINADO</v>
      </c>
      <c r="E909" s="146" t="str">
        <v>11 - RENUNCIA POST INICIO CLASES</v>
      </c>
      <c r="F909" s="146" t="n">
        <v>1</v>
      </c>
    </row>
    <row r="910" ht="32" customHeight="1">
      <c r="A910" s="146" t="str">
        <v>ILOG</v>
      </c>
      <c r="B910" s="146" t="str">
        <v>2025</v>
      </c>
      <c r="C910" s="146" t="str">
        <v>3</v>
      </c>
      <c r="D910" s="146" t="str">
        <v>ELIMINADO</v>
      </c>
      <c r="E910" s="146" t="str">
        <v>23 - RETIRO - RETRACTO</v>
      </c>
      <c r="F910" s="146" t="n">
        <v>1</v>
      </c>
    </row>
    <row r="911" ht="32" customHeight="1">
      <c r="A911" s="146" t="str">
        <v>ILOG</v>
      </c>
      <c r="B911" s="146" t="str">
        <v>2025</v>
      </c>
      <c r="C911" s="146" t="str">
        <v>3</v>
      </c>
      <c r="D911" s="146" t="str">
        <v>ELIMINADO</v>
      </c>
      <c r="E911" s="146" t="str">
        <v>24 - CAMBIO DE CARRERA</v>
      </c>
      <c r="F911" s="146" t="n">
        <v>1</v>
      </c>
    </row>
    <row r="912" ht="32" customHeight="1">
      <c r="A912" s="146" t="str">
        <v>ILOG</v>
      </c>
      <c r="B912" s="146" t="str">
        <v>2025</v>
      </c>
      <c r="C912" s="146" t="str">
        <v>3</v>
      </c>
      <c r="D912" s="146" t="str">
        <v>VIGENTE</v>
      </c>
      <c r="E912" s="146" t="str">
        <v>1 - ALUMNO REGULAR</v>
      </c>
      <c r="F912" s="146" t="n">
        <v>4</v>
      </c>
    </row>
    <row r="913" ht="32" customHeight="1">
      <c r="A913" s="146" t="str">
        <v>ILOG</v>
      </c>
      <c r="B913" s="146" t="str">
        <v>2026</v>
      </c>
      <c r="C913" s="146" t="str">
        <v>1</v>
      </c>
      <c r="D913" s="146" t="str">
        <v>ELIMINADO</v>
      </c>
      <c r="E913" s="146" t="str">
        <v>11 - RENUNCIA POST INICIO CLASES</v>
      </c>
      <c r="F913" s="146" t="n">
        <v>15</v>
      </c>
    </row>
    <row r="914" ht="32" customHeight="1">
      <c r="A914" s="146" t="str">
        <v>ILOG</v>
      </c>
      <c r="B914" s="146" t="str">
        <v>2026</v>
      </c>
      <c r="C914" s="146" t="str">
        <v>1</v>
      </c>
      <c r="D914" s="146" t="str">
        <v>ELIMINADO</v>
      </c>
      <c r="E914" s="146" t="str">
        <v>23 - RETIRO - RETRACTO</v>
      </c>
      <c r="F914" s="146" t="n">
        <v>16</v>
      </c>
    </row>
    <row r="915" ht="32" customHeight="1">
      <c r="A915" s="146" t="str">
        <v>ILOG</v>
      </c>
      <c r="B915" s="146" t="str">
        <v>2026</v>
      </c>
      <c r="C915" s="146" t="str">
        <v>1</v>
      </c>
      <c r="D915" s="146" t="str">
        <v>ELIMINADO</v>
      </c>
      <c r="E915" s="146" t="str">
        <v>24 - CAMBIO DE CARRERA</v>
      </c>
      <c r="F915" s="146" t="n">
        <v>2</v>
      </c>
    </row>
    <row r="916" ht="32" customHeight="1">
      <c r="A916" s="146" t="str">
        <v>ILOG</v>
      </c>
      <c r="B916" s="146" t="str">
        <v>2026</v>
      </c>
      <c r="C916" s="146" t="str">
        <v>1</v>
      </c>
      <c r="D916" s="146" t="str">
        <v>ELIMINADO</v>
      </c>
      <c r="E916" s="146" t="str">
        <v>8 - ELIMINADO SIN ACTIVIDAD ACADÉMICA</v>
      </c>
      <c r="F916" s="146" t="n">
        <v>17</v>
      </c>
    </row>
    <row r="917" ht="32" customHeight="1">
      <c r="A917" s="146" t="str">
        <v>ILOG</v>
      </c>
      <c r="B917" s="146" t="str">
        <v>2026</v>
      </c>
      <c r="C917" s="146" t="str">
        <v>1</v>
      </c>
      <c r="D917" s="146" t="str">
        <v>SUSPENDIDO</v>
      </c>
      <c r="E917" s="146" t="str">
        <v>2 - SUSPENSIÓN TEMPORAL</v>
      </c>
      <c r="F917" s="146" t="n">
        <v>1</v>
      </c>
    </row>
    <row r="918" ht="32" customHeight="1">
      <c r="A918" s="146" t="str">
        <v>ILOG</v>
      </c>
      <c r="B918" s="146" t="str">
        <v>2026</v>
      </c>
      <c r="C918" s="146" t="str">
        <v>1</v>
      </c>
      <c r="D918" s="146" t="str">
        <v>VIGENTE</v>
      </c>
      <c r="E918" s="146" t="str">
        <v>1 - ALUMNO REGULAR</v>
      </c>
      <c r="F918" s="146" t="n">
        <v>72</v>
      </c>
    </row>
    <row r="919" ht="32" customHeight="1">
      <c r="A919" s="146" t="str">
        <v>ILOG</v>
      </c>
      <c r="B919" s="146" t="str">
        <v>2026</v>
      </c>
      <c r="C919" s="146" t="str">
        <v>1</v>
      </c>
      <c r="D919" s="146" t="str">
        <v>VIGENTE</v>
      </c>
      <c r="E919" s="146" t="str">
        <v>100 - TITULACIÓN INTERMEDIA</v>
      </c>
      <c r="F919" s="146" t="n">
        <v>4</v>
      </c>
    </row>
    <row r="920" ht="32" customHeight="1">
      <c r="A920" s="146" t="str">
        <v>ILOG</v>
      </c>
      <c r="B920" s="146" t="str">
        <v>2026</v>
      </c>
      <c r="C920" s="146" t="str">
        <v>1</v>
      </c>
      <c r="D920" s="146" t="str">
        <v>VIGENTE</v>
      </c>
      <c r="E920" s="146" t="str">
        <v>38 - REINCORPORACION DE ACTIVIDADES</v>
      </c>
      <c r="F920" s="146" t="n">
        <v>2</v>
      </c>
    </row>
    <row r="921" ht="32" customHeight="1">
      <c r="A921" s="146" t="str">
        <v>ILOG</v>
      </c>
      <c r="B921" s="146" t="str">
        <v>2026</v>
      </c>
      <c r="C921" s="146" t="str">
        <v>1</v>
      </c>
      <c r="D921" s="146" t="str">
        <v>VIGENTE</v>
      </c>
      <c r="E921" s="146" t="str">
        <v>49 - CAMBIO DE JORNADA</v>
      </c>
      <c r="F921" s="146" t="n">
        <v>6</v>
      </c>
    </row>
    <row r="922" ht="32" customHeight="1">
      <c r="A922" s="146" t="str">
        <v>ILOG</v>
      </c>
      <c r="B922" s="146" t="str">
        <v>2026</v>
      </c>
      <c r="C922" s="146" t="str">
        <v>2</v>
      </c>
      <c r="D922" s="146" t="str">
        <v>ELIMINADO</v>
      </c>
      <c r="E922" s="146" t="str">
        <v>11 - RENUNCIA POST INICIO CLASES</v>
      </c>
      <c r="F922" s="146" t="n">
        <v>6</v>
      </c>
    </row>
    <row r="923" ht="32" customHeight="1">
      <c r="A923" s="146" t="str">
        <v>ILOG</v>
      </c>
      <c r="B923" s="146" t="str">
        <v>2026</v>
      </c>
      <c r="C923" s="146" t="str">
        <v>2</v>
      </c>
      <c r="D923" s="146" t="str">
        <v>ELIMINADO</v>
      </c>
      <c r="E923" s="146" t="str">
        <v>23 - RETIRO - RETRACTO</v>
      </c>
      <c r="F923" s="146" t="n">
        <v>2</v>
      </c>
    </row>
    <row r="924" ht="32" customHeight="1">
      <c r="A924" s="146" t="str">
        <v>ILOG</v>
      </c>
      <c r="B924" s="146" t="str">
        <v>2026</v>
      </c>
      <c r="C924" s="146" t="str">
        <v>2</v>
      </c>
      <c r="D924" s="146" t="str">
        <v>VIGENTE</v>
      </c>
      <c r="E924" s="146" t="str">
        <v>1 - ALUMNO REGULAR</v>
      </c>
      <c r="F924" s="146" t="n">
        <v>34</v>
      </c>
    </row>
    <row r="925" ht="32" customHeight="1">
      <c r="A925" s="146" t="str">
        <v>ILOG</v>
      </c>
      <c r="B925" s="146" t="str">
        <v>2026</v>
      </c>
      <c r="C925" s="146" t="str">
        <v>3</v>
      </c>
      <c r="D925" s="146" t="str">
        <v>ELIMINADO</v>
      </c>
      <c r="E925" s="146" t="str">
        <v>23 - RETIRO - RETRACTO</v>
      </c>
      <c r="F925" s="146" t="n">
        <v>2</v>
      </c>
    </row>
    <row r="926" ht="32" customHeight="1">
      <c r="A926" s="146" t="str">
        <v>ILOG</v>
      </c>
      <c r="B926" s="146" t="str">
        <v>2026</v>
      </c>
      <c r="C926" s="146" t="str">
        <v>3</v>
      </c>
      <c r="D926" s="146" t="str">
        <v>VIGENTE</v>
      </c>
      <c r="E926" s="146" t="str">
        <v>1 - ALUMNO REGULAR</v>
      </c>
      <c r="F926" s="146" t="n">
        <v>35</v>
      </c>
    </row>
    <row r="927" ht="32" customHeight="1">
      <c r="A927" s="146" t="str">
        <v>ILOG</v>
      </c>
      <c r="B927" s="146" t="str">
        <v>2026</v>
      </c>
      <c r="C927" s="146" t="str">
        <v>3</v>
      </c>
      <c r="D927" s="146" t="str">
        <v>VIGENTE</v>
      </c>
      <c r="E927" s="146" t="str">
        <v>49 - CAMBIO DE JORNADA</v>
      </c>
      <c r="F927" s="146" t="n">
        <v>1</v>
      </c>
    </row>
    <row r="928" ht="32" customHeight="1">
      <c r="A928" s="146" t="str">
        <v>ILOG</v>
      </c>
      <c r="B928" s="146" t="str">
        <v>2027</v>
      </c>
      <c r="C928" s="146" t="str">
        <v>1</v>
      </c>
      <c r="D928" s="146" t="str">
        <v>VIGENTE</v>
      </c>
      <c r="E928" s="146" t="str">
        <v>1 - ALUMNO REGULAR</v>
      </c>
      <c r="F928" s="146" t="n">
        <v>7</v>
      </c>
    </row>
    <row r="929" ht="32" customHeight="1">
      <c r="A929" s="146" t="str">
        <v>IMDI</v>
      </c>
      <c r="B929" s="146" t="str">
        <v>2026</v>
      </c>
      <c r="C929" s="146" t="str">
        <v>1</v>
      </c>
      <c r="D929" s="146" t="str">
        <v>ELIMINADO</v>
      </c>
      <c r="E929" s="146" t="str">
        <v>11 - RENUNCIA POST INICIO CLASES</v>
      </c>
      <c r="F929" s="146" t="n">
        <v>11</v>
      </c>
    </row>
    <row r="930" ht="32" customHeight="1">
      <c r="A930" s="146" t="str">
        <v>IMDI</v>
      </c>
      <c r="B930" s="146" t="str">
        <v>2026</v>
      </c>
      <c r="C930" s="146" t="str">
        <v>1</v>
      </c>
      <c r="D930" s="146" t="str">
        <v>ELIMINADO</v>
      </c>
      <c r="E930" s="146" t="str">
        <v>23 - RETIRO - RETRACTO</v>
      </c>
      <c r="F930" s="146" t="n">
        <v>8</v>
      </c>
    </row>
    <row r="931" ht="32" customHeight="1">
      <c r="A931" s="146" t="str">
        <v>IMDI</v>
      </c>
      <c r="B931" s="146" t="str">
        <v>2026</v>
      </c>
      <c r="C931" s="146" t="str">
        <v>1</v>
      </c>
      <c r="D931" s="146" t="str">
        <v>ELIMINADO</v>
      </c>
      <c r="E931" s="146" t="str">
        <v>24 - CAMBIO DE CARRERA</v>
      </c>
      <c r="F931" s="146" t="n">
        <v>1</v>
      </c>
    </row>
    <row r="932" ht="32" customHeight="1">
      <c r="A932" s="146" t="str">
        <v>IMDI</v>
      </c>
      <c r="B932" s="146" t="str">
        <v>2026</v>
      </c>
      <c r="C932" s="146" t="str">
        <v>1</v>
      </c>
      <c r="D932" s="146" t="str">
        <v>ELIMINADO</v>
      </c>
      <c r="E932" s="146" t="str">
        <v>8 - ELIMINADO SIN ACTIVIDAD ACADÉMICA</v>
      </c>
      <c r="F932" s="146" t="n">
        <v>6</v>
      </c>
    </row>
    <row r="933" ht="32" customHeight="1">
      <c r="A933" s="146" t="str">
        <v>IMDI</v>
      </c>
      <c r="B933" s="146" t="str">
        <v>2026</v>
      </c>
      <c r="C933" s="146" t="str">
        <v>1</v>
      </c>
      <c r="D933" s="146" t="str">
        <v>SUSPENDIDO</v>
      </c>
      <c r="E933" s="146" t="str">
        <v>2 - SUSPENSIÓN TEMPORAL</v>
      </c>
      <c r="F933" s="146" t="n">
        <v>2</v>
      </c>
    </row>
    <row r="934" ht="32" customHeight="1">
      <c r="A934" s="146" t="str">
        <v>IMDI</v>
      </c>
      <c r="B934" s="146" t="str">
        <v>2026</v>
      </c>
      <c r="C934" s="146" t="str">
        <v>1</v>
      </c>
      <c r="D934" s="146" t="str">
        <v>VIGENTE</v>
      </c>
      <c r="E934" s="146" t="str">
        <v>1 - ALUMNO REGULAR</v>
      </c>
      <c r="F934" s="146" t="n">
        <v>53</v>
      </c>
    </row>
    <row r="935" ht="32" customHeight="1">
      <c r="A935" s="146" t="str">
        <v>IMDI</v>
      </c>
      <c r="B935" s="146" t="str">
        <v>2026</v>
      </c>
      <c r="C935" s="146" t="str">
        <v>1</v>
      </c>
      <c r="D935" s="146" t="str">
        <v>VIGENTE</v>
      </c>
      <c r="E935" s="146" t="str">
        <v>38 - REINCORPORACION DE ACTIVIDADES</v>
      </c>
      <c r="F935" s="146" t="n">
        <v>1</v>
      </c>
    </row>
    <row r="936" ht="32" customHeight="1">
      <c r="A936" s="146" t="str">
        <v>IMDI</v>
      </c>
      <c r="B936" s="146" t="str">
        <v>2026</v>
      </c>
      <c r="C936" s="146" t="str">
        <v>2</v>
      </c>
      <c r="D936" s="146" t="str">
        <v>ELIMINADO</v>
      </c>
      <c r="E936" s="146" t="str">
        <v>11 - RENUNCIA POST INICIO CLASES</v>
      </c>
      <c r="F936" s="146" t="n">
        <v>2</v>
      </c>
    </row>
    <row r="937" ht="32" customHeight="1">
      <c r="A937" s="146" t="str">
        <v>IMDI</v>
      </c>
      <c r="B937" s="146" t="str">
        <v>2026</v>
      </c>
      <c r="C937" s="146" t="str">
        <v>2</v>
      </c>
      <c r="D937" s="146" t="str">
        <v>ELIMINADO</v>
      </c>
      <c r="E937" s="146" t="str">
        <v>23 - RETIRO - RETRACTO</v>
      </c>
      <c r="F937" s="146" t="n">
        <v>2</v>
      </c>
    </row>
    <row r="938" ht="32" customHeight="1">
      <c r="A938" s="146" t="str">
        <v>IMDI</v>
      </c>
      <c r="B938" s="146" t="str">
        <v>2026</v>
      </c>
      <c r="C938" s="146" t="str">
        <v>2</v>
      </c>
      <c r="D938" s="146" t="str">
        <v>ELIMINADO</v>
      </c>
      <c r="E938" s="146" t="str">
        <v>24 - CAMBIO DE CARRERA</v>
      </c>
      <c r="F938" s="146" t="n">
        <v>1</v>
      </c>
    </row>
    <row r="939" ht="32" customHeight="1">
      <c r="A939" s="146" t="str">
        <v>IMDI</v>
      </c>
      <c r="B939" s="146" t="str">
        <v>2026</v>
      </c>
      <c r="C939" s="146" t="str">
        <v>2</v>
      </c>
      <c r="D939" s="146" t="str">
        <v>VIGENTE</v>
      </c>
      <c r="E939" s="146" t="str">
        <v>1 - ALUMNO REGULAR</v>
      </c>
      <c r="F939" s="146" t="n">
        <v>31</v>
      </c>
    </row>
    <row r="940" ht="32" customHeight="1">
      <c r="A940" s="146" t="str">
        <v>IMDI</v>
      </c>
      <c r="B940" s="146" t="str">
        <v>2026</v>
      </c>
      <c r="C940" s="146" t="str">
        <v>2</v>
      </c>
      <c r="D940" s="146" t="str">
        <v>VIGENTE</v>
      </c>
      <c r="E940" s="146" t="str">
        <v>38 - REINCORPORACION DE ACTIVIDADES</v>
      </c>
      <c r="F940" s="146" t="n">
        <v>2</v>
      </c>
    </row>
    <row r="941" ht="32" customHeight="1">
      <c r="A941" s="146" t="str">
        <v>IMDI</v>
      </c>
      <c r="B941" s="146" t="str">
        <v>2026</v>
      </c>
      <c r="C941" s="146" t="str">
        <v>3</v>
      </c>
      <c r="D941" s="146" t="str">
        <v>ELIMINADO</v>
      </c>
      <c r="E941" s="146" t="str">
        <v>23 - RETIRO - RETRACTO</v>
      </c>
      <c r="F941" s="146" t="n">
        <v>4</v>
      </c>
    </row>
    <row r="942" ht="32" customHeight="1">
      <c r="A942" s="146" t="str">
        <v>IMDI</v>
      </c>
      <c r="B942" s="146" t="str">
        <v>2026</v>
      </c>
      <c r="C942" s="146" t="str">
        <v>3</v>
      </c>
      <c r="D942" s="146" t="str">
        <v>VIGENTE</v>
      </c>
      <c r="E942" s="146" t="str">
        <v>1 - ALUMNO REGULAR</v>
      </c>
      <c r="F942" s="146" t="n">
        <v>33</v>
      </c>
    </row>
    <row r="943" ht="32" customHeight="1">
      <c r="A943" s="146" t="str">
        <v>IMDI</v>
      </c>
      <c r="B943" s="146" t="str">
        <v>2027</v>
      </c>
      <c r="C943" s="146" t="str">
        <v>1</v>
      </c>
      <c r="D943" s="146" t="str">
        <v>VIGENTE</v>
      </c>
      <c r="E943" s="146" t="str">
        <v>1 - ALUMNO REGULAR</v>
      </c>
      <c r="F943" s="146" t="n">
        <v>6</v>
      </c>
    </row>
    <row r="944" ht="32" customHeight="1">
      <c r="A944" s="146" t="str">
        <v>IOPMI</v>
      </c>
      <c r="B944" s="146" t="str">
        <v>2027</v>
      </c>
      <c r="C944" s="146" t="str">
        <v>1</v>
      </c>
      <c r="D944" s="146" t="str">
        <v>VIGENTE</v>
      </c>
      <c r="E944" s="146" t="str">
        <v>1 - ALUMNO REGULAR</v>
      </c>
      <c r="F944" s="146" t="n">
        <v>4</v>
      </c>
    </row>
    <row r="945" ht="32" customHeight="1">
      <c r="A945" s="146" t="str">
        <v>IPRE</v>
      </c>
      <c r="B945" s="146" t="str">
        <v>2026</v>
      </c>
      <c r="C945" s="146" t="str">
        <v>1</v>
      </c>
      <c r="D945" s="146" t="str">
        <v>ELIMINADO</v>
      </c>
      <c r="E945" s="146" t="str">
        <v>11 - RENUNCIA POST INICIO CLASES</v>
      </c>
      <c r="F945" s="146" t="n">
        <v>2</v>
      </c>
    </row>
    <row r="946" ht="32" customHeight="1">
      <c r="A946" s="146" t="str">
        <v>IPRE</v>
      </c>
      <c r="B946" s="146" t="str">
        <v>2026</v>
      </c>
      <c r="C946" s="146" t="str">
        <v>1</v>
      </c>
      <c r="D946" s="146" t="str">
        <v>ELIMINADO</v>
      </c>
      <c r="E946" s="146" t="str">
        <v>23 - RETIRO - RETRACTO</v>
      </c>
      <c r="F946" s="146" t="n">
        <v>1</v>
      </c>
    </row>
    <row r="947" ht="32" customHeight="1">
      <c r="A947" s="146" t="str">
        <v>IPRE</v>
      </c>
      <c r="B947" s="146" t="str">
        <v>2026</v>
      </c>
      <c r="C947" s="146" t="str">
        <v>1</v>
      </c>
      <c r="D947" s="146" t="str">
        <v>ELIMINADO</v>
      </c>
      <c r="E947" s="146" t="str">
        <v>24 - CAMBIO DE CARRERA</v>
      </c>
      <c r="F947" s="146" t="n">
        <v>1</v>
      </c>
    </row>
    <row r="948" ht="32" customHeight="1">
      <c r="A948" s="146" t="str">
        <v>IPRE</v>
      </c>
      <c r="B948" s="146" t="str">
        <v>2026</v>
      </c>
      <c r="C948" s="146" t="str">
        <v>1</v>
      </c>
      <c r="D948" s="146" t="str">
        <v>ELIMINADO</v>
      </c>
      <c r="E948" s="146" t="str">
        <v>8 - ELIMINADO SIN ACTIVIDAD ACADÉMICA</v>
      </c>
      <c r="F948" s="146" t="n">
        <v>11</v>
      </c>
    </row>
    <row r="949" ht="32" customHeight="1">
      <c r="A949" s="146" t="str">
        <v>IPRE</v>
      </c>
      <c r="B949" s="146" t="str">
        <v>2026</v>
      </c>
      <c r="C949" s="146" t="str">
        <v>1</v>
      </c>
      <c r="D949" s="146" t="str">
        <v>SUSPENDIDO</v>
      </c>
      <c r="E949" s="146" t="str">
        <v>2 - SUSPENSIÓN TEMPORAL</v>
      </c>
      <c r="F949" s="146" t="n">
        <v>1</v>
      </c>
    </row>
    <row r="950" ht="32" customHeight="1">
      <c r="A950" s="146" t="str">
        <v>IPRE</v>
      </c>
      <c r="B950" s="146" t="str">
        <v>2026</v>
      </c>
      <c r="C950" s="146" t="str">
        <v>1</v>
      </c>
      <c r="D950" s="146" t="str">
        <v>VIGENTE</v>
      </c>
      <c r="E950" s="146" t="str">
        <v>1 - ALUMNO REGULAR</v>
      </c>
      <c r="F950" s="146" t="n">
        <v>22</v>
      </c>
    </row>
    <row r="951" ht="32" customHeight="1">
      <c r="A951" s="146" t="str">
        <v>IPRE</v>
      </c>
      <c r="B951" s="146" t="str">
        <v>2027</v>
      </c>
      <c r="C951" s="146" t="str">
        <v>1</v>
      </c>
      <c r="D951" s="146" t="str">
        <v>ELIMINADO</v>
      </c>
      <c r="E951" s="146" t="str">
        <v>24 - CAMBIO DE CARRERA</v>
      </c>
      <c r="F951" s="146" t="n">
        <v>1</v>
      </c>
    </row>
    <row r="952" ht="32" customHeight="1">
      <c r="A952" s="146" t="str">
        <v>IPRE</v>
      </c>
      <c r="B952" s="146" t="str">
        <v>2027</v>
      </c>
      <c r="C952" s="146" t="str">
        <v>1</v>
      </c>
      <c r="D952" s="146" t="str">
        <v>VIGENTE</v>
      </c>
      <c r="E952" s="146" t="str">
        <v>1 - ALUMNO REGULAR</v>
      </c>
      <c r="F952" s="146" t="n">
        <v>3</v>
      </c>
    </row>
    <row r="953" ht="32" customHeight="1">
      <c r="A953" s="146" t="str">
        <v>IRHU</v>
      </c>
      <c r="B953" s="146" t="str">
        <v>2026</v>
      </c>
      <c r="C953" s="146" t="str">
        <v>1</v>
      </c>
      <c r="D953" s="146" t="str">
        <v>ELIMINADO</v>
      </c>
      <c r="E953" s="146" t="str">
        <v>11 - RENUNCIA POST INICIO CLASES</v>
      </c>
      <c r="F953" s="146" t="n">
        <v>12</v>
      </c>
    </row>
    <row r="954" ht="32" customHeight="1">
      <c r="A954" s="146" t="str">
        <v>IRHU</v>
      </c>
      <c r="B954" s="146" t="str">
        <v>2026</v>
      </c>
      <c r="C954" s="146" t="str">
        <v>1</v>
      </c>
      <c r="D954" s="146" t="str">
        <v>ELIMINADO</v>
      </c>
      <c r="E954" s="146" t="str">
        <v>23 - RETIRO - RETRACTO</v>
      </c>
      <c r="F954" s="146" t="n">
        <v>8</v>
      </c>
    </row>
    <row r="955" ht="32" customHeight="1">
      <c r="A955" s="146" t="str">
        <v>IRHU</v>
      </c>
      <c r="B955" s="146" t="str">
        <v>2026</v>
      </c>
      <c r="C955" s="146" t="str">
        <v>1</v>
      </c>
      <c r="D955" s="146" t="str">
        <v>ELIMINADO</v>
      </c>
      <c r="E955" s="146" t="str">
        <v>24 - CAMBIO DE CARRERA</v>
      </c>
      <c r="F955" s="146" t="n">
        <v>1</v>
      </c>
    </row>
    <row r="956" ht="32" customHeight="1">
      <c r="A956" s="146" t="str">
        <v>IRHU</v>
      </c>
      <c r="B956" s="146" t="str">
        <v>2026</v>
      </c>
      <c r="C956" s="146" t="str">
        <v>1</v>
      </c>
      <c r="D956" s="146" t="str">
        <v>ELIMINADO</v>
      </c>
      <c r="E956" s="146" t="str">
        <v>8 - ELIMINADO SIN ACTIVIDAD ACADÉMICA</v>
      </c>
      <c r="F956" s="146" t="n">
        <v>8</v>
      </c>
    </row>
    <row r="957" ht="32" customHeight="1">
      <c r="A957" s="146" t="str">
        <v>IRHU</v>
      </c>
      <c r="B957" s="146" t="str">
        <v>2026</v>
      </c>
      <c r="C957" s="146" t="str">
        <v>1</v>
      </c>
      <c r="D957" s="146" t="str">
        <v>VIGENTE</v>
      </c>
      <c r="E957" s="146" t="str">
        <v>1 - ALUMNO REGULAR</v>
      </c>
      <c r="F957" s="146" t="n">
        <v>22</v>
      </c>
    </row>
    <row r="958" ht="32" customHeight="1">
      <c r="A958" s="146" t="str">
        <v>IRHU</v>
      </c>
      <c r="B958" s="146" t="str">
        <v>2026</v>
      </c>
      <c r="C958" s="146" t="str">
        <v>1</v>
      </c>
      <c r="D958" s="146" t="str">
        <v>VIGENTE</v>
      </c>
      <c r="E958" s="146" t="str">
        <v>38 - REINCORPORACION DE ACTIVIDADES</v>
      </c>
      <c r="F958" s="146" t="n">
        <v>1</v>
      </c>
    </row>
    <row r="959" ht="32" customHeight="1">
      <c r="A959" s="146" t="str">
        <v>IRHU</v>
      </c>
      <c r="B959" s="146" t="str">
        <v>2026</v>
      </c>
      <c r="C959" s="146" t="str">
        <v>2</v>
      </c>
      <c r="D959" s="146" t="str">
        <v>ELIMINADO</v>
      </c>
      <c r="E959" s="146" t="str">
        <v>11 - RENUNCIA POST INICIO CLASES</v>
      </c>
      <c r="F959" s="146" t="n">
        <v>2</v>
      </c>
    </row>
    <row r="960" ht="32" customHeight="1">
      <c r="A960" s="146" t="str">
        <v>IRHU</v>
      </c>
      <c r="B960" s="146" t="str">
        <v>2026</v>
      </c>
      <c r="C960" s="146" t="str">
        <v>2</v>
      </c>
      <c r="D960" s="146" t="str">
        <v>ELIMINADO</v>
      </c>
      <c r="E960" s="146" t="str">
        <v>23 - RETIRO - RETRACTO</v>
      </c>
      <c r="F960" s="146" t="n">
        <v>1</v>
      </c>
    </row>
    <row r="961" ht="32" customHeight="1">
      <c r="A961" s="146" t="str">
        <v>IRHU</v>
      </c>
      <c r="B961" s="146" t="str">
        <v>2026</v>
      </c>
      <c r="C961" s="146" t="str">
        <v>2</v>
      </c>
      <c r="D961" s="146" t="str">
        <v>ELIMINADO</v>
      </c>
      <c r="E961" s="146" t="str">
        <v>24 - CAMBIO DE CARRERA</v>
      </c>
      <c r="F961" s="146" t="n">
        <v>4</v>
      </c>
    </row>
    <row r="962" ht="32" customHeight="1">
      <c r="A962" s="146" t="str">
        <v>IRHU</v>
      </c>
      <c r="B962" s="146" t="str">
        <v>2026</v>
      </c>
      <c r="C962" s="146" t="str">
        <v>2</v>
      </c>
      <c r="D962" s="146" t="str">
        <v>VIGENTE</v>
      </c>
      <c r="E962" s="146" t="str">
        <v>1 - ALUMNO REGULAR</v>
      </c>
      <c r="F962" s="146" t="n">
        <v>4</v>
      </c>
    </row>
    <row r="963" ht="32" customHeight="1">
      <c r="A963" s="146" t="str">
        <v>IRHU</v>
      </c>
      <c r="B963" s="146" t="str">
        <v>2026</v>
      </c>
      <c r="C963" s="146" t="str">
        <v>2</v>
      </c>
      <c r="D963" s="146" t="str">
        <v>VIGENTE</v>
      </c>
      <c r="E963" s="146" t="str">
        <v>38 - REINCORPORACION DE ACTIVIDADES</v>
      </c>
      <c r="F963" s="146" t="n">
        <v>1</v>
      </c>
    </row>
    <row r="964" ht="32" customHeight="1">
      <c r="A964" s="146" t="str">
        <v>IRHU</v>
      </c>
      <c r="B964" s="146" t="str">
        <v>2027</v>
      </c>
      <c r="C964" s="146" t="str">
        <v>1</v>
      </c>
      <c r="D964" s="146" t="str">
        <v>VIGENTE</v>
      </c>
      <c r="E964" s="146" t="str">
        <v>1 - ALUMNO REGULAR</v>
      </c>
      <c r="F964" s="146" t="n">
        <v>4</v>
      </c>
    </row>
    <row r="965" ht="32" customHeight="1">
      <c r="A965" s="146" t="str">
        <v>ISEP</v>
      </c>
      <c r="B965" s="146" t="str">
        <v>2026</v>
      </c>
      <c r="C965" s="146" t="str">
        <v>1</v>
      </c>
      <c r="D965" s="146" t="str">
        <v>ELIMINADO</v>
      </c>
      <c r="E965" s="146" t="str">
        <v>11 - RENUNCIA POST INICIO CLASES</v>
      </c>
      <c r="F965" s="146" t="n">
        <v>4</v>
      </c>
    </row>
    <row r="966" ht="32" customHeight="1">
      <c r="A966" s="146" t="str">
        <v>ISEP</v>
      </c>
      <c r="B966" s="146" t="str">
        <v>2026</v>
      </c>
      <c r="C966" s="146" t="str">
        <v>1</v>
      </c>
      <c r="D966" s="146" t="str">
        <v>ELIMINADO</v>
      </c>
      <c r="E966" s="146" t="str">
        <v>23 - RETIRO - RETRACTO</v>
      </c>
      <c r="F966" s="146" t="n">
        <v>3</v>
      </c>
    </row>
    <row r="967" ht="32" customHeight="1">
      <c r="A967" s="146" t="str">
        <v>ISEP</v>
      </c>
      <c r="B967" s="146" t="str">
        <v>2026</v>
      </c>
      <c r="C967" s="146" t="str">
        <v>1</v>
      </c>
      <c r="D967" s="146" t="str">
        <v>ELIMINADO</v>
      </c>
      <c r="E967" s="146" t="str">
        <v>8 - ELIMINADO SIN ACTIVIDAD ACADÉMICA</v>
      </c>
      <c r="F967" s="146" t="n">
        <v>12</v>
      </c>
    </row>
    <row r="968" ht="32" customHeight="1">
      <c r="A968" s="146" t="str">
        <v>ISEP</v>
      </c>
      <c r="B968" s="146" t="str">
        <v>2026</v>
      </c>
      <c r="C968" s="146" t="str">
        <v>1</v>
      </c>
      <c r="D968" s="146" t="str">
        <v>VIGENTE</v>
      </c>
      <c r="E968" s="146" t="str">
        <v>1 - ALUMNO REGULAR</v>
      </c>
      <c r="F968" s="146" t="n">
        <v>11</v>
      </c>
    </row>
    <row r="969" ht="32" customHeight="1">
      <c r="A969" s="146" t="str">
        <v>ISEP</v>
      </c>
      <c r="B969" s="146" t="str">
        <v>2026</v>
      </c>
      <c r="C969" s="146" t="str">
        <v>1</v>
      </c>
      <c r="D969" s="146" t="str">
        <v>VIGENTE</v>
      </c>
      <c r="E969" s="146" t="str">
        <v>38 - REINCORPORACION DE ACTIVIDADES</v>
      </c>
      <c r="F969" s="146" t="n">
        <v>1</v>
      </c>
    </row>
    <row r="970" ht="32" customHeight="1">
      <c r="A970" s="146" t="str">
        <v>ISEP</v>
      </c>
      <c r="B970" s="146" t="str">
        <v>2027</v>
      </c>
      <c r="C970" s="146" t="str">
        <v>1</v>
      </c>
      <c r="D970" s="146" t="str">
        <v>VIGENTE</v>
      </c>
      <c r="E970" s="146" t="str">
        <v>1 - ALUMNO REGULAR</v>
      </c>
      <c r="F970" s="146" t="n">
        <v>19</v>
      </c>
    </row>
    <row r="971" ht="32" customHeight="1">
      <c r="A971" s="146" t="str">
        <v>NATP</v>
      </c>
      <c r="B971" s="146" t="str">
        <v>2025</v>
      </c>
      <c r="C971" s="146" t="str">
        <v>2</v>
      </c>
      <c r="D971" s="146" t="str">
        <v>ELIMINADO</v>
      </c>
      <c r="E971" s="146" t="str">
        <v>23 - RETIRO - RETRACTO</v>
      </c>
      <c r="F971" s="146" t="n">
        <v>2</v>
      </c>
    </row>
    <row r="972" ht="32" customHeight="1">
      <c r="A972" s="146" t="str">
        <v>NATP</v>
      </c>
      <c r="B972" s="146" t="str">
        <v>2026</v>
      </c>
      <c r="C972" s="146" t="str">
        <v>1</v>
      </c>
      <c r="D972" s="146" t="str">
        <v>ELIMINADO</v>
      </c>
      <c r="E972" s="146" t="str">
        <v>11 - RENUNCIA POST INICIO CLASES</v>
      </c>
      <c r="F972" s="146" t="n">
        <v>5</v>
      </c>
    </row>
    <row r="973" ht="32" customHeight="1">
      <c r="A973" s="146" t="str">
        <v>NATP</v>
      </c>
      <c r="B973" s="146" t="str">
        <v>2026</v>
      </c>
      <c r="C973" s="146" t="str">
        <v>1</v>
      </c>
      <c r="D973" s="146" t="str">
        <v>ELIMINADO</v>
      </c>
      <c r="E973" s="146" t="str">
        <v>23 - RETIRO - RETRACTO</v>
      </c>
      <c r="F973" s="146" t="n">
        <v>11</v>
      </c>
    </row>
    <row r="974" ht="32" customHeight="1">
      <c r="A974" s="146" t="str">
        <v>NATP</v>
      </c>
      <c r="B974" s="146" t="str">
        <v>2026</v>
      </c>
      <c r="C974" s="146" t="str">
        <v>1</v>
      </c>
      <c r="D974" s="146" t="str">
        <v>VIGENTE</v>
      </c>
      <c r="E974" s="146" t="str">
        <v>1 - ALUMNO REGULAR</v>
      </c>
      <c r="F974" s="146" t="n">
        <v>17</v>
      </c>
    </row>
    <row r="975" ht="32" customHeight="1">
      <c r="A975" s="146" t="str">
        <v>NATP</v>
      </c>
      <c r="B975" s="146" t="str">
        <v>2027</v>
      </c>
      <c r="C975" s="146" t="str">
        <v>1</v>
      </c>
      <c r="D975" s="146" t="str">
        <v>VIGENTE</v>
      </c>
      <c r="E975" s="146" t="str">
        <v>1 - ALUMNO REGULAR</v>
      </c>
      <c r="F975" s="146" t="n">
        <v>5</v>
      </c>
    </row>
    <row r="976" ht="32" customHeight="1">
      <c r="A976" s="146" t="str">
        <v>NAUTRE</v>
      </c>
      <c r="B976" s="146" t="str">
        <v>2019</v>
      </c>
      <c r="C976" s="146" t="str">
        <v>1</v>
      </c>
      <c r="D976" s="146" t="str">
        <v>ELIMINADO</v>
      </c>
      <c r="E976" s="146" t="str">
        <v>1 - ALUMNO REGULAR</v>
      </c>
      <c r="F976" s="146" t="n">
        <v>2</v>
      </c>
    </row>
    <row r="977" ht="32" customHeight="1">
      <c r="A977" s="146" t="str">
        <v>NAUTRE</v>
      </c>
      <c r="B977" s="146" t="str">
        <v>2019</v>
      </c>
      <c r="C977" s="146" t="str">
        <v>1</v>
      </c>
      <c r="D977" s="146" t="str">
        <v>TITULADO</v>
      </c>
      <c r="E977" s="146" t="str">
        <v>31 - TITULADO APROBADO</v>
      </c>
      <c r="F977" s="146" t="n">
        <v>3</v>
      </c>
    </row>
    <row r="978" ht="32" customHeight="1">
      <c r="A978" s="146" t="str">
        <v>NAUTRE</v>
      </c>
      <c r="B978" s="146" t="str">
        <v>2020</v>
      </c>
      <c r="C978" s="146" t="str">
        <v>1</v>
      </c>
      <c r="D978" s="146" t="str">
        <v>TITULADO</v>
      </c>
      <c r="E978" s="146" t="str">
        <v>31 - TITULADO APROBADO</v>
      </c>
      <c r="F978" s="146" t="n">
        <v>1</v>
      </c>
    </row>
    <row r="979" ht="32" customHeight="1">
      <c r="A979" s="146" t="str">
        <v>NAUTRE</v>
      </c>
      <c r="B979" s="146" t="str">
        <v>2021</v>
      </c>
      <c r="C979" s="146" t="str">
        <v>1</v>
      </c>
      <c r="D979" s="146" t="str">
        <v>TITULADO</v>
      </c>
      <c r="E979" s="146" t="str">
        <v>31 - TITULADO APROBADO</v>
      </c>
      <c r="F979" s="146" t="n">
        <v>2</v>
      </c>
    </row>
    <row r="980" ht="32" customHeight="1">
      <c r="A980" s="146" t="str">
        <v>NCONRE</v>
      </c>
      <c r="B980" s="146" t="str">
        <v>2018</v>
      </c>
      <c r="C980" s="146" t="str">
        <v>1</v>
      </c>
      <c r="D980" s="146" t="str">
        <v>ELIMINADO</v>
      </c>
      <c r="E980" s="146" t="str">
        <v>23 - RETIRO - RETRACTO</v>
      </c>
      <c r="F980" s="146" t="n">
        <v>3</v>
      </c>
    </row>
    <row r="981" ht="32" customHeight="1">
      <c r="A981" s="146" t="str">
        <v>NCONRE</v>
      </c>
      <c r="B981" s="146" t="str">
        <v>2018</v>
      </c>
      <c r="C981" s="146" t="str">
        <v>1</v>
      </c>
      <c r="D981" s="146" t="str">
        <v>ELIMINADO</v>
      </c>
      <c r="E981" s="146" t="str">
        <v>3 - ELIMINACION AUTOMATICA</v>
      </c>
      <c r="F981" s="146" t="n">
        <v>10</v>
      </c>
    </row>
    <row r="982" ht="32" customHeight="1">
      <c r="A982" s="146" t="str">
        <v>NCONRE</v>
      </c>
      <c r="B982" s="146" t="str">
        <v>2018</v>
      </c>
      <c r="C982" s="146" t="str">
        <v>2</v>
      </c>
      <c r="D982" s="146" t="str">
        <v>ELIMINADO</v>
      </c>
      <c r="E982" s="146" t="str">
        <v>24 - CAMBIO DE CARRERA</v>
      </c>
      <c r="F982" s="146" t="n">
        <v>1</v>
      </c>
    </row>
    <row r="983" ht="32" customHeight="1">
      <c r="A983" s="146" t="str">
        <v>NCONRE</v>
      </c>
      <c r="B983" s="146" t="str">
        <v>2018</v>
      </c>
      <c r="C983" s="146" t="str">
        <v>2</v>
      </c>
      <c r="D983" s="146" t="str">
        <v>ELIMINADO</v>
      </c>
      <c r="E983" s="146" t="str">
        <v>3 - ELIMINACION AUTOMATICA</v>
      </c>
      <c r="F983" s="146" t="n">
        <v>1</v>
      </c>
    </row>
    <row r="984" ht="32" customHeight="1">
      <c r="A984" s="146" t="str">
        <v>NCONRE</v>
      </c>
      <c r="B984" s="146" t="str">
        <v>2019</v>
      </c>
      <c r="C984" s="146" t="str">
        <v>1</v>
      </c>
      <c r="D984" s="146" t="str">
        <v>ELIMINADO</v>
      </c>
      <c r="E984" s="146" t="str">
        <v>1 - ALUMNO REGULAR</v>
      </c>
      <c r="F984" s="146" t="n">
        <v>3</v>
      </c>
    </row>
    <row r="985" ht="32" customHeight="1">
      <c r="A985" s="146" t="str">
        <v>NCONRE</v>
      </c>
      <c r="B985" s="146" t="str">
        <v>2019</v>
      </c>
      <c r="C985" s="146" t="str">
        <v>1</v>
      </c>
      <c r="D985" s="146" t="str">
        <v>ELIMINADO</v>
      </c>
      <c r="E985" s="146" t="str">
        <v>23 - RETIRO - RETRACTO</v>
      </c>
      <c r="F985" s="146" t="n">
        <v>2</v>
      </c>
    </row>
    <row r="986" ht="32" customHeight="1">
      <c r="A986" s="146" t="str">
        <v>NCONRE</v>
      </c>
      <c r="B986" s="146" t="str">
        <v>2019</v>
      </c>
      <c r="C986" s="146" t="str">
        <v>1</v>
      </c>
      <c r="D986" s="146" t="str">
        <v>ELIMINADO</v>
      </c>
      <c r="E986" s="146" t="str">
        <v>24 - CAMBIO DE CARRERA</v>
      </c>
      <c r="F986" s="146" t="n">
        <v>4</v>
      </c>
    </row>
    <row r="987" ht="32" customHeight="1">
      <c r="A987" s="146" t="str">
        <v>NCONRE</v>
      </c>
      <c r="B987" s="146" t="str">
        <v>2019</v>
      </c>
      <c r="C987" s="146" t="str">
        <v>1</v>
      </c>
      <c r="D987" s="146" t="str">
        <v>ELIMINADO</v>
      </c>
      <c r="E987" s="146" t="str">
        <v>3 - ELIMINACION AUTOMATICA</v>
      </c>
      <c r="F987" s="146" t="n">
        <v>1</v>
      </c>
    </row>
    <row r="988" ht="32" customHeight="1">
      <c r="A988" s="146" t="str">
        <v>NCONRE</v>
      </c>
      <c r="B988" s="146" t="str">
        <v>2019</v>
      </c>
      <c r="C988" s="146" t="str">
        <v>1</v>
      </c>
      <c r="D988" s="146" t="str">
        <v>TITULADO</v>
      </c>
      <c r="E988" s="146" t="str">
        <v>31 - TITULADO APROBADO</v>
      </c>
      <c r="F988" s="146" t="n">
        <v>51</v>
      </c>
    </row>
    <row r="989" ht="32" customHeight="1">
      <c r="A989" s="146" t="str">
        <v>NCONRE</v>
      </c>
      <c r="B989" s="146" t="str">
        <v>2020</v>
      </c>
      <c r="C989" s="146" t="str">
        <v>1</v>
      </c>
      <c r="D989" s="146" t="str">
        <v>ELIMINADO</v>
      </c>
      <c r="E989" s="146" t="str">
        <v>24 - CAMBIO DE CARRERA</v>
      </c>
      <c r="F989" s="146" t="n">
        <v>1</v>
      </c>
    </row>
    <row r="990" ht="32" customHeight="1">
      <c r="A990" s="146" t="str">
        <v>NCONRE</v>
      </c>
      <c r="B990" s="146" t="str">
        <v>2020</v>
      </c>
      <c r="C990" s="146" t="str">
        <v>1</v>
      </c>
      <c r="D990" s="146" t="str">
        <v>ELIMINADO</v>
      </c>
      <c r="E990" s="146" t="str">
        <v>3 - ELIMINACION AUTOMATICA</v>
      </c>
      <c r="F990" s="146" t="n">
        <v>1</v>
      </c>
    </row>
    <row r="991" ht="32" customHeight="1">
      <c r="A991" s="146" t="str">
        <v>NCONRE</v>
      </c>
      <c r="B991" s="146" t="str">
        <v>2020</v>
      </c>
      <c r="C991" s="146" t="str">
        <v>1</v>
      </c>
      <c r="D991" s="146" t="str">
        <v>TITULADO</v>
      </c>
      <c r="E991" s="146" t="str">
        <v>31 - TITULADO APROBADO</v>
      </c>
      <c r="F991" s="146" t="n">
        <v>26</v>
      </c>
    </row>
    <row r="992" ht="32" customHeight="1">
      <c r="A992" s="146" t="str">
        <v>NCONRE</v>
      </c>
      <c r="B992" s="146" t="str">
        <v>2020</v>
      </c>
      <c r="C992" s="146" t="str">
        <v>2</v>
      </c>
      <c r="D992" s="146" t="str">
        <v>TITULADO</v>
      </c>
      <c r="E992" s="146" t="str">
        <v>31 - TITULADO APROBADO</v>
      </c>
      <c r="F992" s="146" t="n">
        <v>2</v>
      </c>
    </row>
    <row r="993" ht="32" customHeight="1">
      <c r="A993" s="146" t="str">
        <v>NCONRE</v>
      </c>
      <c r="B993" s="146" t="str">
        <v>2021</v>
      </c>
      <c r="C993" s="146" t="str">
        <v>1</v>
      </c>
      <c r="D993" s="146" t="str">
        <v>ELIMINADO</v>
      </c>
      <c r="E993" s="146" t="str">
        <v>24 - CAMBIO DE CARRERA</v>
      </c>
      <c r="F993" s="146" t="n">
        <v>2</v>
      </c>
    </row>
    <row r="994" ht="32" customHeight="1">
      <c r="A994" s="146" t="str">
        <v>NCONRE</v>
      </c>
      <c r="B994" s="146" t="str">
        <v>2021</v>
      </c>
      <c r="C994" s="146" t="str">
        <v>1</v>
      </c>
      <c r="D994" s="146" t="str">
        <v>TITULADO</v>
      </c>
      <c r="E994" s="146" t="str">
        <v>31 - TITULADO APROBADO</v>
      </c>
      <c r="F994" s="146" t="n">
        <v>19</v>
      </c>
    </row>
    <row r="995" ht="32" customHeight="1">
      <c r="A995" s="146" t="str">
        <v>NCONRE</v>
      </c>
      <c r="B995" s="146" t="str">
        <v>2021</v>
      </c>
      <c r="C995" s="146" t="str">
        <v>2</v>
      </c>
      <c r="D995" s="146" t="str">
        <v>ELIMINADO</v>
      </c>
      <c r="E995" s="146" t="str">
        <v>24 - CAMBIO DE CARRERA</v>
      </c>
      <c r="F995" s="146" t="n">
        <v>1</v>
      </c>
    </row>
    <row r="996" ht="32" customHeight="1">
      <c r="A996" s="146" t="str">
        <v>NCONRE</v>
      </c>
      <c r="B996" s="146" t="str">
        <v>2022</v>
      </c>
      <c r="C996" s="146" t="str">
        <v>1</v>
      </c>
      <c r="D996" s="146" t="str">
        <v>ELIMINADO</v>
      </c>
      <c r="E996" s="146" t="str">
        <v>1 - ALUMNO REGULAR</v>
      </c>
      <c r="F996" s="146" t="n">
        <v>1</v>
      </c>
    </row>
    <row r="997" ht="32" customHeight="1">
      <c r="A997" s="146" t="str">
        <v>NCONRE</v>
      </c>
      <c r="B997" s="146" t="str">
        <v>2022</v>
      </c>
      <c r="C997" s="146" t="str">
        <v>1</v>
      </c>
      <c r="D997" s="146" t="str">
        <v>TITULADO</v>
      </c>
      <c r="E997" s="146" t="str">
        <v>31 - TITULADO APROBADO</v>
      </c>
      <c r="F997" s="146" t="n">
        <v>1</v>
      </c>
    </row>
    <row r="998" ht="32" customHeight="1">
      <c r="A998" s="146" t="str">
        <v>NCONREOL</v>
      </c>
      <c r="B998" s="146" t="str">
        <v>2019</v>
      </c>
      <c r="C998" s="146" t="str">
        <v>1</v>
      </c>
      <c r="D998" s="146" t="str">
        <v>ELIMINADO</v>
      </c>
      <c r="E998" s="146" t="str">
        <v>1 - ALUMNO REGULAR</v>
      </c>
      <c r="F998" s="146" t="n">
        <v>1</v>
      </c>
    </row>
    <row r="999" ht="32" customHeight="1">
      <c r="A999" s="146" t="str">
        <v>NCONREOL</v>
      </c>
      <c r="B999" s="146" t="str">
        <v>2019</v>
      </c>
      <c r="C999" s="146" t="str">
        <v>1</v>
      </c>
      <c r="D999" s="146" t="str">
        <v>ELIMINADO</v>
      </c>
      <c r="E999" s="146" t="str">
        <v>23 - RETIRO - RETRACTO</v>
      </c>
      <c r="F999" s="146" t="n">
        <v>1</v>
      </c>
    </row>
    <row r="1000" ht="32" customHeight="1">
      <c r="A1000" s="146" t="str">
        <v>NCONREOL</v>
      </c>
      <c r="B1000" s="146" t="str">
        <v>2019</v>
      </c>
      <c r="C1000" s="146" t="str">
        <v>2</v>
      </c>
      <c r="D1000" s="146" t="str">
        <v>ELIMINADO</v>
      </c>
      <c r="E1000" s="146" t="str">
        <v>1 - ALUMNO REGULAR</v>
      </c>
      <c r="F1000" s="146" t="n">
        <v>1</v>
      </c>
    </row>
    <row r="1001" ht="32" customHeight="1">
      <c r="A1001" s="146" t="str">
        <v>NCONREOL</v>
      </c>
      <c r="B1001" s="146" t="str">
        <v>2020</v>
      </c>
      <c r="C1001" s="146" t="str">
        <v>1</v>
      </c>
      <c r="D1001" s="146" t="str">
        <v>ELIMINADO</v>
      </c>
      <c r="E1001" s="146" t="str">
        <v>24 - CAMBIO DE CARRERA</v>
      </c>
      <c r="F1001" s="146" t="n">
        <v>1</v>
      </c>
    </row>
    <row r="1002" ht="32" customHeight="1">
      <c r="A1002" s="146" t="str">
        <v>NCONREOL</v>
      </c>
      <c r="B1002" s="146" t="str">
        <v>2020</v>
      </c>
      <c r="C1002" s="146" t="str">
        <v>1</v>
      </c>
      <c r="D1002" s="146" t="str">
        <v>ELIMINADO</v>
      </c>
      <c r="E1002" s="146" t="str">
        <v>3 - ELIMINACION AUTOMATICA</v>
      </c>
      <c r="F1002" s="146" t="n">
        <v>1</v>
      </c>
    </row>
    <row r="1003" ht="32" customHeight="1">
      <c r="A1003" s="146" t="str">
        <v>NCONREOL</v>
      </c>
      <c r="B1003" s="146" t="str">
        <v>2020</v>
      </c>
      <c r="C1003" s="146" t="str">
        <v>1</v>
      </c>
      <c r="D1003" s="146" t="str">
        <v>TITULADO</v>
      </c>
      <c r="E1003" s="146" t="str">
        <v>31 - TITULADO APROBADO</v>
      </c>
      <c r="F1003" s="146" t="n">
        <v>11</v>
      </c>
    </row>
    <row r="1004" ht="32" customHeight="1">
      <c r="A1004" s="146" t="str">
        <v>NCONREOL</v>
      </c>
      <c r="B1004" s="146" t="str">
        <v>2020</v>
      </c>
      <c r="C1004" s="146" t="str">
        <v>2</v>
      </c>
      <c r="D1004" s="146" t="str">
        <v>ELIMINADO</v>
      </c>
      <c r="E1004" s="146" t="str">
        <v>24 - CAMBIO DE CARRERA</v>
      </c>
      <c r="F1004" s="146" t="n">
        <v>1</v>
      </c>
    </row>
    <row r="1005" ht="32" customHeight="1">
      <c r="A1005" s="146" t="str">
        <v>NCONREOL</v>
      </c>
      <c r="B1005" s="146" t="str">
        <v>2020</v>
      </c>
      <c r="C1005" s="146" t="str">
        <v>2</v>
      </c>
      <c r="D1005" s="146" t="str">
        <v>ELIMINADO</v>
      </c>
      <c r="E1005" s="146" t="str">
        <v>3 - ELIMINACION AUTOMATICA</v>
      </c>
      <c r="F1005" s="146" t="n">
        <v>2</v>
      </c>
    </row>
    <row r="1006" ht="32" customHeight="1">
      <c r="A1006" s="146" t="str">
        <v>NCONREOL</v>
      </c>
      <c r="B1006" s="146" t="str">
        <v>2021</v>
      </c>
      <c r="C1006" s="146" t="str">
        <v>1</v>
      </c>
      <c r="D1006" s="146" t="str">
        <v>ELIMINADO</v>
      </c>
      <c r="E1006" s="146" t="str">
        <v>24 - CAMBIO DE CARRERA</v>
      </c>
      <c r="F1006" s="146" t="n">
        <v>1</v>
      </c>
    </row>
    <row r="1007" ht="32" customHeight="1">
      <c r="A1007" s="146" t="str">
        <v>NCONREOL</v>
      </c>
      <c r="B1007" s="146" t="str">
        <v>2021</v>
      </c>
      <c r="C1007" s="146" t="str">
        <v>1</v>
      </c>
      <c r="D1007" s="146" t="str">
        <v>TITULADO</v>
      </c>
      <c r="E1007" s="146" t="str">
        <v>31 - TITULADO APROBADO</v>
      </c>
      <c r="F1007" s="146" t="n">
        <v>38</v>
      </c>
    </row>
    <row r="1008" ht="32" customHeight="1">
      <c r="A1008" s="146" t="str">
        <v>NCONREOL</v>
      </c>
      <c r="B1008" s="146" t="str">
        <v>2022</v>
      </c>
      <c r="C1008" s="146" t="str">
        <v>1</v>
      </c>
      <c r="D1008" s="146" t="str">
        <v>TITULADO</v>
      </c>
      <c r="E1008" s="146" t="str">
        <v>31 - TITULADO APROBADO</v>
      </c>
      <c r="F1008" s="146" t="n">
        <v>7</v>
      </c>
    </row>
    <row r="1009" ht="32" customHeight="1">
      <c r="A1009" s="146" t="str">
        <v>NECIRE</v>
      </c>
      <c r="B1009" s="146" t="str">
        <v>2013</v>
      </c>
      <c r="C1009" s="146" t="str">
        <v>1</v>
      </c>
      <c r="D1009" s="146" t="str">
        <v>ELIMINADO</v>
      </c>
      <c r="E1009" s="146" t="str">
        <v>24 - CAMBIO DE CARRERA</v>
      </c>
      <c r="F1009" s="146" t="n">
        <v>3</v>
      </c>
    </row>
    <row r="1010" ht="32" customHeight="1">
      <c r="A1010" s="146" t="str">
        <v>NECIRE</v>
      </c>
      <c r="B1010" s="146" t="str">
        <v>2013</v>
      </c>
      <c r="C1010" s="146" t="str">
        <v>1</v>
      </c>
      <c r="D1010" s="146" t="str">
        <v>TITULADO</v>
      </c>
      <c r="E1010" s="146" t="str">
        <v>31 - TITULADO APROBADO</v>
      </c>
      <c r="F1010" s="146" t="n">
        <v>2</v>
      </c>
    </row>
    <row r="1011" ht="32" customHeight="1">
      <c r="A1011" s="146" t="str">
        <v>NECIRE</v>
      </c>
      <c r="B1011" s="146" t="str">
        <v>2013</v>
      </c>
      <c r="C1011" s="146" t="str">
        <v>2</v>
      </c>
      <c r="D1011" s="146" t="str">
        <v>ELIMINADO</v>
      </c>
      <c r="E1011" s="146" t="str">
        <v>24 - CAMBIO DE CARRERA</v>
      </c>
      <c r="F1011" s="146" t="n">
        <v>2</v>
      </c>
    </row>
    <row r="1012" ht="32" customHeight="1">
      <c r="A1012" s="146" t="str">
        <v>NECIRE</v>
      </c>
      <c r="B1012" s="146" t="str">
        <v>2014</v>
      </c>
      <c r="C1012" s="146" t="str">
        <v>1</v>
      </c>
      <c r="D1012" s="146" t="str">
        <v>ELIMINADO</v>
      </c>
      <c r="E1012" s="146" t="str">
        <v>24 - CAMBIO DE CARRERA</v>
      </c>
      <c r="F1012" s="146" t="n">
        <v>2</v>
      </c>
    </row>
    <row r="1013" ht="32" customHeight="1">
      <c r="A1013" s="146" t="str">
        <v>NECIRE</v>
      </c>
      <c r="B1013" s="146" t="str">
        <v>2014</v>
      </c>
      <c r="C1013" s="146" t="str">
        <v>1</v>
      </c>
      <c r="D1013" s="146" t="str">
        <v>TITULADO</v>
      </c>
      <c r="E1013" s="146" t="str">
        <v>31 - TITULADO APROBADO</v>
      </c>
      <c r="F1013" s="146" t="n">
        <v>3</v>
      </c>
    </row>
    <row r="1014" ht="32" customHeight="1">
      <c r="A1014" s="146" t="str">
        <v>NECIRE</v>
      </c>
      <c r="B1014" s="146" t="str">
        <v>2014</v>
      </c>
      <c r="C1014" s="146" t="str">
        <v>2</v>
      </c>
      <c r="D1014" s="146" t="str">
        <v>TITULADO</v>
      </c>
      <c r="E1014" s="146" t="str">
        <v>31 - TITULADO APROBADO</v>
      </c>
      <c r="F1014" s="146" t="n">
        <v>2</v>
      </c>
    </row>
    <row r="1015" ht="32" customHeight="1">
      <c r="A1015" s="146" t="str">
        <v>NECIRE</v>
      </c>
      <c r="B1015" s="146" t="str">
        <v>2015</v>
      </c>
      <c r="C1015" s="146" t="str">
        <v>1</v>
      </c>
      <c r="D1015" s="146" t="str">
        <v>ELIMINADO</v>
      </c>
      <c r="E1015" s="146" t="str">
        <v>24 - CAMBIO DE CARRERA</v>
      </c>
      <c r="F1015" s="146" t="n">
        <v>7</v>
      </c>
    </row>
    <row r="1016" ht="32" customHeight="1">
      <c r="A1016" s="146" t="str">
        <v>NECIRE</v>
      </c>
      <c r="B1016" s="146" t="str">
        <v>2015</v>
      </c>
      <c r="C1016" s="146" t="str">
        <v>1</v>
      </c>
      <c r="D1016" s="146" t="str">
        <v>ELIMINADO</v>
      </c>
      <c r="E1016" s="146" t="str">
        <v>3 - ELIMINACION AUTOMATICA</v>
      </c>
      <c r="F1016" s="146" t="n">
        <v>1</v>
      </c>
    </row>
    <row r="1017" ht="32" customHeight="1">
      <c r="A1017" s="146" t="str">
        <v>NECIRE</v>
      </c>
      <c r="B1017" s="146" t="str">
        <v>2015</v>
      </c>
      <c r="C1017" s="146" t="str">
        <v>1</v>
      </c>
      <c r="D1017" s="146" t="str">
        <v>TITULADO</v>
      </c>
      <c r="E1017" s="146" t="str">
        <v>31 - TITULADO APROBADO</v>
      </c>
      <c r="F1017" s="146" t="n">
        <v>3</v>
      </c>
    </row>
    <row r="1018" ht="32" customHeight="1">
      <c r="A1018" s="146" t="str">
        <v>NECIRE</v>
      </c>
      <c r="B1018" s="146" t="str">
        <v>2015</v>
      </c>
      <c r="C1018" s="146" t="str">
        <v>2</v>
      </c>
      <c r="D1018" s="146" t="str">
        <v>TITULADO</v>
      </c>
      <c r="E1018" s="146" t="str">
        <v>31 - TITULADO APROBADO</v>
      </c>
      <c r="F1018" s="146" t="n">
        <v>1</v>
      </c>
    </row>
    <row r="1019" ht="32" customHeight="1">
      <c r="A1019" s="146" t="str">
        <v>NECIRE</v>
      </c>
      <c r="B1019" s="146" t="str">
        <v>2016</v>
      </c>
      <c r="C1019" s="146" t="str">
        <v>1</v>
      </c>
      <c r="D1019" s="146" t="str">
        <v>ELIMINADO</v>
      </c>
      <c r="E1019" s="146" t="str">
        <v>23 - RETIRO - RETRACTO</v>
      </c>
      <c r="F1019" s="146" t="n">
        <v>1</v>
      </c>
    </row>
    <row r="1020" ht="32" customHeight="1">
      <c r="A1020" s="146" t="str">
        <v>NECIRE</v>
      </c>
      <c r="B1020" s="146" t="str">
        <v>2016</v>
      </c>
      <c r="C1020" s="146" t="str">
        <v>1</v>
      </c>
      <c r="D1020" s="146" t="str">
        <v>ELIMINADO</v>
      </c>
      <c r="E1020" s="146" t="str">
        <v>3 - ELIMINACION AUTOMATICA</v>
      </c>
      <c r="F1020" s="146" t="n">
        <v>8</v>
      </c>
    </row>
    <row r="1021" ht="32" customHeight="1">
      <c r="A1021" s="146" t="str">
        <v>NECIRE</v>
      </c>
      <c r="B1021" s="146" t="str">
        <v>2016</v>
      </c>
      <c r="C1021" s="146" t="str">
        <v>1</v>
      </c>
      <c r="D1021" s="146" t="str">
        <v>TITULADO</v>
      </c>
      <c r="E1021" s="146" t="str">
        <v>31 - TITULADO APROBADO</v>
      </c>
      <c r="F1021" s="146" t="n">
        <v>11</v>
      </c>
    </row>
    <row r="1022" ht="32" customHeight="1">
      <c r="A1022" s="146" t="str">
        <v>NECIRE</v>
      </c>
      <c r="B1022" s="146" t="str">
        <v>2016</v>
      </c>
      <c r="C1022" s="146" t="str">
        <v>2</v>
      </c>
      <c r="D1022" s="146" t="str">
        <v>TITULADO</v>
      </c>
      <c r="E1022" s="146" t="str">
        <v>31 - TITULADO APROBADO</v>
      </c>
      <c r="F1022" s="146" t="n">
        <v>1</v>
      </c>
    </row>
    <row r="1023" ht="32" customHeight="1">
      <c r="A1023" s="146" t="str">
        <v>NECIRE</v>
      </c>
      <c r="B1023" s="146" t="str">
        <v>2017</v>
      </c>
      <c r="C1023" s="146" t="str">
        <v>1</v>
      </c>
      <c r="D1023" s="146" t="str">
        <v>ELIMINADO</v>
      </c>
      <c r="E1023" s="146" t="str">
        <v>23 - RETIRO - RETRACTO</v>
      </c>
      <c r="F1023" s="146" t="n">
        <v>1</v>
      </c>
    </row>
    <row r="1024" ht="32" customHeight="1">
      <c r="A1024" s="146" t="str">
        <v>NECIRE</v>
      </c>
      <c r="B1024" s="146" t="str">
        <v>2017</v>
      </c>
      <c r="C1024" s="146" t="str">
        <v>1</v>
      </c>
      <c r="D1024" s="146" t="str">
        <v>ELIMINADO</v>
      </c>
      <c r="E1024" s="146" t="str">
        <v>3 - ELIMINACION AUTOMATICA</v>
      </c>
      <c r="F1024" s="146" t="n">
        <v>3</v>
      </c>
    </row>
    <row r="1025" ht="32" customHeight="1">
      <c r="A1025" s="146" t="str">
        <v>NECIRE</v>
      </c>
      <c r="B1025" s="146" t="str">
        <v>2017</v>
      </c>
      <c r="C1025" s="146" t="str">
        <v>1</v>
      </c>
      <c r="D1025" s="146" t="str">
        <v>TITULADO</v>
      </c>
      <c r="E1025" s="146" t="str">
        <v>31 - TITULADO APROBADO</v>
      </c>
      <c r="F1025" s="146" t="n">
        <v>12</v>
      </c>
    </row>
    <row r="1026" ht="32" customHeight="1">
      <c r="A1026" s="146" t="str">
        <v>NECIRE</v>
      </c>
      <c r="B1026" s="146" t="str">
        <v>2018</v>
      </c>
      <c r="C1026" s="146" t="str">
        <v>1</v>
      </c>
      <c r="D1026" s="146" t="str">
        <v>ELIMINADO</v>
      </c>
      <c r="E1026" s="146" t="str">
        <v>23 - RETIRO - RETRACTO</v>
      </c>
      <c r="F1026" s="146" t="n">
        <v>1</v>
      </c>
    </row>
    <row r="1027" ht="32" customHeight="1">
      <c r="A1027" s="146" t="str">
        <v>NECIRE</v>
      </c>
      <c r="B1027" s="146" t="str">
        <v>2018</v>
      </c>
      <c r="C1027" s="146" t="str">
        <v>1</v>
      </c>
      <c r="D1027" s="146" t="str">
        <v>ELIMINADO</v>
      </c>
      <c r="E1027" s="146" t="str">
        <v>3 - ELIMINACION AUTOMATICA</v>
      </c>
      <c r="F1027" s="146" t="n">
        <v>1</v>
      </c>
    </row>
    <row r="1028" ht="32" customHeight="1">
      <c r="A1028" s="146" t="str">
        <v>NECIRE</v>
      </c>
      <c r="B1028" s="146" t="str">
        <v>2018</v>
      </c>
      <c r="C1028" s="146" t="str">
        <v>1</v>
      </c>
      <c r="D1028" s="146" t="str">
        <v>TITULADO</v>
      </c>
      <c r="E1028" s="146" t="str">
        <v>31 - TITULADO APROBADO</v>
      </c>
      <c r="F1028" s="146" t="n">
        <v>8</v>
      </c>
    </row>
    <row r="1029" ht="32" customHeight="1">
      <c r="A1029" s="146" t="str">
        <v>NECIRE</v>
      </c>
      <c r="B1029" s="146" t="str">
        <v>2018</v>
      </c>
      <c r="C1029" s="146" t="str">
        <v>2</v>
      </c>
      <c r="D1029" s="146" t="str">
        <v>TITULADO</v>
      </c>
      <c r="E1029" s="146" t="str">
        <v>31 - TITULADO APROBADO</v>
      </c>
      <c r="F1029" s="146" t="n">
        <v>2</v>
      </c>
    </row>
    <row r="1030" ht="32" customHeight="1">
      <c r="A1030" s="146" t="str">
        <v>NECIRE</v>
      </c>
      <c r="B1030" s="146" t="str">
        <v>2019</v>
      </c>
      <c r="C1030" s="146" t="str">
        <v>1</v>
      </c>
      <c r="D1030" s="146" t="str">
        <v>ELIMINADO</v>
      </c>
      <c r="E1030" s="146" t="str">
        <v>2 - SUSPENSIÓN TEMPORAL</v>
      </c>
      <c r="F1030" s="146" t="n">
        <v>2</v>
      </c>
    </row>
    <row r="1031" ht="32" customHeight="1">
      <c r="A1031" s="146" t="str">
        <v>NECIRE</v>
      </c>
      <c r="B1031" s="146" t="str">
        <v>2019</v>
      </c>
      <c r="C1031" s="146" t="str">
        <v>1</v>
      </c>
      <c r="D1031" s="146" t="str">
        <v>ELIMINADO</v>
      </c>
      <c r="E1031" s="146" t="str">
        <v>3 - ELIMINACION AUTOMATICA</v>
      </c>
      <c r="F1031" s="146" t="n">
        <v>1</v>
      </c>
    </row>
    <row r="1032" ht="32" customHeight="1">
      <c r="A1032" s="146" t="str">
        <v>NECIRE</v>
      </c>
      <c r="B1032" s="146" t="str">
        <v>2019</v>
      </c>
      <c r="C1032" s="146" t="str">
        <v>1</v>
      </c>
      <c r="D1032" s="146" t="str">
        <v>TITULADO</v>
      </c>
      <c r="E1032" s="146" t="str">
        <v>31 - TITULADO APROBADO</v>
      </c>
      <c r="F1032" s="146" t="n">
        <v>11</v>
      </c>
    </row>
    <row r="1033" ht="32" customHeight="1">
      <c r="A1033" s="146" t="str">
        <v>NECIRE</v>
      </c>
      <c r="B1033" s="146" t="str">
        <v>2020</v>
      </c>
      <c r="C1033" s="146" t="str">
        <v>1</v>
      </c>
      <c r="D1033" s="146" t="str">
        <v>TITULADO</v>
      </c>
      <c r="E1033" s="146" t="str">
        <v>31 - TITULADO APROBADO</v>
      </c>
      <c r="F1033" s="146" t="n">
        <v>1</v>
      </c>
    </row>
    <row r="1034" ht="32" customHeight="1">
      <c r="A1034" s="146" t="str">
        <v>NECIRE</v>
      </c>
      <c r="B1034" s="146" t="str">
        <v>2021</v>
      </c>
      <c r="C1034" s="146" t="str">
        <v>1</v>
      </c>
      <c r="D1034" s="146" t="str">
        <v>ELIMINADO</v>
      </c>
      <c r="E1034" s="146" t="str">
        <v>1 - ALUMNO REGULAR</v>
      </c>
      <c r="F1034" s="146" t="n">
        <v>1</v>
      </c>
    </row>
    <row r="1035" ht="32" customHeight="1">
      <c r="A1035" s="146" t="str">
        <v>NECIRE</v>
      </c>
      <c r="B1035" s="146" t="str">
        <v>2021</v>
      </c>
      <c r="C1035" s="146" t="str">
        <v>1</v>
      </c>
      <c r="D1035" s="146" t="str">
        <v>TITULADO</v>
      </c>
      <c r="E1035" s="146" t="str">
        <v>31 - TITULADO APROBADO</v>
      </c>
      <c r="F1035" s="146" t="n">
        <v>2</v>
      </c>
    </row>
    <row r="1036" ht="32" customHeight="1">
      <c r="A1036" s="146" t="str">
        <v>NETMRE</v>
      </c>
      <c r="B1036" s="146" t="str">
        <v>2013</v>
      </c>
      <c r="C1036" s="146" t="str">
        <v>1</v>
      </c>
      <c r="D1036" s="146" t="str">
        <v>ELIMINADO</v>
      </c>
      <c r="E1036" s="146" t="str">
        <v>23 - RETIRO - RETRACTO</v>
      </c>
      <c r="F1036" s="146" t="n">
        <v>2</v>
      </c>
    </row>
    <row r="1037" ht="32" customHeight="1">
      <c r="A1037" s="146" t="str">
        <v>NETMRE</v>
      </c>
      <c r="B1037" s="146" t="str">
        <v>2013</v>
      </c>
      <c r="C1037" s="146" t="str">
        <v>1</v>
      </c>
      <c r="D1037" s="146" t="str">
        <v>ELIMINADO</v>
      </c>
      <c r="E1037" s="146" t="str">
        <v>24 - CAMBIO DE CARRERA</v>
      </c>
      <c r="F1037" s="146" t="n">
        <v>14</v>
      </c>
    </row>
    <row r="1038" ht="32" customHeight="1">
      <c r="A1038" s="146" t="str">
        <v>NETMRE</v>
      </c>
      <c r="B1038" s="146" t="str">
        <v>2013</v>
      </c>
      <c r="C1038" s="146" t="str">
        <v>1</v>
      </c>
      <c r="D1038" s="146" t="str">
        <v>ELIMINADO</v>
      </c>
      <c r="E1038" s="146" t="str">
        <v>3 - ELIMINACION AUTOMATICA</v>
      </c>
      <c r="F1038" s="146" t="n">
        <v>1</v>
      </c>
    </row>
    <row r="1039" ht="32" customHeight="1">
      <c r="A1039" s="146" t="str">
        <v>NETMRE</v>
      </c>
      <c r="B1039" s="146" t="str">
        <v>2013</v>
      </c>
      <c r="C1039" s="146" t="str">
        <v>1</v>
      </c>
      <c r="D1039" s="146" t="str">
        <v>ELIMINADO</v>
      </c>
      <c r="E1039" s="146" t="str">
        <v>38 - REINCORPORACION DE ACTIVIDADES</v>
      </c>
      <c r="F1039" s="146" t="n">
        <v>1</v>
      </c>
    </row>
    <row r="1040" ht="32" customHeight="1">
      <c r="A1040" s="146" t="str">
        <v>NETMRE</v>
      </c>
      <c r="B1040" s="146" t="str">
        <v>2013</v>
      </c>
      <c r="C1040" s="146" t="str">
        <v>1</v>
      </c>
      <c r="D1040" s="146" t="str">
        <v>TITULADO</v>
      </c>
      <c r="E1040" s="146" t="str">
        <v>31 - TITULADO APROBADO</v>
      </c>
      <c r="F1040" s="146" t="n">
        <v>7</v>
      </c>
    </row>
    <row r="1041" ht="32" customHeight="1">
      <c r="A1041" s="146" t="str">
        <v>NETMRE</v>
      </c>
      <c r="B1041" s="146" t="str">
        <v>2013</v>
      </c>
      <c r="C1041" s="146" t="str">
        <v>2</v>
      </c>
      <c r="D1041" s="146" t="str">
        <v>ELIMINADO</v>
      </c>
      <c r="E1041" s="146" t="str">
        <v>24 - CAMBIO DE CARRERA</v>
      </c>
      <c r="F1041" s="146" t="n">
        <v>1</v>
      </c>
    </row>
    <row r="1042" ht="32" customHeight="1">
      <c r="A1042" s="146" t="str">
        <v>NETMRE</v>
      </c>
      <c r="B1042" s="146" t="str">
        <v>2013</v>
      </c>
      <c r="C1042" s="146" t="str">
        <v>2</v>
      </c>
      <c r="D1042" s="146" t="str">
        <v>TITULADO</v>
      </c>
      <c r="E1042" s="146" t="str">
        <v>31 - TITULADO APROBADO</v>
      </c>
      <c r="F1042" s="146" t="n">
        <v>8</v>
      </c>
    </row>
    <row r="1043" ht="32" customHeight="1">
      <c r="A1043" s="146" t="str">
        <v>NETMRE</v>
      </c>
      <c r="B1043" s="146" t="str">
        <v>2014</v>
      </c>
      <c r="C1043" s="146" t="str">
        <v>1</v>
      </c>
      <c r="D1043" s="146" t="str">
        <v>ELIMINADO</v>
      </c>
      <c r="E1043" s="146" t="str">
        <v>24 - CAMBIO DE CARRERA</v>
      </c>
      <c r="F1043" s="146" t="n">
        <v>6</v>
      </c>
    </row>
    <row r="1044" ht="32" customHeight="1">
      <c r="A1044" s="146" t="str">
        <v>NETMRE</v>
      </c>
      <c r="B1044" s="146" t="str">
        <v>2014</v>
      </c>
      <c r="C1044" s="146" t="str">
        <v>1</v>
      </c>
      <c r="D1044" s="146" t="str">
        <v>ELIMINADO</v>
      </c>
      <c r="E1044" s="146" t="str">
        <v>3 - ELIMINACION AUTOMATICA</v>
      </c>
      <c r="F1044" s="146" t="n">
        <v>1</v>
      </c>
    </row>
    <row r="1045" ht="32" customHeight="1">
      <c r="A1045" s="146" t="str">
        <v>NETMRE</v>
      </c>
      <c r="B1045" s="146" t="str">
        <v>2014</v>
      </c>
      <c r="C1045" s="146" t="str">
        <v>1</v>
      </c>
      <c r="D1045" s="146" t="str">
        <v>ELIMINADO</v>
      </c>
      <c r="E1045" s="146" t="str">
        <v>38 - REINCORPORACION DE ACTIVIDADES</v>
      </c>
      <c r="F1045" s="146" t="n">
        <v>1</v>
      </c>
    </row>
    <row r="1046" ht="32" customHeight="1">
      <c r="A1046" s="146" t="str">
        <v>NETMRE</v>
      </c>
      <c r="B1046" s="146" t="str">
        <v>2014</v>
      </c>
      <c r="C1046" s="146" t="str">
        <v>1</v>
      </c>
      <c r="D1046" s="146" t="str">
        <v>TITULADO</v>
      </c>
      <c r="E1046" s="146" t="str">
        <v>31 - TITULADO APROBADO</v>
      </c>
      <c r="F1046" s="146" t="n">
        <v>13</v>
      </c>
    </row>
    <row r="1047" ht="32" customHeight="1">
      <c r="A1047" s="146" t="str">
        <v>NETMRE</v>
      </c>
      <c r="B1047" s="146" t="str">
        <v>2014</v>
      </c>
      <c r="C1047" s="146" t="str">
        <v>2</v>
      </c>
      <c r="D1047" s="146" t="str">
        <v>ELIMINADO</v>
      </c>
      <c r="E1047" s="146" t="str">
        <v>24 - CAMBIO DE CARRERA</v>
      </c>
      <c r="F1047" s="146" t="n">
        <v>2</v>
      </c>
    </row>
    <row r="1048" ht="32" customHeight="1">
      <c r="A1048" s="146" t="str">
        <v>NETMRE</v>
      </c>
      <c r="B1048" s="146" t="str">
        <v>2014</v>
      </c>
      <c r="C1048" s="146" t="str">
        <v>2</v>
      </c>
      <c r="D1048" s="146" t="str">
        <v>TITULADO</v>
      </c>
      <c r="E1048" s="146" t="str">
        <v>31 - TITULADO APROBADO</v>
      </c>
      <c r="F1048" s="146" t="n">
        <v>3</v>
      </c>
    </row>
    <row r="1049" ht="32" customHeight="1">
      <c r="A1049" s="146" t="str">
        <v>NETMRE</v>
      </c>
      <c r="B1049" s="146" t="str">
        <v>2015</v>
      </c>
      <c r="C1049" s="146" t="str">
        <v>1</v>
      </c>
      <c r="D1049" s="146" t="str">
        <v>ELIMINADO</v>
      </c>
      <c r="E1049" s="146" t="str">
        <v>23 - RETIRO - RETRACTO</v>
      </c>
      <c r="F1049" s="146" t="n">
        <v>1</v>
      </c>
    </row>
    <row r="1050" ht="32" customHeight="1">
      <c r="A1050" s="146" t="str">
        <v>NETMRE</v>
      </c>
      <c r="B1050" s="146" t="str">
        <v>2015</v>
      </c>
      <c r="C1050" s="146" t="str">
        <v>1</v>
      </c>
      <c r="D1050" s="146" t="str">
        <v>ELIMINADO</v>
      </c>
      <c r="E1050" s="146" t="str">
        <v>24 - CAMBIO DE CARRERA</v>
      </c>
      <c r="F1050" s="146" t="n">
        <v>8</v>
      </c>
    </row>
    <row r="1051" ht="32" customHeight="1">
      <c r="A1051" s="146" t="str">
        <v>NETMRE</v>
      </c>
      <c r="B1051" s="146" t="str">
        <v>2015</v>
      </c>
      <c r="C1051" s="146" t="str">
        <v>1</v>
      </c>
      <c r="D1051" s="146" t="str">
        <v>ELIMINADO</v>
      </c>
      <c r="E1051" s="146" t="str">
        <v>3 - ELIMINACION AUTOMATICA</v>
      </c>
      <c r="F1051" s="146" t="n">
        <v>3</v>
      </c>
    </row>
    <row r="1052" ht="32" customHeight="1">
      <c r="A1052" s="146" t="str">
        <v>NETMRE</v>
      </c>
      <c r="B1052" s="146" t="str">
        <v>2015</v>
      </c>
      <c r="C1052" s="146" t="str">
        <v>1</v>
      </c>
      <c r="D1052" s="146" t="str">
        <v>TITULADO</v>
      </c>
      <c r="E1052" s="146" t="str">
        <v>31 - TITULADO APROBADO</v>
      </c>
      <c r="F1052" s="146" t="n">
        <v>36</v>
      </c>
    </row>
    <row r="1053" ht="32" customHeight="1">
      <c r="A1053" s="146" t="str">
        <v>NETMRE</v>
      </c>
      <c r="B1053" s="146" t="str">
        <v>2015</v>
      </c>
      <c r="C1053" s="146" t="str">
        <v>2</v>
      </c>
      <c r="D1053" s="146" t="str">
        <v>TITULADO</v>
      </c>
      <c r="E1053" s="146" t="str">
        <v>31 - TITULADO APROBADO</v>
      </c>
      <c r="F1053" s="146" t="n">
        <v>5</v>
      </c>
    </row>
    <row r="1054" ht="32" customHeight="1">
      <c r="A1054" s="146" t="str">
        <v>NETMRE</v>
      </c>
      <c r="B1054" s="146" t="str">
        <v>2016</v>
      </c>
      <c r="C1054" s="146" t="str">
        <v>1</v>
      </c>
      <c r="D1054" s="146" t="str">
        <v>ELIMINADO</v>
      </c>
      <c r="E1054" s="146" t="str">
        <v>24 - CAMBIO DE CARRERA</v>
      </c>
      <c r="F1054" s="146" t="n">
        <v>1</v>
      </c>
    </row>
    <row r="1055" ht="32" customHeight="1">
      <c r="A1055" s="146" t="str">
        <v>NETMRE</v>
      </c>
      <c r="B1055" s="146" t="str">
        <v>2016</v>
      </c>
      <c r="C1055" s="146" t="str">
        <v>1</v>
      </c>
      <c r="D1055" s="146" t="str">
        <v>ELIMINADO</v>
      </c>
      <c r="E1055" s="146" t="str">
        <v>3 - ELIMINACION AUTOMATICA</v>
      </c>
      <c r="F1055" s="146" t="n">
        <v>12</v>
      </c>
    </row>
    <row r="1056" ht="32" customHeight="1">
      <c r="A1056" s="146" t="str">
        <v>NETMRE</v>
      </c>
      <c r="B1056" s="146" t="str">
        <v>2016</v>
      </c>
      <c r="C1056" s="146" t="str">
        <v>1</v>
      </c>
      <c r="D1056" s="146" t="str">
        <v>ELIMINADO</v>
      </c>
      <c r="E1056" s="146" t="str">
        <v>38 - REINCORPORACION DE ACTIVIDADES</v>
      </c>
      <c r="F1056" s="146" t="n">
        <v>1</v>
      </c>
    </row>
    <row r="1057" ht="32" customHeight="1">
      <c r="A1057" s="146" t="str">
        <v>NETMRE</v>
      </c>
      <c r="B1057" s="146" t="str">
        <v>2016</v>
      </c>
      <c r="C1057" s="146" t="str">
        <v>1</v>
      </c>
      <c r="D1057" s="146" t="str">
        <v>ELIMINADO</v>
      </c>
      <c r="E1057" s="146" t="str">
        <v>5 - RENUNCIA ENTRE PERIODOS</v>
      </c>
      <c r="F1057" s="146" t="n">
        <v>1</v>
      </c>
    </row>
    <row r="1058" ht="32" customHeight="1">
      <c r="A1058" s="146" t="str">
        <v>NETMRE</v>
      </c>
      <c r="B1058" s="146" t="str">
        <v>2016</v>
      </c>
      <c r="C1058" s="146" t="str">
        <v>1</v>
      </c>
      <c r="D1058" s="146" t="str">
        <v>ELIMINADO</v>
      </c>
      <c r="E1058" s="146" t="str">
        <v>7 - NO RENUEVA MATRICULA</v>
      </c>
      <c r="F1058" s="146" t="n">
        <v>2</v>
      </c>
    </row>
    <row r="1059" ht="32" customHeight="1">
      <c r="A1059" s="146" t="str">
        <v>NETMRE</v>
      </c>
      <c r="B1059" s="146" t="str">
        <v>2016</v>
      </c>
      <c r="C1059" s="146" t="str">
        <v>1</v>
      </c>
      <c r="D1059" s="146" t="str">
        <v>TITULADO</v>
      </c>
      <c r="E1059" s="146" t="str">
        <v>31 - TITULADO APROBADO</v>
      </c>
      <c r="F1059" s="146" t="n">
        <v>35</v>
      </c>
    </row>
    <row r="1060" ht="32" customHeight="1">
      <c r="A1060" s="146" t="str">
        <v>NETMRE</v>
      </c>
      <c r="B1060" s="146" t="str">
        <v>2016</v>
      </c>
      <c r="C1060" s="146" t="str">
        <v>2</v>
      </c>
      <c r="D1060" s="146" t="str">
        <v>ELIMINADO</v>
      </c>
      <c r="E1060" s="146" t="str">
        <v>1 - ALUMNO REGULAR</v>
      </c>
      <c r="F1060" s="146" t="n">
        <v>1</v>
      </c>
    </row>
    <row r="1061" ht="32" customHeight="1">
      <c r="A1061" s="146" t="str">
        <v>NETMRE</v>
      </c>
      <c r="B1061" s="146" t="str">
        <v>2016</v>
      </c>
      <c r="C1061" s="146" t="str">
        <v>2</v>
      </c>
      <c r="D1061" s="146" t="str">
        <v>TITULADO</v>
      </c>
      <c r="E1061" s="146" t="str">
        <v>31 - TITULADO APROBADO</v>
      </c>
      <c r="F1061" s="146" t="n">
        <v>7</v>
      </c>
    </row>
    <row r="1062" ht="32" customHeight="1">
      <c r="A1062" s="146" t="str">
        <v>NETMRE</v>
      </c>
      <c r="B1062" s="146" t="str">
        <v>2017</v>
      </c>
      <c r="C1062" s="146" t="str">
        <v>1</v>
      </c>
      <c r="D1062" s="146" t="str">
        <v>ELIMINADO</v>
      </c>
      <c r="E1062" s="146" t="str">
        <v>3 - ELIMINACION AUTOMATICA</v>
      </c>
      <c r="F1062" s="146" t="n">
        <v>11</v>
      </c>
    </row>
    <row r="1063" ht="32" customHeight="1">
      <c r="A1063" s="146" t="str">
        <v>NETMRE</v>
      </c>
      <c r="B1063" s="146" t="str">
        <v>2017</v>
      </c>
      <c r="C1063" s="146" t="str">
        <v>1</v>
      </c>
      <c r="D1063" s="146" t="str">
        <v>TITULADO</v>
      </c>
      <c r="E1063" s="146" t="str">
        <v>31 - TITULADO APROBADO</v>
      </c>
      <c r="F1063" s="146" t="n">
        <v>28</v>
      </c>
    </row>
    <row r="1064" ht="32" customHeight="1">
      <c r="A1064" s="146" t="str">
        <v>NETMRE</v>
      </c>
      <c r="B1064" s="146" t="str">
        <v>2017</v>
      </c>
      <c r="C1064" s="146" t="str">
        <v>2</v>
      </c>
      <c r="D1064" s="146" t="str">
        <v>TITULADO</v>
      </c>
      <c r="E1064" s="146" t="str">
        <v>31 - TITULADO APROBADO</v>
      </c>
      <c r="F1064" s="146" t="n">
        <v>8</v>
      </c>
    </row>
    <row r="1065" ht="32" customHeight="1">
      <c r="A1065" s="146" t="str">
        <v>NETMRE</v>
      </c>
      <c r="B1065" s="146" t="str">
        <v>2018</v>
      </c>
      <c r="C1065" s="146" t="str">
        <v>1</v>
      </c>
      <c r="D1065" s="146" t="str">
        <v>ELIMINADO</v>
      </c>
      <c r="E1065" s="146" t="str">
        <v>24 - CAMBIO DE CARRERA</v>
      </c>
      <c r="F1065" s="146" t="n">
        <v>2</v>
      </c>
    </row>
    <row r="1066" ht="32" customHeight="1">
      <c r="A1066" s="146" t="str">
        <v>NETMRE</v>
      </c>
      <c r="B1066" s="146" t="str">
        <v>2018</v>
      </c>
      <c r="C1066" s="146" t="str">
        <v>1</v>
      </c>
      <c r="D1066" s="146" t="str">
        <v>ELIMINADO</v>
      </c>
      <c r="E1066" s="146" t="str">
        <v>3 - ELIMINACION AUTOMATICA</v>
      </c>
      <c r="F1066" s="146" t="n">
        <v>3</v>
      </c>
    </row>
    <row r="1067" ht="32" customHeight="1">
      <c r="A1067" s="146" t="str">
        <v>NETMRE</v>
      </c>
      <c r="B1067" s="146" t="str">
        <v>2018</v>
      </c>
      <c r="C1067" s="146" t="str">
        <v>1</v>
      </c>
      <c r="D1067" s="146" t="str">
        <v>TITULADO</v>
      </c>
      <c r="E1067" s="146" t="str">
        <v>31 - TITULADO APROBADO</v>
      </c>
      <c r="F1067" s="146" t="n">
        <v>43</v>
      </c>
    </row>
    <row r="1068" ht="32" customHeight="1">
      <c r="A1068" s="146" t="str">
        <v>NETMRE</v>
      </c>
      <c r="B1068" s="146" t="str">
        <v>2018</v>
      </c>
      <c r="C1068" s="146" t="str">
        <v>2</v>
      </c>
      <c r="D1068" s="146" t="str">
        <v>ELIMINADO</v>
      </c>
      <c r="E1068" s="146" t="str">
        <v>3 - ELIMINACION AUTOMATICA</v>
      </c>
      <c r="F1068" s="146" t="n">
        <v>1</v>
      </c>
    </row>
    <row r="1069" ht="32" customHeight="1">
      <c r="A1069" s="146" t="str">
        <v>NETMRE</v>
      </c>
      <c r="B1069" s="146" t="str">
        <v>2019</v>
      </c>
      <c r="C1069" s="146" t="str">
        <v>1</v>
      </c>
      <c r="D1069" s="146" t="str">
        <v>ELIMINADO</v>
      </c>
      <c r="E1069" s="146" t="str">
        <v>1 - ALUMNO REGULAR</v>
      </c>
      <c r="F1069" s="146" t="n">
        <v>1</v>
      </c>
    </row>
    <row r="1070" ht="32" customHeight="1">
      <c r="A1070" s="146" t="str">
        <v>NETMRE</v>
      </c>
      <c r="B1070" s="146" t="str">
        <v>2019</v>
      </c>
      <c r="C1070" s="146" t="str">
        <v>1</v>
      </c>
      <c r="D1070" s="146" t="str">
        <v>TITULADO</v>
      </c>
      <c r="E1070" s="146" t="str">
        <v>31 - TITULADO APROBADO</v>
      </c>
      <c r="F1070" s="146" t="n">
        <v>47</v>
      </c>
    </row>
    <row r="1071" ht="32" customHeight="1">
      <c r="A1071" s="146" t="str">
        <v>NETMRE</v>
      </c>
      <c r="B1071" s="146" t="str">
        <v>2025</v>
      </c>
      <c r="C1071" s="146" t="str">
        <v>2</v>
      </c>
      <c r="D1071" s="146" t="str">
        <v>TITULADO</v>
      </c>
      <c r="E1071" s="146" t="str">
        <v>31 - TITULADO APROBADO</v>
      </c>
      <c r="F1071" s="146" t="n">
        <v>1</v>
      </c>
    </row>
    <row r="1072" ht="32" customHeight="1">
      <c r="A1072" s="146" t="str">
        <v>NETMRE</v>
      </c>
      <c r="B1072" s="146" t="str">
        <v>2026</v>
      </c>
      <c r="C1072" s="146" t="str">
        <v>1</v>
      </c>
      <c r="D1072" s="146" t="str">
        <v>VIGENTE</v>
      </c>
      <c r="E1072" s="146" t="str">
        <v>38 - REINCORPORACION DE ACTIVIDADES</v>
      </c>
      <c r="F1072" s="146" t="n">
        <v>1</v>
      </c>
    </row>
    <row r="1073" ht="32" customHeight="1">
      <c r="A1073" s="146" t="str">
        <v>NICCRE</v>
      </c>
      <c r="B1073" s="146" t="str">
        <v>2019</v>
      </c>
      <c r="C1073" s="146" t="str">
        <v>1</v>
      </c>
      <c r="D1073" s="146" t="str">
        <v>ELIMINADO</v>
      </c>
      <c r="E1073" s="146" t="str">
        <v>1 - ALUMNO REGULAR</v>
      </c>
      <c r="F1073" s="146" t="n">
        <v>2</v>
      </c>
    </row>
    <row r="1074" ht="32" customHeight="1">
      <c r="A1074" s="146" t="str">
        <v>NICCRE</v>
      </c>
      <c r="B1074" s="146" t="str">
        <v>2019</v>
      </c>
      <c r="C1074" s="146" t="str">
        <v>1</v>
      </c>
      <c r="D1074" s="146" t="str">
        <v>ELIMINADO</v>
      </c>
      <c r="E1074" s="146" t="str">
        <v>24 - CAMBIO DE CARRERA</v>
      </c>
      <c r="F1074" s="146" t="n">
        <v>2</v>
      </c>
    </row>
    <row r="1075" ht="32" customHeight="1">
      <c r="A1075" s="146" t="str">
        <v>NICCRE</v>
      </c>
      <c r="B1075" s="146" t="str">
        <v>2020</v>
      </c>
      <c r="C1075" s="146" t="str">
        <v>1</v>
      </c>
      <c r="D1075" s="146" t="str">
        <v>TITULADO</v>
      </c>
      <c r="E1075" s="146" t="str">
        <v>31 - TITULADO APROBADO</v>
      </c>
      <c r="F1075" s="146" t="n">
        <v>3</v>
      </c>
    </row>
    <row r="1076" ht="32" customHeight="1">
      <c r="A1076" s="146" t="str">
        <v>NICCRE</v>
      </c>
      <c r="B1076" s="146" t="str">
        <v>2021</v>
      </c>
      <c r="C1076" s="146" t="str">
        <v>1</v>
      </c>
      <c r="D1076" s="146" t="str">
        <v>TITULADO</v>
      </c>
      <c r="E1076" s="146" t="str">
        <v>31 - TITULADO APROBADO</v>
      </c>
      <c r="F1076" s="146" t="n">
        <v>4</v>
      </c>
    </row>
    <row r="1077" ht="32" customHeight="1">
      <c r="A1077" s="146" t="str">
        <v>NICCREOL</v>
      </c>
      <c r="B1077" s="146" t="str">
        <v>2020</v>
      </c>
      <c r="C1077" s="146" t="str">
        <v>1</v>
      </c>
      <c r="D1077" s="146" t="str">
        <v>ELIMINADO</v>
      </c>
      <c r="E1077" s="146" t="str">
        <v>3 - ELIMINACION AUTOMATICA</v>
      </c>
      <c r="F1077" s="146" t="n">
        <v>1</v>
      </c>
    </row>
    <row r="1078" ht="32" customHeight="1">
      <c r="A1078" s="146" t="str">
        <v>NICCREOL</v>
      </c>
      <c r="B1078" s="146" t="str">
        <v>2020</v>
      </c>
      <c r="C1078" s="146" t="str">
        <v>2</v>
      </c>
      <c r="D1078" s="146" t="str">
        <v>ELIMINADO</v>
      </c>
      <c r="E1078" s="146" t="str">
        <v>24 - CAMBIO DE CARRERA</v>
      </c>
      <c r="F1078" s="146" t="n">
        <v>2</v>
      </c>
    </row>
    <row r="1079" ht="32" customHeight="1">
      <c r="A1079" s="146" t="str">
        <v>NICCREOL</v>
      </c>
      <c r="B1079" s="146" t="str">
        <v>2021</v>
      </c>
      <c r="C1079" s="146" t="str">
        <v>1</v>
      </c>
      <c r="D1079" s="146" t="str">
        <v>ELIMINADO</v>
      </c>
      <c r="E1079" s="146" t="str">
        <v>1 - ALUMNO REGULAR</v>
      </c>
      <c r="F1079" s="146" t="n">
        <v>1</v>
      </c>
    </row>
    <row r="1080" ht="32" customHeight="1">
      <c r="A1080" s="146" t="str">
        <v>NICCREOL</v>
      </c>
      <c r="B1080" s="146" t="str">
        <v>2021</v>
      </c>
      <c r="C1080" s="146" t="str">
        <v>1</v>
      </c>
      <c r="D1080" s="146" t="str">
        <v>TITULADO</v>
      </c>
      <c r="E1080" s="146" t="str">
        <v>31 - TITULADO APROBADO</v>
      </c>
      <c r="F1080" s="146" t="n">
        <v>9</v>
      </c>
    </row>
    <row r="1081" ht="32" customHeight="1">
      <c r="A1081" s="146" t="str">
        <v>NICIRE</v>
      </c>
      <c r="B1081" s="146" t="str">
        <v>2013</v>
      </c>
      <c r="C1081" s="146" t="str">
        <v>1</v>
      </c>
      <c r="D1081" s="146" t="str">
        <v>ELIMINADO</v>
      </c>
      <c r="E1081" s="146" t="str">
        <v>24 - CAMBIO DE CARRERA</v>
      </c>
      <c r="F1081" s="146" t="n">
        <v>1</v>
      </c>
    </row>
    <row r="1082" ht="32" customHeight="1">
      <c r="A1082" s="146" t="str">
        <v>NICIRE</v>
      </c>
      <c r="B1082" s="146" t="str">
        <v>2013</v>
      </c>
      <c r="C1082" s="146" t="str">
        <v>1</v>
      </c>
      <c r="D1082" s="146" t="str">
        <v>TITULADO</v>
      </c>
      <c r="E1082" s="146" t="str">
        <v>31 - TITULADO APROBADO</v>
      </c>
      <c r="F1082" s="146" t="n">
        <v>3</v>
      </c>
    </row>
    <row r="1083" ht="32" customHeight="1">
      <c r="A1083" s="146" t="str">
        <v>NICIRE</v>
      </c>
      <c r="B1083" s="146" t="str">
        <v>2014</v>
      </c>
      <c r="C1083" s="146" t="str">
        <v>1</v>
      </c>
      <c r="D1083" s="146" t="str">
        <v>TITULADO</v>
      </c>
      <c r="E1083" s="146" t="str">
        <v>31 - TITULADO APROBADO</v>
      </c>
      <c r="F1083" s="146" t="n">
        <v>2</v>
      </c>
    </row>
    <row r="1084" ht="32" customHeight="1">
      <c r="A1084" s="146" t="str">
        <v>NICIRE</v>
      </c>
      <c r="B1084" s="146" t="str">
        <v>2015</v>
      </c>
      <c r="C1084" s="146" t="str">
        <v>1</v>
      </c>
      <c r="D1084" s="146" t="str">
        <v>TITULADO</v>
      </c>
      <c r="E1084" s="146" t="str">
        <v>31 - TITULADO APROBADO</v>
      </c>
      <c r="F1084" s="146" t="n">
        <v>5</v>
      </c>
    </row>
    <row r="1085" ht="32" customHeight="1">
      <c r="A1085" s="146" t="str">
        <v>NICIRE</v>
      </c>
      <c r="B1085" s="146" t="str">
        <v>2015</v>
      </c>
      <c r="C1085" s="146" t="str">
        <v>2</v>
      </c>
      <c r="D1085" s="146" t="str">
        <v>TITULADO</v>
      </c>
      <c r="E1085" s="146" t="str">
        <v>31 - TITULADO APROBADO</v>
      </c>
      <c r="F1085" s="146" t="n">
        <v>1</v>
      </c>
    </row>
    <row r="1086" ht="32" customHeight="1">
      <c r="A1086" s="146" t="str">
        <v>NICIRE</v>
      </c>
      <c r="B1086" s="146" t="str">
        <v>2016</v>
      </c>
      <c r="C1086" s="146" t="str">
        <v>1</v>
      </c>
      <c r="D1086" s="146" t="str">
        <v>ELIMINADO</v>
      </c>
      <c r="E1086" s="146" t="str">
        <v>3 - ELIMINACION AUTOMATICA</v>
      </c>
      <c r="F1086" s="146" t="n">
        <v>3</v>
      </c>
    </row>
    <row r="1087" ht="32" customHeight="1">
      <c r="A1087" s="146" t="str">
        <v>NICIRE</v>
      </c>
      <c r="B1087" s="146" t="str">
        <v>2016</v>
      </c>
      <c r="C1087" s="146" t="str">
        <v>1</v>
      </c>
      <c r="D1087" s="146" t="str">
        <v>TITULADO</v>
      </c>
      <c r="E1087" s="146" t="str">
        <v>31 - TITULADO APROBADO</v>
      </c>
      <c r="F1087" s="146" t="n">
        <v>1</v>
      </c>
    </row>
    <row r="1088" ht="32" customHeight="1">
      <c r="A1088" s="146" t="str">
        <v>NICIRE</v>
      </c>
      <c r="B1088" s="146" t="str">
        <v>2016</v>
      </c>
      <c r="C1088" s="146" t="str">
        <v>2</v>
      </c>
      <c r="D1088" s="146" t="str">
        <v>TITULADO</v>
      </c>
      <c r="E1088" s="146" t="str">
        <v>31 - TITULADO APROBADO</v>
      </c>
      <c r="F1088" s="146" t="n">
        <v>2</v>
      </c>
    </row>
    <row r="1089" ht="32" customHeight="1">
      <c r="A1089" s="146" t="str">
        <v>NICIRE</v>
      </c>
      <c r="B1089" s="146" t="str">
        <v>2017</v>
      </c>
      <c r="C1089" s="146" t="str">
        <v>1</v>
      </c>
      <c r="D1089" s="146" t="str">
        <v>ELIMINADO</v>
      </c>
      <c r="E1089" s="146" t="str">
        <v>23 - RETIRO - RETRACTO</v>
      </c>
      <c r="F1089" s="146" t="n">
        <v>1</v>
      </c>
    </row>
    <row r="1090" ht="32" customHeight="1">
      <c r="A1090" s="146" t="str">
        <v>NICIRE</v>
      </c>
      <c r="B1090" s="146" t="str">
        <v>2017</v>
      </c>
      <c r="C1090" s="146" t="str">
        <v>1</v>
      </c>
      <c r="D1090" s="146" t="str">
        <v>ELIMINADO</v>
      </c>
      <c r="E1090" s="146" t="str">
        <v>3 - ELIMINACION AUTOMATICA</v>
      </c>
      <c r="F1090" s="146" t="n">
        <v>1</v>
      </c>
    </row>
    <row r="1091" ht="32" customHeight="1">
      <c r="A1091" s="146" t="str">
        <v>NICIRE</v>
      </c>
      <c r="B1091" s="146" t="str">
        <v>2017</v>
      </c>
      <c r="C1091" s="146" t="str">
        <v>1</v>
      </c>
      <c r="D1091" s="146" t="str">
        <v>TITULADO</v>
      </c>
      <c r="E1091" s="146" t="str">
        <v>31 - TITULADO APROBADO</v>
      </c>
      <c r="F1091" s="146" t="n">
        <v>4</v>
      </c>
    </row>
    <row r="1092" ht="32" customHeight="1">
      <c r="A1092" s="146" t="str">
        <v>NICIRE</v>
      </c>
      <c r="B1092" s="146" t="str">
        <v>2018</v>
      </c>
      <c r="C1092" s="146" t="str">
        <v>1</v>
      </c>
      <c r="D1092" s="146" t="str">
        <v>ELIMINADO</v>
      </c>
      <c r="E1092" s="146" t="str">
        <v>3 - ELIMINACION AUTOMATICA</v>
      </c>
      <c r="F1092" s="146" t="n">
        <v>1</v>
      </c>
    </row>
    <row r="1093" ht="32" customHeight="1">
      <c r="A1093" s="146" t="str">
        <v>NICIRE</v>
      </c>
      <c r="B1093" s="146" t="str">
        <v>2018</v>
      </c>
      <c r="C1093" s="146" t="str">
        <v>1</v>
      </c>
      <c r="D1093" s="146" t="str">
        <v>TITULADO</v>
      </c>
      <c r="E1093" s="146" t="str">
        <v>31 - TITULADO APROBADO</v>
      </c>
      <c r="F1093" s="146" t="n">
        <v>9</v>
      </c>
    </row>
    <row r="1094" ht="32" customHeight="1">
      <c r="A1094" s="146" t="str">
        <v>NICIRE</v>
      </c>
      <c r="B1094" s="146" t="str">
        <v>2019</v>
      </c>
      <c r="C1094" s="146" t="str">
        <v>1</v>
      </c>
      <c r="D1094" s="146" t="str">
        <v>TITULADO</v>
      </c>
      <c r="E1094" s="146" t="str">
        <v>31 - TITULADO APROBADO</v>
      </c>
      <c r="F1094" s="146" t="n">
        <v>6</v>
      </c>
    </row>
    <row r="1095" ht="32" customHeight="1">
      <c r="A1095" s="146" t="str">
        <v>NICIRE</v>
      </c>
      <c r="B1095" s="146" t="str">
        <v>2020</v>
      </c>
      <c r="C1095" s="146" t="str">
        <v>1</v>
      </c>
      <c r="D1095" s="146" t="str">
        <v>ELIMINADO</v>
      </c>
      <c r="E1095" s="146" t="str">
        <v>3 - ELIMINACION AUTOMATICA</v>
      </c>
      <c r="F1095" s="146" t="n">
        <v>1</v>
      </c>
    </row>
    <row r="1096" ht="32" customHeight="1">
      <c r="A1096" s="146" t="str">
        <v>NICIRE</v>
      </c>
      <c r="B1096" s="146" t="str">
        <v>2020</v>
      </c>
      <c r="C1096" s="146" t="str">
        <v>1</v>
      </c>
      <c r="D1096" s="146" t="str">
        <v>TITULADO</v>
      </c>
      <c r="E1096" s="146" t="str">
        <v>31 - TITULADO APROBADO</v>
      </c>
      <c r="F1096" s="146" t="n">
        <v>2</v>
      </c>
    </row>
    <row r="1097" ht="32" customHeight="1">
      <c r="A1097" s="146" t="str">
        <v>NINFRE</v>
      </c>
      <c r="B1097" s="146" t="str">
        <v>2018</v>
      </c>
      <c r="C1097" s="146" t="str">
        <v>1</v>
      </c>
      <c r="D1097" s="146" t="str">
        <v>ELIMINADO</v>
      </c>
      <c r="E1097" s="146" t="str">
        <v>23 - RETIRO - RETRACTO</v>
      </c>
      <c r="F1097" s="146" t="n">
        <v>2</v>
      </c>
    </row>
    <row r="1098" ht="32" customHeight="1">
      <c r="A1098" s="146" t="str">
        <v>NINFRE</v>
      </c>
      <c r="B1098" s="146" t="str">
        <v>2018</v>
      </c>
      <c r="C1098" s="146" t="str">
        <v>1</v>
      </c>
      <c r="D1098" s="146" t="str">
        <v>ELIMINADO</v>
      </c>
      <c r="E1098" s="146" t="str">
        <v>3 - ELIMINACION AUTOMATICA</v>
      </c>
      <c r="F1098" s="146" t="n">
        <v>9</v>
      </c>
    </row>
    <row r="1099" ht="32" customHeight="1">
      <c r="A1099" s="146" t="str">
        <v>NINFRE</v>
      </c>
      <c r="B1099" s="146" t="str">
        <v>2019</v>
      </c>
      <c r="C1099" s="146" t="str">
        <v>1</v>
      </c>
      <c r="D1099" s="146" t="str">
        <v>ELIMINADO</v>
      </c>
      <c r="E1099" s="146" t="str">
        <v>1 - ALUMNO REGULAR</v>
      </c>
      <c r="F1099" s="146" t="n">
        <v>4</v>
      </c>
    </row>
    <row r="1100" ht="32" customHeight="1">
      <c r="A1100" s="146" t="str">
        <v>NINFRE</v>
      </c>
      <c r="B1100" s="146" t="str">
        <v>2019</v>
      </c>
      <c r="C1100" s="146" t="str">
        <v>1</v>
      </c>
      <c r="D1100" s="146" t="str">
        <v>ELIMINADO</v>
      </c>
      <c r="E1100" s="146" t="str">
        <v>24 - CAMBIO DE CARRERA</v>
      </c>
      <c r="F1100" s="146" t="n">
        <v>1</v>
      </c>
    </row>
    <row r="1101" ht="32" customHeight="1">
      <c r="A1101" s="146" t="str">
        <v>NINFRE</v>
      </c>
      <c r="B1101" s="146" t="str">
        <v>2019</v>
      </c>
      <c r="C1101" s="146" t="str">
        <v>1</v>
      </c>
      <c r="D1101" s="146" t="str">
        <v>ELIMINADO</v>
      </c>
      <c r="E1101" s="146" t="str">
        <v>3 - ELIMINACION AUTOMATICA</v>
      </c>
      <c r="F1101" s="146" t="n">
        <v>1</v>
      </c>
    </row>
    <row r="1102" ht="32" customHeight="1">
      <c r="A1102" s="146" t="str">
        <v>NINFRE</v>
      </c>
      <c r="B1102" s="146" t="str">
        <v>2019</v>
      </c>
      <c r="C1102" s="146" t="str">
        <v>1</v>
      </c>
      <c r="D1102" s="146" t="str">
        <v>TITULADO</v>
      </c>
      <c r="E1102" s="146" t="str">
        <v>31 - TITULADO APROBADO</v>
      </c>
      <c r="F1102" s="146" t="n">
        <v>18</v>
      </c>
    </row>
    <row r="1103" ht="32" customHeight="1">
      <c r="A1103" s="146" t="str">
        <v>NINFRE</v>
      </c>
      <c r="B1103" s="146" t="str">
        <v>2020</v>
      </c>
      <c r="C1103" s="146" t="str">
        <v>1</v>
      </c>
      <c r="D1103" s="146" t="str">
        <v>ELIMINADO</v>
      </c>
      <c r="E1103" s="146" t="str">
        <v>24 - CAMBIO DE CARRERA</v>
      </c>
      <c r="F1103" s="146" t="n">
        <v>1</v>
      </c>
    </row>
    <row r="1104" ht="32" customHeight="1">
      <c r="A1104" s="146" t="str">
        <v>NINFRE</v>
      </c>
      <c r="B1104" s="146" t="str">
        <v>2020</v>
      </c>
      <c r="C1104" s="146" t="str">
        <v>1</v>
      </c>
      <c r="D1104" s="146" t="str">
        <v>ELIMINADO</v>
      </c>
      <c r="E1104" s="146" t="str">
        <v>3 - ELIMINACION AUTOMATICA</v>
      </c>
      <c r="F1104" s="146" t="n">
        <v>5</v>
      </c>
    </row>
    <row r="1105" ht="32" customHeight="1">
      <c r="A1105" s="146" t="str">
        <v>NINFRE</v>
      </c>
      <c r="B1105" s="146" t="str">
        <v>2020</v>
      </c>
      <c r="C1105" s="146" t="str">
        <v>1</v>
      </c>
      <c r="D1105" s="146" t="str">
        <v>ELIMINADO</v>
      </c>
      <c r="E1105" s="146" t="str">
        <v>5 - RENUNCIA ENTRE PERIODOS</v>
      </c>
      <c r="F1105" s="146" t="n">
        <v>1</v>
      </c>
    </row>
    <row r="1106" ht="32" customHeight="1">
      <c r="A1106" s="146" t="str">
        <v>NINFRE</v>
      </c>
      <c r="B1106" s="146" t="str">
        <v>2020</v>
      </c>
      <c r="C1106" s="146" t="str">
        <v>1</v>
      </c>
      <c r="D1106" s="146" t="str">
        <v>TITULADO</v>
      </c>
      <c r="E1106" s="146" t="str">
        <v>31 - TITULADO APROBADO</v>
      </c>
      <c r="F1106" s="146" t="n">
        <v>8</v>
      </c>
    </row>
    <row r="1107" ht="32" customHeight="1">
      <c r="A1107" s="146" t="str">
        <v>NINFRE</v>
      </c>
      <c r="B1107" s="146" t="str">
        <v>2021</v>
      </c>
      <c r="C1107" s="146" t="str">
        <v>1</v>
      </c>
      <c r="D1107" s="146" t="str">
        <v>TITULADO</v>
      </c>
      <c r="E1107" s="146" t="str">
        <v>31 - TITULADO APROBADO</v>
      </c>
      <c r="F1107" s="146" t="n">
        <v>7</v>
      </c>
    </row>
    <row r="1108" ht="32" customHeight="1">
      <c r="A1108" s="146" t="str">
        <v>NINFREOL</v>
      </c>
      <c r="B1108" s="146" t="str">
        <v>2019</v>
      </c>
      <c r="C1108" s="146" t="str">
        <v>1</v>
      </c>
      <c r="D1108" s="146" t="str">
        <v>ELIMINADO</v>
      </c>
      <c r="E1108" s="146" t="str">
        <v>1 - ALUMNO REGULAR</v>
      </c>
      <c r="F1108" s="146" t="n">
        <v>3</v>
      </c>
    </row>
    <row r="1109" ht="32" customHeight="1">
      <c r="A1109" s="146" t="str">
        <v>NINFREOL</v>
      </c>
      <c r="B1109" s="146" t="str">
        <v>2019</v>
      </c>
      <c r="C1109" s="146" t="str">
        <v>1</v>
      </c>
      <c r="D1109" s="146" t="str">
        <v>ELIMINADO</v>
      </c>
      <c r="E1109" s="146" t="str">
        <v>23 - RETIRO - RETRACTO</v>
      </c>
      <c r="F1109" s="146" t="n">
        <v>1</v>
      </c>
    </row>
    <row r="1110" ht="32" customHeight="1">
      <c r="A1110" s="146" t="str">
        <v>NINFREOL</v>
      </c>
      <c r="B1110" s="146" t="str">
        <v>2019</v>
      </c>
      <c r="C1110" s="146" t="str">
        <v>1</v>
      </c>
      <c r="D1110" s="146" t="str">
        <v>ELIMINADO</v>
      </c>
      <c r="E1110" s="146" t="str">
        <v>24 - CAMBIO DE CARRERA</v>
      </c>
      <c r="F1110" s="146" t="n">
        <v>1</v>
      </c>
    </row>
    <row r="1111" ht="32" customHeight="1">
      <c r="A1111" s="146" t="str">
        <v>NINFREOL</v>
      </c>
      <c r="B1111" s="146" t="str">
        <v>2020</v>
      </c>
      <c r="C1111" s="146" t="str">
        <v>1</v>
      </c>
      <c r="D1111" s="146" t="str">
        <v>ELIMINADO</v>
      </c>
      <c r="E1111" s="146" t="str">
        <v>3 - ELIMINACION AUTOMATICA</v>
      </c>
      <c r="F1111" s="146" t="n">
        <v>1</v>
      </c>
    </row>
    <row r="1112" ht="32" customHeight="1">
      <c r="A1112" s="146" t="str">
        <v>NINFREOL</v>
      </c>
      <c r="B1112" s="146" t="str">
        <v>2020</v>
      </c>
      <c r="C1112" s="146" t="str">
        <v>1</v>
      </c>
      <c r="D1112" s="146" t="str">
        <v>TITULADO</v>
      </c>
      <c r="E1112" s="146" t="str">
        <v>31 - TITULADO APROBADO</v>
      </c>
      <c r="F1112" s="146" t="n">
        <v>3</v>
      </c>
    </row>
    <row r="1113" ht="32" customHeight="1">
      <c r="A1113" s="146" t="str">
        <v>NINFREOL</v>
      </c>
      <c r="B1113" s="146" t="str">
        <v>2020</v>
      </c>
      <c r="C1113" s="146" t="str">
        <v>2</v>
      </c>
      <c r="D1113" s="146" t="str">
        <v>ELIMINADO</v>
      </c>
      <c r="E1113" s="146" t="str">
        <v>23 - RETIRO - RETRACTO</v>
      </c>
      <c r="F1113" s="146" t="n">
        <v>2</v>
      </c>
    </row>
    <row r="1114" ht="32" customHeight="1">
      <c r="A1114" s="146" t="str">
        <v>NINFREOL</v>
      </c>
      <c r="B1114" s="146" t="str">
        <v>2021</v>
      </c>
      <c r="C1114" s="146" t="str">
        <v>1</v>
      </c>
      <c r="D1114" s="146" t="str">
        <v>TITULADO</v>
      </c>
      <c r="E1114" s="146" t="str">
        <v>31 - TITULADO APROBADO</v>
      </c>
      <c r="F1114" s="146" t="n">
        <v>10</v>
      </c>
    </row>
    <row r="1115" ht="32" customHeight="1">
      <c r="A1115" s="146" t="str">
        <v>NINFREOL</v>
      </c>
      <c r="B1115" s="146" t="str">
        <v>2022</v>
      </c>
      <c r="C1115" s="146" t="str">
        <v>1</v>
      </c>
      <c r="D1115" s="146" t="str">
        <v>TITULADO</v>
      </c>
      <c r="E1115" s="146" t="str">
        <v>31 - TITULADO APROBADO</v>
      </c>
      <c r="F1115" s="146" t="n">
        <v>1</v>
      </c>
    </row>
    <row r="1116" ht="32" customHeight="1">
      <c r="A1116" s="146" t="str">
        <v>NITMRE</v>
      </c>
      <c r="B1116" s="146" t="str">
        <v>2013</v>
      </c>
      <c r="C1116" s="146" t="str">
        <v>1</v>
      </c>
      <c r="D1116" s="146" t="str">
        <v>ELIMINADO</v>
      </c>
      <c r="E1116" s="146" t="str">
        <v>24 - CAMBIO DE CARRERA</v>
      </c>
      <c r="F1116" s="146" t="n">
        <v>1</v>
      </c>
    </row>
    <row r="1117" ht="32" customHeight="1">
      <c r="A1117" s="146" t="str">
        <v>NITMRE</v>
      </c>
      <c r="B1117" s="146" t="str">
        <v>2013</v>
      </c>
      <c r="C1117" s="146" t="str">
        <v>1</v>
      </c>
      <c r="D1117" s="146" t="str">
        <v>TITULADO</v>
      </c>
      <c r="E1117" s="146" t="str">
        <v>31 - TITULADO APROBADO</v>
      </c>
      <c r="F1117" s="146" t="n">
        <v>5</v>
      </c>
    </row>
    <row r="1118" ht="32" customHeight="1">
      <c r="A1118" s="146" t="str">
        <v>NITMRE</v>
      </c>
      <c r="B1118" s="146" t="str">
        <v>2013</v>
      </c>
      <c r="C1118" s="146" t="str">
        <v>2</v>
      </c>
      <c r="D1118" s="146" t="str">
        <v>ELIMINADO</v>
      </c>
      <c r="E1118" s="146" t="str">
        <v>24 - CAMBIO DE CARRERA</v>
      </c>
      <c r="F1118" s="146" t="n">
        <v>1</v>
      </c>
    </row>
    <row r="1119" ht="32" customHeight="1">
      <c r="A1119" s="146" t="str">
        <v>NITMRE</v>
      </c>
      <c r="B1119" s="146" t="str">
        <v>2013</v>
      </c>
      <c r="C1119" s="146" t="str">
        <v>2</v>
      </c>
      <c r="D1119" s="146" t="str">
        <v>TITULADO</v>
      </c>
      <c r="E1119" s="146" t="str">
        <v>31 - TITULADO APROBADO</v>
      </c>
      <c r="F1119" s="146" t="n">
        <v>4</v>
      </c>
    </row>
    <row r="1120" ht="32" customHeight="1">
      <c r="A1120" s="146" t="str">
        <v>NITMRE</v>
      </c>
      <c r="B1120" s="146" t="str">
        <v>2014</v>
      </c>
      <c r="C1120" s="146" t="str">
        <v>1</v>
      </c>
      <c r="D1120" s="146" t="str">
        <v>ELIMINADO</v>
      </c>
      <c r="E1120" s="146" t="str">
        <v>24 - CAMBIO DE CARRERA</v>
      </c>
      <c r="F1120" s="146" t="n">
        <v>2</v>
      </c>
    </row>
    <row r="1121" ht="32" customHeight="1">
      <c r="A1121" s="146" t="str">
        <v>NITMRE</v>
      </c>
      <c r="B1121" s="146" t="str">
        <v>2014</v>
      </c>
      <c r="C1121" s="146" t="str">
        <v>1</v>
      </c>
      <c r="D1121" s="146" t="str">
        <v>TITULADO</v>
      </c>
      <c r="E1121" s="146" t="str">
        <v>31 - TITULADO APROBADO</v>
      </c>
      <c r="F1121" s="146" t="n">
        <v>15</v>
      </c>
    </row>
    <row r="1122" ht="32" customHeight="1">
      <c r="A1122" s="146" t="str">
        <v>NITMRE</v>
      </c>
      <c r="B1122" s="146" t="str">
        <v>2014</v>
      </c>
      <c r="C1122" s="146" t="str">
        <v>2</v>
      </c>
      <c r="D1122" s="146" t="str">
        <v>TITULADO</v>
      </c>
      <c r="E1122" s="146" t="str">
        <v>31 - TITULADO APROBADO</v>
      </c>
      <c r="F1122" s="146" t="n">
        <v>5</v>
      </c>
    </row>
    <row r="1123" ht="32" customHeight="1">
      <c r="A1123" s="146" t="str">
        <v>NITMRE</v>
      </c>
      <c r="B1123" s="146" t="str">
        <v>2015</v>
      </c>
      <c r="C1123" s="146" t="str">
        <v>1</v>
      </c>
      <c r="D1123" s="146" t="str">
        <v>ELIMINADO</v>
      </c>
      <c r="E1123" s="146" t="str">
        <v>24 - CAMBIO DE CARRERA</v>
      </c>
      <c r="F1123" s="146" t="n">
        <v>5</v>
      </c>
    </row>
    <row r="1124" ht="32" customHeight="1">
      <c r="A1124" s="146" t="str">
        <v>NITMRE</v>
      </c>
      <c r="B1124" s="146" t="str">
        <v>2015</v>
      </c>
      <c r="C1124" s="146" t="str">
        <v>1</v>
      </c>
      <c r="D1124" s="146" t="str">
        <v>ELIMINADO</v>
      </c>
      <c r="E1124" s="146" t="str">
        <v>3 - ELIMINACION AUTOMATICA</v>
      </c>
      <c r="F1124" s="146" t="n">
        <v>1</v>
      </c>
    </row>
    <row r="1125" ht="32" customHeight="1">
      <c r="A1125" s="146" t="str">
        <v>NITMRE</v>
      </c>
      <c r="B1125" s="146" t="str">
        <v>2015</v>
      </c>
      <c r="C1125" s="146" t="str">
        <v>1</v>
      </c>
      <c r="D1125" s="146" t="str">
        <v>TITULADO</v>
      </c>
      <c r="E1125" s="146" t="str">
        <v>31 - TITULADO APROBADO</v>
      </c>
      <c r="F1125" s="146" t="n">
        <v>15</v>
      </c>
    </row>
    <row r="1126" ht="32" customHeight="1">
      <c r="A1126" s="146" t="str">
        <v>NITMRE</v>
      </c>
      <c r="B1126" s="146" t="str">
        <v>2015</v>
      </c>
      <c r="C1126" s="146" t="str">
        <v>2</v>
      </c>
      <c r="D1126" s="146" t="str">
        <v>TITULADO</v>
      </c>
      <c r="E1126" s="146" t="str">
        <v>31 - TITULADO APROBADO</v>
      </c>
      <c r="F1126" s="146" t="n">
        <v>4</v>
      </c>
    </row>
    <row r="1127" ht="32" customHeight="1">
      <c r="A1127" s="146" t="str">
        <v>NITMRE</v>
      </c>
      <c r="B1127" s="146" t="str">
        <v>2016</v>
      </c>
      <c r="C1127" s="146" t="str">
        <v>1</v>
      </c>
      <c r="D1127" s="146" t="str">
        <v>ELIMINADO</v>
      </c>
      <c r="E1127" s="146" t="str">
        <v>3 - ELIMINACION AUTOMATICA</v>
      </c>
      <c r="F1127" s="146" t="n">
        <v>1</v>
      </c>
    </row>
    <row r="1128" ht="32" customHeight="1">
      <c r="A1128" s="146" t="str">
        <v>NITMRE</v>
      </c>
      <c r="B1128" s="146" t="str">
        <v>2016</v>
      </c>
      <c r="C1128" s="146" t="str">
        <v>1</v>
      </c>
      <c r="D1128" s="146" t="str">
        <v>TITULADO</v>
      </c>
      <c r="E1128" s="146" t="str">
        <v>31 - TITULADO APROBADO</v>
      </c>
      <c r="F1128" s="146" t="n">
        <v>27</v>
      </c>
    </row>
    <row r="1129" ht="32" customHeight="1">
      <c r="A1129" s="146" t="str">
        <v>NITMRE</v>
      </c>
      <c r="B1129" s="146" t="str">
        <v>2016</v>
      </c>
      <c r="C1129" s="146" t="str">
        <v>2</v>
      </c>
      <c r="D1129" s="146" t="str">
        <v>ELIMINADO</v>
      </c>
      <c r="E1129" s="146" t="str">
        <v>1 - ALUMNO REGULAR</v>
      </c>
      <c r="F1129" s="146" t="n">
        <v>1</v>
      </c>
    </row>
    <row r="1130" ht="32" customHeight="1">
      <c r="A1130" s="146" t="str">
        <v>NITMRE</v>
      </c>
      <c r="B1130" s="146" t="str">
        <v>2016</v>
      </c>
      <c r="C1130" s="146" t="str">
        <v>2</v>
      </c>
      <c r="D1130" s="146" t="str">
        <v>ELIMINADO</v>
      </c>
      <c r="E1130" s="146" t="str">
        <v>3 - ELIMINACION AUTOMATICA</v>
      </c>
      <c r="F1130" s="146" t="n">
        <v>1</v>
      </c>
    </row>
    <row r="1131" ht="32" customHeight="1">
      <c r="A1131" s="146" t="str">
        <v>NITMRE</v>
      </c>
      <c r="B1131" s="146" t="str">
        <v>2016</v>
      </c>
      <c r="C1131" s="146" t="str">
        <v>2</v>
      </c>
      <c r="D1131" s="146" t="str">
        <v>TITULADO</v>
      </c>
      <c r="E1131" s="146" t="str">
        <v>31 - TITULADO APROBADO</v>
      </c>
      <c r="F1131" s="146" t="n">
        <v>3</v>
      </c>
    </row>
    <row r="1132" ht="32" customHeight="1">
      <c r="A1132" s="146" t="str">
        <v>NITMRE</v>
      </c>
      <c r="B1132" s="146" t="str">
        <v>2017</v>
      </c>
      <c r="C1132" s="146" t="str">
        <v>1</v>
      </c>
      <c r="D1132" s="146" t="str">
        <v>ELIMINADO</v>
      </c>
      <c r="E1132" s="146" t="str">
        <v>3 - ELIMINACION AUTOMATICA</v>
      </c>
      <c r="F1132" s="146" t="n">
        <v>11</v>
      </c>
    </row>
    <row r="1133" ht="32" customHeight="1">
      <c r="A1133" s="146" t="str">
        <v>NITMRE</v>
      </c>
      <c r="B1133" s="146" t="str">
        <v>2017</v>
      </c>
      <c r="C1133" s="146" t="str">
        <v>1</v>
      </c>
      <c r="D1133" s="146" t="str">
        <v>TITULADO</v>
      </c>
      <c r="E1133" s="146" t="str">
        <v>31 - TITULADO APROBADO</v>
      </c>
      <c r="F1133" s="146" t="n">
        <v>19</v>
      </c>
    </row>
    <row r="1134" ht="32" customHeight="1">
      <c r="A1134" s="146" t="str">
        <v>NITMRE</v>
      </c>
      <c r="B1134" s="146" t="str">
        <v>2017</v>
      </c>
      <c r="C1134" s="146" t="str">
        <v>2</v>
      </c>
      <c r="D1134" s="146" t="str">
        <v>ELIMINADO</v>
      </c>
      <c r="E1134" s="146" t="str">
        <v>24 - CAMBIO DE CARRERA</v>
      </c>
      <c r="F1134" s="146" t="n">
        <v>1</v>
      </c>
    </row>
    <row r="1135" ht="32" customHeight="1">
      <c r="A1135" s="146" t="str">
        <v>NITMRE</v>
      </c>
      <c r="B1135" s="146" t="str">
        <v>2017</v>
      </c>
      <c r="C1135" s="146" t="str">
        <v>2</v>
      </c>
      <c r="D1135" s="146" t="str">
        <v>TITULADO</v>
      </c>
      <c r="E1135" s="146" t="str">
        <v>31 - TITULADO APROBADO</v>
      </c>
      <c r="F1135" s="146" t="n">
        <v>1</v>
      </c>
    </row>
    <row r="1136" ht="32" customHeight="1">
      <c r="A1136" s="146" t="str">
        <v>NITMRE</v>
      </c>
      <c r="B1136" s="146" t="str">
        <v>2018</v>
      </c>
      <c r="C1136" s="146" t="str">
        <v>1</v>
      </c>
      <c r="D1136" s="146" t="str">
        <v>ELIMINADO</v>
      </c>
      <c r="E1136" s="146" t="str">
        <v>23 - RETIRO - RETRACTO</v>
      </c>
      <c r="F1136" s="146" t="n">
        <v>1</v>
      </c>
    </row>
    <row r="1137" ht="32" customHeight="1">
      <c r="A1137" s="146" t="str">
        <v>NITMRE</v>
      </c>
      <c r="B1137" s="146" t="str">
        <v>2018</v>
      </c>
      <c r="C1137" s="146" t="str">
        <v>1</v>
      </c>
      <c r="D1137" s="146" t="str">
        <v>ELIMINADO</v>
      </c>
      <c r="E1137" s="146" t="str">
        <v>24 - CAMBIO DE CARRERA</v>
      </c>
      <c r="F1137" s="146" t="n">
        <v>1</v>
      </c>
    </row>
    <row r="1138" ht="32" customHeight="1">
      <c r="A1138" s="146" t="str">
        <v>NITMRE</v>
      </c>
      <c r="B1138" s="146" t="str">
        <v>2018</v>
      </c>
      <c r="C1138" s="146" t="str">
        <v>1</v>
      </c>
      <c r="D1138" s="146" t="str">
        <v>TITULADO</v>
      </c>
      <c r="E1138" s="146" t="str">
        <v>31 - TITULADO APROBADO</v>
      </c>
      <c r="F1138" s="146" t="n">
        <v>30</v>
      </c>
    </row>
    <row r="1139" ht="32" customHeight="1">
      <c r="A1139" s="146" t="str">
        <v>NITMRE</v>
      </c>
      <c r="B1139" s="146" t="str">
        <v>2018</v>
      </c>
      <c r="C1139" s="146" t="str">
        <v>1</v>
      </c>
      <c r="D1139" s="146" t="str">
        <v>VIGENTE</v>
      </c>
      <c r="E1139" s="146" t="str">
        <v>38 - REINCORPORACION DE ACTIVIDADES</v>
      </c>
      <c r="F1139" s="146" t="n">
        <v>1</v>
      </c>
    </row>
    <row r="1140" ht="32" customHeight="1">
      <c r="A1140" s="146" t="str">
        <v>NITMRE</v>
      </c>
      <c r="B1140" s="146" t="str">
        <v>2018</v>
      </c>
      <c r="C1140" s="146" t="str">
        <v>2</v>
      </c>
      <c r="D1140" s="146" t="str">
        <v>ELIMINADO</v>
      </c>
      <c r="E1140" s="146" t="str">
        <v>3 - ELIMINACION AUTOMATICA</v>
      </c>
      <c r="F1140" s="146" t="n">
        <v>1</v>
      </c>
    </row>
    <row r="1141" ht="32" customHeight="1">
      <c r="A1141" s="146" t="str">
        <v>NITMRE</v>
      </c>
      <c r="B1141" s="146" t="str">
        <v>2019</v>
      </c>
      <c r="C1141" s="146" t="str">
        <v>1</v>
      </c>
      <c r="D1141" s="146" t="str">
        <v>ELIMINADO</v>
      </c>
      <c r="E1141" s="146" t="str">
        <v>1 - ALUMNO REGULAR</v>
      </c>
      <c r="F1141" s="146" t="n">
        <v>1</v>
      </c>
    </row>
    <row r="1142" ht="32" customHeight="1">
      <c r="A1142" s="146" t="str">
        <v>NITMRE</v>
      </c>
      <c r="B1142" s="146" t="str">
        <v>2019</v>
      </c>
      <c r="C1142" s="146" t="str">
        <v>1</v>
      </c>
      <c r="D1142" s="146" t="str">
        <v>TITULADO</v>
      </c>
      <c r="E1142" s="146" t="str">
        <v>31 - TITULADO APROBADO</v>
      </c>
      <c r="F1142" s="146" t="n">
        <v>17</v>
      </c>
    </row>
    <row r="1143" ht="32" customHeight="1">
      <c r="A1143" s="146" t="str">
        <v>NITMRE</v>
      </c>
      <c r="B1143" s="146" t="str">
        <v>2021</v>
      </c>
      <c r="C1143" s="146" t="str">
        <v>1</v>
      </c>
      <c r="D1143" s="146" t="str">
        <v>TITULADO</v>
      </c>
      <c r="E1143" s="146" t="str">
        <v>31 - TITULADO APROBADO</v>
      </c>
      <c r="F1143" s="146" t="n">
        <v>1</v>
      </c>
    </row>
    <row r="1144" ht="32" customHeight="1">
      <c r="A1144" s="146" t="str">
        <v>NITMRE</v>
      </c>
      <c r="B1144" s="146" t="str">
        <v>2025</v>
      </c>
      <c r="C1144" s="146" t="str">
        <v>1</v>
      </c>
      <c r="D1144" s="146" t="str">
        <v>TITULADO</v>
      </c>
      <c r="E1144" s="146" t="str">
        <v>31 - TITULADO APROBADO</v>
      </c>
      <c r="F1144" s="146" t="n">
        <v>1</v>
      </c>
    </row>
    <row r="1145" ht="32" customHeight="1">
      <c r="A1145" s="146" t="str">
        <v>NTCCRE</v>
      </c>
      <c r="B1145" s="146" t="str">
        <v>2019</v>
      </c>
      <c r="C1145" s="146" t="str">
        <v>1</v>
      </c>
      <c r="D1145" s="146" t="str">
        <v>ELIMINADO</v>
      </c>
      <c r="E1145" s="146" t="str">
        <v>1 - ALUMNO REGULAR</v>
      </c>
      <c r="F1145" s="146" t="n">
        <v>3</v>
      </c>
    </row>
    <row r="1146" ht="32" customHeight="1">
      <c r="A1146" s="146" t="str">
        <v>NTCCRE</v>
      </c>
      <c r="B1146" s="146" t="str">
        <v>2019</v>
      </c>
      <c r="C1146" s="146" t="str">
        <v>1</v>
      </c>
      <c r="D1146" s="146" t="str">
        <v>ELIMINADO</v>
      </c>
      <c r="E1146" s="146" t="str">
        <v>24 - CAMBIO DE CARRERA</v>
      </c>
      <c r="F1146" s="146" t="n">
        <v>1</v>
      </c>
    </row>
    <row r="1147" ht="32" customHeight="1">
      <c r="A1147" s="146" t="str">
        <v>NTCCRE</v>
      </c>
      <c r="B1147" s="146" t="str">
        <v>2020</v>
      </c>
      <c r="C1147" s="146" t="str">
        <v>1</v>
      </c>
      <c r="D1147" s="146" t="str">
        <v>ELIMINADO</v>
      </c>
      <c r="E1147" s="146" t="str">
        <v>23 - RETIRO - RETRACTO</v>
      </c>
      <c r="F1147" s="146" t="n">
        <v>2</v>
      </c>
    </row>
    <row r="1148" ht="32" customHeight="1">
      <c r="A1148" s="146" t="str">
        <v>NTCCRE</v>
      </c>
      <c r="B1148" s="146" t="str">
        <v>2020</v>
      </c>
      <c r="C1148" s="146" t="str">
        <v>1</v>
      </c>
      <c r="D1148" s="146" t="str">
        <v>ELIMINADO</v>
      </c>
      <c r="E1148" s="146" t="str">
        <v>24 - CAMBIO DE CARRERA</v>
      </c>
      <c r="F1148" s="146" t="n">
        <v>2</v>
      </c>
    </row>
    <row r="1149" ht="32" customHeight="1">
      <c r="A1149" s="146" t="str">
        <v>NTCCRE</v>
      </c>
      <c r="B1149" s="146" t="str">
        <v>2020</v>
      </c>
      <c r="C1149" s="146" t="str">
        <v>1</v>
      </c>
      <c r="D1149" s="146" t="str">
        <v>ELIMINADO</v>
      </c>
      <c r="E1149" s="146" t="str">
        <v>3 - ELIMINACION AUTOMATICA</v>
      </c>
      <c r="F1149" s="146" t="n">
        <v>2</v>
      </c>
    </row>
    <row r="1150" ht="32" customHeight="1">
      <c r="A1150" s="146" t="str">
        <v>NTCCRE</v>
      </c>
      <c r="B1150" s="146" t="str">
        <v>2021</v>
      </c>
      <c r="C1150" s="146" t="str">
        <v>1</v>
      </c>
      <c r="D1150" s="146" t="str">
        <v>ELIMINADO</v>
      </c>
      <c r="E1150" s="146" t="str">
        <v>1 - ALUMNO REGULAR</v>
      </c>
      <c r="F1150" s="146" t="n">
        <v>1</v>
      </c>
    </row>
    <row r="1151" ht="32" customHeight="1">
      <c r="A1151" s="146" t="str">
        <v>NTCCRE</v>
      </c>
      <c r="B1151" s="146" t="str">
        <v>2021</v>
      </c>
      <c r="C1151" s="146" t="str">
        <v>1</v>
      </c>
      <c r="D1151" s="146" t="str">
        <v>ELIMINADO</v>
      </c>
      <c r="E1151" s="146" t="str">
        <v>24 - CAMBIO DE CARRERA</v>
      </c>
      <c r="F1151" s="146" t="n">
        <v>1</v>
      </c>
    </row>
    <row r="1152" ht="32" customHeight="1">
      <c r="A1152" s="146" t="str">
        <v>NTCCRE</v>
      </c>
      <c r="B1152" s="146" t="str">
        <v>2021</v>
      </c>
      <c r="C1152" s="146" t="str">
        <v>1</v>
      </c>
      <c r="D1152" s="146" t="str">
        <v>TITULADO</v>
      </c>
      <c r="E1152" s="146" t="str">
        <v>31 - TITULADO APROBADO</v>
      </c>
      <c r="F1152" s="146" t="n">
        <v>18</v>
      </c>
    </row>
    <row r="1153" ht="32" customHeight="1">
      <c r="A1153" s="146" t="str">
        <v>NTCCRE</v>
      </c>
      <c r="B1153" s="146" t="str">
        <v>2022</v>
      </c>
      <c r="C1153" s="146" t="str">
        <v>1</v>
      </c>
      <c r="D1153" s="146" t="str">
        <v>ELIMINADO</v>
      </c>
      <c r="E1153" s="146" t="str">
        <v>1 - ALUMNO REGULAR</v>
      </c>
      <c r="F1153" s="146" t="n">
        <v>1</v>
      </c>
    </row>
    <row r="1154" ht="32" customHeight="1">
      <c r="A1154" s="146" t="str">
        <v>NTCCRE</v>
      </c>
      <c r="B1154" s="146" t="str">
        <v>2022</v>
      </c>
      <c r="C1154" s="146" t="str">
        <v>1</v>
      </c>
      <c r="D1154" s="146" t="str">
        <v>ELIMINADO</v>
      </c>
      <c r="E1154" s="146" t="str">
        <v>24 - CAMBIO DE CARRERA</v>
      </c>
      <c r="F1154" s="146" t="n">
        <v>9</v>
      </c>
    </row>
    <row r="1155" ht="32" customHeight="1">
      <c r="A1155" s="146" t="str">
        <v>NTCCRE</v>
      </c>
      <c r="B1155" s="146" t="str">
        <v>2022</v>
      </c>
      <c r="C1155" s="146" t="str">
        <v>1</v>
      </c>
      <c r="D1155" s="146" t="str">
        <v>TITULADO</v>
      </c>
      <c r="E1155" s="146" t="str">
        <v>31 - TITULADO APROBADO</v>
      </c>
      <c r="F1155" s="146" t="n">
        <v>10</v>
      </c>
    </row>
    <row r="1156" ht="32" customHeight="1">
      <c r="A1156" s="146" t="str">
        <v>NTCCREOL</v>
      </c>
      <c r="B1156" s="146" t="str">
        <v>2020</v>
      </c>
      <c r="C1156" s="146" t="str">
        <v>2</v>
      </c>
      <c r="D1156" s="146" t="str">
        <v>ELIMINADO</v>
      </c>
      <c r="E1156" s="146" t="str">
        <v>3 - ELIMINACION AUTOMATICA</v>
      </c>
      <c r="F1156" s="146" t="n">
        <v>1</v>
      </c>
    </row>
    <row r="1157" ht="32" customHeight="1">
      <c r="A1157" s="146" t="str">
        <v>NTCCREOL</v>
      </c>
      <c r="B1157" s="146" t="str">
        <v>2021</v>
      </c>
      <c r="C1157" s="146" t="str">
        <v>1</v>
      </c>
      <c r="D1157" s="146" t="str">
        <v>ELIMINADO</v>
      </c>
      <c r="E1157" s="146" t="str">
        <v>1 - ALUMNO REGULAR</v>
      </c>
      <c r="F1157" s="146" t="n">
        <v>2</v>
      </c>
    </row>
    <row r="1158" ht="32" customHeight="1">
      <c r="A1158" s="146" t="str">
        <v>NTCCREOL</v>
      </c>
      <c r="B1158" s="146" t="str">
        <v>2022</v>
      </c>
      <c r="C1158" s="146" t="str">
        <v>1</v>
      </c>
      <c r="D1158" s="146" t="str">
        <v>TITULADO</v>
      </c>
      <c r="E1158" s="146" t="str">
        <v>31 - TITULADO APROBADO</v>
      </c>
      <c r="F1158" s="146" t="n">
        <v>16</v>
      </c>
    </row>
    <row r="1159" ht="32" customHeight="1">
      <c r="A1159" s="146" t="str">
        <v>NTCCREOL</v>
      </c>
      <c r="B1159" s="146" t="str">
        <v>2023</v>
      </c>
      <c r="C1159" s="146" t="str">
        <v>1</v>
      </c>
      <c r="D1159" s="146" t="str">
        <v>TITULADO</v>
      </c>
      <c r="E1159" s="146" t="str">
        <v>31 - TITULADO APROBADO</v>
      </c>
      <c r="F1159" s="146" t="n">
        <v>1</v>
      </c>
    </row>
    <row r="1160" ht="32" customHeight="1">
      <c r="A1160" s="146" t="str">
        <v>PMTEIQ</v>
      </c>
      <c r="B1160" s="146" t="str">
        <v>2027</v>
      </c>
      <c r="C1160" s="146" t="str">
        <v>1</v>
      </c>
      <c r="D1160" s="146" t="str">
        <v>VIGENTE</v>
      </c>
      <c r="E1160" s="146" t="str">
        <v>1 - ALUMNO REGULAR</v>
      </c>
      <c r="F1160" s="146" t="n">
        <v>5</v>
      </c>
    </row>
    <row r="1161" ht="32" customHeight="1">
      <c r="A1161" s="146" t="str">
        <v>PMTENS</v>
      </c>
      <c r="B1161" s="146" t="str">
        <v>2027</v>
      </c>
      <c r="C1161" s="146" t="str">
        <v>1</v>
      </c>
      <c r="D1161" s="146" t="str">
        <v>VIGENTE</v>
      </c>
      <c r="E1161" s="146" t="str">
        <v>1 - ALUMNO REGULAR</v>
      </c>
      <c r="F1161" s="146" t="n">
        <v>2</v>
      </c>
    </row>
    <row r="1162" ht="32" customHeight="1">
      <c r="A1162" s="146" t="str">
        <v>PMTFAR</v>
      </c>
      <c r="B1162" s="146" t="str">
        <v>2027</v>
      </c>
      <c r="C1162" s="146" t="str">
        <v>1</v>
      </c>
      <c r="D1162" s="146" t="str">
        <v>VIGENTE</v>
      </c>
      <c r="E1162" s="146" t="str">
        <v>1 - ALUMNO REGULAR</v>
      </c>
      <c r="F1162" s="146" t="n">
        <v>2</v>
      </c>
    </row>
    <row r="1163" ht="32" customHeight="1">
      <c r="A1163" s="146" t="str">
        <v>TACI</v>
      </c>
      <c r="B1163" s="146" t="str">
        <v>2024</v>
      </c>
      <c r="C1163" s="146" t="str">
        <v>1</v>
      </c>
      <c r="D1163" s="146" t="str">
        <v>ELIMINADO</v>
      </c>
      <c r="E1163" s="146" t="str">
        <v>23 - RETIRO - RETRACTO</v>
      </c>
      <c r="F1163" s="146" t="n">
        <v>1</v>
      </c>
    </row>
    <row r="1164" ht="32" customHeight="1">
      <c r="A1164" s="146" t="str">
        <v>TACI</v>
      </c>
      <c r="B1164" s="146" t="str">
        <v>2024</v>
      </c>
      <c r="C1164" s="146" t="str">
        <v>1</v>
      </c>
      <c r="D1164" s="146" t="str">
        <v>ELIMINADO</v>
      </c>
      <c r="E1164" s="146" t="str">
        <v>24 - CAMBIO DE CARRERA</v>
      </c>
      <c r="F1164" s="146" t="n">
        <v>1</v>
      </c>
    </row>
    <row r="1165" ht="32" customHeight="1">
      <c r="A1165" s="146" t="str">
        <v>TADP</v>
      </c>
      <c r="B1165" s="146" t="str">
        <v>2025</v>
      </c>
      <c r="C1165" s="146" t="str">
        <v>1</v>
      </c>
      <c r="D1165" s="146" t="str">
        <v>ELIMINADO</v>
      </c>
      <c r="E1165" s="146" t="str">
        <v>11 - RENUNCIA POST INICIO CLASES</v>
      </c>
      <c r="F1165" s="146" t="n">
        <v>8</v>
      </c>
    </row>
    <row r="1166" ht="32" customHeight="1">
      <c r="A1166" s="146" t="str">
        <v>TADP</v>
      </c>
      <c r="B1166" s="146" t="str">
        <v>2025</v>
      </c>
      <c r="C1166" s="146" t="str">
        <v>1</v>
      </c>
      <c r="D1166" s="146" t="str">
        <v>ELIMINADO</v>
      </c>
      <c r="E1166" s="146" t="str">
        <v>23 - RETIRO - RETRACTO</v>
      </c>
      <c r="F1166" s="146" t="n">
        <v>6</v>
      </c>
    </row>
    <row r="1167" ht="32" customHeight="1">
      <c r="A1167" s="146" t="str">
        <v>TADP</v>
      </c>
      <c r="B1167" s="146" t="str">
        <v>2025</v>
      </c>
      <c r="C1167" s="146" t="str">
        <v>1</v>
      </c>
      <c r="D1167" s="146" t="str">
        <v>VIGENTE</v>
      </c>
      <c r="E1167" s="146" t="str">
        <v>1 - ALUMNO REGULAR</v>
      </c>
      <c r="F1167" s="146" t="n">
        <v>6</v>
      </c>
    </row>
    <row r="1168" ht="32" customHeight="1">
      <c r="A1168" s="146" t="str">
        <v>TADP</v>
      </c>
      <c r="B1168" s="146" t="str">
        <v>2025</v>
      </c>
      <c r="C1168" s="146" t="str">
        <v>1</v>
      </c>
      <c r="D1168" s="146" t="str">
        <v>VIGENTE</v>
      </c>
      <c r="E1168" s="146" t="str">
        <v>20 - VIGENTE SIN ACTIVIDAD ACADEMICA</v>
      </c>
      <c r="F1168" s="146" t="n">
        <v>6</v>
      </c>
    </row>
    <row r="1169" ht="32" customHeight="1">
      <c r="A1169" s="146" t="str">
        <v>TADP</v>
      </c>
      <c r="B1169" s="146" t="str">
        <v>2026</v>
      </c>
      <c r="C1169" s="146" t="str">
        <v>1</v>
      </c>
      <c r="D1169" s="146" t="str">
        <v>ELIMINADO</v>
      </c>
      <c r="E1169" s="146" t="str">
        <v>11 - RENUNCIA POST INICIO CLASES</v>
      </c>
      <c r="F1169" s="146" t="n">
        <v>3</v>
      </c>
    </row>
    <row r="1170" ht="32" customHeight="1">
      <c r="A1170" s="146" t="str">
        <v>TADP</v>
      </c>
      <c r="B1170" s="146" t="str">
        <v>2026</v>
      </c>
      <c r="C1170" s="146" t="str">
        <v>1</v>
      </c>
      <c r="D1170" s="146" t="str">
        <v>ELIMINADO</v>
      </c>
      <c r="E1170" s="146" t="str">
        <v>23 - RETIRO - RETRACTO</v>
      </c>
      <c r="F1170" s="146" t="n">
        <v>5</v>
      </c>
    </row>
    <row r="1171" ht="32" customHeight="1">
      <c r="A1171" s="146" t="str">
        <v>TADP</v>
      </c>
      <c r="B1171" s="146" t="str">
        <v>2026</v>
      </c>
      <c r="C1171" s="146" t="str">
        <v>1</v>
      </c>
      <c r="D1171" s="146" t="str">
        <v>ELIMINADO</v>
      </c>
      <c r="E1171" s="146" t="str">
        <v>24 - CAMBIO DE CARRERA</v>
      </c>
      <c r="F1171" s="146" t="n">
        <v>2</v>
      </c>
    </row>
    <row r="1172" ht="32" customHeight="1">
      <c r="A1172" s="146" t="str">
        <v>TADP</v>
      </c>
      <c r="B1172" s="146" t="str">
        <v>2026</v>
      </c>
      <c r="C1172" s="146" t="str">
        <v>1</v>
      </c>
      <c r="D1172" s="146" t="str">
        <v>VIGENTE</v>
      </c>
      <c r="E1172" s="146" t="str">
        <v>1 - ALUMNO REGULAR</v>
      </c>
      <c r="F1172" s="146" t="n">
        <v>21</v>
      </c>
    </row>
    <row r="1173" ht="32" customHeight="1">
      <c r="A1173" s="146" t="str">
        <v>TADP</v>
      </c>
      <c r="B1173" s="146" t="str">
        <v>2026</v>
      </c>
      <c r="C1173" s="146" t="str">
        <v>2</v>
      </c>
      <c r="D1173" s="146" t="str">
        <v>VIGENTE</v>
      </c>
      <c r="E1173" s="146" t="str">
        <v>1 - ALUMNO REGULAR</v>
      </c>
      <c r="F1173" s="146" t="n">
        <v>1</v>
      </c>
    </row>
    <row r="1174" ht="32" customHeight="1">
      <c r="A1174" s="146" t="str">
        <v>TADP</v>
      </c>
      <c r="B1174" s="146" t="str">
        <v>2027</v>
      </c>
      <c r="C1174" s="146" t="str">
        <v>1</v>
      </c>
      <c r="D1174" s="146" t="str">
        <v>VIGENTE</v>
      </c>
      <c r="E1174" s="146" t="str">
        <v>1 - ALUMNO REGULAR</v>
      </c>
      <c r="F1174" s="146" t="n">
        <v>3</v>
      </c>
    </row>
    <row r="1175" ht="32" customHeight="1">
      <c r="A1175" s="146" t="str">
        <v>TAMD</v>
      </c>
      <c r="B1175" s="146" t="str">
        <v>2024</v>
      </c>
      <c r="C1175" s="146" t="str">
        <v>1</v>
      </c>
      <c r="D1175" s="146" t="str">
        <v>ELIMINADO</v>
      </c>
      <c r="E1175" s="146" t="str">
        <v>11 - RENUNCIA POST INICIO CLASES</v>
      </c>
      <c r="F1175" s="146" t="n">
        <v>3</v>
      </c>
    </row>
    <row r="1176" ht="32" customHeight="1">
      <c r="A1176" s="146" t="str">
        <v>TAMD</v>
      </c>
      <c r="B1176" s="146" t="str">
        <v>2024</v>
      </c>
      <c r="C1176" s="146" t="str">
        <v>1</v>
      </c>
      <c r="D1176" s="146" t="str">
        <v>ELIMINADO</v>
      </c>
      <c r="E1176" s="146" t="str">
        <v>23 - RETIRO - RETRACTO</v>
      </c>
      <c r="F1176" s="146" t="n">
        <v>6</v>
      </c>
    </row>
    <row r="1177" ht="32" customHeight="1">
      <c r="A1177" s="146" t="str">
        <v>TAMD</v>
      </c>
      <c r="B1177" s="146" t="str">
        <v>2024</v>
      </c>
      <c r="C1177" s="146" t="str">
        <v>1</v>
      </c>
      <c r="D1177" s="146" t="str">
        <v>ELIMINADO</v>
      </c>
      <c r="E1177" s="146" t="str">
        <v>7 - NO RENUEVA MATRICULA</v>
      </c>
      <c r="F1177" s="146" t="n">
        <v>5</v>
      </c>
    </row>
    <row r="1178" ht="32" customHeight="1">
      <c r="A1178" s="146" t="str">
        <v>TAMD</v>
      </c>
      <c r="B1178" s="146" t="str">
        <v>2024</v>
      </c>
      <c r="C1178" s="146" t="str">
        <v>1</v>
      </c>
      <c r="D1178" s="146" t="str">
        <v>ELIMINADO</v>
      </c>
      <c r="E1178" s="146" t="str">
        <v>8 - ELIMINADO SIN ACTIVIDAD ACADÉMICA</v>
      </c>
      <c r="F1178" s="146" t="n">
        <v>6</v>
      </c>
    </row>
    <row r="1179" ht="32" customHeight="1">
      <c r="A1179" s="146" t="str">
        <v>TAMD</v>
      </c>
      <c r="B1179" s="146" t="str">
        <v>2024</v>
      </c>
      <c r="C1179" s="146" t="str">
        <v>2</v>
      </c>
      <c r="D1179" s="146" t="str">
        <v>ELIMINADO</v>
      </c>
      <c r="E1179" s="146" t="str">
        <v>7 - NO RENUEVA MATRICULA</v>
      </c>
      <c r="F1179" s="146" t="n">
        <v>4</v>
      </c>
    </row>
    <row r="1180" ht="32" customHeight="1">
      <c r="A1180" s="146" t="str">
        <v>TAMD</v>
      </c>
      <c r="B1180" s="146" t="str">
        <v>2024</v>
      </c>
      <c r="C1180" s="146" t="str">
        <v>2</v>
      </c>
      <c r="D1180" s="146" t="str">
        <v>ELIMINADO</v>
      </c>
      <c r="E1180" s="146" t="str">
        <v>8 - ELIMINADO SIN ACTIVIDAD ACADÉMICA</v>
      </c>
      <c r="F1180" s="146" t="n">
        <v>1</v>
      </c>
    </row>
    <row r="1181" ht="32" customHeight="1">
      <c r="A1181" s="146" t="str">
        <v>TAMD</v>
      </c>
      <c r="B1181" s="146" t="str">
        <v>2025</v>
      </c>
      <c r="C1181" s="146" t="str">
        <v>1</v>
      </c>
      <c r="D1181" s="146" t="str">
        <v>ELIMINADO</v>
      </c>
      <c r="E1181" s="146" t="str">
        <v>11 - RENUNCIA POST INICIO CLASES</v>
      </c>
      <c r="F1181" s="146" t="n">
        <v>12</v>
      </c>
    </row>
    <row r="1182" ht="32" customHeight="1">
      <c r="A1182" s="146" t="str">
        <v>TAMD</v>
      </c>
      <c r="B1182" s="146" t="str">
        <v>2025</v>
      </c>
      <c r="C1182" s="146" t="str">
        <v>1</v>
      </c>
      <c r="D1182" s="146" t="str">
        <v>ELIMINADO</v>
      </c>
      <c r="E1182" s="146" t="str">
        <v>23 - RETIRO - RETRACTO</v>
      </c>
      <c r="F1182" s="146" t="n">
        <v>20</v>
      </c>
    </row>
    <row r="1183" ht="32" customHeight="1">
      <c r="A1183" s="146" t="str">
        <v>TAMD</v>
      </c>
      <c r="B1183" s="146" t="str">
        <v>2025</v>
      </c>
      <c r="C1183" s="146" t="str">
        <v>1</v>
      </c>
      <c r="D1183" s="146" t="str">
        <v>ELIMINADO</v>
      </c>
      <c r="E1183" s="146" t="str">
        <v>24 - CAMBIO DE CARRERA</v>
      </c>
      <c r="F1183" s="146" t="n">
        <v>3</v>
      </c>
    </row>
    <row r="1184" ht="32" customHeight="1">
      <c r="A1184" s="146" t="str">
        <v>TAMD</v>
      </c>
      <c r="B1184" s="146" t="str">
        <v>2025</v>
      </c>
      <c r="C1184" s="146" t="str">
        <v>1</v>
      </c>
      <c r="D1184" s="146" t="str">
        <v>SUSPENDIDO</v>
      </c>
      <c r="E1184" s="146" t="str">
        <v>2 - SUSPENSIÓN TEMPORAL</v>
      </c>
      <c r="F1184" s="146" t="n">
        <v>4</v>
      </c>
    </row>
    <row r="1185" ht="32" customHeight="1">
      <c r="A1185" s="146" t="str">
        <v>TAMD</v>
      </c>
      <c r="B1185" s="146" t="str">
        <v>2025</v>
      </c>
      <c r="C1185" s="146" t="str">
        <v>1</v>
      </c>
      <c r="D1185" s="146" t="str">
        <v>VIGENTE</v>
      </c>
      <c r="E1185" s="146" t="str">
        <v>1 - ALUMNO REGULAR</v>
      </c>
      <c r="F1185" s="146" t="n">
        <v>16</v>
      </c>
    </row>
    <row r="1186" ht="32" customHeight="1">
      <c r="A1186" s="146" t="str">
        <v>TAMD</v>
      </c>
      <c r="B1186" s="146" t="str">
        <v>2025</v>
      </c>
      <c r="C1186" s="146" t="str">
        <v>1</v>
      </c>
      <c r="D1186" s="146" t="str">
        <v>VIGENTE</v>
      </c>
      <c r="E1186" s="146" t="str">
        <v>20 - VIGENTE SIN ACTIVIDAD ACADEMICA</v>
      </c>
      <c r="F1186" s="146" t="n">
        <v>28</v>
      </c>
    </row>
    <row r="1187" ht="32" customHeight="1">
      <c r="A1187" s="146" t="str">
        <v>TAMD</v>
      </c>
      <c r="B1187" s="146" t="str">
        <v>2026</v>
      </c>
      <c r="C1187" s="146" t="str">
        <v>1</v>
      </c>
      <c r="D1187" s="146" t="str">
        <v>ELIMINADO</v>
      </c>
      <c r="E1187" s="146" t="str">
        <v>11 - RENUNCIA POST INICIO CLASES</v>
      </c>
      <c r="F1187" s="146" t="n">
        <v>11</v>
      </c>
    </row>
    <row r="1188" ht="32" customHeight="1">
      <c r="A1188" s="146" t="str">
        <v>TAMD</v>
      </c>
      <c r="B1188" s="146" t="str">
        <v>2026</v>
      </c>
      <c r="C1188" s="146" t="str">
        <v>1</v>
      </c>
      <c r="D1188" s="146" t="str">
        <v>ELIMINADO</v>
      </c>
      <c r="E1188" s="146" t="str">
        <v>23 - RETIRO - RETRACTO</v>
      </c>
      <c r="F1188" s="146" t="n">
        <v>19</v>
      </c>
    </row>
    <row r="1189" ht="32" customHeight="1">
      <c r="A1189" s="146" t="str">
        <v>TAMD</v>
      </c>
      <c r="B1189" s="146" t="str">
        <v>2026</v>
      </c>
      <c r="C1189" s="146" t="str">
        <v>1</v>
      </c>
      <c r="D1189" s="146" t="str">
        <v>ELIMINADO</v>
      </c>
      <c r="E1189" s="146" t="str">
        <v>24 - CAMBIO DE CARRERA</v>
      </c>
      <c r="F1189" s="146" t="n">
        <v>2</v>
      </c>
    </row>
    <row r="1190" ht="32" customHeight="1">
      <c r="A1190" s="146" t="str">
        <v>TAMD</v>
      </c>
      <c r="B1190" s="146" t="str">
        <v>2026</v>
      </c>
      <c r="C1190" s="146" t="str">
        <v>1</v>
      </c>
      <c r="D1190" s="146" t="str">
        <v>ELIMINADO</v>
      </c>
      <c r="E1190" s="146" t="str">
        <v>8 - ELIMINADO SIN ACTIVIDAD ACADÉMICA</v>
      </c>
      <c r="F1190" s="146" t="n">
        <v>30</v>
      </c>
    </row>
    <row r="1191" ht="32" customHeight="1">
      <c r="A1191" s="146" t="str">
        <v>TAMD</v>
      </c>
      <c r="B1191" s="146" t="str">
        <v>2026</v>
      </c>
      <c r="C1191" s="146" t="str">
        <v>1</v>
      </c>
      <c r="D1191" s="146" t="str">
        <v>SUSPENDIDO</v>
      </c>
      <c r="E1191" s="146" t="str">
        <v>2 - SUSPENSIÓN TEMPORAL</v>
      </c>
      <c r="F1191" s="146" t="n">
        <v>1</v>
      </c>
    </row>
    <row r="1192" ht="32" customHeight="1">
      <c r="A1192" s="146" t="str">
        <v>TAMD</v>
      </c>
      <c r="B1192" s="146" t="str">
        <v>2026</v>
      </c>
      <c r="C1192" s="146" t="str">
        <v>1</v>
      </c>
      <c r="D1192" s="146" t="str">
        <v>TITULADO</v>
      </c>
      <c r="E1192" s="146" t="str">
        <v>31 - TITULADO APROBADO</v>
      </c>
      <c r="F1192" s="146" t="n">
        <v>6</v>
      </c>
    </row>
    <row r="1193" ht="32" customHeight="1">
      <c r="A1193" s="146" t="str">
        <v>TAMD</v>
      </c>
      <c r="B1193" s="146" t="str">
        <v>2026</v>
      </c>
      <c r="C1193" s="146" t="str">
        <v>1</v>
      </c>
      <c r="D1193" s="146" t="str">
        <v>VIGENTE</v>
      </c>
      <c r="E1193" s="146" t="str">
        <v>1 - ALUMNO REGULAR</v>
      </c>
      <c r="F1193" s="146" t="n">
        <v>97</v>
      </c>
    </row>
    <row r="1194" ht="32" customHeight="1">
      <c r="A1194" s="146" t="str">
        <v>TAMD</v>
      </c>
      <c r="B1194" s="146" t="str">
        <v>2026</v>
      </c>
      <c r="C1194" s="146" t="str">
        <v>1</v>
      </c>
      <c r="D1194" s="146" t="str">
        <v>VIGENTE</v>
      </c>
      <c r="E1194" s="146" t="str">
        <v>38 - REINCORPORACION DE ACTIVIDADES</v>
      </c>
      <c r="F1194" s="146" t="n">
        <v>5</v>
      </c>
    </row>
    <row r="1195" ht="32" customHeight="1">
      <c r="A1195" s="146" t="str">
        <v>TAMD</v>
      </c>
      <c r="B1195" s="146" t="str">
        <v>2026</v>
      </c>
      <c r="C1195" s="146" t="str">
        <v>1</v>
      </c>
      <c r="D1195" s="146" t="str">
        <v>VIGENTE</v>
      </c>
      <c r="E1195" s="146" t="str">
        <v>49 - CAMBIO DE JORNADA</v>
      </c>
      <c r="F1195" s="146" t="n">
        <v>5</v>
      </c>
    </row>
    <row r="1196" ht="32" customHeight="1">
      <c r="A1196" s="146" t="str">
        <v>TAMD</v>
      </c>
      <c r="B1196" s="146" t="str">
        <v>2026</v>
      </c>
      <c r="C1196" s="146" t="str">
        <v>2</v>
      </c>
      <c r="D1196" s="146" t="str">
        <v>ELIMINADO</v>
      </c>
      <c r="E1196" s="146" t="str">
        <v>11 - RENUNCIA POST INICIO CLASES</v>
      </c>
      <c r="F1196" s="146" t="n">
        <v>5</v>
      </c>
    </row>
    <row r="1197" ht="32" customHeight="1">
      <c r="A1197" s="146" t="str">
        <v>TAMD</v>
      </c>
      <c r="B1197" s="146" t="str">
        <v>2026</v>
      </c>
      <c r="C1197" s="146" t="str">
        <v>2</v>
      </c>
      <c r="D1197" s="146" t="str">
        <v>ELIMINADO</v>
      </c>
      <c r="E1197" s="146" t="str">
        <v>23 - RETIRO - RETRACTO</v>
      </c>
      <c r="F1197" s="146" t="n">
        <v>1</v>
      </c>
    </row>
    <row r="1198" ht="32" customHeight="1">
      <c r="A1198" s="146" t="str">
        <v>TAMD</v>
      </c>
      <c r="B1198" s="146" t="str">
        <v>2026</v>
      </c>
      <c r="C1198" s="146" t="str">
        <v>2</v>
      </c>
      <c r="D1198" s="146" t="str">
        <v>ELIMINADO</v>
      </c>
      <c r="E1198" s="146" t="str">
        <v>24 - CAMBIO DE CARRERA</v>
      </c>
      <c r="F1198" s="146" t="n">
        <v>1</v>
      </c>
    </row>
    <row r="1199" ht="32" customHeight="1">
      <c r="A1199" s="146" t="str">
        <v>TAMD</v>
      </c>
      <c r="B1199" s="146" t="str">
        <v>2026</v>
      </c>
      <c r="C1199" s="146" t="str">
        <v>2</v>
      </c>
      <c r="D1199" s="146" t="str">
        <v>VIGENTE</v>
      </c>
      <c r="E1199" s="146" t="str">
        <v>1 - ALUMNO REGULAR</v>
      </c>
      <c r="F1199" s="146" t="n">
        <v>30</v>
      </c>
    </row>
    <row r="1200" ht="32" customHeight="1">
      <c r="A1200" s="146" t="str">
        <v>TAMD</v>
      </c>
      <c r="B1200" s="146" t="str">
        <v>2026</v>
      </c>
      <c r="C1200" s="146" t="str">
        <v>3</v>
      </c>
      <c r="D1200" s="146" t="str">
        <v>ELIMINADO</v>
      </c>
      <c r="E1200" s="146" t="str">
        <v>23 - RETIRO - RETRACTO</v>
      </c>
      <c r="F1200" s="146" t="n">
        <v>5</v>
      </c>
    </row>
    <row r="1201" ht="32" customHeight="1">
      <c r="A1201" s="146" t="str">
        <v>TAMD</v>
      </c>
      <c r="B1201" s="146" t="str">
        <v>2026</v>
      </c>
      <c r="C1201" s="146" t="str">
        <v>3</v>
      </c>
      <c r="D1201" s="146" t="str">
        <v>ELIMINADO</v>
      </c>
      <c r="E1201" s="146" t="str">
        <v>24 - CAMBIO DE CARRERA</v>
      </c>
      <c r="F1201" s="146" t="n">
        <v>2</v>
      </c>
    </row>
    <row r="1202" ht="32" customHeight="1">
      <c r="A1202" s="146" t="str">
        <v>TAMD</v>
      </c>
      <c r="B1202" s="146" t="str">
        <v>2026</v>
      </c>
      <c r="C1202" s="146" t="str">
        <v>3</v>
      </c>
      <c r="D1202" s="146" t="str">
        <v>VIGENTE</v>
      </c>
      <c r="E1202" s="146" t="str">
        <v>1 - ALUMNO REGULAR</v>
      </c>
      <c r="F1202" s="146" t="n">
        <v>27</v>
      </c>
    </row>
    <row r="1203" ht="32" customHeight="1">
      <c r="A1203" s="146" t="str">
        <v>TAMD</v>
      </c>
      <c r="B1203" s="146" t="str">
        <v>2027</v>
      </c>
      <c r="C1203" s="146" t="str">
        <v>1</v>
      </c>
      <c r="D1203" s="146" t="str">
        <v>VIGENTE</v>
      </c>
      <c r="E1203" s="146" t="str">
        <v>1 - ALUMNO REGULAR</v>
      </c>
      <c r="F1203" s="146" t="n">
        <v>13</v>
      </c>
    </row>
    <row r="1204" ht="32" customHeight="1">
      <c r="A1204" s="146" t="str">
        <v>TCDA</v>
      </c>
      <c r="B1204" s="146" t="str">
        <v>2025</v>
      </c>
      <c r="C1204" s="146" t="str">
        <v>1</v>
      </c>
      <c r="D1204" s="146" t="str">
        <v>ELIMINADO</v>
      </c>
      <c r="E1204" s="146" t="str">
        <v>11 - RENUNCIA POST INICIO CLASES</v>
      </c>
      <c r="F1204" s="146" t="n">
        <v>4</v>
      </c>
    </row>
    <row r="1205" ht="32" customHeight="1">
      <c r="A1205" s="146" t="str">
        <v>TCDA</v>
      </c>
      <c r="B1205" s="146" t="str">
        <v>2025</v>
      </c>
      <c r="C1205" s="146" t="str">
        <v>1</v>
      </c>
      <c r="D1205" s="146" t="str">
        <v>ELIMINADO</v>
      </c>
      <c r="E1205" s="146" t="str">
        <v>23 - RETIRO - RETRACTO</v>
      </c>
      <c r="F1205" s="146" t="n">
        <v>1</v>
      </c>
    </row>
    <row r="1206" ht="32" customHeight="1">
      <c r="A1206" s="146" t="str">
        <v>TCDA</v>
      </c>
      <c r="B1206" s="146" t="str">
        <v>2025</v>
      </c>
      <c r="C1206" s="146" t="str">
        <v>1</v>
      </c>
      <c r="D1206" s="146" t="str">
        <v>ELIMINADO</v>
      </c>
      <c r="E1206" s="146" t="str">
        <v>24 - CAMBIO DE CARRERA</v>
      </c>
      <c r="F1206" s="146" t="n">
        <v>3</v>
      </c>
    </row>
    <row r="1207" ht="32" customHeight="1">
      <c r="A1207" s="146" t="str">
        <v>TCDA</v>
      </c>
      <c r="B1207" s="146" t="str">
        <v>2025</v>
      </c>
      <c r="C1207" s="146" t="str">
        <v>1</v>
      </c>
      <c r="D1207" s="146" t="str">
        <v>SUSPENDIDO</v>
      </c>
      <c r="E1207" s="146" t="str">
        <v>2 - SUSPENSIÓN TEMPORAL</v>
      </c>
      <c r="F1207" s="146" t="n">
        <v>3</v>
      </c>
    </row>
    <row r="1208" ht="32" customHeight="1">
      <c r="A1208" s="146" t="str">
        <v>TCDA</v>
      </c>
      <c r="B1208" s="146" t="str">
        <v>2025</v>
      </c>
      <c r="C1208" s="146" t="str">
        <v>1</v>
      </c>
      <c r="D1208" s="146" t="str">
        <v>VIGENTE</v>
      </c>
      <c r="E1208" s="146" t="str">
        <v>1 - ALUMNO REGULAR</v>
      </c>
      <c r="F1208" s="146" t="n">
        <v>6</v>
      </c>
    </row>
    <row r="1209" ht="32" customHeight="1">
      <c r="A1209" s="146" t="str">
        <v>TCDA</v>
      </c>
      <c r="B1209" s="146" t="str">
        <v>2025</v>
      </c>
      <c r="C1209" s="146" t="str">
        <v>1</v>
      </c>
      <c r="D1209" s="146" t="str">
        <v>VIGENTE</v>
      </c>
      <c r="E1209" s="146" t="str">
        <v>20 - VIGENTE SIN ACTIVIDAD ACADEMICA</v>
      </c>
      <c r="F1209" s="146" t="n">
        <v>2</v>
      </c>
    </row>
    <row r="1210" ht="32" customHeight="1">
      <c r="A1210" s="146" t="str">
        <v>TCDA</v>
      </c>
      <c r="B1210" s="146" t="str">
        <v>2026</v>
      </c>
      <c r="C1210" s="146" t="str">
        <v>1</v>
      </c>
      <c r="D1210" s="146" t="str">
        <v>ELIMINADO</v>
      </c>
      <c r="E1210" s="146" t="str">
        <v>11 - RENUNCIA POST INICIO CLASES</v>
      </c>
      <c r="F1210" s="146" t="n">
        <v>6</v>
      </c>
    </row>
    <row r="1211" ht="32" customHeight="1">
      <c r="A1211" s="146" t="str">
        <v>TCDA</v>
      </c>
      <c r="B1211" s="146" t="str">
        <v>2026</v>
      </c>
      <c r="C1211" s="146" t="str">
        <v>1</v>
      </c>
      <c r="D1211" s="146" t="str">
        <v>ELIMINADO</v>
      </c>
      <c r="E1211" s="146" t="str">
        <v>23 - RETIRO - RETRACTO</v>
      </c>
      <c r="F1211" s="146" t="n">
        <v>6</v>
      </c>
    </row>
    <row r="1212" ht="32" customHeight="1">
      <c r="A1212" s="146" t="str">
        <v>TCDA</v>
      </c>
      <c r="B1212" s="146" t="str">
        <v>2026</v>
      </c>
      <c r="C1212" s="146" t="str">
        <v>1</v>
      </c>
      <c r="D1212" s="146" t="str">
        <v>ELIMINADO</v>
      </c>
      <c r="E1212" s="146" t="str">
        <v>24 - CAMBIO DE CARRERA</v>
      </c>
      <c r="F1212" s="146" t="n">
        <v>1</v>
      </c>
    </row>
    <row r="1213" ht="32" customHeight="1">
      <c r="A1213" s="146" t="str">
        <v>TCDA</v>
      </c>
      <c r="B1213" s="146" t="str">
        <v>2026</v>
      </c>
      <c r="C1213" s="146" t="str">
        <v>1</v>
      </c>
      <c r="D1213" s="146" t="str">
        <v>ELIMINADO</v>
      </c>
      <c r="E1213" s="146" t="str">
        <v>8 - ELIMINADO SIN ACTIVIDAD ACADÉMICA</v>
      </c>
      <c r="F1213" s="146" t="n">
        <v>3</v>
      </c>
    </row>
    <row r="1214" ht="32" customHeight="1">
      <c r="A1214" s="146" t="str">
        <v>TCDA</v>
      </c>
      <c r="B1214" s="146" t="str">
        <v>2026</v>
      </c>
      <c r="C1214" s="146" t="str">
        <v>1</v>
      </c>
      <c r="D1214" s="146" t="str">
        <v>SUSPENDIDO</v>
      </c>
      <c r="E1214" s="146" t="str">
        <v>2 - SUSPENSIÓN TEMPORAL</v>
      </c>
      <c r="F1214" s="146" t="n">
        <v>2</v>
      </c>
    </row>
    <row r="1215" ht="32" customHeight="1">
      <c r="A1215" s="146" t="str">
        <v>TCDA</v>
      </c>
      <c r="B1215" s="146" t="str">
        <v>2026</v>
      </c>
      <c r="C1215" s="146" t="str">
        <v>1</v>
      </c>
      <c r="D1215" s="146" t="str">
        <v>VIGENTE</v>
      </c>
      <c r="E1215" s="146" t="str">
        <v>1 - ALUMNO REGULAR</v>
      </c>
      <c r="F1215" s="146" t="n">
        <v>24</v>
      </c>
    </row>
    <row r="1216" ht="32" customHeight="1">
      <c r="A1216" s="146" t="str">
        <v>TCDA</v>
      </c>
      <c r="B1216" s="146" t="str">
        <v>2026</v>
      </c>
      <c r="C1216" s="146" t="str">
        <v>2</v>
      </c>
      <c r="D1216" s="146" t="str">
        <v>VIGENTE</v>
      </c>
      <c r="E1216" s="146" t="str">
        <v>38 - REINCORPORACION DE ACTIVIDADES</v>
      </c>
      <c r="F1216" s="146" t="n">
        <v>1</v>
      </c>
    </row>
    <row r="1217" ht="32" customHeight="1">
      <c r="A1217" s="146" t="str">
        <v>TCDA</v>
      </c>
      <c r="B1217" s="146" t="str">
        <v>2027</v>
      </c>
      <c r="C1217" s="146" t="str">
        <v>1</v>
      </c>
      <c r="D1217" s="146" t="str">
        <v>VIGENTE</v>
      </c>
      <c r="E1217" s="146" t="str">
        <v>1 - ALUMNO REGULAR</v>
      </c>
      <c r="F1217" s="146" t="n">
        <v>3</v>
      </c>
    </row>
    <row r="1218" ht="32" customHeight="1">
      <c r="A1218" s="146" t="str">
        <v>TCEX</v>
      </c>
      <c r="B1218" s="146" t="str">
        <v>2027</v>
      </c>
      <c r="C1218" s="146" t="str">
        <v>1</v>
      </c>
      <c r="D1218" s="146" t="str">
        <v>VIGENTE</v>
      </c>
      <c r="E1218" s="146" t="str">
        <v>1 - ALUMNO REGULAR</v>
      </c>
      <c r="F1218" s="146" t="n">
        <v>4</v>
      </c>
    </row>
    <row r="1219" ht="32" customHeight="1">
      <c r="A1219" s="146" t="str">
        <v>TCIB</v>
      </c>
      <c r="B1219" s="146" t="str">
        <v>2024</v>
      </c>
      <c r="C1219" s="146" t="str">
        <v>1</v>
      </c>
      <c r="D1219" s="146" t="str">
        <v>ELIMINADO</v>
      </c>
      <c r="E1219" s="146" t="str">
        <v>11 - RENUNCIA POST INICIO CLASES</v>
      </c>
      <c r="F1219" s="146" t="n">
        <v>3</v>
      </c>
    </row>
    <row r="1220" ht="32" customHeight="1">
      <c r="A1220" s="146" t="str">
        <v>TCIB</v>
      </c>
      <c r="B1220" s="146" t="str">
        <v>2024</v>
      </c>
      <c r="C1220" s="146" t="str">
        <v>1</v>
      </c>
      <c r="D1220" s="146" t="str">
        <v>ELIMINADO</v>
      </c>
      <c r="E1220" s="146" t="str">
        <v>12 - ELIMINADO MATRICULA SIN FIRMA</v>
      </c>
      <c r="F1220" s="146" t="n">
        <v>1</v>
      </c>
    </row>
    <row r="1221" ht="32" customHeight="1">
      <c r="A1221" s="146" t="str">
        <v>TCIB</v>
      </c>
      <c r="B1221" s="146" t="str">
        <v>2024</v>
      </c>
      <c r="C1221" s="146" t="str">
        <v>1</v>
      </c>
      <c r="D1221" s="146" t="str">
        <v>ELIMINADO</v>
      </c>
      <c r="E1221" s="146" t="str">
        <v>23 - RETIRO - RETRACTO</v>
      </c>
      <c r="F1221" s="146" t="n">
        <v>15</v>
      </c>
    </row>
    <row r="1222" ht="32" customHeight="1">
      <c r="A1222" s="146" t="str">
        <v>TCIB</v>
      </c>
      <c r="B1222" s="146" t="str">
        <v>2024</v>
      </c>
      <c r="C1222" s="146" t="str">
        <v>1</v>
      </c>
      <c r="D1222" s="146" t="str">
        <v>ELIMINADO</v>
      </c>
      <c r="E1222" s="146" t="str">
        <v>24 - CAMBIO DE CARRERA</v>
      </c>
      <c r="F1222" s="146" t="n">
        <v>5</v>
      </c>
    </row>
    <row r="1223" ht="32" customHeight="1">
      <c r="A1223" s="146" t="str">
        <v>TCIB</v>
      </c>
      <c r="B1223" s="146" t="str">
        <v>2024</v>
      </c>
      <c r="C1223" s="146" t="str">
        <v>1</v>
      </c>
      <c r="D1223" s="146" t="str">
        <v>ELIMINADO</v>
      </c>
      <c r="E1223" s="146" t="str">
        <v>7 - NO RENUEVA MATRICULA</v>
      </c>
      <c r="F1223" s="146" t="n">
        <v>32</v>
      </c>
    </row>
    <row r="1224" ht="32" customHeight="1">
      <c r="A1224" s="146" t="str">
        <v>TCIB</v>
      </c>
      <c r="B1224" s="146" t="str">
        <v>2024</v>
      </c>
      <c r="C1224" s="146" t="str">
        <v>1</v>
      </c>
      <c r="D1224" s="146" t="str">
        <v>ELIMINADO</v>
      </c>
      <c r="E1224" s="146" t="str">
        <v>8 - ELIMINADO SIN ACTIVIDAD ACADÉMICA</v>
      </c>
      <c r="F1224" s="146" t="n">
        <v>2</v>
      </c>
    </row>
    <row r="1225" ht="32" customHeight="1">
      <c r="A1225" s="146" t="str">
        <v>TCIB</v>
      </c>
      <c r="B1225" s="146" t="str">
        <v>2024</v>
      </c>
      <c r="C1225" s="146" t="str">
        <v>1</v>
      </c>
      <c r="D1225" s="146" t="str">
        <v>ELIMINADO</v>
      </c>
      <c r="E1225" s="146" t="str">
        <v>9 - RECHAZO ACTUALIZACION DE PLAN 2024</v>
      </c>
      <c r="F1225" s="146" t="n">
        <v>3</v>
      </c>
    </row>
    <row r="1226" ht="32" customHeight="1">
      <c r="A1226" s="146" t="str">
        <v>TCIB</v>
      </c>
      <c r="B1226" s="146" t="str">
        <v>2024</v>
      </c>
      <c r="C1226" s="146" t="str">
        <v>1</v>
      </c>
      <c r="D1226" s="146" t="str">
        <v>SUSPENDIDO</v>
      </c>
      <c r="E1226" s="146" t="str">
        <v>2 - SUSPENSIÓN TEMPORAL</v>
      </c>
      <c r="F1226" s="146" t="n">
        <v>5</v>
      </c>
    </row>
    <row r="1227" ht="32" customHeight="1">
      <c r="A1227" s="146" t="str">
        <v>TCIB</v>
      </c>
      <c r="B1227" s="146" t="str">
        <v>2024</v>
      </c>
      <c r="C1227" s="146" t="str">
        <v>2</v>
      </c>
      <c r="D1227" s="146" t="str">
        <v>ELIMINADO</v>
      </c>
      <c r="E1227" s="146" t="str">
        <v>23 - RETIRO - RETRACTO</v>
      </c>
      <c r="F1227" s="146" t="n">
        <v>1</v>
      </c>
    </row>
    <row r="1228" ht="32" customHeight="1">
      <c r="A1228" s="146" t="str">
        <v>TCIB</v>
      </c>
      <c r="B1228" s="146" t="str">
        <v>2024</v>
      </c>
      <c r="C1228" s="146" t="str">
        <v>2</v>
      </c>
      <c r="D1228" s="146" t="str">
        <v>ELIMINADO</v>
      </c>
      <c r="E1228" s="146" t="str">
        <v>7 - NO RENUEVA MATRICULA</v>
      </c>
      <c r="F1228" s="146" t="n">
        <v>4</v>
      </c>
    </row>
    <row r="1229" ht="32" customHeight="1">
      <c r="A1229" s="146" t="str">
        <v>TCIB</v>
      </c>
      <c r="B1229" s="146" t="str">
        <v>2024</v>
      </c>
      <c r="C1229" s="146" t="str">
        <v>3</v>
      </c>
      <c r="D1229" s="146" t="str">
        <v>ELIMINADO</v>
      </c>
      <c r="E1229" s="146" t="str">
        <v>23 - RETIRO - RETRACTO</v>
      </c>
      <c r="F1229" s="146" t="n">
        <v>3</v>
      </c>
    </row>
    <row r="1230" ht="32" customHeight="1">
      <c r="A1230" s="146" t="str">
        <v>TCIB</v>
      </c>
      <c r="B1230" s="146" t="str">
        <v>2024</v>
      </c>
      <c r="C1230" s="146" t="str">
        <v>3</v>
      </c>
      <c r="D1230" s="146" t="str">
        <v>ELIMINADO</v>
      </c>
      <c r="E1230" s="146" t="str">
        <v>7 - NO RENUEVA MATRICULA</v>
      </c>
      <c r="F1230" s="146" t="n">
        <v>4</v>
      </c>
    </row>
    <row r="1231" ht="32" customHeight="1">
      <c r="A1231" s="146" t="str">
        <v>TCIB</v>
      </c>
      <c r="B1231" s="146" t="str">
        <v>2025</v>
      </c>
      <c r="C1231" s="146" t="str">
        <v>1</v>
      </c>
      <c r="D1231" s="146" t="str">
        <v>ELIMINADO</v>
      </c>
      <c r="E1231" s="146" t="str">
        <v>11 - RENUNCIA POST INICIO CLASES</v>
      </c>
      <c r="F1231" s="146" t="n">
        <v>12</v>
      </c>
    </row>
    <row r="1232" ht="32" customHeight="1">
      <c r="A1232" s="146" t="str">
        <v>TCIB</v>
      </c>
      <c r="B1232" s="146" t="str">
        <v>2025</v>
      </c>
      <c r="C1232" s="146" t="str">
        <v>1</v>
      </c>
      <c r="D1232" s="146" t="str">
        <v>ELIMINADO</v>
      </c>
      <c r="E1232" s="146" t="str">
        <v>12 - ELIMINADO MATRICULA SIN FIRMA</v>
      </c>
      <c r="F1232" s="146" t="n">
        <v>1</v>
      </c>
    </row>
    <row r="1233" ht="32" customHeight="1">
      <c r="A1233" s="146" t="str">
        <v>TCIB</v>
      </c>
      <c r="B1233" s="146" t="str">
        <v>2025</v>
      </c>
      <c r="C1233" s="146" t="str">
        <v>1</v>
      </c>
      <c r="D1233" s="146" t="str">
        <v>ELIMINADO</v>
      </c>
      <c r="E1233" s="146" t="str">
        <v>23 - RETIRO - RETRACTO</v>
      </c>
      <c r="F1233" s="146" t="n">
        <v>11</v>
      </c>
    </row>
    <row r="1234" ht="32" customHeight="1">
      <c r="A1234" s="146" t="str">
        <v>TCIB</v>
      </c>
      <c r="B1234" s="146" t="str">
        <v>2025</v>
      </c>
      <c r="C1234" s="146" t="str">
        <v>1</v>
      </c>
      <c r="D1234" s="146" t="str">
        <v>ELIMINADO</v>
      </c>
      <c r="E1234" s="146" t="str">
        <v>24 - CAMBIO DE CARRERA</v>
      </c>
      <c r="F1234" s="146" t="n">
        <v>9</v>
      </c>
    </row>
    <row r="1235" ht="32" customHeight="1">
      <c r="A1235" s="146" t="str">
        <v>TCIB</v>
      </c>
      <c r="B1235" s="146" t="str">
        <v>2025</v>
      </c>
      <c r="C1235" s="146" t="str">
        <v>1</v>
      </c>
      <c r="D1235" s="146" t="str">
        <v>ELIMINADO</v>
      </c>
      <c r="E1235" s="146" t="str">
        <v>5 - RENUNCIA ENTRE PERIODOS</v>
      </c>
      <c r="F1235" s="146" t="n">
        <v>1</v>
      </c>
    </row>
    <row r="1236" ht="32" customHeight="1">
      <c r="A1236" s="146" t="str">
        <v>TCIB</v>
      </c>
      <c r="B1236" s="146" t="str">
        <v>2025</v>
      </c>
      <c r="C1236" s="146" t="str">
        <v>1</v>
      </c>
      <c r="D1236" s="146" t="str">
        <v>ELIMINADO</v>
      </c>
      <c r="E1236" s="146" t="str">
        <v>7 - NO RENUEVA MATRICULA</v>
      </c>
      <c r="F1236" s="146" t="n">
        <v>7</v>
      </c>
    </row>
    <row r="1237" ht="32" customHeight="1">
      <c r="A1237" s="146" t="str">
        <v>TCIB</v>
      </c>
      <c r="B1237" s="146" t="str">
        <v>2025</v>
      </c>
      <c r="C1237" s="146" t="str">
        <v>1</v>
      </c>
      <c r="D1237" s="146" t="str">
        <v>SUSPENDIDO</v>
      </c>
      <c r="E1237" s="146" t="str">
        <v>2 - SUSPENSIÓN TEMPORAL</v>
      </c>
      <c r="F1237" s="146" t="n">
        <v>1</v>
      </c>
    </row>
    <row r="1238" ht="32" customHeight="1">
      <c r="A1238" s="146" t="str">
        <v>TCIB</v>
      </c>
      <c r="B1238" s="146" t="str">
        <v>2025</v>
      </c>
      <c r="C1238" s="146" t="str">
        <v>1</v>
      </c>
      <c r="D1238" s="146" t="str">
        <v>TITULADO</v>
      </c>
      <c r="E1238" s="146" t="str">
        <v>31 - TITULADO APROBADO</v>
      </c>
      <c r="F1238" s="146" t="n">
        <v>24</v>
      </c>
    </row>
    <row r="1239" ht="32" customHeight="1">
      <c r="A1239" s="146" t="str">
        <v>TCIB</v>
      </c>
      <c r="B1239" s="146" t="str">
        <v>2025</v>
      </c>
      <c r="C1239" s="146" t="str">
        <v>1</v>
      </c>
      <c r="D1239" s="146" t="str">
        <v>VIGENTE</v>
      </c>
      <c r="E1239" s="146" t="str">
        <v>1 - ALUMNO REGULAR</v>
      </c>
      <c r="F1239" s="146" t="n">
        <v>12</v>
      </c>
    </row>
    <row r="1240" ht="32" customHeight="1">
      <c r="A1240" s="146" t="str">
        <v>TCIB</v>
      </c>
      <c r="B1240" s="146" t="str">
        <v>2025</v>
      </c>
      <c r="C1240" s="146" t="str">
        <v>1</v>
      </c>
      <c r="D1240" s="146" t="str">
        <v>VIGENTE</v>
      </c>
      <c r="E1240" s="146" t="str">
        <v>20 - VIGENTE SIN ACTIVIDAD ACADEMICA</v>
      </c>
      <c r="F1240" s="146" t="n">
        <v>14</v>
      </c>
    </row>
    <row r="1241" ht="32" customHeight="1">
      <c r="A1241" s="146" t="str">
        <v>TCIB</v>
      </c>
      <c r="B1241" s="146" t="str">
        <v>2025</v>
      </c>
      <c r="C1241" s="146" t="str">
        <v>1</v>
      </c>
      <c r="D1241" s="146" t="str">
        <v>VIGENTE</v>
      </c>
      <c r="E1241" s="146" t="str">
        <v>49 - CAMBIO DE JORNADA</v>
      </c>
      <c r="F1241" s="146" t="n">
        <v>1</v>
      </c>
    </row>
    <row r="1242" ht="32" customHeight="1">
      <c r="A1242" s="146" t="str">
        <v>TCIB</v>
      </c>
      <c r="B1242" s="146" t="str">
        <v>2025</v>
      </c>
      <c r="C1242" s="146" t="str">
        <v>2</v>
      </c>
      <c r="D1242" s="146" t="str">
        <v>ELIMINADO</v>
      </c>
      <c r="E1242" s="146" t="str">
        <v>7 - NO RENUEVA MATRICULA</v>
      </c>
      <c r="F1242" s="146" t="n">
        <v>1</v>
      </c>
    </row>
    <row r="1243" ht="32" customHeight="1">
      <c r="A1243" s="146" t="str">
        <v>TCIB</v>
      </c>
      <c r="B1243" s="146" t="str">
        <v>2025</v>
      </c>
      <c r="C1243" s="146" t="str">
        <v>2</v>
      </c>
      <c r="D1243" s="146" t="str">
        <v>TITULADO</v>
      </c>
      <c r="E1243" s="146" t="str">
        <v>31 - TITULADO APROBADO</v>
      </c>
      <c r="F1243" s="146" t="n">
        <v>2</v>
      </c>
    </row>
    <row r="1244" ht="32" customHeight="1">
      <c r="A1244" s="146" t="str">
        <v>TCIB</v>
      </c>
      <c r="B1244" s="146" t="str">
        <v>2026</v>
      </c>
      <c r="C1244" s="146" t="str">
        <v>1</v>
      </c>
      <c r="D1244" s="146" t="str">
        <v>ELIMINADO</v>
      </c>
      <c r="E1244" s="146" t="str">
        <v>11 - RENUNCIA POST INICIO CLASES</v>
      </c>
      <c r="F1244" s="146" t="n">
        <v>13</v>
      </c>
    </row>
    <row r="1245" ht="32" customHeight="1">
      <c r="A1245" s="146" t="str">
        <v>TCIB</v>
      </c>
      <c r="B1245" s="146" t="str">
        <v>2026</v>
      </c>
      <c r="C1245" s="146" t="str">
        <v>1</v>
      </c>
      <c r="D1245" s="146" t="str">
        <v>ELIMINADO</v>
      </c>
      <c r="E1245" s="146" t="str">
        <v>23 - RETIRO - RETRACTO</v>
      </c>
      <c r="F1245" s="146" t="n">
        <v>16</v>
      </c>
    </row>
    <row r="1246" ht="32" customHeight="1">
      <c r="A1246" s="146" t="str">
        <v>TCIB</v>
      </c>
      <c r="B1246" s="146" t="str">
        <v>2026</v>
      </c>
      <c r="C1246" s="146" t="str">
        <v>1</v>
      </c>
      <c r="D1246" s="146" t="str">
        <v>ELIMINADO</v>
      </c>
      <c r="E1246" s="146" t="str">
        <v>24 - CAMBIO DE CARRERA</v>
      </c>
      <c r="F1246" s="146" t="n">
        <v>6</v>
      </c>
    </row>
    <row r="1247" ht="32" customHeight="1">
      <c r="A1247" s="146" t="str">
        <v>TCIB</v>
      </c>
      <c r="B1247" s="146" t="str">
        <v>2026</v>
      </c>
      <c r="C1247" s="146" t="str">
        <v>1</v>
      </c>
      <c r="D1247" s="146" t="str">
        <v>ELIMINADO</v>
      </c>
      <c r="E1247" s="146" t="str">
        <v>8 - ELIMINADO SIN ACTIVIDAD ACADÉMICA</v>
      </c>
      <c r="F1247" s="146" t="n">
        <v>10</v>
      </c>
    </row>
    <row r="1248" ht="32" customHeight="1">
      <c r="A1248" s="146" t="str">
        <v>TCIB</v>
      </c>
      <c r="B1248" s="146" t="str">
        <v>2026</v>
      </c>
      <c r="C1248" s="146" t="str">
        <v>1</v>
      </c>
      <c r="D1248" s="146" t="str">
        <v>SUSPENDIDO</v>
      </c>
      <c r="E1248" s="146" t="str">
        <v>2 - SUSPENSIÓN TEMPORAL</v>
      </c>
      <c r="F1248" s="146" t="n">
        <v>3</v>
      </c>
    </row>
    <row r="1249" ht="32" customHeight="1">
      <c r="A1249" s="146" t="str">
        <v>TCIB</v>
      </c>
      <c r="B1249" s="146" t="str">
        <v>2026</v>
      </c>
      <c r="C1249" s="146" t="str">
        <v>1</v>
      </c>
      <c r="D1249" s="146" t="str">
        <v>TITULADO</v>
      </c>
      <c r="E1249" s="146" t="str">
        <v>31 - TITULADO APROBADO</v>
      </c>
      <c r="F1249" s="146" t="n">
        <v>22</v>
      </c>
    </row>
    <row r="1250" ht="32" customHeight="1">
      <c r="A1250" s="146" t="str">
        <v>TCIB</v>
      </c>
      <c r="B1250" s="146" t="str">
        <v>2026</v>
      </c>
      <c r="C1250" s="146" t="str">
        <v>1</v>
      </c>
      <c r="D1250" s="146" t="str">
        <v>VIGENTE</v>
      </c>
      <c r="E1250" s="146" t="str">
        <v>1 - ALUMNO REGULAR</v>
      </c>
      <c r="F1250" s="146" t="n">
        <v>107</v>
      </c>
    </row>
    <row r="1251" ht="32" customHeight="1">
      <c r="A1251" s="146" t="str">
        <v>TCIB</v>
      </c>
      <c r="B1251" s="146" t="str">
        <v>2026</v>
      </c>
      <c r="C1251" s="146" t="str">
        <v>1</v>
      </c>
      <c r="D1251" s="146" t="str">
        <v>VIGENTE</v>
      </c>
      <c r="E1251" s="146" t="str">
        <v>38 - REINCORPORACION DE ACTIVIDADES</v>
      </c>
      <c r="F1251" s="146" t="n">
        <v>3</v>
      </c>
    </row>
    <row r="1252" ht="32" customHeight="1">
      <c r="A1252" s="146" t="str">
        <v>TCIB</v>
      </c>
      <c r="B1252" s="146" t="str">
        <v>2026</v>
      </c>
      <c r="C1252" s="146" t="str">
        <v>1</v>
      </c>
      <c r="D1252" s="146" t="str">
        <v>VIGENTE</v>
      </c>
      <c r="E1252" s="146" t="str">
        <v>49 - CAMBIO DE JORNADA</v>
      </c>
      <c r="F1252" s="146" t="n">
        <v>4</v>
      </c>
    </row>
    <row r="1253" ht="32" customHeight="1">
      <c r="A1253" s="146" t="str">
        <v>TCIB</v>
      </c>
      <c r="B1253" s="146" t="str">
        <v>2026</v>
      </c>
      <c r="C1253" s="146" t="str">
        <v>2</v>
      </c>
      <c r="D1253" s="146" t="str">
        <v>ELIMINADO</v>
      </c>
      <c r="E1253" s="146" t="str">
        <v>11 - RENUNCIA POST INICIO CLASES</v>
      </c>
      <c r="F1253" s="146" t="n">
        <v>3</v>
      </c>
    </row>
    <row r="1254" ht="32" customHeight="1">
      <c r="A1254" s="146" t="str">
        <v>TCIB</v>
      </c>
      <c r="B1254" s="146" t="str">
        <v>2026</v>
      </c>
      <c r="C1254" s="146" t="str">
        <v>2</v>
      </c>
      <c r="D1254" s="146" t="str">
        <v>ELIMINADO</v>
      </c>
      <c r="E1254" s="146" t="str">
        <v>23 - RETIRO - RETRACTO</v>
      </c>
      <c r="F1254" s="146" t="n">
        <v>3</v>
      </c>
    </row>
    <row r="1255" ht="32" customHeight="1">
      <c r="A1255" s="146" t="str">
        <v>TCIB</v>
      </c>
      <c r="B1255" s="146" t="str">
        <v>2026</v>
      </c>
      <c r="C1255" s="146" t="str">
        <v>2</v>
      </c>
      <c r="D1255" s="146" t="str">
        <v>ELIMINADO</v>
      </c>
      <c r="E1255" s="146" t="str">
        <v>24 - CAMBIO DE CARRERA</v>
      </c>
      <c r="F1255" s="146" t="n">
        <v>1</v>
      </c>
    </row>
    <row r="1256" ht="32" customHeight="1">
      <c r="A1256" s="146" t="str">
        <v>TCIB</v>
      </c>
      <c r="B1256" s="146" t="str">
        <v>2026</v>
      </c>
      <c r="C1256" s="146" t="str">
        <v>2</v>
      </c>
      <c r="D1256" s="146" t="str">
        <v>SUSPENDIDO</v>
      </c>
      <c r="E1256" s="146" t="str">
        <v>2 - SUSPENSIÓN TEMPORAL</v>
      </c>
      <c r="F1256" s="146" t="n">
        <v>1</v>
      </c>
    </row>
    <row r="1257" ht="32" customHeight="1">
      <c r="A1257" s="146" t="str">
        <v>TCIB</v>
      </c>
      <c r="B1257" s="146" t="str">
        <v>2026</v>
      </c>
      <c r="C1257" s="146" t="str">
        <v>2</v>
      </c>
      <c r="D1257" s="146" t="str">
        <v>TITULADO</v>
      </c>
      <c r="E1257" s="146" t="str">
        <v>31 - TITULADO APROBADO</v>
      </c>
      <c r="F1257" s="146" t="n">
        <v>2</v>
      </c>
    </row>
    <row r="1258" ht="32" customHeight="1">
      <c r="A1258" s="146" t="str">
        <v>TCIB</v>
      </c>
      <c r="B1258" s="146" t="str">
        <v>2026</v>
      </c>
      <c r="C1258" s="146" t="str">
        <v>2</v>
      </c>
      <c r="D1258" s="146" t="str">
        <v>VIGENTE</v>
      </c>
      <c r="E1258" s="146" t="str">
        <v>1 - ALUMNO REGULAR</v>
      </c>
      <c r="F1258" s="146" t="n">
        <v>13</v>
      </c>
    </row>
    <row r="1259" ht="32" customHeight="1">
      <c r="A1259" s="146" t="str">
        <v>TCIB</v>
      </c>
      <c r="B1259" s="146" t="str">
        <v>2026</v>
      </c>
      <c r="C1259" s="146" t="str">
        <v>3</v>
      </c>
      <c r="D1259" s="146" t="str">
        <v>ELIMINADO</v>
      </c>
      <c r="E1259" s="146" t="str">
        <v>23 - RETIRO - RETRACTO</v>
      </c>
      <c r="F1259" s="146" t="n">
        <v>1</v>
      </c>
    </row>
    <row r="1260" ht="32" customHeight="1">
      <c r="A1260" s="146" t="str">
        <v>TCIB</v>
      </c>
      <c r="B1260" s="146" t="str">
        <v>2026</v>
      </c>
      <c r="C1260" s="146" t="str">
        <v>3</v>
      </c>
      <c r="D1260" s="146" t="str">
        <v>VIGENTE</v>
      </c>
      <c r="E1260" s="146" t="str">
        <v>1 - ALUMNO REGULAR</v>
      </c>
      <c r="F1260" s="146" t="n">
        <v>23</v>
      </c>
    </row>
    <row r="1261" ht="32" customHeight="1">
      <c r="A1261" s="146" t="str">
        <v>TCIB</v>
      </c>
      <c r="B1261" s="146" t="str">
        <v>2026</v>
      </c>
      <c r="C1261" s="146" t="str">
        <v>3</v>
      </c>
      <c r="D1261" s="146" t="str">
        <v>VIGENTE</v>
      </c>
      <c r="E1261" s="146" t="str">
        <v>38 - REINCORPORACION DE ACTIVIDADES</v>
      </c>
      <c r="F1261" s="146" t="n">
        <v>1</v>
      </c>
    </row>
    <row r="1262" ht="32" customHeight="1">
      <c r="A1262" s="146" t="str">
        <v>TCIB</v>
      </c>
      <c r="B1262" s="146" t="str">
        <v>2027</v>
      </c>
      <c r="C1262" s="146" t="str">
        <v>1</v>
      </c>
      <c r="D1262" s="146" t="str">
        <v>VIGENTE</v>
      </c>
      <c r="E1262" s="146" t="str">
        <v>1 - ALUMNO REGULAR</v>
      </c>
      <c r="F1262" s="146" t="n">
        <v>16</v>
      </c>
    </row>
    <row r="1263" ht="32" customHeight="1">
      <c r="A1263" s="146" t="str">
        <v>TCIOL</v>
      </c>
      <c r="B1263" s="146" t="str">
        <v>2021</v>
      </c>
      <c r="C1263" s="146" t="str">
        <v>1</v>
      </c>
      <c r="D1263" s="146" t="str">
        <v>ELIMINADO</v>
      </c>
      <c r="E1263" s="146" t="str">
        <v>23 - RETIRO - RETRACTO</v>
      </c>
      <c r="F1263" s="146" t="n">
        <v>1</v>
      </c>
    </row>
    <row r="1264" ht="32" customHeight="1">
      <c r="A1264" s="146" t="str">
        <v>TCONSSP</v>
      </c>
      <c r="B1264" s="146" t="str">
        <v>2027</v>
      </c>
      <c r="C1264" s="146" t="str">
        <v>1</v>
      </c>
      <c r="D1264" s="146" t="str">
        <v>VIGENTE</v>
      </c>
      <c r="E1264" s="146" t="str">
        <v>1 - ALUMNO REGULAR</v>
      </c>
      <c r="F1264" s="146" t="n">
        <v>3</v>
      </c>
    </row>
    <row r="1265" ht="32" customHeight="1">
      <c r="A1265" s="146" t="str">
        <v>TCRE</v>
      </c>
      <c r="B1265" s="146" t="str">
        <v>2024</v>
      </c>
      <c r="C1265" s="146" t="str">
        <v>1</v>
      </c>
      <c r="D1265" s="146" t="str">
        <v>ELIMINADO</v>
      </c>
      <c r="E1265" s="146" t="str">
        <v>11 - RENUNCIA POST INICIO CLASES</v>
      </c>
      <c r="F1265" s="146" t="n">
        <v>2</v>
      </c>
    </row>
    <row r="1266" ht="32" customHeight="1">
      <c r="A1266" s="146" t="str">
        <v>TCRE</v>
      </c>
      <c r="B1266" s="146" t="str">
        <v>2024</v>
      </c>
      <c r="C1266" s="146" t="str">
        <v>1</v>
      </c>
      <c r="D1266" s="146" t="str">
        <v>ELIMINADO</v>
      </c>
      <c r="E1266" s="146" t="str">
        <v>12 - ELIMINADO MATRICULA SIN FIRMA</v>
      </c>
      <c r="F1266" s="146" t="n">
        <v>1</v>
      </c>
    </row>
    <row r="1267" ht="32" customHeight="1">
      <c r="A1267" s="146" t="str">
        <v>TCRE</v>
      </c>
      <c r="B1267" s="146" t="str">
        <v>2024</v>
      </c>
      <c r="C1267" s="146" t="str">
        <v>1</v>
      </c>
      <c r="D1267" s="146" t="str">
        <v>ELIMINADO</v>
      </c>
      <c r="E1267" s="146" t="str">
        <v>23 - RETIRO - RETRACTO</v>
      </c>
      <c r="F1267" s="146" t="n">
        <v>7</v>
      </c>
    </row>
    <row r="1268" ht="32" customHeight="1">
      <c r="A1268" s="146" t="str">
        <v>TCRE</v>
      </c>
      <c r="B1268" s="146" t="str">
        <v>2024</v>
      </c>
      <c r="C1268" s="146" t="str">
        <v>1</v>
      </c>
      <c r="D1268" s="146" t="str">
        <v>ELIMINADO</v>
      </c>
      <c r="E1268" s="146" t="str">
        <v>24 - CAMBIO DE CARRERA</v>
      </c>
      <c r="F1268" s="146" t="n">
        <v>1</v>
      </c>
    </row>
    <row r="1269" ht="32" customHeight="1">
      <c r="A1269" s="146" t="str">
        <v>TCRE</v>
      </c>
      <c r="B1269" s="146" t="str">
        <v>2024</v>
      </c>
      <c r="C1269" s="146" t="str">
        <v>1</v>
      </c>
      <c r="D1269" s="146" t="str">
        <v>ELIMINADO</v>
      </c>
      <c r="E1269" s="146" t="str">
        <v>7 - NO RENUEVA MATRICULA</v>
      </c>
      <c r="F1269" s="146" t="n">
        <v>19</v>
      </c>
    </row>
    <row r="1270" ht="32" customHeight="1">
      <c r="A1270" s="146" t="str">
        <v>TCRE</v>
      </c>
      <c r="B1270" s="146" t="str">
        <v>2024</v>
      </c>
      <c r="C1270" s="146" t="str">
        <v>1</v>
      </c>
      <c r="D1270" s="146" t="str">
        <v>ELIMINADO</v>
      </c>
      <c r="E1270" s="146" t="str">
        <v>8 - ELIMINADO SIN ACTIVIDAD ACADÉMICA</v>
      </c>
      <c r="F1270" s="146" t="n">
        <v>4</v>
      </c>
    </row>
    <row r="1271" ht="32" customHeight="1">
      <c r="A1271" s="146" t="str">
        <v>TCRE</v>
      </c>
      <c r="B1271" s="146" t="str">
        <v>2024</v>
      </c>
      <c r="C1271" s="146" t="str">
        <v>1</v>
      </c>
      <c r="D1271" s="146" t="str">
        <v>ELIMINADO</v>
      </c>
      <c r="E1271" s="146" t="str">
        <v>9 - RECHAZO ACTUALIZACION DE PLAN 2024</v>
      </c>
      <c r="F1271" s="146" t="n">
        <v>1</v>
      </c>
    </row>
    <row r="1272" ht="32" customHeight="1">
      <c r="A1272" s="146" t="str">
        <v>TCRE</v>
      </c>
      <c r="B1272" s="146" t="str">
        <v>2024</v>
      </c>
      <c r="C1272" s="146" t="str">
        <v>1</v>
      </c>
      <c r="D1272" s="146" t="str">
        <v>ELIMINADO</v>
      </c>
      <c r="E1272" s="146" t="str">
        <v>95 - DEFUNCIÓN</v>
      </c>
      <c r="F1272" s="146" t="n">
        <v>1</v>
      </c>
    </row>
    <row r="1273" ht="32" customHeight="1">
      <c r="A1273" s="146" t="str">
        <v>TCRE</v>
      </c>
      <c r="B1273" s="146" t="str">
        <v>2024</v>
      </c>
      <c r="C1273" s="146" t="str">
        <v>1</v>
      </c>
      <c r="D1273" s="146" t="str">
        <v>SUSPENDIDO</v>
      </c>
      <c r="E1273" s="146" t="str">
        <v>2 - SUSPENSIÓN TEMPORAL</v>
      </c>
      <c r="F1273" s="146" t="n">
        <v>1</v>
      </c>
    </row>
    <row r="1274" ht="32" customHeight="1">
      <c r="A1274" s="146" t="str">
        <v>TCRE</v>
      </c>
      <c r="B1274" s="146" t="str">
        <v>2024</v>
      </c>
      <c r="C1274" s="146" t="str">
        <v>2</v>
      </c>
      <c r="D1274" s="146" t="str">
        <v>ELIMINADO</v>
      </c>
      <c r="E1274" s="146" t="str">
        <v>23 - RETIRO - RETRACTO</v>
      </c>
      <c r="F1274" s="146" t="n">
        <v>3</v>
      </c>
    </row>
    <row r="1275" ht="32" customHeight="1">
      <c r="A1275" s="146" t="str">
        <v>TCRE</v>
      </c>
      <c r="B1275" s="146" t="str">
        <v>2024</v>
      </c>
      <c r="C1275" s="146" t="str">
        <v>3</v>
      </c>
      <c r="D1275" s="146" t="str">
        <v>ELIMINADO</v>
      </c>
      <c r="E1275" s="146" t="str">
        <v>23 - RETIRO - RETRACTO</v>
      </c>
      <c r="F1275" s="146" t="n">
        <v>1</v>
      </c>
    </row>
    <row r="1276" ht="32" customHeight="1">
      <c r="A1276" s="146" t="str">
        <v>TCRE</v>
      </c>
      <c r="B1276" s="146" t="str">
        <v>2024</v>
      </c>
      <c r="C1276" s="146" t="str">
        <v>3</v>
      </c>
      <c r="D1276" s="146" t="str">
        <v>ELIMINADO</v>
      </c>
      <c r="E1276" s="146" t="str">
        <v>24 - CAMBIO DE CARRERA</v>
      </c>
      <c r="F1276" s="146" t="n">
        <v>1</v>
      </c>
    </row>
    <row r="1277" ht="32" customHeight="1">
      <c r="A1277" s="146" t="str">
        <v>TCRE</v>
      </c>
      <c r="B1277" s="146" t="str">
        <v>2025</v>
      </c>
      <c r="C1277" s="146" t="str">
        <v>1</v>
      </c>
      <c r="D1277" s="146" t="str">
        <v>ELIMINADO</v>
      </c>
      <c r="E1277" s="146" t="str">
        <v>11 - RENUNCIA POST INICIO CLASES</v>
      </c>
      <c r="F1277" s="146" t="n">
        <v>7</v>
      </c>
    </row>
    <row r="1278" ht="32" customHeight="1">
      <c r="A1278" s="146" t="str">
        <v>TCRE</v>
      </c>
      <c r="B1278" s="146" t="str">
        <v>2025</v>
      </c>
      <c r="C1278" s="146" t="str">
        <v>1</v>
      </c>
      <c r="D1278" s="146" t="str">
        <v>ELIMINADO</v>
      </c>
      <c r="E1278" s="146" t="str">
        <v>23 - RETIRO - RETRACTO</v>
      </c>
      <c r="F1278" s="146" t="n">
        <v>4</v>
      </c>
    </row>
    <row r="1279" ht="32" customHeight="1">
      <c r="A1279" s="146" t="str">
        <v>TCRE</v>
      </c>
      <c r="B1279" s="146" t="str">
        <v>2025</v>
      </c>
      <c r="C1279" s="146" t="str">
        <v>1</v>
      </c>
      <c r="D1279" s="146" t="str">
        <v>ELIMINADO</v>
      </c>
      <c r="E1279" s="146" t="str">
        <v>24 - CAMBIO DE CARRERA</v>
      </c>
      <c r="F1279" s="146" t="n">
        <v>1</v>
      </c>
    </row>
    <row r="1280" ht="32" customHeight="1">
      <c r="A1280" s="146" t="str">
        <v>TCRE</v>
      </c>
      <c r="B1280" s="146" t="str">
        <v>2025</v>
      </c>
      <c r="C1280" s="146" t="str">
        <v>1</v>
      </c>
      <c r="D1280" s="146" t="str">
        <v>SUSPENDIDO</v>
      </c>
      <c r="E1280" s="146" t="str">
        <v>2 - SUSPENSIÓN TEMPORAL</v>
      </c>
      <c r="F1280" s="146" t="n">
        <v>3</v>
      </c>
    </row>
    <row r="1281" ht="32" customHeight="1">
      <c r="A1281" s="146" t="str">
        <v>TCRE</v>
      </c>
      <c r="B1281" s="146" t="str">
        <v>2025</v>
      </c>
      <c r="C1281" s="146" t="str">
        <v>1</v>
      </c>
      <c r="D1281" s="146" t="str">
        <v>TITULADO</v>
      </c>
      <c r="E1281" s="146" t="str">
        <v>31 - TITULADO APROBADO</v>
      </c>
      <c r="F1281" s="146" t="n">
        <v>11</v>
      </c>
    </row>
    <row r="1282" ht="32" customHeight="1">
      <c r="A1282" s="146" t="str">
        <v>TCRE</v>
      </c>
      <c r="B1282" s="146" t="str">
        <v>2025</v>
      </c>
      <c r="C1282" s="146" t="str">
        <v>1</v>
      </c>
      <c r="D1282" s="146" t="str">
        <v>VIGENTE</v>
      </c>
      <c r="E1282" s="146" t="str">
        <v>1 - ALUMNO REGULAR</v>
      </c>
      <c r="F1282" s="146" t="n">
        <v>12</v>
      </c>
    </row>
    <row r="1283" ht="32" customHeight="1">
      <c r="A1283" s="146" t="str">
        <v>TCRE</v>
      </c>
      <c r="B1283" s="146" t="str">
        <v>2025</v>
      </c>
      <c r="C1283" s="146" t="str">
        <v>1</v>
      </c>
      <c r="D1283" s="146" t="str">
        <v>VIGENTE</v>
      </c>
      <c r="E1283" s="146" t="str">
        <v>20 - VIGENTE SIN ACTIVIDAD ACADEMICA</v>
      </c>
      <c r="F1283" s="146" t="n">
        <v>8</v>
      </c>
    </row>
    <row r="1284" ht="32" customHeight="1">
      <c r="A1284" s="146" t="str">
        <v>TCRE</v>
      </c>
      <c r="B1284" s="146" t="str">
        <v>2025</v>
      </c>
      <c r="C1284" s="146" t="str">
        <v>2</v>
      </c>
      <c r="D1284" s="146" t="str">
        <v>TITULADO</v>
      </c>
      <c r="E1284" s="146" t="str">
        <v>31 - TITULADO APROBADO</v>
      </c>
      <c r="F1284" s="146" t="n">
        <v>1</v>
      </c>
    </row>
    <row r="1285" ht="32" customHeight="1">
      <c r="A1285" s="146" t="str">
        <v>TCRE</v>
      </c>
      <c r="B1285" s="146" t="str">
        <v>2025</v>
      </c>
      <c r="C1285" s="146" t="str">
        <v>3</v>
      </c>
      <c r="D1285" s="146" t="str">
        <v>VIGENTE</v>
      </c>
      <c r="E1285" s="146" t="str">
        <v>49 - CAMBIO DE JORNADA</v>
      </c>
      <c r="F1285" s="146" t="n">
        <v>1</v>
      </c>
    </row>
    <row r="1286" ht="32" customHeight="1">
      <c r="A1286" s="146" t="str">
        <v>TCRE</v>
      </c>
      <c r="B1286" s="146" t="str">
        <v>2026</v>
      </c>
      <c r="C1286" s="146" t="str">
        <v>1</v>
      </c>
      <c r="D1286" s="146" t="str">
        <v>ELIMINADO</v>
      </c>
      <c r="E1286" s="146" t="str">
        <v>11 - RENUNCIA POST INICIO CLASES</v>
      </c>
      <c r="F1286" s="146" t="n">
        <v>3</v>
      </c>
    </row>
    <row r="1287" ht="32" customHeight="1">
      <c r="A1287" s="146" t="str">
        <v>TCRE</v>
      </c>
      <c r="B1287" s="146" t="str">
        <v>2026</v>
      </c>
      <c r="C1287" s="146" t="str">
        <v>1</v>
      </c>
      <c r="D1287" s="146" t="str">
        <v>ELIMINADO</v>
      </c>
      <c r="E1287" s="146" t="str">
        <v>23 - RETIRO - RETRACTO</v>
      </c>
      <c r="F1287" s="146" t="n">
        <v>8</v>
      </c>
    </row>
    <row r="1288" ht="32" customHeight="1">
      <c r="A1288" s="146" t="str">
        <v>TCRE</v>
      </c>
      <c r="B1288" s="146" t="str">
        <v>2026</v>
      </c>
      <c r="C1288" s="146" t="str">
        <v>1</v>
      </c>
      <c r="D1288" s="146" t="str">
        <v>ELIMINADO</v>
      </c>
      <c r="E1288" s="146" t="str">
        <v>24 - CAMBIO DE CARRERA</v>
      </c>
      <c r="F1288" s="146" t="n">
        <v>2</v>
      </c>
    </row>
    <row r="1289" ht="32" customHeight="1">
      <c r="A1289" s="146" t="str">
        <v>TCRE</v>
      </c>
      <c r="B1289" s="146" t="str">
        <v>2026</v>
      </c>
      <c r="C1289" s="146" t="str">
        <v>1</v>
      </c>
      <c r="D1289" s="146" t="str">
        <v>ELIMINADO</v>
      </c>
      <c r="E1289" s="146" t="str">
        <v>8 - ELIMINADO SIN ACTIVIDAD ACADÉMICA</v>
      </c>
      <c r="F1289" s="146" t="n">
        <v>3</v>
      </c>
    </row>
    <row r="1290" ht="32" customHeight="1">
      <c r="A1290" s="146" t="str">
        <v>TCRE</v>
      </c>
      <c r="B1290" s="146" t="str">
        <v>2026</v>
      </c>
      <c r="C1290" s="146" t="str">
        <v>1</v>
      </c>
      <c r="D1290" s="146" t="str">
        <v>TITULADO</v>
      </c>
      <c r="E1290" s="146" t="str">
        <v>31 - TITULADO APROBADO</v>
      </c>
      <c r="F1290" s="146" t="n">
        <v>10</v>
      </c>
    </row>
    <row r="1291" ht="32" customHeight="1">
      <c r="A1291" s="146" t="str">
        <v>TCRE</v>
      </c>
      <c r="B1291" s="146" t="str">
        <v>2026</v>
      </c>
      <c r="C1291" s="146" t="str">
        <v>1</v>
      </c>
      <c r="D1291" s="146" t="str">
        <v>VIGENTE</v>
      </c>
      <c r="E1291" s="146" t="str">
        <v>1 - ALUMNO REGULAR</v>
      </c>
      <c r="F1291" s="146" t="n">
        <v>23</v>
      </c>
    </row>
    <row r="1292" ht="32" customHeight="1">
      <c r="A1292" s="146" t="str">
        <v>TCRE</v>
      </c>
      <c r="B1292" s="146" t="str">
        <v>2026</v>
      </c>
      <c r="C1292" s="146" t="str">
        <v>1</v>
      </c>
      <c r="D1292" s="146" t="str">
        <v>VIGENTE</v>
      </c>
      <c r="E1292" s="146" t="str">
        <v>38 - REINCORPORACION DE ACTIVIDADES</v>
      </c>
      <c r="F1292" s="146" t="n">
        <v>2</v>
      </c>
    </row>
    <row r="1293" ht="32" customHeight="1">
      <c r="A1293" s="146" t="str">
        <v>TCRE</v>
      </c>
      <c r="B1293" s="146" t="str">
        <v>2026</v>
      </c>
      <c r="C1293" s="146" t="str">
        <v>2</v>
      </c>
      <c r="D1293" s="146" t="str">
        <v>TITULADO</v>
      </c>
      <c r="E1293" s="146" t="str">
        <v>31 - TITULADO APROBADO</v>
      </c>
      <c r="F1293" s="146" t="n">
        <v>2</v>
      </c>
    </row>
    <row r="1294" ht="32" customHeight="1">
      <c r="A1294" s="146" t="str">
        <v>TCRE</v>
      </c>
      <c r="B1294" s="146" t="str">
        <v>2026</v>
      </c>
      <c r="C1294" s="146" t="str">
        <v>2</v>
      </c>
      <c r="D1294" s="146" t="str">
        <v>VIGENTE</v>
      </c>
      <c r="E1294" s="146" t="str">
        <v>1 - ALUMNO REGULAR</v>
      </c>
      <c r="F1294" s="146" t="n">
        <v>1</v>
      </c>
    </row>
    <row r="1295" ht="32" customHeight="1">
      <c r="A1295" s="146" t="str">
        <v>TCRE</v>
      </c>
      <c r="B1295" s="146" t="str">
        <v>2027</v>
      </c>
      <c r="C1295" s="146" t="str">
        <v>1</v>
      </c>
      <c r="D1295" s="146" t="str">
        <v>VIGENTE</v>
      </c>
      <c r="E1295" s="146" t="str">
        <v>1 - ALUMNO REGULAR</v>
      </c>
      <c r="F1295" s="146" t="n">
        <v>6</v>
      </c>
    </row>
    <row r="1296" ht="32" customHeight="1">
      <c r="A1296" s="146" t="str">
        <v>TCSRE</v>
      </c>
      <c r="B1296" s="146" t="str">
        <v>2019</v>
      </c>
      <c r="C1296" s="146" t="str">
        <v>1</v>
      </c>
      <c r="D1296" s="146" t="str">
        <v>ELIMINADO</v>
      </c>
      <c r="E1296" s="146" t="str">
        <v>1 - ALUMNO REGULAR</v>
      </c>
      <c r="F1296" s="146" t="n">
        <v>7</v>
      </c>
    </row>
    <row r="1297" ht="32" customHeight="1">
      <c r="A1297" s="146" t="str">
        <v>TCSRE</v>
      </c>
      <c r="B1297" s="146" t="str">
        <v>2019</v>
      </c>
      <c r="C1297" s="146" t="str">
        <v>1</v>
      </c>
      <c r="D1297" s="146" t="str">
        <v>ELIMINADO</v>
      </c>
      <c r="E1297" s="146" t="str">
        <v>24 - CAMBIO DE CARRERA</v>
      </c>
      <c r="F1297" s="146" t="n">
        <v>1</v>
      </c>
    </row>
    <row r="1298" ht="32" customHeight="1">
      <c r="A1298" s="146" t="str">
        <v>TCSRE</v>
      </c>
      <c r="B1298" s="146" t="str">
        <v>2019</v>
      </c>
      <c r="C1298" s="146" t="str">
        <v>2</v>
      </c>
      <c r="D1298" s="146" t="str">
        <v>ELIMINADO</v>
      </c>
      <c r="E1298" s="146" t="str">
        <v>1 - ALUMNO REGULAR</v>
      </c>
      <c r="F1298" s="146" t="n">
        <v>1</v>
      </c>
    </row>
    <row r="1299" ht="32" customHeight="1">
      <c r="A1299" s="146" t="str">
        <v>TCSRE</v>
      </c>
      <c r="B1299" s="146" t="str">
        <v>2020</v>
      </c>
      <c r="C1299" s="146" t="str">
        <v>1</v>
      </c>
      <c r="D1299" s="146" t="str">
        <v>ELIMINADO</v>
      </c>
      <c r="E1299" s="146" t="str">
        <v>24 - CAMBIO DE CARRERA</v>
      </c>
      <c r="F1299" s="146" t="n">
        <v>3</v>
      </c>
    </row>
    <row r="1300" ht="32" customHeight="1">
      <c r="A1300" s="146" t="str">
        <v>TCSRE</v>
      </c>
      <c r="B1300" s="146" t="str">
        <v>2020</v>
      </c>
      <c r="C1300" s="146" t="str">
        <v>1</v>
      </c>
      <c r="D1300" s="146" t="str">
        <v>ELIMINADO</v>
      </c>
      <c r="E1300" s="146" t="str">
        <v>3 - ELIMINACION AUTOMATICA</v>
      </c>
      <c r="F1300" s="146" t="n">
        <v>10</v>
      </c>
    </row>
    <row r="1301" ht="32" customHeight="1">
      <c r="A1301" s="146" t="str">
        <v>TCSRE</v>
      </c>
      <c r="B1301" s="146" t="str">
        <v>2021</v>
      </c>
      <c r="C1301" s="146" t="str">
        <v>1</v>
      </c>
      <c r="D1301" s="146" t="str">
        <v>ELIMINADO</v>
      </c>
      <c r="E1301" s="146" t="str">
        <v>1 - ALUMNO REGULAR</v>
      </c>
      <c r="F1301" s="146" t="n">
        <v>7</v>
      </c>
    </row>
    <row r="1302" ht="32" customHeight="1">
      <c r="A1302" s="146" t="str">
        <v>TCSRE</v>
      </c>
      <c r="B1302" s="146" t="str">
        <v>2021</v>
      </c>
      <c r="C1302" s="146" t="str">
        <v>1</v>
      </c>
      <c r="D1302" s="146" t="str">
        <v>ELIMINADO</v>
      </c>
      <c r="E1302" s="146" t="str">
        <v>23 - RETIRO - RETRACTO</v>
      </c>
      <c r="F1302" s="146" t="n">
        <v>1</v>
      </c>
    </row>
    <row r="1303" ht="32" customHeight="1">
      <c r="A1303" s="146" t="str">
        <v>TCSRE</v>
      </c>
      <c r="B1303" s="146" t="str">
        <v>2021</v>
      </c>
      <c r="C1303" s="146" t="str">
        <v>1</v>
      </c>
      <c r="D1303" s="146" t="str">
        <v>ELIMINADO</v>
      </c>
      <c r="E1303" s="146" t="str">
        <v>24 - CAMBIO DE CARRERA</v>
      </c>
      <c r="F1303" s="146" t="n">
        <v>5</v>
      </c>
    </row>
    <row r="1304" ht="32" customHeight="1">
      <c r="A1304" s="146" t="str">
        <v>TCSRE</v>
      </c>
      <c r="B1304" s="146" t="str">
        <v>2021</v>
      </c>
      <c r="C1304" s="146" t="str">
        <v>1</v>
      </c>
      <c r="D1304" s="146" t="str">
        <v>TITULADO</v>
      </c>
      <c r="E1304" s="146" t="str">
        <v>31 - TITULADO APROBADO</v>
      </c>
      <c r="F1304" s="146" t="n">
        <v>6</v>
      </c>
    </row>
    <row r="1305" ht="32" customHeight="1">
      <c r="A1305" s="146" t="str">
        <v>TCSRE</v>
      </c>
      <c r="B1305" s="146" t="str">
        <v>2022</v>
      </c>
      <c r="C1305" s="146" t="str">
        <v>1</v>
      </c>
      <c r="D1305" s="146" t="str">
        <v>ELIMINADO</v>
      </c>
      <c r="E1305" s="146" t="str">
        <v>1 - ALUMNO REGULAR</v>
      </c>
      <c r="F1305" s="146" t="n">
        <v>4</v>
      </c>
    </row>
    <row r="1306" ht="32" customHeight="1">
      <c r="A1306" s="146" t="str">
        <v>TCSRE</v>
      </c>
      <c r="B1306" s="146" t="str">
        <v>2022</v>
      </c>
      <c r="C1306" s="146" t="str">
        <v>1</v>
      </c>
      <c r="D1306" s="146" t="str">
        <v>ELIMINADO</v>
      </c>
      <c r="E1306" s="146" t="str">
        <v>24 - CAMBIO DE CARRERA</v>
      </c>
      <c r="F1306" s="146" t="n">
        <v>9</v>
      </c>
    </row>
    <row r="1307" ht="32" customHeight="1">
      <c r="A1307" s="146" t="str">
        <v>TCSRE</v>
      </c>
      <c r="B1307" s="146" t="str">
        <v>2022</v>
      </c>
      <c r="C1307" s="146" t="str">
        <v>1</v>
      </c>
      <c r="D1307" s="146" t="str">
        <v>ELIMINADO</v>
      </c>
      <c r="E1307" s="146" t="str">
        <v>3 - ELIMINACION AUTOMATICA</v>
      </c>
      <c r="F1307" s="146" t="n">
        <v>1</v>
      </c>
    </row>
    <row r="1308" ht="32" customHeight="1">
      <c r="A1308" s="146" t="str">
        <v>TCSRE</v>
      </c>
      <c r="B1308" s="146" t="str">
        <v>2022</v>
      </c>
      <c r="C1308" s="146" t="str">
        <v>1</v>
      </c>
      <c r="D1308" s="146" t="str">
        <v>TITULADO</v>
      </c>
      <c r="E1308" s="146" t="str">
        <v>31 - TITULADO APROBADO</v>
      </c>
      <c r="F1308" s="146" t="n">
        <v>5</v>
      </c>
    </row>
    <row r="1309" ht="32" customHeight="1">
      <c r="A1309" s="146" t="str">
        <v>TCSRE</v>
      </c>
      <c r="B1309" s="146" t="str">
        <v>2023</v>
      </c>
      <c r="C1309" s="146" t="str">
        <v>1</v>
      </c>
      <c r="D1309" s="146" t="str">
        <v>ELIMINADO</v>
      </c>
      <c r="E1309" s="146" t="str">
        <v>24 - CAMBIO DE CARRERA</v>
      </c>
      <c r="F1309" s="146" t="n">
        <v>2</v>
      </c>
    </row>
    <row r="1310" ht="32" customHeight="1">
      <c r="A1310" s="146" t="str">
        <v>TCSRE</v>
      </c>
      <c r="B1310" s="146" t="str">
        <v>2023</v>
      </c>
      <c r="C1310" s="146" t="str">
        <v>1</v>
      </c>
      <c r="D1310" s="146" t="str">
        <v>TITULADO</v>
      </c>
      <c r="E1310" s="146" t="str">
        <v>31 - TITULADO APROBADO</v>
      </c>
      <c r="F1310" s="146" t="n">
        <v>6</v>
      </c>
    </row>
    <row r="1311" ht="32" customHeight="1">
      <c r="A1311" s="146" t="str">
        <v>TCSRE</v>
      </c>
      <c r="B1311" s="146" t="str">
        <v>2023</v>
      </c>
      <c r="C1311" s="146" t="str">
        <v>1</v>
      </c>
      <c r="D1311" s="146" t="str">
        <v>VIGENTE</v>
      </c>
      <c r="E1311" s="146" t="str">
        <v>1 - ALUMNO REGULAR</v>
      </c>
      <c r="F1311" s="146" t="n">
        <v>1</v>
      </c>
    </row>
    <row r="1312" ht="32" customHeight="1">
      <c r="A1312" s="146" t="str">
        <v>TCSRE</v>
      </c>
      <c r="B1312" s="146" t="str">
        <v>2024</v>
      </c>
      <c r="C1312" s="146" t="str">
        <v>1</v>
      </c>
      <c r="D1312" s="146" t="str">
        <v>ELIMINADO</v>
      </c>
      <c r="E1312" s="146" t="str">
        <v>10 - ACTUALIZACIÓN DE PLAN DE ESTUDIO 2024</v>
      </c>
      <c r="F1312" s="146" t="n">
        <v>1</v>
      </c>
    </row>
    <row r="1313" ht="32" customHeight="1">
      <c r="A1313" s="146" t="str">
        <v>TCSRE</v>
      </c>
      <c r="B1313" s="146" t="str">
        <v>2024</v>
      </c>
      <c r="C1313" s="146" t="str">
        <v>1</v>
      </c>
      <c r="D1313" s="146" t="str">
        <v>ELIMINADO</v>
      </c>
      <c r="E1313" s="146" t="str">
        <v>23 - RETIRO - RETRACTO</v>
      </c>
      <c r="F1313" s="146" t="n">
        <v>1</v>
      </c>
    </row>
    <row r="1314" ht="32" customHeight="1">
      <c r="A1314" s="146" t="str">
        <v>TCSRE</v>
      </c>
      <c r="B1314" s="146" t="str">
        <v>2024</v>
      </c>
      <c r="C1314" s="146" t="str">
        <v>1</v>
      </c>
      <c r="D1314" s="146" t="str">
        <v>ELIMINADO</v>
      </c>
      <c r="E1314" s="146" t="str">
        <v>7 - NO RENUEVA MATRICULA</v>
      </c>
      <c r="F1314" s="146" t="n">
        <v>3</v>
      </c>
    </row>
    <row r="1315" ht="32" customHeight="1">
      <c r="A1315" s="146" t="str">
        <v>TCSRE</v>
      </c>
      <c r="B1315" s="146" t="str">
        <v>2024</v>
      </c>
      <c r="C1315" s="146" t="str">
        <v>1</v>
      </c>
      <c r="D1315" s="146" t="str">
        <v>TITULADO</v>
      </c>
      <c r="E1315" s="146" t="str">
        <v>31 - TITULADO APROBADO</v>
      </c>
      <c r="F1315" s="146" t="n">
        <v>4</v>
      </c>
    </row>
    <row r="1316" ht="32" customHeight="1">
      <c r="A1316" s="146" t="str">
        <v>TCSRE</v>
      </c>
      <c r="B1316" s="146" t="str">
        <v>2025</v>
      </c>
      <c r="C1316" s="146" t="str">
        <v>1</v>
      </c>
      <c r="D1316" s="146" t="str">
        <v>TITULADO</v>
      </c>
      <c r="E1316" s="146" t="str">
        <v>31 - TITULADO APROBADO</v>
      </c>
      <c r="F1316" s="146" t="n">
        <v>1</v>
      </c>
    </row>
    <row r="1317" ht="32" customHeight="1">
      <c r="A1317" s="146" t="str">
        <v>TCSREOL</v>
      </c>
      <c r="B1317" s="146" t="str">
        <v>2020</v>
      </c>
      <c r="C1317" s="146" t="str">
        <v>1</v>
      </c>
      <c r="D1317" s="146" t="str">
        <v>ELIMINADO</v>
      </c>
      <c r="E1317" s="146" t="str">
        <v>23 - RETIRO - RETRACTO</v>
      </c>
      <c r="F1317" s="146" t="n">
        <v>1</v>
      </c>
    </row>
    <row r="1318" ht="32" customHeight="1">
      <c r="A1318" s="146" t="str">
        <v>TCSREOL</v>
      </c>
      <c r="B1318" s="146" t="str">
        <v>2020</v>
      </c>
      <c r="C1318" s="146" t="str">
        <v>1</v>
      </c>
      <c r="D1318" s="146" t="str">
        <v>ELIMINADO</v>
      </c>
      <c r="E1318" s="146" t="str">
        <v>24 - CAMBIO DE CARRERA</v>
      </c>
      <c r="F1318" s="146" t="n">
        <v>2</v>
      </c>
    </row>
    <row r="1319" ht="32" customHeight="1">
      <c r="A1319" s="146" t="str">
        <v>TCSREOL</v>
      </c>
      <c r="B1319" s="146" t="str">
        <v>2020</v>
      </c>
      <c r="C1319" s="146" t="str">
        <v>1</v>
      </c>
      <c r="D1319" s="146" t="str">
        <v>ELIMINADO</v>
      </c>
      <c r="E1319" s="146" t="str">
        <v>3 - ELIMINACION AUTOMATICA</v>
      </c>
      <c r="F1319" s="146" t="n">
        <v>8</v>
      </c>
    </row>
    <row r="1320" ht="32" customHeight="1">
      <c r="A1320" s="146" t="str">
        <v>TCSREOL</v>
      </c>
      <c r="B1320" s="146" t="str">
        <v>2020</v>
      </c>
      <c r="C1320" s="146" t="str">
        <v>1</v>
      </c>
      <c r="D1320" s="146" t="str">
        <v>ELIMINADO</v>
      </c>
      <c r="E1320" s="146" t="str">
        <v>38 - REINCORPORACION DE ACTIVIDADES</v>
      </c>
      <c r="F1320" s="146" t="n">
        <v>1</v>
      </c>
    </row>
    <row r="1321" ht="32" customHeight="1">
      <c r="A1321" s="146" t="str">
        <v>TCSREOL</v>
      </c>
      <c r="B1321" s="146" t="str">
        <v>2020</v>
      </c>
      <c r="C1321" s="146" t="str">
        <v>2</v>
      </c>
      <c r="D1321" s="146" t="str">
        <v>ELIMINADO</v>
      </c>
      <c r="E1321" s="146" t="str">
        <v>23 - RETIRO - RETRACTO</v>
      </c>
      <c r="F1321" s="146" t="n">
        <v>1</v>
      </c>
    </row>
    <row r="1322" ht="32" customHeight="1">
      <c r="A1322" s="146" t="str">
        <v>TCSREOL</v>
      </c>
      <c r="B1322" s="146" t="str">
        <v>2020</v>
      </c>
      <c r="C1322" s="146" t="str">
        <v>2</v>
      </c>
      <c r="D1322" s="146" t="str">
        <v>ELIMINADO</v>
      </c>
      <c r="E1322" s="146" t="str">
        <v>3 - ELIMINACION AUTOMATICA</v>
      </c>
      <c r="F1322" s="146" t="n">
        <v>2</v>
      </c>
    </row>
    <row r="1323" ht="32" customHeight="1">
      <c r="A1323" s="146" t="str">
        <v>TCSREOL</v>
      </c>
      <c r="B1323" s="146" t="str">
        <v>2021</v>
      </c>
      <c r="C1323" s="146" t="str">
        <v>1</v>
      </c>
      <c r="D1323" s="146" t="str">
        <v>ELIMINADO</v>
      </c>
      <c r="E1323" s="146" t="str">
        <v>1 - ALUMNO REGULAR</v>
      </c>
      <c r="F1323" s="146" t="n">
        <v>19</v>
      </c>
    </row>
    <row r="1324" ht="32" customHeight="1">
      <c r="A1324" s="146" t="str">
        <v>TCSREOL</v>
      </c>
      <c r="B1324" s="146" t="str">
        <v>2021</v>
      </c>
      <c r="C1324" s="146" t="str">
        <v>1</v>
      </c>
      <c r="D1324" s="146" t="str">
        <v>ELIMINADO</v>
      </c>
      <c r="E1324" s="146" t="str">
        <v>23 - RETIRO - RETRACTO</v>
      </c>
      <c r="F1324" s="146" t="n">
        <v>1</v>
      </c>
    </row>
    <row r="1325" ht="32" customHeight="1">
      <c r="A1325" s="146" t="str">
        <v>TCSREOL</v>
      </c>
      <c r="B1325" s="146" t="str">
        <v>2021</v>
      </c>
      <c r="C1325" s="146" t="str">
        <v>1</v>
      </c>
      <c r="D1325" s="146" t="str">
        <v>ELIMINADO</v>
      </c>
      <c r="E1325" s="146" t="str">
        <v>24 - CAMBIO DE CARRERA</v>
      </c>
      <c r="F1325" s="146" t="n">
        <v>4</v>
      </c>
    </row>
    <row r="1326" ht="32" customHeight="1">
      <c r="A1326" s="146" t="str">
        <v>TCSREOL</v>
      </c>
      <c r="B1326" s="146" t="str">
        <v>2021</v>
      </c>
      <c r="C1326" s="146" t="str">
        <v>1</v>
      </c>
      <c r="D1326" s="146" t="str">
        <v>ELIMINADO</v>
      </c>
      <c r="E1326" s="146" t="str">
        <v>3 - ELIMINACION AUTOMATICA</v>
      </c>
      <c r="F1326" s="146" t="n">
        <v>1</v>
      </c>
    </row>
    <row r="1327" ht="32" customHeight="1">
      <c r="A1327" s="146" t="str">
        <v>TCSREOL</v>
      </c>
      <c r="B1327" s="146" t="str">
        <v>2021</v>
      </c>
      <c r="C1327" s="146" t="str">
        <v>1</v>
      </c>
      <c r="D1327" s="146" t="str">
        <v>ELIMINADO</v>
      </c>
      <c r="E1327" s="146" t="str">
        <v>95 - DEFUNCIÓN</v>
      </c>
      <c r="F1327" s="146" t="n">
        <v>1</v>
      </c>
    </row>
    <row r="1328" ht="32" customHeight="1">
      <c r="A1328" s="146" t="str">
        <v>TCSREOL</v>
      </c>
      <c r="B1328" s="146" t="str">
        <v>2021</v>
      </c>
      <c r="C1328" s="146" t="str">
        <v>1</v>
      </c>
      <c r="D1328" s="146" t="str">
        <v>TITULADO</v>
      </c>
      <c r="E1328" s="146" t="str">
        <v>31 - TITULADO APROBADO</v>
      </c>
      <c r="F1328" s="146" t="n">
        <v>2</v>
      </c>
    </row>
    <row r="1329" ht="32" customHeight="1">
      <c r="A1329" s="146" t="str">
        <v>TCSREOL</v>
      </c>
      <c r="B1329" s="146" t="str">
        <v>2021</v>
      </c>
      <c r="C1329" s="146" t="str">
        <v>2</v>
      </c>
      <c r="D1329" s="146" t="str">
        <v>ELIMINADO</v>
      </c>
      <c r="E1329" s="146" t="str">
        <v>1 - ALUMNO REGULAR</v>
      </c>
      <c r="F1329" s="146" t="n">
        <v>6</v>
      </c>
    </row>
    <row r="1330" ht="32" customHeight="1">
      <c r="A1330" s="146" t="str">
        <v>TCSREOL</v>
      </c>
      <c r="B1330" s="146" t="str">
        <v>2022</v>
      </c>
      <c r="C1330" s="146" t="str">
        <v>1</v>
      </c>
      <c r="D1330" s="146" t="str">
        <v>ELIMINADO</v>
      </c>
      <c r="E1330" s="146" t="str">
        <v>1 - ALUMNO REGULAR</v>
      </c>
      <c r="F1330" s="146" t="n">
        <v>17</v>
      </c>
    </row>
    <row r="1331" ht="32" customHeight="1">
      <c r="A1331" s="146" t="str">
        <v>TCSREOL</v>
      </c>
      <c r="B1331" s="146" t="str">
        <v>2022</v>
      </c>
      <c r="C1331" s="146" t="str">
        <v>1</v>
      </c>
      <c r="D1331" s="146" t="str">
        <v>ELIMINADO</v>
      </c>
      <c r="E1331" s="146" t="str">
        <v>24 - CAMBIO DE CARRERA</v>
      </c>
      <c r="F1331" s="146" t="n">
        <v>5</v>
      </c>
    </row>
    <row r="1332" ht="32" customHeight="1">
      <c r="A1332" s="146" t="str">
        <v>TCSREOL</v>
      </c>
      <c r="B1332" s="146" t="str">
        <v>2022</v>
      </c>
      <c r="C1332" s="146" t="str">
        <v>1</v>
      </c>
      <c r="D1332" s="146" t="str">
        <v>ELIMINADO</v>
      </c>
      <c r="E1332" s="146" t="str">
        <v>3 - ELIMINACION AUTOMATICA</v>
      </c>
      <c r="F1332" s="146" t="n">
        <v>2</v>
      </c>
    </row>
    <row r="1333" ht="32" customHeight="1">
      <c r="A1333" s="146" t="str">
        <v>TCSREOL</v>
      </c>
      <c r="B1333" s="146" t="str">
        <v>2022</v>
      </c>
      <c r="C1333" s="146" t="str">
        <v>1</v>
      </c>
      <c r="D1333" s="146" t="str">
        <v>ELIMINADO</v>
      </c>
      <c r="E1333" s="146" t="str">
        <v>38 - REINCORPORACION DE ACTIVIDADES</v>
      </c>
      <c r="F1333" s="146" t="n">
        <v>1</v>
      </c>
    </row>
    <row r="1334" ht="32" customHeight="1">
      <c r="A1334" s="146" t="str">
        <v>TCSREOL</v>
      </c>
      <c r="B1334" s="146" t="str">
        <v>2022</v>
      </c>
      <c r="C1334" s="146" t="str">
        <v>1</v>
      </c>
      <c r="D1334" s="146" t="str">
        <v>TITULADO</v>
      </c>
      <c r="E1334" s="146" t="str">
        <v>31 - TITULADO APROBADO</v>
      </c>
      <c r="F1334" s="146" t="n">
        <v>17</v>
      </c>
    </row>
    <row r="1335" ht="32" customHeight="1">
      <c r="A1335" s="146" t="str">
        <v>TCSREOL</v>
      </c>
      <c r="B1335" s="146" t="str">
        <v>2022</v>
      </c>
      <c r="C1335" s="146" t="str">
        <v>2</v>
      </c>
      <c r="D1335" s="146" t="str">
        <v>ELIMINADO</v>
      </c>
      <c r="E1335" s="146" t="str">
        <v>1 - ALUMNO REGULAR</v>
      </c>
      <c r="F1335" s="146" t="n">
        <v>4</v>
      </c>
    </row>
    <row r="1336" ht="32" customHeight="1">
      <c r="A1336" s="146" t="str">
        <v>TCSREOL</v>
      </c>
      <c r="B1336" s="146" t="str">
        <v>2023</v>
      </c>
      <c r="C1336" s="146" t="str">
        <v>1</v>
      </c>
      <c r="D1336" s="146" t="str">
        <v>ELIMINADO</v>
      </c>
      <c r="E1336" s="146" t="str">
        <v>1 - ALUMNO REGULAR</v>
      </c>
      <c r="F1336" s="146" t="n">
        <v>19</v>
      </c>
    </row>
    <row r="1337" ht="32" customHeight="1">
      <c r="A1337" s="146" t="str">
        <v>TCSREOL</v>
      </c>
      <c r="B1337" s="146" t="str">
        <v>2023</v>
      </c>
      <c r="C1337" s="146" t="str">
        <v>1</v>
      </c>
      <c r="D1337" s="146" t="str">
        <v>ELIMINADO</v>
      </c>
      <c r="E1337" s="146" t="str">
        <v>10 - ACTUALIZACIÓN DE PLAN DE ESTUDIO 2024</v>
      </c>
      <c r="F1337" s="146" t="n">
        <v>4</v>
      </c>
    </row>
    <row r="1338" ht="32" customHeight="1">
      <c r="A1338" s="146" t="str">
        <v>TCSREOL</v>
      </c>
      <c r="B1338" s="146" t="str">
        <v>2023</v>
      </c>
      <c r="C1338" s="146" t="str">
        <v>1</v>
      </c>
      <c r="D1338" s="146" t="str">
        <v>ELIMINADO</v>
      </c>
      <c r="E1338" s="146" t="str">
        <v>23 - RETIRO - RETRACTO</v>
      </c>
      <c r="F1338" s="146" t="n">
        <v>2</v>
      </c>
    </row>
    <row r="1339" ht="32" customHeight="1">
      <c r="A1339" s="146" t="str">
        <v>TCSREOL</v>
      </c>
      <c r="B1339" s="146" t="str">
        <v>2023</v>
      </c>
      <c r="C1339" s="146" t="str">
        <v>1</v>
      </c>
      <c r="D1339" s="146" t="str">
        <v>ELIMINADO</v>
      </c>
      <c r="E1339" s="146" t="str">
        <v>24 - CAMBIO DE CARRERA</v>
      </c>
      <c r="F1339" s="146" t="n">
        <v>4</v>
      </c>
    </row>
    <row r="1340" ht="32" customHeight="1">
      <c r="A1340" s="146" t="str">
        <v>TCSREOL</v>
      </c>
      <c r="B1340" s="146" t="str">
        <v>2023</v>
      </c>
      <c r="C1340" s="146" t="str">
        <v>1</v>
      </c>
      <c r="D1340" s="146" t="str">
        <v>ELIMINADO</v>
      </c>
      <c r="E1340" s="146" t="str">
        <v>7 - NO RENUEVA MATRICULA</v>
      </c>
      <c r="F1340" s="146" t="n">
        <v>5</v>
      </c>
    </row>
    <row r="1341" ht="32" customHeight="1">
      <c r="A1341" s="146" t="str">
        <v>TCSREOL</v>
      </c>
      <c r="B1341" s="146" t="str">
        <v>2023</v>
      </c>
      <c r="C1341" s="146" t="str">
        <v>1</v>
      </c>
      <c r="D1341" s="146" t="str">
        <v>ELIMINADO</v>
      </c>
      <c r="E1341" s="146" t="str">
        <v>95 - DEFUNCIÓN</v>
      </c>
      <c r="F1341" s="146" t="n">
        <v>1</v>
      </c>
    </row>
    <row r="1342" ht="32" customHeight="1">
      <c r="A1342" s="146" t="str">
        <v>TCSREOL</v>
      </c>
      <c r="B1342" s="146" t="str">
        <v>2023</v>
      </c>
      <c r="C1342" s="146" t="str">
        <v>1</v>
      </c>
      <c r="D1342" s="146" t="str">
        <v>TITULADO</v>
      </c>
      <c r="E1342" s="146" t="str">
        <v>31 - TITULADO APROBADO</v>
      </c>
      <c r="F1342" s="146" t="n">
        <v>22</v>
      </c>
    </row>
    <row r="1343" ht="32" customHeight="1">
      <c r="A1343" s="146" t="str">
        <v>TCSREOL</v>
      </c>
      <c r="B1343" s="146" t="str">
        <v>2023</v>
      </c>
      <c r="C1343" s="146" t="str">
        <v>1</v>
      </c>
      <c r="D1343" s="146" t="str">
        <v>VIGENTE</v>
      </c>
      <c r="E1343" s="146" t="str">
        <v>1 - ALUMNO REGULAR</v>
      </c>
      <c r="F1343" s="146" t="n">
        <v>2</v>
      </c>
    </row>
    <row r="1344" ht="32" customHeight="1">
      <c r="A1344" s="146" t="str">
        <v>TCSREOL</v>
      </c>
      <c r="B1344" s="146" t="str">
        <v>2023</v>
      </c>
      <c r="C1344" s="146" t="str">
        <v>2</v>
      </c>
      <c r="D1344" s="146" t="str">
        <v>ELIMINADO</v>
      </c>
      <c r="E1344" s="146" t="str">
        <v>1 - ALUMNO REGULAR</v>
      </c>
      <c r="F1344" s="146" t="n">
        <v>6</v>
      </c>
    </row>
    <row r="1345" ht="32" customHeight="1">
      <c r="A1345" s="146" t="str">
        <v>TCSREOL</v>
      </c>
      <c r="B1345" s="146" t="str">
        <v>2023</v>
      </c>
      <c r="C1345" s="146" t="str">
        <v>2</v>
      </c>
      <c r="D1345" s="146" t="str">
        <v>ELIMINADO</v>
      </c>
      <c r="E1345" s="146" t="str">
        <v>24 - CAMBIO DE CARRERA</v>
      </c>
      <c r="F1345" s="146" t="n">
        <v>3</v>
      </c>
    </row>
    <row r="1346" ht="32" customHeight="1">
      <c r="A1346" s="146" t="str">
        <v>TCSREOL</v>
      </c>
      <c r="B1346" s="146" t="str">
        <v>2024</v>
      </c>
      <c r="C1346" s="146" t="str">
        <v>1</v>
      </c>
      <c r="D1346" s="146" t="str">
        <v>ELIMINADO</v>
      </c>
      <c r="E1346" s="146" t="str">
        <v>10 - ACTUALIZACIÓN DE PLAN DE ESTUDIO 2024</v>
      </c>
      <c r="F1346" s="146" t="n">
        <v>38</v>
      </c>
    </row>
    <row r="1347" ht="32" customHeight="1">
      <c r="A1347" s="146" t="str">
        <v>TCSREOL</v>
      </c>
      <c r="B1347" s="146" t="str">
        <v>2024</v>
      </c>
      <c r="C1347" s="146" t="str">
        <v>1</v>
      </c>
      <c r="D1347" s="146" t="str">
        <v>TITULADO</v>
      </c>
      <c r="E1347" s="146" t="str">
        <v>31 - TITULADO APROBADO</v>
      </c>
      <c r="F1347" s="146" t="n">
        <v>12</v>
      </c>
    </row>
    <row r="1348" ht="32" customHeight="1">
      <c r="A1348" s="146" t="str">
        <v>TCSREOL</v>
      </c>
      <c r="B1348" s="146" t="str">
        <v>2025</v>
      </c>
      <c r="C1348" s="146" t="str">
        <v>1</v>
      </c>
      <c r="D1348" s="146" t="str">
        <v>TITULADO</v>
      </c>
      <c r="E1348" s="146" t="str">
        <v>31 - TITULADO APROBADO</v>
      </c>
      <c r="F1348" s="146" t="n">
        <v>4</v>
      </c>
    </row>
    <row r="1349" ht="32" customHeight="1">
      <c r="A1349" s="146" t="str">
        <v>TCSREOL</v>
      </c>
      <c r="B1349" s="146" t="str">
        <v>2026</v>
      </c>
      <c r="C1349" s="146" t="str">
        <v>1</v>
      </c>
      <c r="D1349" s="146" t="str">
        <v>VIGENTE</v>
      </c>
      <c r="E1349" s="146" t="str">
        <v>1 - ALUMNO REGULAR</v>
      </c>
      <c r="F1349" s="146" t="n">
        <v>1</v>
      </c>
    </row>
    <row r="1350" ht="32" customHeight="1">
      <c r="A1350" s="146" t="str">
        <v>TEIQ</v>
      </c>
      <c r="B1350" s="146" t="str">
        <v>2026</v>
      </c>
      <c r="C1350" s="146" t="str">
        <v>1</v>
      </c>
      <c r="D1350" s="146" t="str">
        <v>ELIMINADO</v>
      </c>
      <c r="E1350" s="146" t="str">
        <v>11 - RENUNCIA POST INICIO CLASES</v>
      </c>
      <c r="F1350" s="146" t="n">
        <v>11</v>
      </c>
    </row>
    <row r="1351" ht="32" customHeight="1">
      <c r="A1351" s="146" t="str">
        <v>TEIQ</v>
      </c>
      <c r="B1351" s="146" t="str">
        <v>2026</v>
      </c>
      <c r="C1351" s="146" t="str">
        <v>1</v>
      </c>
      <c r="D1351" s="146" t="str">
        <v>ELIMINADO</v>
      </c>
      <c r="E1351" s="146" t="str">
        <v>23 - RETIRO - RETRACTO</v>
      </c>
      <c r="F1351" s="146" t="n">
        <v>45</v>
      </c>
    </row>
    <row r="1352" ht="32" customHeight="1">
      <c r="A1352" s="146" t="str">
        <v>TEIQ</v>
      </c>
      <c r="B1352" s="146" t="str">
        <v>2026</v>
      </c>
      <c r="C1352" s="146" t="str">
        <v>1</v>
      </c>
      <c r="D1352" s="146" t="str">
        <v>ELIMINADO</v>
      </c>
      <c r="E1352" s="146" t="str">
        <v>24 - CAMBIO DE CARRERA</v>
      </c>
      <c r="F1352" s="146" t="n">
        <v>3</v>
      </c>
    </row>
    <row r="1353" ht="32" customHeight="1">
      <c r="A1353" s="146" t="str">
        <v>TEIQ</v>
      </c>
      <c r="B1353" s="146" t="str">
        <v>2026</v>
      </c>
      <c r="C1353" s="146" t="str">
        <v>1</v>
      </c>
      <c r="D1353" s="146" t="str">
        <v>ELIMINADO</v>
      </c>
      <c r="E1353" s="146" t="str">
        <v>8 - ELIMINADO SIN ACTIVIDAD ACADÉMICA</v>
      </c>
      <c r="F1353" s="146" t="n">
        <v>8</v>
      </c>
    </row>
    <row r="1354" ht="32" customHeight="1">
      <c r="A1354" s="146" t="str">
        <v>TEIQ</v>
      </c>
      <c r="B1354" s="146" t="str">
        <v>2026</v>
      </c>
      <c r="C1354" s="146" t="str">
        <v>1</v>
      </c>
      <c r="D1354" s="146" t="str">
        <v>VIGENTE</v>
      </c>
      <c r="E1354" s="146" t="str">
        <v>1 - ALUMNO REGULAR</v>
      </c>
      <c r="F1354" s="146" t="n">
        <v>73</v>
      </c>
    </row>
    <row r="1355" ht="32" customHeight="1">
      <c r="A1355" s="146" t="str">
        <v>TEIQ</v>
      </c>
      <c r="B1355" s="146" t="str">
        <v>2026</v>
      </c>
      <c r="C1355" s="146" t="str">
        <v>2</v>
      </c>
      <c r="D1355" s="146" t="str">
        <v>ELIMINADO</v>
      </c>
      <c r="E1355" s="146" t="str">
        <v>11 - RENUNCIA POST INICIO CLASES</v>
      </c>
      <c r="F1355" s="146" t="n">
        <v>23</v>
      </c>
    </row>
    <row r="1356" ht="32" customHeight="1">
      <c r="A1356" s="146" t="str">
        <v>TEIQ</v>
      </c>
      <c r="B1356" s="146" t="str">
        <v>2026</v>
      </c>
      <c r="C1356" s="146" t="str">
        <v>2</v>
      </c>
      <c r="D1356" s="146" t="str">
        <v>ELIMINADO</v>
      </c>
      <c r="E1356" s="146" t="str">
        <v>23 - RETIRO - RETRACTO</v>
      </c>
      <c r="F1356" s="146" t="n">
        <v>7</v>
      </c>
    </row>
    <row r="1357" ht="32" customHeight="1">
      <c r="A1357" s="146" t="str">
        <v>TEIQ</v>
      </c>
      <c r="B1357" s="146" t="str">
        <v>2026</v>
      </c>
      <c r="C1357" s="146" t="str">
        <v>2</v>
      </c>
      <c r="D1357" s="146" t="str">
        <v>ELIMINADO</v>
      </c>
      <c r="E1357" s="146" t="str">
        <v>24 - CAMBIO DE CARRERA</v>
      </c>
      <c r="F1357" s="146" t="n">
        <v>2</v>
      </c>
    </row>
    <row r="1358" ht="32" customHeight="1">
      <c r="A1358" s="146" t="str">
        <v>TEIQ</v>
      </c>
      <c r="B1358" s="146" t="str">
        <v>2026</v>
      </c>
      <c r="C1358" s="146" t="str">
        <v>2</v>
      </c>
      <c r="D1358" s="146" t="str">
        <v>VIGENTE</v>
      </c>
      <c r="E1358" s="146" t="str">
        <v>1 - ALUMNO REGULAR</v>
      </c>
      <c r="F1358" s="146" t="n">
        <v>50</v>
      </c>
    </row>
    <row r="1359" ht="32" customHeight="1">
      <c r="A1359" s="146" t="str">
        <v>TEIQ</v>
      </c>
      <c r="B1359" s="146" t="str">
        <v>2026</v>
      </c>
      <c r="C1359" s="146" t="str">
        <v>3</v>
      </c>
      <c r="D1359" s="146" t="str">
        <v>ELIMINADO</v>
      </c>
      <c r="E1359" s="146" t="str">
        <v>23 - RETIRO - RETRACTO</v>
      </c>
      <c r="F1359" s="146" t="n">
        <v>13</v>
      </c>
    </row>
    <row r="1360" ht="32" customHeight="1">
      <c r="A1360" s="146" t="str">
        <v>TEIQ</v>
      </c>
      <c r="B1360" s="146" t="str">
        <v>2026</v>
      </c>
      <c r="C1360" s="146" t="str">
        <v>3</v>
      </c>
      <c r="D1360" s="146" t="str">
        <v>ELIMINADO</v>
      </c>
      <c r="E1360" s="146" t="str">
        <v>24 - CAMBIO DE CARRERA</v>
      </c>
      <c r="F1360" s="146" t="n">
        <v>2</v>
      </c>
    </row>
    <row r="1361" ht="32" customHeight="1">
      <c r="A1361" s="146" t="str">
        <v>TEIQ</v>
      </c>
      <c r="B1361" s="146" t="str">
        <v>2026</v>
      </c>
      <c r="C1361" s="146" t="str">
        <v>3</v>
      </c>
      <c r="D1361" s="146" t="str">
        <v>VIGENTE</v>
      </c>
      <c r="E1361" s="146" t="str">
        <v>1 - ALUMNO REGULAR</v>
      </c>
      <c r="F1361" s="146" t="n">
        <v>50</v>
      </c>
    </row>
    <row r="1362" ht="32" customHeight="1">
      <c r="A1362" s="146" t="str">
        <v>TEIQ</v>
      </c>
      <c r="B1362" s="146" t="str">
        <v>2027</v>
      </c>
      <c r="C1362" s="146" t="str">
        <v>1</v>
      </c>
      <c r="D1362" s="146" t="str">
        <v>ELIMINADO</v>
      </c>
      <c r="E1362" s="146" t="str">
        <v>23 - RETIRO - RETRACTO</v>
      </c>
      <c r="F1362" s="146" t="n">
        <v>1</v>
      </c>
    </row>
    <row r="1363" ht="32" customHeight="1">
      <c r="A1363" s="146" t="str">
        <v>TEIQ</v>
      </c>
      <c r="B1363" s="146" t="str">
        <v>2027</v>
      </c>
      <c r="C1363" s="146" t="str">
        <v>1</v>
      </c>
      <c r="D1363" s="146" t="str">
        <v>VIGENTE</v>
      </c>
      <c r="E1363" s="146" t="str">
        <v>1 - ALUMNO REGULAR</v>
      </c>
      <c r="F1363" s="146" t="n">
        <v>23</v>
      </c>
    </row>
    <row r="1364" ht="32" customHeight="1">
      <c r="A1364" s="146" t="str">
        <v>TELECSP</v>
      </c>
      <c r="B1364" s="146" t="str">
        <v>2027</v>
      </c>
      <c r="C1364" s="146" t="str">
        <v>1</v>
      </c>
      <c r="D1364" s="146" t="str">
        <v>VIGENTE</v>
      </c>
      <c r="E1364" s="146" t="str">
        <v>1 - ALUMNO REGULAR</v>
      </c>
      <c r="F1364" s="146" t="n">
        <v>12</v>
      </c>
    </row>
    <row r="1365" ht="32" customHeight="1">
      <c r="A1365" s="146" t="str">
        <v>TENS</v>
      </c>
      <c r="B1365" s="146" t="str">
        <v>2025</v>
      </c>
      <c r="C1365" s="146" t="str">
        <v>1</v>
      </c>
      <c r="D1365" s="146" t="str">
        <v>ELIMINADO</v>
      </c>
      <c r="E1365" s="146" t="str">
        <v>11 - RENUNCIA POST INICIO CLASES</v>
      </c>
      <c r="F1365" s="146" t="n">
        <v>22</v>
      </c>
    </row>
    <row r="1366" ht="32" customHeight="1">
      <c r="A1366" s="146" t="str">
        <v>TENS</v>
      </c>
      <c r="B1366" s="146" t="str">
        <v>2025</v>
      </c>
      <c r="C1366" s="146" t="str">
        <v>1</v>
      </c>
      <c r="D1366" s="146" t="str">
        <v>ELIMINADO</v>
      </c>
      <c r="E1366" s="146" t="str">
        <v>23 - RETIRO - RETRACTO</v>
      </c>
      <c r="F1366" s="146" t="n">
        <v>34</v>
      </c>
    </row>
    <row r="1367" ht="32" customHeight="1">
      <c r="A1367" s="146" t="str">
        <v>TENS</v>
      </c>
      <c r="B1367" s="146" t="str">
        <v>2025</v>
      </c>
      <c r="C1367" s="146" t="str">
        <v>1</v>
      </c>
      <c r="D1367" s="146" t="str">
        <v>SUSPENDIDO</v>
      </c>
      <c r="E1367" s="146" t="str">
        <v>2 - SUSPENSIÓN TEMPORAL</v>
      </c>
      <c r="F1367" s="146" t="n">
        <v>2</v>
      </c>
    </row>
    <row r="1368" ht="32" customHeight="1">
      <c r="A1368" s="146" t="str">
        <v>TENS</v>
      </c>
      <c r="B1368" s="146" t="str">
        <v>2025</v>
      </c>
      <c r="C1368" s="146" t="str">
        <v>1</v>
      </c>
      <c r="D1368" s="146" t="str">
        <v>VIGENTE</v>
      </c>
      <c r="E1368" s="146" t="str">
        <v>1 - ALUMNO REGULAR</v>
      </c>
      <c r="F1368" s="146" t="n">
        <v>6</v>
      </c>
    </row>
    <row r="1369" ht="32" customHeight="1">
      <c r="A1369" s="146" t="str">
        <v>TENS</v>
      </c>
      <c r="B1369" s="146" t="str">
        <v>2025</v>
      </c>
      <c r="C1369" s="146" t="str">
        <v>1</v>
      </c>
      <c r="D1369" s="146" t="str">
        <v>VIGENTE</v>
      </c>
      <c r="E1369" s="146" t="str">
        <v>20 - VIGENTE SIN ACTIVIDAD ACADEMICA</v>
      </c>
      <c r="F1369" s="146" t="n">
        <v>9</v>
      </c>
    </row>
    <row r="1370" ht="32" customHeight="1">
      <c r="A1370" s="146" t="str">
        <v>TENS</v>
      </c>
      <c r="B1370" s="146" t="str">
        <v>2025</v>
      </c>
      <c r="C1370" s="146" t="str">
        <v>1</v>
      </c>
      <c r="D1370" s="146" t="str">
        <v>VIGENTE</v>
      </c>
      <c r="E1370" s="146" t="str">
        <v>38 - REINCORPORACION DE ACTIVIDADES</v>
      </c>
      <c r="F1370" s="146" t="n">
        <v>2</v>
      </c>
    </row>
    <row r="1371" ht="32" customHeight="1">
      <c r="A1371" s="146" t="str">
        <v>TENS</v>
      </c>
      <c r="B1371" s="146" t="str">
        <v>2025</v>
      </c>
      <c r="C1371" s="146" t="str">
        <v>2</v>
      </c>
      <c r="D1371" s="146" t="str">
        <v>ELIMINADO</v>
      </c>
      <c r="E1371" s="146" t="str">
        <v>11 - RENUNCIA POST INICIO CLASES</v>
      </c>
      <c r="F1371" s="146" t="n">
        <v>3</v>
      </c>
    </row>
    <row r="1372" ht="32" customHeight="1">
      <c r="A1372" s="146" t="str">
        <v>TENS</v>
      </c>
      <c r="B1372" s="146" t="str">
        <v>2025</v>
      </c>
      <c r="C1372" s="146" t="str">
        <v>2</v>
      </c>
      <c r="D1372" s="146" t="str">
        <v>ELIMINADO</v>
      </c>
      <c r="E1372" s="146" t="str">
        <v>23 - RETIRO - RETRACTO</v>
      </c>
      <c r="F1372" s="146" t="n">
        <v>5</v>
      </c>
    </row>
    <row r="1373" ht="32" customHeight="1">
      <c r="A1373" s="146" t="str">
        <v>TENS</v>
      </c>
      <c r="B1373" s="146" t="str">
        <v>2025</v>
      </c>
      <c r="C1373" s="146" t="str">
        <v>2</v>
      </c>
      <c r="D1373" s="146" t="str">
        <v>ELIMINADO</v>
      </c>
      <c r="E1373" s="146" t="str">
        <v>24 - CAMBIO DE CARRERA</v>
      </c>
      <c r="F1373" s="146" t="n">
        <v>1</v>
      </c>
    </row>
    <row r="1374" ht="32" customHeight="1">
      <c r="A1374" s="146" t="str">
        <v>TENS</v>
      </c>
      <c r="B1374" s="146" t="str">
        <v>2025</v>
      </c>
      <c r="C1374" s="146" t="str">
        <v>2</v>
      </c>
      <c r="D1374" s="146" t="str">
        <v>SUSPENDIDO</v>
      </c>
      <c r="E1374" s="146" t="str">
        <v>2 - SUSPENSIÓN TEMPORAL</v>
      </c>
      <c r="F1374" s="146" t="n">
        <v>2</v>
      </c>
    </row>
    <row r="1375" ht="32" customHeight="1">
      <c r="A1375" s="146" t="str">
        <v>TENS</v>
      </c>
      <c r="B1375" s="146" t="str">
        <v>2025</v>
      </c>
      <c r="C1375" s="146" t="str">
        <v>2</v>
      </c>
      <c r="D1375" s="146" t="str">
        <v>VIGENTE</v>
      </c>
      <c r="E1375" s="146" t="str">
        <v>1 - ALUMNO REGULAR</v>
      </c>
      <c r="F1375" s="146" t="n">
        <v>8</v>
      </c>
    </row>
    <row r="1376" ht="32" customHeight="1">
      <c r="A1376" s="146" t="str">
        <v>TENS</v>
      </c>
      <c r="B1376" s="146" t="str">
        <v>2025</v>
      </c>
      <c r="C1376" s="146" t="str">
        <v>3</v>
      </c>
      <c r="D1376" s="146" t="str">
        <v>ELIMINADO</v>
      </c>
      <c r="E1376" s="146" t="str">
        <v>11 - RENUNCIA POST INICIO CLASES</v>
      </c>
      <c r="F1376" s="146" t="n">
        <v>3</v>
      </c>
    </row>
    <row r="1377" ht="32" customHeight="1">
      <c r="A1377" s="146" t="str">
        <v>TENS</v>
      </c>
      <c r="B1377" s="146" t="str">
        <v>2025</v>
      </c>
      <c r="C1377" s="146" t="str">
        <v>3</v>
      </c>
      <c r="D1377" s="146" t="str">
        <v>ELIMINADO</v>
      </c>
      <c r="E1377" s="146" t="str">
        <v>23 - RETIRO - RETRACTO</v>
      </c>
      <c r="F1377" s="146" t="n">
        <v>1</v>
      </c>
    </row>
    <row r="1378" ht="32" customHeight="1">
      <c r="A1378" s="146" t="str">
        <v>TENS</v>
      </c>
      <c r="B1378" s="146" t="str">
        <v>2025</v>
      </c>
      <c r="C1378" s="146" t="str">
        <v>3</v>
      </c>
      <c r="D1378" s="146" t="str">
        <v>VIGENTE</v>
      </c>
      <c r="E1378" s="146" t="str">
        <v>1 - ALUMNO REGULAR</v>
      </c>
      <c r="F1378" s="146" t="n">
        <v>4</v>
      </c>
    </row>
    <row r="1379" ht="32" customHeight="1">
      <c r="A1379" s="146" t="str">
        <v>TENS</v>
      </c>
      <c r="B1379" s="146" t="str">
        <v>2026</v>
      </c>
      <c r="C1379" s="146" t="str">
        <v>1</v>
      </c>
      <c r="D1379" s="146" t="str">
        <v>ELIMINADO</v>
      </c>
      <c r="E1379" s="146" t="str">
        <v>11 - RENUNCIA POST INICIO CLASES</v>
      </c>
      <c r="F1379" s="146" t="n">
        <v>33</v>
      </c>
    </row>
    <row r="1380" ht="32" customHeight="1">
      <c r="A1380" s="146" t="str">
        <v>TENS</v>
      </c>
      <c r="B1380" s="146" t="str">
        <v>2026</v>
      </c>
      <c r="C1380" s="146" t="str">
        <v>1</v>
      </c>
      <c r="D1380" s="146" t="str">
        <v>ELIMINADO</v>
      </c>
      <c r="E1380" s="146" t="str">
        <v>23 - RETIRO - RETRACTO</v>
      </c>
      <c r="F1380" s="146" t="n">
        <v>57</v>
      </c>
    </row>
    <row r="1381" ht="32" customHeight="1">
      <c r="A1381" s="146" t="str">
        <v>TENS</v>
      </c>
      <c r="B1381" s="146" t="str">
        <v>2026</v>
      </c>
      <c r="C1381" s="146" t="str">
        <v>1</v>
      </c>
      <c r="D1381" s="146" t="str">
        <v>ELIMINADO</v>
      </c>
      <c r="E1381" s="146" t="str">
        <v>24 - CAMBIO DE CARRERA</v>
      </c>
      <c r="F1381" s="146" t="n">
        <v>7</v>
      </c>
    </row>
    <row r="1382" ht="32" customHeight="1">
      <c r="A1382" s="146" t="str">
        <v>TENS</v>
      </c>
      <c r="B1382" s="146" t="str">
        <v>2026</v>
      </c>
      <c r="C1382" s="146" t="str">
        <v>1</v>
      </c>
      <c r="D1382" s="146" t="str">
        <v>ELIMINADO</v>
      </c>
      <c r="E1382" s="146" t="str">
        <v>8 - ELIMINADO SIN ACTIVIDAD ACADÉMICA</v>
      </c>
      <c r="F1382" s="146" t="n">
        <v>26</v>
      </c>
    </row>
    <row r="1383" ht="32" customHeight="1">
      <c r="A1383" s="146" t="str">
        <v>TENS</v>
      </c>
      <c r="B1383" s="146" t="str">
        <v>2026</v>
      </c>
      <c r="C1383" s="146" t="str">
        <v>1</v>
      </c>
      <c r="D1383" s="146" t="str">
        <v>SUSPENDIDO</v>
      </c>
      <c r="E1383" s="146" t="str">
        <v>2 - SUSPENSIÓN TEMPORAL</v>
      </c>
      <c r="F1383" s="146" t="n">
        <v>9</v>
      </c>
    </row>
    <row r="1384" ht="32" customHeight="1">
      <c r="A1384" s="146" t="str">
        <v>TENS</v>
      </c>
      <c r="B1384" s="146" t="str">
        <v>2026</v>
      </c>
      <c r="C1384" s="146" t="str">
        <v>1</v>
      </c>
      <c r="D1384" s="146" t="str">
        <v>VIGENTE</v>
      </c>
      <c r="E1384" s="146" t="str">
        <v>1 - ALUMNO REGULAR</v>
      </c>
      <c r="F1384" s="146" t="n">
        <v>136</v>
      </c>
    </row>
    <row r="1385" ht="32" customHeight="1">
      <c r="A1385" s="146" t="str">
        <v>TENS</v>
      </c>
      <c r="B1385" s="146" t="str">
        <v>2026</v>
      </c>
      <c r="C1385" s="146" t="str">
        <v>1</v>
      </c>
      <c r="D1385" s="146" t="str">
        <v>VIGENTE</v>
      </c>
      <c r="E1385" s="146" t="str">
        <v>38 - REINCORPORACION DE ACTIVIDADES</v>
      </c>
      <c r="F1385" s="146" t="n">
        <v>4</v>
      </c>
    </row>
    <row r="1386" ht="32" customHeight="1">
      <c r="A1386" s="146" t="str">
        <v>TENS</v>
      </c>
      <c r="B1386" s="146" t="str">
        <v>2026</v>
      </c>
      <c r="C1386" s="146" t="str">
        <v>1</v>
      </c>
      <c r="D1386" s="146" t="str">
        <v>VIGENTE</v>
      </c>
      <c r="E1386" s="146" t="str">
        <v>49 - CAMBIO DE JORNADA</v>
      </c>
      <c r="F1386" s="146" t="n">
        <v>6</v>
      </c>
    </row>
    <row r="1387" ht="32" customHeight="1">
      <c r="A1387" s="146" t="str">
        <v>TENS</v>
      </c>
      <c r="B1387" s="146" t="str">
        <v>2026</v>
      </c>
      <c r="C1387" s="146" t="str">
        <v>2</v>
      </c>
      <c r="D1387" s="146" t="str">
        <v>ELIMINADO</v>
      </c>
      <c r="E1387" s="146" t="str">
        <v>11 - RENUNCIA POST INICIO CLASES</v>
      </c>
      <c r="F1387" s="146" t="n">
        <v>14</v>
      </c>
    </row>
    <row r="1388" ht="32" customHeight="1">
      <c r="A1388" s="146" t="str">
        <v>TENS</v>
      </c>
      <c r="B1388" s="146" t="str">
        <v>2026</v>
      </c>
      <c r="C1388" s="146" t="str">
        <v>2</v>
      </c>
      <c r="D1388" s="146" t="str">
        <v>ELIMINADO</v>
      </c>
      <c r="E1388" s="146" t="str">
        <v>23 - RETIRO - RETRACTO</v>
      </c>
      <c r="F1388" s="146" t="n">
        <v>7</v>
      </c>
    </row>
    <row r="1389" ht="32" customHeight="1">
      <c r="A1389" s="146" t="str">
        <v>TENS</v>
      </c>
      <c r="B1389" s="146" t="str">
        <v>2026</v>
      </c>
      <c r="C1389" s="146" t="str">
        <v>2</v>
      </c>
      <c r="D1389" s="146" t="str">
        <v>ELIMINADO</v>
      </c>
      <c r="E1389" s="146" t="str">
        <v>24 - CAMBIO DE CARRERA</v>
      </c>
      <c r="F1389" s="146" t="n">
        <v>3</v>
      </c>
    </row>
    <row r="1390" ht="32" customHeight="1">
      <c r="A1390" s="146" t="str">
        <v>TENS</v>
      </c>
      <c r="B1390" s="146" t="str">
        <v>2026</v>
      </c>
      <c r="C1390" s="146" t="str">
        <v>2</v>
      </c>
      <c r="D1390" s="146" t="str">
        <v>SUSPENDIDO</v>
      </c>
      <c r="E1390" s="146" t="str">
        <v>2 - SUSPENSIÓN TEMPORAL</v>
      </c>
      <c r="F1390" s="146" t="n">
        <v>1</v>
      </c>
    </row>
    <row r="1391" ht="32" customHeight="1">
      <c r="A1391" s="146" t="str">
        <v>TENS</v>
      </c>
      <c r="B1391" s="146" t="str">
        <v>2026</v>
      </c>
      <c r="C1391" s="146" t="str">
        <v>2</v>
      </c>
      <c r="D1391" s="146" t="str">
        <v>VIGENTE</v>
      </c>
      <c r="E1391" s="146" t="str">
        <v>1 - ALUMNO REGULAR</v>
      </c>
      <c r="F1391" s="146" t="n">
        <v>52</v>
      </c>
    </row>
    <row r="1392" ht="32" customHeight="1">
      <c r="A1392" s="146" t="str">
        <v>TENS</v>
      </c>
      <c r="B1392" s="146" t="str">
        <v>2026</v>
      </c>
      <c r="C1392" s="146" t="str">
        <v>2</v>
      </c>
      <c r="D1392" s="146" t="str">
        <v>VIGENTE</v>
      </c>
      <c r="E1392" s="146" t="str">
        <v>38 - REINCORPORACION DE ACTIVIDADES</v>
      </c>
      <c r="F1392" s="146" t="n">
        <v>2</v>
      </c>
    </row>
    <row r="1393" ht="32" customHeight="1">
      <c r="A1393" s="146" t="str">
        <v>TENS</v>
      </c>
      <c r="B1393" s="146" t="str">
        <v>2026</v>
      </c>
      <c r="C1393" s="146" t="str">
        <v>2</v>
      </c>
      <c r="D1393" s="146" t="str">
        <v>VIGENTE</v>
      </c>
      <c r="E1393" s="146" t="str">
        <v>49 - CAMBIO DE JORNADA</v>
      </c>
      <c r="F1393" s="146" t="n">
        <v>1</v>
      </c>
    </row>
    <row r="1394" ht="32" customHeight="1">
      <c r="A1394" s="146" t="str">
        <v>TENS</v>
      </c>
      <c r="B1394" s="146" t="str">
        <v>2026</v>
      </c>
      <c r="C1394" s="146" t="str">
        <v>3</v>
      </c>
      <c r="D1394" s="146" t="str">
        <v>ELIMINADO</v>
      </c>
      <c r="E1394" s="146" t="str">
        <v>23 - RETIRO - RETRACTO</v>
      </c>
      <c r="F1394" s="146" t="n">
        <v>13</v>
      </c>
    </row>
    <row r="1395" ht="32" customHeight="1">
      <c r="A1395" s="146" t="str">
        <v>TENS</v>
      </c>
      <c r="B1395" s="146" t="str">
        <v>2026</v>
      </c>
      <c r="C1395" s="146" t="str">
        <v>3</v>
      </c>
      <c r="D1395" s="146" t="str">
        <v>SUSPENDIDO</v>
      </c>
      <c r="E1395" s="146" t="str">
        <v>2 - SUSPENSIÓN TEMPORAL</v>
      </c>
      <c r="F1395" s="146" t="n">
        <v>1</v>
      </c>
    </row>
    <row r="1396" ht="32" customHeight="1">
      <c r="A1396" s="146" t="str">
        <v>TENS</v>
      </c>
      <c r="B1396" s="146" t="str">
        <v>2026</v>
      </c>
      <c r="C1396" s="146" t="str">
        <v>3</v>
      </c>
      <c r="D1396" s="146" t="str">
        <v>VIGENTE</v>
      </c>
      <c r="E1396" s="146" t="str">
        <v>1 - ALUMNO REGULAR</v>
      </c>
      <c r="F1396" s="146" t="n">
        <v>40</v>
      </c>
    </row>
    <row r="1397" ht="32" customHeight="1">
      <c r="A1397" s="146" t="str">
        <v>TENS</v>
      </c>
      <c r="B1397" s="146" t="str">
        <v>2026</v>
      </c>
      <c r="C1397" s="146" t="str">
        <v>3</v>
      </c>
      <c r="D1397" s="146" t="str">
        <v>VIGENTE</v>
      </c>
      <c r="E1397" s="146" t="str">
        <v>38 - REINCORPORACION DE ACTIVIDADES</v>
      </c>
      <c r="F1397" s="146" t="n">
        <v>1</v>
      </c>
    </row>
    <row r="1398" ht="32" customHeight="1">
      <c r="A1398" s="146" t="str">
        <v>TENS</v>
      </c>
      <c r="B1398" s="146" t="str">
        <v>2027</v>
      </c>
      <c r="C1398" s="146" t="str">
        <v>1</v>
      </c>
      <c r="D1398" s="146" t="str">
        <v>ELIMINADO</v>
      </c>
      <c r="E1398" s="146" t="str">
        <v>23 - RETIRO - RETRACTO</v>
      </c>
      <c r="F1398" s="146" t="n">
        <v>1</v>
      </c>
    </row>
    <row r="1399" ht="32" customHeight="1">
      <c r="A1399" s="146" t="str">
        <v>TENS</v>
      </c>
      <c r="B1399" s="146" t="str">
        <v>2027</v>
      </c>
      <c r="C1399" s="146" t="str">
        <v>1</v>
      </c>
      <c r="D1399" s="146" t="str">
        <v>VIGENTE</v>
      </c>
      <c r="E1399" s="146" t="str">
        <v>1 - ALUMNO REGULAR</v>
      </c>
      <c r="F1399" s="146" t="n">
        <v>16</v>
      </c>
    </row>
    <row r="1400" ht="32" customHeight="1">
      <c r="A1400" s="146" t="str">
        <v>TENSSP</v>
      </c>
      <c r="B1400" s="146" t="str">
        <v>2027</v>
      </c>
      <c r="C1400" s="146" t="str">
        <v>1</v>
      </c>
      <c r="D1400" s="146" t="str">
        <v>VIGENTE</v>
      </c>
      <c r="E1400" s="146" t="str">
        <v>1 - ALUMNO REGULAR</v>
      </c>
      <c r="F1400" s="146" t="n">
        <v>12</v>
      </c>
    </row>
    <row r="1401" ht="32" customHeight="1">
      <c r="A1401" s="146" t="str">
        <v>TFAR</v>
      </c>
      <c r="B1401" s="146" t="str">
        <v>2026</v>
      </c>
      <c r="C1401" s="146" t="str">
        <v>1</v>
      </c>
      <c r="D1401" s="146" t="str">
        <v>ELIMINADO</v>
      </c>
      <c r="E1401" s="146" t="str">
        <v>11 - RENUNCIA POST INICIO CLASES</v>
      </c>
      <c r="F1401" s="146" t="n">
        <v>19</v>
      </c>
    </row>
    <row r="1402" ht="32" customHeight="1">
      <c r="A1402" s="146" t="str">
        <v>TFAR</v>
      </c>
      <c r="B1402" s="146" t="str">
        <v>2026</v>
      </c>
      <c r="C1402" s="146" t="str">
        <v>1</v>
      </c>
      <c r="D1402" s="146" t="str">
        <v>ELIMINADO</v>
      </c>
      <c r="E1402" s="146" t="str">
        <v>23 - RETIRO - RETRACTO</v>
      </c>
      <c r="F1402" s="146" t="n">
        <v>11</v>
      </c>
    </row>
    <row r="1403" ht="32" customHeight="1">
      <c r="A1403" s="146" t="str">
        <v>TFAR</v>
      </c>
      <c r="B1403" s="146" t="str">
        <v>2026</v>
      </c>
      <c r="C1403" s="146" t="str">
        <v>1</v>
      </c>
      <c r="D1403" s="146" t="str">
        <v>ELIMINADO</v>
      </c>
      <c r="E1403" s="146" t="str">
        <v>24 - CAMBIO DE CARRERA</v>
      </c>
      <c r="F1403" s="146" t="n">
        <v>2</v>
      </c>
    </row>
    <row r="1404" ht="32" customHeight="1">
      <c r="A1404" s="146" t="str">
        <v>TFAR</v>
      </c>
      <c r="B1404" s="146" t="str">
        <v>2026</v>
      </c>
      <c r="C1404" s="146" t="str">
        <v>1</v>
      </c>
      <c r="D1404" s="146" t="str">
        <v>ELIMINADO</v>
      </c>
      <c r="E1404" s="146" t="str">
        <v>8 - ELIMINADO SIN ACTIVIDAD ACADÉMICA</v>
      </c>
      <c r="F1404" s="146" t="n">
        <v>4</v>
      </c>
    </row>
    <row r="1405" ht="32" customHeight="1">
      <c r="A1405" s="146" t="str">
        <v>TFAR</v>
      </c>
      <c r="B1405" s="146" t="str">
        <v>2026</v>
      </c>
      <c r="C1405" s="146" t="str">
        <v>1</v>
      </c>
      <c r="D1405" s="146" t="str">
        <v>VIGENTE</v>
      </c>
      <c r="E1405" s="146" t="str">
        <v>1 - ALUMNO REGULAR</v>
      </c>
      <c r="F1405" s="146" t="n">
        <v>22</v>
      </c>
    </row>
    <row r="1406" ht="32" customHeight="1">
      <c r="A1406" s="146" t="str">
        <v>TFARSP</v>
      </c>
      <c r="B1406" s="146" t="str">
        <v>2026</v>
      </c>
      <c r="C1406" s="146" t="str">
        <v>3</v>
      </c>
      <c r="D1406" s="146" t="str">
        <v>ELIMINADO</v>
      </c>
      <c r="E1406" s="146" t="str">
        <v>23 - RETIRO - RETRACTO</v>
      </c>
      <c r="F1406" s="146" t="n">
        <v>1</v>
      </c>
    </row>
    <row r="1407" ht="32" customHeight="1">
      <c r="A1407" s="146" t="str">
        <v>TFARSP</v>
      </c>
      <c r="B1407" s="146" t="str">
        <v>2026</v>
      </c>
      <c r="C1407" s="146" t="str">
        <v>3</v>
      </c>
      <c r="D1407" s="146" t="str">
        <v>VIGENTE</v>
      </c>
      <c r="E1407" s="146" t="str">
        <v>1 - ALUMNO REGULAR</v>
      </c>
      <c r="F1407" s="146" t="n">
        <v>16</v>
      </c>
    </row>
    <row r="1408" ht="32" customHeight="1">
      <c r="A1408" s="146" t="str">
        <v>TFARSP</v>
      </c>
      <c r="B1408" s="146" t="str">
        <v>2026</v>
      </c>
      <c r="C1408" s="146" t="str">
        <v>3</v>
      </c>
      <c r="D1408" s="146" t="str">
        <v>VIGENTE</v>
      </c>
      <c r="E1408" s="146" t="str">
        <v>38 - REINCORPORACION DE ACTIVIDADES</v>
      </c>
      <c r="F1408" s="146" t="n">
        <v>1</v>
      </c>
    </row>
    <row r="1409" ht="32" customHeight="1">
      <c r="A1409" s="146" t="str">
        <v>TFARSP</v>
      </c>
      <c r="B1409" s="146" t="str">
        <v>2027</v>
      </c>
      <c r="C1409" s="146" t="str">
        <v>1</v>
      </c>
      <c r="D1409" s="146" t="str">
        <v>VIGENTE</v>
      </c>
      <c r="E1409" s="146" t="str">
        <v>1 - ALUMNO REGULAR</v>
      </c>
      <c r="F1409" s="146" t="n">
        <v>11</v>
      </c>
    </row>
    <row r="1410" ht="32" customHeight="1">
      <c r="A1410" s="146" t="str">
        <v>TFIN</v>
      </c>
      <c r="B1410" s="146" t="str">
        <v>2026</v>
      </c>
      <c r="C1410" s="146" t="str">
        <v>1</v>
      </c>
      <c r="D1410" s="146" t="str">
        <v>ELIMINADO</v>
      </c>
      <c r="E1410" s="146" t="str">
        <v>11 - RENUNCIA POST INICIO CLASES</v>
      </c>
      <c r="F1410" s="146" t="n">
        <v>8</v>
      </c>
    </row>
    <row r="1411" ht="32" customHeight="1">
      <c r="A1411" s="146" t="str">
        <v>TFIN</v>
      </c>
      <c r="B1411" s="146" t="str">
        <v>2026</v>
      </c>
      <c r="C1411" s="146" t="str">
        <v>1</v>
      </c>
      <c r="D1411" s="146" t="str">
        <v>ELIMINADO</v>
      </c>
      <c r="E1411" s="146" t="str">
        <v>23 - RETIRO - RETRACTO</v>
      </c>
      <c r="F1411" s="146" t="n">
        <v>3</v>
      </c>
    </row>
    <row r="1412" ht="32" customHeight="1">
      <c r="A1412" s="146" t="str">
        <v>TFIN</v>
      </c>
      <c r="B1412" s="146" t="str">
        <v>2026</v>
      </c>
      <c r="C1412" s="146" t="str">
        <v>1</v>
      </c>
      <c r="D1412" s="146" t="str">
        <v>ELIMINADO</v>
      </c>
      <c r="E1412" s="146" t="str">
        <v>24 - CAMBIO DE CARRERA</v>
      </c>
      <c r="F1412" s="146" t="n">
        <v>1</v>
      </c>
    </row>
    <row r="1413" ht="32" customHeight="1">
      <c r="A1413" s="146" t="str">
        <v>TFIN</v>
      </c>
      <c r="B1413" s="146" t="str">
        <v>2026</v>
      </c>
      <c r="C1413" s="146" t="str">
        <v>1</v>
      </c>
      <c r="D1413" s="146" t="str">
        <v>ELIMINADO</v>
      </c>
      <c r="E1413" s="146" t="str">
        <v>8 - ELIMINADO SIN ACTIVIDAD ACADÉMICA</v>
      </c>
      <c r="F1413" s="146" t="n">
        <v>6</v>
      </c>
    </row>
    <row r="1414" ht="32" customHeight="1">
      <c r="A1414" s="146" t="str">
        <v>TFIN</v>
      </c>
      <c r="B1414" s="146" t="str">
        <v>2026</v>
      </c>
      <c r="C1414" s="146" t="str">
        <v>1</v>
      </c>
      <c r="D1414" s="146" t="str">
        <v>VIGENTE</v>
      </c>
      <c r="E1414" s="146" t="str">
        <v>1 - ALUMNO REGULAR</v>
      </c>
      <c r="F1414" s="146" t="n">
        <v>20</v>
      </c>
    </row>
    <row r="1415" ht="32" customHeight="1">
      <c r="A1415" s="146" t="str">
        <v>TFIN</v>
      </c>
      <c r="B1415" s="146" t="str">
        <v>2027</v>
      </c>
      <c r="C1415" s="146" t="str">
        <v>1</v>
      </c>
      <c r="D1415" s="146" t="str">
        <v>VIGENTE</v>
      </c>
      <c r="E1415" s="146" t="str">
        <v>1 - ALUMNO REGULAR</v>
      </c>
      <c r="F1415" s="146" t="n">
        <v>6</v>
      </c>
    </row>
    <row r="1416" ht="32" customHeight="1">
      <c r="A1416" s="146" t="str">
        <v>TGEIN</v>
      </c>
      <c r="B1416" s="146" t="str">
        <v>2027</v>
      </c>
      <c r="C1416" s="146" t="str">
        <v>1</v>
      </c>
      <c r="D1416" s="146" t="str">
        <v>VIGENTE</v>
      </c>
      <c r="E1416" s="146" t="str">
        <v>1 - ALUMNO REGULAR</v>
      </c>
      <c r="F1416" s="146" t="n">
        <v>1</v>
      </c>
    </row>
    <row r="1417" ht="32" customHeight="1">
      <c r="A1417" s="146" t="str">
        <v>TIART</v>
      </c>
      <c r="B1417" s="146" t="str">
        <v>2027</v>
      </c>
      <c r="C1417" s="146" t="str">
        <v>1</v>
      </c>
      <c r="D1417" s="146" t="str">
        <v>VIGENTE</v>
      </c>
      <c r="E1417" s="146" t="str">
        <v>1 - ALUMNO REGULAR</v>
      </c>
      <c r="F1417" s="146" t="n">
        <v>15</v>
      </c>
    </row>
    <row r="1418" ht="32" customHeight="1">
      <c r="A1418" s="146" t="str">
        <v>TICL</v>
      </c>
      <c r="B1418" s="146" t="str">
        <v>2026</v>
      </c>
      <c r="C1418" s="146" t="str">
        <v>1</v>
      </c>
      <c r="D1418" s="146" t="str">
        <v>ELIMINADO</v>
      </c>
      <c r="E1418" s="146" t="str">
        <v>11 - RENUNCIA POST INICIO CLASES</v>
      </c>
      <c r="F1418" s="146" t="n">
        <v>5</v>
      </c>
    </row>
    <row r="1419" ht="32" customHeight="1">
      <c r="A1419" s="146" t="str">
        <v>TICL</v>
      </c>
      <c r="B1419" s="146" t="str">
        <v>2026</v>
      </c>
      <c r="C1419" s="146" t="str">
        <v>1</v>
      </c>
      <c r="D1419" s="146" t="str">
        <v>ELIMINADO</v>
      </c>
      <c r="E1419" s="146" t="str">
        <v>23 - RETIRO - RETRACTO</v>
      </c>
      <c r="F1419" s="146" t="n">
        <v>1</v>
      </c>
    </row>
    <row r="1420" ht="32" customHeight="1">
      <c r="A1420" s="146" t="str">
        <v>TICL</v>
      </c>
      <c r="B1420" s="146" t="str">
        <v>2026</v>
      </c>
      <c r="C1420" s="146" t="str">
        <v>1</v>
      </c>
      <c r="D1420" s="146" t="str">
        <v>ELIMINADO</v>
      </c>
      <c r="E1420" s="146" t="str">
        <v>24 - CAMBIO DE CARRERA</v>
      </c>
      <c r="F1420" s="146" t="n">
        <v>1</v>
      </c>
    </row>
    <row r="1421" ht="32" customHeight="1">
      <c r="A1421" s="146" t="str">
        <v>TICL</v>
      </c>
      <c r="B1421" s="146" t="str">
        <v>2026</v>
      </c>
      <c r="C1421" s="146" t="str">
        <v>1</v>
      </c>
      <c r="D1421" s="146" t="str">
        <v>ELIMINADO</v>
      </c>
      <c r="E1421" s="146" t="str">
        <v>8 - ELIMINADO SIN ACTIVIDAD ACADÉMICA</v>
      </c>
      <c r="F1421" s="146" t="n">
        <v>2</v>
      </c>
    </row>
    <row r="1422" ht="32" customHeight="1">
      <c r="A1422" s="146" t="str">
        <v>TICL</v>
      </c>
      <c r="B1422" s="146" t="str">
        <v>2026</v>
      </c>
      <c r="C1422" s="146" t="str">
        <v>1</v>
      </c>
      <c r="D1422" s="146" t="str">
        <v>SUSPENDIDO</v>
      </c>
      <c r="E1422" s="146" t="str">
        <v>2 - SUSPENSIÓN TEMPORAL</v>
      </c>
      <c r="F1422" s="146" t="n">
        <v>1</v>
      </c>
    </row>
    <row r="1423" ht="32" customHeight="1">
      <c r="A1423" s="146" t="str">
        <v>TICL</v>
      </c>
      <c r="B1423" s="146" t="str">
        <v>2026</v>
      </c>
      <c r="C1423" s="146" t="str">
        <v>1</v>
      </c>
      <c r="D1423" s="146" t="str">
        <v>VIGENTE</v>
      </c>
      <c r="E1423" s="146" t="str">
        <v>1 - ALUMNO REGULAR</v>
      </c>
      <c r="F1423" s="146" t="n">
        <v>10</v>
      </c>
    </row>
    <row r="1424" ht="32" customHeight="1">
      <c r="A1424" s="146" t="str">
        <v>TICL</v>
      </c>
      <c r="B1424" s="146" t="str">
        <v>2026</v>
      </c>
      <c r="C1424" s="146" t="str">
        <v>1</v>
      </c>
      <c r="D1424" s="146" t="str">
        <v>VIGENTE</v>
      </c>
      <c r="E1424" s="146" t="str">
        <v>38 - REINCORPORACION DE ACTIVIDADES</v>
      </c>
      <c r="F1424" s="146" t="n">
        <v>1</v>
      </c>
    </row>
    <row r="1425" ht="32" customHeight="1">
      <c r="A1425" s="146" t="str">
        <v>TICL</v>
      </c>
      <c r="B1425" s="146" t="str">
        <v>2027</v>
      </c>
      <c r="C1425" s="146" t="str">
        <v>1</v>
      </c>
      <c r="D1425" s="146" t="str">
        <v>VIGENTE</v>
      </c>
      <c r="E1425" s="146" t="str">
        <v>1 - ALUMNO REGULAR</v>
      </c>
      <c r="F1425" s="146" t="n">
        <v>4</v>
      </c>
    </row>
    <row r="1426" ht="32" customHeight="1">
      <c r="A1426" s="146" t="str">
        <v>TIMAGSP</v>
      </c>
      <c r="B1426" s="146" t="str">
        <v>2027</v>
      </c>
      <c r="C1426" s="146" t="str">
        <v>1</v>
      </c>
      <c r="D1426" s="146" t="str">
        <v>VIGENTE</v>
      </c>
      <c r="E1426" s="146" t="str">
        <v>1 - ALUMNO REGULAR</v>
      </c>
      <c r="F1426" s="146" t="n">
        <v>4</v>
      </c>
    </row>
    <row r="1427" ht="32" customHeight="1">
      <c r="A1427" s="146" t="str">
        <v>TINEDSP</v>
      </c>
      <c r="B1427" s="146" t="str">
        <v>2027</v>
      </c>
      <c r="C1427" s="146" t="str">
        <v>1</v>
      </c>
      <c r="D1427" s="146" t="str">
        <v>VIGENTE</v>
      </c>
      <c r="E1427" s="146" t="str">
        <v>1 - ALUMNO REGULAR</v>
      </c>
      <c r="F1427" s="146" t="n">
        <v>1</v>
      </c>
    </row>
    <row r="1428" ht="32" customHeight="1">
      <c r="A1428" s="146" t="str">
        <v>TLOG</v>
      </c>
      <c r="B1428" s="146" t="str">
        <v>2024</v>
      </c>
      <c r="C1428" s="146" t="str">
        <v>1</v>
      </c>
      <c r="D1428" s="146" t="str">
        <v>ELIMINADO</v>
      </c>
      <c r="E1428" s="146" t="str">
        <v>11 - RENUNCIA POST INICIO CLASES</v>
      </c>
      <c r="F1428" s="146" t="n">
        <v>3</v>
      </c>
    </row>
    <row r="1429" ht="32" customHeight="1">
      <c r="A1429" s="146" t="str">
        <v>TLOG</v>
      </c>
      <c r="B1429" s="146" t="str">
        <v>2024</v>
      </c>
      <c r="C1429" s="146" t="str">
        <v>1</v>
      </c>
      <c r="D1429" s="146" t="str">
        <v>ELIMINADO</v>
      </c>
      <c r="E1429" s="146" t="str">
        <v>23 - RETIRO - RETRACTO</v>
      </c>
      <c r="F1429" s="146" t="n">
        <v>9</v>
      </c>
    </row>
    <row r="1430" ht="32" customHeight="1">
      <c r="A1430" s="146" t="str">
        <v>TLOG</v>
      </c>
      <c r="B1430" s="146" t="str">
        <v>2024</v>
      </c>
      <c r="C1430" s="146" t="str">
        <v>1</v>
      </c>
      <c r="D1430" s="146" t="str">
        <v>ELIMINADO</v>
      </c>
      <c r="E1430" s="146" t="str">
        <v>24 - CAMBIO DE CARRERA</v>
      </c>
      <c r="F1430" s="146" t="n">
        <v>2</v>
      </c>
    </row>
    <row r="1431" ht="32" customHeight="1">
      <c r="A1431" s="146" t="str">
        <v>TLOG</v>
      </c>
      <c r="B1431" s="146" t="str">
        <v>2024</v>
      </c>
      <c r="C1431" s="146" t="str">
        <v>1</v>
      </c>
      <c r="D1431" s="146" t="str">
        <v>ELIMINADO</v>
      </c>
      <c r="E1431" s="146" t="str">
        <v>7 - NO RENUEVA MATRICULA</v>
      </c>
      <c r="F1431" s="146" t="n">
        <v>10</v>
      </c>
    </row>
    <row r="1432" ht="32" customHeight="1">
      <c r="A1432" s="146" t="str">
        <v>TLOG</v>
      </c>
      <c r="B1432" s="146" t="str">
        <v>2024</v>
      </c>
      <c r="C1432" s="146" t="str">
        <v>1</v>
      </c>
      <c r="D1432" s="146" t="str">
        <v>ELIMINADO</v>
      </c>
      <c r="E1432" s="146" t="str">
        <v>8 - ELIMINADO SIN ACTIVIDAD ACADÉMICA</v>
      </c>
      <c r="F1432" s="146" t="n">
        <v>7</v>
      </c>
    </row>
    <row r="1433" ht="32" customHeight="1">
      <c r="A1433" s="146" t="str">
        <v>TLOG</v>
      </c>
      <c r="B1433" s="146" t="str">
        <v>2024</v>
      </c>
      <c r="C1433" s="146" t="str">
        <v>2</v>
      </c>
      <c r="D1433" s="146" t="str">
        <v>ELIMINADO</v>
      </c>
      <c r="E1433" s="146" t="str">
        <v>12 - ELIMINADO MATRICULA SIN FIRMA</v>
      </c>
      <c r="F1433" s="146" t="n">
        <v>1</v>
      </c>
    </row>
    <row r="1434" ht="32" customHeight="1">
      <c r="A1434" s="146" t="str">
        <v>TLOG</v>
      </c>
      <c r="B1434" s="146" t="str">
        <v>2024</v>
      </c>
      <c r="C1434" s="146" t="str">
        <v>2</v>
      </c>
      <c r="D1434" s="146" t="str">
        <v>ELIMINADO</v>
      </c>
      <c r="E1434" s="146" t="str">
        <v>23 - RETIRO - RETRACTO</v>
      </c>
      <c r="F1434" s="146" t="n">
        <v>1</v>
      </c>
    </row>
    <row r="1435" ht="32" customHeight="1">
      <c r="A1435" s="146" t="str">
        <v>TLOG</v>
      </c>
      <c r="B1435" s="146" t="str">
        <v>2024</v>
      </c>
      <c r="C1435" s="146" t="str">
        <v>2</v>
      </c>
      <c r="D1435" s="146" t="str">
        <v>ELIMINADO</v>
      </c>
      <c r="E1435" s="146" t="str">
        <v>24 - CAMBIO DE CARRERA</v>
      </c>
      <c r="F1435" s="146" t="n">
        <v>1</v>
      </c>
    </row>
    <row r="1436" ht="32" customHeight="1">
      <c r="A1436" s="146" t="str">
        <v>TLOG</v>
      </c>
      <c r="B1436" s="146" t="str">
        <v>2024</v>
      </c>
      <c r="C1436" s="146" t="str">
        <v>3</v>
      </c>
      <c r="D1436" s="146" t="str">
        <v>ELIMINADO</v>
      </c>
      <c r="E1436" s="146" t="str">
        <v>23 - RETIRO - RETRACTO</v>
      </c>
      <c r="F1436" s="146" t="n">
        <v>1</v>
      </c>
    </row>
    <row r="1437" ht="32" customHeight="1">
      <c r="A1437" s="146" t="str">
        <v>TLOG</v>
      </c>
      <c r="B1437" s="146" t="str">
        <v>2025</v>
      </c>
      <c r="C1437" s="146" t="str">
        <v>1</v>
      </c>
      <c r="D1437" s="146" t="str">
        <v>ELIMINADO</v>
      </c>
      <c r="E1437" s="146" t="str">
        <v>11 - RENUNCIA POST INICIO CLASES</v>
      </c>
      <c r="F1437" s="146" t="n">
        <v>7</v>
      </c>
    </row>
    <row r="1438" ht="32" customHeight="1">
      <c r="A1438" s="146" t="str">
        <v>TLOG</v>
      </c>
      <c r="B1438" s="146" t="str">
        <v>2025</v>
      </c>
      <c r="C1438" s="146" t="str">
        <v>1</v>
      </c>
      <c r="D1438" s="146" t="str">
        <v>ELIMINADO</v>
      </c>
      <c r="E1438" s="146" t="str">
        <v>23 - RETIRO - RETRACTO</v>
      </c>
      <c r="F1438" s="146" t="n">
        <v>8</v>
      </c>
    </row>
    <row r="1439" ht="32" customHeight="1">
      <c r="A1439" s="146" t="str">
        <v>TLOG</v>
      </c>
      <c r="B1439" s="146" t="str">
        <v>2025</v>
      </c>
      <c r="C1439" s="146" t="str">
        <v>1</v>
      </c>
      <c r="D1439" s="146" t="str">
        <v>ELIMINADO</v>
      </c>
      <c r="E1439" s="146" t="str">
        <v>24 - CAMBIO DE CARRERA</v>
      </c>
      <c r="F1439" s="146" t="n">
        <v>2</v>
      </c>
    </row>
    <row r="1440" ht="32" customHeight="1">
      <c r="A1440" s="146" t="str">
        <v>TLOG</v>
      </c>
      <c r="B1440" s="146" t="str">
        <v>2025</v>
      </c>
      <c r="C1440" s="146" t="str">
        <v>1</v>
      </c>
      <c r="D1440" s="146" t="str">
        <v>ELIMINADO</v>
      </c>
      <c r="E1440" s="146" t="str">
        <v>7 - NO RENUEVA MATRICULA</v>
      </c>
      <c r="F1440" s="146" t="n">
        <v>2</v>
      </c>
    </row>
    <row r="1441" ht="32" customHeight="1">
      <c r="A1441" s="146" t="str">
        <v>TLOG</v>
      </c>
      <c r="B1441" s="146" t="str">
        <v>2025</v>
      </c>
      <c r="C1441" s="146" t="str">
        <v>1</v>
      </c>
      <c r="D1441" s="146" t="str">
        <v>SUSPENDIDO</v>
      </c>
      <c r="E1441" s="146" t="str">
        <v>2 - SUSPENSIÓN TEMPORAL</v>
      </c>
      <c r="F1441" s="146" t="n">
        <v>5</v>
      </c>
    </row>
    <row r="1442" ht="32" customHeight="1">
      <c r="A1442" s="146" t="str">
        <v>TLOG</v>
      </c>
      <c r="B1442" s="146" t="str">
        <v>2025</v>
      </c>
      <c r="C1442" s="146" t="str">
        <v>1</v>
      </c>
      <c r="D1442" s="146" t="str">
        <v>VIGENTE</v>
      </c>
      <c r="E1442" s="146" t="str">
        <v>1 - ALUMNO REGULAR</v>
      </c>
      <c r="F1442" s="146" t="n">
        <v>14</v>
      </c>
    </row>
    <row r="1443" ht="32" customHeight="1">
      <c r="A1443" s="146" t="str">
        <v>TLOG</v>
      </c>
      <c r="B1443" s="146" t="str">
        <v>2025</v>
      </c>
      <c r="C1443" s="146" t="str">
        <v>1</v>
      </c>
      <c r="D1443" s="146" t="str">
        <v>VIGENTE</v>
      </c>
      <c r="E1443" s="146" t="str">
        <v>20 - VIGENTE SIN ACTIVIDAD ACADEMICA</v>
      </c>
      <c r="F1443" s="146" t="n">
        <v>26</v>
      </c>
    </row>
    <row r="1444" ht="32" customHeight="1">
      <c r="A1444" s="146" t="str">
        <v>TLOG</v>
      </c>
      <c r="B1444" s="146" t="str">
        <v>2025</v>
      </c>
      <c r="C1444" s="146" t="str">
        <v>1</v>
      </c>
      <c r="D1444" s="146" t="str">
        <v>VIGENTE</v>
      </c>
      <c r="E1444" s="146" t="str">
        <v>49 - CAMBIO DE JORNADA</v>
      </c>
      <c r="F1444" s="146" t="n">
        <v>1</v>
      </c>
    </row>
    <row r="1445" ht="32" customHeight="1">
      <c r="A1445" s="146" t="str">
        <v>TLOG</v>
      </c>
      <c r="B1445" s="146" t="str">
        <v>2026</v>
      </c>
      <c r="C1445" s="146" t="str">
        <v>1</v>
      </c>
      <c r="D1445" s="146" t="str">
        <v>ELIMINADO</v>
      </c>
      <c r="E1445" s="146" t="str">
        <v>11 - RENUNCIA POST INICIO CLASES</v>
      </c>
      <c r="F1445" s="146" t="n">
        <v>4</v>
      </c>
    </row>
    <row r="1446" ht="32" customHeight="1">
      <c r="A1446" s="146" t="str">
        <v>TLOG</v>
      </c>
      <c r="B1446" s="146" t="str">
        <v>2026</v>
      </c>
      <c r="C1446" s="146" t="str">
        <v>1</v>
      </c>
      <c r="D1446" s="146" t="str">
        <v>ELIMINADO</v>
      </c>
      <c r="E1446" s="146" t="str">
        <v>23 - RETIRO - RETRACTO</v>
      </c>
      <c r="F1446" s="146" t="n">
        <v>10</v>
      </c>
    </row>
    <row r="1447" ht="32" customHeight="1">
      <c r="A1447" s="146" t="str">
        <v>TLOG</v>
      </c>
      <c r="B1447" s="146" t="str">
        <v>2026</v>
      </c>
      <c r="C1447" s="146" t="str">
        <v>1</v>
      </c>
      <c r="D1447" s="146" t="str">
        <v>ELIMINADO</v>
      </c>
      <c r="E1447" s="146" t="str">
        <v>24 - CAMBIO DE CARRERA</v>
      </c>
      <c r="F1447" s="146" t="n">
        <v>2</v>
      </c>
    </row>
    <row r="1448" ht="32" customHeight="1">
      <c r="A1448" s="146" t="str">
        <v>TLOG</v>
      </c>
      <c r="B1448" s="146" t="str">
        <v>2026</v>
      </c>
      <c r="C1448" s="146" t="str">
        <v>1</v>
      </c>
      <c r="D1448" s="146" t="str">
        <v>ELIMINADO</v>
      </c>
      <c r="E1448" s="146" t="str">
        <v>8 - ELIMINADO SIN ACTIVIDAD ACADÉMICA</v>
      </c>
      <c r="F1448" s="146" t="n">
        <v>29</v>
      </c>
    </row>
    <row r="1449" ht="32" customHeight="1">
      <c r="A1449" s="146" t="str">
        <v>TLOG</v>
      </c>
      <c r="B1449" s="146" t="str">
        <v>2026</v>
      </c>
      <c r="C1449" s="146" t="str">
        <v>1</v>
      </c>
      <c r="D1449" s="146" t="str">
        <v>TITULADO</v>
      </c>
      <c r="E1449" s="146" t="str">
        <v>31 - TITULADO APROBADO</v>
      </c>
      <c r="F1449" s="146" t="n">
        <v>7</v>
      </c>
    </row>
    <row r="1450" ht="32" customHeight="1">
      <c r="A1450" s="146" t="str">
        <v>TLOG</v>
      </c>
      <c r="B1450" s="146" t="str">
        <v>2026</v>
      </c>
      <c r="C1450" s="146" t="str">
        <v>1</v>
      </c>
      <c r="D1450" s="146" t="str">
        <v>VIGENTE</v>
      </c>
      <c r="E1450" s="146" t="str">
        <v>1 - ALUMNO REGULAR</v>
      </c>
      <c r="F1450" s="146" t="n">
        <v>85</v>
      </c>
    </row>
    <row r="1451" ht="32" customHeight="1">
      <c r="A1451" s="146" t="str">
        <v>TLOG</v>
      </c>
      <c r="B1451" s="146" t="str">
        <v>2026</v>
      </c>
      <c r="C1451" s="146" t="str">
        <v>1</v>
      </c>
      <c r="D1451" s="146" t="str">
        <v>VIGENTE</v>
      </c>
      <c r="E1451" s="146" t="str">
        <v>38 - REINCORPORACION DE ACTIVIDADES</v>
      </c>
      <c r="F1451" s="146" t="n">
        <v>4</v>
      </c>
    </row>
    <row r="1452" ht="32" customHeight="1">
      <c r="A1452" s="146" t="str">
        <v>TLOG</v>
      </c>
      <c r="B1452" s="146" t="str">
        <v>2026</v>
      </c>
      <c r="C1452" s="146" t="str">
        <v>1</v>
      </c>
      <c r="D1452" s="146" t="str">
        <v>VIGENTE</v>
      </c>
      <c r="E1452" s="146" t="str">
        <v>49 - CAMBIO DE JORNADA</v>
      </c>
      <c r="F1452" s="146" t="n">
        <v>4</v>
      </c>
    </row>
    <row r="1453" ht="32" customHeight="1">
      <c r="A1453" s="146" t="str">
        <v>TLOG</v>
      </c>
      <c r="B1453" s="146" t="str">
        <v>2026</v>
      </c>
      <c r="C1453" s="146" t="str">
        <v>2</v>
      </c>
      <c r="D1453" s="146" t="str">
        <v>ELIMINADO</v>
      </c>
      <c r="E1453" s="146" t="str">
        <v>11 - RENUNCIA POST INICIO CLASES</v>
      </c>
      <c r="F1453" s="146" t="n">
        <v>3</v>
      </c>
    </row>
    <row r="1454" ht="32" customHeight="1">
      <c r="A1454" s="146" t="str">
        <v>TLOG</v>
      </c>
      <c r="B1454" s="146" t="str">
        <v>2026</v>
      </c>
      <c r="C1454" s="146" t="str">
        <v>2</v>
      </c>
      <c r="D1454" s="146" t="str">
        <v>ELIMINADO</v>
      </c>
      <c r="E1454" s="146" t="str">
        <v>23 - RETIRO - RETRACTO</v>
      </c>
      <c r="F1454" s="146" t="n">
        <v>4</v>
      </c>
    </row>
    <row r="1455" ht="32" customHeight="1">
      <c r="A1455" s="146" t="str">
        <v>TLOG</v>
      </c>
      <c r="B1455" s="146" t="str">
        <v>2026</v>
      </c>
      <c r="C1455" s="146" t="str">
        <v>2</v>
      </c>
      <c r="D1455" s="146" t="str">
        <v>ELIMINADO</v>
      </c>
      <c r="E1455" s="146" t="str">
        <v>24 - CAMBIO DE CARRERA</v>
      </c>
      <c r="F1455" s="146" t="n">
        <v>1</v>
      </c>
    </row>
    <row r="1456" ht="32" customHeight="1">
      <c r="A1456" s="146" t="str">
        <v>TLOG</v>
      </c>
      <c r="B1456" s="146" t="str">
        <v>2026</v>
      </c>
      <c r="C1456" s="146" t="str">
        <v>2</v>
      </c>
      <c r="D1456" s="146" t="str">
        <v>VIGENTE</v>
      </c>
      <c r="E1456" s="146" t="str">
        <v>1 - ALUMNO REGULAR</v>
      </c>
      <c r="F1456" s="146" t="n">
        <v>20</v>
      </c>
    </row>
    <row r="1457" ht="32" customHeight="1">
      <c r="A1457" s="146" t="str">
        <v>TLOG</v>
      </c>
      <c r="B1457" s="146" t="str">
        <v>2026</v>
      </c>
      <c r="C1457" s="146" t="str">
        <v>2</v>
      </c>
      <c r="D1457" s="146" t="str">
        <v>VIGENTE</v>
      </c>
      <c r="E1457" s="146" t="str">
        <v>38 - REINCORPORACION DE ACTIVIDADES</v>
      </c>
      <c r="F1457" s="146" t="n">
        <v>1</v>
      </c>
    </row>
    <row r="1458" ht="32" customHeight="1">
      <c r="A1458" s="146" t="str">
        <v>TLOG</v>
      </c>
      <c r="B1458" s="146" t="str">
        <v>2026</v>
      </c>
      <c r="C1458" s="146" t="str">
        <v>2</v>
      </c>
      <c r="D1458" s="146" t="str">
        <v>VIGENTE</v>
      </c>
      <c r="E1458" s="146" t="str">
        <v>49 - CAMBIO DE JORNADA</v>
      </c>
      <c r="F1458" s="146" t="n">
        <v>1</v>
      </c>
    </row>
    <row r="1459" ht="32" customHeight="1">
      <c r="A1459" s="146" t="str">
        <v>TLOG</v>
      </c>
      <c r="B1459" s="146" t="str">
        <v>2026</v>
      </c>
      <c r="C1459" s="146" t="str">
        <v>3</v>
      </c>
      <c r="D1459" s="146" t="str">
        <v>ELIMINADO</v>
      </c>
      <c r="E1459" s="146" t="str">
        <v>23 - RETIRO - RETRACTO</v>
      </c>
      <c r="F1459" s="146" t="n">
        <v>3</v>
      </c>
    </row>
    <row r="1460" ht="32" customHeight="1">
      <c r="A1460" s="146" t="str">
        <v>TLOG</v>
      </c>
      <c r="B1460" s="146" t="str">
        <v>2026</v>
      </c>
      <c r="C1460" s="146" t="str">
        <v>3</v>
      </c>
      <c r="D1460" s="146" t="str">
        <v>VIGENTE</v>
      </c>
      <c r="E1460" s="146" t="str">
        <v>1 - ALUMNO REGULAR</v>
      </c>
      <c r="F1460" s="146" t="n">
        <v>23</v>
      </c>
    </row>
    <row r="1461" ht="32" customHeight="1">
      <c r="A1461" s="146" t="str">
        <v>TLOG</v>
      </c>
      <c r="B1461" s="146" t="str">
        <v>2027</v>
      </c>
      <c r="C1461" s="146" t="str">
        <v>1</v>
      </c>
      <c r="D1461" s="146" t="str">
        <v>VIGENTE</v>
      </c>
      <c r="E1461" s="146" t="str">
        <v>1 - ALUMNO REGULAR</v>
      </c>
      <c r="F1461" s="146" t="n">
        <v>12</v>
      </c>
    </row>
    <row r="1462" ht="32" customHeight="1">
      <c r="A1462" s="146" t="str">
        <v>TMDI</v>
      </c>
      <c r="B1462" s="146" t="str">
        <v>2026</v>
      </c>
      <c r="C1462" s="146" t="str">
        <v>1</v>
      </c>
      <c r="D1462" s="146" t="str">
        <v>ELIMINADO</v>
      </c>
      <c r="E1462" s="146" t="str">
        <v>11 - RENUNCIA POST INICIO CLASES</v>
      </c>
      <c r="F1462" s="146" t="n">
        <v>7</v>
      </c>
    </row>
    <row r="1463" ht="32" customHeight="1">
      <c r="A1463" s="146" t="str">
        <v>TMDI</v>
      </c>
      <c r="B1463" s="146" t="str">
        <v>2026</v>
      </c>
      <c r="C1463" s="146" t="str">
        <v>1</v>
      </c>
      <c r="D1463" s="146" t="str">
        <v>ELIMINADO</v>
      </c>
      <c r="E1463" s="146" t="str">
        <v>23 - RETIRO - RETRACTO</v>
      </c>
      <c r="F1463" s="146" t="n">
        <v>16</v>
      </c>
    </row>
    <row r="1464" ht="32" customHeight="1">
      <c r="A1464" s="146" t="str">
        <v>TMDI</v>
      </c>
      <c r="B1464" s="146" t="str">
        <v>2026</v>
      </c>
      <c r="C1464" s="146" t="str">
        <v>1</v>
      </c>
      <c r="D1464" s="146" t="str">
        <v>ELIMINADO</v>
      </c>
      <c r="E1464" s="146" t="str">
        <v>24 - CAMBIO DE CARRERA</v>
      </c>
      <c r="F1464" s="146" t="n">
        <v>3</v>
      </c>
    </row>
    <row r="1465" ht="32" customHeight="1">
      <c r="A1465" s="146" t="str">
        <v>TMDI</v>
      </c>
      <c r="B1465" s="146" t="str">
        <v>2026</v>
      </c>
      <c r="C1465" s="146" t="str">
        <v>1</v>
      </c>
      <c r="D1465" s="146" t="str">
        <v>ELIMINADO</v>
      </c>
      <c r="E1465" s="146" t="str">
        <v>8 - ELIMINADO SIN ACTIVIDAD ACADÉMICA</v>
      </c>
      <c r="F1465" s="146" t="n">
        <v>23</v>
      </c>
    </row>
    <row r="1466" ht="32" customHeight="1">
      <c r="A1466" s="146" t="str">
        <v>TMDI</v>
      </c>
      <c r="B1466" s="146" t="str">
        <v>2026</v>
      </c>
      <c r="C1466" s="146" t="str">
        <v>1</v>
      </c>
      <c r="D1466" s="146" t="str">
        <v>SUSPENDIDO</v>
      </c>
      <c r="E1466" s="146" t="str">
        <v>2 - SUSPENSIÓN TEMPORAL</v>
      </c>
      <c r="F1466" s="146" t="n">
        <v>1</v>
      </c>
    </row>
    <row r="1467" ht="32" customHeight="1">
      <c r="A1467" s="146" t="str">
        <v>TMDI</v>
      </c>
      <c r="B1467" s="146" t="str">
        <v>2026</v>
      </c>
      <c r="C1467" s="146" t="str">
        <v>1</v>
      </c>
      <c r="D1467" s="146" t="str">
        <v>VIGENTE</v>
      </c>
      <c r="E1467" s="146" t="str">
        <v>1 - ALUMNO REGULAR</v>
      </c>
      <c r="F1467" s="146" t="n">
        <v>59</v>
      </c>
    </row>
    <row r="1468" ht="32" customHeight="1">
      <c r="A1468" s="146" t="str">
        <v>TMDI</v>
      </c>
      <c r="B1468" s="146" t="str">
        <v>2026</v>
      </c>
      <c r="C1468" s="146" t="str">
        <v>1</v>
      </c>
      <c r="D1468" s="146" t="str">
        <v>VIGENTE</v>
      </c>
      <c r="E1468" s="146" t="str">
        <v>38 - REINCORPORACION DE ACTIVIDADES</v>
      </c>
      <c r="F1468" s="146" t="n">
        <v>1</v>
      </c>
    </row>
    <row r="1469" ht="32" customHeight="1">
      <c r="A1469" s="146" t="str">
        <v>TMDI</v>
      </c>
      <c r="B1469" s="146" t="str">
        <v>2026</v>
      </c>
      <c r="C1469" s="146" t="str">
        <v>2</v>
      </c>
      <c r="D1469" s="146" t="str">
        <v>ELIMINADO</v>
      </c>
      <c r="E1469" s="146" t="str">
        <v>11 - RENUNCIA POST INICIO CLASES</v>
      </c>
      <c r="F1469" s="146" t="n">
        <v>5</v>
      </c>
    </row>
    <row r="1470" ht="32" customHeight="1">
      <c r="A1470" s="146" t="str">
        <v>TMDI</v>
      </c>
      <c r="B1470" s="146" t="str">
        <v>2026</v>
      </c>
      <c r="C1470" s="146" t="str">
        <v>2</v>
      </c>
      <c r="D1470" s="146" t="str">
        <v>ELIMINADO</v>
      </c>
      <c r="E1470" s="146" t="str">
        <v>23 - RETIRO - RETRACTO</v>
      </c>
      <c r="F1470" s="146" t="n">
        <v>3</v>
      </c>
    </row>
    <row r="1471" ht="32" customHeight="1">
      <c r="A1471" s="146" t="str">
        <v>TMDI</v>
      </c>
      <c r="B1471" s="146" t="str">
        <v>2026</v>
      </c>
      <c r="C1471" s="146" t="str">
        <v>2</v>
      </c>
      <c r="D1471" s="146" t="str">
        <v>VIGENTE</v>
      </c>
      <c r="E1471" s="146" t="str">
        <v>1 - ALUMNO REGULAR</v>
      </c>
      <c r="F1471" s="146" t="n">
        <v>24</v>
      </c>
    </row>
    <row r="1472" ht="32" customHeight="1">
      <c r="A1472" s="146" t="str">
        <v>TMDI</v>
      </c>
      <c r="B1472" s="146" t="str">
        <v>2026</v>
      </c>
      <c r="C1472" s="146" t="str">
        <v>3</v>
      </c>
      <c r="D1472" s="146" t="str">
        <v>ELIMINADO</v>
      </c>
      <c r="E1472" s="146" t="str">
        <v>16 - EXPULSION (MALAS PRACTICAS)</v>
      </c>
      <c r="F1472" s="146" t="n">
        <v>1</v>
      </c>
    </row>
    <row r="1473" ht="32" customHeight="1">
      <c r="A1473" s="146" t="str">
        <v>TMDI</v>
      </c>
      <c r="B1473" s="146" t="str">
        <v>2026</v>
      </c>
      <c r="C1473" s="146" t="str">
        <v>3</v>
      </c>
      <c r="D1473" s="146" t="str">
        <v>ELIMINADO</v>
      </c>
      <c r="E1473" s="146" t="str">
        <v>23 - RETIRO - RETRACTO</v>
      </c>
      <c r="F1473" s="146" t="n">
        <v>2</v>
      </c>
    </row>
    <row r="1474" ht="32" customHeight="1">
      <c r="A1474" s="146" t="str">
        <v>TMDI</v>
      </c>
      <c r="B1474" s="146" t="str">
        <v>2026</v>
      </c>
      <c r="C1474" s="146" t="str">
        <v>3</v>
      </c>
      <c r="D1474" s="146" t="str">
        <v>VIGENTE</v>
      </c>
      <c r="E1474" s="146" t="str">
        <v>1 - ALUMNO REGULAR</v>
      </c>
      <c r="F1474" s="146" t="n">
        <v>29</v>
      </c>
    </row>
    <row r="1475" ht="32" customHeight="1">
      <c r="A1475" s="146" t="str">
        <v>TMDI</v>
      </c>
      <c r="B1475" s="146" t="str">
        <v>2027</v>
      </c>
      <c r="C1475" s="146" t="str">
        <v>1</v>
      </c>
      <c r="D1475" s="146" t="str">
        <v>VIGENTE</v>
      </c>
      <c r="E1475" s="146" t="str">
        <v>1 - ALUMNO REGULAR</v>
      </c>
      <c r="F1475" s="146" t="n">
        <v>8</v>
      </c>
    </row>
    <row r="1476" ht="32" customHeight="1">
      <c r="A1476" s="146" t="str">
        <v>TMIRE</v>
      </c>
      <c r="B1476" s="146" t="str">
        <v>2013</v>
      </c>
      <c r="C1476" s="146" t="str">
        <v>1</v>
      </c>
      <c r="D1476" s="146" t="str">
        <v>ELIMINADO</v>
      </c>
      <c r="E1476" s="146" t="str">
        <v>23 - RETIRO - RETRACTO</v>
      </c>
      <c r="F1476" s="146" t="n">
        <v>4</v>
      </c>
    </row>
    <row r="1477" ht="32" customHeight="1">
      <c r="A1477" s="146" t="str">
        <v>TMIRE</v>
      </c>
      <c r="B1477" s="146" t="str">
        <v>2013</v>
      </c>
      <c r="C1477" s="146" t="str">
        <v>1</v>
      </c>
      <c r="D1477" s="146" t="str">
        <v>ELIMINADO</v>
      </c>
      <c r="E1477" s="146" t="str">
        <v>24 - CAMBIO DE CARRERA</v>
      </c>
      <c r="F1477" s="146" t="n">
        <v>31</v>
      </c>
    </row>
    <row r="1478" ht="32" customHeight="1">
      <c r="A1478" s="146" t="str">
        <v>TMIRE</v>
      </c>
      <c r="B1478" s="146" t="str">
        <v>2013</v>
      </c>
      <c r="C1478" s="146" t="str">
        <v>1</v>
      </c>
      <c r="D1478" s="146" t="str">
        <v>ELIMINADO</v>
      </c>
      <c r="E1478" s="146" t="str">
        <v>3 - ELIMINACION AUTOMATICA</v>
      </c>
      <c r="F1478" s="146" t="n">
        <v>2</v>
      </c>
    </row>
    <row r="1479" ht="32" customHeight="1">
      <c r="A1479" s="146" t="str">
        <v>TMIRE</v>
      </c>
      <c r="B1479" s="146" t="str">
        <v>2013</v>
      </c>
      <c r="C1479" s="146" t="str">
        <v>1</v>
      </c>
      <c r="D1479" s="146" t="str">
        <v>ELIMINADO</v>
      </c>
      <c r="E1479" s="146" t="str">
        <v>41 - RETIRO SIN AVISO </v>
      </c>
      <c r="F1479" s="146" t="n">
        <v>4</v>
      </c>
    </row>
    <row r="1480" ht="32" customHeight="1">
      <c r="A1480" s="146" t="str">
        <v>TMIRE</v>
      </c>
      <c r="B1480" s="146" t="str">
        <v>2013</v>
      </c>
      <c r="C1480" s="146" t="str">
        <v>2</v>
      </c>
      <c r="D1480" s="146" t="str">
        <v>ELIMINADO</v>
      </c>
      <c r="E1480" s="146" t="str">
        <v>24 - CAMBIO DE CARRERA</v>
      </c>
      <c r="F1480" s="146" t="n">
        <v>3</v>
      </c>
    </row>
    <row r="1481" ht="32" customHeight="1">
      <c r="A1481" s="146" t="str">
        <v>TMIRE</v>
      </c>
      <c r="B1481" s="146" t="str">
        <v>2014</v>
      </c>
      <c r="C1481" s="146" t="str">
        <v>1</v>
      </c>
      <c r="D1481" s="146" t="str">
        <v>ELIMINADO</v>
      </c>
      <c r="E1481" s="146" t="str">
        <v>24 - CAMBIO DE CARRERA</v>
      </c>
      <c r="F1481" s="146" t="n">
        <v>12</v>
      </c>
    </row>
    <row r="1482" ht="32" customHeight="1">
      <c r="A1482" s="146" t="str">
        <v>TMIRE</v>
      </c>
      <c r="B1482" s="146" t="str">
        <v>2014</v>
      </c>
      <c r="C1482" s="146" t="str">
        <v>1</v>
      </c>
      <c r="D1482" s="146" t="str">
        <v>ELIMINADO</v>
      </c>
      <c r="E1482" s="146" t="str">
        <v>3 - ELIMINACION AUTOMATICA</v>
      </c>
      <c r="F1482" s="146" t="n">
        <v>1</v>
      </c>
    </row>
    <row r="1483" ht="32" customHeight="1">
      <c r="A1483" s="146" t="str">
        <v>TMIRE</v>
      </c>
      <c r="B1483" s="146" t="str">
        <v>2014</v>
      </c>
      <c r="C1483" s="146" t="str">
        <v>1</v>
      </c>
      <c r="D1483" s="146" t="str">
        <v>ELIMINADO</v>
      </c>
      <c r="E1483" s="146" t="str">
        <v>49 - CAMBIO DE JORNADA</v>
      </c>
      <c r="F1483" s="146" t="n">
        <v>2</v>
      </c>
    </row>
    <row r="1484" ht="32" customHeight="1">
      <c r="A1484" s="146" t="str">
        <v>TMIRE</v>
      </c>
      <c r="B1484" s="146" t="str">
        <v>2014</v>
      </c>
      <c r="C1484" s="146" t="str">
        <v>2</v>
      </c>
      <c r="D1484" s="146" t="str">
        <v>ELIMINADO</v>
      </c>
      <c r="E1484" s="146" t="str">
        <v>24 - CAMBIO DE CARRERA</v>
      </c>
      <c r="F1484" s="146" t="n">
        <v>5</v>
      </c>
    </row>
    <row r="1485" ht="32" customHeight="1">
      <c r="A1485" s="146" t="str">
        <v>TMIRE</v>
      </c>
      <c r="B1485" s="146" t="str">
        <v>2014</v>
      </c>
      <c r="C1485" s="146" t="str">
        <v>2</v>
      </c>
      <c r="D1485" s="146" t="str">
        <v>ELIMINADO</v>
      </c>
      <c r="E1485" s="146" t="str">
        <v>49 - CAMBIO DE JORNADA</v>
      </c>
      <c r="F1485" s="146" t="n">
        <v>1</v>
      </c>
    </row>
    <row r="1486" ht="32" customHeight="1">
      <c r="A1486" s="146" t="str">
        <v>TMIRE</v>
      </c>
      <c r="B1486" s="146" t="str">
        <v>2015</v>
      </c>
      <c r="C1486" s="146" t="str">
        <v>1</v>
      </c>
      <c r="D1486" s="146" t="str">
        <v>ELIMINADO</v>
      </c>
      <c r="E1486" s="146" t="str">
        <v>24 - CAMBIO DE CARRERA</v>
      </c>
      <c r="F1486" s="146" t="n">
        <v>18</v>
      </c>
    </row>
    <row r="1487" ht="32" customHeight="1">
      <c r="A1487" s="146" t="str">
        <v>TMIRE</v>
      </c>
      <c r="B1487" s="146" t="str">
        <v>2015</v>
      </c>
      <c r="C1487" s="146" t="str">
        <v>1</v>
      </c>
      <c r="D1487" s="146" t="str">
        <v>ELIMINADO</v>
      </c>
      <c r="E1487" s="146" t="str">
        <v>5 - RENUNCIA ENTRE PERIODOS</v>
      </c>
      <c r="F1487" s="146" t="n">
        <v>3</v>
      </c>
    </row>
    <row r="1488" ht="32" customHeight="1">
      <c r="A1488" s="146" t="str">
        <v>TMIRE</v>
      </c>
      <c r="B1488" s="146" t="str">
        <v>2015</v>
      </c>
      <c r="C1488" s="146" t="str">
        <v>1</v>
      </c>
      <c r="D1488" s="146" t="str">
        <v>TITULADO</v>
      </c>
      <c r="E1488" s="146" t="str">
        <v>31 - TITULADO APROBADO</v>
      </c>
      <c r="F1488" s="146" t="n">
        <v>15</v>
      </c>
    </row>
    <row r="1489" ht="32" customHeight="1">
      <c r="A1489" s="146" t="str">
        <v>TMIRE</v>
      </c>
      <c r="B1489" s="146" t="str">
        <v>2015</v>
      </c>
      <c r="C1489" s="146" t="str">
        <v>2</v>
      </c>
      <c r="D1489" s="146" t="str">
        <v>ELIMINADO</v>
      </c>
      <c r="E1489" s="146" t="str">
        <v>49 - CAMBIO DE JORNADA</v>
      </c>
      <c r="F1489" s="146" t="n">
        <v>1</v>
      </c>
    </row>
    <row r="1490" ht="32" customHeight="1">
      <c r="A1490" s="146" t="str">
        <v>TMIRE</v>
      </c>
      <c r="B1490" s="146" t="str">
        <v>2016</v>
      </c>
      <c r="C1490" s="146" t="str">
        <v>1</v>
      </c>
      <c r="D1490" s="146" t="str">
        <v>ELIMINADO</v>
      </c>
      <c r="E1490" s="146" t="str">
        <v>3 - ELIMINACION AUTOMATICA</v>
      </c>
      <c r="F1490" s="146" t="n">
        <v>14</v>
      </c>
    </row>
    <row r="1491" ht="32" customHeight="1">
      <c r="A1491" s="146" t="str">
        <v>TMIRE</v>
      </c>
      <c r="B1491" s="146" t="str">
        <v>2016</v>
      </c>
      <c r="C1491" s="146" t="str">
        <v>1</v>
      </c>
      <c r="D1491" s="146" t="str">
        <v>TITULADO</v>
      </c>
      <c r="E1491" s="146" t="str">
        <v>31 - TITULADO APROBADO</v>
      </c>
      <c r="F1491" s="146" t="n">
        <v>10</v>
      </c>
    </row>
    <row r="1492" ht="32" customHeight="1">
      <c r="A1492" s="146" t="str">
        <v>TMIRE</v>
      </c>
      <c r="B1492" s="146" t="str">
        <v>2016</v>
      </c>
      <c r="C1492" s="146" t="str">
        <v>2</v>
      </c>
      <c r="D1492" s="146" t="str">
        <v>ELIMINADO</v>
      </c>
      <c r="E1492" s="146" t="str">
        <v>38 - REINCORPORACION DE ACTIVIDADES</v>
      </c>
      <c r="F1492" s="146" t="n">
        <v>1</v>
      </c>
    </row>
    <row r="1493" ht="32" customHeight="1">
      <c r="A1493" s="146" t="str">
        <v>TMIRE</v>
      </c>
      <c r="B1493" s="146" t="str">
        <v>2016</v>
      </c>
      <c r="C1493" s="146" t="str">
        <v>2</v>
      </c>
      <c r="D1493" s="146" t="str">
        <v>TITULADO</v>
      </c>
      <c r="E1493" s="146" t="str">
        <v>31 - TITULADO APROBADO</v>
      </c>
      <c r="F1493" s="146" t="n">
        <v>2</v>
      </c>
    </row>
    <row r="1494" ht="32" customHeight="1">
      <c r="A1494" s="146" t="str">
        <v>TMIRE</v>
      </c>
      <c r="B1494" s="146" t="str">
        <v>2017</v>
      </c>
      <c r="C1494" s="146" t="str">
        <v>1</v>
      </c>
      <c r="D1494" s="146" t="str">
        <v>ELIMINADO</v>
      </c>
      <c r="E1494" s="146" t="str">
        <v>24 - CAMBIO DE CARRERA</v>
      </c>
      <c r="F1494" s="146" t="n">
        <v>1</v>
      </c>
    </row>
    <row r="1495" ht="32" customHeight="1">
      <c r="A1495" s="146" t="str">
        <v>TMIRE</v>
      </c>
      <c r="B1495" s="146" t="str">
        <v>2017</v>
      </c>
      <c r="C1495" s="146" t="str">
        <v>1</v>
      </c>
      <c r="D1495" s="146" t="str">
        <v>ELIMINADO</v>
      </c>
      <c r="E1495" s="146" t="str">
        <v>3 - ELIMINACION AUTOMATICA</v>
      </c>
      <c r="F1495" s="146" t="n">
        <v>19</v>
      </c>
    </row>
    <row r="1496" ht="32" customHeight="1">
      <c r="A1496" s="146" t="str">
        <v>TMIRE</v>
      </c>
      <c r="B1496" s="146" t="str">
        <v>2017</v>
      </c>
      <c r="C1496" s="146" t="str">
        <v>1</v>
      </c>
      <c r="D1496" s="146" t="str">
        <v>TITULADO</v>
      </c>
      <c r="E1496" s="146" t="str">
        <v>31 - TITULADO APROBADO</v>
      </c>
      <c r="F1496" s="146" t="n">
        <v>2</v>
      </c>
    </row>
    <row r="1497" ht="32" customHeight="1">
      <c r="A1497" s="146" t="str">
        <v>TMIRE</v>
      </c>
      <c r="B1497" s="146" t="str">
        <v>2018</v>
      </c>
      <c r="C1497" s="146" t="str">
        <v>1</v>
      </c>
      <c r="D1497" s="146" t="str">
        <v>ELIMINADO</v>
      </c>
      <c r="E1497" s="146" t="str">
        <v>23 - RETIRO - RETRACTO</v>
      </c>
      <c r="F1497" s="146" t="n">
        <v>1</v>
      </c>
    </row>
    <row r="1498" ht="32" customHeight="1">
      <c r="A1498" s="146" t="str">
        <v>TMIRE</v>
      </c>
      <c r="B1498" s="146" t="str">
        <v>2018</v>
      </c>
      <c r="C1498" s="146" t="str">
        <v>1</v>
      </c>
      <c r="D1498" s="146" t="str">
        <v>ELIMINADO</v>
      </c>
      <c r="E1498" s="146" t="str">
        <v>3 - ELIMINACION AUTOMATICA</v>
      </c>
      <c r="F1498" s="146" t="n">
        <v>15</v>
      </c>
    </row>
    <row r="1499" ht="32" customHeight="1">
      <c r="A1499" s="146" t="str">
        <v>TMIRE</v>
      </c>
      <c r="B1499" s="146" t="str">
        <v>2018</v>
      </c>
      <c r="C1499" s="146" t="str">
        <v>1</v>
      </c>
      <c r="D1499" s="146" t="str">
        <v>TITULADO</v>
      </c>
      <c r="E1499" s="146" t="str">
        <v>31 - TITULADO APROBADO</v>
      </c>
      <c r="F1499" s="146" t="n">
        <v>2</v>
      </c>
    </row>
    <row r="1500" ht="32" customHeight="1">
      <c r="A1500" s="146" t="str">
        <v>TMIRE</v>
      </c>
      <c r="B1500" s="146" t="str">
        <v>2019</v>
      </c>
      <c r="C1500" s="146" t="str">
        <v>1</v>
      </c>
      <c r="D1500" s="146" t="str">
        <v>ELIMINADO</v>
      </c>
      <c r="E1500" s="146" t="str">
        <v>1 - ALUMNO REGULAR</v>
      </c>
      <c r="F1500" s="146" t="n">
        <v>8</v>
      </c>
    </row>
    <row r="1501" ht="32" customHeight="1">
      <c r="A1501" s="146" t="str">
        <v>TMIRE</v>
      </c>
      <c r="B1501" s="146" t="str">
        <v>2019</v>
      </c>
      <c r="C1501" s="146" t="str">
        <v>1</v>
      </c>
      <c r="D1501" s="146" t="str">
        <v>ELIMINADO</v>
      </c>
      <c r="E1501" s="146" t="str">
        <v>23 - RETIRO - RETRACTO</v>
      </c>
      <c r="F1501" s="146" t="n">
        <v>1</v>
      </c>
    </row>
    <row r="1502" ht="32" customHeight="1">
      <c r="A1502" s="146" t="str">
        <v>TMIRE</v>
      </c>
      <c r="B1502" s="146" t="str">
        <v>2019</v>
      </c>
      <c r="C1502" s="146" t="str">
        <v>1</v>
      </c>
      <c r="D1502" s="146" t="str">
        <v>ELIMINADO</v>
      </c>
      <c r="E1502" s="146" t="str">
        <v>24 - CAMBIO DE CARRERA</v>
      </c>
      <c r="F1502" s="146" t="n">
        <v>6</v>
      </c>
    </row>
    <row r="1503" ht="32" customHeight="1">
      <c r="A1503" s="146" t="str">
        <v>TMIRE</v>
      </c>
      <c r="B1503" s="146" t="str">
        <v>2019</v>
      </c>
      <c r="C1503" s="146" t="str">
        <v>1</v>
      </c>
      <c r="D1503" s="146" t="str">
        <v>TITULADO</v>
      </c>
      <c r="E1503" s="146" t="str">
        <v>31 - TITULADO APROBADO</v>
      </c>
      <c r="F1503" s="146" t="n">
        <v>5</v>
      </c>
    </row>
    <row r="1504" ht="32" customHeight="1">
      <c r="A1504" s="146" t="str">
        <v>TMIRE</v>
      </c>
      <c r="B1504" s="146" t="str">
        <v>2020</v>
      </c>
      <c r="C1504" s="146" t="str">
        <v>1</v>
      </c>
      <c r="D1504" s="146" t="str">
        <v>ELIMINADO</v>
      </c>
      <c r="E1504" s="146" t="str">
        <v>3 - ELIMINACION AUTOMATICA</v>
      </c>
      <c r="F1504" s="146" t="n">
        <v>2</v>
      </c>
    </row>
    <row r="1505" ht="32" customHeight="1">
      <c r="A1505" s="146" t="str">
        <v>TMIRE</v>
      </c>
      <c r="B1505" s="146" t="str">
        <v>2020</v>
      </c>
      <c r="C1505" s="146" t="str">
        <v>1</v>
      </c>
      <c r="D1505" s="146" t="str">
        <v>TITULADO</v>
      </c>
      <c r="E1505" s="146" t="str">
        <v>31 - TITULADO APROBADO</v>
      </c>
      <c r="F1505" s="146" t="n">
        <v>8</v>
      </c>
    </row>
    <row r="1506" ht="32" customHeight="1">
      <c r="A1506" s="146" t="str">
        <v>TMIRE</v>
      </c>
      <c r="B1506" s="146" t="str">
        <v>2021</v>
      </c>
      <c r="C1506" s="146" t="str">
        <v>1</v>
      </c>
      <c r="D1506" s="146" t="str">
        <v>ELIMINADO</v>
      </c>
      <c r="E1506" s="146" t="str">
        <v>1 - ALUMNO REGULAR</v>
      </c>
      <c r="F1506" s="146" t="n">
        <v>6</v>
      </c>
    </row>
    <row r="1507" ht="32" customHeight="1">
      <c r="A1507" s="146" t="str">
        <v>TMIRE</v>
      </c>
      <c r="B1507" s="146" t="str">
        <v>2021</v>
      </c>
      <c r="C1507" s="146" t="str">
        <v>1</v>
      </c>
      <c r="D1507" s="146" t="str">
        <v>ELIMINADO</v>
      </c>
      <c r="E1507" s="146" t="str">
        <v>3 - ELIMINACION AUTOMATICA</v>
      </c>
      <c r="F1507" s="146" t="n">
        <v>1</v>
      </c>
    </row>
    <row r="1508" ht="32" customHeight="1">
      <c r="A1508" s="146" t="str">
        <v>TMIRE</v>
      </c>
      <c r="B1508" s="146" t="str">
        <v>2021</v>
      </c>
      <c r="C1508" s="146" t="str">
        <v>1</v>
      </c>
      <c r="D1508" s="146" t="str">
        <v>TITULADO</v>
      </c>
      <c r="E1508" s="146" t="str">
        <v>31 - TITULADO APROBADO</v>
      </c>
      <c r="F1508" s="146" t="n">
        <v>5</v>
      </c>
    </row>
    <row r="1509" ht="32" customHeight="1">
      <c r="A1509" s="146" t="str">
        <v>TMIRE</v>
      </c>
      <c r="B1509" s="146" t="str">
        <v>2021</v>
      </c>
      <c r="C1509" s="146" t="str">
        <v>2</v>
      </c>
      <c r="D1509" s="146" t="str">
        <v>ELIMINADO</v>
      </c>
      <c r="E1509" s="146" t="str">
        <v>1 - ALUMNO REGULAR</v>
      </c>
      <c r="F1509" s="146" t="n">
        <v>1</v>
      </c>
    </row>
    <row r="1510" ht="32" customHeight="1">
      <c r="A1510" s="146" t="str">
        <v>TMIRE</v>
      </c>
      <c r="B1510" s="146" t="str">
        <v>2021</v>
      </c>
      <c r="C1510" s="146" t="str">
        <v>2</v>
      </c>
      <c r="D1510" s="146" t="str">
        <v>ELIMINADO</v>
      </c>
      <c r="E1510" s="146" t="str">
        <v>38 - REINCORPORACION DE ACTIVIDADES</v>
      </c>
      <c r="F1510" s="146" t="n">
        <v>2</v>
      </c>
    </row>
    <row r="1511" ht="32" customHeight="1">
      <c r="A1511" s="146" t="str">
        <v>TMIRE</v>
      </c>
      <c r="B1511" s="146" t="str">
        <v>2022</v>
      </c>
      <c r="C1511" s="146" t="str">
        <v>1</v>
      </c>
      <c r="D1511" s="146" t="str">
        <v>ELIMINADO</v>
      </c>
      <c r="E1511" s="146" t="str">
        <v>1 - ALUMNO REGULAR</v>
      </c>
      <c r="F1511" s="146" t="n">
        <v>2</v>
      </c>
    </row>
    <row r="1512" ht="32" customHeight="1">
      <c r="A1512" s="146" t="str">
        <v>TMIRE</v>
      </c>
      <c r="B1512" s="146" t="str">
        <v>2022</v>
      </c>
      <c r="C1512" s="146" t="str">
        <v>1</v>
      </c>
      <c r="D1512" s="146" t="str">
        <v>ELIMINADO</v>
      </c>
      <c r="E1512" s="146" t="str">
        <v>23 - RETIRO - RETRACTO</v>
      </c>
      <c r="F1512" s="146" t="n">
        <v>1</v>
      </c>
    </row>
    <row r="1513" ht="32" customHeight="1">
      <c r="A1513" s="146" t="str">
        <v>TMIRE</v>
      </c>
      <c r="B1513" s="146" t="str">
        <v>2022</v>
      </c>
      <c r="C1513" s="146" t="str">
        <v>1</v>
      </c>
      <c r="D1513" s="146" t="str">
        <v>TITULADO</v>
      </c>
      <c r="E1513" s="146" t="str">
        <v>31 - TITULADO APROBADO</v>
      </c>
      <c r="F1513" s="146" t="n">
        <v>4</v>
      </c>
    </row>
    <row r="1514" ht="32" customHeight="1">
      <c r="A1514" s="146" t="str">
        <v>TMIRE</v>
      </c>
      <c r="B1514" s="146" t="str">
        <v>2023</v>
      </c>
      <c r="C1514" s="146" t="str">
        <v>1</v>
      </c>
      <c r="D1514" s="146" t="str">
        <v>ELIMINADO</v>
      </c>
      <c r="E1514" s="146" t="str">
        <v>1 - ALUMNO REGULAR</v>
      </c>
      <c r="F1514" s="146" t="n">
        <v>2</v>
      </c>
    </row>
    <row r="1515" ht="32" customHeight="1">
      <c r="A1515" s="146" t="str">
        <v>TMIRE</v>
      </c>
      <c r="B1515" s="146" t="str">
        <v>2023</v>
      </c>
      <c r="C1515" s="146" t="str">
        <v>1</v>
      </c>
      <c r="D1515" s="146" t="str">
        <v>TITULADO</v>
      </c>
      <c r="E1515" s="146" t="str">
        <v>31 - TITULADO APROBADO</v>
      </c>
      <c r="F1515" s="146" t="n">
        <v>1</v>
      </c>
    </row>
    <row r="1516" ht="32" customHeight="1">
      <c r="A1516" s="146" t="str">
        <v>TMIRE</v>
      </c>
      <c r="B1516" s="146" t="str">
        <v>2023</v>
      </c>
      <c r="C1516" s="146" t="str">
        <v>2</v>
      </c>
      <c r="D1516" s="146" t="str">
        <v>TITULADO</v>
      </c>
      <c r="E1516" s="146" t="str">
        <v>31 - TITULADO APROBADO</v>
      </c>
      <c r="F1516" s="146" t="n">
        <v>1</v>
      </c>
    </row>
    <row r="1517" ht="32" customHeight="1">
      <c r="A1517" s="146" t="str">
        <v>TMIRE</v>
      </c>
      <c r="B1517" s="146" t="str">
        <v>2025</v>
      </c>
      <c r="C1517" s="146" t="str">
        <v>1</v>
      </c>
      <c r="D1517" s="146" t="str">
        <v>TITULADO</v>
      </c>
      <c r="E1517" s="146" t="str">
        <v>31 - TITULADO APROBADO</v>
      </c>
      <c r="F1517" s="146" t="n">
        <v>1</v>
      </c>
    </row>
    <row r="1518" ht="32" customHeight="1">
      <c r="A1518" s="146" t="str">
        <v>TOPMI</v>
      </c>
      <c r="B1518" s="146" t="str">
        <v>2027</v>
      </c>
      <c r="C1518" s="146" t="str">
        <v>1</v>
      </c>
      <c r="D1518" s="146" t="str">
        <v>VIGENTE</v>
      </c>
      <c r="E1518" s="146" t="str">
        <v>1 - ALUMNO REGULAR</v>
      </c>
      <c r="F1518" s="146" t="n">
        <v>8</v>
      </c>
    </row>
    <row r="1519" ht="32" customHeight="1">
      <c r="A1519" s="146" t="str">
        <v>TPARE</v>
      </c>
      <c r="B1519" s="146" t="str">
        <v>2020</v>
      </c>
      <c r="C1519" s="146" t="str">
        <v>1</v>
      </c>
      <c r="D1519" s="146" t="str">
        <v>ELIMINADO</v>
      </c>
      <c r="E1519" s="146" t="str">
        <v>23 - RETIRO - RETRACTO</v>
      </c>
      <c r="F1519" s="146" t="n">
        <v>1</v>
      </c>
    </row>
    <row r="1520" ht="32" customHeight="1">
      <c r="A1520" s="146" t="str">
        <v>TPARE</v>
      </c>
      <c r="B1520" s="146" t="str">
        <v>2020</v>
      </c>
      <c r="C1520" s="146" t="str">
        <v>1</v>
      </c>
      <c r="D1520" s="146" t="str">
        <v>ELIMINADO</v>
      </c>
      <c r="E1520" s="146" t="str">
        <v>24 - CAMBIO DE CARRERA</v>
      </c>
      <c r="F1520" s="146" t="n">
        <v>2</v>
      </c>
    </row>
    <row r="1521" ht="32" customHeight="1">
      <c r="A1521" s="146" t="str">
        <v>TPARE</v>
      </c>
      <c r="B1521" s="146" t="str">
        <v>2020</v>
      </c>
      <c r="C1521" s="146" t="str">
        <v>1</v>
      </c>
      <c r="D1521" s="146" t="str">
        <v>ELIMINADO</v>
      </c>
      <c r="E1521" s="146" t="str">
        <v>3 - ELIMINACION AUTOMATICA</v>
      </c>
      <c r="F1521" s="146" t="n">
        <v>17</v>
      </c>
    </row>
    <row r="1522" ht="32" customHeight="1">
      <c r="A1522" s="146" t="str">
        <v>TPARE</v>
      </c>
      <c r="B1522" s="146" t="str">
        <v>2021</v>
      </c>
      <c r="C1522" s="146" t="str">
        <v>1</v>
      </c>
      <c r="D1522" s="146" t="str">
        <v>ELIMINADO</v>
      </c>
      <c r="E1522" s="146" t="str">
        <v>1 - ALUMNO REGULAR</v>
      </c>
      <c r="F1522" s="146" t="n">
        <v>12</v>
      </c>
    </row>
    <row r="1523" ht="32" customHeight="1">
      <c r="A1523" s="146" t="str">
        <v>TPARE</v>
      </c>
      <c r="B1523" s="146" t="str">
        <v>2021</v>
      </c>
      <c r="C1523" s="146" t="str">
        <v>1</v>
      </c>
      <c r="D1523" s="146" t="str">
        <v>ELIMINADO</v>
      </c>
      <c r="E1523" s="146" t="str">
        <v>23 - RETIRO - RETRACTO</v>
      </c>
      <c r="F1523" s="146" t="n">
        <v>3</v>
      </c>
    </row>
    <row r="1524" ht="32" customHeight="1">
      <c r="A1524" s="146" t="str">
        <v>TPARE</v>
      </c>
      <c r="B1524" s="146" t="str">
        <v>2021</v>
      </c>
      <c r="C1524" s="146" t="str">
        <v>1</v>
      </c>
      <c r="D1524" s="146" t="str">
        <v>ELIMINADO</v>
      </c>
      <c r="E1524" s="146" t="str">
        <v>24 - CAMBIO DE CARRERA</v>
      </c>
      <c r="F1524" s="146" t="n">
        <v>5</v>
      </c>
    </row>
    <row r="1525" ht="32" customHeight="1">
      <c r="A1525" s="146" t="str">
        <v>TPARE</v>
      </c>
      <c r="B1525" s="146" t="str">
        <v>2021</v>
      </c>
      <c r="C1525" s="146" t="str">
        <v>1</v>
      </c>
      <c r="D1525" s="146" t="str">
        <v>ELIMINADO</v>
      </c>
      <c r="E1525" s="146" t="str">
        <v>3 - ELIMINACION AUTOMATICA</v>
      </c>
      <c r="F1525" s="146" t="n">
        <v>1</v>
      </c>
    </row>
    <row r="1526" ht="32" customHeight="1">
      <c r="A1526" s="146" t="str">
        <v>TPARE</v>
      </c>
      <c r="B1526" s="146" t="str">
        <v>2021</v>
      </c>
      <c r="C1526" s="146" t="str">
        <v>1</v>
      </c>
      <c r="D1526" s="146" t="str">
        <v>ELIMINADO</v>
      </c>
      <c r="E1526" s="146" t="str">
        <v>49 - CAMBIO DE JORNADA</v>
      </c>
      <c r="F1526" s="146" t="n">
        <v>1</v>
      </c>
    </row>
    <row r="1527" ht="32" customHeight="1">
      <c r="A1527" s="146" t="str">
        <v>TPARE</v>
      </c>
      <c r="B1527" s="146" t="str">
        <v>2021</v>
      </c>
      <c r="C1527" s="146" t="str">
        <v>2</v>
      </c>
      <c r="D1527" s="146" t="str">
        <v>ELIMINADO</v>
      </c>
      <c r="E1527" s="146" t="str">
        <v>38 - REINCORPORACION DE ACTIVIDADES</v>
      </c>
      <c r="F1527" s="146" t="n">
        <v>1</v>
      </c>
    </row>
    <row r="1528" ht="32" customHeight="1">
      <c r="A1528" s="146" t="str">
        <v>TPARE</v>
      </c>
      <c r="B1528" s="146" t="str">
        <v>2022</v>
      </c>
      <c r="C1528" s="146" t="str">
        <v>1</v>
      </c>
      <c r="D1528" s="146" t="str">
        <v>ELIMINADO</v>
      </c>
      <c r="E1528" s="146" t="str">
        <v>1 - ALUMNO REGULAR</v>
      </c>
      <c r="F1528" s="146" t="n">
        <v>13</v>
      </c>
    </row>
    <row r="1529" ht="32" customHeight="1">
      <c r="A1529" s="146" t="str">
        <v>TPARE</v>
      </c>
      <c r="B1529" s="146" t="str">
        <v>2022</v>
      </c>
      <c r="C1529" s="146" t="str">
        <v>1</v>
      </c>
      <c r="D1529" s="146" t="str">
        <v>ELIMINADO</v>
      </c>
      <c r="E1529" s="146" t="str">
        <v>24 - CAMBIO DE CARRERA</v>
      </c>
      <c r="F1529" s="146" t="n">
        <v>6</v>
      </c>
    </row>
    <row r="1530" ht="32" customHeight="1">
      <c r="A1530" s="146" t="str">
        <v>TPARE</v>
      </c>
      <c r="B1530" s="146" t="str">
        <v>2022</v>
      </c>
      <c r="C1530" s="146" t="str">
        <v>1</v>
      </c>
      <c r="D1530" s="146" t="str">
        <v>ELIMINADO</v>
      </c>
      <c r="E1530" s="146" t="str">
        <v>3 - ELIMINACION AUTOMATICA</v>
      </c>
      <c r="F1530" s="146" t="n">
        <v>2</v>
      </c>
    </row>
    <row r="1531" ht="32" customHeight="1">
      <c r="A1531" s="146" t="str">
        <v>TPARE</v>
      </c>
      <c r="B1531" s="146" t="str">
        <v>2022</v>
      </c>
      <c r="C1531" s="146" t="str">
        <v>1</v>
      </c>
      <c r="D1531" s="146" t="str">
        <v>ELIMINADO</v>
      </c>
      <c r="E1531" s="146" t="str">
        <v>49 - CAMBIO DE JORNADA</v>
      </c>
      <c r="F1531" s="146" t="n">
        <v>1</v>
      </c>
    </row>
    <row r="1532" ht="32" customHeight="1">
      <c r="A1532" s="146" t="str">
        <v>TPARE</v>
      </c>
      <c r="B1532" s="146" t="str">
        <v>2022</v>
      </c>
      <c r="C1532" s="146" t="str">
        <v>1</v>
      </c>
      <c r="D1532" s="146" t="str">
        <v>TITULADO</v>
      </c>
      <c r="E1532" s="146" t="str">
        <v>31 - TITULADO APROBADO</v>
      </c>
      <c r="F1532" s="146" t="n">
        <v>21</v>
      </c>
    </row>
    <row r="1533" ht="32" customHeight="1">
      <c r="A1533" s="146" t="str">
        <v>TPARE</v>
      </c>
      <c r="B1533" s="146" t="str">
        <v>2022</v>
      </c>
      <c r="C1533" s="146" t="str">
        <v>2</v>
      </c>
      <c r="D1533" s="146" t="str">
        <v>ELIMINADO</v>
      </c>
      <c r="E1533" s="146" t="str">
        <v>24 - CAMBIO DE CARRERA</v>
      </c>
      <c r="F1533" s="146" t="n">
        <v>1</v>
      </c>
    </row>
    <row r="1534" ht="32" customHeight="1">
      <c r="A1534" s="146" t="str">
        <v>TPARE</v>
      </c>
      <c r="B1534" s="146" t="str">
        <v>2023</v>
      </c>
      <c r="C1534" s="146" t="str">
        <v>1</v>
      </c>
      <c r="D1534" s="146" t="str">
        <v>ELIMINADO</v>
      </c>
      <c r="E1534" s="146" t="str">
        <v>1 - ALUMNO REGULAR</v>
      </c>
      <c r="F1534" s="146" t="n">
        <v>2</v>
      </c>
    </row>
    <row r="1535" ht="32" customHeight="1">
      <c r="A1535" s="146" t="str">
        <v>TPARE</v>
      </c>
      <c r="B1535" s="146" t="str">
        <v>2023</v>
      </c>
      <c r="C1535" s="146" t="str">
        <v>1</v>
      </c>
      <c r="D1535" s="146" t="str">
        <v>ELIMINADO</v>
      </c>
      <c r="E1535" s="146" t="str">
        <v>24 - CAMBIO DE CARRERA</v>
      </c>
      <c r="F1535" s="146" t="n">
        <v>1</v>
      </c>
    </row>
    <row r="1536" ht="32" customHeight="1">
      <c r="A1536" s="146" t="str">
        <v>TPARE</v>
      </c>
      <c r="B1536" s="146" t="str">
        <v>2023</v>
      </c>
      <c r="C1536" s="146" t="str">
        <v>1</v>
      </c>
      <c r="D1536" s="146" t="str">
        <v>TITULADO</v>
      </c>
      <c r="E1536" s="146" t="str">
        <v>31 - TITULADO APROBADO</v>
      </c>
      <c r="F1536" s="146" t="n">
        <v>14</v>
      </c>
    </row>
    <row r="1537" ht="32" customHeight="1">
      <c r="A1537" s="146" t="str">
        <v>TPARE</v>
      </c>
      <c r="B1537" s="146" t="str">
        <v>2024</v>
      </c>
      <c r="C1537" s="146" t="str">
        <v>1</v>
      </c>
      <c r="D1537" s="146" t="str">
        <v>ELIMINADO</v>
      </c>
      <c r="E1537" s="146" t="str">
        <v>10 - ACTUALIZACIÓN DE PLAN DE ESTUDIO 2024</v>
      </c>
      <c r="F1537" s="146" t="n">
        <v>2</v>
      </c>
    </row>
    <row r="1538" ht="32" customHeight="1">
      <c r="A1538" s="146" t="str">
        <v>TPARE</v>
      </c>
      <c r="B1538" s="146" t="str">
        <v>2024</v>
      </c>
      <c r="C1538" s="146" t="str">
        <v>1</v>
      </c>
      <c r="D1538" s="146" t="str">
        <v>ELIMINADO</v>
      </c>
      <c r="E1538" s="146" t="str">
        <v>7 - NO RENUEVA MATRICULA</v>
      </c>
      <c r="F1538" s="146" t="n">
        <v>1</v>
      </c>
    </row>
    <row r="1539" ht="32" customHeight="1">
      <c r="A1539" s="146" t="str">
        <v>TPARE</v>
      </c>
      <c r="B1539" s="146" t="str">
        <v>2024</v>
      </c>
      <c r="C1539" s="146" t="str">
        <v>1</v>
      </c>
      <c r="D1539" s="146" t="str">
        <v>TITULADO</v>
      </c>
      <c r="E1539" s="146" t="str">
        <v>31 - TITULADO APROBADO</v>
      </c>
      <c r="F1539" s="146" t="n">
        <v>15</v>
      </c>
    </row>
    <row r="1540" ht="32" customHeight="1">
      <c r="A1540" s="146" t="str">
        <v>TPARE</v>
      </c>
      <c r="B1540" s="146" t="str">
        <v>2024</v>
      </c>
      <c r="C1540" s="146" t="str">
        <v>1</v>
      </c>
      <c r="D1540" s="146" t="str">
        <v>VIGENTE</v>
      </c>
      <c r="E1540" s="146" t="str">
        <v>49 - CAMBIO DE JORNADA</v>
      </c>
      <c r="F1540" s="146" t="n">
        <v>1</v>
      </c>
    </row>
    <row r="1541" ht="32" customHeight="1">
      <c r="A1541" s="146" t="str">
        <v>TPARE</v>
      </c>
      <c r="B1541" s="146" t="str">
        <v>2025</v>
      </c>
      <c r="C1541" s="146" t="str">
        <v>1</v>
      </c>
      <c r="D1541" s="146" t="str">
        <v>TITULADO</v>
      </c>
      <c r="E1541" s="146" t="str">
        <v>31 - TITULADO APROBADO</v>
      </c>
      <c r="F1541" s="146" t="n">
        <v>1</v>
      </c>
    </row>
    <row r="1542" ht="32" customHeight="1">
      <c r="A1542" s="146" t="str">
        <v>TPAREOL</v>
      </c>
      <c r="B1542" s="146" t="str">
        <v>2020</v>
      </c>
      <c r="C1542" s="146" t="str">
        <v>1</v>
      </c>
      <c r="D1542" s="146" t="str">
        <v>ELIMINADO</v>
      </c>
      <c r="E1542" s="146" t="str">
        <v>23 - RETIRO - RETRACTO</v>
      </c>
      <c r="F1542" s="146" t="n">
        <v>1</v>
      </c>
    </row>
    <row r="1543" ht="32" customHeight="1">
      <c r="A1543" s="146" t="str">
        <v>TPAREOL</v>
      </c>
      <c r="B1543" s="146" t="str">
        <v>2020</v>
      </c>
      <c r="C1543" s="146" t="str">
        <v>1</v>
      </c>
      <c r="D1543" s="146" t="str">
        <v>ELIMINADO</v>
      </c>
      <c r="E1543" s="146" t="str">
        <v>3 - ELIMINACION AUTOMATICA</v>
      </c>
      <c r="F1543" s="146" t="n">
        <v>6</v>
      </c>
    </row>
    <row r="1544" ht="32" customHeight="1">
      <c r="A1544" s="146" t="str">
        <v>TPAREOL</v>
      </c>
      <c r="B1544" s="146" t="str">
        <v>2020</v>
      </c>
      <c r="C1544" s="146" t="str">
        <v>2</v>
      </c>
      <c r="D1544" s="146" t="str">
        <v>ELIMINADO</v>
      </c>
      <c r="E1544" s="146" t="str">
        <v>23 - RETIRO - RETRACTO</v>
      </c>
      <c r="F1544" s="146" t="n">
        <v>1</v>
      </c>
    </row>
    <row r="1545" ht="32" customHeight="1">
      <c r="A1545" s="146" t="str">
        <v>TPAREOL</v>
      </c>
      <c r="B1545" s="146" t="str">
        <v>2020</v>
      </c>
      <c r="C1545" s="146" t="str">
        <v>2</v>
      </c>
      <c r="D1545" s="146" t="str">
        <v>ELIMINADO</v>
      </c>
      <c r="E1545" s="146" t="str">
        <v>3 - ELIMINACION AUTOMATICA</v>
      </c>
      <c r="F1545" s="146" t="n">
        <v>1</v>
      </c>
    </row>
    <row r="1546" ht="32" customHeight="1">
      <c r="A1546" s="146" t="str">
        <v>TPAREOL</v>
      </c>
      <c r="B1546" s="146" t="str">
        <v>2021</v>
      </c>
      <c r="C1546" s="146" t="str">
        <v>1</v>
      </c>
      <c r="D1546" s="146" t="str">
        <v>ELIMINADO</v>
      </c>
      <c r="E1546" s="146" t="str">
        <v>1 - ALUMNO REGULAR</v>
      </c>
      <c r="F1546" s="146" t="n">
        <v>29</v>
      </c>
    </row>
    <row r="1547" ht="32" customHeight="1">
      <c r="A1547" s="146" t="str">
        <v>TPAREOL</v>
      </c>
      <c r="B1547" s="146" t="str">
        <v>2021</v>
      </c>
      <c r="C1547" s="146" t="str">
        <v>1</v>
      </c>
      <c r="D1547" s="146" t="str">
        <v>ELIMINADO</v>
      </c>
      <c r="E1547" s="146" t="str">
        <v>23 - RETIRO - RETRACTO</v>
      </c>
      <c r="F1547" s="146" t="n">
        <v>1</v>
      </c>
    </row>
    <row r="1548" ht="32" customHeight="1">
      <c r="A1548" s="146" t="str">
        <v>TPAREOL</v>
      </c>
      <c r="B1548" s="146" t="str">
        <v>2021</v>
      </c>
      <c r="C1548" s="146" t="str">
        <v>1</v>
      </c>
      <c r="D1548" s="146" t="str">
        <v>ELIMINADO</v>
      </c>
      <c r="E1548" s="146" t="str">
        <v>24 - CAMBIO DE CARRERA</v>
      </c>
      <c r="F1548" s="146" t="n">
        <v>1</v>
      </c>
    </row>
    <row r="1549" ht="32" customHeight="1">
      <c r="A1549" s="146" t="str">
        <v>TPAREOL</v>
      </c>
      <c r="B1549" s="146" t="str">
        <v>2021</v>
      </c>
      <c r="C1549" s="146" t="str">
        <v>1</v>
      </c>
      <c r="D1549" s="146" t="str">
        <v>ELIMINADO</v>
      </c>
      <c r="E1549" s="146" t="str">
        <v>3 - ELIMINACION AUTOMATICA</v>
      </c>
      <c r="F1549" s="146" t="n">
        <v>6</v>
      </c>
    </row>
    <row r="1550" ht="32" customHeight="1">
      <c r="A1550" s="146" t="str">
        <v>TPAREOL</v>
      </c>
      <c r="B1550" s="146" t="str">
        <v>2021</v>
      </c>
      <c r="C1550" s="146" t="str">
        <v>2</v>
      </c>
      <c r="D1550" s="146" t="str">
        <v>ELIMINADO</v>
      </c>
      <c r="E1550" s="146" t="str">
        <v>1 - ALUMNO REGULAR</v>
      </c>
      <c r="F1550" s="146" t="n">
        <v>4</v>
      </c>
    </row>
    <row r="1551" ht="32" customHeight="1">
      <c r="A1551" s="146" t="str">
        <v>TPAREOL</v>
      </c>
      <c r="B1551" s="146" t="str">
        <v>2021</v>
      </c>
      <c r="C1551" s="146" t="str">
        <v>2</v>
      </c>
      <c r="D1551" s="146" t="str">
        <v>ELIMINADO</v>
      </c>
      <c r="E1551" s="146" t="str">
        <v>23 - RETIRO - RETRACTO</v>
      </c>
      <c r="F1551" s="146" t="n">
        <v>3</v>
      </c>
    </row>
    <row r="1552" ht="32" customHeight="1">
      <c r="A1552" s="146" t="str">
        <v>TPAREOL</v>
      </c>
      <c r="B1552" s="146" t="str">
        <v>2021</v>
      </c>
      <c r="C1552" s="146" t="str">
        <v>2</v>
      </c>
      <c r="D1552" s="146" t="str">
        <v>ELIMINADO</v>
      </c>
      <c r="E1552" s="146" t="str">
        <v>3 - ELIMINACION AUTOMATICA</v>
      </c>
      <c r="F1552" s="146" t="n">
        <v>1</v>
      </c>
    </row>
    <row r="1553" ht="32" customHeight="1">
      <c r="A1553" s="146" t="str">
        <v>TPAREOL</v>
      </c>
      <c r="B1553" s="146" t="str">
        <v>2021</v>
      </c>
      <c r="C1553" s="146" t="str">
        <v>2</v>
      </c>
      <c r="D1553" s="146" t="str">
        <v>TITULADO</v>
      </c>
      <c r="E1553" s="146" t="str">
        <v>31 - TITULADO APROBADO</v>
      </c>
      <c r="F1553" s="146" t="n">
        <v>1</v>
      </c>
    </row>
    <row r="1554" ht="32" customHeight="1">
      <c r="A1554" s="146" t="str">
        <v>TPAREOL</v>
      </c>
      <c r="B1554" s="146" t="str">
        <v>2022</v>
      </c>
      <c r="C1554" s="146" t="str">
        <v>1</v>
      </c>
      <c r="D1554" s="146" t="str">
        <v>ELIMINADO</v>
      </c>
      <c r="E1554" s="146" t="str">
        <v>1 - ALUMNO REGULAR</v>
      </c>
      <c r="F1554" s="146" t="n">
        <v>35</v>
      </c>
    </row>
    <row r="1555" ht="32" customHeight="1">
      <c r="A1555" s="146" t="str">
        <v>TPAREOL</v>
      </c>
      <c r="B1555" s="146" t="str">
        <v>2022</v>
      </c>
      <c r="C1555" s="146" t="str">
        <v>1</v>
      </c>
      <c r="D1555" s="146" t="str">
        <v>ELIMINADO</v>
      </c>
      <c r="E1555" s="146" t="str">
        <v>23 - RETIRO - RETRACTO</v>
      </c>
      <c r="F1555" s="146" t="n">
        <v>2</v>
      </c>
    </row>
    <row r="1556" ht="32" customHeight="1">
      <c r="A1556" s="146" t="str">
        <v>TPAREOL</v>
      </c>
      <c r="B1556" s="146" t="str">
        <v>2022</v>
      </c>
      <c r="C1556" s="146" t="str">
        <v>1</v>
      </c>
      <c r="D1556" s="146" t="str">
        <v>ELIMINADO</v>
      </c>
      <c r="E1556" s="146" t="str">
        <v>24 - CAMBIO DE CARRERA</v>
      </c>
      <c r="F1556" s="146" t="n">
        <v>6</v>
      </c>
    </row>
    <row r="1557" ht="32" customHeight="1">
      <c r="A1557" s="146" t="str">
        <v>TPAREOL</v>
      </c>
      <c r="B1557" s="146" t="str">
        <v>2022</v>
      </c>
      <c r="C1557" s="146" t="str">
        <v>1</v>
      </c>
      <c r="D1557" s="146" t="str">
        <v>ELIMINADO</v>
      </c>
      <c r="E1557" s="146" t="str">
        <v>3 - ELIMINACION AUTOMATICA</v>
      </c>
      <c r="F1557" s="146" t="n">
        <v>1</v>
      </c>
    </row>
    <row r="1558" ht="32" customHeight="1">
      <c r="A1558" s="146" t="str">
        <v>TPAREOL</v>
      </c>
      <c r="B1558" s="146" t="str">
        <v>2022</v>
      </c>
      <c r="C1558" s="146" t="str">
        <v>1</v>
      </c>
      <c r="D1558" s="146" t="str">
        <v>TITULADO</v>
      </c>
      <c r="E1558" s="146" t="str">
        <v>31 - TITULADO APROBADO</v>
      </c>
      <c r="F1558" s="146" t="n">
        <v>19</v>
      </c>
    </row>
    <row r="1559" ht="32" customHeight="1">
      <c r="A1559" s="146" t="str">
        <v>TPAREOL</v>
      </c>
      <c r="B1559" s="146" t="str">
        <v>2022</v>
      </c>
      <c r="C1559" s="146" t="str">
        <v>2</v>
      </c>
      <c r="D1559" s="146" t="str">
        <v>ELIMINADO</v>
      </c>
      <c r="E1559" s="146" t="str">
        <v>1 - ALUMNO REGULAR</v>
      </c>
      <c r="F1559" s="146" t="n">
        <v>9</v>
      </c>
    </row>
    <row r="1560" ht="32" customHeight="1">
      <c r="A1560" s="146" t="str">
        <v>TPAREOL</v>
      </c>
      <c r="B1560" s="146" t="str">
        <v>2023</v>
      </c>
      <c r="C1560" s="146" t="str">
        <v>1</v>
      </c>
      <c r="D1560" s="146" t="str">
        <v>ELIMINADO</v>
      </c>
      <c r="E1560" s="146" t="str">
        <v>1 - ALUMNO REGULAR</v>
      </c>
      <c r="F1560" s="146" t="n">
        <v>34</v>
      </c>
    </row>
    <row r="1561" ht="32" customHeight="1">
      <c r="A1561" s="146" t="str">
        <v>TPAREOL</v>
      </c>
      <c r="B1561" s="146" t="str">
        <v>2023</v>
      </c>
      <c r="C1561" s="146" t="str">
        <v>1</v>
      </c>
      <c r="D1561" s="146" t="str">
        <v>ELIMINADO</v>
      </c>
      <c r="E1561" s="146" t="str">
        <v>10 - ACTUALIZACIÓN DE PLAN DE ESTUDIO 2024</v>
      </c>
      <c r="F1561" s="146" t="n">
        <v>4</v>
      </c>
    </row>
    <row r="1562" ht="32" customHeight="1">
      <c r="A1562" s="146" t="str">
        <v>TPAREOL</v>
      </c>
      <c r="B1562" s="146" t="str">
        <v>2023</v>
      </c>
      <c r="C1562" s="146" t="str">
        <v>1</v>
      </c>
      <c r="D1562" s="146" t="str">
        <v>ELIMINADO</v>
      </c>
      <c r="E1562" s="146" t="str">
        <v>23 - RETIRO - RETRACTO</v>
      </c>
      <c r="F1562" s="146" t="n">
        <v>8</v>
      </c>
    </row>
    <row r="1563" ht="32" customHeight="1">
      <c r="A1563" s="146" t="str">
        <v>TPAREOL</v>
      </c>
      <c r="B1563" s="146" t="str">
        <v>2023</v>
      </c>
      <c r="C1563" s="146" t="str">
        <v>1</v>
      </c>
      <c r="D1563" s="146" t="str">
        <v>ELIMINADO</v>
      </c>
      <c r="E1563" s="146" t="str">
        <v>24 - CAMBIO DE CARRERA</v>
      </c>
      <c r="F1563" s="146" t="n">
        <v>2</v>
      </c>
    </row>
    <row r="1564" ht="32" customHeight="1">
      <c r="A1564" s="146" t="str">
        <v>TPAREOL</v>
      </c>
      <c r="B1564" s="146" t="str">
        <v>2023</v>
      </c>
      <c r="C1564" s="146" t="str">
        <v>1</v>
      </c>
      <c r="D1564" s="146" t="str">
        <v>ELIMINADO</v>
      </c>
      <c r="E1564" s="146" t="str">
        <v>3 - ELIMINACION AUTOMATICA</v>
      </c>
      <c r="F1564" s="146" t="n">
        <v>6</v>
      </c>
    </row>
    <row r="1565" ht="32" customHeight="1">
      <c r="A1565" s="146" t="str">
        <v>TPAREOL</v>
      </c>
      <c r="B1565" s="146" t="str">
        <v>2023</v>
      </c>
      <c r="C1565" s="146" t="str">
        <v>1</v>
      </c>
      <c r="D1565" s="146" t="str">
        <v>ELIMINADO</v>
      </c>
      <c r="E1565" s="146" t="str">
        <v>38 - REINCORPORACION DE ACTIVIDADES</v>
      </c>
      <c r="F1565" s="146" t="n">
        <v>1</v>
      </c>
    </row>
    <row r="1566" ht="32" customHeight="1">
      <c r="A1566" s="146" t="str">
        <v>TPAREOL</v>
      </c>
      <c r="B1566" s="146" t="str">
        <v>2023</v>
      </c>
      <c r="C1566" s="146" t="str">
        <v>1</v>
      </c>
      <c r="D1566" s="146" t="str">
        <v>ELIMINADO</v>
      </c>
      <c r="E1566" s="146" t="str">
        <v>5 - RENUNCIA ENTRE PERIODOS</v>
      </c>
      <c r="F1566" s="146" t="n">
        <v>2</v>
      </c>
    </row>
    <row r="1567" ht="32" customHeight="1">
      <c r="A1567" s="146" t="str">
        <v>TPAREOL</v>
      </c>
      <c r="B1567" s="146" t="str">
        <v>2023</v>
      </c>
      <c r="C1567" s="146" t="str">
        <v>1</v>
      </c>
      <c r="D1567" s="146" t="str">
        <v>ELIMINADO</v>
      </c>
      <c r="E1567" s="146" t="str">
        <v>7 - NO RENUEVA MATRICULA</v>
      </c>
      <c r="F1567" s="146" t="n">
        <v>6</v>
      </c>
    </row>
    <row r="1568" ht="32" customHeight="1">
      <c r="A1568" s="146" t="str">
        <v>TPAREOL</v>
      </c>
      <c r="B1568" s="146" t="str">
        <v>2023</v>
      </c>
      <c r="C1568" s="146" t="str">
        <v>1</v>
      </c>
      <c r="D1568" s="146" t="str">
        <v>SUSPENDIDO</v>
      </c>
      <c r="E1568" s="146" t="str">
        <v>2 - SUSPENSIÓN TEMPORAL</v>
      </c>
      <c r="F1568" s="146" t="n">
        <v>8</v>
      </c>
    </row>
    <row r="1569" ht="32" customHeight="1">
      <c r="A1569" s="146" t="str">
        <v>TPAREOL</v>
      </c>
      <c r="B1569" s="146" t="str">
        <v>2023</v>
      </c>
      <c r="C1569" s="146" t="str">
        <v>1</v>
      </c>
      <c r="D1569" s="146" t="str">
        <v>TITULADO</v>
      </c>
      <c r="E1569" s="146" t="str">
        <v>31 - TITULADO APROBADO</v>
      </c>
      <c r="F1569" s="146" t="n">
        <v>53</v>
      </c>
    </row>
    <row r="1570" ht="32" customHeight="1">
      <c r="A1570" s="146" t="str">
        <v>TPAREOL</v>
      </c>
      <c r="B1570" s="146" t="str">
        <v>2023</v>
      </c>
      <c r="C1570" s="146" t="str">
        <v>1</v>
      </c>
      <c r="D1570" s="146" t="str">
        <v>VIGENTE</v>
      </c>
      <c r="E1570" s="146" t="str">
        <v>1 - ALUMNO REGULAR</v>
      </c>
      <c r="F1570" s="146" t="n">
        <v>5</v>
      </c>
    </row>
    <row r="1571" ht="32" customHeight="1">
      <c r="A1571" s="146" t="str">
        <v>TPAREOL</v>
      </c>
      <c r="B1571" s="146" t="str">
        <v>2023</v>
      </c>
      <c r="C1571" s="146" t="str">
        <v>1</v>
      </c>
      <c r="D1571" s="146" t="str">
        <v>VIGENTE</v>
      </c>
      <c r="E1571" s="146" t="str">
        <v>38 - REINCORPORACION DE ACTIVIDADES</v>
      </c>
      <c r="F1571" s="146" t="n">
        <v>1</v>
      </c>
    </row>
    <row r="1572" ht="32" customHeight="1">
      <c r="A1572" s="146" t="str">
        <v>TPAREOL</v>
      </c>
      <c r="B1572" s="146" t="str">
        <v>2023</v>
      </c>
      <c r="C1572" s="146" t="str">
        <v>2</v>
      </c>
      <c r="D1572" s="146" t="str">
        <v>ELIMINADO</v>
      </c>
      <c r="E1572" s="146" t="str">
        <v>1 - ALUMNO REGULAR</v>
      </c>
      <c r="F1572" s="146" t="n">
        <v>11</v>
      </c>
    </row>
    <row r="1573" ht="32" customHeight="1">
      <c r="A1573" s="146" t="str">
        <v>TPAREOL</v>
      </c>
      <c r="B1573" s="146" t="str">
        <v>2023</v>
      </c>
      <c r="C1573" s="146" t="str">
        <v>2</v>
      </c>
      <c r="D1573" s="146" t="str">
        <v>ELIMINADO</v>
      </c>
      <c r="E1573" s="146" t="str">
        <v>10 - ACTUALIZACIÓN DE PLAN DE ESTUDIO 2024</v>
      </c>
      <c r="F1573" s="146" t="n">
        <v>1</v>
      </c>
    </row>
    <row r="1574" ht="32" customHeight="1">
      <c r="A1574" s="146" t="str">
        <v>TPAREOL</v>
      </c>
      <c r="B1574" s="146" t="str">
        <v>2023</v>
      </c>
      <c r="C1574" s="146" t="str">
        <v>2</v>
      </c>
      <c r="D1574" s="146" t="str">
        <v>ELIMINADO</v>
      </c>
      <c r="E1574" s="146" t="str">
        <v>23 - RETIRO - RETRACTO</v>
      </c>
      <c r="F1574" s="146" t="n">
        <v>2</v>
      </c>
    </row>
    <row r="1575" ht="32" customHeight="1">
      <c r="A1575" s="146" t="str">
        <v>TPAREOL</v>
      </c>
      <c r="B1575" s="146" t="str">
        <v>2023</v>
      </c>
      <c r="C1575" s="146" t="str">
        <v>2</v>
      </c>
      <c r="D1575" s="146" t="str">
        <v>SUSPENDIDO</v>
      </c>
      <c r="E1575" s="146" t="str">
        <v>2 - SUSPENSIÓN TEMPORAL</v>
      </c>
      <c r="F1575" s="146" t="n">
        <v>1</v>
      </c>
    </row>
    <row r="1576" ht="32" customHeight="1">
      <c r="A1576" s="146" t="str">
        <v>TPAREOL</v>
      </c>
      <c r="B1576" s="146" t="str">
        <v>2024</v>
      </c>
      <c r="C1576" s="146" t="str">
        <v>1</v>
      </c>
      <c r="D1576" s="146" t="str">
        <v>ELIMINADO</v>
      </c>
      <c r="E1576" s="146" t="str">
        <v>10 - ACTUALIZACIÓN DE PLAN DE ESTUDIO 2024</v>
      </c>
      <c r="F1576" s="146" t="n">
        <v>86</v>
      </c>
    </row>
    <row r="1577" ht="32" customHeight="1">
      <c r="A1577" s="146" t="str">
        <v>TPAREOL</v>
      </c>
      <c r="B1577" s="146" t="str">
        <v>2024</v>
      </c>
      <c r="C1577" s="146" t="str">
        <v>1</v>
      </c>
      <c r="D1577" s="146" t="str">
        <v>ELIMINADO</v>
      </c>
      <c r="E1577" s="146" t="str">
        <v>24 - CAMBIO DE CARRERA</v>
      </c>
      <c r="F1577" s="146" t="n">
        <v>1</v>
      </c>
    </row>
    <row r="1578" ht="32" customHeight="1">
      <c r="A1578" s="146" t="str">
        <v>TPAREOL</v>
      </c>
      <c r="B1578" s="146" t="str">
        <v>2024</v>
      </c>
      <c r="C1578" s="146" t="str">
        <v>1</v>
      </c>
      <c r="D1578" s="146" t="str">
        <v>ELIMINADO</v>
      </c>
      <c r="E1578" s="146" t="str">
        <v>7 - NO RENUEVA MATRICULA</v>
      </c>
      <c r="F1578" s="146" t="n">
        <v>3</v>
      </c>
    </row>
    <row r="1579" ht="32" customHeight="1">
      <c r="A1579" s="146" t="str">
        <v>TPAREOL</v>
      </c>
      <c r="B1579" s="146" t="str">
        <v>2024</v>
      </c>
      <c r="C1579" s="146" t="str">
        <v>1</v>
      </c>
      <c r="D1579" s="146" t="str">
        <v>SUSPENDIDO</v>
      </c>
      <c r="E1579" s="146" t="str">
        <v>2 - SUSPENSIÓN TEMPORAL</v>
      </c>
      <c r="F1579" s="146" t="n">
        <v>1</v>
      </c>
    </row>
    <row r="1580" ht="32" customHeight="1">
      <c r="A1580" s="146" t="str">
        <v>TPAREOL</v>
      </c>
      <c r="B1580" s="146" t="str">
        <v>2024</v>
      </c>
      <c r="C1580" s="146" t="str">
        <v>1</v>
      </c>
      <c r="D1580" s="146" t="str">
        <v>TITULADO</v>
      </c>
      <c r="E1580" s="146" t="str">
        <v>31 - TITULADO APROBADO</v>
      </c>
      <c r="F1580" s="146" t="n">
        <v>51</v>
      </c>
    </row>
    <row r="1581" ht="32" customHeight="1">
      <c r="A1581" s="146" t="str">
        <v>TPAREOL</v>
      </c>
      <c r="B1581" s="146" t="str">
        <v>2025</v>
      </c>
      <c r="C1581" s="146" t="str">
        <v>1</v>
      </c>
      <c r="D1581" s="146" t="str">
        <v>ELIMINADO</v>
      </c>
      <c r="E1581" s="146" t="str">
        <v>10 - ACTUALIZACIÓN DE PLAN DE ESTUDIO 2024</v>
      </c>
      <c r="F1581" s="146" t="n">
        <v>2</v>
      </c>
    </row>
    <row r="1582" ht="32" customHeight="1">
      <c r="A1582" s="146" t="str">
        <v>TPAREOL</v>
      </c>
      <c r="B1582" s="146" t="str">
        <v>2025</v>
      </c>
      <c r="C1582" s="146" t="str">
        <v>1</v>
      </c>
      <c r="D1582" s="146" t="str">
        <v>TITULADO</v>
      </c>
      <c r="E1582" s="146" t="str">
        <v>31 - TITULADO APROBADO</v>
      </c>
      <c r="F1582" s="146" t="n">
        <v>8</v>
      </c>
    </row>
    <row r="1583" ht="32" customHeight="1">
      <c r="A1583" s="146" t="str">
        <v>TPAREOL</v>
      </c>
      <c r="B1583" s="146" t="str">
        <v>2025</v>
      </c>
      <c r="C1583" s="146" t="str">
        <v>1</v>
      </c>
      <c r="D1583" s="146" t="str">
        <v>VIGENTE</v>
      </c>
      <c r="E1583" s="146" t="str">
        <v>1 - ALUMNO REGULAR</v>
      </c>
      <c r="F1583" s="146" t="n">
        <v>1</v>
      </c>
    </row>
    <row r="1584" ht="32" customHeight="1">
      <c r="A1584" s="146" t="str">
        <v>TPAREOL</v>
      </c>
      <c r="B1584" s="146" t="str">
        <v>2025</v>
      </c>
      <c r="C1584" s="146" t="str">
        <v>2</v>
      </c>
      <c r="D1584" s="146" t="str">
        <v>TITULADO</v>
      </c>
      <c r="E1584" s="146" t="str">
        <v>31 - TITULADO APROBADO</v>
      </c>
      <c r="F1584" s="146" t="n">
        <v>1</v>
      </c>
    </row>
    <row r="1585" ht="32" customHeight="1">
      <c r="A1585" s="146" t="str">
        <v>TPAS</v>
      </c>
      <c r="B1585" s="146" t="str">
        <v>2024</v>
      </c>
      <c r="C1585" s="146" t="str">
        <v>1</v>
      </c>
      <c r="D1585" s="146" t="str">
        <v>ELIMINADO</v>
      </c>
      <c r="E1585" s="146" t="str">
        <v>11 - RENUNCIA POST INICIO CLASES</v>
      </c>
      <c r="F1585" s="146" t="n">
        <v>9</v>
      </c>
    </row>
    <row r="1586" ht="32" customHeight="1">
      <c r="A1586" s="146" t="str">
        <v>TPAS</v>
      </c>
      <c r="B1586" s="146" t="str">
        <v>2024</v>
      </c>
      <c r="C1586" s="146" t="str">
        <v>1</v>
      </c>
      <c r="D1586" s="146" t="str">
        <v>ELIMINADO</v>
      </c>
      <c r="E1586" s="146" t="str">
        <v>12 - ELIMINADO MATRICULA SIN FIRMA</v>
      </c>
      <c r="F1586" s="146" t="n">
        <v>1</v>
      </c>
    </row>
    <row r="1587" ht="32" customHeight="1">
      <c r="A1587" s="146" t="str">
        <v>TPAS</v>
      </c>
      <c r="B1587" s="146" t="str">
        <v>2024</v>
      </c>
      <c r="C1587" s="146" t="str">
        <v>1</v>
      </c>
      <c r="D1587" s="146" t="str">
        <v>ELIMINADO</v>
      </c>
      <c r="E1587" s="146" t="str">
        <v>23 - RETIRO - RETRACTO</v>
      </c>
      <c r="F1587" s="146" t="n">
        <v>17</v>
      </c>
    </row>
    <row r="1588" ht="32" customHeight="1">
      <c r="A1588" s="146" t="str">
        <v>TPAS</v>
      </c>
      <c r="B1588" s="146" t="str">
        <v>2024</v>
      </c>
      <c r="C1588" s="146" t="str">
        <v>1</v>
      </c>
      <c r="D1588" s="146" t="str">
        <v>ELIMINADO</v>
      </c>
      <c r="E1588" s="146" t="str">
        <v>24 - CAMBIO DE CARRERA</v>
      </c>
      <c r="F1588" s="146" t="n">
        <v>7</v>
      </c>
    </row>
    <row r="1589" ht="32" customHeight="1">
      <c r="A1589" s="146" t="str">
        <v>TPAS</v>
      </c>
      <c r="B1589" s="146" t="str">
        <v>2024</v>
      </c>
      <c r="C1589" s="146" t="str">
        <v>1</v>
      </c>
      <c r="D1589" s="146" t="str">
        <v>ELIMINADO</v>
      </c>
      <c r="E1589" s="146" t="str">
        <v>5 - RENUNCIA ENTRE PERIODOS</v>
      </c>
      <c r="F1589" s="146" t="n">
        <v>1</v>
      </c>
    </row>
    <row r="1590" ht="32" customHeight="1">
      <c r="A1590" s="146" t="str">
        <v>TPAS</v>
      </c>
      <c r="B1590" s="146" t="str">
        <v>2024</v>
      </c>
      <c r="C1590" s="146" t="str">
        <v>1</v>
      </c>
      <c r="D1590" s="146" t="str">
        <v>ELIMINADO</v>
      </c>
      <c r="E1590" s="146" t="str">
        <v>7 - NO RENUEVA MATRICULA</v>
      </c>
      <c r="F1590" s="146" t="n">
        <v>40</v>
      </c>
    </row>
    <row r="1591" ht="32" customHeight="1">
      <c r="A1591" s="146" t="str">
        <v>TPAS</v>
      </c>
      <c r="B1591" s="146" t="str">
        <v>2024</v>
      </c>
      <c r="C1591" s="146" t="str">
        <v>1</v>
      </c>
      <c r="D1591" s="146" t="str">
        <v>ELIMINADO</v>
      </c>
      <c r="E1591" s="146" t="str">
        <v>8 - ELIMINADO SIN ACTIVIDAD ACADÉMICA</v>
      </c>
      <c r="F1591" s="146" t="n">
        <v>3</v>
      </c>
    </row>
    <row r="1592" ht="32" customHeight="1">
      <c r="A1592" s="146" t="str">
        <v>TPAS</v>
      </c>
      <c r="B1592" s="146" t="str">
        <v>2024</v>
      </c>
      <c r="C1592" s="146" t="str">
        <v>1</v>
      </c>
      <c r="D1592" s="146" t="str">
        <v>ELIMINADO</v>
      </c>
      <c r="E1592" s="146" t="str">
        <v>9 - RECHAZO ACTUALIZACION DE PLAN 2024</v>
      </c>
      <c r="F1592" s="146" t="n">
        <v>6</v>
      </c>
    </row>
    <row r="1593" ht="32" customHeight="1">
      <c r="A1593" s="146" t="str">
        <v>TPAS</v>
      </c>
      <c r="B1593" s="146" t="str">
        <v>2024</v>
      </c>
      <c r="C1593" s="146" t="str">
        <v>1</v>
      </c>
      <c r="D1593" s="146" t="str">
        <v>SUSPENDIDO</v>
      </c>
      <c r="E1593" s="146" t="str">
        <v>2 - SUSPENSIÓN TEMPORAL</v>
      </c>
      <c r="F1593" s="146" t="n">
        <v>6</v>
      </c>
    </row>
    <row r="1594" ht="32" customHeight="1">
      <c r="A1594" s="146" t="str">
        <v>TPAS</v>
      </c>
      <c r="B1594" s="146" t="str">
        <v>2024</v>
      </c>
      <c r="C1594" s="146" t="str">
        <v>1</v>
      </c>
      <c r="D1594" s="146" t="str">
        <v>TITULADO</v>
      </c>
      <c r="E1594" s="146" t="str">
        <v>31 - TITULADO APROBADO</v>
      </c>
      <c r="F1594" s="146" t="n">
        <v>3</v>
      </c>
    </row>
    <row r="1595" ht="32" customHeight="1">
      <c r="A1595" s="146" t="str">
        <v>TPAS</v>
      </c>
      <c r="B1595" s="146" t="str">
        <v>2024</v>
      </c>
      <c r="C1595" s="146" t="str">
        <v>1</v>
      </c>
      <c r="D1595" s="146" t="str">
        <v>VIGENTE</v>
      </c>
      <c r="E1595" s="146" t="str">
        <v>1 - ALUMNO REGULAR</v>
      </c>
      <c r="F1595" s="146" t="n">
        <v>1</v>
      </c>
    </row>
    <row r="1596" ht="32" customHeight="1">
      <c r="A1596" s="146" t="str">
        <v>TPAS</v>
      </c>
      <c r="B1596" s="146" t="str">
        <v>2024</v>
      </c>
      <c r="C1596" s="146" t="str">
        <v>1</v>
      </c>
      <c r="D1596" s="146" t="str">
        <v>VIGENTE</v>
      </c>
      <c r="E1596" s="146" t="str">
        <v>38 - REINCORPORACION DE ACTIVIDADES</v>
      </c>
      <c r="F1596" s="146" t="n">
        <v>1</v>
      </c>
    </row>
    <row r="1597" ht="32" customHeight="1">
      <c r="A1597" s="146" t="str">
        <v>TPAS</v>
      </c>
      <c r="B1597" s="146" t="str">
        <v>2024</v>
      </c>
      <c r="C1597" s="146" t="str">
        <v>2</v>
      </c>
      <c r="D1597" s="146" t="str">
        <v>ELIMINADO</v>
      </c>
      <c r="E1597" s="146" t="str">
        <v>11 - RENUNCIA POST INICIO CLASES</v>
      </c>
      <c r="F1597" s="146" t="n">
        <v>1</v>
      </c>
    </row>
    <row r="1598" ht="32" customHeight="1">
      <c r="A1598" s="146" t="str">
        <v>TPAS</v>
      </c>
      <c r="B1598" s="146" t="str">
        <v>2024</v>
      </c>
      <c r="C1598" s="146" t="str">
        <v>2</v>
      </c>
      <c r="D1598" s="146" t="str">
        <v>ELIMINADO</v>
      </c>
      <c r="E1598" s="146" t="str">
        <v>23 - RETIRO - RETRACTO</v>
      </c>
      <c r="F1598" s="146" t="n">
        <v>9</v>
      </c>
    </row>
    <row r="1599" ht="32" customHeight="1">
      <c r="A1599" s="146" t="str">
        <v>TPAS</v>
      </c>
      <c r="B1599" s="146" t="str">
        <v>2024</v>
      </c>
      <c r="C1599" s="146" t="str">
        <v>2</v>
      </c>
      <c r="D1599" s="146" t="str">
        <v>ELIMINADO</v>
      </c>
      <c r="E1599" s="146" t="str">
        <v>7 - NO RENUEVA MATRICULA</v>
      </c>
      <c r="F1599" s="146" t="n">
        <v>4</v>
      </c>
    </row>
    <row r="1600" ht="32" customHeight="1">
      <c r="A1600" s="146" t="str">
        <v>TPAS</v>
      </c>
      <c r="B1600" s="146" t="str">
        <v>2024</v>
      </c>
      <c r="C1600" s="146" t="str">
        <v>3</v>
      </c>
      <c r="D1600" s="146" t="str">
        <v>ELIMINADO</v>
      </c>
      <c r="E1600" s="146" t="str">
        <v>11 - RENUNCIA POST INICIO CLASES</v>
      </c>
      <c r="F1600" s="146" t="n">
        <v>2</v>
      </c>
    </row>
    <row r="1601" ht="32" customHeight="1">
      <c r="A1601" s="146" t="str">
        <v>TPAS</v>
      </c>
      <c r="B1601" s="146" t="str">
        <v>2024</v>
      </c>
      <c r="C1601" s="146" t="str">
        <v>3</v>
      </c>
      <c r="D1601" s="146" t="str">
        <v>ELIMINADO</v>
      </c>
      <c r="E1601" s="146" t="str">
        <v>23 - RETIRO - RETRACTO</v>
      </c>
      <c r="F1601" s="146" t="n">
        <v>2</v>
      </c>
    </row>
    <row r="1602" ht="32" customHeight="1">
      <c r="A1602" s="146" t="str">
        <v>TPAS</v>
      </c>
      <c r="B1602" s="146" t="str">
        <v>2024</v>
      </c>
      <c r="C1602" s="146" t="str">
        <v>3</v>
      </c>
      <c r="D1602" s="146" t="str">
        <v>ELIMINADO</v>
      </c>
      <c r="E1602" s="146" t="str">
        <v>24 - CAMBIO DE CARRERA</v>
      </c>
      <c r="F1602" s="146" t="n">
        <v>1</v>
      </c>
    </row>
    <row r="1603" ht="32" customHeight="1">
      <c r="A1603" s="146" t="str">
        <v>TPAS</v>
      </c>
      <c r="B1603" s="146" t="str">
        <v>2024</v>
      </c>
      <c r="C1603" s="146" t="str">
        <v>3</v>
      </c>
      <c r="D1603" s="146" t="str">
        <v>ELIMINADO</v>
      </c>
      <c r="E1603" s="146" t="str">
        <v>7 - NO RENUEVA MATRICULA</v>
      </c>
      <c r="F1603" s="146" t="n">
        <v>5</v>
      </c>
    </row>
    <row r="1604" ht="32" customHeight="1">
      <c r="A1604" s="146" t="str">
        <v>TPAS</v>
      </c>
      <c r="B1604" s="146" t="str">
        <v>2025</v>
      </c>
      <c r="C1604" s="146" t="str">
        <v>1</v>
      </c>
      <c r="D1604" s="146" t="str">
        <v>ELIMINADO</v>
      </c>
      <c r="E1604" s="146" t="str">
        <v>11 - RENUNCIA POST INICIO CLASES</v>
      </c>
      <c r="F1604" s="146" t="n">
        <v>26</v>
      </c>
    </row>
    <row r="1605" ht="32" customHeight="1">
      <c r="A1605" s="146" t="str">
        <v>TPAS</v>
      </c>
      <c r="B1605" s="146" t="str">
        <v>2025</v>
      </c>
      <c r="C1605" s="146" t="str">
        <v>1</v>
      </c>
      <c r="D1605" s="146" t="str">
        <v>ELIMINADO</v>
      </c>
      <c r="E1605" s="146" t="str">
        <v>23 - RETIRO - RETRACTO</v>
      </c>
      <c r="F1605" s="146" t="n">
        <v>13</v>
      </c>
    </row>
    <row r="1606" ht="32" customHeight="1">
      <c r="A1606" s="146" t="str">
        <v>TPAS</v>
      </c>
      <c r="B1606" s="146" t="str">
        <v>2025</v>
      </c>
      <c r="C1606" s="146" t="str">
        <v>1</v>
      </c>
      <c r="D1606" s="146" t="str">
        <v>ELIMINADO</v>
      </c>
      <c r="E1606" s="146" t="str">
        <v>24 - CAMBIO DE CARRERA</v>
      </c>
      <c r="F1606" s="146" t="n">
        <v>8</v>
      </c>
    </row>
    <row r="1607" ht="32" customHeight="1">
      <c r="A1607" s="146" t="str">
        <v>TPAS</v>
      </c>
      <c r="B1607" s="146" t="str">
        <v>2025</v>
      </c>
      <c r="C1607" s="146" t="str">
        <v>1</v>
      </c>
      <c r="D1607" s="146" t="str">
        <v>ELIMINADO</v>
      </c>
      <c r="E1607" s="146" t="str">
        <v>7 - NO RENUEVA MATRICULA</v>
      </c>
      <c r="F1607" s="146" t="n">
        <v>9</v>
      </c>
    </row>
    <row r="1608" ht="32" customHeight="1">
      <c r="A1608" s="146" t="str">
        <v>TPAS</v>
      </c>
      <c r="B1608" s="146" t="str">
        <v>2025</v>
      </c>
      <c r="C1608" s="146" t="str">
        <v>1</v>
      </c>
      <c r="D1608" s="146" t="str">
        <v>ELIMINADO</v>
      </c>
      <c r="E1608" s="146" t="str">
        <v>9 - RECHAZO ACTUALIZACION DE PLAN 2024</v>
      </c>
      <c r="F1608" s="146" t="n">
        <v>1</v>
      </c>
    </row>
    <row r="1609" ht="32" customHeight="1">
      <c r="A1609" s="146" t="str">
        <v>TPAS</v>
      </c>
      <c r="B1609" s="146" t="str">
        <v>2025</v>
      </c>
      <c r="C1609" s="146" t="str">
        <v>1</v>
      </c>
      <c r="D1609" s="146" t="str">
        <v>SUSPENDIDO</v>
      </c>
      <c r="E1609" s="146" t="str">
        <v>2 - SUSPENSIÓN TEMPORAL</v>
      </c>
      <c r="F1609" s="146" t="n">
        <v>11</v>
      </c>
    </row>
    <row r="1610" ht="32" customHeight="1">
      <c r="A1610" s="146" t="str">
        <v>TPAS</v>
      </c>
      <c r="B1610" s="146" t="str">
        <v>2025</v>
      </c>
      <c r="C1610" s="146" t="str">
        <v>1</v>
      </c>
      <c r="D1610" s="146" t="str">
        <v>TITULADO</v>
      </c>
      <c r="E1610" s="146" t="str">
        <v>31 - TITULADO APROBADO</v>
      </c>
      <c r="F1610" s="146" t="n">
        <v>56</v>
      </c>
    </row>
    <row r="1611" ht="32" customHeight="1">
      <c r="A1611" s="146" t="str">
        <v>TPAS</v>
      </c>
      <c r="B1611" s="146" t="str">
        <v>2025</v>
      </c>
      <c r="C1611" s="146" t="str">
        <v>1</v>
      </c>
      <c r="D1611" s="146" t="str">
        <v>VIGENTE</v>
      </c>
      <c r="E1611" s="146" t="str">
        <v>1 - ALUMNO REGULAR</v>
      </c>
      <c r="F1611" s="146" t="n">
        <v>23</v>
      </c>
    </row>
    <row r="1612" ht="32" customHeight="1">
      <c r="A1612" s="146" t="str">
        <v>TPAS</v>
      </c>
      <c r="B1612" s="146" t="str">
        <v>2025</v>
      </c>
      <c r="C1612" s="146" t="str">
        <v>1</v>
      </c>
      <c r="D1612" s="146" t="str">
        <v>VIGENTE</v>
      </c>
      <c r="E1612" s="146" t="str">
        <v>20 - VIGENTE SIN ACTIVIDAD ACADEMICA</v>
      </c>
      <c r="F1612" s="146" t="n">
        <v>24</v>
      </c>
    </row>
    <row r="1613" ht="32" customHeight="1">
      <c r="A1613" s="146" t="str">
        <v>TPAS</v>
      </c>
      <c r="B1613" s="146" t="str">
        <v>2025</v>
      </c>
      <c r="C1613" s="146" t="str">
        <v>1</v>
      </c>
      <c r="D1613" s="146" t="str">
        <v>VIGENTE</v>
      </c>
      <c r="E1613" s="146" t="str">
        <v>38 - REINCORPORACION DE ACTIVIDADES</v>
      </c>
      <c r="F1613" s="146" t="n">
        <v>3</v>
      </c>
    </row>
    <row r="1614" ht="32" customHeight="1">
      <c r="A1614" s="146" t="str">
        <v>TPAS</v>
      </c>
      <c r="B1614" s="146" t="str">
        <v>2025</v>
      </c>
      <c r="C1614" s="146" t="str">
        <v>1</v>
      </c>
      <c r="D1614" s="146" t="str">
        <v>VIGENTE</v>
      </c>
      <c r="E1614" s="146" t="str">
        <v>49 - CAMBIO DE JORNADA</v>
      </c>
      <c r="F1614" s="146" t="n">
        <v>1</v>
      </c>
    </row>
    <row r="1615" ht="32" customHeight="1">
      <c r="A1615" s="146" t="str">
        <v>TPAS</v>
      </c>
      <c r="B1615" s="146" t="str">
        <v>2025</v>
      </c>
      <c r="C1615" s="146" t="str">
        <v>2</v>
      </c>
      <c r="D1615" s="146" t="str">
        <v>ELIMINADO</v>
      </c>
      <c r="E1615" s="146" t="str">
        <v>11 - RENUNCIA POST INICIO CLASES</v>
      </c>
      <c r="F1615" s="146" t="n">
        <v>3</v>
      </c>
    </row>
    <row r="1616" ht="32" customHeight="1">
      <c r="A1616" s="146" t="str">
        <v>TPAS</v>
      </c>
      <c r="B1616" s="146" t="str">
        <v>2025</v>
      </c>
      <c r="C1616" s="146" t="str">
        <v>2</v>
      </c>
      <c r="D1616" s="146" t="str">
        <v>ELIMINADO</v>
      </c>
      <c r="E1616" s="146" t="str">
        <v>23 - RETIRO - RETRACTO</v>
      </c>
      <c r="F1616" s="146" t="n">
        <v>1</v>
      </c>
    </row>
    <row r="1617" ht="32" customHeight="1">
      <c r="A1617" s="146" t="str">
        <v>TPAS</v>
      </c>
      <c r="B1617" s="146" t="str">
        <v>2025</v>
      </c>
      <c r="C1617" s="146" t="str">
        <v>2</v>
      </c>
      <c r="D1617" s="146" t="str">
        <v>ELIMINADO</v>
      </c>
      <c r="E1617" s="146" t="str">
        <v>7 - NO RENUEVA MATRICULA</v>
      </c>
      <c r="F1617" s="146" t="n">
        <v>2</v>
      </c>
    </row>
    <row r="1618" ht="32" customHeight="1">
      <c r="A1618" s="146" t="str">
        <v>TPAS</v>
      </c>
      <c r="B1618" s="146" t="str">
        <v>2025</v>
      </c>
      <c r="C1618" s="146" t="str">
        <v>2</v>
      </c>
      <c r="D1618" s="146" t="str">
        <v>VIGENTE</v>
      </c>
      <c r="E1618" s="146" t="str">
        <v>1 - ALUMNO REGULAR</v>
      </c>
      <c r="F1618" s="146" t="n">
        <v>6</v>
      </c>
    </row>
    <row r="1619" ht="32" customHeight="1">
      <c r="A1619" s="146" t="str">
        <v>TPAS</v>
      </c>
      <c r="B1619" s="146" t="str">
        <v>2025</v>
      </c>
      <c r="C1619" s="146" t="str">
        <v>3</v>
      </c>
      <c r="D1619" s="146" t="str">
        <v>ELIMINADO</v>
      </c>
      <c r="E1619" s="146" t="str">
        <v>7 - NO RENUEVA MATRICULA</v>
      </c>
      <c r="F1619" s="146" t="n">
        <v>2</v>
      </c>
    </row>
    <row r="1620" ht="32" customHeight="1">
      <c r="A1620" s="146" t="str">
        <v>TPAS</v>
      </c>
      <c r="B1620" s="146" t="str">
        <v>2025</v>
      </c>
      <c r="C1620" s="146" t="str">
        <v>3</v>
      </c>
      <c r="D1620" s="146" t="str">
        <v>SUSPENDIDO</v>
      </c>
      <c r="E1620" s="146" t="str">
        <v>2 - SUSPENSIÓN TEMPORAL</v>
      </c>
      <c r="F1620" s="146" t="n">
        <v>2</v>
      </c>
    </row>
    <row r="1621" ht="32" customHeight="1">
      <c r="A1621" s="146" t="str">
        <v>TPAS</v>
      </c>
      <c r="B1621" s="146" t="str">
        <v>2025</v>
      </c>
      <c r="C1621" s="146" t="str">
        <v>3</v>
      </c>
      <c r="D1621" s="146" t="str">
        <v>TITULADO</v>
      </c>
      <c r="E1621" s="146" t="str">
        <v>31 - TITULADO APROBADO</v>
      </c>
      <c r="F1621" s="146" t="n">
        <v>2</v>
      </c>
    </row>
    <row r="1622" ht="32" customHeight="1">
      <c r="A1622" s="146" t="str">
        <v>TPAS</v>
      </c>
      <c r="B1622" s="146" t="str">
        <v>2025</v>
      </c>
      <c r="C1622" s="146" t="str">
        <v>3</v>
      </c>
      <c r="D1622" s="146" t="str">
        <v>VIGENTE</v>
      </c>
      <c r="E1622" s="146" t="str">
        <v>1 - ALUMNO REGULAR</v>
      </c>
      <c r="F1622" s="146" t="n">
        <v>2</v>
      </c>
    </row>
    <row r="1623" ht="32" customHeight="1">
      <c r="A1623" s="146" t="str">
        <v>TPAS</v>
      </c>
      <c r="B1623" s="146" t="str">
        <v>2026</v>
      </c>
      <c r="C1623" s="146" t="str">
        <v>1</v>
      </c>
      <c r="D1623" s="146" t="str">
        <v>ELIMINADO</v>
      </c>
      <c r="E1623" s="146" t="str">
        <v>11 - RENUNCIA POST INICIO CLASES</v>
      </c>
      <c r="F1623" s="146" t="n">
        <v>12</v>
      </c>
    </row>
    <row r="1624" ht="32" customHeight="1">
      <c r="A1624" s="146" t="str">
        <v>TPAS</v>
      </c>
      <c r="B1624" s="146" t="str">
        <v>2026</v>
      </c>
      <c r="C1624" s="146" t="str">
        <v>1</v>
      </c>
      <c r="D1624" s="146" t="str">
        <v>ELIMINADO</v>
      </c>
      <c r="E1624" s="146" t="str">
        <v>23 - RETIRO - RETRACTO</v>
      </c>
      <c r="F1624" s="146" t="n">
        <v>16</v>
      </c>
    </row>
    <row r="1625" ht="32" customHeight="1">
      <c r="A1625" s="146" t="str">
        <v>TPAS</v>
      </c>
      <c r="B1625" s="146" t="str">
        <v>2026</v>
      </c>
      <c r="C1625" s="146" t="str">
        <v>1</v>
      </c>
      <c r="D1625" s="146" t="str">
        <v>ELIMINADO</v>
      </c>
      <c r="E1625" s="146" t="str">
        <v>24 - CAMBIO DE CARRERA</v>
      </c>
      <c r="F1625" s="146" t="n">
        <v>7</v>
      </c>
    </row>
    <row r="1626" ht="32" customHeight="1">
      <c r="A1626" s="146" t="str">
        <v>TPAS</v>
      </c>
      <c r="B1626" s="146" t="str">
        <v>2026</v>
      </c>
      <c r="C1626" s="146" t="str">
        <v>1</v>
      </c>
      <c r="D1626" s="146" t="str">
        <v>ELIMINADO</v>
      </c>
      <c r="E1626" s="146" t="str">
        <v>8 - ELIMINADO SIN ACTIVIDAD ACADÉMICA</v>
      </c>
      <c r="F1626" s="146" t="n">
        <v>14</v>
      </c>
    </row>
    <row r="1627" ht="32" customHeight="1">
      <c r="A1627" s="146" t="str">
        <v>TPAS</v>
      </c>
      <c r="B1627" s="146" t="str">
        <v>2026</v>
      </c>
      <c r="C1627" s="146" t="str">
        <v>1</v>
      </c>
      <c r="D1627" s="146" t="str">
        <v>SUSPENDIDO</v>
      </c>
      <c r="E1627" s="146" t="str">
        <v>2 - SUSPENSIÓN TEMPORAL</v>
      </c>
      <c r="F1627" s="146" t="n">
        <v>6</v>
      </c>
    </row>
    <row r="1628" ht="32" customHeight="1">
      <c r="A1628" s="146" t="str">
        <v>TPAS</v>
      </c>
      <c r="B1628" s="146" t="str">
        <v>2026</v>
      </c>
      <c r="C1628" s="146" t="str">
        <v>1</v>
      </c>
      <c r="D1628" s="146" t="str">
        <v>TITULADO</v>
      </c>
      <c r="E1628" s="146" t="str">
        <v>31 - TITULADO APROBADO</v>
      </c>
      <c r="F1628" s="146" t="n">
        <v>72</v>
      </c>
    </row>
    <row r="1629" ht="32" customHeight="1">
      <c r="A1629" s="146" t="str">
        <v>TPAS</v>
      </c>
      <c r="B1629" s="146" t="str">
        <v>2026</v>
      </c>
      <c r="C1629" s="146" t="str">
        <v>1</v>
      </c>
      <c r="D1629" s="146" t="str">
        <v>VIGENTE</v>
      </c>
      <c r="E1629" s="146" t="str">
        <v>1 - ALUMNO REGULAR</v>
      </c>
      <c r="F1629" s="146" t="n">
        <v>154</v>
      </c>
    </row>
    <row r="1630" ht="32" customHeight="1">
      <c r="A1630" s="146" t="str">
        <v>TPAS</v>
      </c>
      <c r="B1630" s="146" t="str">
        <v>2026</v>
      </c>
      <c r="C1630" s="146" t="str">
        <v>1</v>
      </c>
      <c r="D1630" s="146" t="str">
        <v>VIGENTE</v>
      </c>
      <c r="E1630" s="146" t="str">
        <v>38 - REINCORPORACION DE ACTIVIDADES</v>
      </c>
      <c r="F1630" s="146" t="n">
        <v>6</v>
      </c>
    </row>
    <row r="1631" ht="32" customHeight="1">
      <c r="A1631" s="146" t="str">
        <v>TPAS</v>
      </c>
      <c r="B1631" s="146" t="str">
        <v>2026</v>
      </c>
      <c r="C1631" s="146" t="str">
        <v>1</v>
      </c>
      <c r="D1631" s="146" t="str">
        <v>VIGENTE</v>
      </c>
      <c r="E1631" s="146" t="str">
        <v>49 - CAMBIO DE JORNADA</v>
      </c>
      <c r="F1631" s="146" t="n">
        <v>11</v>
      </c>
    </row>
    <row r="1632" ht="32" customHeight="1">
      <c r="A1632" s="146" t="str">
        <v>TPAS</v>
      </c>
      <c r="B1632" s="146" t="str">
        <v>2026</v>
      </c>
      <c r="C1632" s="146" t="str">
        <v>2</v>
      </c>
      <c r="D1632" s="146" t="str">
        <v>ELIMINADO</v>
      </c>
      <c r="E1632" s="146" t="str">
        <v>11 - RENUNCIA POST INICIO CLASES</v>
      </c>
      <c r="F1632" s="146" t="n">
        <v>1</v>
      </c>
    </row>
    <row r="1633" ht="32" customHeight="1">
      <c r="A1633" s="146" t="str">
        <v>TPAS</v>
      </c>
      <c r="B1633" s="146" t="str">
        <v>2026</v>
      </c>
      <c r="C1633" s="146" t="str">
        <v>2</v>
      </c>
      <c r="D1633" s="146" t="str">
        <v>ELIMINADO</v>
      </c>
      <c r="E1633" s="146" t="str">
        <v>23 - RETIRO - RETRACTO</v>
      </c>
      <c r="F1633" s="146" t="n">
        <v>2</v>
      </c>
    </row>
    <row r="1634" ht="32" customHeight="1">
      <c r="A1634" s="146" t="str">
        <v>TPAS</v>
      </c>
      <c r="B1634" s="146" t="str">
        <v>2026</v>
      </c>
      <c r="C1634" s="146" t="str">
        <v>2</v>
      </c>
      <c r="D1634" s="146" t="str">
        <v>ELIMINADO</v>
      </c>
      <c r="E1634" s="146" t="str">
        <v>24 - CAMBIO DE CARRERA</v>
      </c>
      <c r="F1634" s="146" t="n">
        <v>1</v>
      </c>
    </row>
    <row r="1635" ht="32" customHeight="1">
      <c r="A1635" s="146" t="str">
        <v>TPAS</v>
      </c>
      <c r="B1635" s="146" t="str">
        <v>2026</v>
      </c>
      <c r="C1635" s="146" t="str">
        <v>2</v>
      </c>
      <c r="D1635" s="146" t="str">
        <v>TITULADO</v>
      </c>
      <c r="E1635" s="146" t="str">
        <v>31 - TITULADO APROBADO</v>
      </c>
      <c r="F1635" s="146" t="n">
        <v>7</v>
      </c>
    </row>
    <row r="1636" ht="32" customHeight="1">
      <c r="A1636" s="146" t="str">
        <v>TPAS</v>
      </c>
      <c r="B1636" s="146" t="str">
        <v>2026</v>
      </c>
      <c r="C1636" s="146" t="str">
        <v>2</v>
      </c>
      <c r="D1636" s="146" t="str">
        <v>VIGENTE</v>
      </c>
      <c r="E1636" s="146" t="str">
        <v>1 - ALUMNO REGULAR</v>
      </c>
      <c r="F1636" s="146" t="n">
        <v>31</v>
      </c>
    </row>
    <row r="1637" ht="32" customHeight="1">
      <c r="A1637" s="146" t="str">
        <v>TPAS</v>
      </c>
      <c r="B1637" s="146" t="str">
        <v>2026</v>
      </c>
      <c r="C1637" s="146" t="str">
        <v>2</v>
      </c>
      <c r="D1637" s="146" t="str">
        <v>VIGENTE</v>
      </c>
      <c r="E1637" s="146" t="str">
        <v>38 - REINCORPORACION DE ACTIVIDADES</v>
      </c>
      <c r="F1637" s="146" t="n">
        <v>1</v>
      </c>
    </row>
    <row r="1638" ht="32" customHeight="1">
      <c r="A1638" s="146" t="str">
        <v>TPAS</v>
      </c>
      <c r="B1638" s="146" t="str">
        <v>2026</v>
      </c>
      <c r="C1638" s="146" t="str">
        <v>3</v>
      </c>
      <c r="D1638" s="146" t="str">
        <v>ELIMINADO</v>
      </c>
      <c r="E1638" s="146" t="str">
        <v>23 - RETIRO - RETRACTO</v>
      </c>
      <c r="F1638" s="146" t="n">
        <v>4</v>
      </c>
    </row>
    <row r="1639" ht="32" customHeight="1">
      <c r="A1639" s="146" t="str">
        <v>TPAS</v>
      </c>
      <c r="B1639" s="146" t="str">
        <v>2026</v>
      </c>
      <c r="C1639" s="146" t="str">
        <v>3</v>
      </c>
      <c r="D1639" s="146" t="str">
        <v>ELIMINADO</v>
      </c>
      <c r="E1639" s="146" t="str">
        <v>24 - CAMBIO DE CARRERA</v>
      </c>
      <c r="F1639" s="146" t="n">
        <v>1</v>
      </c>
    </row>
    <row r="1640" ht="32" customHeight="1">
      <c r="A1640" s="146" t="str">
        <v>TPAS</v>
      </c>
      <c r="B1640" s="146" t="str">
        <v>2026</v>
      </c>
      <c r="C1640" s="146" t="str">
        <v>3</v>
      </c>
      <c r="D1640" s="146" t="str">
        <v>VIGENTE</v>
      </c>
      <c r="E1640" s="146" t="str">
        <v>1 - ALUMNO REGULAR</v>
      </c>
      <c r="F1640" s="146" t="n">
        <v>40</v>
      </c>
    </row>
    <row r="1641" ht="32" customHeight="1">
      <c r="A1641" s="146" t="str">
        <v>TPAS</v>
      </c>
      <c r="B1641" s="146" t="str">
        <v>2026</v>
      </c>
      <c r="C1641" s="146" t="str">
        <v>3</v>
      </c>
      <c r="D1641" s="146" t="str">
        <v>VIGENTE</v>
      </c>
      <c r="E1641" s="146" t="str">
        <v>38 - REINCORPORACION DE ACTIVIDADES</v>
      </c>
      <c r="F1641" s="146" t="n">
        <v>2</v>
      </c>
    </row>
    <row r="1642" ht="32" customHeight="1">
      <c r="A1642" s="146" t="str">
        <v>TPAS</v>
      </c>
      <c r="B1642" s="146" t="str">
        <v>2027</v>
      </c>
      <c r="C1642" s="146" t="str">
        <v>1</v>
      </c>
      <c r="D1642" s="146" t="str">
        <v>VIGENTE</v>
      </c>
      <c r="E1642" s="146" t="str">
        <v>1 - ALUMNO REGULAR</v>
      </c>
      <c r="F1642" s="146" t="n">
        <v>5</v>
      </c>
    </row>
    <row r="1643" ht="32" customHeight="1">
      <c r="A1643" s="146" t="str">
        <v>TPCRE</v>
      </c>
      <c r="B1643" s="146" t="str">
        <v>2013</v>
      </c>
      <c r="C1643" s="146" t="str">
        <v>1</v>
      </c>
      <c r="D1643" s="146" t="str">
        <v>EGRESADO</v>
      </c>
      <c r="E1643" s="146" t="str">
        <v>13 - EGRESO</v>
      </c>
      <c r="F1643" s="146" t="n">
        <v>2</v>
      </c>
    </row>
    <row r="1644" ht="32" customHeight="1">
      <c r="A1644" s="146" t="str">
        <v>TPCRE</v>
      </c>
      <c r="B1644" s="146" t="str">
        <v>2013</v>
      </c>
      <c r="C1644" s="146" t="str">
        <v>1</v>
      </c>
      <c r="D1644" s="146" t="str">
        <v>ELIMINADO</v>
      </c>
      <c r="E1644" s="146" t="str">
        <v>23 - RETIRO - RETRACTO</v>
      </c>
      <c r="F1644" s="146" t="n">
        <v>1</v>
      </c>
    </row>
    <row r="1645" ht="32" customHeight="1">
      <c r="A1645" s="146" t="str">
        <v>TPCRE</v>
      </c>
      <c r="B1645" s="146" t="str">
        <v>2013</v>
      </c>
      <c r="C1645" s="146" t="str">
        <v>1</v>
      </c>
      <c r="D1645" s="146" t="str">
        <v>ELIMINADO</v>
      </c>
      <c r="E1645" s="146" t="str">
        <v>24 - CAMBIO DE CARRERA</v>
      </c>
      <c r="F1645" s="146" t="n">
        <v>63</v>
      </c>
    </row>
    <row r="1646" ht="32" customHeight="1">
      <c r="A1646" s="146" t="str">
        <v>TPCRE</v>
      </c>
      <c r="B1646" s="146" t="str">
        <v>2013</v>
      </c>
      <c r="C1646" s="146" t="str">
        <v>1</v>
      </c>
      <c r="D1646" s="146" t="str">
        <v>ELIMINADO</v>
      </c>
      <c r="E1646" s="146" t="str">
        <v>3 - ELIMINACION AUTOMATICA</v>
      </c>
      <c r="F1646" s="146" t="n">
        <v>4</v>
      </c>
    </row>
    <row r="1647" ht="32" customHeight="1">
      <c r="A1647" s="146" t="str">
        <v>TPCRE</v>
      </c>
      <c r="B1647" s="146" t="str">
        <v>2013</v>
      </c>
      <c r="C1647" s="146" t="str">
        <v>1</v>
      </c>
      <c r="D1647" s="146" t="str">
        <v>ELIMINADO</v>
      </c>
      <c r="E1647" s="146" t="str">
        <v>38 - REINCORPORACION DE ACTIVIDADES</v>
      </c>
      <c r="F1647" s="146" t="n">
        <v>2</v>
      </c>
    </row>
    <row r="1648" ht="32" customHeight="1">
      <c r="A1648" s="146" t="str">
        <v>TPCRE</v>
      </c>
      <c r="B1648" s="146" t="str">
        <v>2013</v>
      </c>
      <c r="C1648" s="146" t="str">
        <v>1</v>
      </c>
      <c r="D1648" s="146" t="str">
        <v>ELIMINADO</v>
      </c>
      <c r="E1648" s="146" t="str">
        <v>49 - CAMBIO DE JORNADA</v>
      </c>
      <c r="F1648" s="146" t="n">
        <v>1</v>
      </c>
    </row>
    <row r="1649" ht="32" customHeight="1">
      <c r="A1649" s="146" t="str">
        <v>TPCRE</v>
      </c>
      <c r="B1649" s="146" t="str">
        <v>2013</v>
      </c>
      <c r="C1649" s="146" t="str">
        <v>1</v>
      </c>
      <c r="D1649" s="146" t="str">
        <v>ELIMINADO</v>
      </c>
      <c r="E1649" s="146" t="str">
        <v>5 - RENUNCIA ENTRE PERIODOS</v>
      </c>
      <c r="F1649" s="146" t="n">
        <v>1</v>
      </c>
    </row>
    <row r="1650" ht="32" customHeight="1">
      <c r="A1650" s="146" t="str">
        <v>TPCRE</v>
      </c>
      <c r="B1650" s="146" t="str">
        <v>2013</v>
      </c>
      <c r="C1650" s="146" t="str">
        <v>1</v>
      </c>
      <c r="D1650" s="146" t="str">
        <v>TITULADO</v>
      </c>
      <c r="E1650" s="146" t="str">
        <v>31 - TITULADO APROBADO</v>
      </c>
      <c r="F1650" s="146" t="n">
        <v>12</v>
      </c>
    </row>
    <row r="1651" ht="32" customHeight="1">
      <c r="A1651" s="146" t="str">
        <v>TPCRE</v>
      </c>
      <c r="B1651" s="146" t="str">
        <v>2013</v>
      </c>
      <c r="C1651" s="146" t="str">
        <v>2</v>
      </c>
      <c r="D1651" s="146" t="str">
        <v>ELIMINADO</v>
      </c>
      <c r="E1651" s="146" t="str">
        <v>24 - CAMBIO DE CARRERA</v>
      </c>
      <c r="F1651" s="146" t="n">
        <v>10</v>
      </c>
    </row>
    <row r="1652" ht="32" customHeight="1">
      <c r="A1652" s="146" t="str">
        <v>TPCRE</v>
      </c>
      <c r="B1652" s="146" t="str">
        <v>2013</v>
      </c>
      <c r="C1652" s="146" t="str">
        <v>2</v>
      </c>
      <c r="D1652" s="146" t="str">
        <v>ELIMINADO</v>
      </c>
      <c r="E1652" s="146" t="str">
        <v>49 - CAMBIO DE JORNADA</v>
      </c>
      <c r="F1652" s="146" t="n">
        <v>1</v>
      </c>
    </row>
    <row r="1653" ht="32" customHeight="1">
      <c r="A1653" s="146" t="str">
        <v>TPCRE</v>
      </c>
      <c r="B1653" s="146" t="str">
        <v>2013</v>
      </c>
      <c r="C1653" s="146" t="str">
        <v>2</v>
      </c>
      <c r="D1653" s="146" t="str">
        <v>TITULADO</v>
      </c>
      <c r="E1653" s="146" t="str">
        <v>31 - TITULADO APROBADO</v>
      </c>
      <c r="F1653" s="146" t="n">
        <v>4</v>
      </c>
    </row>
    <row r="1654" ht="32" customHeight="1">
      <c r="A1654" s="146" t="str">
        <v>TPCRE</v>
      </c>
      <c r="B1654" s="146" t="str">
        <v>2014</v>
      </c>
      <c r="C1654" s="146" t="str">
        <v>1</v>
      </c>
      <c r="D1654" s="146" t="str">
        <v>ELIMINADO</v>
      </c>
      <c r="E1654" s="146" t="str">
        <v>24 - CAMBIO DE CARRERA</v>
      </c>
      <c r="F1654" s="146" t="n">
        <v>66</v>
      </c>
    </row>
    <row r="1655" ht="32" customHeight="1">
      <c r="A1655" s="146" t="str">
        <v>TPCRE</v>
      </c>
      <c r="B1655" s="146" t="str">
        <v>2014</v>
      </c>
      <c r="C1655" s="146" t="str">
        <v>1</v>
      </c>
      <c r="D1655" s="146" t="str">
        <v>ELIMINADO</v>
      </c>
      <c r="E1655" s="146" t="str">
        <v>3 - ELIMINACION AUTOMATICA</v>
      </c>
      <c r="F1655" s="146" t="n">
        <v>8</v>
      </c>
    </row>
    <row r="1656" ht="32" customHeight="1">
      <c r="A1656" s="146" t="str">
        <v>TPCRE</v>
      </c>
      <c r="B1656" s="146" t="str">
        <v>2014</v>
      </c>
      <c r="C1656" s="146" t="str">
        <v>1</v>
      </c>
      <c r="D1656" s="146" t="str">
        <v>ELIMINADO</v>
      </c>
      <c r="E1656" s="146" t="str">
        <v>49 - CAMBIO DE JORNADA</v>
      </c>
      <c r="F1656" s="146" t="n">
        <v>4</v>
      </c>
    </row>
    <row r="1657" ht="32" customHeight="1">
      <c r="A1657" s="146" t="str">
        <v>TPCRE</v>
      </c>
      <c r="B1657" s="146" t="str">
        <v>2014</v>
      </c>
      <c r="C1657" s="146" t="str">
        <v>1</v>
      </c>
      <c r="D1657" s="146" t="str">
        <v>ELIMINADO</v>
      </c>
      <c r="E1657" s="146" t="str">
        <v>5 - RENUNCIA ENTRE PERIODOS</v>
      </c>
      <c r="F1657" s="146" t="n">
        <v>3</v>
      </c>
    </row>
    <row r="1658" ht="32" customHeight="1">
      <c r="A1658" s="146" t="str">
        <v>TPCRE</v>
      </c>
      <c r="B1658" s="146" t="str">
        <v>2014</v>
      </c>
      <c r="C1658" s="146" t="str">
        <v>1</v>
      </c>
      <c r="D1658" s="146" t="str">
        <v>TITULADO</v>
      </c>
      <c r="E1658" s="146" t="str">
        <v>31 - TITULADO APROBADO</v>
      </c>
      <c r="F1658" s="146" t="n">
        <v>17</v>
      </c>
    </row>
    <row r="1659" ht="32" customHeight="1">
      <c r="A1659" s="146" t="str">
        <v>TPCRE</v>
      </c>
      <c r="B1659" s="146" t="str">
        <v>2014</v>
      </c>
      <c r="C1659" s="146" t="str">
        <v>2</v>
      </c>
      <c r="D1659" s="146" t="str">
        <v>EGRESADO</v>
      </c>
      <c r="E1659" s="146" t="str">
        <v>13 - EGRESO</v>
      </c>
      <c r="F1659" s="146" t="n">
        <v>1</v>
      </c>
    </row>
    <row r="1660" ht="32" customHeight="1">
      <c r="A1660" s="146" t="str">
        <v>TPCRE</v>
      </c>
      <c r="B1660" s="146" t="str">
        <v>2014</v>
      </c>
      <c r="C1660" s="146" t="str">
        <v>2</v>
      </c>
      <c r="D1660" s="146" t="str">
        <v>ELIMINADO</v>
      </c>
      <c r="E1660" s="146" t="str">
        <v>24 - CAMBIO DE CARRERA</v>
      </c>
      <c r="F1660" s="146" t="n">
        <v>4</v>
      </c>
    </row>
    <row r="1661" ht="32" customHeight="1">
      <c r="A1661" s="146" t="str">
        <v>TPCRE</v>
      </c>
      <c r="B1661" s="146" t="str">
        <v>2014</v>
      </c>
      <c r="C1661" s="146" t="str">
        <v>2</v>
      </c>
      <c r="D1661" s="146" t="str">
        <v>ELIMINADO</v>
      </c>
      <c r="E1661" s="146" t="str">
        <v>3 - ELIMINACION AUTOMATICA</v>
      </c>
      <c r="F1661" s="146" t="n">
        <v>1</v>
      </c>
    </row>
    <row r="1662" ht="32" customHeight="1">
      <c r="A1662" s="146" t="str">
        <v>TPCRE</v>
      </c>
      <c r="B1662" s="146" t="str">
        <v>2014</v>
      </c>
      <c r="C1662" s="146" t="str">
        <v>2</v>
      </c>
      <c r="D1662" s="146" t="str">
        <v>TITULADO</v>
      </c>
      <c r="E1662" s="146" t="str">
        <v>31 - TITULADO APROBADO</v>
      </c>
      <c r="F1662" s="146" t="n">
        <v>4</v>
      </c>
    </row>
    <row r="1663" ht="32" customHeight="1">
      <c r="A1663" s="146" t="str">
        <v>TPCRE</v>
      </c>
      <c r="B1663" s="146" t="str">
        <v>2015</v>
      </c>
      <c r="C1663" s="146" t="str">
        <v>1</v>
      </c>
      <c r="D1663" s="146" t="str">
        <v>ELIMINADO</v>
      </c>
      <c r="E1663" s="146" t="str">
        <v>24 - CAMBIO DE CARRERA</v>
      </c>
      <c r="F1663" s="146" t="n">
        <v>45</v>
      </c>
    </row>
    <row r="1664" ht="32" customHeight="1">
      <c r="A1664" s="146" t="str">
        <v>TPCRE</v>
      </c>
      <c r="B1664" s="146" t="str">
        <v>2015</v>
      </c>
      <c r="C1664" s="146" t="str">
        <v>1</v>
      </c>
      <c r="D1664" s="146" t="str">
        <v>ELIMINADO</v>
      </c>
      <c r="E1664" s="146" t="str">
        <v>3 - ELIMINACION AUTOMATICA</v>
      </c>
      <c r="F1664" s="146" t="n">
        <v>1</v>
      </c>
    </row>
    <row r="1665" ht="32" customHeight="1">
      <c r="A1665" s="146" t="str">
        <v>TPCRE</v>
      </c>
      <c r="B1665" s="146" t="str">
        <v>2015</v>
      </c>
      <c r="C1665" s="146" t="str">
        <v>1</v>
      </c>
      <c r="D1665" s="146" t="str">
        <v>ELIMINADO</v>
      </c>
      <c r="E1665" s="146" t="str">
        <v>38 - REINCORPORACION DE ACTIVIDADES</v>
      </c>
      <c r="F1665" s="146" t="n">
        <v>1</v>
      </c>
    </row>
    <row r="1666" ht="32" customHeight="1">
      <c r="A1666" s="146" t="str">
        <v>TPCRE</v>
      </c>
      <c r="B1666" s="146" t="str">
        <v>2015</v>
      </c>
      <c r="C1666" s="146" t="str">
        <v>1</v>
      </c>
      <c r="D1666" s="146" t="str">
        <v>ELIMINADO</v>
      </c>
      <c r="E1666" s="146" t="str">
        <v>49 - CAMBIO DE JORNADA</v>
      </c>
      <c r="F1666" s="146" t="n">
        <v>3</v>
      </c>
    </row>
    <row r="1667" ht="32" customHeight="1">
      <c r="A1667" s="146" t="str">
        <v>TPCRE</v>
      </c>
      <c r="B1667" s="146" t="str">
        <v>2015</v>
      </c>
      <c r="C1667" s="146" t="str">
        <v>1</v>
      </c>
      <c r="D1667" s="146" t="str">
        <v>ELIMINADO</v>
      </c>
      <c r="E1667" s="146" t="str">
        <v>5 - RENUNCIA ENTRE PERIODOS</v>
      </c>
      <c r="F1667" s="146" t="n">
        <v>1</v>
      </c>
    </row>
    <row r="1668" ht="32" customHeight="1">
      <c r="A1668" s="146" t="str">
        <v>TPCRE</v>
      </c>
      <c r="B1668" s="146" t="str">
        <v>2015</v>
      </c>
      <c r="C1668" s="146" t="str">
        <v>1</v>
      </c>
      <c r="D1668" s="146" t="str">
        <v>ELIMINADO</v>
      </c>
      <c r="E1668" s="146" t="str">
        <v>7 - NO RENUEVA MATRICULA</v>
      </c>
      <c r="F1668" s="146" t="n">
        <v>1</v>
      </c>
    </row>
    <row r="1669" ht="32" customHeight="1">
      <c r="A1669" s="146" t="str">
        <v>TPCRE</v>
      </c>
      <c r="B1669" s="146" t="str">
        <v>2015</v>
      </c>
      <c r="C1669" s="146" t="str">
        <v>1</v>
      </c>
      <c r="D1669" s="146" t="str">
        <v>TITULADO</v>
      </c>
      <c r="E1669" s="146" t="str">
        <v>31 - TITULADO APROBADO</v>
      </c>
      <c r="F1669" s="146" t="n">
        <v>27</v>
      </c>
    </row>
    <row r="1670" ht="32" customHeight="1">
      <c r="A1670" s="146" t="str">
        <v>TPCRE</v>
      </c>
      <c r="B1670" s="146" t="str">
        <v>2015</v>
      </c>
      <c r="C1670" s="146" t="str">
        <v>2</v>
      </c>
      <c r="D1670" s="146" t="str">
        <v>ELIMINADO</v>
      </c>
      <c r="E1670" s="146" t="str">
        <v>1 - ALUMNO REGULAR</v>
      </c>
      <c r="F1670" s="146" t="n">
        <v>6</v>
      </c>
    </row>
    <row r="1671" ht="32" customHeight="1">
      <c r="A1671" s="146" t="str">
        <v>TPCRE</v>
      </c>
      <c r="B1671" s="146" t="str">
        <v>2015</v>
      </c>
      <c r="C1671" s="146" t="str">
        <v>2</v>
      </c>
      <c r="D1671" s="146" t="str">
        <v>ELIMINADO</v>
      </c>
      <c r="E1671" s="146" t="str">
        <v>24 - CAMBIO DE CARRERA</v>
      </c>
      <c r="F1671" s="146" t="n">
        <v>1</v>
      </c>
    </row>
    <row r="1672" ht="32" customHeight="1">
      <c r="A1672" s="146" t="str">
        <v>TPCRE</v>
      </c>
      <c r="B1672" s="146" t="str">
        <v>2015</v>
      </c>
      <c r="C1672" s="146" t="str">
        <v>2</v>
      </c>
      <c r="D1672" s="146" t="str">
        <v>ELIMINADO</v>
      </c>
      <c r="E1672" s="146" t="str">
        <v>49 - CAMBIO DE JORNADA</v>
      </c>
      <c r="F1672" s="146" t="n">
        <v>1</v>
      </c>
    </row>
    <row r="1673" ht="32" customHeight="1">
      <c r="A1673" s="146" t="str">
        <v>TPCRE</v>
      </c>
      <c r="B1673" s="146" t="str">
        <v>2015</v>
      </c>
      <c r="C1673" s="146" t="str">
        <v>2</v>
      </c>
      <c r="D1673" s="146" t="str">
        <v>TITULADO</v>
      </c>
      <c r="E1673" s="146" t="str">
        <v>31 - TITULADO APROBADO</v>
      </c>
      <c r="F1673" s="146" t="n">
        <v>3</v>
      </c>
    </row>
    <row r="1674" ht="32" customHeight="1">
      <c r="A1674" s="146" t="str">
        <v>TPCRE</v>
      </c>
      <c r="B1674" s="146" t="str">
        <v>2016</v>
      </c>
      <c r="C1674" s="146" t="str">
        <v>1</v>
      </c>
      <c r="D1674" s="146" t="str">
        <v>ELIMINADO</v>
      </c>
      <c r="E1674" s="146" t="str">
        <v>24 - CAMBIO DE CARRERA</v>
      </c>
      <c r="F1674" s="146" t="n">
        <v>2</v>
      </c>
    </row>
    <row r="1675" ht="32" customHeight="1">
      <c r="A1675" s="146" t="str">
        <v>TPCRE</v>
      </c>
      <c r="B1675" s="146" t="str">
        <v>2016</v>
      </c>
      <c r="C1675" s="146" t="str">
        <v>1</v>
      </c>
      <c r="D1675" s="146" t="str">
        <v>ELIMINADO</v>
      </c>
      <c r="E1675" s="146" t="str">
        <v>3 - ELIMINACION AUTOMATICA</v>
      </c>
      <c r="F1675" s="146" t="n">
        <v>43</v>
      </c>
    </row>
    <row r="1676" ht="32" customHeight="1">
      <c r="A1676" s="146" t="str">
        <v>TPCRE</v>
      </c>
      <c r="B1676" s="146" t="str">
        <v>2016</v>
      </c>
      <c r="C1676" s="146" t="str">
        <v>1</v>
      </c>
      <c r="D1676" s="146" t="str">
        <v>ELIMINADO</v>
      </c>
      <c r="E1676" s="146" t="str">
        <v>7 - NO RENUEVA MATRICULA</v>
      </c>
      <c r="F1676" s="146" t="n">
        <v>7</v>
      </c>
    </row>
    <row r="1677" ht="32" customHeight="1">
      <c r="A1677" s="146" t="str">
        <v>TPCRE</v>
      </c>
      <c r="B1677" s="146" t="str">
        <v>2016</v>
      </c>
      <c r="C1677" s="146" t="str">
        <v>1</v>
      </c>
      <c r="D1677" s="146" t="str">
        <v>TITULADO</v>
      </c>
      <c r="E1677" s="146" t="str">
        <v>31 - TITULADO APROBADO</v>
      </c>
      <c r="F1677" s="146" t="n">
        <v>26</v>
      </c>
    </row>
    <row r="1678" ht="32" customHeight="1">
      <c r="A1678" s="146" t="str">
        <v>TPCRE</v>
      </c>
      <c r="B1678" s="146" t="str">
        <v>2016</v>
      </c>
      <c r="C1678" s="146" t="str">
        <v>2</v>
      </c>
      <c r="D1678" s="146" t="str">
        <v>ELIMINADO</v>
      </c>
      <c r="E1678" s="146" t="str">
        <v>1 - ALUMNO REGULAR</v>
      </c>
      <c r="F1678" s="146" t="n">
        <v>5</v>
      </c>
    </row>
    <row r="1679" ht="32" customHeight="1">
      <c r="A1679" s="146" t="str">
        <v>TPCRE</v>
      </c>
      <c r="B1679" s="146" t="str">
        <v>2016</v>
      </c>
      <c r="C1679" s="146" t="str">
        <v>2</v>
      </c>
      <c r="D1679" s="146" t="str">
        <v>ELIMINADO</v>
      </c>
      <c r="E1679" s="146" t="str">
        <v>24 - CAMBIO DE CARRERA</v>
      </c>
      <c r="F1679" s="146" t="n">
        <v>2</v>
      </c>
    </row>
    <row r="1680" ht="32" customHeight="1">
      <c r="A1680" s="146" t="str">
        <v>TPCRE</v>
      </c>
      <c r="B1680" s="146" t="str">
        <v>2016</v>
      </c>
      <c r="C1680" s="146" t="str">
        <v>2</v>
      </c>
      <c r="D1680" s="146" t="str">
        <v>ELIMINADO</v>
      </c>
      <c r="E1680" s="146" t="str">
        <v>38 - REINCORPORACION DE ACTIVIDADES</v>
      </c>
      <c r="F1680" s="146" t="n">
        <v>1</v>
      </c>
    </row>
    <row r="1681" ht="32" customHeight="1">
      <c r="A1681" s="146" t="str">
        <v>TPCRE</v>
      </c>
      <c r="B1681" s="146" t="str">
        <v>2016</v>
      </c>
      <c r="C1681" s="146" t="str">
        <v>2</v>
      </c>
      <c r="D1681" s="146" t="str">
        <v>ELIMINADO</v>
      </c>
      <c r="E1681" s="146" t="str">
        <v>49 - CAMBIO DE JORNADA</v>
      </c>
      <c r="F1681" s="146" t="n">
        <v>1</v>
      </c>
    </row>
    <row r="1682" ht="32" customHeight="1">
      <c r="A1682" s="146" t="str">
        <v>TPCRE</v>
      </c>
      <c r="B1682" s="146" t="str">
        <v>2016</v>
      </c>
      <c r="C1682" s="146" t="str">
        <v>2</v>
      </c>
      <c r="D1682" s="146" t="str">
        <v>TITULADO</v>
      </c>
      <c r="E1682" s="146" t="str">
        <v>31 - TITULADO APROBADO</v>
      </c>
      <c r="F1682" s="146" t="n">
        <v>4</v>
      </c>
    </row>
    <row r="1683" ht="32" customHeight="1">
      <c r="A1683" s="146" t="str">
        <v>TPCRE</v>
      </c>
      <c r="B1683" s="146" t="str">
        <v>2017</v>
      </c>
      <c r="C1683" s="146" t="str">
        <v>1</v>
      </c>
      <c r="D1683" s="146" t="str">
        <v>ELIMINADO</v>
      </c>
      <c r="E1683" s="146" t="str">
        <v>23 - RETIRO - RETRACTO</v>
      </c>
      <c r="F1683" s="146" t="n">
        <v>2</v>
      </c>
    </row>
    <row r="1684" ht="32" customHeight="1">
      <c r="A1684" s="146" t="str">
        <v>TPCRE</v>
      </c>
      <c r="B1684" s="146" t="str">
        <v>2017</v>
      </c>
      <c r="C1684" s="146" t="str">
        <v>1</v>
      </c>
      <c r="D1684" s="146" t="str">
        <v>ELIMINADO</v>
      </c>
      <c r="E1684" s="146" t="str">
        <v>24 - CAMBIO DE CARRERA</v>
      </c>
      <c r="F1684" s="146" t="n">
        <v>7</v>
      </c>
    </row>
    <row r="1685" ht="32" customHeight="1">
      <c r="A1685" s="146" t="str">
        <v>TPCRE</v>
      </c>
      <c r="B1685" s="146" t="str">
        <v>2017</v>
      </c>
      <c r="C1685" s="146" t="str">
        <v>1</v>
      </c>
      <c r="D1685" s="146" t="str">
        <v>ELIMINADO</v>
      </c>
      <c r="E1685" s="146" t="str">
        <v>3 - ELIMINACION AUTOMATICA</v>
      </c>
      <c r="F1685" s="146" t="n">
        <v>60</v>
      </c>
    </row>
    <row r="1686" ht="32" customHeight="1">
      <c r="A1686" s="146" t="str">
        <v>TPCRE</v>
      </c>
      <c r="B1686" s="146" t="str">
        <v>2017</v>
      </c>
      <c r="C1686" s="146" t="str">
        <v>1</v>
      </c>
      <c r="D1686" s="146" t="str">
        <v>TITULADO</v>
      </c>
      <c r="E1686" s="146" t="str">
        <v>31 - TITULADO APROBADO</v>
      </c>
      <c r="F1686" s="146" t="n">
        <v>23</v>
      </c>
    </row>
    <row r="1687" ht="32" customHeight="1">
      <c r="A1687" s="146" t="str">
        <v>TPCRE</v>
      </c>
      <c r="B1687" s="146" t="str">
        <v>2018</v>
      </c>
      <c r="C1687" s="146" t="str">
        <v>1</v>
      </c>
      <c r="D1687" s="146" t="str">
        <v>ELIMINADO</v>
      </c>
      <c r="E1687" s="146" t="str">
        <v>23 - RETIRO - RETRACTO</v>
      </c>
      <c r="F1687" s="146" t="n">
        <v>4</v>
      </c>
    </row>
    <row r="1688" ht="32" customHeight="1">
      <c r="A1688" s="146" t="str">
        <v>TPCRE</v>
      </c>
      <c r="B1688" s="146" t="str">
        <v>2018</v>
      </c>
      <c r="C1688" s="146" t="str">
        <v>1</v>
      </c>
      <c r="D1688" s="146" t="str">
        <v>ELIMINADO</v>
      </c>
      <c r="E1688" s="146" t="str">
        <v>24 - CAMBIO DE CARRERA</v>
      </c>
      <c r="F1688" s="146" t="n">
        <v>2</v>
      </c>
    </row>
    <row r="1689" ht="32" customHeight="1">
      <c r="A1689" s="146" t="str">
        <v>TPCRE</v>
      </c>
      <c r="B1689" s="146" t="str">
        <v>2018</v>
      </c>
      <c r="C1689" s="146" t="str">
        <v>1</v>
      </c>
      <c r="D1689" s="146" t="str">
        <v>ELIMINADO</v>
      </c>
      <c r="E1689" s="146" t="str">
        <v>3 - ELIMINACION AUTOMATICA</v>
      </c>
      <c r="F1689" s="146" t="n">
        <v>38</v>
      </c>
    </row>
    <row r="1690" ht="32" customHeight="1">
      <c r="A1690" s="146" t="str">
        <v>TPCRE</v>
      </c>
      <c r="B1690" s="146" t="str">
        <v>2018</v>
      </c>
      <c r="C1690" s="146" t="str">
        <v>1</v>
      </c>
      <c r="D1690" s="146" t="str">
        <v>TITULADO</v>
      </c>
      <c r="E1690" s="146" t="str">
        <v>31 - TITULADO APROBADO</v>
      </c>
      <c r="F1690" s="146" t="n">
        <v>20</v>
      </c>
    </row>
    <row r="1691" ht="32" customHeight="1">
      <c r="A1691" s="146" t="str">
        <v>TPCRE</v>
      </c>
      <c r="B1691" s="146" t="str">
        <v>2018</v>
      </c>
      <c r="C1691" s="146" t="str">
        <v>2</v>
      </c>
      <c r="D1691" s="146" t="str">
        <v>TITULADO</v>
      </c>
      <c r="E1691" s="146" t="str">
        <v>31 - TITULADO APROBADO</v>
      </c>
      <c r="F1691" s="146" t="n">
        <v>1</v>
      </c>
    </row>
    <row r="1692" ht="32" customHeight="1">
      <c r="A1692" s="146" t="str">
        <v>TPCRE</v>
      </c>
      <c r="B1692" s="146" t="str">
        <v>2019</v>
      </c>
      <c r="C1692" s="146" t="str">
        <v>1</v>
      </c>
      <c r="D1692" s="146" t="str">
        <v>ELIMINADO</v>
      </c>
      <c r="E1692" s="146" t="str">
        <v>1 - ALUMNO REGULAR</v>
      </c>
      <c r="F1692" s="146" t="n">
        <v>32</v>
      </c>
    </row>
    <row r="1693" ht="32" customHeight="1">
      <c r="A1693" s="146" t="str">
        <v>TPCRE</v>
      </c>
      <c r="B1693" s="146" t="str">
        <v>2019</v>
      </c>
      <c r="C1693" s="146" t="str">
        <v>1</v>
      </c>
      <c r="D1693" s="146" t="str">
        <v>ELIMINADO</v>
      </c>
      <c r="E1693" s="146" t="str">
        <v>23 - RETIRO - RETRACTO</v>
      </c>
      <c r="F1693" s="146" t="n">
        <v>7</v>
      </c>
    </row>
    <row r="1694" ht="32" customHeight="1">
      <c r="A1694" s="146" t="str">
        <v>TPCRE</v>
      </c>
      <c r="B1694" s="146" t="str">
        <v>2019</v>
      </c>
      <c r="C1694" s="146" t="str">
        <v>1</v>
      </c>
      <c r="D1694" s="146" t="str">
        <v>ELIMINADO</v>
      </c>
      <c r="E1694" s="146" t="str">
        <v>24 - CAMBIO DE CARRERA</v>
      </c>
      <c r="F1694" s="146" t="n">
        <v>2</v>
      </c>
    </row>
    <row r="1695" ht="32" customHeight="1">
      <c r="A1695" s="146" t="str">
        <v>TPCRE</v>
      </c>
      <c r="B1695" s="146" t="str">
        <v>2019</v>
      </c>
      <c r="C1695" s="146" t="str">
        <v>1</v>
      </c>
      <c r="D1695" s="146" t="str">
        <v>ELIMINADO</v>
      </c>
      <c r="E1695" s="146" t="str">
        <v>3 - ELIMINACION AUTOMATICA</v>
      </c>
      <c r="F1695" s="146" t="n">
        <v>4</v>
      </c>
    </row>
    <row r="1696" ht="32" customHeight="1">
      <c r="A1696" s="146" t="str">
        <v>TPCRE</v>
      </c>
      <c r="B1696" s="146" t="str">
        <v>2019</v>
      </c>
      <c r="C1696" s="146" t="str">
        <v>1</v>
      </c>
      <c r="D1696" s="146" t="str">
        <v>ELIMINADO</v>
      </c>
      <c r="E1696" s="146" t="str">
        <v>38 - REINCORPORACION DE ACTIVIDADES</v>
      </c>
      <c r="F1696" s="146" t="n">
        <v>2</v>
      </c>
    </row>
    <row r="1697" ht="32" customHeight="1">
      <c r="A1697" s="146" t="str">
        <v>TPCRE</v>
      </c>
      <c r="B1697" s="146" t="str">
        <v>2019</v>
      </c>
      <c r="C1697" s="146" t="str">
        <v>1</v>
      </c>
      <c r="D1697" s="146" t="str">
        <v>ELIMINADO</v>
      </c>
      <c r="E1697" s="146" t="str">
        <v>41 - RETIRO SIN AVISO </v>
      </c>
      <c r="F1697" s="146" t="n">
        <v>1</v>
      </c>
    </row>
    <row r="1698" ht="32" customHeight="1">
      <c r="A1698" s="146" t="str">
        <v>TPCRE</v>
      </c>
      <c r="B1698" s="146" t="str">
        <v>2019</v>
      </c>
      <c r="C1698" s="146" t="str">
        <v>1</v>
      </c>
      <c r="D1698" s="146" t="str">
        <v>ELIMINADO</v>
      </c>
      <c r="E1698" s="146" t="str">
        <v>49 - CAMBIO DE JORNADA</v>
      </c>
      <c r="F1698" s="146" t="n">
        <v>2</v>
      </c>
    </row>
    <row r="1699" ht="32" customHeight="1">
      <c r="A1699" s="146" t="str">
        <v>TPCRE</v>
      </c>
      <c r="B1699" s="146" t="str">
        <v>2019</v>
      </c>
      <c r="C1699" s="146" t="str">
        <v>1</v>
      </c>
      <c r="D1699" s="146" t="str">
        <v>TITULADO</v>
      </c>
      <c r="E1699" s="146" t="str">
        <v>31 - TITULADO APROBADO</v>
      </c>
      <c r="F1699" s="146" t="n">
        <v>14</v>
      </c>
    </row>
    <row r="1700" ht="32" customHeight="1">
      <c r="A1700" s="146" t="str">
        <v>TPCRE</v>
      </c>
      <c r="B1700" s="146" t="str">
        <v>2019</v>
      </c>
      <c r="C1700" s="146" t="str">
        <v>2</v>
      </c>
      <c r="D1700" s="146" t="str">
        <v>ELIMINADO</v>
      </c>
      <c r="E1700" s="146" t="str">
        <v>1 - ALUMNO REGULAR</v>
      </c>
      <c r="F1700" s="146" t="n">
        <v>2</v>
      </c>
    </row>
    <row r="1701" ht="32" customHeight="1">
      <c r="A1701" s="146" t="str">
        <v>TPCRE</v>
      </c>
      <c r="B1701" s="146" t="str">
        <v>2019</v>
      </c>
      <c r="C1701" s="146" t="str">
        <v>2</v>
      </c>
      <c r="D1701" s="146" t="str">
        <v>ELIMINADO</v>
      </c>
      <c r="E1701" s="146" t="str">
        <v>38 - REINCORPORACION DE ACTIVIDADES</v>
      </c>
      <c r="F1701" s="146" t="n">
        <v>2</v>
      </c>
    </row>
    <row r="1702" ht="32" customHeight="1">
      <c r="A1702" s="146" t="str">
        <v>TPCRE</v>
      </c>
      <c r="B1702" s="146" t="str">
        <v>2020</v>
      </c>
      <c r="C1702" s="146" t="str">
        <v>1</v>
      </c>
      <c r="D1702" s="146" t="str">
        <v>ELIMINADO</v>
      </c>
      <c r="E1702" s="146" t="str">
        <v>23 - RETIRO - RETRACTO</v>
      </c>
      <c r="F1702" s="146" t="n">
        <v>3</v>
      </c>
    </row>
    <row r="1703" ht="32" customHeight="1">
      <c r="A1703" s="146" t="str">
        <v>TPCRE</v>
      </c>
      <c r="B1703" s="146" t="str">
        <v>2020</v>
      </c>
      <c r="C1703" s="146" t="str">
        <v>1</v>
      </c>
      <c r="D1703" s="146" t="str">
        <v>ELIMINADO</v>
      </c>
      <c r="E1703" s="146" t="str">
        <v>24 - CAMBIO DE CARRERA</v>
      </c>
      <c r="F1703" s="146" t="n">
        <v>3</v>
      </c>
    </row>
    <row r="1704" ht="32" customHeight="1">
      <c r="A1704" s="146" t="str">
        <v>TPCRE</v>
      </c>
      <c r="B1704" s="146" t="str">
        <v>2020</v>
      </c>
      <c r="C1704" s="146" t="str">
        <v>1</v>
      </c>
      <c r="D1704" s="146" t="str">
        <v>ELIMINADO</v>
      </c>
      <c r="E1704" s="146" t="str">
        <v>3 - ELIMINACION AUTOMATICA</v>
      </c>
      <c r="F1704" s="146" t="n">
        <v>19</v>
      </c>
    </row>
    <row r="1705" ht="32" customHeight="1">
      <c r="A1705" s="146" t="str">
        <v>TPCRE</v>
      </c>
      <c r="B1705" s="146" t="str">
        <v>2020</v>
      </c>
      <c r="C1705" s="146" t="str">
        <v>1</v>
      </c>
      <c r="D1705" s="146" t="str">
        <v>SUSPENDIDO</v>
      </c>
      <c r="E1705" s="146" t="str">
        <v>2 - SUSPENSIÓN TEMPORAL</v>
      </c>
      <c r="F1705" s="146" t="n">
        <v>1</v>
      </c>
    </row>
    <row r="1706" ht="32" customHeight="1">
      <c r="A1706" s="146" t="str">
        <v>TPCRE</v>
      </c>
      <c r="B1706" s="146" t="str">
        <v>2020</v>
      </c>
      <c r="C1706" s="146" t="str">
        <v>1</v>
      </c>
      <c r="D1706" s="146" t="str">
        <v>TITULADO</v>
      </c>
      <c r="E1706" s="146" t="str">
        <v>31 - TITULADO APROBADO</v>
      </c>
      <c r="F1706" s="146" t="n">
        <v>18</v>
      </c>
    </row>
    <row r="1707" ht="32" customHeight="1">
      <c r="A1707" s="146" t="str">
        <v>TPCRE</v>
      </c>
      <c r="B1707" s="146" t="str">
        <v>2020</v>
      </c>
      <c r="C1707" s="146" t="str">
        <v>2</v>
      </c>
      <c r="D1707" s="146" t="str">
        <v>TITULADO</v>
      </c>
      <c r="E1707" s="146" t="str">
        <v>31 - TITULADO APROBADO</v>
      </c>
      <c r="F1707" s="146" t="n">
        <v>1</v>
      </c>
    </row>
    <row r="1708" ht="32" customHeight="1">
      <c r="A1708" s="146" t="str">
        <v>TPCRE</v>
      </c>
      <c r="B1708" s="146" t="str">
        <v>2021</v>
      </c>
      <c r="C1708" s="146" t="str">
        <v>1</v>
      </c>
      <c r="D1708" s="146" t="str">
        <v>ELIMINADO</v>
      </c>
      <c r="E1708" s="146" t="str">
        <v>1 - ALUMNO REGULAR</v>
      </c>
      <c r="F1708" s="146" t="n">
        <v>3</v>
      </c>
    </row>
    <row r="1709" ht="32" customHeight="1">
      <c r="A1709" s="146" t="str">
        <v>TPCRE</v>
      </c>
      <c r="B1709" s="146" t="str">
        <v>2021</v>
      </c>
      <c r="C1709" s="146" t="str">
        <v>1</v>
      </c>
      <c r="D1709" s="146" t="str">
        <v>ELIMINADO</v>
      </c>
      <c r="E1709" s="146" t="str">
        <v>24 - CAMBIO DE CARRERA</v>
      </c>
      <c r="F1709" s="146" t="n">
        <v>3</v>
      </c>
    </row>
    <row r="1710" ht="32" customHeight="1">
      <c r="A1710" s="146" t="str">
        <v>TPCRE</v>
      </c>
      <c r="B1710" s="146" t="str">
        <v>2021</v>
      </c>
      <c r="C1710" s="146" t="str">
        <v>1</v>
      </c>
      <c r="D1710" s="146" t="str">
        <v>ELIMINADO</v>
      </c>
      <c r="E1710" s="146" t="str">
        <v>49 - CAMBIO DE JORNADA</v>
      </c>
      <c r="F1710" s="146" t="n">
        <v>1</v>
      </c>
    </row>
    <row r="1711" ht="32" customHeight="1">
      <c r="A1711" s="146" t="str">
        <v>TPCRE</v>
      </c>
      <c r="B1711" s="146" t="str">
        <v>2021</v>
      </c>
      <c r="C1711" s="146" t="str">
        <v>1</v>
      </c>
      <c r="D1711" s="146" t="str">
        <v>TITULADO</v>
      </c>
      <c r="E1711" s="146" t="str">
        <v>31 - TITULADO APROBADO</v>
      </c>
      <c r="F1711" s="146" t="n">
        <v>13</v>
      </c>
    </row>
    <row r="1712" ht="32" customHeight="1">
      <c r="A1712" s="146" t="str">
        <v>TPCRE</v>
      </c>
      <c r="B1712" s="146" t="str">
        <v>2022</v>
      </c>
      <c r="C1712" s="146" t="str">
        <v>1</v>
      </c>
      <c r="D1712" s="146" t="str">
        <v>ELIMINADO</v>
      </c>
      <c r="E1712" s="146" t="str">
        <v>1 - ALUMNO REGULAR</v>
      </c>
      <c r="F1712" s="146" t="n">
        <v>1</v>
      </c>
    </row>
    <row r="1713" ht="32" customHeight="1">
      <c r="A1713" s="146" t="str">
        <v>TPCRE</v>
      </c>
      <c r="B1713" s="146" t="str">
        <v>2022</v>
      </c>
      <c r="C1713" s="146" t="str">
        <v>1</v>
      </c>
      <c r="D1713" s="146" t="str">
        <v>ELIMINADO</v>
      </c>
      <c r="E1713" s="146" t="str">
        <v>24 - CAMBIO DE CARRERA</v>
      </c>
      <c r="F1713" s="146" t="n">
        <v>1</v>
      </c>
    </row>
    <row r="1714" ht="32" customHeight="1">
      <c r="A1714" s="146" t="str">
        <v>TPCRE</v>
      </c>
      <c r="B1714" s="146" t="str">
        <v>2022</v>
      </c>
      <c r="C1714" s="146" t="str">
        <v>1</v>
      </c>
      <c r="D1714" s="146" t="str">
        <v>TITULADO</v>
      </c>
      <c r="E1714" s="146" t="str">
        <v>31 - TITULADO APROBADO</v>
      </c>
      <c r="F1714" s="146" t="n">
        <v>2</v>
      </c>
    </row>
    <row r="1715" ht="32" customHeight="1">
      <c r="A1715" s="146" t="str">
        <v>TPCRE</v>
      </c>
      <c r="B1715" s="146" t="str">
        <v>2026</v>
      </c>
      <c r="C1715" s="146" t="str">
        <v>1</v>
      </c>
      <c r="D1715" s="146" t="str">
        <v>VIGENTE</v>
      </c>
      <c r="E1715" s="146" t="str">
        <v>38 - REINCORPORACION DE ACTIVIDADES</v>
      </c>
      <c r="F1715" s="146" t="n">
        <v>1</v>
      </c>
    </row>
    <row r="1716" ht="32" customHeight="1">
      <c r="A1716" s="146" t="str">
        <v>TPCREOL</v>
      </c>
      <c r="B1716" s="146" t="str">
        <v>2018</v>
      </c>
      <c r="C1716" s="146" t="str">
        <v>1</v>
      </c>
      <c r="D1716" s="146" t="str">
        <v>ELIMINADO</v>
      </c>
      <c r="E1716" s="146" t="str">
        <v>23 - RETIRO - RETRACTO</v>
      </c>
      <c r="F1716" s="146" t="n">
        <v>1</v>
      </c>
    </row>
    <row r="1717" ht="32" customHeight="1">
      <c r="A1717" s="146" t="str">
        <v>TPCREOL</v>
      </c>
      <c r="B1717" s="146" t="str">
        <v>2018</v>
      </c>
      <c r="C1717" s="146" t="str">
        <v>1</v>
      </c>
      <c r="D1717" s="146" t="str">
        <v>ELIMINADO</v>
      </c>
      <c r="E1717" s="146" t="str">
        <v>24 - CAMBIO DE CARRERA</v>
      </c>
      <c r="F1717" s="146" t="n">
        <v>1</v>
      </c>
    </row>
    <row r="1718" ht="32" customHeight="1">
      <c r="A1718" s="146" t="str">
        <v>TPCREOL</v>
      </c>
      <c r="B1718" s="146" t="str">
        <v>2018</v>
      </c>
      <c r="C1718" s="146" t="str">
        <v>1</v>
      </c>
      <c r="D1718" s="146" t="str">
        <v>ELIMINADO</v>
      </c>
      <c r="E1718" s="146" t="str">
        <v>3 - ELIMINACION AUTOMATICA</v>
      </c>
      <c r="F1718" s="146" t="n">
        <v>13</v>
      </c>
    </row>
    <row r="1719" ht="32" customHeight="1">
      <c r="A1719" s="146" t="str">
        <v>TPCREOL</v>
      </c>
      <c r="B1719" s="146" t="str">
        <v>2018</v>
      </c>
      <c r="C1719" s="146" t="str">
        <v>2</v>
      </c>
      <c r="D1719" s="146" t="str">
        <v>ELIMINADO</v>
      </c>
      <c r="E1719" s="146" t="str">
        <v>1 - ALUMNO REGULAR</v>
      </c>
      <c r="F1719" s="146" t="n">
        <v>5</v>
      </c>
    </row>
    <row r="1720" ht="32" customHeight="1">
      <c r="A1720" s="146" t="str">
        <v>TPCREOL</v>
      </c>
      <c r="B1720" s="146" t="str">
        <v>2018</v>
      </c>
      <c r="C1720" s="146" t="str">
        <v>2</v>
      </c>
      <c r="D1720" s="146" t="str">
        <v>ELIMINADO</v>
      </c>
      <c r="E1720" s="146" t="str">
        <v>24 - CAMBIO DE CARRERA</v>
      </c>
      <c r="F1720" s="146" t="n">
        <v>2</v>
      </c>
    </row>
    <row r="1721" ht="32" customHeight="1">
      <c r="A1721" s="146" t="str">
        <v>TPCREOL</v>
      </c>
      <c r="B1721" s="146" t="str">
        <v>2019</v>
      </c>
      <c r="C1721" s="146" t="str">
        <v>1</v>
      </c>
      <c r="D1721" s="146" t="str">
        <v>ELIMINADO</v>
      </c>
      <c r="E1721" s="146" t="str">
        <v>1 - ALUMNO REGULAR</v>
      </c>
      <c r="F1721" s="146" t="n">
        <v>8</v>
      </c>
    </row>
    <row r="1722" ht="32" customHeight="1">
      <c r="A1722" s="146" t="str">
        <v>TPCREOL</v>
      </c>
      <c r="B1722" s="146" t="str">
        <v>2019</v>
      </c>
      <c r="C1722" s="146" t="str">
        <v>1</v>
      </c>
      <c r="D1722" s="146" t="str">
        <v>ELIMINADO</v>
      </c>
      <c r="E1722" s="146" t="str">
        <v>24 - CAMBIO DE CARRERA</v>
      </c>
      <c r="F1722" s="146" t="n">
        <v>4</v>
      </c>
    </row>
    <row r="1723" ht="32" customHeight="1">
      <c r="A1723" s="146" t="str">
        <v>TPCREOL</v>
      </c>
      <c r="B1723" s="146" t="str">
        <v>2019</v>
      </c>
      <c r="C1723" s="146" t="str">
        <v>1</v>
      </c>
      <c r="D1723" s="146" t="str">
        <v>ELIMINADO</v>
      </c>
      <c r="E1723" s="146" t="str">
        <v>3 - ELIMINACION AUTOMATICA</v>
      </c>
      <c r="F1723" s="146" t="n">
        <v>1</v>
      </c>
    </row>
    <row r="1724" ht="32" customHeight="1">
      <c r="A1724" s="146" t="str">
        <v>TPCREOL</v>
      </c>
      <c r="B1724" s="146" t="str">
        <v>2019</v>
      </c>
      <c r="C1724" s="146" t="str">
        <v>1</v>
      </c>
      <c r="D1724" s="146" t="str">
        <v>TITULADO</v>
      </c>
      <c r="E1724" s="146" t="str">
        <v>31 - TITULADO APROBADO</v>
      </c>
      <c r="F1724" s="146" t="n">
        <v>2</v>
      </c>
    </row>
    <row r="1725" ht="32" customHeight="1">
      <c r="A1725" s="146" t="str">
        <v>TPCREOL</v>
      </c>
      <c r="B1725" s="146" t="str">
        <v>2019</v>
      </c>
      <c r="C1725" s="146" t="str">
        <v>2</v>
      </c>
      <c r="D1725" s="146" t="str">
        <v>ELIMINADO</v>
      </c>
      <c r="E1725" s="146" t="str">
        <v>1 - ALUMNO REGULAR</v>
      </c>
      <c r="F1725" s="146" t="n">
        <v>1</v>
      </c>
    </row>
    <row r="1726" ht="32" customHeight="1">
      <c r="A1726" s="146" t="str">
        <v>TPCREOL</v>
      </c>
      <c r="B1726" s="146" t="str">
        <v>2019</v>
      </c>
      <c r="C1726" s="146" t="str">
        <v>2</v>
      </c>
      <c r="D1726" s="146" t="str">
        <v>ELIMINADO</v>
      </c>
      <c r="E1726" s="146" t="str">
        <v>24 - CAMBIO DE CARRERA</v>
      </c>
      <c r="F1726" s="146" t="n">
        <v>1</v>
      </c>
    </row>
    <row r="1727" ht="32" customHeight="1">
      <c r="A1727" s="146" t="str">
        <v>TPCREOL</v>
      </c>
      <c r="B1727" s="146" t="str">
        <v>2020</v>
      </c>
      <c r="C1727" s="146" t="str">
        <v>1</v>
      </c>
      <c r="D1727" s="146" t="str">
        <v>ELIMINADO</v>
      </c>
      <c r="E1727" s="146" t="str">
        <v>3 - ELIMINACION AUTOMATICA</v>
      </c>
      <c r="F1727" s="146" t="n">
        <v>12</v>
      </c>
    </row>
    <row r="1728" ht="32" customHeight="1">
      <c r="A1728" s="146" t="str">
        <v>TPCREOL</v>
      </c>
      <c r="B1728" s="146" t="str">
        <v>2020</v>
      </c>
      <c r="C1728" s="146" t="str">
        <v>1</v>
      </c>
      <c r="D1728" s="146" t="str">
        <v>TITULADO</v>
      </c>
      <c r="E1728" s="146" t="str">
        <v>31 - TITULADO APROBADO</v>
      </c>
      <c r="F1728" s="146" t="n">
        <v>7</v>
      </c>
    </row>
    <row r="1729" ht="32" customHeight="1">
      <c r="A1729" s="146" t="str">
        <v>TPCREOL</v>
      </c>
      <c r="B1729" s="146" t="str">
        <v>2020</v>
      </c>
      <c r="C1729" s="146" t="str">
        <v>2</v>
      </c>
      <c r="D1729" s="146" t="str">
        <v>ELIMINADO</v>
      </c>
      <c r="E1729" s="146" t="str">
        <v>3 - ELIMINACION AUTOMATICA</v>
      </c>
      <c r="F1729" s="146" t="n">
        <v>1</v>
      </c>
    </row>
    <row r="1730" ht="32" customHeight="1">
      <c r="A1730" s="146" t="str">
        <v>TPCREOL</v>
      </c>
      <c r="B1730" s="146" t="str">
        <v>2021</v>
      </c>
      <c r="C1730" s="146" t="str">
        <v>1</v>
      </c>
      <c r="D1730" s="146" t="str">
        <v>ELIMINADO</v>
      </c>
      <c r="E1730" s="146" t="str">
        <v>1 - ALUMNO REGULAR</v>
      </c>
      <c r="F1730" s="146" t="n">
        <v>6</v>
      </c>
    </row>
    <row r="1731" ht="32" customHeight="1">
      <c r="A1731" s="146" t="str">
        <v>TPCREOL</v>
      </c>
      <c r="B1731" s="146" t="str">
        <v>2021</v>
      </c>
      <c r="C1731" s="146" t="str">
        <v>1</v>
      </c>
      <c r="D1731" s="146" t="str">
        <v>TITULADO</v>
      </c>
      <c r="E1731" s="146" t="str">
        <v>31 - TITULADO APROBADO</v>
      </c>
      <c r="F1731" s="146" t="n">
        <v>9</v>
      </c>
    </row>
    <row r="1732" ht="32" customHeight="1">
      <c r="A1732" s="146" t="str">
        <v>TPCREOL</v>
      </c>
      <c r="B1732" s="146" t="str">
        <v>2021</v>
      </c>
      <c r="C1732" s="146" t="str">
        <v>2</v>
      </c>
      <c r="D1732" s="146" t="str">
        <v>ELIMINADO</v>
      </c>
      <c r="E1732" s="146" t="str">
        <v>38 - REINCORPORACION DE ACTIVIDADES</v>
      </c>
      <c r="F1732" s="146" t="n">
        <v>1</v>
      </c>
    </row>
    <row r="1733" ht="32" customHeight="1">
      <c r="A1733" s="146" t="str">
        <v>TPCREOL</v>
      </c>
      <c r="B1733" s="146" t="str">
        <v>2022</v>
      </c>
      <c r="C1733" s="146" t="str">
        <v>1</v>
      </c>
      <c r="D1733" s="146" t="str">
        <v>TITULADO</v>
      </c>
      <c r="E1733" s="146" t="str">
        <v>31 - TITULADO APROBADO</v>
      </c>
      <c r="F1733" s="146" t="n">
        <v>1</v>
      </c>
    </row>
    <row r="1734" ht="32" customHeight="1">
      <c r="A1734" s="146" t="str">
        <v>TPRE</v>
      </c>
      <c r="B1734" s="146" t="str">
        <v>2026</v>
      </c>
      <c r="C1734" s="146" t="str">
        <v>1</v>
      </c>
      <c r="D1734" s="146" t="str">
        <v>ELIMINADO</v>
      </c>
      <c r="E1734" s="146" t="str">
        <v>11 - RENUNCIA POST INICIO CLASES</v>
      </c>
      <c r="F1734" s="146" t="n">
        <v>3</v>
      </c>
    </row>
    <row r="1735" ht="32" customHeight="1">
      <c r="A1735" s="146" t="str">
        <v>TPRE</v>
      </c>
      <c r="B1735" s="146" t="str">
        <v>2026</v>
      </c>
      <c r="C1735" s="146" t="str">
        <v>1</v>
      </c>
      <c r="D1735" s="146" t="str">
        <v>ELIMINADO</v>
      </c>
      <c r="E1735" s="146" t="str">
        <v>23 - RETIRO - RETRACTO</v>
      </c>
      <c r="F1735" s="146" t="n">
        <v>3</v>
      </c>
    </row>
    <row r="1736" ht="32" customHeight="1">
      <c r="A1736" s="146" t="str">
        <v>TPRE</v>
      </c>
      <c r="B1736" s="146" t="str">
        <v>2026</v>
      </c>
      <c r="C1736" s="146" t="str">
        <v>1</v>
      </c>
      <c r="D1736" s="146" t="str">
        <v>ELIMINADO</v>
      </c>
      <c r="E1736" s="146" t="str">
        <v>8 - ELIMINADO SIN ACTIVIDAD ACADÉMICA</v>
      </c>
      <c r="F1736" s="146" t="n">
        <v>13</v>
      </c>
    </row>
    <row r="1737" ht="32" customHeight="1">
      <c r="A1737" s="146" t="str">
        <v>TPRE</v>
      </c>
      <c r="B1737" s="146" t="str">
        <v>2026</v>
      </c>
      <c r="C1737" s="146" t="str">
        <v>1</v>
      </c>
      <c r="D1737" s="146" t="str">
        <v>VIGENTE</v>
      </c>
      <c r="E1737" s="146" t="str">
        <v>1 - ALUMNO REGULAR</v>
      </c>
      <c r="F1737" s="146" t="n">
        <v>15</v>
      </c>
    </row>
    <row r="1738" ht="32" customHeight="1">
      <c r="A1738" s="146" t="str">
        <v>TPRE</v>
      </c>
      <c r="B1738" s="146" t="str">
        <v>2027</v>
      </c>
      <c r="C1738" s="146" t="str">
        <v>1</v>
      </c>
      <c r="D1738" s="146" t="str">
        <v>VIGENTE</v>
      </c>
      <c r="E1738" s="146" t="str">
        <v>1 - ALUMNO REGULAR</v>
      </c>
      <c r="F1738" s="146" t="n">
        <v>2</v>
      </c>
    </row>
    <row r="1739" ht="32" customHeight="1">
      <c r="A1739" s="146" t="str">
        <v>TPRRE</v>
      </c>
      <c r="B1739" s="146" t="str">
        <v>2013</v>
      </c>
      <c r="C1739" s="146" t="str">
        <v>1</v>
      </c>
      <c r="D1739" s="146" t="str">
        <v>ELIMINADO</v>
      </c>
      <c r="E1739" s="146" t="str">
        <v>24 - CAMBIO DE CARRERA</v>
      </c>
      <c r="F1739" s="146" t="n">
        <v>14</v>
      </c>
    </row>
    <row r="1740" ht="32" customHeight="1">
      <c r="A1740" s="146" t="str">
        <v>TPRRE</v>
      </c>
      <c r="B1740" s="146" t="str">
        <v>2013</v>
      </c>
      <c r="C1740" s="146" t="str">
        <v>1</v>
      </c>
      <c r="D1740" s="146" t="str">
        <v>ELIMINADO</v>
      </c>
      <c r="E1740" s="146" t="str">
        <v>3 - ELIMINACION AUTOMATICA</v>
      </c>
      <c r="F1740" s="146" t="n">
        <v>1</v>
      </c>
    </row>
    <row r="1741" ht="32" customHeight="1">
      <c r="A1741" s="146" t="str">
        <v>TPRRE</v>
      </c>
      <c r="B1741" s="146" t="str">
        <v>2013</v>
      </c>
      <c r="C1741" s="146" t="str">
        <v>1</v>
      </c>
      <c r="D1741" s="146" t="str">
        <v>ELIMINADO</v>
      </c>
      <c r="E1741" s="146" t="str">
        <v>41 - RETIRO SIN AVISO </v>
      </c>
      <c r="F1741" s="146" t="n">
        <v>1</v>
      </c>
    </row>
    <row r="1742" ht="32" customHeight="1">
      <c r="A1742" s="146" t="str">
        <v>TPRRE</v>
      </c>
      <c r="B1742" s="146" t="str">
        <v>2013</v>
      </c>
      <c r="C1742" s="146" t="str">
        <v>2</v>
      </c>
      <c r="D1742" s="146" t="str">
        <v>ELIMINADO</v>
      </c>
      <c r="E1742" s="146" t="str">
        <v>24 - CAMBIO DE CARRERA</v>
      </c>
      <c r="F1742" s="146" t="n">
        <v>1</v>
      </c>
    </row>
    <row r="1743" ht="32" customHeight="1">
      <c r="A1743" s="146" t="str">
        <v>TPRRE</v>
      </c>
      <c r="B1743" s="146" t="str">
        <v>2014</v>
      </c>
      <c r="C1743" s="146" t="str">
        <v>1</v>
      </c>
      <c r="D1743" s="146" t="str">
        <v>ELIMINADO</v>
      </c>
      <c r="E1743" s="146" t="str">
        <v>23 - RETIRO - RETRACTO</v>
      </c>
      <c r="F1743" s="146" t="n">
        <v>1</v>
      </c>
    </row>
    <row r="1744" ht="32" customHeight="1">
      <c r="A1744" s="146" t="str">
        <v>TPRRE</v>
      </c>
      <c r="B1744" s="146" t="str">
        <v>2014</v>
      </c>
      <c r="C1744" s="146" t="str">
        <v>1</v>
      </c>
      <c r="D1744" s="146" t="str">
        <v>ELIMINADO</v>
      </c>
      <c r="E1744" s="146" t="str">
        <v>24 - CAMBIO DE CARRERA</v>
      </c>
      <c r="F1744" s="146" t="n">
        <v>8</v>
      </c>
    </row>
    <row r="1745" ht="32" customHeight="1">
      <c r="A1745" s="146" t="str">
        <v>TPRRE</v>
      </c>
      <c r="B1745" s="146" t="str">
        <v>2014</v>
      </c>
      <c r="C1745" s="146" t="str">
        <v>1</v>
      </c>
      <c r="D1745" s="146" t="str">
        <v>ELIMINADO</v>
      </c>
      <c r="E1745" s="146" t="str">
        <v>5 - RENUNCIA ENTRE PERIODOS</v>
      </c>
      <c r="F1745" s="146" t="n">
        <v>2</v>
      </c>
    </row>
    <row r="1746" ht="32" customHeight="1">
      <c r="A1746" s="146" t="str">
        <v>TPRRE</v>
      </c>
      <c r="B1746" s="146" t="str">
        <v>2015</v>
      </c>
      <c r="C1746" s="146" t="str">
        <v>1</v>
      </c>
      <c r="D1746" s="146" t="str">
        <v>ELIMINADO</v>
      </c>
      <c r="E1746" s="146" t="str">
        <v>49 - CAMBIO DE JORNADA</v>
      </c>
      <c r="F1746" s="146" t="n">
        <v>1</v>
      </c>
    </row>
    <row r="1747" ht="32" customHeight="1">
      <c r="A1747" s="146" t="str">
        <v>TPRRE</v>
      </c>
      <c r="B1747" s="146" t="str">
        <v>2015</v>
      </c>
      <c r="C1747" s="146" t="str">
        <v>1</v>
      </c>
      <c r="D1747" s="146" t="str">
        <v>ELIMINADO</v>
      </c>
      <c r="E1747" s="146" t="str">
        <v>5 - RENUNCIA ENTRE PERIODOS</v>
      </c>
      <c r="F1747" s="146" t="n">
        <v>2</v>
      </c>
    </row>
    <row r="1748" ht="32" customHeight="1">
      <c r="A1748" s="146" t="str">
        <v>TPRRE</v>
      </c>
      <c r="B1748" s="146" t="str">
        <v>2015</v>
      </c>
      <c r="C1748" s="146" t="str">
        <v>1</v>
      </c>
      <c r="D1748" s="146" t="str">
        <v>TITULADO</v>
      </c>
      <c r="E1748" s="146" t="str">
        <v>31 - TITULADO APROBADO</v>
      </c>
      <c r="F1748" s="146" t="n">
        <v>5</v>
      </c>
    </row>
    <row r="1749" ht="32" customHeight="1">
      <c r="A1749" s="146" t="str">
        <v>TPRRE</v>
      </c>
      <c r="B1749" s="146" t="str">
        <v>2016</v>
      </c>
      <c r="C1749" s="146" t="str">
        <v>1</v>
      </c>
      <c r="D1749" s="146" t="str">
        <v>ELIMINADO</v>
      </c>
      <c r="E1749" s="146" t="str">
        <v>3 - ELIMINACION AUTOMATICA</v>
      </c>
      <c r="F1749" s="146" t="n">
        <v>1</v>
      </c>
    </row>
    <row r="1750" ht="32" customHeight="1">
      <c r="A1750" s="146" t="str">
        <v>TPRRE</v>
      </c>
      <c r="B1750" s="146" t="str">
        <v>2016</v>
      </c>
      <c r="C1750" s="146" t="str">
        <v>1</v>
      </c>
      <c r="D1750" s="146" t="str">
        <v>TITULADO</v>
      </c>
      <c r="E1750" s="146" t="str">
        <v>31 - TITULADO APROBADO</v>
      </c>
      <c r="F1750" s="146" t="n">
        <v>4</v>
      </c>
    </row>
    <row r="1751" ht="32" customHeight="1">
      <c r="A1751" s="146" t="str">
        <v>TPRRE</v>
      </c>
      <c r="B1751" s="146" t="str">
        <v>2017</v>
      </c>
      <c r="C1751" s="146" t="str">
        <v>1</v>
      </c>
      <c r="D1751" s="146" t="str">
        <v>TITULADO</v>
      </c>
      <c r="E1751" s="146" t="str">
        <v>31 - TITULADO APROBADO</v>
      </c>
      <c r="F1751" s="146" t="n">
        <v>2</v>
      </c>
    </row>
    <row r="1752" ht="32" customHeight="1">
      <c r="A1752" s="146" t="str">
        <v>TPRRE</v>
      </c>
      <c r="B1752" s="146" t="str">
        <v>2017</v>
      </c>
      <c r="C1752" s="146" t="str">
        <v>2</v>
      </c>
      <c r="D1752" s="146" t="str">
        <v>TITULADO</v>
      </c>
      <c r="E1752" s="146" t="str">
        <v>31 - TITULADO APROBADO</v>
      </c>
      <c r="F1752" s="146" t="n">
        <v>1</v>
      </c>
    </row>
    <row r="1753" ht="32" customHeight="1">
      <c r="A1753" s="146" t="str">
        <v>TPRRE</v>
      </c>
      <c r="B1753" s="146" t="str">
        <v>2019</v>
      </c>
      <c r="C1753" s="146" t="str">
        <v>1</v>
      </c>
      <c r="D1753" s="146" t="str">
        <v>TITULADO</v>
      </c>
      <c r="E1753" s="146" t="str">
        <v>31 - TITULADO APROBADO</v>
      </c>
      <c r="F1753" s="146" t="n">
        <v>1</v>
      </c>
    </row>
    <row r="1754" ht="32" customHeight="1">
      <c r="A1754" s="146" t="str">
        <v>TRHU</v>
      </c>
      <c r="B1754" s="146" t="str">
        <v>2026</v>
      </c>
      <c r="C1754" s="146" t="str">
        <v>1</v>
      </c>
      <c r="D1754" s="146" t="str">
        <v>ELIMINADO</v>
      </c>
      <c r="E1754" s="146" t="str">
        <v>11 - RENUNCIA POST INICIO CLASES</v>
      </c>
      <c r="F1754" s="146" t="n">
        <v>14</v>
      </c>
    </row>
    <row r="1755" ht="32" customHeight="1">
      <c r="A1755" s="146" t="str">
        <v>TRHU</v>
      </c>
      <c r="B1755" s="146" t="str">
        <v>2026</v>
      </c>
      <c r="C1755" s="146" t="str">
        <v>1</v>
      </c>
      <c r="D1755" s="146" t="str">
        <v>ELIMINADO</v>
      </c>
      <c r="E1755" s="146" t="str">
        <v>23 - RETIRO - RETRACTO</v>
      </c>
      <c r="F1755" s="146" t="n">
        <v>9</v>
      </c>
    </row>
    <row r="1756" ht="32" customHeight="1">
      <c r="A1756" s="146" t="str">
        <v>TRHU</v>
      </c>
      <c r="B1756" s="146" t="str">
        <v>2026</v>
      </c>
      <c r="C1756" s="146" t="str">
        <v>1</v>
      </c>
      <c r="D1756" s="146" t="str">
        <v>ELIMINADO</v>
      </c>
      <c r="E1756" s="146" t="str">
        <v>24 - CAMBIO DE CARRERA</v>
      </c>
      <c r="F1756" s="146" t="n">
        <v>3</v>
      </c>
    </row>
    <row r="1757" ht="32" customHeight="1">
      <c r="A1757" s="146" t="str">
        <v>TRHU</v>
      </c>
      <c r="B1757" s="146" t="str">
        <v>2026</v>
      </c>
      <c r="C1757" s="146" t="str">
        <v>1</v>
      </c>
      <c r="D1757" s="146" t="str">
        <v>ELIMINADO</v>
      </c>
      <c r="E1757" s="146" t="str">
        <v>8 - ELIMINADO SIN ACTIVIDAD ACADÉMICA</v>
      </c>
      <c r="F1757" s="146" t="n">
        <v>13</v>
      </c>
    </row>
    <row r="1758" ht="32" customHeight="1">
      <c r="A1758" s="146" t="str">
        <v>TRHU</v>
      </c>
      <c r="B1758" s="146" t="str">
        <v>2026</v>
      </c>
      <c r="C1758" s="146" t="str">
        <v>1</v>
      </c>
      <c r="D1758" s="146" t="str">
        <v>VIGENTE</v>
      </c>
      <c r="E1758" s="146" t="str">
        <v>1 - ALUMNO REGULAR</v>
      </c>
      <c r="F1758" s="146" t="n">
        <v>24</v>
      </c>
    </row>
    <row r="1759" ht="32" customHeight="1">
      <c r="A1759" s="146" t="str">
        <v>TRHU</v>
      </c>
      <c r="B1759" s="146" t="str">
        <v>2026</v>
      </c>
      <c r="C1759" s="146" t="str">
        <v>2</v>
      </c>
      <c r="D1759" s="146" t="str">
        <v>ELIMINADO</v>
      </c>
      <c r="E1759" s="146" t="str">
        <v>11 - RENUNCIA POST INICIO CLASES</v>
      </c>
      <c r="F1759" s="146" t="n">
        <v>6</v>
      </c>
    </row>
    <row r="1760" ht="32" customHeight="1">
      <c r="A1760" s="146" t="str">
        <v>TRHU</v>
      </c>
      <c r="B1760" s="146" t="str">
        <v>2026</v>
      </c>
      <c r="C1760" s="146" t="str">
        <v>2</v>
      </c>
      <c r="D1760" s="146" t="str">
        <v>ELIMINADO</v>
      </c>
      <c r="E1760" s="146" t="str">
        <v>23 - RETIRO - RETRACTO</v>
      </c>
      <c r="F1760" s="146" t="n">
        <v>4</v>
      </c>
    </row>
    <row r="1761" ht="32" customHeight="1">
      <c r="A1761" s="146" t="str">
        <v>TRHU</v>
      </c>
      <c r="B1761" s="146" t="str">
        <v>2026</v>
      </c>
      <c r="C1761" s="146" t="str">
        <v>2</v>
      </c>
      <c r="D1761" s="146" t="str">
        <v>ELIMINADO</v>
      </c>
      <c r="E1761" s="146" t="str">
        <v>24 - CAMBIO DE CARRERA</v>
      </c>
      <c r="F1761" s="146" t="n">
        <v>3</v>
      </c>
    </row>
    <row r="1762" ht="32" customHeight="1">
      <c r="A1762" s="146" t="str">
        <v>TRHU</v>
      </c>
      <c r="B1762" s="146" t="str">
        <v>2026</v>
      </c>
      <c r="C1762" s="146" t="str">
        <v>2</v>
      </c>
      <c r="D1762" s="146" t="str">
        <v>VIGENTE</v>
      </c>
      <c r="E1762" s="146" t="str">
        <v>1 - ALUMNO REGULAR</v>
      </c>
      <c r="F1762" s="146" t="n">
        <v>13</v>
      </c>
    </row>
    <row r="1763" ht="32" customHeight="1">
      <c r="A1763" s="146" t="str">
        <v>TRHU</v>
      </c>
      <c r="B1763" s="146" t="str">
        <v>2027</v>
      </c>
      <c r="C1763" s="146" t="str">
        <v>1</v>
      </c>
      <c r="D1763" s="146" t="str">
        <v>VIGENTE</v>
      </c>
      <c r="E1763" s="146" t="str">
        <v>1 - ALUMNO REGULAR</v>
      </c>
      <c r="F1763" s="146" t="n">
        <v>3</v>
      </c>
    </row>
    <row r="1764" ht="32" customHeight="1">
      <c r="A1764" s="146" t="str">
        <v>TTMRE</v>
      </c>
      <c r="B1764" s="146" t="str">
        <v>2013</v>
      </c>
      <c r="C1764" s="146" t="str">
        <v>1</v>
      </c>
      <c r="D1764" s="146" t="str">
        <v>EGRESADO</v>
      </c>
      <c r="E1764" s="146" t="str">
        <v>13 - EGRESO</v>
      </c>
      <c r="F1764" s="146" t="n">
        <v>2</v>
      </c>
    </row>
    <row r="1765" ht="32" customHeight="1">
      <c r="A1765" s="146" t="str">
        <v>TTMRE</v>
      </c>
      <c r="B1765" s="146" t="str">
        <v>2013</v>
      </c>
      <c r="C1765" s="146" t="str">
        <v>1</v>
      </c>
      <c r="D1765" s="146" t="str">
        <v>ELIMINADO</v>
      </c>
      <c r="E1765" s="146" t="str">
        <v>23 - RETIRO - RETRACTO</v>
      </c>
      <c r="F1765" s="146" t="n">
        <v>5</v>
      </c>
    </row>
    <row r="1766" ht="32" customHeight="1">
      <c r="A1766" s="146" t="str">
        <v>TTMRE</v>
      </c>
      <c r="B1766" s="146" t="str">
        <v>2013</v>
      </c>
      <c r="C1766" s="146" t="str">
        <v>1</v>
      </c>
      <c r="D1766" s="146" t="str">
        <v>ELIMINADO</v>
      </c>
      <c r="E1766" s="146" t="str">
        <v>24 - CAMBIO DE CARRERA</v>
      </c>
      <c r="F1766" s="146" t="n">
        <v>88</v>
      </c>
    </row>
    <row r="1767" ht="32" customHeight="1">
      <c r="A1767" s="146" t="str">
        <v>TTMRE</v>
      </c>
      <c r="B1767" s="146" t="str">
        <v>2013</v>
      </c>
      <c r="C1767" s="146" t="str">
        <v>1</v>
      </c>
      <c r="D1767" s="146" t="str">
        <v>ELIMINADO</v>
      </c>
      <c r="E1767" s="146" t="str">
        <v>3 - ELIMINACION AUTOMATICA</v>
      </c>
      <c r="F1767" s="146" t="n">
        <v>1</v>
      </c>
    </row>
    <row r="1768" ht="32" customHeight="1">
      <c r="A1768" s="146" t="str">
        <v>TTMRE</v>
      </c>
      <c r="B1768" s="146" t="str">
        <v>2013</v>
      </c>
      <c r="C1768" s="146" t="str">
        <v>1</v>
      </c>
      <c r="D1768" s="146" t="str">
        <v>ELIMINADO</v>
      </c>
      <c r="E1768" s="146" t="str">
        <v>38 - REINCORPORACION DE ACTIVIDADES</v>
      </c>
      <c r="F1768" s="146" t="n">
        <v>4</v>
      </c>
    </row>
    <row r="1769" ht="32" customHeight="1">
      <c r="A1769" s="146" t="str">
        <v>TTMRE</v>
      </c>
      <c r="B1769" s="146" t="str">
        <v>2013</v>
      </c>
      <c r="C1769" s="146" t="str">
        <v>1</v>
      </c>
      <c r="D1769" s="146" t="str">
        <v>ELIMINADO</v>
      </c>
      <c r="E1769" s="146" t="str">
        <v>41 - RETIRO SIN AVISO </v>
      </c>
      <c r="F1769" s="146" t="n">
        <v>3</v>
      </c>
    </row>
    <row r="1770" ht="32" customHeight="1">
      <c r="A1770" s="146" t="str">
        <v>TTMRE</v>
      </c>
      <c r="B1770" s="146" t="str">
        <v>2013</v>
      </c>
      <c r="C1770" s="146" t="str">
        <v>1</v>
      </c>
      <c r="D1770" s="146" t="str">
        <v>ELIMINADO</v>
      </c>
      <c r="E1770" s="146" t="str">
        <v>5 - RENUNCIA ENTRE PERIODOS</v>
      </c>
      <c r="F1770" s="146" t="n">
        <v>1</v>
      </c>
    </row>
    <row r="1771" ht="32" customHeight="1">
      <c r="A1771" s="146" t="str">
        <v>TTMRE</v>
      </c>
      <c r="B1771" s="146" t="str">
        <v>2013</v>
      </c>
      <c r="C1771" s="146" t="str">
        <v>1</v>
      </c>
      <c r="D1771" s="146" t="str">
        <v>TITULADO</v>
      </c>
      <c r="E1771" s="146" t="str">
        <v>31 - TITULADO APROBADO</v>
      </c>
      <c r="F1771" s="146" t="n">
        <v>43</v>
      </c>
    </row>
    <row r="1772" ht="32" customHeight="1">
      <c r="A1772" s="146" t="str">
        <v>TTMRE</v>
      </c>
      <c r="B1772" s="146" t="str">
        <v>2013</v>
      </c>
      <c r="C1772" s="146" t="str">
        <v>1</v>
      </c>
      <c r="D1772" s="146" t="str">
        <v>TITULADO</v>
      </c>
      <c r="E1772" s="146" t="str">
        <v>42 - TITULACIÓN PRÁCTICA PROFESIONAL</v>
      </c>
      <c r="F1772" s="146" t="n">
        <v>1</v>
      </c>
    </row>
    <row r="1773" ht="32" customHeight="1">
      <c r="A1773" s="146" t="str">
        <v>TTMRE</v>
      </c>
      <c r="B1773" s="146" t="str">
        <v>2013</v>
      </c>
      <c r="C1773" s="146" t="str">
        <v>2</v>
      </c>
      <c r="D1773" s="146" t="str">
        <v>EGRESADO</v>
      </c>
      <c r="E1773" s="146" t="str">
        <v>13 - EGRESO</v>
      </c>
      <c r="F1773" s="146" t="n">
        <v>1</v>
      </c>
    </row>
    <row r="1774" ht="32" customHeight="1">
      <c r="A1774" s="146" t="str">
        <v>TTMRE</v>
      </c>
      <c r="B1774" s="146" t="str">
        <v>2013</v>
      </c>
      <c r="C1774" s="146" t="str">
        <v>2</v>
      </c>
      <c r="D1774" s="146" t="str">
        <v>ELIMINADO</v>
      </c>
      <c r="E1774" s="146" t="str">
        <v>24 - CAMBIO DE CARRERA</v>
      </c>
      <c r="F1774" s="146" t="n">
        <v>9</v>
      </c>
    </row>
    <row r="1775" ht="32" customHeight="1">
      <c r="A1775" s="146" t="str">
        <v>TTMRE</v>
      </c>
      <c r="B1775" s="146" t="str">
        <v>2013</v>
      </c>
      <c r="C1775" s="146" t="str">
        <v>2</v>
      </c>
      <c r="D1775" s="146" t="str">
        <v>ELIMINADO</v>
      </c>
      <c r="E1775" s="146" t="str">
        <v>3 - ELIMINACION AUTOMATICA</v>
      </c>
      <c r="F1775" s="146" t="n">
        <v>1</v>
      </c>
    </row>
    <row r="1776" ht="32" customHeight="1">
      <c r="A1776" s="146" t="str">
        <v>TTMRE</v>
      </c>
      <c r="B1776" s="146" t="str">
        <v>2013</v>
      </c>
      <c r="C1776" s="146" t="str">
        <v>2</v>
      </c>
      <c r="D1776" s="146" t="str">
        <v>ELIMINADO</v>
      </c>
      <c r="E1776" s="146" t="str">
        <v>38 - REINCORPORACION DE ACTIVIDADES</v>
      </c>
      <c r="F1776" s="146" t="n">
        <v>3</v>
      </c>
    </row>
    <row r="1777" ht="32" customHeight="1">
      <c r="A1777" s="146" t="str">
        <v>TTMRE</v>
      </c>
      <c r="B1777" s="146" t="str">
        <v>2013</v>
      </c>
      <c r="C1777" s="146" t="str">
        <v>2</v>
      </c>
      <c r="D1777" s="146" t="str">
        <v>TITULADO</v>
      </c>
      <c r="E1777" s="146" t="str">
        <v>31 - TITULADO APROBADO</v>
      </c>
      <c r="F1777" s="146" t="n">
        <v>3</v>
      </c>
    </row>
    <row r="1778" ht="32" customHeight="1">
      <c r="A1778" s="146" t="str">
        <v>TTMRE</v>
      </c>
      <c r="B1778" s="146" t="str">
        <v>2014</v>
      </c>
      <c r="C1778" s="146" t="str">
        <v>1</v>
      </c>
      <c r="D1778" s="146" t="str">
        <v>EGRESADO</v>
      </c>
      <c r="E1778" s="146" t="str">
        <v>13 - EGRESO</v>
      </c>
      <c r="F1778" s="146" t="n">
        <v>1</v>
      </c>
    </row>
    <row r="1779" ht="32" customHeight="1">
      <c r="A1779" s="146" t="str">
        <v>TTMRE</v>
      </c>
      <c r="B1779" s="146" t="str">
        <v>2014</v>
      </c>
      <c r="C1779" s="146" t="str">
        <v>1</v>
      </c>
      <c r="D1779" s="146" t="str">
        <v>ELIMINADO</v>
      </c>
      <c r="E1779" s="146" t="str">
        <v>23 - RETIRO - RETRACTO</v>
      </c>
      <c r="F1779" s="146" t="n">
        <v>1</v>
      </c>
    </row>
    <row r="1780" ht="32" customHeight="1">
      <c r="A1780" s="146" t="str">
        <v>TTMRE</v>
      </c>
      <c r="B1780" s="146" t="str">
        <v>2014</v>
      </c>
      <c r="C1780" s="146" t="str">
        <v>1</v>
      </c>
      <c r="D1780" s="146" t="str">
        <v>ELIMINADO</v>
      </c>
      <c r="E1780" s="146" t="str">
        <v>24 - CAMBIO DE CARRERA</v>
      </c>
      <c r="F1780" s="146" t="n">
        <v>60</v>
      </c>
    </row>
    <row r="1781" ht="32" customHeight="1">
      <c r="A1781" s="146" t="str">
        <v>TTMRE</v>
      </c>
      <c r="B1781" s="146" t="str">
        <v>2014</v>
      </c>
      <c r="C1781" s="146" t="str">
        <v>1</v>
      </c>
      <c r="D1781" s="146" t="str">
        <v>ELIMINADO</v>
      </c>
      <c r="E1781" s="146" t="str">
        <v>3 - ELIMINACION AUTOMATICA</v>
      </c>
      <c r="F1781" s="146" t="n">
        <v>7</v>
      </c>
    </row>
    <row r="1782" ht="32" customHeight="1">
      <c r="A1782" s="146" t="str">
        <v>TTMRE</v>
      </c>
      <c r="B1782" s="146" t="str">
        <v>2014</v>
      </c>
      <c r="C1782" s="146" t="str">
        <v>1</v>
      </c>
      <c r="D1782" s="146" t="str">
        <v>ELIMINADO</v>
      </c>
      <c r="E1782" s="146" t="str">
        <v>49 - CAMBIO DE JORNADA</v>
      </c>
      <c r="F1782" s="146" t="n">
        <v>6</v>
      </c>
    </row>
    <row r="1783" ht="32" customHeight="1">
      <c r="A1783" s="146" t="str">
        <v>TTMRE</v>
      </c>
      <c r="B1783" s="146" t="str">
        <v>2014</v>
      </c>
      <c r="C1783" s="146" t="str">
        <v>1</v>
      </c>
      <c r="D1783" s="146" t="str">
        <v>ELIMINADO</v>
      </c>
      <c r="E1783" s="146" t="str">
        <v>5 - RENUNCIA ENTRE PERIODOS</v>
      </c>
      <c r="F1783" s="146" t="n">
        <v>1</v>
      </c>
    </row>
    <row r="1784" ht="32" customHeight="1">
      <c r="A1784" s="146" t="str">
        <v>TTMRE</v>
      </c>
      <c r="B1784" s="146" t="str">
        <v>2014</v>
      </c>
      <c r="C1784" s="146" t="str">
        <v>1</v>
      </c>
      <c r="D1784" s="146" t="str">
        <v>TITULADO</v>
      </c>
      <c r="E1784" s="146" t="str">
        <v>31 - TITULADO APROBADO</v>
      </c>
      <c r="F1784" s="146" t="n">
        <v>40</v>
      </c>
    </row>
    <row r="1785" ht="32" customHeight="1">
      <c r="A1785" s="146" t="str">
        <v>TTMRE</v>
      </c>
      <c r="B1785" s="146" t="str">
        <v>2014</v>
      </c>
      <c r="C1785" s="146" t="str">
        <v>2</v>
      </c>
      <c r="D1785" s="146" t="str">
        <v>EGRESADO</v>
      </c>
      <c r="E1785" s="146" t="str">
        <v>13 - EGRESO</v>
      </c>
      <c r="F1785" s="146" t="n">
        <v>1</v>
      </c>
    </row>
    <row r="1786" ht="32" customHeight="1">
      <c r="A1786" s="146" t="str">
        <v>TTMRE</v>
      </c>
      <c r="B1786" s="146" t="str">
        <v>2014</v>
      </c>
      <c r="C1786" s="146" t="str">
        <v>2</v>
      </c>
      <c r="D1786" s="146" t="str">
        <v>ELIMINADO</v>
      </c>
      <c r="E1786" s="146" t="str">
        <v>24 - CAMBIO DE CARRERA</v>
      </c>
      <c r="F1786" s="146" t="n">
        <v>9</v>
      </c>
    </row>
    <row r="1787" ht="32" customHeight="1">
      <c r="A1787" s="146" t="str">
        <v>TTMRE</v>
      </c>
      <c r="B1787" s="146" t="str">
        <v>2014</v>
      </c>
      <c r="C1787" s="146" t="str">
        <v>2</v>
      </c>
      <c r="D1787" s="146" t="str">
        <v>ELIMINADO</v>
      </c>
      <c r="E1787" s="146" t="str">
        <v>49 - CAMBIO DE JORNADA</v>
      </c>
      <c r="F1787" s="146" t="n">
        <v>1</v>
      </c>
    </row>
    <row r="1788" ht="32" customHeight="1">
      <c r="A1788" s="146" t="str">
        <v>TTMRE</v>
      </c>
      <c r="B1788" s="146" t="str">
        <v>2014</v>
      </c>
      <c r="C1788" s="146" t="str">
        <v>2</v>
      </c>
      <c r="D1788" s="146" t="str">
        <v>TITULADO</v>
      </c>
      <c r="E1788" s="146" t="str">
        <v>31 - TITULADO APROBADO</v>
      </c>
      <c r="F1788" s="146" t="n">
        <v>11</v>
      </c>
    </row>
    <row r="1789" ht="32" customHeight="1">
      <c r="A1789" s="146" t="str">
        <v>TTMRE</v>
      </c>
      <c r="B1789" s="146" t="str">
        <v>2015</v>
      </c>
      <c r="C1789" s="146" t="str">
        <v>1</v>
      </c>
      <c r="D1789" s="146" t="str">
        <v>ELIMINADO</v>
      </c>
      <c r="E1789" s="146" t="str">
        <v>23 - RETIRO - RETRACTO</v>
      </c>
      <c r="F1789" s="146" t="n">
        <v>3</v>
      </c>
    </row>
    <row r="1790" ht="32" customHeight="1">
      <c r="A1790" s="146" t="str">
        <v>TTMRE</v>
      </c>
      <c r="B1790" s="146" t="str">
        <v>2015</v>
      </c>
      <c r="C1790" s="146" t="str">
        <v>1</v>
      </c>
      <c r="D1790" s="146" t="str">
        <v>ELIMINADO</v>
      </c>
      <c r="E1790" s="146" t="str">
        <v>24 - CAMBIO DE CARRERA</v>
      </c>
      <c r="F1790" s="146" t="n">
        <v>68</v>
      </c>
    </row>
    <row r="1791" ht="32" customHeight="1">
      <c r="A1791" s="146" t="str">
        <v>TTMRE</v>
      </c>
      <c r="B1791" s="146" t="str">
        <v>2015</v>
      </c>
      <c r="C1791" s="146" t="str">
        <v>1</v>
      </c>
      <c r="D1791" s="146" t="str">
        <v>ELIMINADO</v>
      </c>
      <c r="E1791" s="146" t="str">
        <v>3 - ELIMINACION AUTOMATICA</v>
      </c>
      <c r="F1791" s="146" t="n">
        <v>8</v>
      </c>
    </row>
    <row r="1792" ht="32" customHeight="1">
      <c r="A1792" s="146" t="str">
        <v>TTMRE</v>
      </c>
      <c r="B1792" s="146" t="str">
        <v>2015</v>
      </c>
      <c r="C1792" s="146" t="str">
        <v>1</v>
      </c>
      <c r="D1792" s="146" t="str">
        <v>ELIMINADO</v>
      </c>
      <c r="E1792" s="146" t="str">
        <v>38 - REINCORPORACION DE ACTIVIDADES</v>
      </c>
      <c r="F1792" s="146" t="n">
        <v>1</v>
      </c>
    </row>
    <row r="1793" ht="32" customHeight="1">
      <c r="A1793" s="146" t="str">
        <v>TTMRE</v>
      </c>
      <c r="B1793" s="146" t="str">
        <v>2015</v>
      </c>
      <c r="C1793" s="146" t="str">
        <v>1</v>
      </c>
      <c r="D1793" s="146" t="str">
        <v>ELIMINADO</v>
      </c>
      <c r="E1793" s="146" t="str">
        <v>49 - CAMBIO DE JORNADA</v>
      </c>
      <c r="F1793" s="146" t="n">
        <v>3</v>
      </c>
    </row>
    <row r="1794" ht="32" customHeight="1">
      <c r="A1794" s="146" t="str">
        <v>TTMRE</v>
      </c>
      <c r="B1794" s="146" t="str">
        <v>2015</v>
      </c>
      <c r="C1794" s="146" t="str">
        <v>1</v>
      </c>
      <c r="D1794" s="146" t="str">
        <v>ELIMINADO</v>
      </c>
      <c r="E1794" s="146" t="str">
        <v>5 - RENUNCIA ENTRE PERIODOS</v>
      </c>
      <c r="F1794" s="146" t="n">
        <v>1</v>
      </c>
    </row>
    <row r="1795" ht="32" customHeight="1">
      <c r="A1795" s="146" t="str">
        <v>TTMRE</v>
      </c>
      <c r="B1795" s="146" t="str">
        <v>2015</v>
      </c>
      <c r="C1795" s="146" t="str">
        <v>1</v>
      </c>
      <c r="D1795" s="146" t="str">
        <v>TITULADO</v>
      </c>
      <c r="E1795" s="146" t="str">
        <v>31 - TITULADO APROBADO</v>
      </c>
      <c r="F1795" s="146" t="n">
        <v>59</v>
      </c>
    </row>
    <row r="1796" ht="32" customHeight="1">
      <c r="A1796" s="146" t="str">
        <v>TTMRE</v>
      </c>
      <c r="B1796" s="146" t="str">
        <v>2015</v>
      </c>
      <c r="C1796" s="146" t="str">
        <v>2</v>
      </c>
      <c r="D1796" s="146" t="str">
        <v>ELIMINADO</v>
      </c>
      <c r="E1796" s="146" t="str">
        <v>1 - ALUMNO REGULAR</v>
      </c>
      <c r="F1796" s="146" t="n">
        <v>3</v>
      </c>
    </row>
    <row r="1797" ht="32" customHeight="1">
      <c r="A1797" s="146" t="str">
        <v>TTMRE</v>
      </c>
      <c r="B1797" s="146" t="str">
        <v>2015</v>
      </c>
      <c r="C1797" s="146" t="str">
        <v>2</v>
      </c>
      <c r="D1797" s="146" t="str">
        <v>ELIMINADO</v>
      </c>
      <c r="E1797" s="146" t="str">
        <v>24 - CAMBIO DE CARRERA</v>
      </c>
      <c r="F1797" s="146" t="n">
        <v>1</v>
      </c>
    </row>
    <row r="1798" ht="32" customHeight="1">
      <c r="A1798" s="146" t="str">
        <v>TTMRE</v>
      </c>
      <c r="B1798" s="146" t="str">
        <v>2015</v>
      </c>
      <c r="C1798" s="146" t="str">
        <v>2</v>
      </c>
      <c r="D1798" s="146" t="str">
        <v>ELIMINADO</v>
      </c>
      <c r="E1798" s="146" t="str">
        <v>38 - REINCORPORACION DE ACTIVIDADES</v>
      </c>
      <c r="F1798" s="146" t="n">
        <v>1</v>
      </c>
    </row>
    <row r="1799" ht="32" customHeight="1">
      <c r="A1799" s="146" t="str">
        <v>TTMRE</v>
      </c>
      <c r="B1799" s="146" t="str">
        <v>2015</v>
      </c>
      <c r="C1799" s="146" t="str">
        <v>2</v>
      </c>
      <c r="D1799" s="146" t="str">
        <v>TITULADO</v>
      </c>
      <c r="E1799" s="146" t="str">
        <v>31 - TITULADO APROBADO</v>
      </c>
      <c r="F1799" s="146" t="n">
        <v>9</v>
      </c>
    </row>
    <row r="1800" ht="32" customHeight="1">
      <c r="A1800" s="146" t="str">
        <v>TTMRE</v>
      </c>
      <c r="B1800" s="146" t="str">
        <v>2016</v>
      </c>
      <c r="C1800" s="146" t="str">
        <v>1</v>
      </c>
      <c r="D1800" s="146" t="str">
        <v>ELIMINADO</v>
      </c>
      <c r="E1800" s="146" t="str">
        <v>23 - RETIRO - RETRACTO</v>
      </c>
      <c r="F1800" s="146" t="n">
        <v>3</v>
      </c>
    </row>
    <row r="1801" ht="32" customHeight="1">
      <c r="A1801" s="146" t="str">
        <v>TTMRE</v>
      </c>
      <c r="B1801" s="146" t="str">
        <v>2016</v>
      </c>
      <c r="C1801" s="146" t="str">
        <v>1</v>
      </c>
      <c r="D1801" s="146" t="str">
        <v>ELIMINADO</v>
      </c>
      <c r="E1801" s="146" t="str">
        <v>24 - CAMBIO DE CARRERA</v>
      </c>
      <c r="F1801" s="146" t="n">
        <v>4</v>
      </c>
    </row>
    <row r="1802" ht="32" customHeight="1">
      <c r="A1802" s="146" t="str">
        <v>TTMRE</v>
      </c>
      <c r="B1802" s="146" t="str">
        <v>2016</v>
      </c>
      <c r="C1802" s="146" t="str">
        <v>1</v>
      </c>
      <c r="D1802" s="146" t="str">
        <v>ELIMINADO</v>
      </c>
      <c r="E1802" s="146" t="str">
        <v>3 - ELIMINACION AUTOMATICA</v>
      </c>
      <c r="F1802" s="146" t="n">
        <v>53</v>
      </c>
    </row>
    <row r="1803" ht="32" customHeight="1">
      <c r="A1803" s="146" t="str">
        <v>TTMRE</v>
      </c>
      <c r="B1803" s="146" t="str">
        <v>2016</v>
      </c>
      <c r="C1803" s="146" t="str">
        <v>1</v>
      </c>
      <c r="D1803" s="146" t="str">
        <v>ELIMINADO</v>
      </c>
      <c r="E1803" s="146" t="str">
        <v>5 - RENUNCIA ENTRE PERIODOS</v>
      </c>
      <c r="F1803" s="146" t="n">
        <v>1</v>
      </c>
    </row>
    <row r="1804" ht="32" customHeight="1">
      <c r="A1804" s="146" t="str">
        <v>TTMRE</v>
      </c>
      <c r="B1804" s="146" t="str">
        <v>2016</v>
      </c>
      <c r="C1804" s="146" t="str">
        <v>1</v>
      </c>
      <c r="D1804" s="146" t="str">
        <v>ELIMINADO</v>
      </c>
      <c r="E1804" s="146" t="str">
        <v>7 - NO RENUEVA MATRICULA</v>
      </c>
      <c r="F1804" s="146" t="n">
        <v>7</v>
      </c>
    </row>
    <row r="1805" ht="32" customHeight="1">
      <c r="A1805" s="146" t="str">
        <v>TTMRE</v>
      </c>
      <c r="B1805" s="146" t="str">
        <v>2016</v>
      </c>
      <c r="C1805" s="146" t="str">
        <v>1</v>
      </c>
      <c r="D1805" s="146" t="str">
        <v>TITULADO</v>
      </c>
      <c r="E1805" s="146" t="str">
        <v>31 - TITULADO APROBADO</v>
      </c>
      <c r="F1805" s="146" t="n">
        <v>40</v>
      </c>
    </row>
    <row r="1806" ht="32" customHeight="1">
      <c r="A1806" s="146" t="str">
        <v>TTMRE</v>
      </c>
      <c r="B1806" s="146" t="str">
        <v>2016</v>
      </c>
      <c r="C1806" s="146" t="str">
        <v>2</v>
      </c>
      <c r="D1806" s="146" t="str">
        <v>ELIMINADO</v>
      </c>
      <c r="E1806" s="146" t="str">
        <v>1 - ALUMNO REGULAR</v>
      </c>
      <c r="F1806" s="146" t="n">
        <v>2</v>
      </c>
    </row>
    <row r="1807" ht="32" customHeight="1">
      <c r="A1807" s="146" t="str">
        <v>TTMRE</v>
      </c>
      <c r="B1807" s="146" t="str">
        <v>2016</v>
      </c>
      <c r="C1807" s="146" t="str">
        <v>2</v>
      </c>
      <c r="D1807" s="146" t="str">
        <v>ELIMINADO</v>
      </c>
      <c r="E1807" s="146" t="str">
        <v>23 - RETIRO - RETRACTO</v>
      </c>
      <c r="F1807" s="146" t="n">
        <v>1</v>
      </c>
    </row>
    <row r="1808" ht="32" customHeight="1">
      <c r="A1808" s="146" t="str">
        <v>TTMRE</v>
      </c>
      <c r="B1808" s="146" t="str">
        <v>2016</v>
      </c>
      <c r="C1808" s="146" t="str">
        <v>2</v>
      </c>
      <c r="D1808" s="146" t="str">
        <v>ELIMINADO</v>
      </c>
      <c r="E1808" s="146" t="str">
        <v>24 - CAMBIO DE CARRERA</v>
      </c>
      <c r="F1808" s="146" t="n">
        <v>1</v>
      </c>
    </row>
    <row r="1809" ht="32" customHeight="1">
      <c r="A1809" s="146" t="str">
        <v>TTMRE</v>
      </c>
      <c r="B1809" s="146" t="str">
        <v>2016</v>
      </c>
      <c r="C1809" s="146" t="str">
        <v>2</v>
      </c>
      <c r="D1809" s="146" t="str">
        <v>ELIMINADO</v>
      </c>
      <c r="E1809" s="146" t="str">
        <v>3 - ELIMINACION AUTOMATICA</v>
      </c>
      <c r="F1809" s="146" t="n">
        <v>1</v>
      </c>
    </row>
    <row r="1810" ht="32" customHeight="1">
      <c r="A1810" s="146" t="str">
        <v>TTMRE</v>
      </c>
      <c r="B1810" s="146" t="str">
        <v>2016</v>
      </c>
      <c r="C1810" s="146" t="str">
        <v>2</v>
      </c>
      <c r="D1810" s="146" t="str">
        <v>ELIMINADO</v>
      </c>
      <c r="E1810" s="146" t="str">
        <v>38 - REINCORPORACION DE ACTIVIDADES</v>
      </c>
      <c r="F1810" s="146" t="n">
        <v>2</v>
      </c>
    </row>
    <row r="1811" ht="32" customHeight="1">
      <c r="A1811" s="146" t="str">
        <v>TTMRE</v>
      </c>
      <c r="B1811" s="146" t="str">
        <v>2016</v>
      </c>
      <c r="C1811" s="146" t="str">
        <v>2</v>
      </c>
      <c r="D1811" s="146" t="str">
        <v>ELIMINADO</v>
      </c>
      <c r="E1811" s="146" t="str">
        <v>49 - CAMBIO DE JORNADA</v>
      </c>
      <c r="F1811" s="146" t="n">
        <v>2</v>
      </c>
    </row>
    <row r="1812" ht="32" customHeight="1">
      <c r="A1812" s="146" t="str">
        <v>TTMRE</v>
      </c>
      <c r="B1812" s="146" t="str">
        <v>2016</v>
      </c>
      <c r="C1812" s="146" t="str">
        <v>2</v>
      </c>
      <c r="D1812" s="146" t="str">
        <v>TITULADO</v>
      </c>
      <c r="E1812" s="146" t="str">
        <v>31 - TITULADO APROBADO</v>
      </c>
      <c r="F1812" s="146" t="n">
        <v>6</v>
      </c>
    </row>
    <row r="1813" ht="32" customHeight="1">
      <c r="A1813" s="146" t="str">
        <v>TTMRE</v>
      </c>
      <c r="B1813" s="146" t="str">
        <v>2017</v>
      </c>
      <c r="C1813" s="146" t="str">
        <v>1</v>
      </c>
      <c r="D1813" s="146" t="str">
        <v>ELIMINADO</v>
      </c>
      <c r="E1813" s="146" t="str">
        <v>23 - RETIRO - RETRACTO</v>
      </c>
      <c r="F1813" s="146" t="n">
        <v>4</v>
      </c>
    </row>
    <row r="1814" ht="32" customHeight="1">
      <c r="A1814" s="146" t="str">
        <v>TTMRE</v>
      </c>
      <c r="B1814" s="146" t="str">
        <v>2017</v>
      </c>
      <c r="C1814" s="146" t="str">
        <v>1</v>
      </c>
      <c r="D1814" s="146" t="str">
        <v>ELIMINADO</v>
      </c>
      <c r="E1814" s="146" t="str">
        <v>24 - CAMBIO DE CARRERA</v>
      </c>
      <c r="F1814" s="146" t="n">
        <v>5</v>
      </c>
    </row>
    <row r="1815" ht="32" customHeight="1">
      <c r="A1815" s="146" t="str">
        <v>TTMRE</v>
      </c>
      <c r="B1815" s="146" t="str">
        <v>2017</v>
      </c>
      <c r="C1815" s="146" t="str">
        <v>1</v>
      </c>
      <c r="D1815" s="146" t="str">
        <v>ELIMINADO</v>
      </c>
      <c r="E1815" s="146" t="str">
        <v>3 - ELIMINACION AUTOMATICA</v>
      </c>
      <c r="F1815" s="146" t="n">
        <v>64</v>
      </c>
    </row>
    <row r="1816" ht="32" customHeight="1">
      <c r="A1816" s="146" t="str">
        <v>TTMRE</v>
      </c>
      <c r="B1816" s="146" t="str">
        <v>2017</v>
      </c>
      <c r="C1816" s="146" t="str">
        <v>1</v>
      </c>
      <c r="D1816" s="146" t="str">
        <v>ELIMINADO</v>
      </c>
      <c r="E1816" s="146" t="str">
        <v>38 - REINCORPORACION DE ACTIVIDADES</v>
      </c>
      <c r="F1816" s="146" t="n">
        <v>1</v>
      </c>
    </row>
    <row r="1817" ht="32" customHeight="1">
      <c r="A1817" s="146" t="str">
        <v>TTMRE</v>
      </c>
      <c r="B1817" s="146" t="str">
        <v>2017</v>
      </c>
      <c r="C1817" s="146" t="str">
        <v>1</v>
      </c>
      <c r="D1817" s="146" t="str">
        <v>ELIMINADO</v>
      </c>
      <c r="E1817" s="146" t="str">
        <v>95 - DEFUNCIÓN</v>
      </c>
      <c r="F1817" s="146" t="n">
        <v>1</v>
      </c>
    </row>
    <row r="1818" ht="32" customHeight="1">
      <c r="A1818" s="146" t="str">
        <v>TTMRE</v>
      </c>
      <c r="B1818" s="146" t="str">
        <v>2017</v>
      </c>
      <c r="C1818" s="146" t="str">
        <v>1</v>
      </c>
      <c r="D1818" s="146" t="str">
        <v>TITULADO</v>
      </c>
      <c r="E1818" s="146" t="str">
        <v>31 - TITULADO APROBADO</v>
      </c>
      <c r="F1818" s="146" t="n">
        <v>33</v>
      </c>
    </row>
    <row r="1819" ht="32" customHeight="1">
      <c r="A1819" s="146" t="str">
        <v>TTMRE</v>
      </c>
      <c r="B1819" s="146" t="str">
        <v>2017</v>
      </c>
      <c r="C1819" s="146" t="str">
        <v>2</v>
      </c>
      <c r="D1819" s="146" t="str">
        <v>ELIMINADO</v>
      </c>
      <c r="E1819" s="146" t="str">
        <v>1 - ALUMNO REGULAR</v>
      </c>
      <c r="F1819" s="146" t="n">
        <v>6</v>
      </c>
    </row>
    <row r="1820" ht="32" customHeight="1">
      <c r="A1820" s="146" t="str">
        <v>TTMRE</v>
      </c>
      <c r="B1820" s="146" t="str">
        <v>2017</v>
      </c>
      <c r="C1820" s="146" t="str">
        <v>2</v>
      </c>
      <c r="D1820" s="146" t="str">
        <v>ELIMINADO</v>
      </c>
      <c r="E1820" s="146" t="str">
        <v>24 - CAMBIO DE CARRERA</v>
      </c>
      <c r="F1820" s="146" t="n">
        <v>2</v>
      </c>
    </row>
    <row r="1821" ht="32" customHeight="1">
      <c r="A1821" s="146" t="str">
        <v>TTMRE</v>
      </c>
      <c r="B1821" s="146" t="str">
        <v>2017</v>
      </c>
      <c r="C1821" s="146" t="str">
        <v>2</v>
      </c>
      <c r="D1821" s="146" t="str">
        <v>ELIMINADO</v>
      </c>
      <c r="E1821" s="146" t="str">
        <v>3 - ELIMINACION AUTOMATICA</v>
      </c>
      <c r="F1821" s="146" t="n">
        <v>1</v>
      </c>
    </row>
    <row r="1822" ht="32" customHeight="1">
      <c r="A1822" s="146" t="str">
        <v>TTMRE</v>
      </c>
      <c r="B1822" s="146" t="str">
        <v>2017</v>
      </c>
      <c r="C1822" s="146" t="str">
        <v>2</v>
      </c>
      <c r="D1822" s="146" t="str">
        <v>ELIMINADO</v>
      </c>
      <c r="E1822" s="146" t="str">
        <v>38 - REINCORPORACION DE ACTIVIDADES</v>
      </c>
      <c r="F1822" s="146" t="n">
        <v>1</v>
      </c>
    </row>
    <row r="1823" ht="32" customHeight="1">
      <c r="A1823" s="146" t="str">
        <v>TTMRE</v>
      </c>
      <c r="B1823" s="146" t="str">
        <v>2018</v>
      </c>
      <c r="C1823" s="146" t="str">
        <v>1</v>
      </c>
      <c r="D1823" s="146" t="str">
        <v>ELIMINADO</v>
      </c>
      <c r="E1823" s="146" t="str">
        <v>23 - RETIRO - RETRACTO</v>
      </c>
      <c r="F1823" s="146" t="n">
        <v>13</v>
      </c>
    </row>
    <row r="1824" ht="32" customHeight="1">
      <c r="A1824" s="146" t="str">
        <v>TTMRE</v>
      </c>
      <c r="B1824" s="146" t="str">
        <v>2018</v>
      </c>
      <c r="C1824" s="146" t="str">
        <v>1</v>
      </c>
      <c r="D1824" s="146" t="str">
        <v>ELIMINADO</v>
      </c>
      <c r="E1824" s="146" t="str">
        <v>24 - CAMBIO DE CARRERA</v>
      </c>
      <c r="F1824" s="146" t="n">
        <v>6</v>
      </c>
    </row>
    <row r="1825" ht="32" customHeight="1">
      <c r="A1825" s="146" t="str">
        <v>TTMRE</v>
      </c>
      <c r="B1825" s="146" t="str">
        <v>2018</v>
      </c>
      <c r="C1825" s="146" t="str">
        <v>1</v>
      </c>
      <c r="D1825" s="146" t="str">
        <v>ELIMINADO</v>
      </c>
      <c r="E1825" s="146" t="str">
        <v>3 - ELIMINACION AUTOMATICA</v>
      </c>
      <c r="F1825" s="146" t="n">
        <v>61</v>
      </c>
    </row>
    <row r="1826" ht="32" customHeight="1">
      <c r="A1826" s="146" t="str">
        <v>TTMRE</v>
      </c>
      <c r="B1826" s="146" t="str">
        <v>2018</v>
      </c>
      <c r="C1826" s="146" t="str">
        <v>1</v>
      </c>
      <c r="D1826" s="146" t="str">
        <v>TITULADO</v>
      </c>
      <c r="E1826" s="146" t="str">
        <v>31 - TITULADO APROBADO</v>
      </c>
      <c r="F1826" s="146" t="n">
        <v>25</v>
      </c>
    </row>
    <row r="1827" ht="32" customHeight="1">
      <c r="A1827" s="146" t="str">
        <v>TTMRE</v>
      </c>
      <c r="B1827" s="146" t="str">
        <v>2019</v>
      </c>
      <c r="C1827" s="146" t="str">
        <v>1</v>
      </c>
      <c r="D1827" s="146" t="str">
        <v>ELIMINADO</v>
      </c>
      <c r="E1827" s="146" t="str">
        <v>1 - ALUMNO REGULAR</v>
      </c>
      <c r="F1827" s="146" t="n">
        <v>21</v>
      </c>
    </row>
    <row r="1828" ht="32" customHeight="1">
      <c r="A1828" s="146" t="str">
        <v>TTMRE</v>
      </c>
      <c r="B1828" s="146" t="str">
        <v>2019</v>
      </c>
      <c r="C1828" s="146" t="str">
        <v>1</v>
      </c>
      <c r="D1828" s="146" t="str">
        <v>ELIMINADO</v>
      </c>
      <c r="E1828" s="146" t="str">
        <v>23 - RETIRO - RETRACTO</v>
      </c>
      <c r="F1828" s="146" t="n">
        <v>5</v>
      </c>
    </row>
    <row r="1829" ht="32" customHeight="1">
      <c r="A1829" s="146" t="str">
        <v>TTMRE</v>
      </c>
      <c r="B1829" s="146" t="str">
        <v>2019</v>
      </c>
      <c r="C1829" s="146" t="str">
        <v>1</v>
      </c>
      <c r="D1829" s="146" t="str">
        <v>ELIMINADO</v>
      </c>
      <c r="E1829" s="146" t="str">
        <v>24 - CAMBIO DE CARRERA</v>
      </c>
      <c r="F1829" s="146" t="n">
        <v>5</v>
      </c>
    </row>
    <row r="1830" ht="32" customHeight="1">
      <c r="A1830" s="146" t="str">
        <v>TTMRE</v>
      </c>
      <c r="B1830" s="146" t="str">
        <v>2019</v>
      </c>
      <c r="C1830" s="146" t="str">
        <v>1</v>
      </c>
      <c r="D1830" s="146" t="str">
        <v>ELIMINADO</v>
      </c>
      <c r="E1830" s="146" t="str">
        <v>3 - ELIMINACION AUTOMATICA</v>
      </c>
      <c r="F1830" s="146" t="n">
        <v>2</v>
      </c>
    </row>
    <row r="1831" ht="32" customHeight="1">
      <c r="A1831" s="146" t="str">
        <v>TTMRE</v>
      </c>
      <c r="B1831" s="146" t="str">
        <v>2019</v>
      </c>
      <c r="C1831" s="146" t="str">
        <v>1</v>
      </c>
      <c r="D1831" s="146" t="str">
        <v>ELIMINADO</v>
      </c>
      <c r="E1831" s="146" t="str">
        <v>38 - REINCORPORACION DE ACTIVIDADES</v>
      </c>
      <c r="F1831" s="146" t="n">
        <v>2</v>
      </c>
    </row>
    <row r="1832" ht="32" customHeight="1">
      <c r="A1832" s="146" t="str">
        <v>TTMRE</v>
      </c>
      <c r="B1832" s="146" t="str">
        <v>2019</v>
      </c>
      <c r="C1832" s="146" t="str">
        <v>1</v>
      </c>
      <c r="D1832" s="146" t="str">
        <v>ELIMINADO</v>
      </c>
      <c r="E1832" s="146" t="str">
        <v>49 - CAMBIO DE JORNADA</v>
      </c>
      <c r="F1832" s="146" t="n">
        <v>3</v>
      </c>
    </row>
    <row r="1833" ht="32" customHeight="1">
      <c r="A1833" s="146" t="str">
        <v>TTMRE</v>
      </c>
      <c r="B1833" s="146" t="str">
        <v>2019</v>
      </c>
      <c r="C1833" s="146" t="str">
        <v>1</v>
      </c>
      <c r="D1833" s="146" t="str">
        <v>TITULADO</v>
      </c>
      <c r="E1833" s="146" t="str">
        <v>31 - TITULADO APROBADO</v>
      </c>
      <c r="F1833" s="146" t="n">
        <v>53</v>
      </c>
    </row>
    <row r="1834" ht="32" customHeight="1">
      <c r="A1834" s="146" t="str">
        <v>TTMRE</v>
      </c>
      <c r="B1834" s="146" t="str">
        <v>2019</v>
      </c>
      <c r="C1834" s="146" t="str">
        <v>2</v>
      </c>
      <c r="D1834" s="146" t="str">
        <v>ELIMINADO</v>
      </c>
      <c r="E1834" s="146" t="str">
        <v>38 - REINCORPORACION DE ACTIVIDADES</v>
      </c>
      <c r="F1834" s="146" t="n">
        <v>1</v>
      </c>
    </row>
    <row r="1835" ht="32" customHeight="1">
      <c r="A1835" s="146" t="str">
        <v>TTMRE</v>
      </c>
      <c r="B1835" s="146" t="str">
        <v>2020</v>
      </c>
      <c r="C1835" s="146" t="str">
        <v>1</v>
      </c>
      <c r="D1835" s="146" t="str">
        <v>ELIMINADO</v>
      </c>
      <c r="E1835" s="146" t="str">
        <v>23 - RETIRO - RETRACTO</v>
      </c>
      <c r="F1835" s="146" t="n">
        <v>4</v>
      </c>
    </row>
    <row r="1836" ht="32" customHeight="1">
      <c r="A1836" s="146" t="str">
        <v>TTMRE</v>
      </c>
      <c r="B1836" s="146" t="str">
        <v>2020</v>
      </c>
      <c r="C1836" s="146" t="str">
        <v>1</v>
      </c>
      <c r="D1836" s="146" t="str">
        <v>ELIMINADO</v>
      </c>
      <c r="E1836" s="146" t="str">
        <v>24 - CAMBIO DE CARRERA</v>
      </c>
      <c r="F1836" s="146" t="n">
        <v>2</v>
      </c>
    </row>
    <row r="1837" ht="32" customHeight="1">
      <c r="A1837" s="146" t="str">
        <v>TTMRE</v>
      </c>
      <c r="B1837" s="146" t="str">
        <v>2020</v>
      </c>
      <c r="C1837" s="146" t="str">
        <v>1</v>
      </c>
      <c r="D1837" s="146" t="str">
        <v>ELIMINADO</v>
      </c>
      <c r="E1837" s="146" t="str">
        <v>3 - ELIMINACION AUTOMATICA</v>
      </c>
      <c r="F1837" s="146" t="n">
        <v>23</v>
      </c>
    </row>
    <row r="1838" ht="32" customHeight="1">
      <c r="A1838" s="146" t="str">
        <v>TTMRE</v>
      </c>
      <c r="B1838" s="146" t="str">
        <v>2020</v>
      </c>
      <c r="C1838" s="146" t="str">
        <v>1</v>
      </c>
      <c r="D1838" s="146" t="str">
        <v>TITULADO</v>
      </c>
      <c r="E1838" s="146" t="str">
        <v>31 - TITULADO APROBADO</v>
      </c>
      <c r="F1838" s="146" t="n">
        <v>15</v>
      </c>
    </row>
    <row r="1839" ht="32" customHeight="1">
      <c r="A1839" s="146" t="str">
        <v>TTMRE</v>
      </c>
      <c r="B1839" s="146" t="str">
        <v>2020</v>
      </c>
      <c r="C1839" s="146" t="str">
        <v>2</v>
      </c>
      <c r="D1839" s="146" t="str">
        <v>ELIMINADO</v>
      </c>
      <c r="E1839" s="146" t="str">
        <v>3 - ELIMINACION AUTOMATICA</v>
      </c>
      <c r="F1839" s="146" t="n">
        <v>1</v>
      </c>
    </row>
    <row r="1840" ht="32" customHeight="1">
      <c r="A1840" s="146" t="str">
        <v>TTMRE</v>
      </c>
      <c r="B1840" s="146" t="str">
        <v>2021</v>
      </c>
      <c r="C1840" s="146" t="str">
        <v>1</v>
      </c>
      <c r="D1840" s="146" t="str">
        <v>ELIMINADO</v>
      </c>
      <c r="E1840" s="146" t="str">
        <v>1 - ALUMNO REGULAR</v>
      </c>
      <c r="F1840" s="146" t="n">
        <v>11</v>
      </c>
    </row>
    <row r="1841" ht="32" customHeight="1">
      <c r="A1841" s="146" t="str">
        <v>TTMRE</v>
      </c>
      <c r="B1841" s="146" t="str">
        <v>2021</v>
      </c>
      <c r="C1841" s="146" t="str">
        <v>1</v>
      </c>
      <c r="D1841" s="146" t="str">
        <v>ELIMINADO</v>
      </c>
      <c r="E1841" s="146" t="str">
        <v>24 - CAMBIO DE CARRERA</v>
      </c>
      <c r="F1841" s="146" t="n">
        <v>4</v>
      </c>
    </row>
    <row r="1842" ht="32" customHeight="1">
      <c r="A1842" s="146" t="str">
        <v>TTMRE</v>
      </c>
      <c r="B1842" s="146" t="str">
        <v>2021</v>
      </c>
      <c r="C1842" s="146" t="str">
        <v>1</v>
      </c>
      <c r="D1842" s="146" t="str">
        <v>TITULADO</v>
      </c>
      <c r="E1842" s="146" t="str">
        <v>31 - TITULADO APROBADO</v>
      </c>
      <c r="F1842" s="146" t="n">
        <v>24</v>
      </c>
    </row>
    <row r="1843" ht="32" customHeight="1">
      <c r="A1843" s="146" t="str">
        <v>TTMRE</v>
      </c>
      <c r="B1843" s="146" t="str">
        <v>2021</v>
      </c>
      <c r="C1843" s="146" t="str">
        <v>2</v>
      </c>
      <c r="D1843" s="146" t="str">
        <v>ELIMINADO</v>
      </c>
      <c r="E1843" s="146" t="str">
        <v>24 - CAMBIO DE CARRERA</v>
      </c>
      <c r="F1843" s="146" t="n">
        <v>2</v>
      </c>
    </row>
    <row r="1844" ht="32" customHeight="1">
      <c r="A1844" s="146" t="str">
        <v>TTMRE</v>
      </c>
      <c r="B1844" s="146" t="str">
        <v>2021</v>
      </c>
      <c r="C1844" s="146" t="str">
        <v>2</v>
      </c>
      <c r="D1844" s="146" t="str">
        <v>TITULADO</v>
      </c>
      <c r="E1844" s="146" t="str">
        <v>31 - TITULADO APROBADO</v>
      </c>
      <c r="F1844" s="146" t="n">
        <v>3</v>
      </c>
    </row>
    <row r="1845" ht="32" customHeight="1">
      <c r="A1845" s="146" t="str">
        <v>TTMRE</v>
      </c>
      <c r="B1845" s="146" t="str">
        <v>2022</v>
      </c>
      <c r="C1845" s="146" t="str">
        <v>1</v>
      </c>
      <c r="D1845" s="146" t="str">
        <v>ELIMINADO</v>
      </c>
      <c r="E1845" s="146" t="str">
        <v>1 - ALUMNO REGULAR</v>
      </c>
      <c r="F1845" s="146" t="n">
        <v>2</v>
      </c>
    </row>
    <row r="1846" ht="32" customHeight="1">
      <c r="A1846" s="146" t="str">
        <v>TTMRE</v>
      </c>
      <c r="B1846" s="146" t="str">
        <v>2022</v>
      </c>
      <c r="C1846" s="146" t="str">
        <v>1</v>
      </c>
      <c r="D1846" s="146" t="str">
        <v>ELIMINADO</v>
      </c>
      <c r="E1846" s="146" t="str">
        <v>24 - CAMBIO DE CARRERA</v>
      </c>
      <c r="F1846" s="146" t="n">
        <v>3</v>
      </c>
    </row>
    <row r="1847" ht="32" customHeight="1">
      <c r="A1847" s="146" t="str">
        <v>TTMRE</v>
      </c>
      <c r="B1847" s="146" t="str">
        <v>2022</v>
      </c>
      <c r="C1847" s="146" t="str">
        <v>1</v>
      </c>
      <c r="D1847" s="146" t="str">
        <v>ELIMINADO</v>
      </c>
      <c r="E1847" s="146" t="str">
        <v>38 - REINCORPORACION DE ACTIVIDADES</v>
      </c>
      <c r="F1847" s="146" t="n">
        <v>1</v>
      </c>
    </row>
    <row r="1848" ht="32" customHeight="1">
      <c r="A1848" s="146" t="str">
        <v>TTMRE</v>
      </c>
      <c r="B1848" s="146" t="str">
        <v>2022</v>
      </c>
      <c r="C1848" s="146" t="str">
        <v>1</v>
      </c>
      <c r="D1848" s="146" t="str">
        <v>TITULADO</v>
      </c>
      <c r="E1848" s="146" t="str">
        <v>31 - TITULADO APROBADO</v>
      </c>
      <c r="F1848" s="146" t="n">
        <v>14</v>
      </c>
    </row>
    <row r="1849" ht="32" customHeight="1">
      <c r="A1849" s="146" t="str">
        <v>TTMRE</v>
      </c>
      <c r="B1849" s="146" t="str">
        <v>2022</v>
      </c>
      <c r="C1849" s="146" t="str">
        <v>2</v>
      </c>
      <c r="D1849" s="146" t="str">
        <v>ELIMINADO</v>
      </c>
      <c r="E1849" s="146" t="str">
        <v>24 - CAMBIO DE CARRERA</v>
      </c>
      <c r="F1849" s="146" t="n">
        <v>2</v>
      </c>
    </row>
    <row r="1850" ht="32" customHeight="1">
      <c r="A1850" s="146" t="str">
        <v>TTMRE</v>
      </c>
      <c r="B1850" s="146" t="str">
        <v>2023</v>
      </c>
      <c r="C1850" s="146" t="str">
        <v>1</v>
      </c>
      <c r="D1850" s="146" t="str">
        <v>ELIMINADO</v>
      </c>
      <c r="E1850" s="146" t="str">
        <v>1 - ALUMNO REGULAR</v>
      </c>
      <c r="F1850" s="146" t="n">
        <v>1</v>
      </c>
    </row>
    <row r="1851" ht="32" customHeight="1">
      <c r="A1851" s="146" t="str">
        <v>TTMRE</v>
      </c>
      <c r="B1851" s="146" t="str">
        <v>2023</v>
      </c>
      <c r="C1851" s="146" t="str">
        <v>1</v>
      </c>
      <c r="D1851" s="146" t="str">
        <v>ELIMINADO</v>
      </c>
      <c r="E1851" s="146" t="str">
        <v>3 - ELIMINACION AUTOMATICA</v>
      </c>
      <c r="F1851" s="146" t="n">
        <v>1</v>
      </c>
    </row>
    <row r="1852" ht="32" customHeight="1">
      <c r="A1852" s="146" t="str">
        <v>TTMRE</v>
      </c>
      <c r="B1852" s="146" t="str">
        <v>2023</v>
      </c>
      <c r="C1852" s="146" t="str">
        <v>1</v>
      </c>
      <c r="D1852" s="146" t="str">
        <v>TITULADO</v>
      </c>
      <c r="E1852" s="146" t="str">
        <v>31 - TITULADO APROBADO</v>
      </c>
      <c r="F1852" s="146" t="n">
        <v>4</v>
      </c>
    </row>
    <row r="1853" ht="32" customHeight="1">
      <c r="A1853" s="146" t="str">
        <v>TTMRE</v>
      </c>
      <c r="B1853" s="146" t="str">
        <v>2024</v>
      </c>
      <c r="C1853" s="146" t="str">
        <v>1</v>
      </c>
      <c r="D1853" s="146" t="str">
        <v>ELIMINADO</v>
      </c>
      <c r="E1853" s="146" t="str">
        <v>10 - ACTUALIZACIÓN DE PLAN DE ESTUDIO 2024</v>
      </c>
      <c r="F1853" s="146" t="n">
        <v>2</v>
      </c>
    </row>
    <row r="1854" ht="32" customHeight="1">
      <c r="A1854" s="146" t="str">
        <v>TTMRE</v>
      </c>
      <c r="B1854" s="146" t="str">
        <v>2024</v>
      </c>
      <c r="C1854" s="146" t="str">
        <v>1</v>
      </c>
      <c r="D1854" s="146" t="str">
        <v>ELIMINADO</v>
      </c>
      <c r="E1854" s="146" t="str">
        <v>7 - NO RENUEVA MATRICULA</v>
      </c>
      <c r="F1854" s="146" t="n">
        <v>1</v>
      </c>
    </row>
    <row r="1855" ht="32" customHeight="1">
      <c r="A1855" s="146" t="str">
        <v>TTMRE</v>
      </c>
      <c r="B1855" s="146" t="str">
        <v>2024</v>
      </c>
      <c r="C1855" s="146" t="str">
        <v>1</v>
      </c>
      <c r="D1855" s="146" t="str">
        <v>TITULADO</v>
      </c>
      <c r="E1855" s="146" t="str">
        <v>31 - TITULADO APROBADO</v>
      </c>
      <c r="F1855" s="146" t="n">
        <v>2</v>
      </c>
    </row>
    <row r="1856" ht="32" customHeight="1">
      <c r="A1856" s="146" t="str">
        <v>TTMRE</v>
      </c>
      <c r="B1856" s="146" t="str">
        <v>2024</v>
      </c>
      <c r="C1856" s="146" t="str">
        <v>2</v>
      </c>
      <c r="D1856" s="146" t="str">
        <v>TITULADO</v>
      </c>
      <c r="E1856" s="146" t="str">
        <v>31 - TITULADO APROBADO</v>
      </c>
      <c r="F1856" s="146" t="n">
        <v>1</v>
      </c>
    </row>
    <row r="1857" ht="32" customHeight="1">
      <c r="A1857" s="146" t="str">
        <v>TTMRE</v>
      </c>
      <c r="B1857" s="146" t="str">
        <v>2026</v>
      </c>
      <c r="C1857" s="146" t="str">
        <v>1</v>
      </c>
      <c r="D1857" s="146" t="str">
        <v>ELIMINADO</v>
      </c>
      <c r="E1857" s="146" t="str">
        <v>24 - CAMBIO DE CARRERA</v>
      </c>
      <c r="F1857" s="146" t="n">
        <v>1</v>
      </c>
    </row>
    <row r="1858" ht="32" customHeight="1">
      <c r="A1858" s="146" t="str">
        <v>TTMRE</v>
      </c>
      <c r="B1858" s="146" t="str">
        <v>2026</v>
      </c>
      <c r="C1858" s="146" t="str">
        <v>1</v>
      </c>
      <c r="D1858" s="146" t="str">
        <v>TITULADO</v>
      </c>
      <c r="E1858" s="146" t="str">
        <v>31 - TITULADO APROBADO</v>
      </c>
      <c r="F1858" s="146" t="n">
        <v>1</v>
      </c>
    </row>
    <row r="1859" ht="32" customHeight="1">
      <c r="A1859" s="146" t="str">
        <v>TTMREOL</v>
      </c>
      <c r="B1859" s="146" t="str">
        <v>2018</v>
      </c>
      <c r="C1859" s="146" t="str">
        <v>1</v>
      </c>
      <c r="D1859" s="146" t="str">
        <v>ELIMINADO</v>
      </c>
      <c r="E1859" s="146" t="str">
        <v>23 - RETIRO - RETRACTO</v>
      </c>
      <c r="F1859" s="146" t="n">
        <v>1</v>
      </c>
    </row>
    <row r="1860" ht="32" customHeight="1">
      <c r="A1860" s="146" t="str">
        <v>TTMREOL</v>
      </c>
      <c r="B1860" s="146" t="str">
        <v>2018</v>
      </c>
      <c r="C1860" s="146" t="str">
        <v>1</v>
      </c>
      <c r="D1860" s="146" t="str">
        <v>ELIMINADO</v>
      </c>
      <c r="E1860" s="146" t="str">
        <v>24 - CAMBIO DE CARRERA</v>
      </c>
      <c r="F1860" s="146" t="n">
        <v>1</v>
      </c>
    </row>
    <row r="1861" ht="32" customHeight="1">
      <c r="A1861" s="146" t="str">
        <v>TTMREOL</v>
      </c>
      <c r="B1861" s="146" t="str">
        <v>2018</v>
      </c>
      <c r="C1861" s="146" t="str">
        <v>1</v>
      </c>
      <c r="D1861" s="146" t="str">
        <v>ELIMINADO</v>
      </c>
      <c r="E1861" s="146" t="str">
        <v>3 - ELIMINACION AUTOMATICA</v>
      </c>
      <c r="F1861" s="146" t="n">
        <v>12</v>
      </c>
    </row>
    <row r="1862" ht="32" customHeight="1">
      <c r="A1862" s="146" t="str">
        <v>TTMREOL</v>
      </c>
      <c r="B1862" s="146" t="str">
        <v>2018</v>
      </c>
      <c r="C1862" s="146" t="str">
        <v>2</v>
      </c>
      <c r="D1862" s="146" t="str">
        <v>ELIMINADO</v>
      </c>
      <c r="E1862" s="146" t="str">
        <v>1 - ALUMNO REGULAR</v>
      </c>
      <c r="F1862" s="146" t="n">
        <v>2</v>
      </c>
    </row>
    <row r="1863" ht="32" customHeight="1">
      <c r="A1863" s="146" t="str">
        <v>TTMREOL</v>
      </c>
      <c r="B1863" s="146" t="str">
        <v>2019</v>
      </c>
      <c r="C1863" s="146" t="str">
        <v>1</v>
      </c>
      <c r="D1863" s="146" t="str">
        <v>ELIMINADO</v>
      </c>
      <c r="E1863" s="146" t="str">
        <v>1 - ALUMNO REGULAR</v>
      </c>
      <c r="F1863" s="146" t="n">
        <v>9</v>
      </c>
    </row>
    <row r="1864" ht="32" customHeight="1">
      <c r="A1864" s="146" t="str">
        <v>TTMREOL</v>
      </c>
      <c r="B1864" s="146" t="str">
        <v>2019</v>
      </c>
      <c r="C1864" s="146" t="str">
        <v>1</v>
      </c>
      <c r="D1864" s="146" t="str">
        <v>TITULADO</v>
      </c>
      <c r="E1864" s="146" t="str">
        <v>31 - TITULADO APROBADO</v>
      </c>
      <c r="F1864" s="146" t="n">
        <v>11</v>
      </c>
    </row>
    <row r="1865" ht="32" customHeight="1">
      <c r="A1865" s="146" t="str">
        <v>TTMREOL</v>
      </c>
      <c r="B1865" s="146" t="str">
        <v>2019</v>
      </c>
      <c r="C1865" s="146" t="str">
        <v>2</v>
      </c>
      <c r="D1865" s="146" t="str">
        <v>ELIMINADO</v>
      </c>
      <c r="E1865" s="146" t="str">
        <v>1 - ALUMNO REGULAR</v>
      </c>
      <c r="F1865" s="146" t="n">
        <v>2</v>
      </c>
    </row>
    <row r="1866" ht="32" customHeight="1">
      <c r="A1866" s="146" t="str">
        <v>TTMREOL</v>
      </c>
      <c r="B1866" s="146" t="str">
        <v>2020</v>
      </c>
      <c r="C1866" s="146" t="str">
        <v>1</v>
      </c>
      <c r="D1866" s="146" t="str">
        <v>ELIMINADO</v>
      </c>
      <c r="E1866" s="146" t="str">
        <v>23 - RETIRO - RETRACTO</v>
      </c>
      <c r="F1866" s="146" t="n">
        <v>1</v>
      </c>
    </row>
    <row r="1867" ht="32" customHeight="1">
      <c r="A1867" s="146" t="str">
        <v>TTMREOL</v>
      </c>
      <c r="B1867" s="146" t="str">
        <v>2020</v>
      </c>
      <c r="C1867" s="146" t="str">
        <v>1</v>
      </c>
      <c r="D1867" s="146" t="str">
        <v>ELIMINADO</v>
      </c>
      <c r="E1867" s="146" t="str">
        <v>24 - CAMBIO DE CARRERA</v>
      </c>
      <c r="F1867" s="146" t="n">
        <v>2</v>
      </c>
    </row>
    <row r="1868" ht="32" customHeight="1">
      <c r="A1868" s="146" t="str">
        <v>TTMREOL</v>
      </c>
      <c r="B1868" s="146" t="str">
        <v>2020</v>
      </c>
      <c r="C1868" s="146" t="str">
        <v>1</v>
      </c>
      <c r="D1868" s="146" t="str">
        <v>ELIMINADO</v>
      </c>
      <c r="E1868" s="146" t="str">
        <v>3 - ELIMINACION AUTOMATICA</v>
      </c>
      <c r="F1868" s="146" t="n">
        <v>15</v>
      </c>
    </row>
    <row r="1869" ht="32" customHeight="1">
      <c r="A1869" s="146" t="str">
        <v>TTMREOL</v>
      </c>
      <c r="B1869" s="146" t="str">
        <v>2020</v>
      </c>
      <c r="C1869" s="146" t="str">
        <v>1</v>
      </c>
      <c r="D1869" s="146" t="str">
        <v>TITULADO</v>
      </c>
      <c r="E1869" s="146" t="str">
        <v>31 - TITULADO APROBADO</v>
      </c>
      <c r="F1869" s="146" t="n">
        <v>6</v>
      </c>
    </row>
    <row r="1870" ht="32" customHeight="1">
      <c r="A1870" s="146" t="str">
        <v>TTMREOL</v>
      </c>
      <c r="B1870" s="146" t="str">
        <v>2020</v>
      </c>
      <c r="C1870" s="146" t="str">
        <v>2</v>
      </c>
      <c r="D1870" s="146" t="str">
        <v>ELIMINADO</v>
      </c>
      <c r="E1870" s="146" t="str">
        <v>23 - RETIRO - RETRACTO</v>
      </c>
      <c r="F1870" s="146" t="n">
        <v>1</v>
      </c>
    </row>
    <row r="1871" ht="32" customHeight="1">
      <c r="A1871" s="146" t="str">
        <v>TTMREOL</v>
      </c>
      <c r="B1871" s="146" t="str">
        <v>2020</v>
      </c>
      <c r="C1871" s="146" t="str">
        <v>2</v>
      </c>
      <c r="D1871" s="146" t="str">
        <v>ELIMINADO</v>
      </c>
      <c r="E1871" s="146" t="str">
        <v>3 - ELIMINACION AUTOMATICA</v>
      </c>
      <c r="F1871" s="146" t="n">
        <v>6</v>
      </c>
    </row>
    <row r="1872" ht="32" customHeight="1">
      <c r="A1872" s="146" t="str">
        <v>TTMREOL</v>
      </c>
      <c r="B1872" s="146" t="str">
        <v>2021</v>
      </c>
      <c r="C1872" s="146" t="str">
        <v>1</v>
      </c>
      <c r="D1872" s="146" t="str">
        <v>ELIMINADO</v>
      </c>
      <c r="E1872" s="146" t="str">
        <v>1 - ALUMNO REGULAR</v>
      </c>
      <c r="F1872" s="146" t="n">
        <v>13</v>
      </c>
    </row>
    <row r="1873" ht="32" customHeight="1">
      <c r="A1873" s="146" t="str">
        <v>TTMREOL</v>
      </c>
      <c r="B1873" s="146" t="str">
        <v>2021</v>
      </c>
      <c r="C1873" s="146" t="str">
        <v>1</v>
      </c>
      <c r="D1873" s="146" t="str">
        <v>ELIMINADO</v>
      </c>
      <c r="E1873" s="146" t="str">
        <v>23 - RETIRO - RETRACTO</v>
      </c>
      <c r="F1873" s="146" t="n">
        <v>2</v>
      </c>
    </row>
    <row r="1874" ht="32" customHeight="1">
      <c r="A1874" s="146" t="str">
        <v>TTMREOL</v>
      </c>
      <c r="B1874" s="146" t="str">
        <v>2021</v>
      </c>
      <c r="C1874" s="146" t="str">
        <v>1</v>
      </c>
      <c r="D1874" s="146" t="str">
        <v>ELIMINADO</v>
      </c>
      <c r="E1874" s="146" t="str">
        <v>24 - CAMBIO DE CARRERA</v>
      </c>
      <c r="F1874" s="146" t="n">
        <v>1</v>
      </c>
    </row>
    <row r="1875" ht="32" customHeight="1">
      <c r="A1875" s="146" t="str">
        <v>TTMREOL</v>
      </c>
      <c r="B1875" s="146" t="str">
        <v>2021</v>
      </c>
      <c r="C1875" s="146" t="str">
        <v>1</v>
      </c>
      <c r="D1875" s="146" t="str">
        <v>ELIMINADO</v>
      </c>
      <c r="E1875" s="146" t="str">
        <v>3 - ELIMINACION AUTOMATICA</v>
      </c>
      <c r="F1875" s="146" t="n">
        <v>1</v>
      </c>
    </row>
    <row r="1876" ht="32" customHeight="1">
      <c r="A1876" s="146" t="str">
        <v>TTMREOL</v>
      </c>
      <c r="B1876" s="146" t="str">
        <v>2021</v>
      </c>
      <c r="C1876" s="146" t="str">
        <v>1</v>
      </c>
      <c r="D1876" s="146" t="str">
        <v>ELIMINADO</v>
      </c>
      <c r="E1876" s="146" t="str">
        <v>38 - REINCORPORACION DE ACTIVIDADES</v>
      </c>
      <c r="F1876" s="146" t="n">
        <v>1</v>
      </c>
    </row>
    <row r="1877" ht="32" customHeight="1">
      <c r="A1877" s="146" t="str">
        <v>TTMREOL</v>
      </c>
      <c r="B1877" s="146" t="str">
        <v>2021</v>
      </c>
      <c r="C1877" s="146" t="str">
        <v>1</v>
      </c>
      <c r="D1877" s="146" t="str">
        <v>TITULADO</v>
      </c>
      <c r="E1877" s="146" t="str">
        <v>31 - TITULADO APROBADO</v>
      </c>
      <c r="F1877" s="146" t="n">
        <v>13</v>
      </c>
    </row>
    <row r="1878" ht="32" customHeight="1">
      <c r="A1878" s="146" t="str">
        <v>TTMREOL</v>
      </c>
      <c r="B1878" s="146" t="str">
        <v>2021</v>
      </c>
      <c r="C1878" s="146" t="str">
        <v>2</v>
      </c>
      <c r="D1878" s="146" t="str">
        <v>ELIMINADO</v>
      </c>
      <c r="E1878" s="146" t="str">
        <v>1 - ALUMNO REGULAR</v>
      </c>
      <c r="F1878" s="146" t="n">
        <v>7</v>
      </c>
    </row>
    <row r="1879" ht="32" customHeight="1">
      <c r="A1879" s="146" t="str">
        <v>TTMREOL</v>
      </c>
      <c r="B1879" s="146" t="str">
        <v>2021</v>
      </c>
      <c r="C1879" s="146" t="str">
        <v>2</v>
      </c>
      <c r="D1879" s="146" t="str">
        <v>ELIMINADO</v>
      </c>
      <c r="E1879" s="146" t="str">
        <v>24 - CAMBIO DE CARRERA</v>
      </c>
      <c r="F1879" s="146" t="n">
        <v>1</v>
      </c>
    </row>
    <row r="1880" ht="32" customHeight="1">
      <c r="A1880" s="146" t="str">
        <v>TTMREOL</v>
      </c>
      <c r="B1880" s="146" t="str">
        <v>2022</v>
      </c>
      <c r="C1880" s="146" t="str">
        <v>1</v>
      </c>
      <c r="D1880" s="146" t="str">
        <v>ELIMINADO</v>
      </c>
      <c r="E1880" s="146" t="str">
        <v>1 - ALUMNO REGULAR</v>
      </c>
      <c r="F1880" s="146" t="n">
        <v>12</v>
      </c>
    </row>
    <row r="1881" ht="32" customHeight="1">
      <c r="A1881" s="146" t="str">
        <v>TTMREOL</v>
      </c>
      <c r="B1881" s="146" t="str">
        <v>2022</v>
      </c>
      <c r="C1881" s="146" t="str">
        <v>1</v>
      </c>
      <c r="D1881" s="146" t="str">
        <v>ELIMINADO</v>
      </c>
      <c r="E1881" s="146" t="str">
        <v>23 - RETIRO - RETRACTO</v>
      </c>
      <c r="F1881" s="146" t="n">
        <v>1</v>
      </c>
    </row>
    <row r="1882" ht="32" customHeight="1">
      <c r="A1882" s="146" t="str">
        <v>TTMREOL</v>
      </c>
      <c r="B1882" s="146" t="str">
        <v>2022</v>
      </c>
      <c r="C1882" s="146" t="str">
        <v>1</v>
      </c>
      <c r="D1882" s="146" t="str">
        <v>ELIMINADO</v>
      </c>
      <c r="E1882" s="146" t="str">
        <v>24 - CAMBIO DE CARRERA</v>
      </c>
      <c r="F1882" s="146" t="n">
        <v>4</v>
      </c>
    </row>
    <row r="1883" ht="32" customHeight="1">
      <c r="A1883" s="146" t="str">
        <v>TTMREOL</v>
      </c>
      <c r="B1883" s="146" t="str">
        <v>2022</v>
      </c>
      <c r="C1883" s="146" t="str">
        <v>1</v>
      </c>
      <c r="D1883" s="146" t="str">
        <v>ELIMINADO</v>
      </c>
      <c r="E1883" s="146" t="str">
        <v>3 - ELIMINACION AUTOMATICA</v>
      </c>
      <c r="F1883" s="146" t="n">
        <v>2</v>
      </c>
    </row>
    <row r="1884" ht="32" customHeight="1">
      <c r="A1884" s="146" t="str">
        <v>TTMREOL</v>
      </c>
      <c r="B1884" s="146" t="str">
        <v>2022</v>
      </c>
      <c r="C1884" s="146" t="str">
        <v>1</v>
      </c>
      <c r="D1884" s="146" t="str">
        <v>TITULADO</v>
      </c>
      <c r="E1884" s="146" t="str">
        <v>31 - TITULADO APROBADO</v>
      </c>
      <c r="F1884" s="146" t="n">
        <v>9</v>
      </c>
    </row>
    <row r="1885" ht="32" customHeight="1">
      <c r="A1885" s="146" t="str">
        <v>TTMREOL</v>
      </c>
      <c r="B1885" s="146" t="str">
        <v>2022</v>
      </c>
      <c r="C1885" s="146" t="str">
        <v>2</v>
      </c>
      <c r="D1885" s="146" t="str">
        <v>ELIMINADO</v>
      </c>
      <c r="E1885" s="146" t="str">
        <v>1 - ALUMNO REGULAR</v>
      </c>
      <c r="F1885" s="146" t="n">
        <v>6</v>
      </c>
    </row>
    <row r="1886" ht="32" customHeight="1">
      <c r="A1886" s="146" t="str">
        <v>TTMREOL</v>
      </c>
      <c r="B1886" s="146" t="str">
        <v>2023</v>
      </c>
      <c r="C1886" s="146" t="str">
        <v>1</v>
      </c>
      <c r="D1886" s="146" t="str">
        <v>ELIMINADO</v>
      </c>
      <c r="E1886" s="146" t="str">
        <v>1 - ALUMNO REGULAR</v>
      </c>
      <c r="F1886" s="146" t="n">
        <v>11</v>
      </c>
    </row>
    <row r="1887" ht="32" customHeight="1">
      <c r="A1887" s="146" t="str">
        <v>TTMREOL</v>
      </c>
      <c r="B1887" s="146" t="str">
        <v>2023</v>
      </c>
      <c r="C1887" s="146" t="str">
        <v>1</v>
      </c>
      <c r="D1887" s="146" t="str">
        <v>ELIMINADO</v>
      </c>
      <c r="E1887" s="146" t="str">
        <v>23 - RETIRO - RETRACTO</v>
      </c>
      <c r="F1887" s="146" t="n">
        <v>2</v>
      </c>
    </row>
    <row r="1888" ht="32" customHeight="1">
      <c r="A1888" s="146" t="str">
        <v>TTMREOL</v>
      </c>
      <c r="B1888" s="146" t="str">
        <v>2023</v>
      </c>
      <c r="C1888" s="146" t="str">
        <v>1</v>
      </c>
      <c r="D1888" s="146" t="str">
        <v>ELIMINADO</v>
      </c>
      <c r="E1888" s="146" t="str">
        <v>24 - CAMBIO DE CARRERA</v>
      </c>
      <c r="F1888" s="146" t="n">
        <v>4</v>
      </c>
    </row>
    <row r="1889" ht="32" customHeight="1">
      <c r="A1889" s="146" t="str">
        <v>TTMREOL</v>
      </c>
      <c r="B1889" s="146" t="str">
        <v>2023</v>
      </c>
      <c r="C1889" s="146" t="str">
        <v>1</v>
      </c>
      <c r="D1889" s="146" t="str">
        <v>ELIMINADO</v>
      </c>
      <c r="E1889" s="146" t="str">
        <v>3 - ELIMINACION AUTOMATICA</v>
      </c>
      <c r="F1889" s="146" t="n">
        <v>1</v>
      </c>
    </row>
    <row r="1890" ht="32" customHeight="1">
      <c r="A1890" s="146" t="str">
        <v>TTMREOL</v>
      </c>
      <c r="B1890" s="146" t="str">
        <v>2023</v>
      </c>
      <c r="C1890" s="146" t="str">
        <v>1</v>
      </c>
      <c r="D1890" s="146" t="str">
        <v>ELIMINADO</v>
      </c>
      <c r="E1890" s="146" t="str">
        <v>7 - NO RENUEVA MATRICULA</v>
      </c>
      <c r="F1890" s="146" t="n">
        <v>1</v>
      </c>
    </row>
    <row r="1891" ht="32" customHeight="1">
      <c r="A1891" s="146" t="str">
        <v>TTMREOL</v>
      </c>
      <c r="B1891" s="146" t="str">
        <v>2023</v>
      </c>
      <c r="C1891" s="146" t="str">
        <v>1</v>
      </c>
      <c r="D1891" s="146" t="str">
        <v>SUSPENDIDO</v>
      </c>
      <c r="E1891" s="146" t="str">
        <v>2 - SUSPENSIÓN TEMPORAL</v>
      </c>
      <c r="F1891" s="146" t="n">
        <v>2</v>
      </c>
    </row>
    <row r="1892" ht="32" customHeight="1">
      <c r="A1892" s="146" t="str">
        <v>TTMREOL</v>
      </c>
      <c r="B1892" s="146" t="str">
        <v>2023</v>
      </c>
      <c r="C1892" s="146" t="str">
        <v>1</v>
      </c>
      <c r="D1892" s="146" t="str">
        <v>TITULADO</v>
      </c>
      <c r="E1892" s="146" t="str">
        <v>31 - TITULADO APROBADO</v>
      </c>
      <c r="F1892" s="146" t="n">
        <v>17</v>
      </c>
    </row>
    <row r="1893" ht="32" customHeight="1">
      <c r="A1893" s="146" t="str">
        <v>TTMREOL</v>
      </c>
      <c r="B1893" s="146" t="str">
        <v>2023</v>
      </c>
      <c r="C1893" s="146" t="str">
        <v>1</v>
      </c>
      <c r="D1893" s="146" t="str">
        <v>VIGENTE</v>
      </c>
      <c r="E1893" s="146" t="str">
        <v>1 - ALUMNO REGULAR</v>
      </c>
      <c r="F1893" s="146" t="n">
        <v>1</v>
      </c>
    </row>
    <row r="1894" ht="32" customHeight="1">
      <c r="A1894" s="146" t="str">
        <v>TTMREOL</v>
      </c>
      <c r="B1894" s="146" t="str">
        <v>2023</v>
      </c>
      <c r="C1894" s="146" t="str">
        <v>2</v>
      </c>
      <c r="D1894" s="146" t="str">
        <v>ELIMINADO</v>
      </c>
      <c r="E1894" s="146" t="str">
        <v>1 - ALUMNO REGULAR</v>
      </c>
      <c r="F1894" s="146" t="n">
        <v>2</v>
      </c>
    </row>
    <row r="1895" ht="32" customHeight="1">
      <c r="A1895" s="146" t="str">
        <v>TTMREOL</v>
      </c>
      <c r="B1895" s="146" t="str">
        <v>2024</v>
      </c>
      <c r="C1895" s="146" t="str">
        <v>1</v>
      </c>
      <c r="D1895" s="146" t="str">
        <v>ELIMINADO</v>
      </c>
      <c r="E1895" s="146" t="str">
        <v>10 - ACTUALIZACIÓN DE PLAN DE ESTUDIO 2024</v>
      </c>
      <c r="F1895" s="146" t="n">
        <v>22</v>
      </c>
    </row>
    <row r="1896" ht="32" customHeight="1">
      <c r="A1896" s="146" t="str">
        <v>TTMREOL</v>
      </c>
      <c r="B1896" s="146" t="str">
        <v>2024</v>
      </c>
      <c r="C1896" s="146" t="str">
        <v>1</v>
      </c>
      <c r="D1896" s="146" t="str">
        <v>ELIMINADO</v>
      </c>
      <c r="E1896" s="146" t="str">
        <v>3 - ELIMINACION AUTOMATICA</v>
      </c>
      <c r="F1896" s="146" t="n">
        <v>1</v>
      </c>
    </row>
    <row r="1897" ht="32" customHeight="1">
      <c r="A1897" s="146" t="str">
        <v>TTMREOL</v>
      </c>
      <c r="B1897" s="146" t="str">
        <v>2024</v>
      </c>
      <c r="C1897" s="146" t="str">
        <v>1</v>
      </c>
      <c r="D1897" s="146" t="str">
        <v>ELIMINADO</v>
      </c>
      <c r="E1897" s="146" t="str">
        <v>7 - NO RENUEVA MATRICULA</v>
      </c>
      <c r="F1897" s="146" t="n">
        <v>2</v>
      </c>
    </row>
    <row r="1898" ht="32" customHeight="1">
      <c r="A1898" s="146" t="str">
        <v>TTMREOL</v>
      </c>
      <c r="B1898" s="146" t="str">
        <v>2024</v>
      </c>
      <c r="C1898" s="146" t="str">
        <v>1</v>
      </c>
      <c r="D1898" s="146" t="str">
        <v>TITULADO</v>
      </c>
      <c r="E1898" s="146" t="str">
        <v>31 - TITULADO APROBADO</v>
      </c>
      <c r="F1898" s="146" t="n">
        <v>14</v>
      </c>
    </row>
    <row r="1899" ht="32" customHeight="1">
      <c r="A1899" s="146" t="str">
        <v>TTMREOL</v>
      </c>
      <c r="B1899" s="146" t="str">
        <v>2025</v>
      </c>
      <c r="C1899" s="146" t="str">
        <v>1</v>
      </c>
      <c r="D1899" s="146" t="str">
        <v>TITULADO</v>
      </c>
      <c r="E1899" s="146" t="str">
        <v>31 - TITULADO APROBADO</v>
      </c>
      <c r="F1899" s="146" t="n">
        <v>4</v>
      </c>
    </row>
    <row r="1900" ht="32" customHeight="1">
      <c r="A1900" s="146" t="str">
        <v>TTMREOL</v>
      </c>
      <c r="B1900" s="146" t="str">
        <v>2025</v>
      </c>
      <c r="C1900" s="146" t="str">
        <v>2</v>
      </c>
      <c r="D1900" s="146" t="str">
        <v>TITULADO</v>
      </c>
      <c r="E1900" s="146" t="str">
        <v>31 - TITULADO APROBADO</v>
      </c>
      <c r="F1900" s="146" t="n">
        <v>1</v>
      </c>
    </row>
    <row r="1901" ht="32" customHeight="1">
      <c r="A1901" s="146" t="str">
        <v>TVETSP</v>
      </c>
      <c r="B1901" s="146" t="str">
        <v>2027</v>
      </c>
      <c r="C1901" s="146" t="str">
        <v>1</v>
      </c>
      <c r="D1901" s="146" t="str">
        <v>VIGENTE</v>
      </c>
      <c r="E1901" s="146" t="str">
        <v>1 - ALUMNO REGULAR</v>
      </c>
      <c r="F1901" s="146" t="n">
        <v>25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2"/>
    <col collapsed="false" customWidth="true" hidden="false" outlineLevel="0" max="3" min="3" style="1" width="28"/>
    <col collapsed="false" customWidth="true" hidden="false" outlineLevel="0" max="4" min="4" style="1" width="24"/>
    <col collapsed="false" customWidth="true" hidden="false" outlineLevel="0" max="5" min="5" style="1" width="18"/>
    <col collapsed="false" customWidth="true" hidden="false" outlineLevel="0" max="6" min="6" style="1" width="20"/>
    <col collapsed="false" customWidth="true" hidden="false" outlineLevel="0" max="7" min="7" style="1" width="22"/>
    <col collapsed="false" customWidth="true" hidden="false" outlineLevel="0" max="8" min="8" style="1" width="42"/>
  </cols>
  <sheetData>
    <row r="1" customFormat="false" ht="17.25" hidden="false" customHeight="true" outlineLevel="0" collapsed="false">
      <c r="A1" s="138" t="inlineStr">
        <is>
          <t xml:space="preserve">26. Avance curricular por año, período, plan y estado académico</t>
        </is>
      </c>
      <c r="B1" s="138"/>
      <c r="C1" s="138"/>
      <c r="D1" s="138"/>
      <c r="E1" s="138"/>
      <c r="F1" s="138"/>
      <c r="G1" s="138"/>
      <c r="H1" s="138"/>
    </row>
    <row r="2" customFormat="false" ht="15" hidden="false" customHeight="true" outlineLevel="0" collapsed="false">
      <c r="A2" s="108" t="inlineStr">
        <is>
          <t xml:space="preserve">C · Resumen derivado de PROMEDIOSDEALUMNOS_12166.xlsx. Cuenta personas únicas por RUT/CODCLI dentro de cada año-período-plan; no reemplaza una foto de matrícula de cierre.</t>
        </is>
      </c>
      <c r="B2" s="108"/>
      <c r="C2" s="108"/>
      <c r="D2" s="108"/>
      <c r="E2" s="108"/>
      <c r="F2" s="108"/>
      <c r="G2" s="108"/>
      <c r="H2" s="108"/>
    </row>
    <row r="4" customFormat="false" ht="15" hidden="false" customHeight="true" outlineLevel="0" collapsed="false">
      <c r="A4" s="139" t="inlineStr">
        <is>
          <t xml:space="preserve">Año</t>
        </is>
      </c>
      <c r="B4" s="139" t="inlineStr">
        <is>
          <t xml:space="preserve">Período</t>
        </is>
      </c>
      <c r="C4" s="139" t="inlineStr">
        <is>
          <t xml:space="preserve">Plan de estudio</t>
        </is>
      </c>
      <c r="D4" s="139" t="inlineStr">
        <is>
          <t xml:space="preserve">Estado académico</t>
        </is>
      </c>
      <c r="E4" s="139" t="inlineStr">
        <is>
          <t xml:space="preserve">Personas únicas</t>
        </is>
      </c>
      <c r="F4" s="139" t="inlineStr">
        <is>
          <t xml:space="preserve">Registros de asignatura</t>
        </is>
      </c>
      <c r="G4" s="139" t="inlineStr">
        <is>
          <t xml:space="preserve">Tasa VIGENTE dentro del grupo</t>
        </is>
      </c>
      <c r="H4" s="139" t="inlineStr">
        <is>
          <t xml:space="preserve">Clasificación</t>
        </is>
      </c>
    </row>
    <row r="5" customFormat="false" ht="15" hidden="false" customHeight="true" outlineLevel="0" collapsed="false">
      <c r="A5" s="1" t="n">
        <v>2019</v>
      </c>
      <c r="B5" s="1" t="n">
        <v>1</v>
      </c>
      <c r="C5" s="1" t="inlineStr">
        <is>
          <t xml:space="preserve">ASRE20151</t>
        </is>
      </c>
      <c r="D5" s="1" t="inlineStr">
        <is>
          <t xml:space="preserve">ELIMINADO</t>
        </is>
      </c>
      <c r="E5" s="1" t="n">
        <v>2</v>
      </c>
      <c r="F5" s="1" t="n">
        <v>4</v>
      </c>
      <c r="G5" s="1" t="n">
        <f aca="false">IF(E5=0,"",IF(D5="VIGENTE",1,0))</f>
        <v>0</v>
      </c>
      <c r="H5" s="1" t="inlineStr">
        <is>
          <t xml:space="preserve">B observado / C cálculo</t>
        </is>
      </c>
    </row>
    <row r="6" customFormat="false" ht="15" hidden="false" customHeight="true" outlineLevel="0" collapsed="false">
      <c r="A6" s="1" t="n">
        <v>2019</v>
      </c>
      <c r="B6" s="1" t="n">
        <v>1</v>
      </c>
      <c r="C6" s="1" t="inlineStr">
        <is>
          <t xml:space="preserve">ASRE20151</t>
        </is>
      </c>
      <c r="D6" s="1" t="inlineStr">
        <is>
          <t xml:space="preserve">TITULADO</t>
        </is>
      </c>
      <c r="E6" s="1" t="n">
        <v>1</v>
      </c>
      <c r="F6" s="1" t="n">
        <v>2</v>
      </c>
      <c r="G6" s="1" t="n">
        <f aca="false">IF(E6=0,"",IF(D6="VIGENTE",1,0))</f>
        <v>0</v>
      </c>
      <c r="H6" s="1" t="inlineStr">
        <is>
          <t xml:space="preserve">B observado / C cálculo</t>
        </is>
      </c>
    </row>
    <row r="7" customFormat="false" ht="15" hidden="false" customHeight="true" outlineLevel="0" collapsed="false">
      <c r="A7" s="1" t="n">
        <v>2019</v>
      </c>
      <c r="B7" s="1" t="n">
        <v>1</v>
      </c>
      <c r="C7" s="1" t="inlineStr">
        <is>
          <t xml:space="preserve">ASREOL</t>
        </is>
      </c>
      <c r="D7" s="1" t="inlineStr">
        <is>
          <t xml:space="preserve">TITULADO</t>
        </is>
      </c>
      <c r="E7" s="1" t="n">
        <v>2</v>
      </c>
      <c r="F7" s="1" t="n">
        <v>4</v>
      </c>
      <c r="G7" s="1" t="n">
        <f aca="false">IF(E7=0,"",IF(D7="VIGENTE",1,0))</f>
        <v>0</v>
      </c>
      <c r="H7" s="1" t="inlineStr">
        <is>
          <t xml:space="preserve">B observado / C cálculo</t>
        </is>
      </c>
    </row>
    <row r="8" customFormat="false" ht="15" hidden="false" customHeight="true" outlineLevel="0" collapsed="false">
      <c r="A8" s="1" t="n">
        <v>2019</v>
      </c>
      <c r="B8" s="1" t="n">
        <v>1</v>
      </c>
      <c r="C8" s="1" t="inlineStr">
        <is>
          <t xml:space="preserve">ICIB20241</t>
        </is>
      </c>
      <c r="D8" s="1" t="inlineStr">
        <is>
          <t xml:space="preserve">ELIMINADO</t>
        </is>
      </c>
      <c r="E8" s="1" t="n">
        <v>1</v>
      </c>
      <c r="F8" s="1" t="n">
        <v>2</v>
      </c>
      <c r="G8" s="1" t="n">
        <f aca="false">IF(E8=0,"",IF(D8="VIGENTE",1,0))</f>
        <v>0</v>
      </c>
      <c r="H8" s="1" t="inlineStr">
        <is>
          <t xml:space="preserve">B observado / C cálculo</t>
        </is>
      </c>
    </row>
    <row r="9" customFormat="false" ht="15" hidden="false" customHeight="true" outlineLevel="0" collapsed="false">
      <c r="A9" s="1" t="n">
        <v>2019</v>
      </c>
      <c r="B9" s="1" t="n">
        <v>1</v>
      </c>
      <c r="C9" s="1" t="inlineStr">
        <is>
          <t xml:space="preserve">IECIRE20121</t>
        </is>
      </c>
      <c r="D9" s="1" t="inlineStr">
        <is>
          <t xml:space="preserve">ELIMINADO</t>
        </is>
      </c>
      <c r="E9" s="1" t="n">
        <v>1</v>
      </c>
      <c r="F9" s="1" t="n">
        <v>2</v>
      </c>
      <c r="G9" s="1" t="n">
        <f aca="false">IF(E9=0,"",IF(D9="VIGENTE",1,0))</f>
        <v>0</v>
      </c>
      <c r="H9" s="1" t="inlineStr">
        <is>
          <t xml:space="preserve">B observado / C cálculo</t>
        </is>
      </c>
    </row>
    <row r="10" customFormat="false" ht="15" hidden="false" customHeight="true" outlineLevel="0" collapsed="false">
      <c r="A10" s="1" t="n">
        <v>2019</v>
      </c>
      <c r="B10" s="1" t="n">
        <v>1</v>
      </c>
      <c r="C10" s="1" t="inlineStr">
        <is>
          <t xml:space="preserve">IECIRE20151</t>
        </is>
      </c>
      <c r="D10" s="1" t="inlineStr">
        <is>
          <t xml:space="preserve">ELIMINADO</t>
        </is>
      </c>
      <c r="E10" s="1" t="n">
        <v>7</v>
      </c>
      <c r="F10" s="1" t="n">
        <v>14</v>
      </c>
      <c r="G10" s="1" t="n">
        <f aca="false">IF(E10=0,"",IF(D10="VIGENTE",1,0))</f>
        <v>0</v>
      </c>
      <c r="H10" s="1" t="inlineStr">
        <is>
          <t xml:space="preserve">B observado / C cálculo</t>
        </is>
      </c>
    </row>
    <row r="11" customFormat="false" ht="15" hidden="false" customHeight="true" outlineLevel="0" collapsed="false">
      <c r="A11" s="1" t="n">
        <v>2019</v>
      </c>
      <c r="B11" s="1" t="n">
        <v>1</v>
      </c>
      <c r="C11" s="1" t="inlineStr">
        <is>
          <t xml:space="preserve">IECIRE20151</t>
        </is>
      </c>
      <c r="D11" s="1" t="inlineStr">
        <is>
          <t xml:space="preserve">TITULADO</t>
        </is>
      </c>
      <c r="E11" s="1" t="n">
        <v>24</v>
      </c>
      <c r="F11" s="1" t="n">
        <v>52</v>
      </c>
      <c r="G11" s="1" t="n">
        <f aca="false">IF(E11=0,"",IF(D11="VIGENTE",1,0))</f>
        <v>0</v>
      </c>
      <c r="H11" s="1" t="inlineStr">
        <is>
          <t xml:space="preserve">B observado / C cálculo</t>
        </is>
      </c>
    </row>
    <row r="12" customFormat="false" ht="15" hidden="false" customHeight="true" outlineLevel="0" collapsed="false">
      <c r="A12" s="1" t="n">
        <v>2019</v>
      </c>
      <c r="B12" s="1" t="n">
        <v>1</v>
      </c>
      <c r="C12" s="1" t="inlineStr">
        <is>
          <t xml:space="preserve">IECIRE20191</t>
        </is>
      </c>
      <c r="D12" s="1" t="inlineStr">
        <is>
          <t xml:space="preserve">ELIMINADO</t>
        </is>
      </c>
      <c r="E12" s="1" t="n">
        <v>29</v>
      </c>
      <c r="F12" s="1" t="n">
        <v>58</v>
      </c>
      <c r="G12" s="1" t="n">
        <f aca="false">IF(E12=0,"",IF(D12="VIGENTE",1,0))</f>
        <v>0</v>
      </c>
      <c r="H12" s="1" t="inlineStr">
        <is>
          <t xml:space="preserve">B observado / C cálculo</t>
        </is>
      </c>
    </row>
    <row r="13" customFormat="false" ht="15" hidden="false" customHeight="true" outlineLevel="0" collapsed="false">
      <c r="A13" s="1" t="n">
        <v>2019</v>
      </c>
      <c r="B13" s="1" t="n">
        <v>1</v>
      </c>
      <c r="C13" s="1" t="inlineStr">
        <is>
          <t xml:space="preserve">IECIRE20191</t>
        </is>
      </c>
      <c r="D13" s="1" t="inlineStr">
        <is>
          <t xml:space="preserve">TITULADO</t>
        </is>
      </c>
      <c r="E13" s="1" t="n">
        <v>6</v>
      </c>
      <c r="F13" s="1" t="n">
        <v>12</v>
      </c>
      <c r="G13" s="1" t="n">
        <f aca="false">IF(E13=0,"",IF(D13="VIGENTE",1,0))</f>
        <v>0</v>
      </c>
      <c r="H13" s="1" t="inlineStr">
        <is>
          <t xml:space="preserve">B observado / C cálculo</t>
        </is>
      </c>
    </row>
    <row r="14" customFormat="false" ht="15" hidden="false" customHeight="true" outlineLevel="0" collapsed="false">
      <c r="A14" s="1" t="n">
        <v>2019</v>
      </c>
      <c r="B14" s="1" t="n">
        <v>1</v>
      </c>
      <c r="C14" s="1" t="inlineStr">
        <is>
          <t xml:space="preserve">IECIRE2020</t>
        </is>
      </c>
      <c r="D14" s="1" t="inlineStr">
        <is>
          <t xml:space="preserve">TITULADO</t>
        </is>
      </c>
      <c r="E14" s="1" t="n">
        <v>1</v>
      </c>
      <c r="F14" s="1" t="n">
        <v>2</v>
      </c>
      <c r="G14" s="1" t="n">
        <f aca="false">IF(E14=0,"",IF(D14="VIGENTE",1,0))</f>
        <v>0</v>
      </c>
      <c r="H14" s="1" t="inlineStr">
        <is>
          <t xml:space="preserve">B observado / C cálculo</t>
        </is>
      </c>
    </row>
    <row r="15" customFormat="false" ht="15" hidden="false" customHeight="true" outlineLevel="0" collapsed="false">
      <c r="A15" s="1" t="n">
        <v>2019</v>
      </c>
      <c r="B15" s="1" t="n">
        <v>1</v>
      </c>
      <c r="C15" s="1" t="inlineStr">
        <is>
          <t xml:space="preserve">IECIRE20211</t>
        </is>
      </c>
      <c r="D15" s="1" t="inlineStr">
        <is>
          <t xml:space="preserve">TITULADO</t>
        </is>
      </c>
      <c r="E15" s="1" t="n">
        <v>1</v>
      </c>
      <c r="F15" s="1" t="n">
        <v>2</v>
      </c>
      <c r="G15" s="1" t="n">
        <f aca="false">IF(E15=0,"",IF(D15="VIGENTE",1,0))</f>
        <v>0</v>
      </c>
      <c r="H15" s="1" t="inlineStr">
        <is>
          <t xml:space="preserve">B observado / C cálculo</t>
        </is>
      </c>
    </row>
    <row r="16" customFormat="false" ht="15" hidden="false" customHeight="true" outlineLevel="0" collapsed="false">
      <c r="A16" s="1" t="n">
        <v>2019</v>
      </c>
      <c r="B16" s="1" t="n">
        <v>1</v>
      </c>
      <c r="C16" s="1" t="inlineStr">
        <is>
          <t xml:space="preserve">IECIREOL</t>
        </is>
      </c>
      <c r="D16" s="1" t="inlineStr">
        <is>
          <t xml:space="preserve">ELIMINADO</t>
        </is>
      </c>
      <c r="E16" s="1" t="n">
        <v>1</v>
      </c>
      <c r="F16" s="1" t="n">
        <v>1</v>
      </c>
      <c r="G16" s="1" t="n">
        <f aca="false">IF(E16=0,"",IF(D16="VIGENTE",1,0))</f>
        <v>0</v>
      </c>
      <c r="H16" s="1" t="inlineStr">
        <is>
          <t xml:space="preserve">B observado / C cálculo</t>
        </is>
      </c>
    </row>
    <row r="17" customFormat="false" ht="15" hidden="false" customHeight="true" outlineLevel="0" collapsed="false">
      <c r="A17" s="1" t="n">
        <v>2019</v>
      </c>
      <c r="B17" s="1" t="n">
        <v>1</v>
      </c>
      <c r="C17" s="1" t="inlineStr">
        <is>
          <t xml:space="preserve">IECIREOL</t>
        </is>
      </c>
      <c r="D17" s="1" t="inlineStr">
        <is>
          <t xml:space="preserve">TITULADO</t>
        </is>
      </c>
      <c r="E17" s="1" t="n">
        <v>4</v>
      </c>
      <c r="F17" s="1" t="n">
        <v>8</v>
      </c>
      <c r="G17" s="1" t="n">
        <f aca="false">IF(E17=0,"",IF(D17="VIGENTE",1,0))</f>
        <v>0</v>
      </c>
      <c r="H17" s="1" t="inlineStr">
        <is>
          <t xml:space="preserve">B observado / C cálculo</t>
        </is>
      </c>
    </row>
    <row r="18" customFormat="false" ht="15" hidden="false" customHeight="true" outlineLevel="0" collapsed="false">
      <c r="A18" s="1" t="n">
        <v>2019</v>
      </c>
      <c r="B18" s="1" t="n">
        <v>1</v>
      </c>
      <c r="C18" s="1" t="inlineStr">
        <is>
          <t xml:space="preserve">IECIREOL20191</t>
        </is>
      </c>
      <c r="D18" s="1" t="inlineStr">
        <is>
          <t xml:space="preserve">ELIMINADO</t>
        </is>
      </c>
      <c r="E18" s="1" t="n">
        <v>1</v>
      </c>
      <c r="F18" s="1" t="n">
        <v>2</v>
      </c>
      <c r="G18" s="1" t="n">
        <f aca="false">IF(E18=0,"",IF(D18="VIGENTE",1,0))</f>
        <v>0</v>
      </c>
      <c r="H18" s="1" t="inlineStr">
        <is>
          <t xml:space="preserve">B observado / C cálculo</t>
        </is>
      </c>
    </row>
    <row r="19" customFormat="false" ht="15" hidden="false" customHeight="true" outlineLevel="0" collapsed="false">
      <c r="A19" s="1" t="n">
        <v>2019</v>
      </c>
      <c r="B19" s="1" t="n">
        <v>1</v>
      </c>
      <c r="C19" s="1" t="inlineStr">
        <is>
          <t xml:space="preserve">IECSRE20191</t>
        </is>
      </c>
      <c r="D19" s="1" t="inlineStr">
        <is>
          <t xml:space="preserve">ELIMINADO</t>
        </is>
      </c>
      <c r="E19" s="1" t="n">
        <v>7</v>
      </c>
      <c r="F19" s="1" t="n">
        <v>14</v>
      </c>
      <c r="G19" s="1" t="n">
        <f aca="false">IF(E19=0,"",IF(D19="VIGENTE",1,0))</f>
        <v>0</v>
      </c>
      <c r="H19" s="1" t="inlineStr">
        <is>
          <t xml:space="preserve">B observado / C cálculo</t>
        </is>
      </c>
    </row>
    <row r="20" customFormat="false" ht="15" hidden="false" customHeight="true" outlineLevel="0" collapsed="false">
      <c r="A20" s="1" t="n">
        <v>2019</v>
      </c>
      <c r="B20" s="1" t="n">
        <v>1</v>
      </c>
      <c r="C20" s="1" t="inlineStr">
        <is>
          <t xml:space="preserve">IECSRE20191</t>
        </is>
      </c>
      <c r="D20" s="1" t="inlineStr">
        <is>
          <t xml:space="preserve">TITULADO</t>
        </is>
      </c>
      <c r="E20" s="1" t="n">
        <v>5</v>
      </c>
      <c r="F20" s="1" t="n">
        <v>20</v>
      </c>
      <c r="G20" s="1" t="n">
        <f aca="false">IF(E20=0,"",IF(D20="VIGENTE",1,0))</f>
        <v>0</v>
      </c>
      <c r="H20" s="1" t="inlineStr">
        <is>
          <t xml:space="preserve">B observado / C cálculo</t>
        </is>
      </c>
    </row>
    <row r="21" customFormat="false" ht="15" hidden="false" customHeight="true" outlineLevel="0" collapsed="false">
      <c r="A21" s="1" t="n">
        <v>2019</v>
      </c>
      <c r="B21" s="1" t="n">
        <v>1</v>
      </c>
      <c r="C21" s="1" t="inlineStr">
        <is>
          <t xml:space="preserve">IEMORE20171</t>
        </is>
      </c>
      <c r="D21" s="1" t="inlineStr">
        <is>
          <t xml:space="preserve">ELIMINADO</t>
        </is>
      </c>
      <c r="E21" s="1" t="n">
        <v>4</v>
      </c>
      <c r="F21" s="1" t="n">
        <v>20</v>
      </c>
      <c r="G21" s="1" t="n">
        <f aca="false">IF(E21=0,"",IF(D21="VIGENTE",1,0))</f>
        <v>0</v>
      </c>
      <c r="H21" s="1" t="inlineStr">
        <is>
          <t xml:space="preserve">B observado / C cálculo</t>
        </is>
      </c>
    </row>
    <row r="22" customFormat="false" ht="15" hidden="false" customHeight="true" outlineLevel="0" collapsed="false">
      <c r="A22" s="1" t="n">
        <v>2019</v>
      </c>
      <c r="B22" s="1" t="n">
        <v>1</v>
      </c>
      <c r="C22" s="1" t="inlineStr">
        <is>
          <t xml:space="preserve">IEMORE20171</t>
        </is>
      </c>
      <c r="D22" s="1" t="inlineStr">
        <is>
          <t xml:space="preserve">TITULADO</t>
        </is>
      </c>
      <c r="E22" s="1" t="n">
        <v>5</v>
      </c>
      <c r="F22" s="1" t="n">
        <v>25</v>
      </c>
      <c r="G22" s="1" t="n">
        <f aca="false">IF(E22=0,"",IF(D22="VIGENTE",1,0))</f>
        <v>0</v>
      </c>
      <c r="H22" s="1" t="inlineStr">
        <is>
          <t xml:space="preserve">B observado / C cálculo</t>
        </is>
      </c>
    </row>
    <row r="23" customFormat="false" ht="15" hidden="false" customHeight="true" outlineLevel="0" collapsed="false">
      <c r="A23" s="1" t="n">
        <v>2019</v>
      </c>
      <c r="B23" s="1" t="n">
        <v>1</v>
      </c>
      <c r="C23" s="1" t="inlineStr">
        <is>
          <t xml:space="preserve">IEMORE20171</t>
        </is>
      </c>
      <c r="D23" s="1" t="inlineStr">
        <is>
          <t xml:space="preserve">VIGENTE</t>
        </is>
      </c>
      <c r="E23" s="1" t="n">
        <v>1</v>
      </c>
      <c r="F23" s="1" t="n">
        <v>2</v>
      </c>
      <c r="G23" s="1" t="n">
        <f aca="false">IF(E23=0,"",IF(D23="VIGENTE",1,0))</f>
        <v>1</v>
      </c>
      <c r="H23" s="1" t="inlineStr">
        <is>
          <t xml:space="preserve">B observado / C cálculo</t>
        </is>
      </c>
    </row>
    <row r="24" customFormat="false" ht="15" hidden="false" customHeight="true" outlineLevel="0" collapsed="false">
      <c r="A24" s="1" t="n">
        <v>2019</v>
      </c>
      <c r="B24" s="1" t="n">
        <v>1</v>
      </c>
      <c r="C24" s="1" t="inlineStr">
        <is>
          <t xml:space="preserve">IEMORE20211</t>
        </is>
      </c>
      <c r="D24" s="1" t="inlineStr">
        <is>
          <t xml:space="preserve">TITULADO</t>
        </is>
      </c>
      <c r="E24" s="1" t="n">
        <v>1</v>
      </c>
      <c r="F24" s="1" t="n">
        <v>5</v>
      </c>
      <c r="G24" s="1" t="n">
        <f aca="false">IF(E24=0,"",IF(D24="VIGENTE",1,0))</f>
        <v>0</v>
      </c>
      <c r="H24" s="1" t="inlineStr">
        <is>
          <t xml:space="preserve">B observado / C cálculo</t>
        </is>
      </c>
    </row>
    <row r="25" customFormat="false" ht="15" hidden="false" customHeight="true" outlineLevel="0" collapsed="false">
      <c r="A25" s="1" t="n">
        <v>2019</v>
      </c>
      <c r="B25" s="1" t="n">
        <v>1</v>
      </c>
      <c r="C25" s="1" t="inlineStr">
        <is>
          <t xml:space="preserve">IETMRE20121</t>
        </is>
      </c>
      <c r="D25" s="1" t="inlineStr">
        <is>
          <t xml:space="preserve">ELIMINADO</t>
        </is>
      </c>
      <c r="E25" s="1" t="n">
        <v>1</v>
      </c>
      <c r="F25" s="1" t="n">
        <v>2</v>
      </c>
      <c r="G25" s="1" t="n">
        <f aca="false">IF(E25=0,"",IF(D25="VIGENTE",1,0))</f>
        <v>0</v>
      </c>
      <c r="H25" s="1" t="inlineStr">
        <is>
          <t xml:space="preserve">B observado / C cálculo</t>
        </is>
      </c>
    </row>
    <row r="26" customFormat="false" ht="15" hidden="false" customHeight="true" outlineLevel="0" collapsed="false">
      <c r="A26" s="1" t="n">
        <v>2019</v>
      </c>
      <c r="B26" s="1" t="n">
        <v>1</v>
      </c>
      <c r="C26" s="1" t="inlineStr">
        <is>
          <t xml:space="preserve">IETMRE20121</t>
        </is>
      </c>
      <c r="D26" s="1" t="inlineStr">
        <is>
          <t xml:space="preserve">TITULADO</t>
        </is>
      </c>
      <c r="E26" s="1" t="n">
        <v>2</v>
      </c>
      <c r="F26" s="1" t="n">
        <v>2</v>
      </c>
      <c r="G26" s="1" t="n">
        <f aca="false">IF(E26=0,"",IF(D26="VIGENTE",1,0))</f>
        <v>0</v>
      </c>
      <c r="H26" s="1" t="inlineStr">
        <is>
          <t xml:space="preserve">B observado / C cálculo</t>
        </is>
      </c>
    </row>
    <row r="27" customFormat="false" ht="15" hidden="false" customHeight="true" outlineLevel="0" collapsed="false">
      <c r="A27" s="1" t="n">
        <v>2019</v>
      </c>
      <c r="B27" s="1" t="n">
        <v>1</v>
      </c>
      <c r="C27" s="1" t="inlineStr">
        <is>
          <t xml:space="preserve">IETMRE20161</t>
        </is>
      </c>
      <c r="D27" s="1" t="inlineStr">
        <is>
          <t xml:space="preserve">TITULADO</t>
        </is>
      </c>
      <c r="E27" s="1" t="n">
        <v>15</v>
      </c>
      <c r="F27" s="1" t="n">
        <v>15</v>
      </c>
      <c r="G27" s="1" t="n">
        <f aca="false">IF(E27=0,"",IF(D27="VIGENTE",1,0))</f>
        <v>0</v>
      </c>
      <c r="H27" s="1" t="inlineStr">
        <is>
          <t xml:space="preserve">B observado / C cálculo</t>
        </is>
      </c>
    </row>
    <row r="28" customFormat="false" ht="15" hidden="false" customHeight="true" outlineLevel="0" collapsed="false">
      <c r="A28" s="1" t="n">
        <v>2019</v>
      </c>
      <c r="B28" s="1" t="n">
        <v>1</v>
      </c>
      <c r="C28" s="1" t="inlineStr">
        <is>
          <t xml:space="preserve">IETMRE20191</t>
        </is>
      </c>
      <c r="D28" s="1" t="inlineStr">
        <is>
          <t xml:space="preserve">ELIMINADO</t>
        </is>
      </c>
      <c r="E28" s="1" t="n">
        <v>16</v>
      </c>
      <c r="F28" s="1" t="n">
        <v>32</v>
      </c>
      <c r="G28" s="1" t="n">
        <f aca="false">IF(E28=0,"",IF(D28="VIGENTE",1,0))</f>
        <v>0</v>
      </c>
      <c r="H28" s="1" t="inlineStr">
        <is>
          <t xml:space="preserve">B observado / C cálculo</t>
        </is>
      </c>
    </row>
    <row r="29" customFormat="false" ht="15" hidden="false" customHeight="true" outlineLevel="0" collapsed="false">
      <c r="A29" s="1" t="n">
        <v>2019</v>
      </c>
      <c r="B29" s="1" t="n">
        <v>1</v>
      </c>
      <c r="C29" s="1" t="inlineStr">
        <is>
          <t xml:space="preserve">IETMRE20191</t>
        </is>
      </c>
      <c r="D29" s="1" t="inlineStr">
        <is>
          <t xml:space="preserve">TITULADO</t>
        </is>
      </c>
      <c r="E29" s="1" t="n">
        <v>1</v>
      </c>
      <c r="F29" s="1" t="n">
        <v>2</v>
      </c>
      <c r="G29" s="1" t="n">
        <f aca="false">IF(E29=0,"",IF(D29="VIGENTE",1,0))</f>
        <v>0</v>
      </c>
      <c r="H29" s="1" t="inlineStr">
        <is>
          <t xml:space="preserve">B observado / C cálculo</t>
        </is>
      </c>
    </row>
    <row r="30" customFormat="false" ht="15" hidden="false" customHeight="true" outlineLevel="0" collapsed="false">
      <c r="A30" s="1" t="n">
        <v>2019</v>
      </c>
      <c r="B30" s="1" t="n">
        <v>1</v>
      </c>
      <c r="C30" s="1" t="inlineStr">
        <is>
          <t xml:space="preserve">IETMREOL20191</t>
        </is>
      </c>
      <c r="D30" s="1" t="inlineStr">
        <is>
          <t xml:space="preserve">ELIMINADO</t>
        </is>
      </c>
      <c r="E30" s="1" t="n">
        <v>2</v>
      </c>
      <c r="F30" s="1" t="n">
        <v>6</v>
      </c>
      <c r="G30" s="1" t="n">
        <f aca="false">IF(E30=0,"",IF(D30="VIGENTE",1,0))</f>
        <v>0</v>
      </c>
      <c r="H30" s="1" t="inlineStr">
        <is>
          <t xml:space="preserve">B observado / C cálculo</t>
        </is>
      </c>
    </row>
    <row r="31" customFormat="false" ht="15" hidden="false" customHeight="true" outlineLevel="0" collapsed="false">
      <c r="A31" s="1" t="n">
        <v>2019</v>
      </c>
      <c r="B31" s="1" t="n">
        <v>1</v>
      </c>
      <c r="C31" s="1" t="inlineStr">
        <is>
          <t xml:space="preserve">NAUTRE</t>
        </is>
      </c>
      <c r="D31" s="1" t="inlineStr">
        <is>
          <t xml:space="preserve">ELIMINADO</t>
        </is>
      </c>
      <c r="E31" s="1" t="n">
        <v>1</v>
      </c>
      <c r="F31" s="1" t="n">
        <v>4</v>
      </c>
      <c r="G31" s="1" t="n">
        <f aca="false">IF(E31=0,"",IF(D31="VIGENTE",1,0))</f>
        <v>0</v>
      </c>
      <c r="H31" s="1" t="inlineStr">
        <is>
          <t xml:space="preserve">B observado / C cálculo</t>
        </is>
      </c>
    </row>
    <row r="32" customFormat="false" ht="15" hidden="false" customHeight="true" outlineLevel="0" collapsed="false">
      <c r="A32" s="1" t="n">
        <v>2019</v>
      </c>
      <c r="B32" s="1" t="n">
        <v>1</v>
      </c>
      <c r="C32" s="1" t="inlineStr">
        <is>
          <t xml:space="preserve">NAUTRE</t>
        </is>
      </c>
      <c r="D32" s="1" t="inlineStr">
        <is>
          <t xml:space="preserve">TITULADO</t>
        </is>
      </c>
      <c r="E32" s="1" t="n">
        <v>3</v>
      </c>
      <c r="F32" s="1" t="n">
        <v>15</v>
      </c>
      <c r="G32" s="1" t="n">
        <f aca="false">IF(E32=0,"",IF(D32="VIGENTE",1,0))</f>
        <v>0</v>
      </c>
      <c r="H32" s="1" t="inlineStr">
        <is>
          <t xml:space="preserve">B observado / C cálculo</t>
        </is>
      </c>
    </row>
    <row r="33" customFormat="false" ht="15" hidden="false" customHeight="true" outlineLevel="0" collapsed="false">
      <c r="A33" s="1" t="n">
        <v>2019</v>
      </c>
      <c r="B33" s="1" t="n">
        <v>1</v>
      </c>
      <c r="C33" s="1" t="inlineStr">
        <is>
          <t xml:space="preserve">NCONRE</t>
        </is>
      </c>
      <c r="D33" s="1" t="inlineStr">
        <is>
          <t xml:space="preserve">ELIMINADO</t>
        </is>
      </c>
      <c r="E33" s="1" t="n">
        <v>6</v>
      </c>
      <c r="F33" s="1" t="n">
        <v>6</v>
      </c>
      <c r="G33" s="1" t="n">
        <f aca="false">IF(E33=0,"",IF(D33="VIGENTE",1,0))</f>
        <v>0</v>
      </c>
      <c r="H33" s="1" t="inlineStr">
        <is>
          <t xml:space="preserve">B observado / C cálculo</t>
        </is>
      </c>
    </row>
    <row r="34" customFormat="false" ht="15" hidden="false" customHeight="true" outlineLevel="0" collapsed="false">
      <c r="A34" s="1" t="n">
        <v>2019</v>
      </c>
      <c r="B34" s="1" t="n">
        <v>1</v>
      </c>
      <c r="C34" s="1" t="inlineStr">
        <is>
          <t xml:space="preserve">NCONRE</t>
        </is>
      </c>
      <c r="D34" s="1" t="inlineStr">
        <is>
          <t xml:space="preserve">TITULADO</t>
        </is>
      </c>
      <c r="E34" s="1" t="n">
        <v>60</v>
      </c>
      <c r="F34" s="1" t="n">
        <v>63</v>
      </c>
      <c r="G34" s="1" t="n">
        <f aca="false">IF(E34=0,"",IF(D34="VIGENTE",1,0))</f>
        <v>0</v>
      </c>
      <c r="H34" s="1" t="inlineStr">
        <is>
          <t xml:space="preserve">B observado / C cálculo</t>
        </is>
      </c>
    </row>
    <row r="35" customFormat="false" ht="15" hidden="false" customHeight="true" outlineLevel="0" collapsed="false">
      <c r="A35" s="1" t="n">
        <v>2019</v>
      </c>
      <c r="B35" s="1" t="n">
        <v>1</v>
      </c>
      <c r="C35" s="1" t="inlineStr">
        <is>
          <t xml:space="preserve">NECIRE20151</t>
        </is>
      </c>
      <c r="D35" s="1" t="inlineStr">
        <is>
          <t xml:space="preserve">ELIMINADO</t>
        </is>
      </c>
      <c r="E35" s="1" t="n">
        <v>1</v>
      </c>
      <c r="F35" s="1" t="n">
        <v>1</v>
      </c>
      <c r="G35" s="1" t="n">
        <f aca="false">IF(E35=0,"",IF(D35="VIGENTE",1,0))</f>
        <v>0</v>
      </c>
      <c r="H35" s="1" t="inlineStr">
        <is>
          <t xml:space="preserve">B observado / C cálculo</t>
        </is>
      </c>
    </row>
    <row r="36" customFormat="false" ht="15" hidden="false" customHeight="true" outlineLevel="0" collapsed="false">
      <c r="A36" s="1" t="n">
        <v>2019</v>
      </c>
      <c r="B36" s="1" t="n">
        <v>1</v>
      </c>
      <c r="C36" s="1" t="inlineStr">
        <is>
          <t xml:space="preserve">NECIRE20151</t>
        </is>
      </c>
      <c r="D36" s="1" t="inlineStr">
        <is>
          <t xml:space="preserve">TITULADO</t>
        </is>
      </c>
      <c r="E36" s="1" t="n">
        <v>2</v>
      </c>
      <c r="F36" s="1" t="n">
        <v>3</v>
      </c>
      <c r="G36" s="1" t="n">
        <f aca="false">IF(E36=0,"",IF(D36="VIGENTE",1,0))</f>
        <v>0</v>
      </c>
      <c r="H36" s="1" t="inlineStr">
        <is>
          <t xml:space="preserve">B observado / C cálculo</t>
        </is>
      </c>
    </row>
    <row r="37" customFormat="false" ht="15" hidden="false" customHeight="true" outlineLevel="0" collapsed="false">
      <c r="A37" s="1" t="n">
        <v>2019</v>
      </c>
      <c r="B37" s="1" t="n">
        <v>1</v>
      </c>
      <c r="C37" s="1" t="inlineStr">
        <is>
          <t xml:space="preserve">NETMRE20121</t>
        </is>
      </c>
      <c r="D37" s="1" t="inlineStr">
        <is>
          <t xml:space="preserve">TITULADO</t>
        </is>
      </c>
      <c r="E37" s="1" t="n">
        <v>1</v>
      </c>
      <c r="F37" s="1" t="n">
        <v>2</v>
      </c>
      <c r="G37" s="1" t="n">
        <f aca="false">IF(E37=0,"",IF(D37="VIGENTE",1,0))</f>
        <v>0</v>
      </c>
      <c r="H37" s="1" t="inlineStr">
        <is>
          <t xml:space="preserve">B observado / C cálculo</t>
        </is>
      </c>
    </row>
    <row r="38" customFormat="false" ht="15" hidden="false" customHeight="true" outlineLevel="0" collapsed="false">
      <c r="A38" s="1" t="n">
        <v>2019</v>
      </c>
      <c r="B38" s="1" t="n">
        <v>1</v>
      </c>
      <c r="C38" s="1" t="inlineStr">
        <is>
          <t xml:space="preserve">NICCRE20191</t>
        </is>
      </c>
      <c r="D38" s="1" t="inlineStr">
        <is>
          <t xml:space="preserve">ELIMINADO</t>
        </is>
      </c>
      <c r="E38" s="1" t="n">
        <v>2</v>
      </c>
      <c r="F38" s="1" t="n">
        <v>2</v>
      </c>
      <c r="G38" s="1" t="n">
        <f aca="false">IF(E38=0,"",IF(D38="VIGENTE",1,0))</f>
        <v>0</v>
      </c>
      <c r="H38" s="1" t="inlineStr">
        <is>
          <t xml:space="preserve">B observado / C cálculo</t>
        </is>
      </c>
    </row>
    <row r="39" customFormat="false" ht="15" hidden="false" customHeight="true" outlineLevel="0" collapsed="false">
      <c r="A39" s="1" t="n">
        <v>2019</v>
      </c>
      <c r="B39" s="1" t="n">
        <v>1</v>
      </c>
      <c r="C39" s="1" t="inlineStr">
        <is>
          <t xml:space="preserve">NICCRE20191</t>
        </is>
      </c>
      <c r="D39" s="1" t="inlineStr">
        <is>
          <t xml:space="preserve">TITULADO</t>
        </is>
      </c>
      <c r="E39" s="1" t="n">
        <v>5</v>
      </c>
      <c r="F39" s="1" t="n">
        <v>5</v>
      </c>
      <c r="G39" s="1" t="n">
        <f aca="false">IF(E39=0,"",IF(D39="VIGENTE",1,0))</f>
        <v>0</v>
      </c>
      <c r="H39" s="1" t="inlineStr">
        <is>
          <t xml:space="preserve">B observado / C cálculo</t>
        </is>
      </c>
    </row>
    <row r="40" customFormat="false" ht="15" hidden="false" customHeight="true" outlineLevel="0" collapsed="false">
      <c r="A40" s="1" t="n">
        <v>2019</v>
      </c>
      <c r="B40" s="1" t="n">
        <v>1</v>
      </c>
      <c r="C40" s="1" t="inlineStr">
        <is>
          <t xml:space="preserve">NICIRE20151</t>
        </is>
      </c>
      <c r="D40" s="1" t="inlineStr">
        <is>
          <t xml:space="preserve">ELIMINADO</t>
        </is>
      </c>
      <c r="E40" s="1" t="n">
        <v>1</v>
      </c>
      <c r="F40" s="1" t="n">
        <v>1</v>
      </c>
      <c r="G40" s="1" t="n">
        <f aca="false">IF(E40=0,"",IF(D40="VIGENTE",1,0))</f>
        <v>0</v>
      </c>
      <c r="H40" s="1" t="inlineStr">
        <is>
          <t xml:space="preserve">B observado / C cálculo</t>
        </is>
      </c>
    </row>
    <row r="41" customFormat="false" ht="15" hidden="false" customHeight="true" outlineLevel="0" collapsed="false">
      <c r="A41" s="1" t="n">
        <v>2019</v>
      </c>
      <c r="B41" s="1" t="n">
        <v>1</v>
      </c>
      <c r="C41" s="1" t="inlineStr">
        <is>
          <t xml:space="preserve">NINFRE</t>
        </is>
      </c>
      <c r="D41" s="1" t="inlineStr">
        <is>
          <t xml:space="preserve">ELIMINADO</t>
        </is>
      </c>
      <c r="E41" s="1" t="n">
        <v>2</v>
      </c>
      <c r="F41" s="1" t="n">
        <v>4</v>
      </c>
      <c r="G41" s="1" t="n">
        <f aca="false">IF(E41=0,"",IF(D41="VIGENTE",1,0))</f>
        <v>0</v>
      </c>
      <c r="H41" s="1" t="inlineStr">
        <is>
          <t xml:space="preserve">B observado / C cálculo</t>
        </is>
      </c>
    </row>
    <row r="42" customFormat="false" ht="15" hidden="false" customHeight="true" outlineLevel="0" collapsed="false">
      <c r="A42" s="1" t="n">
        <v>2019</v>
      </c>
      <c r="B42" s="1" t="n">
        <v>1</v>
      </c>
      <c r="C42" s="1" t="inlineStr">
        <is>
          <t xml:space="preserve">NINFRE</t>
        </is>
      </c>
      <c r="D42" s="1" t="inlineStr">
        <is>
          <t xml:space="preserve">TITULADO</t>
        </is>
      </c>
      <c r="E42" s="1" t="n">
        <v>22</v>
      </c>
      <c r="F42" s="1" t="n">
        <v>41</v>
      </c>
      <c r="G42" s="1" t="n">
        <f aca="false">IF(E42=0,"",IF(D42="VIGENTE",1,0))</f>
        <v>0</v>
      </c>
      <c r="H42" s="1" t="inlineStr">
        <is>
          <t xml:space="preserve">B observado / C cálculo</t>
        </is>
      </c>
    </row>
    <row r="43" customFormat="false" ht="15" hidden="false" customHeight="true" outlineLevel="0" collapsed="false">
      <c r="A43" s="1" t="n">
        <v>2019</v>
      </c>
      <c r="B43" s="1" t="n">
        <v>1</v>
      </c>
      <c r="C43" s="1" t="inlineStr">
        <is>
          <t xml:space="preserve">NTCCRE20191</t>
        </is>
      </c>
      <c r="D43" s="1" t="inlineStr">
        <is>
          <t xml:space="preserve">ELIMINADO</t>
        </is>
      </c>
      <c r="E43" s="1" t="n">
        <v>6</v>
      </c>
      <c r="F43" s="1" t="n">
        <v>6</v>
      </c>
      <c r="G43" s="1" t="n">
        <f aca="false">IF(E43=0,"",IF(D43="VIGENTE",1,0))</f>
        <v>0</v>
      </c>
      <c r="H43" s="1" t="inlineStr">
        <is>
          <t xml:space="preserve">B observado / C cálculo</t>
        </is>
      </c>
    </row>
    <row r="44" customFormat="false" ht="15" hidden="false" customHeight="true" outlineLevel="0" collapsed="false">
      <c r="A44" s="1" t="n">
        <v>2019</v>
      </c>
      <c r="B44" s="1" t="n">
        <v>1</v>
      </c>
      <c r="C44" s="1" t="inlineStr">
        <is>
          <t xml:space="preserve">NTCCRE20191</t>
        </is>
      </c>
      <c r="D44" s="1" t="inlineStr">
        <is>
          <t xml:space="preserve">TITULADO</t>
        </is>
      </c>
      <c r="E44" s="1" t="n">
        <v>19</v>
      </c>
      <c r="F44" s="1" t="n">
        <v>20</v>
      </c>
      <c r="G44" s="1" t="n">
        <f aca="false">IF(E44=0,"",IF(D44="VIGENTE",1,0))</f>
        <v>0</v>
      </c>
      <c r="H44" s="1" t="inlineStr">
        <is>
          <t xml:space="preserve">B observado / C cálculo</t>
        </is>
      </c>
    </row>
    <row r="45" customFormat="false" ht="15" hidden="false" customHeight="true" outlineLevel="0" collapsed="false">
      <c r="A45" s="1" t="n">
        <v>2019</v>
      </c>
      <c r="B45" s="1" t="n">
        <v>1</v>
      </c>
      <c r="C45" s="1" t="inlineStr">
        <is>
          <t xml:space="preserve">TASRE20191</t>
        </is>
      </c>
      <c r="D45" s="1" t="inlineStr">
        <is>
          <t xml:space="preserve">ELIMINADO</t>
        </is>
      </c>
      <c r="E45" s="1" t="n">
        <v>28</v>
      </c>
      <c r="F45" s="1" t="n">
        <v>58</v>
      </c>
      <c r="G45" s="1" t="n">
        <f aca="false">IF(E45=0,"",IF(D45="VIGENTE",1,0))</f>
        <v>0</v>
      </c>
      <c r="H45" s="1" t="inlineStr">
        <is>
          <t xml:space="preserve">B observado / C cálculo</t>
        </is>
      </c>
    </row>
    <row r="46" customFormat="false" ht="15" hidden="false" customHeight="true" outlineLevel="0" collapsed="false">
      <c r="A46" s="1" t="n">
        <v>2019</v>
      </c>
      <c r="B46" s="1" t="n">
        <v>1</v>
      </c>
      <c r="C46" s="1" t="inlineStr">
        <is>
          <t xml:space="preserve">TASRE20191</t>
        </is>
      </c>
      <c r="D46" s="1" t="inlineStr">
        <is>
          <t xml:space="preserve">TITULADO</t>
        </is>
      </c>
      <c r="E46" s="1" t="n">
        <v>2</v>
      </c>
      <c r="F46" s="1" t="n">
        <v>4</v>
      </c>
      <c r="G46" s="1" t="n">
        <f aca="false">IF(E46=0,"",IF(D46="VIGENTE",1,0))</f>
        <v>0</v>
      </c>
      <c r="H46" s="1" t="inlineStr">
        <is>
          <t xml:space="preserve">B observado / C cálculo</t>
        </is>
      </c>
    </row>
    <row r="47" customFormat="false" ht="15" hidden="false" customHeight="true" outlineLevel="0" collapsed="false">
      <c r="A47" s="1" t="n">
        <v>2019</v>
      </c>
      <c r="B47" s="1" t="n">
        <v>1</v>
      </c>
      <c r="C47" s="1" t="inlineStr">
        <is>
          <t xml:space="preserve">TCSRE20191</t>
        </is>
      </c>
      <c r="D47" s="1" t="inlineStr">
        <is>
          <t xml:space="preserve">ELIMINADO</t>
        </is>
      </c>
      <c r="E47" s="1" t="n">
        <v>9</v>
      </c>
      <c r="F47" s="1" t="n">
        <v>19</v>
      </c>
      <c r="G47" s="1" t="n">
        <f aca="false">IF(E47=0,"",IF(D47="VIGENTE",1,0))</f>
        <v>0</v>
      </c>
      <c r="H47" s="1" t="inlineStr">
        <is>
          <t xml:space="preserve">B observado / C cálculo</t>
        </is>
      </c>
    </row>
    <row r="48" customFormat="false" ht="15" hidden="false" customHeight="true" outlineLevel="0" collapsed="false">
      <c r="A48" s="1" t="n">
        <v>2019</v>
      </c>
      <c r="B48" s="1" t="n">
        <v>1</v>
      </c>
      <c r="C48" s="1" t="inlineStr">
        <is>
          <t xml:space="preserve">TCSRE20191</t>
        </is>
      </c>
      <c r="D48" s="1" t="inlineStr">
        <is>
          <t xml:space="preserve">TITULADO</t>
        </is>
      </c>
      <c r="E48" s="1" t="n">
        <v>3</v>
      </c>
      <c r="F48" s="1" t="n">
        <v>6</v>
      </c>
      <c r="G48" s="1" t="n">
        <f aca="false">IF(E48=0,"",IF(D48="VIGENTE",1,0))</f>
        <v>0</v>
      </c>
      <c r="H48" s="1" t="inlineStr">
        <is>
          <t xml:space="preserve">B observado / C cálculo</t>
        </is>
      </c>
    </row>
    <row r="49" customFormat="false" ht="15" hidden="false" customHeight="true" outlineLevel="0" collapsed="false">
      <c r="A49" s="1" t="n">
        <v>2019</v>
      </c>
      <c r="B49" s="1" t="n">
        <v>1</v>
      </c>
      <c r="C49" s="1" t="inlineStr">
        <is>
          <t xml:space="preserve">TMIRE20171</t>
        </is>
      </c>
      <c r="D49" s="1" t="inlineStr">
        <is>
          <t xml:space="preserve">ELIMINADO</t>
        </is>
      </c>
      <c r="E49" s="1" t="n">
        <v>3</v>
      </c>
      <c r="F49" s="1" t="n">
        <v>4</v>
      </c>
      <c r="G49" s="1" t="n">
        <f aca="false">IF(E49=0,"",IF(D49="VIGENTE",1,0))</f>
        <v>0</v>
      </c>
      <c r="H49" s="1" t="inlineStr">
        <is>
          <t xml:space="preserve">B observado / C cálculo</t>
        </is>
      </c>
    </row>
    <row r="50" customFormat="false" ht="15" hidden="false" customHeight="true" outlineLevel="0" collapsed="false">
      <c r="A50" s="1" t="n">
        <v>2019</v>
      </c>
      <c r="B50" s="1" t="n">
        <v>1</v>
      </c>
      <c r="C50" s="1" t="inlineStr">
        <is>
          <t xml:space="preserve">TMIRE20171</t>
        </is>
      </c>
      <c r="D50" s="1" t="inlineStr">
        <is>
          <t xml:space="preserve">TITULADO</t>
        </is>
      </c>
      <c r="E50" s="1" t="n">
        <v>11</v>
      </c>
      <c r="F50" s="1" t="n">
        <v>22</v>
      </c>
      <c r="G50" s="1" t="n">
        <f aca="false">IF(E50=0,"",IF(D50="VIGENTE",1,0))</f>
        <v>0</v>
      </c>
      <c r="H50" s="1" t="inlineStr">
        <is>
          <t xml:space="preserve">B observado / C cálculo</t>
        </is>
      </c>
    </row>
    <row r="51" customFormat="false" ht="15" hidden="false" customHeight="true" outlineLevel="0" collapsed="false">
      <c r="A51" s="1" t="n">
        <v>2019</v>
      </c>
      <c r="B51" s="1" t="n">
        <v>1</v>
      </c>
      <c r="C51" s="1" t="inlineStr">
        <is>
          <t xml:space="preserve">TPARE2020</t>
        </is>
      </c>
      <c r="D51" s="1" t="inlineStr">
        <is>
          <t xml:space="preserve">ELIMINADO</t>
        </is>
      </c>
      <c r="E51" s="1" t="n">
        <v>1</v>
      </c>
      <c r="F51" s="1" t="n">
        <v>1</v>
      </c>
      <c r="G51" s="1" t="n">
        <f aca="false">IF(E51=0,"",IF(D51="VIGENTE",1,0))</f>
        <v>0</v>
      </c>
      <c r="H51" s="1" t="inlineStr">
        <is>
          <t xml:space="preserve">B observado / C cálculo</t>
        </is>
      </c>
    </row>
    <row r="52" customFormat="false" ht="15" hidden="false" customHeight="true" outlineLevel="0" collapsed="false">
      <c r="A52" s="1" t="n">
        <v>2019</v>
      </c>
      <c r="B52" s="1" t="n">
        <v>1</v>
      </c>
      <c r="C52" s="1" t="inlineStr">
        <is>
          <t xml:space="preserve">TPCRE20151</t>
        </is>
      </c>
      <c r="D52" s="1" t="inlineStr">
        <is>
          <t xml:space="preserve">ELIMINADO</t>
        </is>
      </c>
      <c r="E52" s="1" t="n">
        <v>4</v>
      </c>
      <c r="F52" s="1" t="n">
        <v>7</v>
      </c>
      <c r="G52" s="1" t="n">
        <f aca="false">IF(E52=0,"",IF(D52="VIGENTE",1,0))</f>
        <v>0</v>
      </c>
      <c r="H52" s="1" t="inlineStr">
        <is>
          <t xml:space="preserve">B observado / C cálculo</t>
        </is>
      </c>
    </row>
    <row r="53" customFormat="false" ht="15" hidden="false" customHeight="true" outlineLevel="0" collapsed="false">
      <c r="A53" s="1" t="n">
        <v>2019</v>
      </c>
      <c r="B53" s="1" t="n">
        <v>1</v>
      </c>
      <c r="C53" s="1" t="inlineStr">
        <is>
          <t xml:space="preserve">TPCRE20151</t>
        </is>
      </c>
      <c r="D53" s="1" t="inlineStr">
        <is>
          <t xml:space="preserve">TITULADO</t>
        </is>
      </c>
      <c r="E53" s="1" t="n">
        <v>3</v>
      </c>
      <c r="F53" s="1" t="n">
        <v>5</v>
      </c>
      <c r="G53" s="1" t="n">
        <f aca="false">IF(E53=0,"",IF(D53="VIGENTE",1,0))</f>
        <v>0</v>
      </c>
      <c r="H53" s="1" t="inlineStr">
        <is>
          <t xml:space="preserve">B observado / C cálculo</t>
        </is>
      </c>
    </row>
    <row r="54" customFormat="false" ht="15" hidden="false" customHeight="true" outlineLevel="0" collapsed="false">
      <c r="A54" s="1" t="n">
        <v>2019</v>
      </c>
      <c r="B54" s="1" t="n">
        <v>1</v>
      </c>
      <c r="C54" s="1" t="inlineStr">
        <is>
          <t xml:space="preserve">TPCRE20191</t>
        </is>
      </c>
      <c r="D54" s="1" t="inlineStr">
        <is>
          <t xml:space="preserve">ELIMINADO</t>
        </is>
      </c>
      <c r="E54" s="1" t="n">
        <v>41</v>
      </c>
      <c r="F54" s="1" t="n">
        <v>83</v>
      </c>
      <c r="G54" s="1" t="n">
        <f aca="false">IF(E54=0,"",IF(D54="VIGENTE",1,0))</f>
        <v>0</v>
      </c>
      <c r="H54" s="1" t="inlineStr">
        <is>
          <t xml:space="preserve">B observado / C cálculo</t>
        </is>
      </c>
    </row>
    <row r="55" customFormat="false" ht="15" hidden="false" customHeight="true" outlineLevel="0" collapsed="false">
      <c r="A55" s="1" t="n">
        <v>2019</v>
      </c>
      <c r="B55" s="1" t="n">
        <v>1</v>
      </c>
      <c r="C55" s="1" t="inlineStr">
        <is>
          <t xml:space="preserve">TPCRE20191</t>
        </is>
      </c>
      <c r="D55" s="1" t="inlineStr">
        <is>
          <t xml:space="preserve">SUSPENDIDO</t>
        </is>
      </c>
      <c r="E55" s="1" t="n">
        <v>1</v>
      </c>
      <c r="F55" s="1" t="n">
        <v>2</v>
      </c>
      <c r="G55" s="1" t="n">
        <f aca="false">IF(E55=0,"",IF(D55="VIGENTE",1,0))</f>
        <v>0</v>
      </c>
      <c r="H55" s="1" t="inlineStr">
        <is>
          <t xml:space="preserve">B observado / C cálculo</t>
        </is>
      </c>
    </row>
    <row r="56" customFormat="false" ht="15" hidden="false" customHeight="true" outlineLevel="0" collapsed="false">
      <c r="A56" s="1" t="n">
        <v>2019</v>
      </c>
      <c r="B56" s="1" t="n">
        <v>1</v>
      </c>
      <c r="C56" s="1" t="inlineStr">
        <is>
          <t xml:space="preserve">TPCRE20191</t>
        </is>
      </c>
      <c r="D56" s="1" t="inlineStr">
        <is>
          <t xml:space="preserve">TITULADO</t>
        </is>
      </c>
      <c r="E56" s="1" t="n">
        <v>11</v>
      </c>
      <c r="F56" s="1" t="n">
        <v>22</v>
      </c>
      <c r="G56" s="1" t="n">
        <f aca="false">IF(E56=0,"",IF(D56="VIGENTE",1,0))</f>
        <v>0</v>
      </c>
      <c r="H56" s="1" t="inlineStr">
        <is>
          <t xml:space="preserve">B observado / C cálculo</t>
        </is>
      </c>
    </row>
    <row r="57" customFormat="false" ht="15" hidden="false" customHeight="true" outlineLevel="0" collapsed="false">
      <c r="A57" s="1" t="n">
        <v>2019</v>
      </c>
      <c r="B57" s="1" t="n">
        <v>1</v>
      </c>
      <c r="C57" s="1" t="inlineStr">
        <is>
          <t xml:space="preserve">TPCREOL</t>
        </is>
      </c>
      <c r="D57" s="1" t="inlineStr">
        <is>
          <t xml:space="preserve">ELIMINADO</t>
        </is>
      </c>
      <c r="E57" s="1" t="n">
        <v>2</v>
      </c>
      <c r="F57" s="1" t="n">
        <v>3</v>
      </c>
      <c r="G57" s="1" t="n">
        <f aca="false">IF(E57=0,"",IF(D57="VIGENTE",1,0))</f>
        <v>0</v>
      </c>
      <c r="H57" s="1" t="inlineStr">
        <is>
          <t xml:space="preserve">B observado / C cálculo</t>
        </is>
      </c>
    </row>
    <row r="58" customFormat="false" ht="15" hidden="false" customHeight="true" outlineLevel="0" collapsed="false">
      <c r="A58" s="1" t="n">
        <v>2019</v>
      </c>
      <c r="B58" s="1" t="n">
        <v>1</v>
      </c>
      <c r="C58" s="1" t="inlineStr">
        <is>
          <t xml:space="preserve">TPCREOL</t>
        </is>
      </c>
      <c r="D58" s="1" t="inlineStr">
        <is>
          <t xml:space="preserve">TITULADO</t>
        </is>
      </c>
      <c r="E58" s="1" t="n">
        <v>2</v>
      </c>
      <c r="F58" s="1" t="n">
        <v>2</v>
      </c>
      <c r="G58" s="1" t="n">
        <f aca="false">IF(E58=0,"",IF(D58="VIGENTE",1,0))</f>
        <v>0</v>
      </c>
      <c r="H58" s="1" t="inlineStr">
        <is>
          <t xml:space="preserve">B observado / C cálculo</t>
        </is>
      </c>
    </row>
    <row r="59" customFormat="false" ht="15" hidden="false" customHeight="true" outlineLevel="0" collapsed="false">
      <c r="A59" s="1" t="n">
        <v>2019</v>
      </c>
      <c r="B59" s="1" t="n">
        <v>1</v>
      </c>
      <c r="C59" s="1" t="inlineStr">
        <is>
          <t xml:space="preserve">TTMRE20191</t>
        </is>
      </c>
      <c r="D59" s="1" t="inlineStr">
        <is>
          <t xml:space="preserve">ELIMINADO</t>
        </is>
      </c>
      <c r="E59" s="1" t="n">
        <v>35</v>
      </c>
      <c r="F59" s="1" t="n">
        <v>71</v>
      </c>
      <c r="G59" s="1" t="n">
        <f aca="false">IF(E59=0,"",IF(D59="VIGENTE",1,0))</f>
        <v>0</v>
      </c>
      <c r="H59" s="1" t="inlineStr">
        <is>
          <t xml:space="preserve">B observado / C cálculo</t>
        </is>
      </c>
    </row>
    <row r="60" customFormat="false" ht="15" hidden="false" customHeight="true" outlineLevel="0" collapsed="false">
      <c r="A60" s="1" t="n">
        <v>2019</v>
      </c>
      <c r="B60" s="1" t="n">
        <v>1</v>
      </c>
      <c r="C60" s="1" t="inlineStr">
        <is>
          <t xml:space="preserve">TTMRE20191</t>
        </is>
      </c>
      <c r="D60" s="1" t="inlineStr">
        <is>
          <t xml:space="preserve">TITULADO</t>
        </is>
      </c>
      <c r="E60" s="1" t="n">
        <v>22</v>
      </c>
      <c r="F60" s="1" t="n">
        <v>46</v>
      </c>
      <c r="G60" s="1" t="n">
        <f aca="false">IF(E60=0,"",IF(D60="VIGENTE",1,0))</f>
        <v>0</v>
      </c>
      <c r="H60" s="1" t="inlineStr">
        <is>
          <t xml:space="preserve">B observado / C cálculo</t>
        </is>
      </c>
    </row>
    <row r="61" customFormat="false" ht="15" hidden="false" customHeight="true" outlineLevel="0" collapsed="false">
      <c r="A61" s="1" t="n">
        <v>2019</v>
      </c>
      <c r="B61" s="1" t="n">
        <v>1</v>
      </c>
      <c r="C61" s="1" t="inlineStr">
        <is>
          <t xml:space="preserve">TTMREOL20191</t>
        </is>
      </c>
      <c r="D61" s="1" t="inlineStr">
        <is>
          <t xml:space="preserve">TITULADO</t>
        </is>
      </c>
      <c r="E61" s="1" t="n">
        <v>1</v>
      </c>
      <c r="F61" s="1" t="n">
        <v>5</v>
      </c>
      <c r="G61" s="1" t="n">
        <f aca="false">IF(E61=0,"",IF(D61="VIGENTE",1,0))</f>
        <v>0</v>
      </c>
      <c r="H61" s="1" t="inlineStr">
        <is>
          <t xml:space="preserve">B observado / C cálculo</t>
        </is>
      </c>
    </row>
    <row r="62" customFormat="false" ht="15" hidden="false" customHeight="true" outlineLevel="0" collapsed="false">
      <c r="A62" s="1" t="n">
        <v>2019</v>
      </c>
      <c r="B62" s="1" t="n">
        <v>2</v>
      </c>
      <c r="C62" s="1" t="inlineStr">
        <is>
          <t xml:space="preserve">ICIB20241</t>
        </is>
      </c>
      <c r="D62" s="1" t="inlineStr">
        <is>
          <t xml:space="preserve">ELIMINADO</t>
        </is>
      </c>
      <c r="E62" s="1" t="n">
        <v>1</v>
      </c>
      <c r="F62" s="1" t="n">
        <v>1</v>
      </c>
      <c r="G62" s="1" t="n">
        <f aca="false">IF(E62=0,"",IF(D62="VIGENTE",1,0))</f>
        <v>0</v>
      </c>
      <c r="H62" s="1" t="inlineStr">
        <is>
          <t xml:space="preserve">B observado / C cálculo</t>
        </is>
      </c>
    </row>
    <row r="63" customFormat="false" ht="15" hidden="false" customHeight="true" outlineLevel="0" collapsed="false">
      <c r="A63" s="1" t="n">
        <v>2019</v>
      </c>
      <c r="B63" s="1" t="n">
        <v>2</v>
      </c>
      <c r="C63" s="1" t="inlineStr">
        <is>
          <t xml:space="preserve">IECIRE20151</t>
        </is>
      </c>
      <c r="D63" s="1" t="inlineStr">
        <is>
          <t xml:space="preserve">ELIMINADO</t>
        </is>
      </c>
      <c r="E63" s="1" t="n">
        <v>4</v>
      </c>
      <c r="F63" s="1" t="n">
        <v>4</v>
      </c>
      <c r="G63" s="1" t="n">
        <f aca="false">IF(E63=0,"",IF(D63="VIGENTE",1,0))</f>
        <v>0</v>
      </c>
      <c r="H63" s="1" t="inlineStr">
        <is>
          <t xml:space="preserve">B observado / C cálculo</t>
        </is>
      </c>
    </row>
    <row r="64" customFormat="false" ht="15" hidden="false" customHeight="true" outlineLevel="0" collapsed="false">
      <c r="A64" s="1" t="n">
        <v>2019</v>
      </c>
      <c r="B64" s="1" t="n">
        <v>2</v>
      </c>
      <c r="C64" s="1" t="inlineStr">
        <is>
          <t xml:space="preserve">IECIRE20151</t>
        </is>
      </c>
      <c r="D64" s="1" t="inlineStr">
        <is>
          <t xml:space="preserve">TITULADO</t>
        </is>
      </c>
      <c r="E64" s="1" t="n">
        <v>20</v>
      </c>
      <c r="F64" s="1" t="n">
        <v>21</v>
      </c>
      <c r="G64" s="1" t="n">
        <f aca="false">IF(E64=0,"",IF(D64="VIGENTE",1,0))</f>
        <v>0</v>
      </c>
      <c r="H64" s="1" t="inlineStr">
        <is>
          <t xml:space="preserve">B observado / C cálculo</t>
        </is>
      </c>
    </row>
    <row r="65" customFormat="false" ht="15" hidden="false" customHeight="true" outlineLevel="0" collapsed="false">
      <c r="A65" s="1" t="n">
        <v>2019</v>
      </c>
      <c r="B65" s="1" t="n">
        <v>2</v>
      </c>
      <c r="C65" s="1" t="inlineStr">
        <is>
          <t xml:space="preserve">IECIRE20191</t>
        </is>
      </c>
      <c r="D65" s="1" t="inlineStr">
        <is>
          <t xml:space="preserve">ELIMINADO</t>
        </is>
      </c>
      <c r="E65" s="1" t="n">
        <v>26</v>
      </c>
      <c r="F65" s="1" t="n">
        <v>38</v>
      </c>
      <c r="G65" s="1" t="n">
        <f aca="false">IF(E65=0,"",IF(D65="VIGENTE",1,0))</f>
        <v>0</v>
      </c>
      <c r="H65" s="1" t="inlineStr">
        <is>
          <t xml:space="preserve">B observado / C cálculo</t>
        </is>
      </c>
    </row>
    <row r="66" customFormat="false" ht="15" hidden="false" customHeight="true" outlineLevel="0" collapsed="false">
      <c r="A66" s="1" t="n">
        <v>2019</v>
      </c>
      <c r="B66" s="1" t="n">
        <v>2</v>
      </c>
      <c r="C66" s="1" t="inlineStr">
        <is>
          <t xml:space="preserve">IECIRE20191</t>
        </is>
      </c>
      <c r="D66" s="1" t="inlineStr">
        <is>
          <t xml:space="preserve">TITULADO</t>
        </is>
      </c>
      <c r="E66" s="1" t="n">
        <v>7</v>
      </c>
      <c r="F66" s="1" t="n">
        <v>10</v>
      </c>
      <c r="G66" s="1" t="n">
        <f aca="false">IF(E66=0,"",IF(D66="VIGENTE",1,0))</f>
        <v>0</v>
      </c>
      <c r="H66" s="1" t="inlineStr">
        <is>
          <t xml:space="preserve">B observado / C cálculo</t>
        </is>
      </c>
    </row>
    <row r="67" customFormat="false" ht="15" hidden="false" customHeight="true" outlineLevel="0" collapsed="false">
      <c r="A67" s="1" t="n">
        <v>2019</v>
      </c>
      <c r="B67" s="1" t="n">
        <v>2</v>
      </c>
      <c r="C67" s="1" t="inlineStr">
        <is>
          <t xml:space="preserve">IECIRE2020</t>
        </is>
      </c>
      <c r="D67" s="1" t="inlineStr">
        <is>
          <t xml:space="preserve">TITULADO</t>
        </is>
      </c>
      <c r="E67" s="1" t="n">
        <v>1</v>
      </c>
      <c r="F67" s="1" t="n">
        <v>2</v>
      </c>
      <c r="G67" s="1" t="n">
        <f aca="false">IF(E67=0,"",IF(D67="VIGENTE",1,0))</f>
        <v>0</v>
      </c>
      <c r="H67" s="1" t="inlineStr">
        <is>
          <t xml:space="preserve">B observado / C cálculo</t>
        </is>
      </c>
    </row>
    <row r="68" customFormat="false" ht="15" hidden="false" customHeight="true" outlineLevel="0" collapsed="false">
      <c r="A68" s="1" t="n">
        <v>2019</v>
      </c>
      <c r="B68" s="1" t="n">
        <v>2</v>
      </c>
      <c r="C68" s="1" t="inlineStr">
        <is>
          <t xml:space="preserve">IECIRE20211</t>
        </is>
      </c>
      <c r="D68" s="1" t="inlineStr">
        <is>
          <t xml:space="preserve">TITULADO</t>
        </is>
      </c>
      <c r="E68" s="1" t="n">
        <v>1</v>
      </c>
      <c r="F68" s="1" t="n">
        <v>1</v>
      </c>
      <c r="G68" s="1" t="n">
        <f aca="false">IF(E68=0,"",IF(D68="VIGENTE",1,0))</f>
        <v>0</v>
      </c>
      <c r="H68" s="1" t="inlineStr">
        <is>
          <t xml:space="preserve">B observado / C cálculo</t>
        </is>
      </c>
    </row>
    <row r="69" customFormat="false" ht="15" hidden="false" customHeight="true" outlineLevel="0" collapsed="false">
      <c r="A69" s="1" t="n">
        <v>2019</v>
      </c>
      <c r="B69" s="1" t="n">
        <v>2</v>
      </c>
      <c r="C69" s="1" t="inlineStr">
        <is>
          <t xml:space="preserve">IECIREOL20191</t>
        </is>
      </c>
      <c r="D69" s="1" t="inlineStr">
        <is>
          <t xml:space="preserve">ELIMINADO</t>
        </is>
      </c>
      <c r="E69" s="1" t="n">
        <v>13</v>
      </c>
      <c r="F69" s="1" t="n">
        <v>13</v>
      </c>
      <c r="G69" s="1" t="n">
        <f aca="false">IF(E69=0,"",IF(D69="VIGENTE",1,0))</f>
        <v>0</v>
      </c>
      <c r="H69" s="1" t="inlineStr">
        <is>
          <t xml:space="preserve">B observado / C cálculo</t>
        </is>
      </c>
    </row>
    <row r="70" customFormat="false" ht="15" hidden="false" customHeight="true" outlineLevel="0" collapsed="false">
      <c r="A70" s="1" t="n">
        <v>2019</v>
      </c>
      <c r="B70" s="1" t="n">
        <v>2</v>
      </c>
      <c r="C70" s="1" t="inlineStr">
        <is>
          <t xml:space="preserve">IECIREOL20191</t>
        </is>
      </c>
      <c r="D70" s="1" t="inlineStr">
        <is>
          <t xml:space="preserve">TITULADO</t>
        </is>
      </c>
      <c r="E70" s="1" t="n">
        <v>7</v>
      </c>
      <c r="F70" s="1" t="n">
        <v>7</v>
      </c>
      <c r="G70" s="1" t="n">
        <f aca="false">IF(E70=0,"",IF(D70="VIGENTE",1,0))</f>
        <v>0</v>
      </c>
      <c r="H70" s="1" t="inlineStr">
        <is>
          <t xml:space="preserve">B observado / C cálculo</t>
        </is>
      </c>
    </row>
    <row r="71" customFormat="false" ht="15" hidden="false" customHeight="true" outlineLevel="0" collapsed="false">
      <c r="A71" s="1" t="n">
        <v>2019</v>
      </c>
      <c r="B71" s="1" t="n">
        <v>2</v>
      </c>
      <c r="C71" s="1" t="inlineStr">
        <is>
          <t xml:space="preserve">IECIREOL20201</t>
        </is>
      </c>
      <c r="D71" s="1" t="inlineStr">
        <is>
          <t xml:space="preserve">TITULADO</t>
        </is>
      </c>
      <c r="E71" s="1" t="n">
        <v>1</v>
      </c>
      <c r="F71" s="1" t="n">
        <v>1</v>
      </c>
      <c r="G71" s="1" t="n">
        <f aca="false">IF(E71=0,"",IF(D71="VIGENTE",1,0))</f>
        <v>0</v>
      </c>
      <c r="H71" s="1" t="inlineStr">
        <is>
          <t xml:space="preserve">B observado / C cálculo</t>
        </is>
      </c>
    </row>
    <row r="72" customFormat="false" ht="15" hidden="false" customHeight="true" outlineLevel="0" collapsed="false">
      <c r="A72" s="1" t="n">
        <v>2019</v>
      </c>
      <c r="B72" s="1" t="n">
        <v>2</v>
      </c>
      <c r="C72" s="1" t="inlineStr">
        <is>
          <t xml:space="preserve">IECSRE20191</t>
        </is>
      </c>
      <c r="D72" s="1" t="inlineStr">
        <is>
          <t xml:space="preserve">ELIMINADO</t>
        </is>
      </c>
      <c r="E72" s="1" t="n">
        <v>5</v>
      </c>
      <c r="F72" s="1" t="n">
        <v>5</v>
      </c>
      <c r="G72" s="1" t="n">
        <f aca="false">IF(E72=0,"",IF(D72="VIGENTE",1,0))</f>
        <v>0</v>
      </c>
      <c r="H72" s="1" t="inlineStr">
        <is>
          <t xml:space="preserve">B observado / C cálculo</t>
        </is>
      </c>
    </row>
    <row r="73" customFormat="false" ht="15" hidden="false" customHeight="true" outlineLevel="0" collapsed="false">
      <c r="A73" s="1" t="n">
        <v>2019</v>
      </c>
      <c r="B73" s="1" t="n">
        <v>2</v>
      </c>
      <c r="C73" s="1" t="inlineStr">
        <is>
          <t xml:space="preserve">IECSRE20191</t>
        </is>
      </c>
      <c r="D73" s="1" t="inlineStr">
        <is>
          <t xml:space="preserve">TITULADO</t>
        </is>
      </c>
      <c r="E73" s="1" t="n">
        <v>5</v>
      </c>
      <c r="F73" s="1" t="n">
        <v>7</v>
      </c>
      <c r="G73" s="1" t="n">
        <f aca="false">IF(E73=0,"",IF(D73="VIGENTE",1,0))</f>
        <v>0</v>
      </c>
      <c r="H73" s="1" t="inlineStr">
        <is>
          <t xml:space="preserve">B observado / C cálculo</t>
        </is>
      </c>
    </row>
    <row r="74" customFormat="false" ht="15" hidden="false" customHeight="true" outlineLevel="0" collapsed="false">
      <c r="A74" s="1" t="n">
        <v>2019</v>
      </c>
      <c r="B74" s="1" t="n">
        <v>2</v>
      </c>
      <c r="C74" s="1" t="inlineStr">
        <is>
          <t xml:space="preserve">IEMORE20171</t>
        </is>
      </c>
      <c r="D74" s="1" t="inlineStr">
        <is>
          <t xml:space="preserve">ELIMINADO</t>
        </is>
      </c>
      <c r="E74" s="1" t="n">
        <v>4</v>
      </c>
      <c r="F74" s="1" t="n">
        <v>6</v>
      </c>
      <c r="G74" s="1" t="n">
        <f aca="false">IF(E74=0,"",IF(D74="VIGENTE",1,0))</f>
        <v>0</v>
      </c>
      <c r="H74" s="1" t="inlineStr">
        <is>
          <t xml:space="preserve">B observado / C cálculo</t>
        </is>
      </c>
    </row>
    <row r="75" customFormat="false" ht="15" hidden="false" customHeight="true" outlineLevel="0" collapsed="false">
      <c r="A75" s="1" t="n">
        <v>2019</v>
      </c>
      <c r="B75" s="1" t="n">
        <v>2</v>
      </c>
      <c r="C75" s="1" t="inlineStr">
        <is>
          <t xml:space="preserve">IEMORE20171</t>
        </is>
      </c>
      <c r="D75" s="1" t="inlineStr">
        <is>
          <t xml:space="preserve">TITULADO</t>
        </is>
      </c>
      <c r="E75" s="1" t="n">
        <v>5</v>
      </c>
      <c r="F75" s="1" t="n">
        <v>10</v>
      </c>
      <c r="G75" s="1" t="n">
        <f aca="false">IF(E75=0,"",IF(D75="VIGENTE",1,0))</f>
        <v>0</v>
      </c>
      <c r="H75" s="1" t="inlineStr">
        <is>
          <t xml:space="preserve">B observado / C cálculo</t>
        </is>
      </c>
    </row>
    <row r="76" customFormat="false" ht="15" hidden="false" customHeight="true" outlineLevel="0" collapsed="false">
      <c r="A76" s="1" t="n">
        <v>2019</v>
      </c>
      <c r="B76" s="1" t="n">
        <v>2</v>
      </c>
      <c r="C76" s="1" t="inlineStr">
        <is>
          <t xml:space="preserve">IEMORE20171</t>
        </is>
      </c>
      <c r="D76" s="1" t="inlineStr">
        <is>
          <t xml:space="preserve">VIGENTE</t>
        </is>
      </c>
      <c r="E76" s="1" t="n">
        <v>1</v>
      </c>
      <c r="F76" s="1" t="n">
        <v>1</v>
      </c>
      <c r="G76" s="1" t="n">
        <f aca="false">IF(E76=0,"",IF(D76="VIGENTE",1,0))</f>
        <v>1</v>
      </c>
      <c r="H76" s="1" t="inlineStr">
        <is>
          <t xml:space="preserve">B observado / C cálculo</t>
        </is>
      </c>
    </row>
    <row r="77" customFormat="false" ht="15" hidden="false" customHeight="true" outlineLevel="0" collapsed="false">
      <c r="A77" s="1" t="n">
        <v>2019</v>
      </c>
      <c r="B77" s="1" t="n">
        <v>2</v>
      </c>
      <c r="C77" s="1" t="inlineStr">
        <is>
          <t xml:space="preserve">IEMORE20211</t>
        </is>
      </c>
      <c r="D77" s="1" t="inlineStr">
        <is>
          <t xml:space="preserve">TITULADO</t>
        </is>
      </c>
      <c r="E77" s="1" t="n">
        <v>1</v>
      </c>
      <c r="F77" s="1" t="n">
        <v>2</v>
      </c>
      <c r="G77" s="1" t="n">
        <f aca="false">IF(E77=0,"",IF(D77="VIGENTE",1,0))</f>
        <v>0</v>
      </c>
      <c r="H77" s="1" t="inlineStr">
        <is>
          <t xml:space="preserve">B observado / C cálculo</t>
        </is>
      </c>
    </row>
    <row r="78" customFormat="false" ht="15" hidden="false" customHeight="true" outlineLevel="0" collapsed="false">
      <c r="A78" s="1" t="n">
        <v>2019</v>
      </c>
      <c r="B78" s="1" t="n">
        <v>2</v>
      </c>
      <c r="C78" s="1" t="inlineStr">
        <is>
          <t xml:space="preserve">IETMRE20121</t>
        </is>
      </c>
      <c r="D78" s="1" t="inlineStr">
        <is>
          <t xml:space="preserve">ELIMINADO</t>
        </is>
      </c>
      <c r="E78" s="1" t="n">
        <v>1</v>
      </c>
      <c r="F78" s="1" t="n">
        <v>2</v>
      </c>
      <c r="G78" s="1" t="n">
        <f aca="false">IF(E78=0,"",IF(D78="VIGENTE",1,0))</f>
        <v>0</v>
      </c>
      <c r="H78" s="1" t="inlineStr">
        <is>
          <t xml:space="preserve">B observado / C cálculo</t>
        </is>
      </c>
    </row>
    <row r="79" customFormat="false" ht="15" hidden="false" customHeight="true" outlineLevel="0" collapsed="false">
      <c r="A79" s="1" t="n">
        <v>2019</v>
      </c>
      <c r="B79" s="1" t="n">
        <v>2</v>
      </c>
      <c r="C79" s="1" t="inlineStr">
        <is>
          <t xml:space="preserve">IETMRE20121</t>
        </is>
      </c>
      <c r="D79" s="1" t="inlineStr">
        <is>
          <t xml:space="preserve">TITULADO</t>
        </is>
      </c>
      <c r="E79" s="1" t="n">
        <v>1</v>
      </c>
      <c r="F79" s="1" t="n">
        <v>2</v>
      </c>
      <c r="G79" s="1" t="n">
        <f aca="false">IF(E79=0,"",IF(D79="VIGENTE",1,0))</f>
        <v>0</v>
      </c>
      <c r="H79" s="1" t="inlineStr">
        <is>
          <t xml:space="preserve">B observado / C cálculo</t>
        </is>
      </c>
    </row>
    <row r="80" customFormat="false" ht="15" hidden="false" customHeight="true" outlineLevel="0" collapsed="false">
      <c r="A80" s="1" t="n">
        <v>2019</v>
      </c>
      <c r="B80" s="1" t="n">
        <v>2</v>
      </c>
      <c r="C80" s="1" t="inlineStr">
        <is>
          <t xml:space="preserve">IETMRE20161</t>
        </is>
      </c>
      <c r="D80" s="1" t="inlineStr">
        <is>
          <t xml:space="preserve">ELIMINADO</t>
        </is>
      </c>
      <c r="E80" s="1" t="n">
        <v>2</v>
      </c>
      <c r="F80" s="1" t="n">
        <v>2</v>
      </c>
      <c r="G80" s="1" t="n">
        <f aca="false">IF(E80=0,"",IF(D80="VIGENTE",1,0))</f>
        <v>0</v>
      </c>
      <c r="H80" s="1" t="inlineStr">
        <is>
          <t xml:space="preserve">B observado / C cálculo</t>
        </is>
      </c>
    </row>
    <row r="81" customFormat="false" ht="15" hidden="false" customHeight="true" outlineLevel="0" collapsed="false">
      <c r="A81" s="1" t="n">
        <v>2019</v>
      </c>
      <c r="B81" s="1" t="n">
        <v>2</v>
      </c>
      <c r="C81" s="1" t="inlineStr">
        <is>
          <t xml:space="preserve">IETMRE20161</t>
        </is>
      </c>
      <c r="D81" s="1" t="inlineStr">
        <is>
          <t xml:space="preserve">TITULADO</t>
        </is>
      </c>
      <c r="E81" s="1" t="n">
        <v>31</v>
      </c>
      <c r="F81" s="1" t="n">
        <v>40</v>
      </c>
      <c r="G81" s="1" t="n">
        <f aca="false">IF(E81=0,"",IF(D81="VIGENTE",1,0))</f>
        <v>0</v>
      </c>
      <c r="H81" s="1" t="inlineStr">
        <is>
          <t xml:space="preserve">B observado / C cálculo</t>
        </is>
      </c>
    </row>
    <row r="82" customFormat="false" ht="15" hidden="false" customHeight="true" outlineLevel="0" collapsed="false">
      <c r="A82" s="1" t="n">
        <v>2019</v>
      </c>
      <c r="B82" s="1" t="n">
        <v>2</v>
      </c>
      <c r="C82" s="1" t="inlineStr">
        <is>
          <t xml:space="preserve">IETMRE20191</t>
        </is>
      </c>
      <c r="D82" s="1" t="inlineStr">
        <is>
          <t xml:space="preserve">ELIMINADO</t>
        </is>
      </c>
      <c r="E82" s="1" t="n">
        <v>16</v>
      </c>
      <c r="F82" s="1" t="n">
        <v>22</v>
      </c>
      <c r="G82" s="1" t="n">
        <f aca="false">IF(E82=0,"",IF(D82="VIGENTE",1,0))</f>
        <v>0</v>
      </c>
      <c r="H82" s="1" t="inlineStr">
        <is>
          <t xml:space="preserve">B observado / C cálculo</t>
        </is>
      </c>
    </row>
    <row r="83" customFormat="false" ht="15" hidden="false" customHeight="true" outlineLevel="0" collapsed="false">
      <c r="A83" s="1" t="n">
        <v>2019</v>
      </c>
      <c r="B83" s="1" t="n">
        <v>2</v>
      </c>
      <c r="C83" s="1" t="inlineStr">
        <is>
          <t xml:space="preserve">IETMRE20191</t>
        </is>
      </c>
      <c r="D83" s="1" t="inlineStr">
        <is>
          <t xml:space="preserve">TITULADO</t>
        </is>
      </c>
      <c r="E83" s="1" t="n">
        <v>2</v>
      </c>
      <c r="F83" s="1" t="n">
        <v>2</v>
      </c>
      <c r="G83" s="1" t="n">
        <f aca="false">IF(E83=0,"",IF(D83="VIGENTE",1,0))</f>
        <v>0</v>
      </c>
      <c r="H83" s="1" t="inlineStr">
        <is>
          <t xml:space="preserve">B observado / C cálculo</t>
        </is>
      </c>
    </row>
    <row r="84" customFormat="false" ht="15" hidden="false" customHeight="true" outlineLevel="0" collapsed="false">
      <c r="A84" s="1" t="n">
        <v>2019</v>
      </c>
      <c r="B84" s="1" t="n">
        <v>2</v>
      </c>
      <c r="C84" s="1" t="inlineStr">
        <is>
          <t xml:space="preserve">IETMREOL20191</t>
        </is>
      </c>
      <c r="D84" s="1" t="inlineStr">
        <is>
          <t xml:space="preserve">ELIMINADO</t>
        </is>
      </c>
      <c r="E84" s="1" t="n">
        <v>8</v>
      </c>
      <c r="F84" s="1" t="n">
        <v>8</v>
      </c>
      <c r="G84" s="1" t="n">
        <f aca="false">IF(E84=0,"",IF(D84="VIGENTE",1,0))</f>
        <v>0</v>
      </c>
      <c r="H84" s="1" t="inlineStr">
        <is>
          <t xml:space="preserve">B observado / C cálculo</t>
        </is>
      </c>
    </row>
    <row r="85" customFormat="false" ht="15" hidden="false" customHeight="true" outlineLevel="0" collapsed="false">
      <c r="A85" s="1" t="n">
        <v>2019</v>
      </c>
      <c r="B85" s="1" t="n">
        <v>2</v>
      </c>
      <c r="C85" s="1" t="inlineStr">
        <is>
          <t xml:space="preserve">IETMREOL20191</t>
        </is>
      </c>
      <c r="D85" s="1" t="inlineStr">
        <is>
          <t xml:space="preserve">TITULADO</t>
        </is>
      </c>
      <c r="E85" s="1" t="n">
        <v>4</v>
      </c>
      <c r="F85" s="1" t="n">
        <v>4</v>
      </c>
      <c r="G85" s="1" t="n">
        <f aca="false">IF(E85=0,"",IF(D85="VIGENTE",1,0))</f>
        <v>0</v>
      </c>
      <c r="H85" s="1" t="inlineStr">
        <is>
          <t xml:space="preserve">B observado / C cálculo</t>
        </is>
      </c>
    </row>
    <row r="86" customFormat="false" ht="15" hidden="false" customHeight="true" outlineLevel="0" collapsed="false">
      <c r="A86" s="1" t="n">
        <v>2019</v>
      </c>
      <c r="B86" s="1" t="n">
        <v>2</v>
      </c>
      <c r="C86" s="1" t="inlineStr">
        <is>
          <t xml:space="preserve">NAUTRE</t>
        </is>
      </c>
      <c r="D86" s="1" t="inlineStr">
        <is>
          <t xml:space="preserve">TITULADO</t>
        </is>
      </c>
      <c r="E86" s="1" t="n">
        <v>4</v>
      </c>
      <c r="F86" s="1" t="n">
        <v>5</v>
      </c>
      <c r="G86" s="1" t="n">
        <f aca="false">IF(E86=0,"",IF(D86="VIGENTE",1,0))</f>
        <v>0</v>
      </c>
      <c r="H86" s="1" t="inlineStr">
        <is>
          <t xml:space="preserve">B observado / C cálculo</t>
        </is>
      </c>
    </row>
    <row r="87" customFormat="false" ht="15" hidden="false" customHeight="true" outlineLevel="0" collapsed="false">
      <c r="A87" s="1" t="n">
        <v>2019</v>
      </c>
      <c r="B87" s="1" t="n">
        <v>2</v>
      </c>
      <c r="C87" s="1" t="inlineStr">
        <is>
          <t xml:space="preserve">NCONRE</t>
        </is>
      </c>
      <c r="D87" s="1" t="inlineStr">
        <is>
          <t xml:space="preserve">ELIMINADO</t>
        </is>
      </c>
      <c r="E87" s="1" t="n">
        <v>8</v>
      </c>
      <c r="F87" s="1" t="n">
        <v>14</v>
      </c>
      <c r="G87" s="1" t="n">
        <f aca="false">IF(E87=0,"",IF(D87="VIGENTE",1,0))</f>
        <v>0</v>
      </c>
      <c r="H87" s="1" t="inlineStr">
        <is>
          <t xml:space="preserve">B observado / C cálculo</t>
        </is>
      </c>
    </row>
    <row r="88" customFormat="false" ht="15" hidden="false" customHeight="true" outlineLevel="0" collapsed="false">
      <c r="A88" s="1" t="n">
        <v>2019</v>
      </c>
      <c r="B88" s="1" t="n">
        <v>2</v>
      </c>
      <c r="C88" s="1" t="inlineStr">
        <is>
          <t xml:space="preserve">NCONRE</t>
        </is>
      </c>
      <c r="D88" s="1" t="inlineStr">
        <is>
          <t xml:space="preserve">TITULADO</t>
        </is>
      </c>
      <c r="E88" s="1" t="n">
        <v>80</v>
      </c>
      <c r="F88" s="1" t="n">
        <v>132</v>
      </c>
      <c r="G88" s="1" t="n">
        <f aca="false">IF(E88=0,"",IF(D88="VIGENTE",1,0))</f>
        <v>0</v>
      </c>
      <c r="H88" s="1" t="inlineStr">
        <is>
          <t xml:space="preserve">B observado / C cálculo</t>
        </is>
      </c>
    </row>
    <row r="89" customFormat="false" ht="15" hidden="false" customHeight="true" outlineLevel="0" collapsed="false">
      <c r="A89" s="1" t="n">
        <v>2019</v>
      </c>
      <c r="B89" s="1" t="n">
        <v>2</v>
      </c>
      <c r="C89" s="1" t="inlineStr">
        <is>
          <t xml:space="preserve">NECIRE20151</t>
        </is>
      </c>
      <c r="D89" s="1" t="inlineStr">
        <is>
          <t xml:space="preserve">TITULADO</t>
        </is>
      </c>
      <c r="E89" s="1" t="n">
        <v>1</v>
      </c>
      <c r="F89" s="1" t="n">
        <v>1</v>
      </c>
      <c r="G89" s="1" t="n">
        <f aca="false">IF(E89=0,"",IF(D89="VIGENTE",1,0))</f>
        <v>0</v>
      </c>
      <c r="H89" s="1" t="inlineStr">
        <is>
          <t xml:space="preserve">B observado / C cálculo</t>
        </is>
      </c>
    </row>
    <row r="90" customFormat="false" ht="15" hidden="false" customHeight="true" outlineLevel="0" collapsed="false">
      <c r="A90" s="1" t="n">
        <v>2019</v>
      </c>
      <c r="B90" s="1" t="n">
        <v>2</v>
      </c>
      <c r="C90" s="1" t="inlineStr">
        <is>
          <t xml:space="preserve">NETMRE20121</t>
        </is>
      </c>
      <c r="D90" s="1" t="inlineStr">
        <is>
          <t xml:space="preserve">TITULADO</t>
        </is>
      </c>
      <c r="E90" s="1" t="n">
        <v>1</v>
      </c>
      <c r="F90" s="1" t="n">
        <v>1</v>
      </c>
      <c r="G90" s="1" t="n">
        <f aca="false">IF(E90=0,"",IF(D90="VIGENTE",1,0))</f>
        <v>0</v>
      </c>
      <c r="H90" s="1" t="inlineStr">
        <is>
          <t xml:space="preserve">B observado / C cálculo</t>
        </is>
      </c>
    </row>
    <row r="91" customFormat="false" ht="15" hidden="false" customHeight="true" outlineLevel="0" collapsed="false">
      <c r="A91" s="1" t="n">
        <v>2019</v>
      </c>
      <c r="B91" s="1" t="n">
        <v>2</v>
      </c>
      <c r="C91" s="1" t="inlineStr">
        <is>
          <t xml:space="preserve">NICCRE20191</t>
        </is>
      </c>
      <c r="D91" s="1" t="inlineStr">
        <is>
          <t xml:space="preserve">ELIMINADO</t>
        </is>
      </c>
      <c r="E91" s="1" t="n">
        <v>2</v>
      </c>
      <c r="F91" s="1" t="n">
        <v>2</v>
      </c>
      <c r="G91" s="1" t="n">
        <f aca="false">IF(E91=0,"",IF(D91="VIGENTE",1,0))</f>
        <v>0</v>
      </c>
      <c r="H91" s="1" t="inlineStr">
        <is>
          <t xml:space="preserve">B observado / C cálculo</t>
        </is>
      </c>
    </row>
    <row r="92" customFormat="false" ht="15" hidden="false" customHeight="true" outlineLevel="0" collapsed="false">
      <c r="A92" s="1" t="n">
        <v>2019</v>
      </c>
      <c r="B92" s="1" t="n">
        <v>2</v>
      </c>
      <c r="C92" s="1" t="inlineStr">
        <is>
          <t xml:space="preserve">NICCRE20191</t>
        </is>
      </c>
      <c r="D92" s="1" t="inlineStr">
        <is>
          <t xml:space="preserve">TITULADO</t>
        </is>
      </c>
      <c r="E92" s="1" t="n">
        <v>5</v>
      </c>
      <c r="F92" s="1" t="n">
        <v>5</v>
      </c>
      <c r="G92" s="1" t="n">
        <f aca="false">IF(E92=0,"",IF(D92="VIGENTE",1,0))</f>
        <v>0</v>
      </c>
      <c r="H92" s="1" t="inlineStr">
        <is>
          <t xml:space="preserve">B observado / C cálculo</t>
        </is>
      </c>
    </row>
    <row r="93" customFormat="false" ht="15" hidden="false" customHeight="true" outlineLevel="0" collapsed="false">
      <c r="A93" s="1" t="n">
        <v>2019</v>
      </c>
      <c r="B93" s="1" t="n">
        <v>2</v>
      </c>
      <c r="C93" s="1" t="inlineStr">
        <is>
          <t xml:space="preserve">NINFRE</t>
        </is>
      </c>
      <c r="D93" s="1" t="inlineStr">
        <is>
          <t xml:space="preserve">ELIMINADO</t>
        </is>
      </c>
      <c r="E93" s="1" t="n">
        <v>6</v>
      </c>
      <c r="F93" s="1" t="n">
        <v>6</v>
      </c>
      <c r="G93" s="1" t="n">
        <f aca="false">IF(E93=0,"",IF(D93="VIGENTE",1,0))</f>
        <v>0</v>
      </c>
      <c r="H93" s="1" t="inlineStr">
        <is>
          <t xml:space="preserve">B observado / C cálculo</t>
        </is>
      </c>
    </row>
    <row r="94" customFormat="false" ht="15" hidden="false" customHeight="true" outlineLevel="0" collapsed="false">
      <c r="A94" s="1" t="n">
        <v>2019</v>
      </c>
      <c r="B94" s="1" t="n">
        <v>2</v>
      </c>
      <c r="C94" s="1" t="inlineStr">
        <is>
          <t xml:space="preserve">NINFRE</t>
        </is>
      </c>
      <c r="D94" s="1" t="inlineStr">
        <is>
          <t xml:space="preserve">TITULADO</t>
        </is>
      </c>
      <c r="E94" s="1" t="n">
        <v>11</v>
      </c>
      <c r="F94" s="1" t="n">
        <v>13</v>
      </c>
      <c r="G94" s="1" t="n">
        <f aca="false">IF(E94=0,"",IF(D94="VIGENTE",1,0))</f>
        <v>0</v>
      </c>
      <c r="H94" s="1" t="inlineStr">
        <is>
          <t xml:space="preserve">B observado / C cálculo</t>
        </is>
      </c>
    </row>
    <row r="95" customFormat="false" ht="15" hidden="false" customHeight="true" outlineLevel="0" collapsed="false">
      <c r="A95" s="1" t="n">
        <v>2019</v>
      </c>
      <c r="B95" s="1" t="n">
        <v>2</v>
      </c>
      <c r="C95" s="1" t="inlineStr">
        <is>
          <t xml:space="preserve">NTCCRE20191</t>
        </is>
      </c>
      <c r="D95" s="1" t="inlineStr">
        <is>
          <t xml:space="preserve">ELIMINADO</t>
        </is>
      </c>
      <c r="E95" s="1" t="n">
        <v>6</v>
      </c>
      <c r="F95" s="1" t="n">
        <v>12</v>
      </c>
      <c r="G95" s="1" t="n">
        <f aca="false">IF(E95=0,"",IF(D95="VIGENTE",1,0))</f>
        <v>0</v>
      </c>
      <c r="H95" s="1" t="inlineStr">
        <is>
          <t xml:space="preserve">B observado / C cálculo</t>
        </is>
      </c>
    </row>
    <row r="96" customFormat="false" ht="15" hidden="false" customHeight="true" outlineLevel="0" collapsed="false">
      <c r="A96" s="1" t="n">
        <v>2019</v>
      </c>
      <c r="B96" s="1" t="n">
        <v>2</v>
      </c>
      <c r="C96" s="1" t="inlineStr">
        <is>
          <t xml:space="preserve">NTCCRE20191</t>
        </is>
      </c>
      <c r="D96" s="1" t="inlineStr">
        <is>
          <t xml:space="preserve">TITULADO</t>
        </is>
      </c>
      <c r="E96" s="1" t="n">
        <v>19</v>
      </c>
      <c r="F96" s="1" t="n">
        <v>37</v>
      </c>
      <c r="G96" s="1" t="n">
        <f aca="false">IF(E96=0,"",IF(D96="VIGENTE",1,0))</f>
        <v>0</v>
      </c>
      <c r="H96" s="1" t="inlineStr">
        <is>
          <t xml:space="preserve">B observado / C cálculo</t>
        </is>
      </c>
    </row>
    <row r="97" customFormat="false" ht="15" hidden="false" customHeight="true" outlineLevel="0" collapsed="false">
      <c r="A97" s="1" t="n">
        <v>2019</v>
      </c>
      <c r="B97" s="1" t="n">
        <v>2</v>
      </c>
      <c r="C97" s="1" t="inlineStr">
        <is>
          <t xml:space="preserve">TASRE20191</t>
        </is>
      </c>
      <c r="D97" s="1" t="inlineStr">
        <is>
          <t xml:space="preserve">ELIMINADO</t>
        </is>
      </c>
      <c r="E97" s="1" t="n">
        <v>22</v>
      </c>
      <c r="F97" s="1" t="n">
        <v>33</v>
      </c>
      <c r="G97" s="1" t="n">
        <f aca="false">IF(E97=0,"",IF(D97="VIGENTE",1,0))</f>
        <v>0</v>
      </c>
      <c r="H97" s="1" t="inlineStr">
        <is>
          <t xml:space="preserve">B observado / C cálculo</t>
        </is>
      </c>
    </row>
    <row r="98" customFormat="false" ht="15" hidden="false" customHeight="true" outlineLevel="0" collapsed="false">
      <c r="A98" s="1" t="n">
        <v>2019</v>
      </c>
      <c r="B98" s="1" t="n">
        <v>2</v>
      </c>
      <c r="C98" s="1" t="inlineStr">
        <is>
          <t xml:space="preserve">TASRE20191</t>
        </is>
      </c>
      <c r="D98" s="1" t="inlineStr">
        <is>
          <t xml:space="preserve">TITULADO</t>
        </is>
      </c>
      <c r="E98" s="1" t="n">
        <v>2</v>
      </c>
      <c r="F98" s="1" t="n">
        <v>3</v>
      </c>
      <c r="G98" s="1" t="n">
        <f aca="false">IF(E98=0,"",IF(D98="VIGENTE",1,0))</f>
        <v>0</v>
      </c>
      <c r="H98" s="1" t="inlineStr">
        <is>
          <t xml:space="preserve">B observado / C cálculo</t>
        </is>
      </c>
    </row>
    <row r="99" customFormat="false" ht="15" hidden="false" customHeight="true" outlineLevel="0" collapsed="false">
      <c r="A99" s="1" t="n">
        <v>2019</v>
      </c>
      <c r="B99" s="1" t="n">
        <v>2</v>
      </c>
      <c r="C99" s="1" t="inlineStr">
        <is>
          <t xml:space="preserve">TASREOL20191</t>
        </is>
      </c>
      <c r="D99" s="1" t="inlineStr">
        <is>
          <t xml:space="preserve">ELIMINADO</t>
        </is>
      </c>
      <c r="E99" s="1" t="n">
        <v>12</v>
      </c>
      <c r="F99" s="1" t="n">
        <v>12</v>
      </c>
      <c r="G99" s="1" t="n">
        <f aca="false">IF(E99=0,"",IF(D99="VIGENTE",1,0))</f>
        <v>0</v>
      </c>
      <c r="H99" s="1" t="inlineStr">
        <is>
          <t xml:space="preserve">B observado / C cálculo</t>
        </is>
      </c>
    </row>
    <row r="100" customFormat="false" ht="15" hidden="false" customHeight="true" outlineLevel="0" collapsed="false">
      <c r="A100" s="1" t="n">
        <v>2019</v>
      </c>
      <c r="B100" s="1" t="n">
        <v>2</v>
      </c>
      <c r="C100" s="1" t="inlineStr">
        <is>
          <t xml:space="preserve">TASREOL20191</t>
        </is>
      </c>
      <c r="D100" s="1" t="inlineStr">
        <is>
          <t xml:space="preserve">TITULADO</t>
        </is>
      </c>
      <c r="E100" s="1" t="n">
        <v>2</v>
      </c>
      <c r="F100" s="1" t="n">
        <v>2</v>
      </c>
      <c r="G100" s="1" t="n">
        <f aca="false">IF(E100=0,"",IF(D100="VIGENTE",1,0))</f>
        <v>0</v>
      </c>
      <c r="H100" s="1" t="inlineStr">
        <is>
          <t xml:space="preserve">B observado / C cálculo</t>
        </is>
      </c>
    </row>
    <row r="101" customFormat="false" ht="15" hidden="false" customHeight="true" outlineLevel="0" collapsed="false">
      <c r="A101" s="1" t="n">
        <v>2019</v>
      </c>
      <c r="B101" s="1" t="n">
        <v>2</v>
      </c>
      <c r="C101" s="1" t="inlineStr">
        <is>
          <t xml:space="preserve">TCSRE20191</t>
        </is>
      </c>
      <c r="D101" s="1" t="inlineStr">
        <is>
          <t xml:space="preserve">ELIMINADO</t>
        </is>
      </c>
      <c r="E101" s="1" t="n">
        <v>10</v>
      </c>
      <c r="F101" s="1" t="n">
        <v>15</v>
      </c>
      <c r="G101" s="1" t="n">
        <f aca="false">IF(E101=0,"",IF(D101="VIGENTE",1,0))</f>
        <v>0</v>
      </c>
      <c r="H101" s="1" t="inlineStr">
        <is>
          <t xml:space="preserve">B observado / C cálculo</t>
        </is>
      </c>
    </row>
    <row r="102" customFormat="false" ht="15" hidden="false" customHeight="true" outlineLevel="0" collapsed="false">
      <c r="A102" s="1" t="n">
        <v>2019</v>
      </c>
      <c r="B102" s="1" t="n">
        <v>2</v>
      </c>
      <c r="C102" s="1" t="inlineStr">
        <is>
          <t xml:space="preserve">TCSRE20191</t>
        </is>
      </c>
      <c r="D102" s="1" t="inlineStr">
        <is>
          <t xml:space="preserve">TITULADO</t>
        </is>
      </c>
      <c r="E102" s="1" t="n">
        <v>6</v>
      </c>
      <c r="F102" s="1" t="n">
        <v>20</v>
      </c>
      <c r="G102" s="1" t="n">
        <f aca="false">IF(E102=0,"",IF(D102="VIGENTE",1,0))</f>
        <v>0</v>
      </c>
      <c r="H102" s="1" t="inlineStr">
        <is>
          <t xml:space="preserve">B observado / C cálculo</t>
        </is>
      </c>
    </row>
    <row r="103" customFormat="false" ht="15" hidden="false" customHeight="true" outlineLevel="0" collapsed="false">
      <c r="A103" s="1" t="n">
        <v>2019</v>
      </c>
      <c r="B103" s="1" t="n">
        <v>2</v>
      </c>
      <c r="C103" s="1" t="inlineStr">
        <is>
          <t xml:space="preserve">TMIRE20171</t>
        </is>
      </c>
      <c r="D103" s="1" t="inlineStr">
        <is>
          <t xml:space="preserve">ELIMINADO</t>
        </is>
      </c>
      <c r="E103" s="1" t="n">
        <v>10</v>
      </c>
      <c r="F103" s="1" t="n">
        <v>13</v>
      </c>
      <c r="G103" s="1" t="n">
        <f aca="false">IF(E103=0,"",IF(D103="VIGENTE",1,0))</f>
        <v>0</v>
      </c>
      <c r="H103" s="1" t="inlineStr">
        <is>
          <t xml:space="preserve">B observado / C cálculo</t>
        </is>
      </c>
    </row>
    <row r="104" customFormat="false" ht="15" hidden="false" customHeight="true" outlineLevel="0" collapsed="false">
      <c r="A104" s="1" t="n">
        <v>2019</v>
      </c>
      <c r="B104" s="1" t="n">
        <v>2</v>
      </c>
      <c r="C104" s="1" t="inlineStr">
        <is>
          <t xml:space="preserve">TMIRE20171</t>
        </is>
      </c>
      <c r="D104" s="1" t="inlineStr">
        <is>
          <t xml:space="preserve">TITULADO</t>
        </is>
      </c>
      <c r="E104" s="1" t="n">
        <v>14</v>
      </c>
      <c r="F104" s="1" t="n">
        <v>26</v>
      </c>
      <c r="G104" s="1" t="n">
        <f aca="false">IF(E104=0,"",IF(D104="VIGENTE",1,0))</f>
        <v>0</v>
      </c>
      <c r="H104" s="1" t="inlineStr">
        <is>
          <t xml:space="preserve">B observado / C cálculo</t>
        </is>
      </c>
    </row>
    <row r="105" customFormat="false" ht="15" hidden="false" customHeight="true" outlineLevel="0" collapsed="false">
      <c r="A105" s="1" t="n">
        <v>2019</v>
      </c>
      <c r="B105" s="1" t="n">
        <v>2</v>
      </c>
      <c r="C105" s="1" t="inlineStr">
        <is>
          <t xml:space="preserve">TPCRE20191</t>
        </is>
      </c>
      <c r="D105" s="1" t="inlineStr">
        <is>
          <t xml:space="preserve">ELIMINADO</t>
        </is>
      </c>
      <c r="E105" s="1" t="n">
        <v>33</v>
      </c>
      <c r="F105" s="1" t="n">
        <v>49</v>
      </c>
      <c r="G105" s="1" t="n">
        <f aca="false">IF(E105=0,"",IF(D105="VIGENTE",1,0))</f>
        <v>0</v>
      </c>
      <c r="H105" s="1" t="inlineStr">
        <is>
          <t xml:space="preserve">B observado / C cálculo</t>
        </is>
      </c>
    </row>
    <row r="106" customFormat="false" ht="15" hidden="false" customHeight="true" outlineLevel="0" collapsed="false">
      <c r="A106" s="1" t="n">
        <v>2019</v>
      </c>
      <c r="B106" s="1" t="n">
        <v>2</v>
      </c>
      <c r="C106" s="1" t="inlineStr">
        <is>
          <t xml:space="preserve">TPCRE20191</t>
        </is>
      </c>
      <c r="D106" s="1" t="inlineStr">
        <is>
          <t xml:space="preserve">SUSPENDIDO</t>
        </is>
      </c>
      <c r="E106" s="1" t="n">
        <v>1</v>
      </c>
      <c r="F106" s="1" t="n">
        <v>1</v>
      </c>
      <c r="G106" s="1" t="n">
        <f aca="false">IF(E106=0,"",IF(D106="VIGENTE",1,0))</f>
        <v>0</v>
      </c>
      <c r="H106" s="1" t="inlineStr">
        <is>
          <t xml:space="preserve">B observado / C cálculo</t>
        </is>
      </c>
    </row>
    <row r="107" customFormat="false" ht="15" hidden="false" customHeight="true" outlineLevel="0" collapsed="false">
      <c r="A107" s="1" t="n">
        <v>2019</v>
      </c>
      <c r="B107" s="1" t="n">
        <v>2</v>
      </c>
      <c r="C107" s="1" t="inlineStr">
        <is>
          <t xml:space="preserve">TPCRE20191</t>
        </is>
      </c>
      <c r="D107" s="1" t="inlineStr">
        <is>
          <t xml:space="preserve">TITULADO</t>
        </is>
      </c>
      <c r="E107" s="1" t="n">
        <v>11</v>
      </c>
      <c r="F107" s="1" t="n">
        <v>21</v>
      </c>
      <c r="G107" s="1" t="n">
        <f aca="false">IF(E107=0,"",IF(D107="VIGENTE",1,0))</f>
        <v>0</v>
      </c>
      <c r="H107" s="1" t="inlineStr">
        <is>
          <t xml:space="preserve">B observado / C cálculo</t>
        </is>
      </c>
    </row>
    <row r="108" customFormat="false" ht="15" hidden="false" customHeight="true" outlineLevel="0" collapsed="false">
      <c r="A108" s="1" t="n">
        <v>2019</v>
      </c>
      <c r="B108" s="1" t="n">
        <v>2</v>
      </c>
      <c r="C108" s="1" t="inlineStr">
        <is>
          <t xml:space="preserve">TPCREOL20191</t>
        </is>
      </c>
      <c r="D108" s="1" t="inlineStr">
        <is>
          <t xml:space="preserve">ELIMINADO</t>
        </is>
      </c>
      <c r="E108" s="1" t="n">
        <v>8</v>
      </c>
      <c r="F108" s="1" t="n">
        <v>8</v>
      </c>
      <c r="G108" s="1" t="n">
        <f aca="false">IF(E108=0,"",IF(D108="VIGENTE",1,0))</f>
        <v>0</v>
      </c>
      <c r="H108" s="1" t="inlineStr">
        <is>
          <t xml:space="preserve">B observado / C cálculo</t>
        </is>
      </c>
    </row>
    <row r="109" customFormat="false" ht="15" hidden="false" customHeight="true" outlineLevel="0" collapsed="false">
      <c r="A109" s="1" t="n">
        <v>2019</v>
      </c>
      <c r="B109" s="1" t="n">
        <v>2</v>
      </c>
      <c r="C109" s="1" t="inlineStr">
        <is>
          <t xml:space="preserve">TPCREOL20191</t>
        </is>
      </c>
      <c r="D109" s="1" t="inlineStr">
        <is>
          <t xml:space="preserve">TITULADO</t>
        </is>
      </c>
      <c r="E109" s="1" t="n">
        <v>4</v>
      </c>
      <c r="F109" s="1" t="n">
        <v>4</v>
      </c>
      <c r="G109" s="1" t="n">
        <f aca="false">IF(E109=0,"",IF(D109="VIGENTE",1,0))</f>
        <v>0</v>
      </c>
      <c r="H109" s="1" t="inlineStr">
        <is>
          <t xml:space="preserve">B observado / C cálculo</t>
        </is>
      </c>
    </row>
    <row r="110" customFormat="false" ht="15" hidden="false" customHeight="true" outlineLevel="0" collapsed="false">
      <c r="A110" s="1" t="n">
        <v>2019</v>
      </c>
      <c r="B110" s="1" t="n">
        <v>2</v>
      </c>
      <c r="C110" s="1" t="inlineStr">
        <is>
          <t xml:space="preserve">TTMRE20191</t>
        </is>
      </c>
      <c r="D110" s="1" t="inlineStr">
        <is>
          <t xml:space="preserve">ELIMINADO</t>
        </is>
      </c>
      <c r="E110" s="1" t="n">
        <v>13</v>
      </c>
      <c r="F110" s="1" t="n">
        <v>13</v>
      </c>
      <c r="G110" s="1" t="n">
        <f aca="false">IF(E110=0,"",IF(D110="VIGENTE",1,0))</f>
        <v>0</v>
      </c>
      <c r="H110" s="1" t="inlineStr">
        <is>
          <t xml:space="preserve">B observado / C cálculo</t>
        </is>
      </c>
    </row>
    <row r="111" customFormat="false" ht="15" hidden="false" customHeight="true" outlineLevel="0" collapsed="false">
      <c r="A111" s="1" t="n">
        <v>2019</v>
      </c>
      <c r="B111" s="1" t="n">
        <v>2</v>
      </c>
      <c r="C111" s="1" t="inlineStr">
        <is>
          <t xml:space="preserve">TTMRE20191</t>
        </is>
      </c>
      <c r="D111" s="1" t="inlineStr">
        <is>
          <t xml:space="preserve">TITULADO</t>
        </is>
      </c>
      <c r="E111" s="1" t="n">
        <v>22</v>
      </c>
      <c r="F111" s="1" t="n">
        <v>22</v>
      </c>
      <c r="G111" s="1" t="n">
        <f aca="false">IF(E111=0,"",IF(D111="VIGENTE",1,0))</f>
        <v>0</v>
      </c>
      <c r="H111" s="1" t="inlineStr">
        <is>
          <t xml:space="preserve">B observado / C cálculo</t>
        </is>
      </c>
    </row>
    <row r="112" customFormat="false" ht="15" hidden="false" customHeight="true" outlineLevel="0" collapsed="false">
      <c r="A112" s="1" t="n">
        <v>2019</v>
      </c>
      <c r="B112" s="1" t="n">
        <v>2</v>
      </c>
      <c r="C112" s="1" t="inlineStr">
        <is>
          <t xml:space="preserve">TTMREOL20191</t>
        </is>
      </c>
      <c r="D112" s="1" t="inlineStr">
        <is>
          <t xml:space="preserve">ELIMINADO</t>
        </is>
      </c>
      <c r="E112" s="1" t="n">
        <v>15</v>
      </c>
      <c r="F112" s="1" t="n">
        <v>15</v>
      </c>
      <c r="G112" s="1" t="n">
        <f aca="false">IF(E112=0,"",IF(D112="VIGENTE",1,0))</f>
        <v>0</v>
      </c>
      <c r="H112" s="1" t="inlineStr">
        <is>
          <t xml:space="preserve">B observado / C cálculo</t>
        </is>
      </c>
    </row>
    <row r="113" customFormat="false" ht="15" hidden="false" customHeight="true" outlineLevel="0" collapsed="false">
      <c r="A113" s="1" t="n">
        <v>2019</v>
      </c>
      <c r="B113" s="1" t="n">
        <v>2</v>
      </c>
      <c r="C113" s="1" t="inlineStr">
        <is>
          <t xml:space="preserve">TTMREOL20191</t>
        </is>
      </c>
      <c r="D113" s="1" t="inlineStr">
        <is>
          <t xml:space="preserve">TITULADO</t>
        </is>
      </c>
      <c r="E113" s="1" t="n">
        <v>11</v>
      </c>
      <c r="F113" s="1" t="n">
        <v>11</v>
      </c>
      <c r="G113" s="1" t="n">
        <f aca="false">IF(E113=0,"",IF(D113="VIGENTE",1,0))</f>
        <v>0</v>
      </c>
      <c r="H113" s="1" t="inlineStr">
        <is>
          <t xml:space="preserve">B observado / C cálculo</t>
        </is>
      </c>
    </row>
    <row r="114" customFormat="false" ht="15" hidden="false" customHeight="true" outlineLevel="0" collapsed="false">
      <c r="A114" s="1" t="n">
        <v>2019</v>
      </c>
      <c r="B114" s="1" t="n">
        <v>3</v>
      </c>
      <c r="C114" s="1" t="inlineStr">
        <is>
          <t xml:space="preserve">IECIREOL</t>
        </is>
      </c>
      <c r="D114" s="1" t="inlineStr">
        <is>
          <t xml:space="preserve">ELIMINADO</t>
        </is>
      </c>
      <c r="E114" s="1" t="n">
        <v>1</v>
      </c>
      <c r="F114" s="1" t="n">
        <v>1</v>
      </c>
      <c r="G114" s="1" t="n">
        <f aca="false">IF(E114=0,"",IF(D114="VIGENTE",1,0))</f>
        <v>0</v>
      </c>
      <c r="H114" s="1" t="inlineStr">
        <is>
          <t xml:space="preserve">B observado / C cálculo</t>
        </is>
      </c>
    </row>
    <row r="115" customFormat="false" ht="15" hidden="false" customHeight="true" outlineLevel="0" collapsed="false">
      <c r="A115" s="1" t="n">
        <v>2019</v>
      </c>
      <c r="B115" s="1" t="n">
        <v>3</v>
      </c>
      <c r="C115" s="1" t="inlineStr">
        <is>
          <t xml:space="preserve">IECIREOL</t>
        </is>
      </c>
      <c r="D115" s="1" t="inlineStr">
        <is>
          <t xml:space="preserve">TITULADO</t>
        </is>
      </c>
      <c r="E115" s="1" t="n">
        <v>3</v>
      </c>
      <c r="F115" s="1" t="n">
        <v>3</v>
      </c>
      <c r="G115" s="1" t="n">
        <f aca="false">IF(E115=0,"",IF(D115="VIGENTE",1,0))</f>
        <v>0</v>
      </c>
      <c r="H115" s="1" t="inlineStr">
        <is>
          <t xml:space="preserve">B observado / C cálculo</t>
        </is>
      </c>
    </row>
    <row r="116" customFormat="false" ht="15" hidden="false" customHeight="true" outlineLevel="0" collapsed="false">
      <c r="A116" s="1" t="n">
        <v>2019</v>
      </c>
      <c r="B116" s="1" t="n">
        <v>3</v>
      </c>
      <c r="C116" s="1" t="inlineStr">
        <is>
          <t xml:space="preserve">IECIREOL20191</t>
        </is>
      </c>
      <c r="D116" s="1" t="inlineStr">
        <is>
          <t xml:space="preserve">ELIMINADO</t>
        </is>
      </c>
      <c r="E116" s="1" t="n">
        <v>12</v>
      </c>
      <c r="F116" s="1" t="n">
        <v>12</v>
      </c>
      <c r="G116" s="1" t="n">
        <f aca="false">IF(E116=0,"",IF(D116="VIGENTE",1,0))</f>
        <v>0</v>
      </c>
      <c r="H116" s="1" t="inlineStr">
        <is>
          <t xml:space="preserve">B observado / C cálculo</t>
        </is>
      </c>
    </row>
    <row r="117" customFormat="false" ht="15" hidden="false" customHeight="true" outlineLevel="0" collapsed="false">
      <c r="A117" s="1" t="n">
        <v>2019</v>
      </c>
      <c r="B117" s="1" t="n">
        <v>3</v>
      </c>
      <c r="C117" s="1" t="inlineStr">
        <is>
          <t xml:space="preserve">IECIREOL20191</t>
        </is>
      </c>
      <c r="D117" s="1" t="inlineStr">
        <is>
          <t xml:space="preserve">SUSPENDIDO</t>
        </is>
      </c>
      <c r="E117" s="1" t="n">
        <v>1</v>
      </c>
      <c r="F117" s="1" t="n">
        <v>1</v>
      </c>
      <c r="G117" s="1" t="n">
        <f aca="false">IF(E117=0,"",IF(D117="VIGENTE",1,0))</f>
        <v>0</v>
      </c>
      <c r="H117" s="1" t="inlineStr">
        <is>
          <t xml:space="preserve">B observado / C cálculo</t>
        </is>
      </c>
    </row>
    <row r="118" customFormat="false" ht="15" hidden="false" customHeight="true" outlineLevel="0" collapsed="false">
      <c r="A118" s="1" t="n">
        <v>2019</v>
      </c>
      <c r="B118" s="1" t="n">
        <v>3</v>
      </c>
      <c r="C118" s="1" t="inlineStr">
        <is>
          <t xml:space="preserve">IECIREOL20191</t>
        </is>
      </c>
      <c r="D118" s="1" t="inlineStr">
        <is>
          <t xml:space="preserve">TITULADO</t>
        </is>
      </c>
      <c r="E118" s="1" t="n">
        <v>7</v>
      </c>
      <c r="F118" s="1" t="n">
        <v>7</v>
      </c>
      <c r="G118" s="1" t="n">
        <f aca="false">IF(E118=0,"",IF(D118="VIGENTE",1,0))</f>
        <v>0</v>
      </c>
      <c r="H118" s="1" t="inlineStr">
        <is>
          <t xml:space="preserve">B observado / C cálculo</t>
        </is>
      </c>
    </row>
    <row r="119" customFormat="false" ht="15" hidden="false" customHeight="true" outlineLevel="0" collapsed="false">
      <c r="A119" s="1" t="n">
        <v>2019</v>
      </c>
      <c r="B119" s="1" t="n">
        <v>3</v>
      </c>
      <c r="C119" s="1" t="inlineStr">
        <is>
          <t xml:space="preserve">IETMREOL</t>
        </is>
      </c>
      <c r="D119" s="1" t="inlineStr">
        <is>
          <t xml:space="preserve">ELIMINADO</t>
        </is>
      </c>
      <c r="E119" s="1" t="n">
        <v>2</v>
      </c>
      <c r="F119" s="1" t="n">
        <v>2</v>
      </c>
      <c r="G119" s="1" t="n">
        <f aca="false">IF(E119=0,"",IF(D119="VIGENTE",1,0))</f>
        <v>0</v>
      </c>
      <c r="H119" s="1" t="inlineStr">
        <is>
          <t xml:space="preserve">B observado / C cálculo</t>
        </is>
      </c>
    </row>
    <row r="120" customFormat="false" ht="15" hidden="false" customHeight="true" outlineLevel="0" collapsed="false">
      <c r="A120" s="1" t="n">
        <v>2019</v>
      </c>
      <c r="B120" s="1" t="n">
        <v>3</v>
      </c>
      <c r="C120" s="1" t="inlineStr">
        <is>
          <t xml:space="preserve">IETMREOL</t>
        </is>
      </c>
      <c r="D120" s="1" t="inlineStr">
        <is>
          <t xml:space="preserve">TITULADO</t>
        </is>
      </c>
      <c r="E120" s="1" t="n">
        <v>1</v>
      </c>
      <c r="F120" s="1" t="n">
        <v>1</v>
      </c>
      <c r="G120" s="1" t="n">
        <f aca="false">IF(E120=0,"",IF(D120="VIGENTE",1,0))</f>
        <v>0</v>
      </c>
      <c r="H120" s="1" t="inlineStr">
        <is>
          <t xml:space="preserve">B observado / C cálculo</t>
        </is>
      </c>
    </row>
    <row r="121" customFormat="false" ht="15" hidden="false" customHeight="true" outlineLevel="0" collapsed="false">
      <c r="A121" s="1" t="n">
        <v>2019</v>
      </c>
      <c r="B121" s="1" t="n">
        <v>3</v>
      </c>
      <c r="C121" s="1" t="inlineStr">
        <is>
          <t xml:space="preserve">IETMREOL20191</t>
        </is>
      </c>
      <c r="D121" s="1" t="inlineStr">
        <is>
          <t xml:space="preserve">ELIMINADO</t>
        </is>
      </c>
      <c r="E121" s="1" t="n">
        <v>8</v>
      </c>
      <c r="F121" s="1" t="n">
        <v>8</v>
      </c>
      <c r="G121" s="1" t="n">
        <f aca="false">IF(E121=0,"",IF(D121="VIGENTE",1,0))</f>
        <v>0</v>
      </c>
      <c r="H121" s="1" t="inlineStr">
        <is>
          <t xml:space="preserve">B observado / C cálculo</t>
        </is>
      </c>
    </row>
    <row r="122" customFormat="false" ht="15" hidden="false" customHeight="true" outlineLevel="0" collapsed="false">
      <c r="A122" s="1" t="n">
        <v>2019</v>
      </c>
      <c r="B122" s="1" t="n">
        <v>3</v>
      </c>
      <c r="C122" s="1" t="inlineStr">
        <is>
          <t xml:space="preserve">IETMREOL20191</t>
        </is>
      </c>
      <c r="D122" s="1" t="inlineStr">
        <is>
          <t xml:space="preserve">TITULADO</t>
        </is>
      </c>
      <c r="E122" s="1" t="n">
        <v>4</v>
      </c>
      <c r="F122" s="1" t="n">
        <v>4</v>
      </c>
      <c r="G122" s="1" t="n">
        <f aca="false">IF(E122=0,"",IF(D122="VIGENTE",1,0))</f>
        <v>0</v>
      </c>
      <c r="H122" s="1" t="inlineStr">
        <is>
          <t xml:space="preserve">B observado / C cálculo</t>
        </is>
      </c>
    </row>
    <row r="123" customFormat="false" ht="15" hidden="false" customHeight="true" outlineLevel="0" collapsed="false">
      <c r="A123" s="1" t="n">
        <v>2019</v>
      </c>
      <c r="B123" s="1" t="n">
        <v>3</v>
      </c>
      <c r="C123" s="1" t="inlineStr">
        <is>
          <t xml:space="preserve">NCONRE</t>
        </is>
      </c>
      <c r="D123" s="1" t="inlineStr">
        <is>
          <t xml:space="preserve">ELIMINADO</t>
        </is>
      </c>
      <c r="E123" s="1" t="n">
        <v>1</v>
      </c>
      <c r="F123" s="1" t="n">
        <v>1</v>
      </c>
      <c r="G123" s="1" t="n">
        <f aca="false">IF(E123=0,"",IF(D123="VIGENTE",1,0))</f>
        <v>0</v>
      </c>
      <c r="H123" s="1" t="inlineStr">
        <is>
          <t xml:space="preserve">B observado / C cálculo</t>
        </is>
      </c>
    </row>
    <row r="124" customFormat="false" ht="15" hidden="false" customHeight="true" outlineLevel="0" collapsed="false">
      <c r="A124" s="1" t="n">
        <v>2019</v>
      </c>
      <c r="B124" s="1" t="n">
        <v>3</v>
      </c>
      <c r="C124" s="1" t="inlineStr">
        <is>
          <t xml:space="preserve">NCONREOL2019</t>
        </is>
      </c>
      <c r="D124" s="1" t="inlineStr">
        <is>
          <t xml:space="preserve">ELIMINADO</t>
        </is>
      </c>
      <c r="E124" s="1" t="n">
        <v>2</v>
      </c>
      <c r="F124" s="1" t="n">
        <v>2</v>
      </c>
      <c r="G124" s="1" t="n">
        <f aca="false">IF(E124=0,"",IF(D124="VIGENTE",1,0))</f>
        <v>0</v>
      </c>
      <c r="H124" s="1" t="inlineStr">
        <is>
          <t xml:space="preserve">B observado / C cálculo</t>
        </is>
      </c>
    </row>
    <row r="125" customFormat="false" ht="15" hidden="false" customHeight="true" outlineLevel="0" collapsed="false">
      <c r="A125" s="1" t="n">
        <v>2019</v>
      </c>
      <c r="B125" s="1" t="n">
        <v>3</v>
      </c>
      <c r="C125" s="1" t="inlineStr">
        <is>
          <t xml:space="preserve">NCONREOL2019</t>
        </is>
      </c>
      <c r="D125" s="1" t="inlineStr">
        <is>
          <t xml:space="preserve">TITULADO</t>
        </is>
      </c>
      <c r="E125" s="1" t="n">
        <v>12</v>
      </c>
      <c r="F125" s="1" t="n">
        <v>12</v>
      </c>
      <c r="G125" s="1" t="n">
        <f aca="false">IF(E125=0,"",IF(D125="VIGENTE",1,0))</f>
        <v>0</v>
      </c>
      <c r="H125" s="1" t="inlineStr">
        <is>
          <t xml:space="preserve">B observado / C cálculo</t>
        </is>
      </c>
    </row>
    <row r="126" customFormat="false" ht="15" hidden="false" customHeight="true" outlineLevel="0" collapsed="false">
      <c r="A126" s="1" t="n">
        <v>2019</v>
      </c>
      <c r="B126" s="1" t="n">
        <v>3</v>
      </c>
      <c r="C126" s="1" t="inlineStr">
        <is>
          <t xml:space="preserve">NINFREOL2019</t>
        </is>
      </c>
      <c r="D126" s="1" t="inlineStr">
        <is>
          <t xml:space="preserve">ELIMINADO</t>
        </is>
      </c>
      <c r="E126" s="1" t="n">
        <v>2</v>
      </c>
      <c r="F126" s="1" t="n">
        <v>2</v>
      </c>
      <c r="G126" s="1" t="n">
        <f aca="false">IF(E126=0,"",IF(D126="VIGENTE",1,0))</f>
        <v>0</v>
      </c>
      <c r="H126" s="1" t="inlineStr">
        <is>
          <t xml:space="preserve">B observado / C cálculo</t>
        </is>
      </c>
    </row>
    <row r="127" customFormat="false" ht="15" hidden="false" customHeight="true" outlineLevel="0" collapsed="false">
      <c r="A127" s="1" t="n">
        <v>2019</v>
      </c>
      <c r="B127" s="1" t="n">
        <v>3</v>
      </c>
      <c r="C127" s="1" t="inlineStr">
        <is>
          <t xml:space="preserve">NINFREOL2019</t>
        </is>
      </c>
      <c r="D127" s="1" t="inlineStr">
        <is>
          <t xml:space="preserve">TITULADO</t>
        </is>
      </c>
      <c r="E127" s="1" t="n">
        <v>3</v>
      </c>
      <c r="F127" s="1" t="n">
        <v>3</v>
      </c>
      <c r="G127" s="1" t="n">
        <f aca="false">IF(E127=0,"",IF(D127="VIGENTE",1,0))</f>
        <v>0</v>
      </c>
      <c r="H127" s="1" t="inlineStr">
        <is>
          <t xml:space="preserve">B observado / C cálculo</t>
        </is>
      </c>
    </row>
    <row r="128" customFormat="false" ht="15" hidden="false" customHeight="true" outlineLevel="0" collapsed="false">
      <c r="A128" s="1" t="n">
        <v>2019</v>
      </c>
      <c r="B128" s="1" t="n">
        <v>3</v>
      </c>
      <c r="C128" s="1" t="inlineStr">
        <is>
          <t xml:space="preserve">TASREOL20191</t>
        </is>
      </c>
      <c r="D128" s="1" t="inlineStr">
        <is>
          <t xml:space="preserve">ELIMINADO</t>
        </is>
      </c>
      <c r="E128" s="1" t="n">
        <v>10</v>
      </c>
      <c r="F128" s="1" t="n">
        <v>10</v>
      </c>
      <c r="G128" s="1" t="n">
        <f aca="false">IF(E128=0,"",IF(D128="VIGENTE",1,0))</f>
        <v>0</v>
      </c>
      <c r="H128" s="1" t="inlineStr">
        <is>
          <t xml:space="preserve">B observado / C cálculo</t>
        </is>
      </c>
    </row>
    <row r="129" customFormat="false" ht="15" hidden="false" customHeight="true" outlineLevel="0" collapsed="false">
      <c r="A129" s="1" t="n">
        <v>2019</v>
      </c>
      <c r="B129" s="1" t="n">
        <v>3</v>
      </c>
      <c r="C129" s="1" t="inlineStr">
        <is>
          <t xml:space="preserve">TASREOL20191</t>
        </is>
      </c>
      <c r="D129" s="1" t="inlineStr">
        <is>
          <t xml:space="preserve">TITULADO</t>
        </is>
      </c>
      <c r="E129" s="1" t="n">
        <v>2</v>
      </c>
      <c r="F129" s="1" t="n">
        <v>2</v>
      </c>
      <c r="G129" s="1" t="n">
        <f aca="false">IF(E129=0,"",IF(D129="VIGENTE",1,0))</f>
        <v>0</v>
      </c>
      <c r="H129" s="1" t="inlineStr">
        <is>
          <t xml:space="preserve">B observado / C cálculo</t>
        </is>
      </c>
    </row>
    <row r="130" customFormat="false" ht="15" hidden="false" customHeight="true" outlineLevel="0" collapsed="false">
      <c r="A130" s="1" t="n">
        <v>2019</v>
      </c>
      <c r="B130" s="1" t="n">
        <v>3</v>
      </c>
      <c r="C130" s="1" t="inlineStr">
        <is>
          <t xml:space="preserve">TPCREOL20191</t>
        </is>
      </c>
      <c r="D130" s="1" t="inlineStr">
        <is>
          <t xml:space="preserve">ELIMINADO</t>
        </is>
      </c>
      <c r="E130" s="1" t="n">
        <v>7</v>
      </c>
      <c r="F130" s="1" t="n">
        <v>7</v>
      </c>
      <c r="G130" s="1" t="n">
        <f aca="false">IF(E130=0,"",IF(D130="VIGENTE",1,0))</f>
        <v>0</v>
      </c>
      <c r="H130" s="1" t="inlineStr">
        <is>
          <t xml:space="preserve">B observado / C cálculo</t>
        </is>
      </c>
    </row>
    <row r="131" customFormat="false" ht="15" hidden="false" customHeight="true" outlineLevel="0" collapsed="false">
      <c r="A131" s="1" t="n">
        <v>2019</v>
      </c>
      <c r="B131" s="1" t="n">
        <v>3</v>
      </c>
      <c r="C131" s="1" t="inlineStr">
        <is>
          <t xml:space="preserve">TPCREOL20191</t>
        </is>
      </c>
      <c r="D131" s="1" t="inlineStr">
        <is>
          <t xml:space="preserve">TITULADO</t>
        </is>
      </c>
      <c r="E131" s="1" t="n">
        <v>4</v>
      </c>
      <c r="F131" s="1" t="n">
        <v>4</v>
      </c>
      <c r="G131" s="1" t="n">
        <f aca="false">IF(E131=0,"",IF(D131="VIGENTE",1,0))</f>
        <v>0</v>
      </c>
      <c r="H131" s="1" t="inlineStr">
        <is>
          <t xml:space="preserve">B observado / C cálculo</t>
        </is>
      </c>
    </row>
    <row r="132" customFormat="false" ht="15" hidden="false" customHeight="true" outlineLevel="0" collapsed="false">
      <c r="A132" s="1" t="n">
        <v>2019</v>
      </c>
      <c r="B132" s="1" t="n">
        <v>3</v>
      </c>
      <c r="C132" s="1" t="inlineStr">
        <is>
          <t xml:space="preserve">TTMREOL20191</t>
        </is>
      </c>
      <c r="D132" s="1" t="inlineStr">
        <is>
          <t xml:space="preserve">ELIMINADO</t>
        </is>
      </c>
      <c r="E132" s="1" t="n">
        <v>13</v>
      </c>
      <c r="F132" s="1" t="n">
        <v>13</v>
      </c>
      <c r="G132" s="1" t="n">
        <f aca="false">IF(E132=0,"",IF(D132="VIGENTE",1,0))</f>
        <v>0</v>
      </c>
      <c r="H132" s="1" t="inlineStr">
        <is>
          <t xml:space="preserve">B observado / C cálculo</t>
        </is>
      </c>
    </row>
    <row r="133" customFormat="false" ht="15" hidden="false" customHeight="true" outlineLevel="0" collapsed="false">
      <c r="A133" s="1" t="n">
        <v>2019</v>
      </c>
      <c r="B133" s="1" t="n">
        <v>3</v>
      </c>
      <c r="C133" s="1" t="inlineStr">
        <is>
          <t xml:space="preserve">TTMREOL20191</t>
        </is>
      </c>
      <c r="D133" s="1" t="inlineStr">
        <is>
          <t xml:space="preserve">TITULADO</t>
        </is>
      </c>
      <c r="E133" s="1" t="n">
        <v>11</v>
      </c>
      <c r="F133" s="1" t="n">
        <v>11</v>
      </c>
      <c r="G133" s="1" t="n">
        <f aca="false">IF(E133=0,"",IF(D133="VIGENTE",1,0))</f>
        <v>0</v>
      </c>
      <c r="H133" s="1" t="inlineStr">
        <is>
          <t xml:space="preserve">B observado / C cálculo</t>
        </is>
      </c>
    </row>
    <row r="134" customFormat="false" ht="15" hidden="false" customHeight="true" outlineLevel="0" collapsed="false">
      <c r="A134" s="1" t="n">
        <v>2019</v>
      </c>
      <c r="B134" s="1" t="n">
        <v>4</v>
      </c>
      <c r="C134" s="1" t="inlineStr">
        <is>
          <t xml:space="preserve">IECIREOL20191</t>
        </is>
      </c>
      <c r="D134" s="1" t="inlineStr">
        <is>
          <t xml:space="preserve">ELIMINADO</t>
        </is>
      </c>
      <c r="E134" s="1" t="n">
        <v>8</v>
      </c>
      <c r="F134" s="1" t="n">
        <v>8</v>
      </c>
      <c r="G134" s="1" t="n">
        <f aca="false">IF(E134=0,"",IF(D134="VIGENTE",1,0))</f>
        <v>0</v>
      </c>
      <c r="H134" s="1" t="inlineStr">
        <is>
          <t xml:space="preserve">B observado / C cálculo</t>
        </is>
      </c>
    </row>
    <row r="135" customFormat="false" ht="15" hidden="false" customHeight="true" outlineLevel="0" collapsed="false">
      <c r="A135" s="1" t="n">
        <v>2019</v>
      </c>
      <c r="B135" s="1" t="n">
        <v>4</v>
      </c>
      <c r="C135" s="1" t="inlineStr">
        <is>
          <t xml:space="preserve">IECIREOL20191</t>
        </is>
      </c>
      <c r="D135" s="1" t="inlineStr">
        <is>
          <t xml:space="preserve">TITULADO</t>
        </is>
      </c>
      <c r="E135" s="1" t="n">
        <v>7</v>
      </c>
      <c r="F135" s="1" t="n">
        <v>7</v>
      </c>
      <c r="G135" s="1" t="n">
        <f aca="false">IF(E135=0,"",IF(D135="VIGENTE",1,0))</f>
        <v>0</v>
      </c>
      <c r="H135" s="1" t="inlineStr">
        <is>
          <t xml:space="preserve">B observado / C cálculo</t>
        </is>
      </c>
    </row>
    <row r="136" customFormat="false" ht="15" hidden="false" customHeight="true" outlineLevel="0" collapsed="false">
      <c r="A136" s="1" t="n">
        <v>2019</v>
      </c>
      <c r="B136" s="1" t="n">
        <v>4</v>
      </c>
      <c r="C136" s="1" t="inlineStr">
        <is>
          <t xml:space="preserve">IECIREOL20201</t>
        </is>
      </c>
      <c r="D136" s="1" t="inlineStr">
        <is>
          <t xml:space="preserve">TITULADO</t>
        </is>
      </c>
      <c r="E136" s="1" t="n">
        <v>1</v>
      </c>
      <c r="F136" s="1" t="n">
        <v>1</v>
      </c>
      <c r="G136" s="1" t="n">
        <f aca="false">IF(E136=0,"",IF(D136="VIGENTE",1,0))</f>
        <v>0</v>
      </c>
      <c r="H136" s="1" t="inlineStr">
        <is>
          <t xml:space="preserve">B observado / C cálculo</t>
        </is>
      </c>
    </row>
    <row r="137" customFormat="false" ht="15" hidden="false" customHeight="true" outlineLevel="0" collapsed="false">
      <c r="A137" s="1" t="n">
        <v>2019</v>
      </c>
      <c r="B137" s="1" t="n">
        <v>4</v>
      </c>
      <c r="C137" s="1" t="inlineStr">
        <is>
          <t xml:space="preserve">IETMREOL20191</t>
        </is>
      </c>
      <c r="D137" s="1" t="inlineStr">
        <is>
          <t xml:space="preserve">ELIMINADO</t>
        </is>
      </c>
      <c r="E137" s="1" t="n">
        <v>1</v>
      </c>
      <c r="F137" s="1" t="n">
        <v>1</v>
      </c>
      <c r="G137" s="1" t="n">
        <f aca="false">IF(E137=0,"",IF(D137="VIGENTE",1,0))</f>
        <v>0</v>
      </c>
      <c r="H137" s="1" t="inlineStr">
        <is>
          <t xml:space="preserve">B observado / C cálculo</t>
        </is>
      </c>
    </row>
    <row r="138" customFormat="false" ht="15" hidden="false" customHeight="true" outlineLevel="0" collapsed="false">
      <c r="A138" s="1" t="n">
        <v>2019</v>
      </c>
      <c r="B138" s="1" t="n">
        <v>4</v>
      </c>
      <c r="C138" s="1" t="inlineStr">
        <is>
          <t xml:space="preserve">TASREOL20191</t>
        </is>
      </c>
      <c r="D138" s="1" t="inlineStr">
        <is>
          <t xml:space="preserve">ELIMINADO</t>
        </is>
      </c>
      <c r="E138" s="1" t="n">
        <v>9</v>
      </c>
      <c r="F138" s="1" t="n">
        <v>9</v>
      </c>
      <c r="G138" s="1" t="n">
        <f aca="false">IF(E138=0,"",IF(D138="VIGENTE",1,0))</f>
        <v>0</v>
      </c>
      <c r="H138" s="1" t="inlineStr">
        <is>
          <t xml:space="preserve">B observado / C cálculo</t>
        </is>
      </c>
    </row>
    <row r="139" customFormat="false" ht="15" hidden="false" customHeight="true" outlineLevel="0" collapsed="false">
      <c r="A139" s="1" t="n">
        <v>2019</v>
      </c>
      <c r="B139" s="1" t="n">
        <v>4</v>
      </c>
      <c r="C139" s="1" t="inlineStr">
        <is>
          <t xml:space="preserve">TASREOL20191</t>
        </is>
      </c>
      <c r="D139" s="1" t="inlineStr">
        <is>
          <t xml:space="preserve">TITULADO</t>
        </is>
      </c>
      <c r="E139" s="1" t="n">
        <v>2</v>
      </c>
      <c r="F139" s="1" t="n">
        <v>2</v>
      </c>
      <c r="G139" s="1" t="n">
        <f aca="false">IF(E139=0,"",IF(D139="VIGENTE",1,0))</f>
        <v>0</v>
      </c>
      <c r="H139" s="1" t="inlineStr">
        <is>
          <t xml:space="preserve">B observado / C cálculo</t>
        </is>
      </c>
    </row>
    <row r="140" customFormat="false" ht="15" hidden="false" customHeight="true" outlineLevel="0" collapsed="false">
      <c r="A140" s="1" t="n">
        <v>2019</v>
      </c>
      <c r="B140" s="1" t="n">
        <v>4</v>
      </c>
      <c r="C140" s="1" t="inlineStr">
        <is>
          <t xml:space="preserve">TPCREOL20191</t>
        </is>
      </c>
      <c r="D140" s="1" t="inlineStr">
        <is>
          <t xml:space="preserve">ELIMINADO</t>
        </is>
      </c>
      <c r="E140" s="1" t="n">
        <v>5</v>
      </c>
      <c r="F140" s="1" t="n">
        <v>5</v>
      </c>
      <c r="G140" s="1" t="n">
        <f aca="false">IF(E140=0,"",IF(D140="VIGENTE",1,0))</f>
        <v>0</v>
      </c>
      <c r="H140" s="1" t="inlineStr">
        <is>
          <t xml:space="preserve">B observado / C cálculo</t>
        </is>
      </c>
    </row>
    <row r="141" customFormat="false" ht="15" hidden="false" customHeight="true" outlineLevel="0" collapsed="false">
      <c r="A141" s="1" t="n">
        <v>2019</v>
      </c>
      <c r="B141" s="1" t="n">
        <v>4</v>
      </c>
      <c r="C141" s="1" t="inlineStr">
        <is>
          <t xml:space="preserve">TPCREOL20191</t>
        </is>
      </c>
      <c r="D141" s="1" t="inlineStr">
        <is>
          <t xml:space="preserve">TITULADO</t>
        </is>
      </c>
      <c r="E141" s="1" t="n">
        <v>4</v>
      </c>
      <c r="F141" s="1" t="n">
        <v>4</v>
      </c>
      <c r="G141" s="1" t="n">
        <f aca="false">IF(E141=0,"",IF(D141="VIGENTE",1,0))</f>
        <v>0</v>
      </c>
      <c r="H141" s="1" t="inlineStr">
        <is>
          <t xml:space="preserve">B observado / C cálculo</t>
        </is>
      </c>
    </row>
    <row r="142" customFormat="false" ht="15" hidden="false" customHeight="true" outlineLevel="0" collapsed="false">
      <c r="A142" s="1" t="n">
        <v>2019</v>
      </c>
      <c r="B142" s="1" t="n">
        <v>5</v>
      </c>
      <c r="C142" s="1" t="inlineStr">
        <is>
          <t xml:space="preserve">IECIREOL20191</t>
        </is>
      </c>
      <c r="D142" s="1" t="inlineStr">
        <is>
          <t xml:space="preserve">ELIMINADO</t>
        </is>
      </c>
      <c r="E142" s="1" t="n">
        <v>10</v>
      </c>
      <c r="F142" s="1" t="n">
        <v>10</v>
      </c>
      <c r="G142" s="1" t="n">
        <f aca="false">IF(E142=0,"",IF(D142="VIGENTE",1,0))</f>
        <v>0</v>
      </c>
      <c r="H142" s="1" t="inlineStr">
        <is>
          <t xml:space="preserve">B observado / C cálculo</t>
        </is>
      </c>
    </row>
    <row r="143" customFormat="false" ht="15" hidden="false" customHeight="true" outlineLevel="0" collapsed="false">
      <c r="A143" s="1" t="n">
        <v>2019</v>
      </c>
      <c r="B143" s="1" t="n">
        <v>5</v>
      </c>
      <c r="C143" s="1" t="inlineStr">
        <is>
          <t xml:space="preserve">IECIREOL20191</t>
        </is>
      </c>
      <c r="D143" s="1" t="inlineStr">
        <is>
          <t xml:space="preserve">TITULADO</t>
        </is>
      </c>
      <c r="E143" s="1" t="n">
        <v>8</v>
      </c>
      <c r="F143" s="1" t="n">
        <v>8</v>
      </c>
      <c r="G143" s="1" t="n">
        <f aca="false">IF(E143=0,"",IF(D143="VIGENTE",1,0))</f>
        <v>0</v>
      </c>
      <c r="H143" s="1" t="inlineStr">
        <is>
          <t xml:space="preserve">B observado / C cálculo</t>
        </is>
      </c>
    </row>
    <row r="144" customFormat="false" ht="15" hidden="false" customHeight="true" outlineLevel="0" collapsed="false">
      <c r="A144" s="1" t="n">
        <v>2019</v>
      </c>
      <c r="B144" s="1" t="n">
        <v>5</v>
      </c>
      <c r="C144" s="1" t="inlineStr">
        <is>
          <t xml:space="preserve">IECIREOL20201</t>
        </is>
      </c>
      <c r="D144" s="1" t="inlineStr">
        <is>
          <t xml:space="preserve">TITULADO</t>
        </is>
      </c>
      <c r="E144" s="1" t="n">
        <v>1</v>
      </c>
      <c r="F144" s="1" t="n">
        <v>1</v>
      </c>
      <c r="G144" s="1" t="n">
        <f aca="false">IF(E144=0,"",IF(D144="VIGENTE",1,0))</f>
        <v>0</v>
      </c>
      <c r="H144" s="1" t="inlineStr">
        <is>
          <t xml:space="preserve">B observado / C cálculo</t>
        </is>
      </c>
    </row>
    <row r="145" customFormat="false" ht="15" hidden="false" customHeight="true" outlineLevel="0" collapsed="false">
      <c r="A145" s="1" t="n">
        <v>2019</v>
      </c>
      <c r="B145" s="1" t="n">
        <v>5</v>
      </c>
      <c r="C145" s="1" t="inlineStr">
        <is>
          <t xml:space="preserve">IETMREOL20191</t>
        </is>
      </c>
      <c r="D145" s="1" t="inlineStr">
        <is>
          <t xml:space="preserve">ELIMINADO</t>
        </is>
      </c>
      <c r="E145" s="1" t="n">
        <v>5</v>
      </c>
      <c r="F145" s="1" t="n">
        <v>5</v>
      </c>
      <c r="G145" s="1" t="n">
        <f aca="false">IF(E145=0,"",IF(D145="VIGENTE",1,0))</f>
        <v>0</v>
      </c>
      <c r="H145" s="1" t="inlineStr">
        <is>
          <t xml:space="preserve">B observado / C cálculo</t>
        </is>
      </c>
    </row>
    <row r="146" customFormat="false" ht="15" hidden="false" customHeight="true" outlineLevel="0" collapsed="false">
      <c r="A146" s="1" t="n">
        <v>2019</v>
      </c>
      <c r="B146" s="1" t="n">
        <v>5</v>
      </c>
      <c r="C146" s="1" t="inlineStr">
        <is>
          <t xml:space="preserve">IETMREOL20191</t>
        </is>
      </c>
      <c r="D146" s="1" t="inlineStr">
        <is>
          <t xml:space="preserve">TITULADO</t>
        </is>
      </c>
      <c r="E146" s="1" t="n">
        <v>4</v>
      </c>
      <c r="F146" s="1" t="n">
        <v>4</v>
      </c>
      <c r="G146" s="1" t="n">
        <f aca="false">IF(E146=0,"",IF(D146="VIGENTE",1,0))</f>
        <v>0</v>
      </c>
      <c r="H146" s="1" t="inlineStr">
        <is>
          <t xml:space="preserve">B observado / C cálculo</t>
        </is>
      </c>
    </row>
    <row r="147" customFormat="false" ht="15" hidden="false" customHeight="true" outlineLevel="0" collapsed="false">
      <c r="A147" s="1" t="n">
        <v>2019</v>
      </c>
      <c r="B147" s="1" t="n">
        <v>5</v>
      </c>
      <c r="C147" s="1" t="inlineStr">
        <is>
          <t xml:space="preserve">TASRE20191</t>
        </is>
      </c>
      <c r="D147" s="1" t="inlineStr">
        <is>
          <t xml:space="preserve">ELIMINADO</t>
        </is>
      </c>
      <c r="E147" s="1" t="n">
        <v>1</v>
      </c>
      <c r="F147" s="1" t="n">
        <v>1</v>
      </c>
      <c r="G147" s="1" t="n">
        <f aca="false">IF(E147=0,"",IF(D147="VIGENTE",1,0))</f>
        <v>0</v>
      </c>
      <c r="H147" s="1" t="inlineStr">
        <is>
          <t xml:space="preserve">B observado / C cálculo</t>
        </is>
      </c>
    </row>
    <row r="148" customFormat="false" ht="15" hidden="false" customHeight="true" outlineLevel="0" collapsed="false">
      <c r="A148" s="1" t="n">
        <v>2019</v>
      </c>
      <c r="B148" s="1" t="n">
        <v>5</v>
      </c>
      <c r="C148" s="1" t="inlineStr">
        <is>
          <t xml:space="preserve">TASREOL20191</t>
        </is>
      </c>
      <c r="D148" s="1" t="inlineStr">
        <is>
          <t xml:space="preserve">ELIMINADO</t>
        </is>
      </c>
      <c r="E148" s="1" t="n">
        <v>12</v>
      </c>
      <c r="F148" s="1" t="n">
        <v>13</v>
      </c>
      <c r="G148" s="1" t="n">
        <f aca="false">IF(E148=0,"",IF(D148="VIGENTE",1,0))</f>
        <v>0</v>
      </c>
      <c r="H148" s="1" t="inlineStr">
        <is>
          <t xml:space="preserve">B observado / C cálculo</t>
        </is>
      </c>
    </row>
    <row r="149" customFormat="false" ht="15" hidden="false" customHeight="true" outlineLevel="0" collapsed="false">
      <c r="A149" s="1" t="n">
        <v>2019</v>
      </c>
      <c r="B149" s="1" t="n">
        <v>5</v>
      </c>
      <c r="C149" s="1" t="inlineStr">
        <is>
          <t xml:space="preserve">TASREOL20191</t>
        </is>
      </c>
      <c r="D149" s="1" t="inlineStr">
        <is>
          <t xml:space="preserve">TITULADO</t>
        </is>
      </c>
      <c r="E149" s="1" t="n">
        <v>2</v>
      </c>
      <c r="F149" s="1" t="n">
        <v>2</v>
      </c>
      <c r="G149" s="1" t="n">
        <f aca="false">IF(E149=0,"",IF(D149="VIGENTE",1,0))</f>
        <v>0</v>
      </c>
      <c r="H149" s="1" t="inlineStr">
        <is>
          <t xml:space="preserve">B observado / C cálculo</t>
        </is>
      </c>
    </row>
    <row r="150" customFormat="false" ht="15" hidden="false" customHeight="true" outlineLevel="0" collapsed="false">
      <c r="A150" s="1" t="n">
        <v>2019</v>
      </c>
      <c r="B150" s="1" t="n">
        <v>5</v>
      </c>
      <c r="C150" s="1" t="inlineStr">
        <is>
          <t xml:space="preserve">TPCREOL20191</t>
        </is>
      </c>
      <c r="D150" s="1" t="inlineStr">
        <is>
          <t xml:space="preserve">ELIMINADO</t>
        </is>
      </c>
      <c r="E150" s="1" t="n">
        <v>9</v>
      </c>
      <c r="F150" s="1" t="n">
        <v>10</v>
      </c>
      <c r="G150" s="1" t="n">
        <f aca="false">IF(E150=0,"",IF(D150="VIGENTE",1,0))</f>
        <v>0</v>
      </c>
      <c r="H150" s="1" t="inlineStr">
        <is>
          <t xml:space="preserve">B observado / C cálculo</t>
        </is>
      </c>
    </row>
    <row r="151" customFormat="false" ht="15" hidden="false" customHeight="true" outlineLevel="0" collapsed="false">
      <c r="A151" s="1" t="n">
        <v>2019</v>
      </c>
      <c r="B151" s="1" t="n">
        <v>5</v>
      </c>
      <c r="C151" s="1" t="inlineStr">
        <is>
          <t xml:space="preserve">TPCREOL20191</t>
        </is>
      </c>
      <c r="D151" s="1" t="inlineStr">
        <is>
          <t xml:space="preserve">TITULADO</t>
        </is>
      </c>
      <c r="E151" s="1" t="n">
        <v>5</v>
      </c>
      <c r="F151" s="1" t="n">
        <v>5</v>
      </c>
      <c r="G151" s="1" t="n">
        <f aca="false">IF(E151=0,"",IF(D151="VIGENTE",1,0))</f>
        <v>0</v>
      </c>
      <c r="H151" s="1" t="inlineStr">
        <is>
          <t xml:space="preserve">B observado / C cálculo</t>
        </is>
      </c>
    </row>
    <row r="152" customFormat="false" ht="15" hidden="false" customHeight="true" outlineLevel="0" collapsed="false">
      <c r="A152" s="1" t="n">
        <v>2019</v>
      </c>
      <c r="B152" s="1" t="n">
        <v>5</v>
      </c>
      <c r="C152" s="1" t="inlineStr">
        <is>
          <t xml:space="preserve">TTMREOL20191</t>
        </is>
      </c>
      <c r="D152" s="1" t="inlineStr">
        <is>
          <t xml:space="preserve">ELIMINADO</t>
        </is>
      </c>
      <c r="E152" s="1" t="n">
        <v>8</v>
      </c>
      <c r="F152" s="1" t="n">
        <v>9</v>
      </c>
      <c r="G152" s="1" t="n">
        <f aca="false">IF(E152=0,"",IF(D152="VIGENTE",1,0))</f>
        <v>0</v>
      </c>
      <c r="H152" s="1" t="inlineStr">
        <is>
          <t xml:space="preserve">B observado / C cálculo</t>
        </is>
      </c>
    </row>
    <row r="153" customFormat="false" ht="15" hidden="false" customHeight="true" outlineLevel="0" collapsed="false">
      <c r="A153" s="1" t="n">
        <v>2019</v>
      </c>
      <c r="B153" s="1" t="n">
        <v>5</v>
      </c>
      <c r="C153" s="1" t="inlineStr">
        <is>
          <t xml:space="preserve">TTMREOL20191</t>
        </is>
      </c>
      <c r="D153" s="1" t="inlineStr">
        <is>
          <t xml:space="preserve">TITULADO</t>
        </is>
      </c>
      <c r="E153" s="1" t="n">
        <v>10</v>
      </c>
      <c r="F153" s="1" t="n">
        <v>10</v>
      </c>
      <c r="G153" s="1" t="n">
        <f aca="false">IF(E153=0,"",IF(D153="VIGENTE",1,0))</f>
        <v>0</v>
      </c>
      <c r="H153" s="1" t="inlineStr">
        <is>
          <t xml:space="preserve">B observado / C cálculo</t>
        </is>
      </c>
    </row>
    <row r="154" customFormat="false" ht="15" hidden="false" customHeight="true" outlineLevel="0" collapsed="false">
      <c r="A154" s="1" t="n">
        <v>2020</v>
      </c>
      <c r="B154" s="1" t="n">
        <v>1</v>
      </c>
      <c r="C154" s="1" t="inlineStr">
        <is>
          <t xml:space="preserve">ASREOL</t>
        </is>
      </c>
      <c r="D154" s="1" t="inlineStr">
        <is>
          <t xml:space="preserve">ELIMINADO</t>
        </is>
      </c>
      <c r="E154" s="1" t="n">
        <v>6</v>
      </c>
      <c r="F154" s="1" t="n">
        <v>12</v>
      </c>
      <c r="G154" s="1" t="n">
        <f aca="false">IF(E154=0,"",IF(D154="VIGENTE",1,0))</f>
        <v>0</v>
      </c>
      <c r="H154" s="1" t="inlineStr">
        <is>
          <t xml:space="preserve">B observado / C cálculo</t>
        </is>
      </c>
    </row>
    <row r="155" customFormat="false" ht="15" hidden="false" customHeight="true" outlineLevel="0" collapsed="false">
      <c r="A155" s="1" t="n">
        <v>2020</v>
      </c>
      <c r="B155" s="1" t="n">
        <v>1</v>
      </c>
      <c r="C155" s="1" t="inlineStr">
        <is>
          <t xml:space="preserve">ASREOL</t>
        </is>
      </c>
      <c r="D155" s="1" t="inlineStr">
        <is>
          <t xml:space="preserve">TITULADO</t>
        </is>
      </c>
      <c r="E155" s="1" t="n">
        <v>3</v>
      </c>
      <c r="F155" s="1" t="n">
        <v>6</v>
      </c>
      <c r="G155" s="1" t="n">
        <f aca="false">IF(E155=0,"",IF(D155="VIGENTE",1,0))</f>
        <v>0</v>
      </c>
      <c r="H155" s="1" t="inlineStr">
        <is>
          <t xml:space="preserve">B observado / C cálculo</t>
        </is>
      </c>
    </row>
    <row r="156" customFormat="false" ht="15" hidden="false" customHeight="true" outlineLevel="0" collapsed="false">
      <c r="A156" s="1" t="n">
        <v>2020</v>
      </c>
      <c r="B156" s="1" t="n">
        <v>1</v>
      </c>
      <c r="C156" s="1" t="inlineStr">
        <is>
          <t xml:space="preserve">ICIB20241</t>
        </is>
      </c>
      <c r="D156" s="1" t="inlineStr">
        <is>
          <t xml:space="preserve">ELIMINADO</t>
        </is>
      </c>
      <c r="E156" s="1" t="n">
        <v>1</v>
      </c>
      <c r="F156" s="1" t="n">
        <v>2</v>
      </c>
      <c r="G156" s="1" t="n">
        <f aca="false">IF(E156=0,"",IF(D156="VIGENTE",1,0))</f>
        <v>0</v>
      </c>
      <c r="H156" s="1" t="inlineStr">
        <is>
          <t xml:space="preserve">B observado / C cálculo</t>
        </is>
      </c>
    </row>
    <row r="157" customFormat="false" ht="15" hidden="false" customHeight="true" outlineLevel="0" collapsed="false">
      <c r="A157" s="1" t="n">
        <v>2020</v>
      </c>
      <c r="B157" s="1" t="n">
        <v>1</v>
      </c>
      <c r="C157" s="1" t="inlineStr">
        <is>
          <t xml:space="preserve">IECIRE20151</t>
        </is>
      </c>
      <c r="D157" s="1" t="inlineStr">
        <is>
          <t xml:space="preserve">TITULADO</t>
        </is>
      </c>
      <c r="E157" s="1" t="n">
        <v>19</v>
      </c>
      <c r="F157" s="1" t="n">
        <v>36</v>
      </c>
      <c r="G157" s="1" t="n">
        <f aca="false">IF(E157=0,"",IF(D157="VIGENTE",1,0))</f>
        <v>0</v>
      </c>
      <c r="H157" s="1" t="inlineStr">
        <is>
          <t xml:space="preserve">B observado / C cálculo</t>
        </is>
      </c>
    </row>
    <row r="158" customFormat="false" ht="15" hidden="false" customHeight="true" outlineLevel="0" collapsed="false">
      <c r="A158" s="1" t="n">
        <v>2020</v>
      </c>
      <c r="B158" s="1" t="n">
        <v>1</v>
      </c>
      <c r="C158" s="1" t="inlineStr">
        <is>
          <t xml:space="preserve">IECIRE20191</t>
        </is>
      </c>
      <c r="D158" s="1" t="inlineStr">
        <is>
          <t xml:space="preserve">ELIMINADO</t>
        </is>
      </c>
      <c r="E158" s="1" t="n">
        <v>14</v>
      </c>
      <c r="F158" s="1" t="n">
        <v>41</v>
      </c>
      <c r="G158" s="1" t="n">
        <f aca="false">IF(E158=0,"",IF(D158="VIGENTE",1,0))</f>
        <v>0</v>
      </c>
      <c r="H158" s="1" t="inlineStr">
        <is>
          <t xml:space="preserve">B observado / C cálculo</t>
        </is>
      </c>
    </row>
    <row r="159" customFormat="false" ht="15" hidden="false" customHeight="true" outlineLevel="0" collapsed="false">
      <c r="A159" s="1" t="n">
        <v>2020</v>
      </c>
      <c r="B159" s="1" t="n">
        <v>1</v>
      </c>
      <c r="C159" s="1" t="inlineStr">
        <is>
          <t xml:space="preserve">IECIRE20191</t>
        </is>
      </c>
      <c r="D159" s="1" t="inlineStr">
        <is>
          <t xml:space="preserve">TITULADO</t>
        </is>
      </c>
      <c r="E159" s="1" t="n">
        <v>7</v>
      </c>
      <c r="F159" s="1" t="n">
        <v>21</v>
      </c>
      <c r="G159" s="1" t="n">
        <f aca="false">IF(E159=0,"",IF(D159="VIGENTE",1,0))</f>
        <v>0</v>
      </c>
      <c r="H159" s="1" t="inlineStr">
        <is>
          <t xml:space="preserve">B observado / C cálculo</t>
        </is>
      </c>
    </row>
    <row r="160" customFormat="false" ht="15" hidden="false" customHeight="true" outlineLevel="0" collapsed="false">
      <c r="A160" s="1" t="n">
        <v>2020</v>
      </c>
      <c r="B160" s="1" t="n">
        <v>1</v>
      </c>
      <c r="C160" s="1" t="inlineStr">
        <is>
          <t xml:space="preserve">IECIRE2020</t>
        </is>
      </c>
      <c r="D160" s="1" t="inlineStr">
        <is>
          <t xml:space="preserve">ELIMINADO</t>
        </is>
      </c>
      <c r="E160" s="1" t="n">
        <v>21</v>
      </c>
      <c r="F160" s="1" t="n">
        <v>46</v>
      </c>
      <c r="G160" s="1" t="n">
        <f aca="false">IF(E160=0,"",IF(D160="VIGENTE",1,0))</f>
        <v>0</v>
      </c>
      <c r="H160" s="1" t="inlineStr">
        <is>
          <t xml:space="preserve">B observado / C cálculo</t>
        </is>
      </c>
    </row>
    <row r="161" customFormat="false" ht="15" hidden="false" customHeight="true" outlineLevel="0" collapsed="false">
      <c r="A161" s="1" t="n">
        <v>2020</v>
      </c>
      <c r="B161" s="1" t="n">
        <v>1</v>
      </c>
      <c r="C161" s="1" t="inlineStr">
        <is>
          <t xml:space="preserve">IECIRE2020</t>
        </is>
      </c>
      <c r="D161" s="1" t="inlineStr">
        <is>
          <t xml:space="preserve">TITULADO</t>
        </is>
      </c>
      <c r="E161" s="1" t="n">
        <v>3</v>
      </c>
      <c r="F161" s="1" t="n">
        <v>6</v>
      </c>
      <c r="G161" s="1" t="n">
        <f aca="false">IF(E161=0,"",IF(D161="VIGENTE",1,0))</f>
        <v>0</v>
      </c>
      <c r="H161" s="1" t="inlineStr">
        <is>
          <t xml:space="preserve">B observado / C cálculo</t>
        </is>
      </c>
    </row>
    <row r="162" customFormat="false" ht="15" hidden="false" customHeight="true" outlineLevel="0" collapsed="false">
      <c r="A162" s="1" t="n">
        <v>2020</v>
      </c>
      <c r="B162" s="1" t="n">
        <v>1</v>
      </c>
      <c r="C162" s="1" t="inlineStr">
        <is>
          <t xml:space="preserve">IECIRE20211</t>
        </is>
      </c>
      <c r="D162" s="1" t="inlineStr">
        <is>
          <t xml:space="preserve">ELIMINADO</t>
        </is>
      </c>
      <c r="E162" s="1" t="n">
        <v>1</v>
      </c>
      <c r="F162" s="1" t="n">
        <v>2</v>
      </c>
      <c r="G162" s="1" t="n">
        <f aca="false">IF(E162=0,"",IF(D162="VIGENTE",1,0))</f>
        <v>0</v>
      </c>
      <c r="H162" s="1" t="inlineStr">
        <is>
          <t xml:space="preserve">B observado / C cálculo</t>
        </is>
      </c>
    </row>
    <row r="163" customFormat="false" ht="15" hidden="false" customHeight="true" outlineLevel="0" collapsed="false">
      <c r="A163" s="1" t="n">
        <v>2020</v>
      </c>
      <c r="B163" s="1" t="n">
        <v>1</v>
      </c>
      <c r="C163" s="1" t="inlineStr">
        <is>
          <t xml:space="preserve">IECIREOL</t>
        </is>
      </c>
      <c r="D163" s="1" t="inlineStr">
        <is>
          <t xml:space="preserve">ELIMINADO</t>
        </is>
      </c>
      <c r="E163" s="1" t="n">
        <v>2</v>
      </c>
      <c r="F163" s="1" t="n">
        <v>5</v>
      </c>
      <c r="G163" s="1" t="n">
        <f aca="false">IF(E163=0,"",IF(D163="VIGENTE",1,0))</f>
        <v>0</v>
      </c>
      <c r="H163" s="1" t="inlineStr">
        <is>
          <t xml:space="preserve">B observado / C cálculo</t>
        </is>
      </c>
    </row>
    <row r="164" customFormat="false" ht="15" hidden="false" customHeight="true" outlineLevel="0" collapsed="false">
      <c r="A164" s="1" t="n">
        <v>2020</v>
      </c>
      <c r="B164" s="1" t="n">
        <v>1</v>
      </c>
      <c r="C164" s="1" t="inlineStr">
        <is>
          <t xml:space="preserve">IECIREOL</t>
        </is>
      </c>
      <c r="D164" s="1" t="inlineStr">
        <is>
          <t xml:space="preserve">TITULADO</t>
        </is>
      </c>
      <c r="E164" s="1" t="n">
        <v>6</v>
      </c>
      <c r="F164" s="1" t="n">
        <v>9</v>
      </c>
      <c r="G164" s="1" t="n">
        <f aca="false">IF(E164=0,"",IF(D164="VIGENTE",1,0))</f>
        <v>0</v>
      </c>
      <c r="H164" s="1" t="inlineStr">
        <is>
          <t xml:space="preserve">B observado / C cálculo</t>
        </is>
      </c>
    </row>
    <row r="165" customFormat="false" ht="15" hidden="false" customHeight="true" outlineLevel="0" collapsed="false">
      <c r="A165" s="1" t="n">
        <v>2020</v>
      </c>
      <c r="B165" s="1" t="n">
        <v>1</v>
      </c>
      <c r="C165" s="1" t="inlineStr">
        <is>
          <t xml:space="preserve">IECIREOL20191</t>
        </is>
      </c>
      <c r="D165" s="1" t="inlineStr">
        <is>
          <t xml:space="preserve">ELIMINADO</t>
        </is>
      </c>
      <c r="E165" s="1" t="n">
        <v>5</v>
      </c>
      <c r="F165" s="1" t="n">
        <v>9</v>
      </c>
      <c r="G165" s="1" t="n">
        <f aca="false">IF(E165=0,"",IF(D165="VIGENTE",1,0))</f>
        <v>0</v>
      </c>
      <c r="H165" s="1" t="inlineStr">
        <is>
          <t xml:space="preserve">B observado / C cálculo</t>
        </is>
      </c>
    </row>
    <row r="166" customFormat="false" ht="15" hidden="false" customHeight="true" outlineLevel="0" collapsed="false">
      <c r="A166" s="1" t="n">
        <v>2020</v>
      </c>
      <c r="B166" s="1" t="n">
        <v>1</v>
      </c>
      <c r="C166" s="1" t="inlineStr">
        <is>
          <t xml:space="preserve">IECIREOL20191</t>
        </is>
      </c>
      <c r="D166" s="1" t="inlineStr">
        <is>
          <t xml:space="preserve">TITULADO</t>
        </is>
      </c>
      <c r="E166" s="1" t="n">
        <v>11</v>
      </c>
      <c r="F166" s="1" t="n">
        <v>22</v>
      </c>
      <c r="G166" s="1" t="n">
        <f aca="false">IF(E166=0,"",IF(D166="VIGENTE",1,0))</f>
        <v>0</v>
      </c>
      <c r="H166" s="1" t="inlineStr">
        <is>
          <t xml:space="preserve">B observado / C cálculo</t>
        </is>
      </c>
    </row>
    <row r="167" customFormat="false" ht="15" hidden="false" customHeight="true" outlineLevel="0" collapsed="false">
      <c r="A167" s="1" t="n">
        <v>2020</v>
      </c>
      <c r="B167" s="1" t="n">
        <v>1</v>
      </c>
      <c r="C167" s="1" t="inlineStr">
        <is>
          <t xml:space="preserve">IECIREOL20201</t>
        </is>
      </c>
      <c r="D167" s="1" t="inlineStr">
        <is>
          <t xml:space="preserve">ELIMINADO</t>
        </is>
      </c>
      <c r="E167" s="1" t="n">
        <v>1</v>
      </c>
      <c r="F167" s="1" t="n">
        <v>1</v>
      </c>
      <c r="G167" s="1" t="n">
        <f aca="false">IF(E167=0,"",IF(D167="VIGENTE",1,0))</f>
        <v>0</v>
      </c>
      <c r="H167" s="1" t="inlineStr">
        <is>
          <t xml:space="preserve">B observado / C cálculo</t>
        </is>
      </c>
    </row>
    <row r="168" customFormat="false" ht="15" hidden="false" customHeight="true" outlineLevel="0" collapsed="false">
      <c r="A168" s="1" t="n">
        <v>2020</v>
      </c>
      <c r="B168" s="1" t="n">
        <v>1</v>
      </c>
      <c r="C168" s="1" t="inlineStr">
        <is>
          <t xml:space="preserve">IECIREOL20201</t>
        </is>
      </c>
      <c r="D168" s="1" t="inlineStr">
        <is>
          <t xml:space="preserve">TITULADO</t>
        </is>
      </c>
      <c r="E168" s="1" t="n">
        <v>1</v>
      </c>
      <c r="F168" s="1" t="n">
        <v>2</v>
      </c>
      <c r="G168" s="1" t="n">
        <f aca="false">IF(E168=0,"",IF(D168="VIGENTE",1,0))</f>
        <v>0</v>
      </c>
      <c r="H168" s="1" t="inlineStr">
        <is>
          <t xml:space="preserve">B observado / C cálculo</t>
        </is>
      </c>
    </row>
    <row r="169" customFormat="false" ht="15" hidden="false" customHeight="true" outlineLevel="0" collapsed="false">
      <c r="A169" s="1" t="n">
        <v>2020</v>
      </c>
      <c r="B169" s="1" t="n">
        <v>1</v>
      </c>
      <c r="C169" s="1" t="inlineStr">
        <is>
          <t xml:space="preserve">IECSRE20191</t>
        </is>
      </c>
      <c r="D169" s="1" t="inlineStr">
        <is>
          <t xml:space="preserve">ELIMINADO</t>
        </is>
      </c>
      <c r="E169" s="1" t="n">
        <v>11</v>
      </c>
      <c r="F169" s="1" t="n">
        <v>23</v>
      </c>
      <c r="G169" s="1" t="n">
        <f aca="false">IF(E169=0,"",IF(D169="VIGENTE",1,0))</f>
        <v>0</v>
      </c>
      <c r="H169" s="1" t="inlineStr">
        <is>
          <t xml:space="preserve">B observado / C cálculo</t>
        </is>
      </c>
    </row>
    <row r="170" customFormat="false" ht="15" hidden="false" customHeight="true" outlineLevel="0" collapsed="false">
      <c r="A170" s="1" t="n">
        <v>2020</v>
      </c>
      <c r="B170" s="1" t="n">
        <v>1</v>
      </c>
      <c r="C170" s="1" t="inlineStr">
        <is>
          <t xml:space="preserve">IECSRE20191</t>
        </is>
      </c>
      <c r="D170" s="1" t="inlineStr">
        <is>
          <t xml:space="preserve">TITULADO</t>
        </is>
      </c>
      <c r="E170" s="1" t="n">
        <v>12</v>
      </c>
      <c r="F170" s="1" t="n">
        <v>24</v>
      </c>
      <c r="G170" s="1" t="n">
        <f aca="false">IF(E170=0,"",IF(D170="VIGENTE",1,0))</f>
        <v>0</v>
      </c>
      <c r="H170" s="1" t="inlineStr">
        <is>
          <t xml:space="preserve">B observado / C cálculo</t>
        </is>
      </c>
    </row>
    <row r="171" customFormat="false" ht="15" hidden="false" customHeight="true" outlineLevel="0" collapsed="false">
      <c r="A171" s="1" t="n">
        <v>2020</v>
      </c>
      <c r="B171" s="1" t="n">
        <v>1</v>
      </c>
      <c r="C171" s="1" t="inlineStr">
        <is>
          <t xml:space="preserve">IECSREOL20211</t>
        </is>
      </c>
      <c r="D171" s="1" t="inlineStr">
        <is>
          <t xml:space="preserve">TITULADO</t>
        </is>
      </c>
      <c r="E171" s="1" t="n">
        <v>1</v>
      </c>
      <c r="F171" s="1" t="n">
        <v>3</v>
      </c>
      <c r="G171" s="1" t="n">
        <f aca="false">IF(E171=0,"",IF(D171="VIGENTE",1,0))</f>
        <v>0</v>
      </c>
      <c r="H171" s="1" t="inlineStr">
        <is>
          <t xml:space="preserve">B observado / C cálculo</t>
        </is>
      </c>
    </row>
    <row r="172" customFormat="false" ht="15" hidden="false" customHeight="true" outlineLevel="0" collapsed="false">
      <c r="A172" s="1" t="n">
        <v>2020</v>
      </c>
      <c r="B172" s="1" t="n">
        <v>1</v>
      </c>
      <c r="C172" s="1" t="inlineStr">
        <is>
          <t xml:space="preserve">IEMORE20171</t>
        </is>
      </c>
      <c r="D172" s="1" t="inlineStr">
        <is>
          <t xml:space="preserve">ELIMINADO</t>
        </is>
      </c>
      <c r="E172" s="1" t="n">
        <v>2</v>
      </c>
      <c r="F172" s="1" t="n">
        <v>10</v>
      </c>
      <c r="G172" s="1" t="n">
        <f aca="false">IF(E172=0,"",IF(D172="VIGENTE",1,0))</f>
        <v>0</v>
      </c>
      <c r="H172" s="1" t="inlineStr">
        <is>
          <t xml:space="preserve">B observado / C cálculo</t>
        </is>
      </c>
    </row>
    <row r="173" customFormat="false" ht="15" hidden="false" customHeight="true" outlineLevel="0" collapsed="false">
      <c r="A173" s="1" t="n">
        <v>2020</v>
      </c>
      <c r="B173" s="1" t="n">
        <v>1</v>
      </c>
      <c r="C173" s="1" t="inlineStr">
        <is>
          <t xml:space="preserve">IEMORE20171</t>
        </is>
      </c>
      <c r="D173" s="1" t="inlineStr">
        <is>
          <t xml:space="preserve">TITULADO</t>
        </is>
      </c>
      <c r="E173" s="1" t="n">
        <v>5</v>
      </c>
      <c r="F173" s="1" t="n">
        <v>24</v>
      </c>
      <c r="G173" s="1" t="n">
        <f aca="false">IF(E173=0,"",IF(D173="VIGENTE",1,0))</f>
        <v>0</v>
      </c>
      <c r="H173" s="1" t="inlineStr">
        <is>
          <t xml:space="preserve">B observado / C cálculo</t>
        </is>
      </c>
    </row>
    <row r="174" customFormat="false" ht="15" hidden="false" customHeight="true" outlineLevel="0" collapsed="false">
      <c r="A174" s="1" t="n">
        <v>2020</v>
      </c>
      <c r="B174" s="1" t="n">
        <v>1</v>
      </c>
      <c r="C174" s="1" t="inlineStr">
        <is>
          <t xml:space="preserve">IEMORE20201</t>
        </is>
      </c>
      <c r="D174" s="1" t="inlineStr">
        <is>
          <t xml:space="preserve">ELIMINADO</t>
        </is>
      </c>
      <c r="E174" s="1" t="n">
        <v>2</v>
      </c>
      <c r="F174" s="1" t="n">
        <v>56</v>
      </c>
      <c r="G174" s="1" t="n">
        <f aca="false">IF(E174=0,"",IF(D174="VIGENTE",1,0))</f>
        <v>0</v>
      </c>
      <c r="H174" s="1" t="inlineStr">
        <is>
          <t xml:space="preserve">B observado / C cálculo</t>
        </is>
      </c>
    </row>
    <row r="175" customFormat="false" ht="15" hidden="false" customHeight="true" outlineLevel="0" collapsed="false">
      <c r="A175" s="1" t="n">
        <v>2020</v>
      </c>
      <c r="B175" s="1" t="n">
        <v>1</v>
      </c>
      <c r="C175" s="1" t="inlineStr">
        <is>
          <t xml:space="preserve">IEMORE20201</t>
        </is>
      </c>
      <c r="D175" s="1" t="inlineStr">
        <is>
          <t xml:space="preserve">TITULADO</t>
        </is>
      </c>
      <c r="E175" s="1" t="n">
        <v>4</v>
      </c>
      <c r="F175" s="1" t="n">
        <v>111</v>
      </c>
      <c r="G175" s="1" t="n">
        <f aca="false">IF(E175=0,"",IF(D175="VIGENTE",1,0))</f>
        <v>0</v>
      </c>
      <c r="H175" s="1" t="inlineStr">
        <is>
          <t xml:space="preserve">B observado / C cálculo</t>
        </is>
      </c>
    </row>
    <row r="176" customFormat="false" ht="15" hidden="false" customHeight="true" outlineLevel="0" collapsed="false">
      <c r="A176" s="1" t="n">
        <v>2020</v>
      </c>
      <c r="B176" s="1" t="n">
        <v>1</v>
      </c>
      <c r="C176" s="1" t="inlineStr">
        <is>
          <t xml:space="preserve">IETMRE20161</t>
        </is>
      </c>
      <c r="D176" s="1" t="inlineStr">
        <is>
          <t xml:space="preserve">ELIMINADO</t>
        </is>
      </c>
      <c r="E176" s="1" t="n">
        <v>1</v>
      </c>
      <c r="F176" s="1" t="n">
        <v>1</v>
      </c>
      <c r="G176" s="1" t="n">
        <f aca="false">IF(E176=0,"",IF(D176="VIGENTE",1,0))</f>
        <v>0</v>
      </c>
      <c r="H176" s="1" t="inlineStr">
        <is>
          <t xml:space="preserve">B observado / C cálculo</t>
        </is>
      </c>
    </row>
    <row r="177" customFormat="false" ht="15" hidden="false" customHeight="true" outlineLevel="0" collapsed="false">
      <c r="A177" s="1" t="n">
        <v>2020</v>
      </c>
      <c r="B177" s="1" t="n">
        <v>1</v>
      </c>
      <c r="C177" s="1" t="inlineStr">
        <is>
          <t xml:space="preserve">IETMRE20161</t>
        </is>
      </c>
      <c r="D177" s="1" t="inlineStr">
        <is>
          <t xml:space="preserve">TITULADO</t>
        </is>
      </c>
      <c r="E177" s="1" t="n">
        <v>17</v>
      </c>
      <c r="F177" s="1" t="n">
        <v>17</v>
      </c>
      <c r="G177" s="1" t="n">
        <f aca="false">IF(E177=0,"",IF(D177="VIGENTE",1,0))</f>
        <v>0</v>
      </c>
      <c r="H177" s="1" t="inlineStr">
        <is>
          <t xml:space="preserve">B observado / C cálculo</t>
        </is>
      </c>
    </row>
    <row r="178" customFormat="false" ht="15" hidden="false" customHeight="true" outlineLevel="0" collapsed="false">
      <c r="A178" s="1" t="n">
        <v>2020</v>
      </c>
      <c r="B178" s="1" t="n">
        <v>1</v>
      </c>
      <c r="C178" s="1" t="inlineStr">
        <is>
          <t xml:space="preserve">IETMRE20191</t>
        </is>
      </c>
      <c r="D178" s="1" t="inlineStr">
        <is>
          <t xml:space="preserve">ELIMINADO</t>
        </is>
      </c>
      <c r="E178" s="1" t="n">
        <v>22</v>
      </c>
      <c r="F178" s="1" t="n">
        <v>53</v>
      </c>
      <c r="G178" s="1" t="n">
        <f aca="false">IF(E178=0,"",IF(D178="VIGENTE",1,0))</f>
        <v>0</v>
      </c>
      <c r="H178" s="1" t="inlineStr">
        <is>
          <t xml:space="preserve">B observado / C cálculo</t>
        </is>
      </c>
    </row>
    <row r="179" customFormat="false" ht="15" hidden="false" customHeight="true" outlineLevel="0" collapsed="false">
      <c r="A179" s="1" t="n">
        <v>2020</v>
      </c>
      <c r="B179" s="1" t="n">
        <v>1</v>
      </c>
      <c r="C179" s="1" t="inlineStr">
        <is>
          <t xml:space="preserve">IETMRE20191</t>
        </is>
      </c>
      <c r="D179" s="1" t="inlineStr">
        <is>
          <t xml:space="preserve">TITULADO</t>
        </is>
      </c>
      <c r="E179" s="1" t="n">
        <v>7</v>
      </c>
      <c r="F179" s="1" t="n">
        <v>23</v>
      </c>
      <c r="G179" s="1" t="n">
        <f aca="false">IF(E179=0,"",IF(D179="VIGENTE",1,0))</f>
        <v>0</v>
      </c>
      <c r="H179" s="1" t="inlineStr">
        <is>
          <t xml:space="preserve">B observado / C cálculo</t>
        </is>
      </c>
    </row>
    <row r="180" customFormat="false" ht="15" hidden="false" customHeight="true" outlineLevel="0" collapsed="false">
      <c r="A180" s="1" t="n">
        <v>2020</v>
      </c>
      <c r="B180" s="1" t="n">
        <v>1</v>
      </c>
      <c r="C180" s="1" t="inlineStr">
        <is>
          <t xml:space="preserve">IETMREOL20191</t>
        </is>
      </c>
      <c r="D180" s="1" t="inlineStr">
        <is>
          <t xml:space="preserve">ELIMINADO</t>
        </is>
      </c>
      <c r="E180" s="1" t="n">
        <v>4</v>
      </c>
      <c r="F180" s="1" t="n">
        <v>5</v>
      </c>
      <c r="G180" s="1" t="n">
        <f aca="false">IF(E180=0,"",IF(D180="VIGENTE",1,0))</f>
        <v>0</v>
      </c>
      <c r="H180" s="1" t="inlineStr">
        <is>
          <t xml:space="preserve">B observado / C cálculo</t>
        </is>
      </c>
    </row>
    <row r="181" customFormat="false" ht="15" hidden="false" customHeight="true" outlineLevel="0" collapsed="false">
      <c r="A181" s="1" t="n">
        <v>2020</v>
      </c>
      <c r="B181" s="1" t="n">
        <v>1</v>
      </c>
      <c r="C181" s="1" t="inlineStr">
        <is>
          <t xml:space="preserve">IETMREOL20191</t>
        </is>
      </c>
      <c r="D181" s="1" t="inlineStr">
        <is>
          <t xml:space="preserve">TITULADO</t>
        </is>
      </c>
      <c r="E181" s="1" t="n">
        <v>7</v>
      </c>
      <c r="F181" s="1" t="n">
        <v>13</v>
      </c>
      <c r="G181" s="1" t="n">
        <f aca="false">IF(E181=0,"",IF(D181="VIGENTE",1,0))</f>
        <v>0</v>
      </c>
      <c r="H181" s="1" t="inlineStr">
        <is>
          <t xml:space="preserve">B observado / C cálculo</t>
        </is>
      </c>
    </row>
    <row r="182" customFormat="false" ht="15" hidden="false" customHeight="true" outlineLevel="0" collapsed="false">
      <c r="A182" s="1" t="n">
        <v>2020</v>
      </c>
      <c r="B182" s="1" t="n">
        <v>1</v>
      </c>
      <c r="C182" s="1" t="inlineStr">
        <is>
          <t xml:space="preserve">NAUTRE</t>
        </is>
      </c>
      <c r="D182" s="1" t="inlineStr">
        <is>
          <t xml:space="preserve">TITULADO</t>
        </is>
      </c>
      <c r="E182" s="1" t="n">
        <v>1</v>
      </c>
      <c r="F182" s="1" t="n">
        <v>5</v>
      </c>
      <c r="G182" s="1" t="n">
        <f aca="false">IF(E182=0,"",IF(D182="VIGENTE",1,0))</f>
        <v>0</v>
      </c>
      <c r="H182" s="1" t="inlineStr">
        <is>
          <t xml:space="preserve">B observado / C cálculo</t>
        </is>
      </c>
    </row>
    <row r="183" customFormat="false" ht="15" hidden="false" customHeight="true" outlineLevel="0" collapsed="false">
      <c r="A183" s="1" t="n">
        <v>2020</v>
      </c>
      <c r="B183" s="1" t="n">
        <v>1</v>
      </c>
      <c r="C183" s="1" t="inlineStr">
        <is>
          <t xml:space="preserve">NAUTRE2020</t>
        </is>
      </c>
      <c r="D183" s="1" t="inlineStr">
        <is>
          <t xml:space="preserve">TITULADO</t>
        </is>
      </c>
      <c r="E183" s="1" t="n">
        <v>2</v>
      </c>
      <c r="F183" s="1" t="n">
        <v>12</v>
      </c>
      <c r="G183" s="1" t="n">
        <f aca="false">IF(E183=0,"",IF(D183="VIGENTE",1,0))</f>
        <v>0</v>
      </c>
      <c r="H183" s="1" t="inlineStr">
        <is>
          <t xml:space="preserve">B observado / C cálculo</t>
        </is>
      </c>
    </row>
    <row r="184" customFormat="false" ht="15" hidden="false" customHeight="true" outlineLevel="0" collapsed="false">
      <c r="A184" s="1" t="n">
        <v>2020</v>
      </c>
      <c r="B184" s="1" t="n">
        <v>1</v>
      </c>
      <c r="C184" s="1" t="inlineStr">
        <is>
          <t xml:space="preserve">NCONRE</t>
        </is>
      </c>
      <c r="D184" s="1" t="inlineStr">
        <is>
          <t xml:space="preserve">ELIMINADO</t>
        </is>
      </c>
      <c r="E184" s="1" t="n">
        <v>2</v>
      </c>
      <c r="F184" s="1" t="n">
        <v>3</v>
      </c>
      <c r="G184" s="1" t="n">
        <f aca="false">IF(E184=0,"",IF(D184="VIGENTE",1,0))</f>
        <v>0</v>
      </c>
      <c r="H184" s="1" t="inlineStr">
        <is>
          <t xml:space="preserve">B observado / C cálculo</t>
        </is>
      </c>
    </row>
    <row r="185" customFormat="false" ht="15" hidden="false" customHeight="true" outlineLevel="0" collapsed="false">
      <c r="A185" s="1" t="n">
        <v>2020</v>
      </c>
      <c r="B185" s="1" t="n">
        <v>1</v>
      </c>
      <c r="C185" s="1" t="inlineStr">
        <is>
          <t xml:space="preserve">NCONRE</t>
        </is>
      </c>
      <c r="D185" s="1" t="inlineStr">
        <is>
          <t xml:space="preserve">TITULADO</t>
        </is>
      </c>
      <c r="E185" s="1" t="n">
        <v>27</v>
      </c>
      <c r="F185" s="1" t="n">
        <v>31</v>
      </c>
      <c r="G185" s="1" t="n">
        <f aca="false">IF(E185=0,"",IF(D185="VIGENTE",1,0))</f>
        <v>0</v>
      </c>
      <c r="H185" s="1" t="inlineStr">
        <is>
          <t xml:space="preserve">B observado / C cálculo</t>
        </is>
      </c>
    </row>
    <row r="186" customFormat="false" ht="15" hidden="false" customHeight="true" outlineLevel="0" collapsed="false">
      <c r="A186" s="1" t="n">
        <v>2020</v>
      </c>
      <c r="B186" s="1" t="n">
        <v>1</v>
      </c>
      <c r="C186" s="1" t="inlineStr">
        <is>
          <t xml:space="preserve">NCONREOL2019</t>
        </is>
      </c>
      <c r="D186" s="1" t="inlineStr">
        <is>
          <t xml:space="preserve">TITULADO</t>
        </is>
      </c>
      <c r="E186" s="1" t="n">
        <v>6</v>
      </c>
      <c r="F186" s="1" t="n">
        <v>6</v>
      </c>
      <c r="G186" s="1" t="n">
        <f aca="false">IF(E186=0,"",IF(D186="VIGENTE",1,0))</f>
        <v>0</v>
      </c>
      <c r="H186" s="1" t="inlineStr">
        <is>
          <t xml:space="preserve">B observado / C cálculo</t>
        </is>
      </c>
    </row>
    <row r="187" customFormat="false" ht="15" hidden="false" customHeight="true" outlineLevel="0" collapsed="false">
      <c r="A187" s="1" t="n">
        <v>2020</v>
      </c>
      <c r="B187" s="1" t="n">
        <v>1</v>
      </c>
      <c r="C187" s="1" t="inlineStr">
        <is>
          <t xml:space="preserve">NECIRE20151</t>
        </is>
      </c>
      <c r="D187" s="1" t="inlineStr">
        <is>
          <t xml:space="preserve">TITULADO</t>
        </is>
      </c>
      <c r="E187" s="1" t="n">
        <v>1</v>
      </c>
      <c r="F187" s="1" t="n">
        <v>2</v>
      </c>
      <c r="G187" s="1" t="n">
        <f aca="false">IF(E187=0,"",IF(D187="VIGENTE",1,0))</f>
        <v>0</v>
      </c>
      <c r="H187" s="1" t="inlineStr">
        <is>
          <t xml:space="preserve">B observado / C cálculo</t>
        </is>
      </c>
    </row>
    <row r="188" customFormat="false" ht="15" hidden="false" customHeight="true" outlineLevel="0" collapsed="false">
      <c r="A188" s="1" t="n">
        <v>2020</v>
      </c>
      <c r="B188" s="1" t="n">
        <v>1</v>
      </c>
      <c r="C188" s="1" t="inlineStr">
        <is>
          <t xml:space="preserve">NICCRE20191</t>
        </is>
      </c>
      <c r="D188" s="1" t="inlineStr">
        <is>
          <t xml:space="preserve">TITULADO</t>
        </is>
      </c>
      <c r="E188" s="1" t="n">
        <v>3</v>
      </c>
      <c r="F188" s="1" t="n">
        <v>6</v>
      </c>
      <c r="G188" s="1" t="n">
        <f aca="false">IF(E188=0,"",IF(D188="VIGENTE",1,0))</f>
        <v>0</v>
      </c>
      <c r="H188" s="1" t="inlineStr">
        <is>
          <t xml:space="preserve">B observado / C cálculo</t>
        </is>
      </c>
    </row>
    <row r="189" customFormat="false" ht="15" hidden="false" customHeight="true" outlineLevel="0" collapsed="false">
      <c r="A189" s="1" t="n">
        <v>2020</v>
      </c>
      <c r="B189" s="1" t="n">
        <v>1</v>
      </c>
      <c r="C189" s="1" t="inlineStr">
        <is>
          <t xml:space="preserve">NINFRE</t>
        </is>
      </c>
      <c r="D189" s="1" t="inlineStr">
        <is>
          <t xml:space="preserve">TITULADO</t>
        </is>
      </c>
      <c r="E189" s="1" t="n">
        <v>8</v>
      </c>
      <c r="F189" s="1" t="n">
        <v>14</v>
      </c>
      <c r="G189" s="1" t="n">
        <f aca="false">IF(E189=0,"",IF(D189="VIGENTE",1,0))</f>
        <v>0</v>
      </c>
      <c r="H189" s="1" t="inlineStr">
        <is>
          <t xml:space="preserve">B observado / C cálculo</t>
        </is>
      </c>
    </row>
    <row r="190" customFormat="false" ht="15" hidden="false" customHeight="true" outlineLevel="0" collapsed="false">
      <c r="A190" s="1" t="n">
        <v>2020</v>
      </c>
      <c r="B190" s="1" t="n">
        <v>1</v>
      </c>
      <c r="C190" s="1" t="inlineStr">
        <is>
          <t xml:space="preserve">NINFREOL2019</t>
        </is>
      </c>
      <c r="D190" s="1" t="inlineStr">
        <is>
          <t xml:space="preserve">TITULADO</t>
        </is>
      </c>
      <c r="E190" s="1" t="n">
        <v>6</v>
      </c>
      <c r="F190" s="1" t="n">
        <v>6</v>
      </c>
      <c r="G190" s="1" t="n">
        <f aca="false">IF(E190=0,"",IF(D190="VIGENTE",1,0))</f>
        <v>0</v>
      </c>
      <c r="H190" s="1" t="inlineStr">
        <is>
          <t xml:space="preserve">B observado / C cálculo</t>
        </is>
      </c>
    </row>
    <row r="191" customFormat="false" ht="15" hidden="false" customHeight="true" outlineLevel="0" collapsed="false">
      <c r="A191" s="1" t="n">
        <v>2020</v>
      </c>
      <c r="B191" s="1" t="n">
        <v>1</v>
      </c>
      <c r="C191" s="1" t="inlineStr">
        <is>
          <t xml:space="preserve">NTCCRE20191</t>
        </is>
      </c>
      <c r="D191" s="1" t="inlineStr">
        <is>
          <t xml:space="preserve">ELIMINADO</t>
        </is>
      </c>
      <c r="E191" s="1" t="n">
        <v>2</v>
      </c>
      <c r="F191" s="1" t="n">
        <v>4</v>
      </c>
      <c r="G191" s="1" t="n">
        <f aca="false">IF(E191=0,"",IF(D191="VIGENTE",1,0))</f>
        <v>0</v>
      </c>
      <c r="H191" s="1" t="inlineStr">
        <is>
          <t xml:space="preserve">B observado / C cálculo</t>
        </is>
      </c>
    </row>
    <row r="192" customFormat="false" ht="15" hidden="false" customHeight="true" outlineLevel="0" collapsed="false">
      <c r="A192" s="1" t="n">
        <v>2020</v>
      </c>
      <c r="B192" s="1" t="n">
        <v>1</v>
      </c>
      <c r="C192" s="1" t="inlineStr">
        <is>
          <t xml:space="preserve">NTCCRE20191</t>
        </is>
      </c>
      <c r="D192" s="1" t="inlineStr">
        <is>
          <t xml:space="preserve">TITULADO</t>
        </is>
      </c>
      <c r="E192" s="1" t="n">
        <v>19</v>
      </c>
      <c r="F192" s="1" t="n">
        <v>38</v>
      </c>
      <c r="G192" s="1" t="n">
        <f aca="false">IF(E192=0,"",IF(D192="VIGENTE",1,0))</f>
        <v>0</v>
      </c>
      <c r="H192" s="1" t="inlineStr">
        <is>
          <t xml:space="preserve">B observado / C cálculo</t>
        </is>
      </c>
    </row>
    <row r="193" customFormat="false" ht="15" hidden="false" customHeight="true" outlineLevel="0" collapsed="false">
      <c r="A193" s="1" t="n">
        <v>2020</v>
      </c>
      <c r="B193" s="1" t="n">
        <v>1</v>
      </c>
      <c r="C193" s="1" t="inlineStr">
        <is>
          <t xml:space="preserve">TASRE20191</t>
        </is>
      </c>
      <c r="D193" s="1" t="inlineStr">
        <is>
          <t xml:space="preserve">ELIMINADO</t>
        </is>
      </c>
      <c r="E193" s="1" t="n">
        <v>8</v>
      </c>
      <c r="F193" s="1" t="n">
        <v>22</v>
      </c>
      <c r="G193" s="1" t="n">
        <f aca="false">IF(E193=0,"",IF(D193="VIGENTE",1,0))</f>
        <v>0</v>
      </c>
      <c r="H193" s="1" t="inlineStr">
        <is>
          <t xml:space="preserve">B observado / C cálculo</t>
        </is>
      </c>
    </row>
    <row r="194" customFormat="false" ht="15" hidden="false" customHeight="true" outlineLevel="0" collapsed="false">
      <c r="A194" s="1" t="n">
        <v>2020</v>
      </c>
      <c r="B194" s="1" t="n">
        <v>1</v>
      </c>
      <c r="C194" s="1" t="inlineStr">
        <is>
          <t xml:space="preserve">TASRE20191</t>
        </is>
      </c>
      <c r="D194" s="1" t="inlineStr">
        <is>
          <t xml:space="preserve">TITULADO</t>
        </is>
      </c>
      <c r="E194" s="1" t="n">
        <v>2</v>
      </c>
      <c r="F194" s="1" t="n">
        <v>5</v>
      </c>
      <c r="G194" s="1" t="n">
        <f aca="false">IF(E194=0,"",IF(D194="VIGENTE",1,0))</f>
        <v>0</v>
      </c>
      <c r="H194" s="1" t="inlineStr">
        <is>
          <t xml:space="preserve">B observado / C cálculo</t>
        </is>
      </c>
    </row>
    <row r="195" customFormat="false" ht="15" hidden="false" customHeight="true" outlineLevel="0" collapsed="false">
      <c r="A195" s="1" t="n">
        <v>2020</v>
      </c>
      <c r="B195" s="1" t="n">
        <v>1</v>
      </c>
      <c r="C195" s="1" t="inlineStr">
        <is>
          <t xml:space="preserve">TASREOL20191</t>
        </is>
      </c>
      <c r="D195" s="1" t="inlineStr">
        <is>
          <t xml:space="preserve">ELIMINADO</t>
        </is>
      </c>
      <c r="E195" s="1" t="n">
        <v>9</v>
      </c>
      <c r="F195" s="1" t="n">
        <v>12</v>
      </c>
      <c r="G195" s="1" t="n">
        <f aca="false">IF(E195=0,"",IF(D195="VIGENTE",1,0))</f>
        <v>0</v>
      </c>
      <c r="H195" s="1" t="inlineStr">
        <is>
          <t xml:space="preserve">B observado / C cálculo</t>
        </is>
      </c>
    </row>
    <row r="196" customFormat="false" ht="15" hidden="false" customHeight="true" outlineLevel="0" collapsed="false">
      <c r="A196" s="1" t="n">
        <v>2020</v>
      </c>
      <c r="B196" s="1" t="n">
        <v>1</v>
      </c>
      <c r="C196" s="1" t="inlineStr">
        <is>
          <t xml:space="preserve">TASREOL20191</t>
        </is>
      </c>
      <c r="D196" s="1" t="inlineStr">
        <is>
          <t xml:space="preserve">TITULADO</t>
        </is>
      </c>
      <c r="E196" s="1" t="n">
        <v>3</v>
      </c>
      <c r="F196" s="1" t="n">
        <v>7</v>
      </c>
      <c r="G196" s="1" t="n">
        <f aca="false">IF(E196=0,"",IF(D196="VIGENTE",1,0))</f>
        <v>0</v>
      </c>
      <c r="H196" s="1" t="inlineStr">
        <is>
          <t xml:space="preserve">B observado / C cálculo</t>
        </is>
      </c>
    </row>
    <row r="197" customFormat="false" ht="15" hidden="false" customHeight="true" outlineLevel="0" collapsed="false">
      <c r="A197" s="1" t="n">
        <v>2020</v>
      </c>
      <c r="B197" s="1" t="n">
        <v>1</v>
      </c>
      <c r="C197" s="1" t="inlineStr">
        <is>
          <t xml:space="preserve">TCSRE20191</t>
        </is>
      </c>
      <c r="D197" s="1" t="inlineStr">
        <is>
          <t xml:space="preserve">ELIMINADO</t>
        </is>
      </c>
      <c r="E197" s="1" t="n">
        <v>22</v>
      </c>
      <c r="F197" s="1" t="n">
        <v>46</v>
      </c>
      <c r="G197" s="1" t="n">
        <f aca="false">IF(E197=0,"",IF(D197="VIGENTE",1,0))</f>
        <v>0</v>
      </c>
      <c r="H197" s="1" t="inlineStr">
        <is>
          <t xml:space="preserve">B observado / C cálculo</t>
        </is>
      </c>
    </row>
    <row r="198" customFormat="false" ht="15" hidden="false" customHeight="true" outlineLevel="0" collapsed="false">
      <c r="A198" s="1" t="n">
        <v>2020</v>
      </c>
      <c r="B198" s="1" t="n">
        <v>1</v>
      </c>
      <c r="C198" s="1" t="inlineStr">
        <is>
          <t xml:space="preserve">TCSRE20191</t>
        </is>
      </c>
      <c r="D198" s="1" t="inlineStr">
        <is>
          <t xml:space="preserve">TITULADO</t>
        </is>
      </c>
      <c r="E198" s="1" t="n">
        <v>8</v>
      </c>
      <c r="F198" s="1" t="n">
        <v>15</v>
      </c>
      <c r="G198" s="1" t="n">
        <f aca="false">IF(E198=0,"",IF(D198="VIGENTE",1,0))</f>
        <v>0</v>
      </c>
      <c r="H198" s="1" t="inlineStr">
        <is>
          <t xml:space="preserve">B observado / C cálculo</t>
        </is>
      </c>
    </row>
    <row r="199" customFormat="false" ht="15" hidden="false" customHeight="true" outlineLevel="0" collapsed="false">
      <c r="A199" s="1" t="n">
        <v>2020</v>
      </c>
      <c r="B199" s="1" t="n">
        <v>1</v>
      </c>
      <c r="C199" s="1" t="inlineStr">
        <is>
          <t xml:space="preserve">TCSRE20191</t>
        </is>
      </c>
      <c r="D199" s="1" t="inlineStr">
        <is>
          <t xml:space="preserve">VIGENTE</t>
        </is>
      </c>
      <c r="E199" s="1" t="n">
        <v>1</v>
      </c>
      <c r="F199" s="1" t="n">
        <v>2</v>
      </c>
      <c r="G199" s="1" t="n">
        <f aca="false">IF(E199=0,"",IF(D199="VIGENTE",1,0))</f>
        <v>1</v>
      </c>
      <c r="H199" s="1" t="inlineStr">
        <is>
          <t xml:space="preserve">B observado / C cálculo</t>
        </is>
      </c>
    </row>
    <row r="200" customFormat="false" ht="15" hidden="false" customHeight="true" outlineLevel="0" collapsed="false">
      <c r="A200" s="1" t="n">
        <v>2020</v>
      </c>
      <c r="B200" s="1" t="n">
        <v>1</v>
      </c>
      <c r="C200" s="1" t="inlineStr">
        <is>
          <t xml:space="preserve">TCSREOL2020</t>
        </is>
      </c>
      <c r="D200" s="1" t="inlineStr">
        <is>
          <t xml:space="preserve">ELIMINADO</t>
        </is>
      </c>
      <c r="E200" s="1" t="n">
        <v>13</v>
      </c>
      <c r="F200" s="1" t="n">
        <v>15</v>
      </c>
      <c r="G200" s="1" t="n">
        <f aca="false">IF(E200=0,"",IF(D200="VIGENTE",1,0))</f>
        <v>0</v>
      </c>
      <c r="H200" s="1" t="inlineStr">
        <is>
          <t xml:space="preserve">B observado / C cálculo</t>
        </is>
      </c>
    </row>
    <row r="201" customFormat="false" ht="15" hidden="false" customHeight="true" outlineLevel="0" collapsed="false">
      <c r="A201" s="1" t="n">
        <v>2020</v>
      </c>
      <c r="B201" s="1" t="n">
        <v>1</v>
      </c>
      <c r="C201" s="1" t="inlineStr">
        <is>
          <t xml:space="preserve">TCSREOL2020</t>
        </is>
      </c>
      <c r="D201" s="1" t="inlineStr">
        <is>
          <t xml:space="preserve">TITULADO</t>
        </is>
      </c>
      <c r="E201" s="1" t="n">
        <v>12</v>
      </c>
      <c r="F201" s="1" t="n">
        <v>18</v>
      </c>
      <c r="G201" s="1" t="n">
        <f aca="false">IF(E201=0,"",IF(D201="VIGENTE",1,0))</f>
        <v>0</v>
      </c>
      <c r="H201" s="1" t="inlineStr">
        <is>
          <t xml:space="preserve">B observado / C cálculo</t>
        </is>
      </c>
    </row>
    <row r="202" customFormat="false" ht="15" hidden="false" customHeight="true" outlineLevel="0" collapsed="false">
      <c r="A202" s="1" t="n">
        <v>2020</v>
      </c>
      <c r="B202" s="1" t="n">
        <v>1</v>
      </c>
      <c r="C202" s="1" t="inlineStr">
        <is>
          <t xml:space="preserve">TCSREOL2020</t>
        </is>
      </c>
      <c r="D202" s="1" t="inlineStr">
        <is>
          <t xml:space="preserve">VIGENTE</t>
        </is>
      </c>
      <c r="E202" s="1" t="n">
        <v>1</v>
      </c>
      <c r="F202" s="1" t="n">
        <v>1</v>
      </c>
      <c r="G202" s="1" t="n">
        <f aca="false">IF(E202=0,"",IF(D202="VIGENTE",1,0))</f>
        <v>1</v>
      </c>
      <c r="H202" s="1" t="inlineStr">
        <is>
          <t xml:space="preserve">B observado / C cálculo</t>
        </is>
      </c>
    </row>
    <row r="203" customFormat="false" ht="15" hidden="false" customHeight="true" outlineLevel="0" collapsed="false">
      <c r="A203" s="1" t="n">
        <v>2020</v>
      </c>
      <c r="B203" s="1" t="n">
        <v>1</v>
      </c>
      <c r="C203" s="1" t="inlineStr">
        <is>
          <t xml:space="preserve">TMIRE20171</t>
        </is>
      </c>
      <c r="D203" s="1" t="inlineStr">
        <is>
          <t xml:space="preserve">ELIMINADO</t>
        </is>
      </c>
      <c r="E203" s="1" t="n">
        <v>5</v>
      </c>
      <c r="F203" s="1" t="n">
        <v>9</v>
      </c>
      <c r="G203" s="1" t="n">
        <f aca="false">IF(E203=0,"",IF(D203="VIGENTE",1,0))</f>
        <v>0</v>
      </c>
      <c r="H203" s="1" t="inlineStr">
        <is>
          <t xml:space="preserve">B observado / C cálculo</t>
        </is>
      </c>
    </row>
    <row r="204" customFormat="false" ht="15" hidden="false" customHeight="true" outlineLevel="0" collapsed="false">
      <c r="A204" s="1" t="n">
        <v>2020</v>
      </c>
      <c r="B204" s="1" t="n">
        <v>1</v>
      </c>
      <c r="C204" s="1" t="inlineStr">
        <is>
          <t xml:space="preserve">TMIRE20171</t>
        </is>
      </c>
      <c r="D204" s="1" t="inlineStr">
        <is>
          <t xml:space="preserve">TITULADO</t>
        </is>
      </c>
      <c r="E204" s="1" t="n">
        <v>5</v>
      </c>
      <c r="F204" s="1" t="n">
        <v>11</v>
      </c>
      <c r="G204" s="1" t="n">
        <f aca="false">IF(E204=0,"",IF(D204="VIGENTE",1,0))</f>
        <v>0</v>
      </c>
      <c r="H204" s="1" t="inlineStr">
        <is>
          <t xml:space="preserve">B observado / C cálculo</t>
        </is>
      </c>
    </row>
    <row r="205" customFormat="false" ht="15" hidden="false" customHeight="true" outlineLevel="0" collapsed="false">
      <c r="A205" s="1" t="n">
        <v>2020</v>
      </c>
      <c r="B205" s="1" t="n">
        <v>1</v>
      </c>
      <c r="C205" s="1" t="inlineStr">
        <is>
          <t xml:space="preserve">TMIRE2020</t>
        </is>
      </c>
      <c r="D205" s="1" t="inlineStr">
        <is>
          <t xml:space="preserve">ELIMINADO</t>
        </is>
      </c>
      <c r="E205" s="1" t="n">
        <v>3</v>
      </c>
      <c r="F205" s="1" t="n">
        <v>18</v>
      </c>
      <c r="G205" s="1" t="n">
        <f aca="false">IF(E205=0,"",IF(D205="VIGENTE",1,0))</f>
        <v>0</v>
      </c>
      <c r="H205" s="1" t="inlineStr">
        <is>
          <t xml:space="preserve">B observado / C cálculo</t>
        </is>
      </c>
    </row>
    <row r="206" customFormat="false" ht="15" hidden="false" customHeight="true" outlineLevel="0" collapsed="false">
      <c r="A206" s="1" t="n">
        <v>2020</v>
      </c>
      <c r="B206" s="1" t="n">
        <v>1</v>
      </c>
      <c r="C206" s="1" t="inlineStr">
        <is>
          <t xml:space="preserve">TMIRE2020</t>
        </is>
      </c>
      <c r="D206" s="1" t="inlineStr">
        <is>
          <t xml:space="preserve">TITULADO</t>
        </is>
      </c>
      <c r="E206" s="1" t="n">
        <v>3</v>
      </c>
      <c r="F206" s="1" t="n">
        <v>17</v>
      </c>
      <c r="G206" s="1" t="n">
        <f aca="false">IF(E206=0,"",IF(D206="VIGENTE",1,0))</f>
        <v>0</v>
      </c>
      <c r="H206" s="1" t="inlineStr">
        <is>
          <t xml:space="preserve">B observado / C cálculo</t>
        </is>
      </c>
    </row>
    <row r="207" customFormat="false" ht="15" hidden="false" customHeight="true" outlineLevel="0" collapsed="false">
      <c r="A207" s="1" t="n">
        <v>2020</v>
      </c>
      <c r="B207" s="1" t="n">
        <v>1</v>
      </c>
      <c r="C207" s="1" t="inlineStr">
        <is>
          <t xml:space="preserve">TPARE2020</t>
        </is>
      </c>
      <c r="D207" s="1" t="inlineStr">
        <is>
          <t xml:space="preserve">ELIMINADO</t>
        </is>
      </c>
      <c r="E207" s="1" t="n">
        <v>32</v>
      </c>
      <c r="F207" s="1" t="n">
        <v>61</v>
      </c>
      <c r="G207" s="1" t="n">
        <f aca="false">IF(E207=0,"",IF(D207="VIGENTE",1,0))</f>
        <v>0</v>
      </c>
      <c r="H207" s="1" t="inlineStr">
        <is>
          <t xml:space="preserve">B observado / C cálculo</t>
        </is>
      </c>
    </row>
    <row r="208" customFormat="false" ht="15" hidden="false" customHeight="true" outlineLevel="0" collapsed="false">
      <c r="A208" s="1" t="n">
        <v>2020</v>
      </c>
      <c r="B208" s="1" t="n">
        <v>1</v>
      </c>
      <c r="C208" s="1" t="inlineStr">
        <is>
          <t xml:space="preserve">TPARE2020</t>
        </is>
      </c>
      <c r="D208" s="1" t="inlineStr">
        <is>
          <t xml:space="preserve">TITULADO</t>
        </is>
      </c>
      <c r="E208" s="1" t="n">
        <v>19</v>
      </c>
      <c r="F208" s="1" t="n">
        <v>42</v>
      </c>
      <c r="G208" s="1" t="n">
        <f aca="false">IF(E208=0,"",IF(D208="VIGENTE",1,0))</f>
        <v>0</v>
      </c>
      <c r="H208" s="1" t="inlineStr">
        <is>
          <t xml:space="preserve">B observado / C cálculo</t>
        </is>
      </c>
    </row>
    <row r="209" customFormat="false" ht="15" hidden="false" customHeight="true" outlineLevel="0" collapsed="false">
      <c r="A209" s="1" t="n">
        <v>2020</v>
      </c>
      <c r="B209" s="1" t="n">
        <v>1</v>
      </c>
      <c r="C209" s="1" t="inlineStr">
        <is>
          <t xml:space="preserve">TPAREOL2020</t>
        </is>
      </c>
      <c r="D209" s="1" t="inlineStr">
        <is>
          <t xml:space="preserve">ELIMINADO</t>
        </is>
      </c>
      <c r="E209" s="1" t="n">
        <v>1</v>
      </c>
      <c r="F209" s="1" t="n">
        <v>1</v>
      </c>
      <c r="G209" s="1" t="n">
        <f aca="false">IF(E209=0,"",IF(D209="VIGENTE",1,0))</f>
        <v>0</v>
      </c>
      <c r="H209" s="1" t="inlineStr">
        <is>
          <t xml:space="preserve">B observado / C cálculo</t>
        </is>
      </c>
    </row>
    <row r="210" customFormat="false" ht="15" hidden="false" customHeight="true" outlineLevel="0" collapsed="false">
      <c r="A210" s="1" t="n">
        <v>2020</v>
      </c>
      <c r="B210" s="1" t="n">
        <v>1</v>
      </c>
      <c r="C210" s="1" t="inlineStr">
        <is>
          <t xml:space="preserve">TPCRE20191</t>
        </is>
      </c>
      <c r="D210" s="1" t="inlineStr">
        <is>
          <t xml:space="preserve">ELIMINADO</t>
        </is>
      </c>
      <c r="E210" s="1" t="n">
        <v>13</v>
      </c>
      <c r="F210" s="1" t="n">
        <v>34</v>
      </c>
      <c r="G210" s="1" t="n">
        <f aca="false">IF(E210=0,"",IF(D210="VIGENTE",1,0))</f>
        <v>0</v>
      </c>
      <c r="H210" s="1" t="inlineStr">
        <is>
          <t xml:space="preserve">B observado / C cálculo</t>
        </is>
      </c>
    </row>
    <row r="211" customFormat="false" ht="15" hidden="false" customHeight="true" outlineLevel="0" collapsed="false">
      <c r="A211" s="1" t="n">
        <v>2020</v>
      </c>
      <c r="B211" s="1" t="n">
        <v>1</v>
      </c>
      <c r="C211" s="1" t="inlineStr">
        <is>
          <t xml:space="preserve">TPCRE20191</t>
        </is>
      </c>
      <c r="D211" s="1" t="inlineStr">
        <is>
          <t xml:space="preserve">TITULADO</t>
        </is>
      </c>
      <c r="E211" s="1" t="n">
        <v>11</v>
      </c>
      <c r="F211" s="1" t="n">
        <v>23</v>
      </c>
      <c r="G211" s="1" t="n">
        <f aca="false">IF(E211=0,"",IF(D211="VIGENTE",1,0))</f>
        <v>0</v>
      </c>
      <c r="H211" s="1" t="inlineStr">
        <is>
          <t xml:space="preserve">B observado / C cálculo</t>
        </is>
      </c>
    </row>
    <row r="212" customFormat="false" ht="15" hidden="false" customHeight="true" outlineLevel="0" collapsed="false">
      <c r="A212" s="1" t="n">
        <v>2020</v>
      </c>
      <c r="B212" s="1" t="n">
        <v>1</v>
      </c>
      <c r="C212" s="1" t="inlineStr">
        <is>
          <t xml:space="preserve">TPCREOL</t>
        </is>
      </c>
      <c r="D212" s="1" t="inlineStr">
        <is>
          <t xml:space="preserve">ELIMINADO</t>
        </is>
      </c>
      <c r="E212" s="1" t="n">
        <v>1</v>
      </c>
      <c r="F212" s="1" t="n">
        <v>2</v>
      </c>
      <c r="G212" s="1" t="n">
        <f aca="false">IF(E212=0,"",IF(D212="VIGENTE",1,0))</f>
        <v>0</v>
      </c>
      <c r="H212" s="1" t="inlineStr">
        <is>
          <t xml:space="preserve">B observado / C cálculo</t>
        </is>
      </c>
    </row>
    <row r="213" customFormat="false" ht="15" hidden="false" customHeight="true" outlineLevel="0" collapsed="false">
      <c r="A213" s="1" t="n">
        <v>2020</v>
      </c>
      <c r="B213" s="1" t="n">
        <v>1</v>
      </c>
      <c r="C213" s="1" t="inlineStr">
        <is>
          <t xml:space="preserve">TPCREOL</t>
        </is>
      </c>
      <c r="D213" s="1" t="inlineStr">
        <is>
          <t xml:space="preserve">TITULADO</t>
        </is>
      </c>
      <c r="E213" s="1" t="n">
        <v>3</v>
      </c>
      <c r="F213" s="1" t="n">
        <v>12</v>
      </c>
      <c r="G213" s="1" t="n">
        <f aca="false">IF(E213=0,"",IF(D213="VIGENTE",1,0))</f>
        <v>0</v>
      </c>
      <c r="H213" s="1" t="inlineStr">
        <is>
          <t xml:space="preserve">B observado / C cálculo</t>
        </is>
      </c>
    </row>
    <row r="214" customFormat="false" ht="15" hidden="false" customHeight="true" outlineLevel="0" collapsed="false">
      <c r="A214" s="1" t="n">
        <v>2020</v>
      </c>
      <c r="B214" s="1" t="n">
        <v>1</v>
      </c>
      <c r="C214" s="1" t="inlineStr">
        <is>
          <t xml:space="preserve">TPCREOL20191</t>
        </is>
      </c>
      <c r="D214" s="1" t="inlineStr">
        <is>
          <t xml:space="preserve">ELIMINADO</t>
        </is>
      </c>
      <c r="E214" s="1" t="n">
        <v>7</v>
      </c>
      <c r="F214" s="1" t="n">
        <v>8</v>
      </c>
      <c r="G214" s="1" t="n">
        <f aca="false">IF(E214=0,"",IF(D214="VIGENTE",1,0))</f>
        <v>0</v>
      </c>
      <c r="H214" s="1" t="inlineStr">
        <is>
          <t xml:space="preserve">B observado / C cálculo</t>
        </is>
      </c>
    </row>
    <row r="215" customFormat="false" ht="15" hidden="false" customHeight="true" outlineLevel="0" collapsed="false">
      <c r="A215" s="1" t="n">
        <v>2020</v>
      </c>
      <c r="B215" s="1" t="n">
        <v>1</v>
      </c>
      <c r="C215" s="1" t="inlineStr">
        <is>
          <t xml:space="preserve">TPCREOL20191</t>
        </is>
      </c>
      <c r="D215" s="1" t="inlineStr">
        <is>
          <t xml:space="preserve">TITULADO</t>
        </is>
      </c>
      <c r="E215" s="1" t="n">
        <v>5</v>
      </c>
      <c r="F215" s="1" t="n">
        <v>5</v>
      </c>
      <c r="G215" s="1" t="n">
        <f aca="false">IF(E215=0,"",IF(D215="VIGENTE",1,0))</f>
        <v>0</v>
      </c>
      <c r="H215" s="1" t="inlineStr">
        <is>
          <t xml:space="preserve">B observado / C cálculo</t>
        </is>
      </c>
    </row>
    <row r="216" customFormat="false" ht="15" hidden="false" customHeight="true" outlineLevel="0" collapsed="false">
      <c r="A216" s="1" t="n">
        <v>2020</v>
      </c>
      <c r="B216" s="1" t="n">
        <v>1</v>
      </c>
      <c r="C216" s="1" t="inlineStr">
        <is>
          <t xml:space="preserve">TTMRE20191</t>
        </is>
      </c>
      <c r="D216" s="1" t="inlineStr">
        <is>
          <t xml:space="preserve">ELIMINADO</t>
        </is>
      </c>
      <c r="E216" s="1" t="n">
        <v>23</v>
      </c>
      <c r="F216" s="1" t="n">
        <v>61</v>
      </c>
      <c r="G216" s="1" t="n">
        <f aca="false">IF(E216=0,"",IF(D216="VIGENTE",1,0))</f>
        <v>0</v>
      </c>
      <c r="H216" s="1" t="inlineStr">
        <is>
          <t xml:space="preserve">B observado / C cálculo</t>
        </is>
      </c>
    </row>
    <row r="217" customFormat="false" ht="15" hidden="false" customHeight="true" outlineLevel="0" collapsed="false">
      <c r="A217" s="1" t="n">
        <v>2020</v>
      </c>
      <c r="B217" s="1" t="n">
        <v>1</v>
      </c>
      <c r="C217" s="1" t="inlineStr">
        <is>
          <t xml:space="preserve">TTMRE20191</t>
        </is>
      </c>
      <c r="D217" s="1" t="inlineStr">
        <is>
          <t xml:space="preserve">TITULADO</t>
        </is>
      </c>
      <c r="E217" s="1" t="n">
        <v>36</v>
      </c>
      <c r="F217" s="1" t="n">
        <v>79</v>
      </c>
      <c r="G217" s="1" t="n">
        <f aca="false">IF(E217=0,"",IF(D217="VIGENTE",1,0))</f>
        <v>0</v>
      </c>
      <c r="H217" s="1" t="inlineStr">
        <is>
          <t xml:space="preserve">B observado / C cálculo</t>
        </is>
      </c>
    </row>
    <row r="218" customFormat="false" ht="15" hidden="false" customHeight="true" outlineLevel="0" collapsed="false">
      <c r="A218" s="1" t="n">
        <v>2020</v>
      </c>
      <c r="B218" s="1" t="n">
        <v>1</v>
      </c>
      <c r="C218" s="1" t="inlineStr">
        <is>
          <t xml:space="preserve">TTMREOL20191</t>
        </is>
      </c>
      <c r="D218" s="1" t="inlineStr">
        <is>
          <t xml:space="preserve">ELIMINADO</t>
        </is>
      </c>
      <c r="E218" s="1" t="n">
        <v>3</v>
      </c>
      <c r="F218" s="1" t="n">
        <v>4</v>
      </c>
      <c r="G218" s="1" t="n">
        <f aca="false">IF(E218=0,"",IF(D218="VIGENTE",1,0))</f>
        <v>0</v>
      </c>
      <c r="H218" s="1" t="inlineStr">
        <is>
          <t xml:space="preserve">B observado / C cálculo</t>
        </is>
      </c>
    </row>
    <row r="219" customFormat="false" ht="15" hidden="false" customHeight="true" outlineLevel="0" collapsed="false">
      <c r="A219" s="1" t="n">
        <v>2020</v>
      </c>
      <c r="B219" s="1" t="n">
        <v>1</v>
      </c>
      <c r="C219" s="1" t="inlineStr">
        <is>
          <t xml:space="preserve">TTMREOL20191</t>
        </is>
      </c>
      <c r="D219" s="1" t="inlineStr">
        <is>
          <t xml:space="preserve">TITULADO</t>
        </is>
      </c>
      <c r="E219" s="1" t="n">
        <v>9</v>
      </c>
      <c r="F219" s="1" t="n">
        <v>12</v>
      </c>
      <c r="G219" s="1" t="n">
        <f aca="false">IF(E219=0,"",IF(D219="VIGENTE",1,0))</f>
        <v>0</v>
      </c>
      <c r="H219" s="1" t="inlineStr">
        <is>
          <t xml:space="preserve">B observado / C cálculo</t>
        </is>
      </c>
    </row>
    <row r="220" customFormat="false" ht="15" hidden="false" customHeight="true" outlineLevel="0" collapsed="false">
      <c r="A220" s="1" t="n">
        <v>2020</v>
      </c>
      <c r="B220" s="1" t="n">
        <v>2</v>
      </c>
      <c r="C220" s="1" t="inlineStr">
        <is>
          <t xml:space="preserve">ICIB20241</t>
        </is>
      </c>
      <c r="D220" s="1" t="inlineStr">
        <is>
          <t xml:space="preserve">ELIMINADO</t>
        </is>
      </c>
      <c r="E220" s="1" t="n">
        <v>1</v>
      </c>
      <c r="F220" s="1" t="n">
        <v>2</v>
      </c>
      <c r="G220" s="1" t="n">
        <f aca="false">IF(E220=0,"",IF(D220="VIGENTE",1,0))</f>
        <v>0</v>
      </c>
      <c r="H220" s="1" t="inlineStr">
        <is>
          <t xml:space="preserve">B observado / C cálculo</t>
        </is>
      </c>
    </row>
    <row r="221" customFormat="false" ht="15" hidden="false" customHeight="true" outlineLevel="0" collapsed="false">
      <c r="A221" s="1" t="n">
        <v>2020</v>
      </c>
      <c r="B221" s="1" t="n">
        <v>2</v>
      </c>
      <c r="C221" s="1" t="inlineStr">
        <is>
          <t xml:space="preserve">IECIRE20151</t>
        </is>
      </c>
      <c r="D221" s="1" t="inlineStr">
        <is>
          <t xml:space="preserve">TITULADO</t>
        </is>
      </c>
      <c r="E221" s="1" t="n">
        <v>8</v>
      </c>
      <c r="F221" s="1" t="n">
        <v>8</v>
      </c>
      <c r="G221" s="1" t="n">
        <f aca="false">IF(E221=0,"",IF(D221="VIGENTE",1,0))</f>
        <v>0</v>
      </c>
      <c r="H221" s="1" t="inlineStr">
        <is>
          <t xml:space="preserve">B observado / C cálculo</t>
        </is>
      </c>
    </row>
    <row r="222" customFormat="false" ht="15" hidden="false" customHeight="true" outlineLevel="0" collapsed="false">
      <c r="A222" s="1" t="n">
        <v>2020</v>
      </c>
      <c r="B222" s="1" t="n">
        <v>2</v>
      </c>
      <c r="C222" s="1" t="inlineStr">
        <is>
          <t xml:space="preserve">IECIRE20191</t>
        </is>
      </c>
      <c r="D222" s="1" t="inlineStr">
        <is>
          <t xml:space="preserve">ELIMINADO</t>
        </is>
      </c>
      <c r="E222" s="1" t="n">
        <v>17</v>
      </c>
      <c r="F222" s="1" t="n">
        <v>44</v>
      </c>
      <c r="G222" s="1" t="n">
        <f aca="false">IF(E222=0,"",IF(D222="VIGENTE",1,0))</f>
        <v>0</v>
      </c>
      <c r="H222" s="1" t="inlineStr">
        <is>
          <t xml:space="preserve">B observado / C cálculo</t>
        </is>
      </c>
    </row>
    <row r="223" customFormat="false" ht="15" hidden="false" customHeight="true" outlineLevel="0" collapsed="false">
      <c r="A223" s="1" t="n">
        <v>2020</v>
      </c>
      <c r="B223" s="1" t="n">
        <v>2</v>
      </c>
      <c r="C223" s="1" t="inlineStr">
        <is>
          <t xml:space="preserve">IECIRE20191</t>
        </is>
      </c>
      <c r="D223" s="1" t="inlineStr">
        <is>
          <t xml:space="preserve">TITULADO</t>
        </is>
      </c>
      <c r="E223" s="1" t="n">
        <v>9</v>
      </c>
      <c r="F223" s="1" t="n">
        <v>35</v>
      </c>
      <c r="G223" s="1" t="n">
        <f aca="false">IF(E223=0,"",IF(D223="VIGENTE",1,0))</f>
        <v>0</v>
      </c>
      <c r="H223" s="1" t="inlineStr">
        <is>
          <t xml:space="preserve">B observado / C cálculo</t>
        </is>
      </c>
    </row>
    <row r="224" customFormat="false" ht="15" hidden="false" customHeight="true" outlineLevel="0" collapsed="false">
      <c r="A224" s="1" t="n">
        <v>2020</v>
      </c>
      <c r="B224" s="1" t="n">
        <v>2</v>
      </c>
      <c r="C224" s="1" t="inlineStr">
        <is>
          <t xml:space="preserve">IECIRE2020</t>
        </is>
      </c>
      <c r="D224" s="1" t="inlineStr">
        <is>
          <t xml:space="preserve">ELIMINADO</t>
        </is>
      </c>
      <c r="E224" s="1" t="n">
        <v>14</v>
      </c>
      <c r="F224" s="1" t="n">
        <v>27</v>
      </c>
      <c r="G224" s="1" t="n">
        <f aca="false">IF(E224=0,"",IF(D224="VIGENTE",1,0))</f>
        <v>0</v>
      </c>
      <c r="H224" s="1" t="inlineStr">
        <is>
          <t xml:space="preserve">B observado / C cálculo</t>
        </is>
      </c>
    </row>
    <row r="225" customFormat="false" ht="15" hidden="false" customHeight="true" outlineLevel="0" collapsed="false">
      <c r="A225" s="1" t="n">
        <v>2020</v>
      </c>
      <c r="B225" s="1" t="n">
        <v>2</v>
      </c>
      <c r="C225" s="1" t="inlineStr">
        <is>
          <t xml:space="preserve">IECIRE2020</t>
        </is>
      </c>
      <c r="D225" s="1" t="inlineStr">
        <is>
          <t xml:space="preserve">TITULADO</t>
        </is>
      </c>
      <c r="E225" s="1" t="n">
        <v>4</v>
      </c>
      <c r="F225" s="1" t="n">
        <v>13</v>
      </c>
      <c r="G225" s="1" t="n">
        <f aca="false">IF(E225=0,"",IF(D225="VIGENTE",1,0))</f>
        <v>0</v>
      </c>
      <c r="H225" s="1" t="inlineStr">
        <is>
          <t xml:space="preserve">B observado / C cálculo</t>
        </is>
      </c>
    </row>
    <row r="226" customFormat="false" ht="15" hidden="false" customHeight="true" outlineLevel="0" collapsed="false">
      <c r="A226" s="1" t="n">
        <v>2020</v>
      </c>
      <c r="B226" s="1" t="n">
        <v>2</v>
      </c>
      <c r="C226" s="1" t="inlineStr">
        <is>
          <t xml:space="preserve">IECIRE20211</t>
        </is>
      </c>
      <c r="D226" s="1" t="inlineStr">
        <is>
          <t xml:space="preserve">ELIMINADO</t>
        </is>
      </c>
      <c r="E226" s="1" t="n">
        <v>1</v>
      </c>
      <c r="F226" s="1" t="n">
        <v>2</v>
      </c>
      <c r="G226" s="1" t="n">
        <f aca="false">IF(E226=0,"",IF(D226="VIGENTE",1,0))</f>
        <v>0</v>
      </c>
      <c r="H226" s="1" t="inlineStr">
        <is>
          <t xml:space="preserve">B observado / C cálculo</t>
        </is>
      </c>
    </row>
    <row r="227" customFormat="false" ht="15" hidden="false" customHeight="true" outlineLevel="0" collapsed="false">
      <c r="A227" s="1" t="n">
        <v>2020</v>
      </c>
      <c r="B227" s="1" t="n">
        <v>2</v>
      </c>
      <c r="C227" s="1" t="inlineStr">
        <is>
          <t xml:space="preserve">IECIREOL</t>
        </is>
      </c>
      <c r="D227" s="1" t="inlineStr">
        <is>
          <t xml:space="preserve">ELIMINADO</t>
        </is>
      </c>
      <c r="E227" s="1" t="n">
        <v>1</v>
      </c>
      <c r="F227" s="1" t="n">
        <v>1</v>
      </c>
      <c r="G227" s="1" t="n">
        <f aca="false">IF(E227=0,"",IF(D227="VIGENTE",1,0))</f>
        <v>0</v>
      </c>
      <c r="H227" s="1" t="inlineStr">
        <is>
          <t xml:space="preserve">B observado / C cálculo</t>
        </is>
      </c>
    </row>
    <row r="228" customFormat="false" ht="15" hidden="false" customHeight="true" outlineLevel="0" collapsed="false">
      <c r="A228" s="1" t="n">
        <v>2020</v>
      </c>
      <c r="B228" s="1" t="n">
        <v>2</v>
      </c>
      <c r="C228" s="1" t="inlineStr">
        <is>
          <t xml:space="preserve">IECIREOL</t>
        </is>
      </c>
      <c r="D228" s="1" t="inlineStr">
        <is>
          <t xml:space="preserve">TITULADO</t>
        </is>
      </c>
      <c r="E228" s="1" t="n">
        <v>3</v>
      </c>
      <c r="F228" s="1" t="n">
        <v>3</v>
      </c>
      <c r="G228" s="1" t="n">
        <f aca="false">IF(E228=0,"",IF(D228="VIGENTE",1,0))</f>
        <v>0</v>
      </c>
      <c r="H228" s="1" t="inlineStr">
        <is>
          <t xml:space="preserve">B observado / C cálculo</t>
        </is>
      </c>
    </row>
    <row r="229" customFormat="false" ht="15" hidden="false" customHeight="true" outlineLevel="0" collapsed="false">
      <c r="A229" s="1" t="n">
        <v>2020</v>
      </c>
      <c r="B229" s="1" t="n">
        <v>2</v>
      </c>
      <c r="C229" s="1" t="inlineStr">
        <is>
          <t xml:space="preserve">IECIREOL20191</t>
        </is>
      </c>
      <c r="D229" s="1" t="inlineStr">
        <is>
          <t xml:space="preserve">ELIMINADO</t>
        </is>
      </c>
      <c r="E229" s="1" t="n">
        <v>2</v>
      </c>
      <c r="F229" s="1" t="n">
        <v>2</v>
      </c>
      <c r="G229" s="1" t="n">
        <f aca="false">IF(E229=0,"",IF(D229="VIGENTE",1,0))</f>
        <v>0</v>
      </c>
      <c r="H229" s="1" t="inlineStr">
        <is>
          <t xml:space="preserve">B observado / C cálculo</t>
        </is>
      </c>
    </row>
    <row r="230" customFormat="false" ht="15" hidden="false" customHeight="true" outlineLevel="0" collapsed="false">
      <c r="A230" s="1" t="n">
        <v>2020</v>
      </c>
      <c r="B230" s="1" t="n">
        <v>2</v>
      </c>
      <c r="C230" s="1" t="inlineStr">
        <is>
          <t xml:space="preserve">IECIREOL20191</t>
        </is>
      </c>
      <c r="D230" s="1" t="inlineStr">
        <is>
          <t xml:space="preserve">TITULADO</t>
        </is>
      </c>
      <c r="E230" s="1" t="n">
        <v>3</v>
      </c>
      <c r="F230" s="1" t="n">
        <v>3</v>
      </c>
      <c r="G230" s="1" t="n">
        <f aca="false">IF(E230=0,"",IF(D230="VIGENTE",1,0))</f>
        <v>0</v>
      </c>
      <c r="H230" s="1" t="inlineStr">
        <is>
          <t xml:space="preserve">B observado / C cálculo</t>
        </is>
      </c>
    </row>
    <row r="231" customFormat="false" ht="15" hidden="false" customHeight="true" outlineLevel="0" collapsed="false">
      <c r="A231" s="1" t="n">
        <v>2020</v>
      </c>
      <c r="B231" s="1" t="n">
        <v>2</v>
      </c>
      <c r="C231" s="1" t="inlineStr">
        <is>
          <t xml:space="preserve">IECIREOL20201</t>
        </is>
      </c>
      <c r="D231" s="1" t="inlineStr">
        <is>
          <t xml:space="preserve">ELIMINADO</t>
        </is>
      </c>
      <c r="E231" s="1" t="n">
        <v>10</v>
      </c>
      <c r="F231" s="1" t="n">
        <v>17</v>
      </c>
      <c r="G231" s="1" t="n">
        <f aca="false">IF(E231=0,"",IF(D231="VIGENTE",1,0))</f>
        <v>0</v>
      </c>
      <c r="H231" s="1" t="inlineStr">
        <is>
          <t xml:space="preserve">B observado / C cálculo</t>
        </is>
      </c>
    </row>
    <row r="232" customFormat="false" ht="15" hidden="false" customHeight="true" outlineLevel="0" collapsed="false">
      <c r="A232" s="1" t="n">
        <v>2020</v>
      </c>
      <c r="B232" s="1" t="n">
        <v>2</v>
      </c>
      <c r="C232" s="1" t="inlineStr">
        <is>
          <t xml:space="preserve">IECIREOL20201</t>
        </is>
      </c>
      <c r="D232" s="1" t="inlineStr">
        <is>
          <t xml:space="preserve">TITULADO</t>
        </is>
      </c>
      <c r="E232" s="1" t="n">
        <v>7</v>
      </c>
      <c r="F232" s="1" t="n">
        <v>7</v>
      </c>
      <c r="G232" s="1" t="n">
        <f aca="false">IF(E232=0,"",IF(D232="VIGENTE",1,0))</f>
        <v>0</v>
      </c>
      <c r="H232" s="1" t="inlineStr">
        <is>
          <t xml:space="preserve">B observado / C cálculo</t>
        </is>
      </c>
    </row>
    <row r="233" customFormat="false" ht="15" hidden="false" customHeight="true" outlineLevel="0" collapsed="false">
      <c r="A233" s="1" t="n">
        <v>2020</v>
      </c>
      <c r="B233" s="1" t="n">
        <v>2</v>
      </c>
      <c r="C233" s="1" t="inlineStr">
        <is>
          <t xml:space="preserve">IECSRE20191</t>
        </is>
      </c>
      <c r="D233" s="1" t="inlineStr">
        <is>
          <t xml:space="preserve">ELIMINADO</t>
        </is>
      </c>
      <c r="E233" s="1" t="n">
        <v>9</v>
      </c>
      <c r="F233" s="1" t="n">
        <v>10</v>
      </c>
      <c r="G233" s="1" t="n">
        <f aca="false">IF(E233=0,"",IF(D233="VIGENTE",1,0))</f>
        <v>0</v>
      </c>
      <c r="H233" s="1" t="inlineStr">
        <is>
          <t xml:space="preserve">B observado / C cálculo</t>
        </is>
      </c>
    </row>
    <row r="234" customFormat="false" ht="15" hidden="false" customHeight="true" outlineLevel="0" collapsed="false">
      <c r="A234" s="1" t="n">
        <v>2020</v>
      </c>
      <c r="B234" s="1" t="n">
        <v>2</v>
      </c>
      <c r="C234" s="1" t="inlineStr">
        <is>
          <t xml:space="preserve">IECSRE20191</t>
        </is>
      </c>
      <c r="D234" s="1" t="inlineStr">
        <is>
          <t xml:space="preserve">TITULADO</t>
        </is>
      </c>
      <c r="E234" s="1" t="n">
        <v>12</v>
      </c>
      <c r="F234" s="1" t="n">
        <v>21</v>
      </c>
      <c r="G234" s="1" t="n">
        <f aca="false">IF(E234=0,"",IF(D234="VIGENTE",1,0))</f>
        <v>0</v>
      </c>
      <c r="H234" s="1" t="inlineStr">
        <is>
          <t xml:space="preserve">B observado / C cálculo</t>
        </is>
      </c>
    </row>
    <row r="235" customFormat="false" ht="15" hidden="false" customHeight="true" outlineLevel="0" collapsed="false">
      <c r="A235" s="1" t="n">
        <v>2020</v>
      </c>
      <c r="B235" s="1" t="n">
        <v>2</v>
      </c>
      <c r="C235" s="1" t="inlineStr">
        <is>
          <t xml:space="preserve">IECSRE20211</t>
        </is>
      </c>
      <c r="D235" s="1" t="inlineStr">
        <is>
          <t xml:space="preserve">ELIMINADO</t>
        </is>
      </c>
      <c r="E235" s="1" t="n">
        <v>2</v>
      </c>
      <c r="F235" s="1" t="n">
        <v>14</v>
      </c>
      <c r="G235" s="1" t="n">
        <f aca="false">IF(E235=0,"",IF(D235="VIGENTE",1,0))</f>
        <v>0</v>
      </c>
      <c r="H235" s="1" t="inlineStr">
        <is>
          <t xml:space="preserve">B observado / C cálculo</t>
        </is>
      </c>
    </row>
    <row r="236" customFormat="false" ht="15" hidden="false" customHeight="true" outlineLevel="0" collapsed="false">
      <c r="A236" s="1" t="n">
        <v>2020</v>
      </c>
      <c r="B236" s="1" t="n">
        <v>2</v>
      </c>
      <c r="C236" s="1" t="inlineStr">
        <is>
          <t xml:space="preserve">IECSRE20211</t>
        </is>
      </c>
      <c r="D236" s="1" t="inlineStr">
        <is>
          <t xml:space="preserve">TITULADO</t>
        </is>
      </c>
      <c r="E236" s="1" t="n">
        <v>2</v>
      </c>
      <c r="F236" s="1" t="n">
        <v>14</v>
      </c>
      <c r="G236" s="1" t="n">
        <f aca="false">IF(E236=0,"",IF(D236="VIGENTE",1,0))</f>
        <v>0</v>
      </c>
      <c r="H236" s="1" t="inlineStr">
        <is>
          <t xml:space="preserve">B observado / C cálculo</t>
        </is>
      </c>
    </row>
    <row r="237" customFormat="false" ht="15" hidden="false" customHeight="true" outlineLevel="0" collapsed="false">
      <c r="A237" s="1" t="n">
        <v>2020</v>
      </c>
      <c r="B237" s="1" t="n">
        <v>2</v>
      </c>
      <c r="C237" s="1" t="inlineStr">
        <is>
          <t xml:space="preserve">IECSREOL20211</t>
        </is>
      </c>
      <c r="D237" s="1" t="inlineStr">
        <is>
          <t xml:space="preserve">ELIMINADO</t>
        </is>
      </c>
      <c r="E237" s="1" t="n">
        <v>3</v>
      </c>
      <c r="F237" s="1" t="n">
        <v>21</v>
      </c>
      <c r="G237" s="1" t="n">
        <f aca="false">IF(E237=0,"",IF(D237="VIGENTE",1,0))</f>
        <v>0</v>
      </c>
      <c r="H237" s="1" t="inlineStr">
        <is>
          <t xml:space="preserve">B observado / C cálculo</t>
        </is>
      </c>
    </row>
    <row r="238" customFormat="false" ht="15" hidden="false" customHeight="true" outlineLevel="0" collapsed="false">
      <c r="A238" s="1" t="n">
        <v>2020</v>
      </c>
      <c r="B238" s="1" t="n">
        <v>2</v>
      </c>
      <c r="C238" s="1" t="inlineStr">
        <is>
          <t xml:space="preserve">IECSREOL20211</t>
        </is>
      </c>
      <c r="D238" s="1" t="inlineStr">
        <is>
          <t xml:space="preserve">TITULADO</t>
        </is>
      </c>
      <c r="E238" s="1" t="n">
        <v>4</v>
      </c>
      <c r="F238" s="1" t="n">
        <v>28</v>
      </c>
      <c r="G238" s="1" t="n">
        <f aca="false">IF(E238=0,"",IF(D238="VIGENTE",1,0))</f>
        <v>0</v>
      </c>
      <c r="H238" s="1" t="inlineStr">
        <is>
          <t xml:space="preserve">B observado / C cálculo</t>
        </is>
      </c>
    </row>
    <row r="239" customFormat="false" ht="15" hidden="false" customHeight="true" outlineLevel="0" collapsed="false">
      <c r="A239" s="1" t="n">
        <v>2020</v>
      </c>
      <c r="B239" s="1" t="n">
        <v>2</v>
      </c>
      <c r="C239" s="1" t="inlineStr">
        <is>
          <t xml:space="preserve">IEMORE20171</t>
        </is>
      </c>
      <c r="D239" s="1" t="inlineStr">
        <is>
          <t xml:space="preserve">ELIMINADO</t>
        </is>
      </c>
      <c r="E239" s="1" t="n">
        <v>2</v>
      </c>
      <c r="F239" s="1" t="n">
        <v>2</v>
      </c>
      <c r="G239" s="1" t="n">
        <f aca="false">IF(E239=0,"",IF(D239="VIGENTE",1,0))</f>
        <v>0</v>
      </c>
      <c r="H239" s="1" t="inlineStr">
        <is>
          <t xml:space="preserve">B observado / C cálculo</t>
        </is>
      </c>
    </row>
    <row r="240" customFormat="false" ht="15" hidden="false" customHeight="true" outlineLevel="0" collapsed="false">
      <c r="A240" s="1" t="n">
        <v>2020</v>
      </c>
      <c r="B240" s="1" t="n">
        <v>2</v>
      </c>
      <c r="C240" s="1" t="inlineStr">
        <is>
          <t xml:space="preserve">IEMORE20171</t>
        </is>
      </c>
      <c r="D240" s="1" t="inlineStr">
        <is>
          <t xml:space="preserve">TITULADO</t>
        </is>
      </c>
      <c r="E240" s="1" t="n">
        <v>5</v>
      </c>
      <c r="F240" s="1" t="n">
        <v>5</v>
      </c>
      <c r="G240" s="1" t="n">
        <f aca="false">IF(E240=0,"",IF(D240="VIGENTE",1,0))</f>
        <v>0</v>
      </c>
      <c r="H240" s="1" t="inlineStr">
        <is>
          <t xml:space="preserve">B observado / C cálculo</t>
        </is>
      </c>
    </row>
    <row r="241" customFormat="false" ht="15" hidden="false" customHeight="true" outlineLevel="0" collapsed="false">
      <c r="A241" s="1" t="n">
        <v>2020</v>
      </c>
      <c r="B241" s="1" t="n">
        <v>2</v>
      </c>
      <c r="C241" s="1" t="inlineStr">
        <is>
          <t xml:space="preserve">IEMORE20201</t>
        </is>
      </c>
      <c r="D241" s="1" t="inlineStr">
        <is>
          <t xml:space="preserve">ELIMINADO</t>
        </is>
      </c>
      <c r="E241" s="1" t="n">
        <v>2</v>
      </c>
      <c r="F241" s="1" t="n">
        <v>12</v>
      </c>
      <c r="G241" s="1" t="n">
        <f aca="false">IF(E241=0,"",IF(D241="VIGENTE",1,0))</f>
        <v>0</v>
      </c>
      <c r="H241" s="1" t="inlineStr">
        <is>
          <t xml:space="preserve">B observado / C cálculo</t>
        </is>
      </c>
    </row>
    <row r="242" customFormat="false" ht="15" hidden="false" customHeight="true" outlineLevel="0" collapsed="false">
      <c r="A242" s="1" t="n">
        <v>2020</v>
      </c>
      <c r="B242" s="1" t="n">
        <v>2</v>
      </c>
      <c r="C242" s="1" t="inlineStr">
        <is>
          <t xml:space="preserve">IEMORE20201</t>
        </is>
      </c>
      <c r="D242" s="1" t="inlineStr">
        <is>
          <t xml:space="preserve">TITULADO</t>
        </is>
      </c>
      <c r="E242" s="1" t="n">
        <v>4</v>
      </c>
      <c r="F242" s="1" t="n">
        <v>24</v>
      </c>
      <c r="G242" s="1" t="n">
        <f aca="false">IF(E242=0,"",IF(D242="VIGENTE",1,0))</f>
        <v>0</v>
      </c>
      <c r="H242" s="1" t="inlineStr">
        <is>
          <t xml:space="preserve">B observado / C cálculo</t>
        </is>
      </c>
    </row>
    <row r="243" customFormat="false" ht="15" hidden="false" customHeight="true" outlineLevel="0" collapsed="false">
      <c r="A243" s="1" t="n">
        <v>2020</v>
      </c>
      <c r="B243" s="1" t="n">
        <v>2</v>
      </c>
      <c r="C243" s="1" t="inlineStr">
        <is>
          <t xml:space="preserve">IETMRE20161</t>
        </is>
      </c>
      <c r="D243" s="1" t="inlineStr">
        <is>
          <t xml:space="preserve">ELIMINADO</t>
        </is>
      </c>
      <c r="E243" s="1" t="n">
        <v>1</v>
      </c>
      <c r="F243" s="1" t="n">
        <v>2</v>
      </c>
      <c r="G243" s="1" t="n">
        <f aca="false">IF(E243=0,"",IF(D243="VIGENTE",1,0))</f>
        <v>0</v>
      </c>
      <c r="H243" s="1" t="inlineStr">
        <is>
          <t xml:space="preserve">B observado / C cálculo</t>
        </is>
      </c>
    </row>
    <row r="244" customFormat="false" ht="15" hidden="false" customHeight="true" outlineLevel="0" collapsed="false">
      <c r="A244" s="1" t="n">
        <v>2020</v>
      </c>
      <c r="B244" s="1" t="n">
        <v>2</v>
      </c>
      <c r="C244" s="1" t="inlineStr">
        <is>
          <t xml:space="preserve">IETMRE20161</t>
        </is>
      </c>
      <c r="D244" s="1" t="inlineStr">
        <is>
          <t xml:space="preserve">TITULADO</t>
        </is>
      </c>
      <c r="E244" s="1" t="n">
        <v>27</v>
      </c>
      <c r="F244" s="1" t="n">
        <v>40</v>
      </c>
      <c r="G244" s="1" t="n">
        <f aca="false">IF(E244=0,"",IF(D244="VIGENTE",1,0))</f>
        <v>0</v>
      </c>
      <c r="H244" s="1" t="inlineStr">
        <is>
          <t xml:space="preserve">B observado / C cálculo</t>
        </is>
      </c>
    </row>
    <row r="245" customFormat="false" ht="15" hidden="false" customHeight="true" outlineLevel="0" collapsed="false">
      <c r="A245" s="1" t="n">
        <v>2020</v>
      </c>
      <c r="B245" s="1" t="n">
        <v>2</v>
      </c>
      <c r="C245" s="1" t="inlineStr">
        <is>
          <t xml:space="preserve">IETMRE20191</t>
        </is>
      </c>
      <c r="D245" s="1" t="inlineStr">
        <is>
          <t xml:space="preserve">ELIMINADO</t>
        </is>
      </c>
      <c r="E245" s="1" t="n">
        <v>18</v>
      </c>
      <c r="F245" s="1" t="n">
        <v>44</v>
      </c>
      <c r="G245" s="1" t="n">
        <f aca="false">IF(E245=0,"",IF(D245="VIGENTE",1,0))</f>
        <v>0</v>
      </c>
      <c r="H245" s="1" t="inlineStr">
        <is>
          <t xml:space="preserve">B observado / C cálculo</t>
        </is>
      </c>
    </row>
    <row r="246" customFormat="false" ht="15" hidden="false" customHeight="true" outlineLevel="0" collapsed="false">
      <c r="A246" s="1" t="n">
        <v>2020</v>
      </c>
      <c r="B246" s="1" t="n">
        <v>2</v>
      </c>
      <c r="C246" s="1" t="inlineStr">
        <is>
          <t xml:space="preserve">IETMRE20191</t>
        </is>
      </c>
      <c r="D246" s="1" t="inlineStr">
        <is>
          <t xml:space="preserve">TITULADO</t>
        </is>
      </c>
      <c r="E246" s="1" t="n">
        <v>7</v>
      </c>
      <c r="F246" s="1" t="n">
        <v>10</v>
      </c>
      <c r="G246" s="1" t="n">
        <f aca="false">IF(E246=0,"",IF(D246="VIGENTE",1,0))</f>
        <v>0</v>
      </c>
      <c r="H246" s="1" t="inlineStr">
        <is>
          <t xml:space="preserve">B observado / C cálculo</t>
        </is>
      </c>
    </row>
    <row r="247" customFormat="false" ht="15" hidden="false" customHeight="true" outlineLevel="0" collapsed="false">
      <c r="A247" s="1" t="n">
        <v>2020</v>
      </c>
      <c r="B247" s="1" t="n">
        <v>2</v>
      </c>
      <c r="C247" s="1" t="inlineStr">
        <is>
          <t xml:space="preserve">IETMRE20211</t>
        </is>
      </c>
      <c r="D247" s="1" t="inlineStr">
        <is>
          <t xml:space="preserve">ELIMINADO</t>
        </is>
      </c>
      <c r="E247" s="1" t="n">
        <v>2</v>
      </c>
      <c r="F247" s="1" t="n">
        <v>14</v>
      </c>
      <c r="G247" s="1" t="n">
        <f aca="false">IF(E247=0,"",IF(D247="VIGENTE",1,0))</f>
        <v>0</v>
      </c>
      <c r="H247" s="1" t="inlineStr">
        <is>
          <t xml:space="preserve">B observado / C cálculo</t>
        </is>
      </c>
    </row>
    <row r="248" customFormat="false" ht="15" hidden="false" customHeight="true" outlineLevel="0" collapsed="false">
      <c r="A248" s="1" t="n">
        <v>2020</v>
      </c>
      <c r="B248" s="1" t="n">
        <v>2</v>
      </c>
      <c r="C248" s="1" t="inlineStr">
        <is>
          <t xml:space="preserve">IETMRE20211</t>
        </is>
      </c>
      <c r="D248" s="1" t="inlineStr">
        <is>
          <t xml:space="preserve">TITULADO</t>
        </is>
      </c>
      <c r="E248" s="1" t="n">
        <v>8</v>
      </c>
      <c r="F248" s="1" t="n">
        <v>56</v>
      </c>
      <c r="G248" s="1" t="n">
        <f aca="false">IF(E248=0,"",IF(D248="VIGENTE",1,0))</f>
        <v>0</v>
      </c>
      <c r="H248" s="1" t="inlineStr">
        <is>
          <t xml:space="preserve">B observado / C cálculo</t>
        </is>
      </c>
    </row>
    <row r="249" customFormat="false" ht="15" hidden="false" customHeight="true" outlineLevel="0" collapsed="false">
      <c r="A249" s="1" t="n">
        <v>2020</v>
      </c>
      <c r="B249" s="1" t="n">
        <v>2</v>
      </c>
      <c r="C249" s="1" t="inlineStr">
        <is>
          <t xml:space="preserve">IETMREOL</t>
        </is>
      </c>
      <c r="D249" s="1" t="inlineStr">
        <is>
          <t xml:space="preserve">ELIMINADO</t>
        </is>
      </c>
      <c r="E249" s="1" t="n">
        <v>1</v>
      </c>
      <c r="F249" s="1" t="n">
        <v>1</v>
      </c>
      <c r="G249" s="1" t="n">
        <f aca="false">IF(E249=0,"",IF(D249="VIGENTE",1,0))</f>
        <v>0</v>
      </c>
      <c r="H249" s="1" t="inlineStr">
        <is>
          <t xml:space="preserve">B observado / C cálculo</t>
        </is>
      </c>
    </row>
    <row r="250" customFormat="false" ht="15" hidden="false" customHeight="true" outlineLevel="0" collapsed="false">
      <c r="A250" s="1" t="n">
        <v>2020</v>
      </c>
      <c r="B250" s="1" t="n">
        <v>2</v>
      </c>
      <c r="C250" s="1" t="inlineStr">
        <is>
          <t xml:space="preserve">IETMREOL</t>
        </is>
      </c>
      <c r="D250" s="1" t="inlineStr">
        <is>
          <t xml:space="preserve">TITULADO</t>
        </is>
      </c>
      <c r="E250" s="1" t="n">
        <v>1</v>
      </c>
      <c r="F250" s="1" t="n">
        <v>1</v>
      </c>
      <c r="G250" s="1" t="n">
        <f aca="false">IF(E250=0,"",IF(D250="VIGENTE",1,0))</f>
        <v>0</v>
      </c>
      <c r="H250" s="1" t="inlineStr">
        <is>
          <t xml:space="preserve">B observado / C cálculo</t>
        </is>
      </c>
    </row>
    <row r="251" customFormat="false" ht="15" hidden="false" customHeight="true" outlineLevel="0" collapsed="false">
      <c r="A251" s="1" t="n">
        <v>2020</v>
      </c>
      <c r="B251" s="1" t="n">
        <v>2</v>
      </c>
      <c r="C251" s="1" t="inlineStr">
        <is>
          <t xml:space="preserve">IETMREOL20191</t>
        </is>
      </c>
      <c r="D251" s="1" t="inlineStr">
        <is>
          <t xml:space="preserve">ELIMINADO</t>
        </is>
      </c>
      <c r="E251" s="1" t="n">
        <v>3</v>
      </c>
      <c r="F251" s="1" t="n">
        <v>3</v>
      </c>
      <c r="G251" s="1" t="n">
        <f aca="false">IF(E251=0,"",IF(D251="VIGENTE",1,0))</f>
        <v>0</v>
      </c>
      <c r="H251" s="1" t="inlineStr">
        <is>
          <t xml:space="preserve">B observado / C cálculo</t>
        </is>
      </c>
    </row>
    <row r="252" customFormat="false" ht="15" hidden="false" customHeight="true" outlineLevel="0" collapsed="false">
      <c r="A252" s="1" t="n">
        <v>2020</v>
      </c>
      <c r="B252" s="1" t="n">
        <v>2</v>
      </c>
      <c r="C252" s="1" t="inlineStr">
        <is>
          <t xml:space="preserve">IETMREOL20191</t>
        </is>
      </c>
      <c r="D252" s="1" t="inlineStr">
        <is>
          <t xml:space="preserve">TITULADO</t>
        </is>
      </c>
      <c r="E252" s="1" t="n">
        <v>6</v>
      </c>
      <c r="F252" s="1" t="n">
        <v>6</v>
      </c>
      <c r="G252" s="1" t="n">
        <f aca="false">IF(E252=0,"",IF(D252="VIGENTE",1,0))</f>
        <v>0</v>
      </c>
      <c r="H252" s="1" t="inlineStr">
        <is>
          <t xml:space="preserve">B observado / C cálculo</t>
        </is>
      </c>
    </row>
    <row r="253" customFormat="false" ht="15" hidden="false" customHeight="true" outlineLevel="0" collapsed="false">
      <c r="A253" s="1" t="n">
        <v>2020</v>
      </c>
      <c r="B253" s="1" t="n">
        <v>2</v>
      </c>
      <c r="C253" s="1" t="inlineStr">
        <is>
          <t xml:space="preserve">IETMREOL20191</t>
        </is>
      </c>
      <c r="D253" s="1" t="inlineStr">
        <is>
          <t xml:space="preserve">VIGENTE</t>
        </is>
      </c>
      <c r="E253" s="1" t="n">
        <v>1</v>
      </c>
      <c r="F253" s="1" t="n">
        <v>1</v>
      </c>
      <c r="G253" s="1" t="n">
        <f aca="false">IF(E253=0,"",IF(D253="VIGENTE",1,0))</f>
        <v>1</v>
      </c>
      <c r="H253" s="1" t="inlineStr">
        <is>
          <t xml:space="preserve">B observado / C cálculo</t>
        </is>
      </c>
    </row>
    <row r="254" customFormat="false" ht="15" hidden="false" customHeight="true" outlineLevel="0" collapsed="false">
      <c r="A254" s="1" t="n">
        <v>2020</v>
      </c>
      <c r="B254" s="1" t="n">
        <v>2</v>
      </c>
      <c r="C254" s="1" t="inlineStr">
        <is>
          <t xml:space="preserve">IINF20241</t>
        </is>
      </c>
      <c r="D254" s="1" t="inlineStr">
        <is>
          <t xml:space="preserve">VIGENTE</t>
        </is>
      </c>
      <c r="E254" s="1" t="n">
        <v>1</v>
      </c>
      <c r="F254" s="1" t="n">
        <v>3</v>
      </c>
      <c r="G254" s="1" t="n">
        <f aca="false">IF(E254=0,"",IF(D254="VIGENTE",1,0))</f>
        <v>1</v>
      </c>
      <c r="H254" s="1" t="inlineStr">
        <is>
          <t xml:space="preserve">B observado / C cálculo</t>
        </is>
      </c>
    </row>
    <row r="255" customFormat="false" ht="15" hidden="false" customHeight="true" outlineLevel="0" collapsed="false">
      <c r="A255" s="1" t="n">
        <v>2020</v>
      </c>
      <c r="B255" s="1" t="n">
        <v>2</v>
      </c>
      <c r="C255" s="1" t="inlineStr">
        <is>
          <t xml:space="preserve">NAUTRE</t>
        </is>
      </c>
      <c r="D255" s="1" t="inlineStr">
        <is>
          <t xml:space="preserve">TITULADO</t>
        </is>
      </c>
      <c r="E255" s="1" t="n">
        <v>1</v>
      </c>
      <c r="F255" s="1" t="n">
        <v>1</v>
      </c>
      <c r="G255" s="1" t="n">
        <f aca="false">IF(E255=0,"",IF(D255="VIGENTE",1,0))</f>
        <v>0</v>
      </c>
      <c r="H255" s="1" t="inlineStr">
        <is>
          <t xml:space="preserve">B observado / C cálculo</t>
        </is>
      </c>
    </row>
    <row r="256" customFormat="false" ht="15" hidden="false" customHeight="true" outlineLevel="0" collapsed="false">
      <c r="A256" s="1" t="n">
        <v>2020</v>
      </c>
      <c r="B256" s="1" t="n">
        <v>2</v>
      </c>
      <c r="C256" s="1" t="inlineStr">
        <is>
          <t xml:space="preserve">NAUTRE2020</t>
        </is>
      </c>
      <c r="D256" s="1" t="inlineStr">
        <is>
          <t xml:space="preserve">TITULADO</t>
        </is>
      </c>
      <c r="E256" s="1" t="n">
        <v>2</v>
      </c>
      <c r="F256" s="1" t="n">
        <v>12</v>
      </c>
      <c r="G256" s="1" t="n">
        <f aca="false">IF(E256=0,"",IF(D256="VIGENTE",1,0))</f>
        <v>0</v>
      </c>
      <c r="H256" s="1" t="inlineStr">
        <is>
          <t xml:space="preserve">B observado / C cálculo</t>
        </is>
      </c>
    </row>
    <row r="257" customFormat="false" ht="15" hidden="false" customHeight="true" outlineLevel="0" collapsed="false">
      <c r="A257" s="1" t="n">
        <v>2020</v>
      </c>
      <c r="B257" s="1" t="n">
        <v>2</v>
      </c>
      <c r="C257" s="1" t="inlineStr">
        <is>
          <t xml:space="preserve">NCONRE</t>
        </is>
      </c>
      <c r="D257" s="1" t="inlineStr">
        <is>
          <t xml:space="preserve">ELIMINADO</t>
        </is>
      </c>
      <c r="E257" s="1" t="n">
        <v>5</v>
      </c>
      <c r="F257" s="1" t="n">
        <v>6</v>
      </c>
      <c r="G257" s="1" t="n">
        <f aca="false">IF(E257=0,"",IF(D257="VIGENTE",1,0))</f>
        <v>0</v>
      </c>
      <c r="H257" s="1" t="inlineStr">
        <is>
          <t xml:space="preserve">B observado / C cálculo</t>
        </is>
      </c>
    </row>
    <row r="258" customFormat="false" ht="15" hidden="false" customHeight="true" outlineLevel="0" collapsed="false">
      <c r="A258" s="1" t="n">
        <v>2020</v>
      </c>
      <c r="B258" s="1" t="n">
        <v>2</v>
      </c>
      <c r="C258" s="1" t="inlineStr">
        <is>
          <t xml:space="preserve">NCONRE</t>
        </is>
      </c>
      <c r="D258" s="1" t="inlineStr">
        <is>
          <t xml:space="preserve">TITULADO</t>
        </is>
      </c>
      <c r="E258" s="1" t="n">
        <v>40</v>
      </c>
      <c r="F258" s="1" t="n">
        <v>55</v>
      </c>
      <c r="G258" s="1" t="n">
        <f aca="false">IF(E258=0,"",IF(D258="VIGENTE",1,0))</f>
        <v>0</v>
      </c>
      <c r="H258" s="1" t="inlineStr">
        <is>
          <t xml:space="preserve">B observado / C cálculo</t>
        </is>
      </c>
    </row>
    <row r="259" customFormat="false" ht="15" hidden="false" customHeight="true" outlineLevel="0" collapsed="false">
      <c r="A259" s="1" t="n">
        <v>2020</v>
      </c>
      <c r="B259" s="1" t="n">
        <v>2</v>
      </c>
      <c r="C259" s="1" t="inlineStr">
        <is>
          <t xml:space="preserve">NCONREOL2019</t>
        </is>
      </c>
      <c r="D259" s="1" t="inlineStr">
        <is>
          <t xml:space="preserve">TITULADO</t>
        </is>
      </c>
      <c r="E259" s="1" t="n">
        <v>11</v>
      </c>
      <c r="F259" s="1" t="n">
        <v>11</v>
      </c>
      <c r="G259" s="1" t="n">
        <f aca="false">IF(E259=0,"",IF(D259="VIGENTE",1,0))</f>
        <v>0</v>
      </c>
      <c r="H259" s="1" t="inlineStr">
        <is>
          <t xml:space="preserve">B observado / C cálculo</t>
        </is>
      </c>
    </row>
    <row r="260" customFormat="false" ht="15" hidden="false" customHeight="true" outlineLevel="0" collapsed="false">
      <c r="A260" s="1" t="n">
        <v>2020</v>
      </c>
      <c r="B260" s="1" t="n">
        <v>2</v>
      </c>
      <c r="C260" s="1" t="inlineStr">
        <is>
          <t xml:space="preserve">NICCRE20191</t>
        </is>
      </c>
      <c r="D260" s="1" t="inlineStr">
        <is>
          <t xml:space="preserve">TITULADO</t>
        </is>
      </c>
      <c r="E260" s="1" t="n">
        <v>4</v>
      </c>
      <c r="F260" s="1" t="n">
        <v>14</v>
      </c>
      <c r="G260" s="1" t="n">
        <f aca="false">IF(E260=0,"",IF(D260="VIGENTE",1,0))</f>
        <v>0</v>
      </c>
      <c r="H260" s="1" t="inlineStr">
        <is>
          <t xml:space="preserve">B observado / C cálculo</t>
        </is>
      </c>
    </row>
    <row r="261" customFormat="false" ht="15" hidden="false" customHeight="true" outlineLevel="0" collapsed="false">
      <c r="A261" s="1" t="n">
        <v>2020</v>
      </c>
      <c r="B261" s="1" t="n">
        <v>2</v>
      </c>
      <c r="C261" s="1" t="inlineStr">
        <is>
          <t xml:space="preserve">NICCRE2020</t>
        </is>
      </c>
      <c r="D261" s="1" t="inlineStr">
        <is>
          <t xml:space="preserve">TITULADO</t>
        </is>
      </c>
      <c r="E261" s="1" t="n">
        <v>2</v>
      </c>
      <c r="F261" s="1" t="n">
        <v>2</v>
      </c>
      <c r="G261" s="1" t="n">
        <f aca="false">IF(E261=0,"",IF(D261="VIGENTE",1,0))</f>
        <v>0</v>
      </c>
      <c r="H261" s="1" t="inlineStr">
        <is>
          <t xml:space="preserve">B observado / C cálculo</t>
        </is>
      </c>
    </row>
    <row r="262" customFormat="false" ht="15" hidden="false" customHeight="true" outlineLevel="0" collapsed="false">
      <c r="A262" s="1" t="n">
        <v>2020</v>
      </c>
      <c r="B262" s="1" t="n">
        <v>2</v>
      </c>
      <c r="C262" s="1" t="inlineStr">
        <is>
          <t xml:space="preserve">NICCREOL2020</t>
        </is>
      </c>
      <c r="D262" s="1" t="inlineStr">
        <is>
          <t xml:space="preserve">TITULADO</t>
        </is>
      </c>
      <c r="E262" s="1" t="n">
        <v>2</v>
      </c>
      <c r="F262" s="1" t="n">
        <v>2</v>
      </c>
      <c r="G262" s="1" t="n">
        <f aca="false">IF(E262=0,"",IF(D262="VIGENTE",1,0))</f>
        <v>0</v>
      </c>
      <c r="H262" s="1" t="inlineStr">
        <is>
          <t xml:space="preserve">B observado / C cálculo</t>
        </is>
      </c>
    </row>
    <row r="263" customFormat="false" ht="15" hidden="false" customHeight="true" outlineLevel="0" collapsed="false">
      <c r="A263" s="1" t="n">
        <v>2020</v>
      </c>
      <c r="B263" s="1" t="n">
        <v>2</v>
      </c>
      <c r="C263" s="1" t="inlineStr">
        <is>
          <t xml:space="preserve">NINFRE</t>
        </is>
      </c>
      <c r="D263" s="1" t="inlineStr">
        <is>
          <t xml:space="preserve">TITULADO</t>
        </is>
      </c>
      <c r="E263" s="1" t="n">
        <v>5</v>
      </c>
      <c r="F263" s="1" t="n">
        <v>5</v>
      </c>
      <c r="G263" s="1" t="n">
        <f aca="false">IF(E263=0,"",IF(D263="VIGENTE",1,0))</f>
        <v>0</v>
      </c>
      <c r="H263" s="1" t="inlineStr">
        <is>
          <t xml:space="preserve">B observado / C cálculo</t>
        </is>
      </c>
    </row>
    <row r="264" customFormat="false" ht="15" hidden="false" customHeight="true" outlineLevel="0" collapsed="false">
      <c r="A264" s="1" t="n">
        <v>2020</v>
      </c>
      <c r="B264" s="1" t="n">
        <v>2</v>
      </c>
      <c r="C264" s="1" t="inlineStr">
        <is>
          <t xml:space="preserve">NINFREOL2019</t>
        </is>
      </c>
      <c r="D264" s="1" t="inlineStr">
        <is>
          <t xml:space="preserve">TITULADO</t>
        </is>
      </c>
      <c r="E264" s="1" t="n">
        <v>1</v>
      </c>
      <c r="F264" s="1" t="n">
        <v>1</v>
      </c>
      <c r="G264" s="1" t="n">
        <f aca="false">IF(E264=0,"",IF(D264="VIGENTE",1,0))</f>
        <v>0</v>
      </c>
      <c r="H264" s="1" t="inlineStr">
        <is>
          <t xml:space="preserve">B observado / C cálculo</t>
        </is>
      </c>
    </row>
    <row r="265" customFormat="false" ht="15" hidden="false" customHeight="true" outlineLevel="0" collapsed="false">
      <c r="A265" s="1" t="n">
        <v>2020</v>
      </c>
      <c r="B265" s="1" t="n">
        <v>2</v>
      </c>
      <c r="C265" s="1" t="inlineStr">
        <is>
          <t xml:space="preserve">NTCCRE20191</t>
        </is>
      </c>
      <c r="D265" s="1" t="inlineStr">
        <is>
          <t xml:space="preserve">ELIMINADO</t>
        </is>
      </c>
      <c r="E265" s="1" t="n">
        <v>2</v>
      </c>
      <c r="F265" s="1" t="n">
        <v>8</v>
      </c>
      <c r="G265" s="1" t="n">
        <f aca="false">IF(E265=0,"",IF(D265="VIGENTE",1,0))</f>
        <v>0</v>
      </c>
      <c r="H265" s="1" t="inlineStr">
        <is>
          <t xml:space="preserve">B observado / C cálculo</t>
        </is>
      </c>
    </row>
    <row r="266" customFormat="false" ht="15" hidden="false" customHeight="true" outlineLevel="0" collapsed="false">
      <c r="A266" s="1" t="n">
        <v>2020</v>
      </c>
      <c r="B266" s="1" t="n">
        <v>2</v>
      </c>
      <c r="C266" s="1" t="inlineStr">
        <is>
          <t xml:space="preserve">NTCCRE20191</t>
        </is>
      </c>
      <c r="D266" s="1" t="inlineStr">
        <is>
          <t xml:space="preserve">TITULADO</t>
        </is>
      </c>
      <c r="E266" s="1" t="n">
        <v>19</v>
      </c>
      <c r="F266" s="1" t="n">
        <v>76</v>
      </c>
      <c r="G266" s="1" t="n">
        <f aca="false">IF(E266=0,"",IF(D266="VIGENTE",1,0))</f>
        <v>0</v>
      </c>
      <c r="H266" s="1" t="inlineStr">
        <is>
          <t xml:space="preserve">B observado / C cálculo</t>
        </is>
      </c>
    </row>
    <row r="267" customFormat="false" ht="15" hidden="false" customHeight="true" outlineLevel="0" collapsed="false">
      <c r="A267" s="1" t="n">
        <v>2020</v>
      </c>
      <c r="B267" s="1" t="n">
        <v>2</v>
      </c>
      <c r="C267" s="1" t="inlineStr">
        <is>
          <t xml:space="preserve">NTCCRE2020</t>
        </is>
      </c>
      <c r="D267" s="1" t="inlineStr">
        <is>
          <t xml:space="preserve">ELIMINADO</t>
        </is>
      </c>
      <c r="E267" s="1" t="n">
        <v>10</v>
      </c>
      <c r="F267" s="1" t="n">
        <v>20</v>
      </c>
      <c r="G267" s="1" t="n">
        <f aca="false">IF(E267=0,"",IF(D267="VIGENTE",1,0))</f>
        <v>0</v>
      </c>
      <c r="H267" s="1" t="inlineStr">
        <is>
          <t xml:space="preserve">B observado / C cálculo</t>
        </is>
      </c>
    </row>
    <row r="268" customFormat="false" ht="15" hidden="false" customHeight="true" outlineLevel="0" collapsed="false">
      <c r="A268" s="1" t="n">
        <v>2020</v>
      </c>
      <c r="B268" s="1" t="n">
        <v>2</v>
      </c>
      <c r="C268" s="1" t="inlineStr">
        <is>
          <t xml:space="preserve">NTCCRE2020</t>
        </is>
      </c>
      <c r="D268" s="1" t="inlineStr">
        <is>
          <t xml:space="preserve">TITULADO</t>
        </is>
      </c>
      <c r="E268" s="1" t="n">
        <v>9</v>
      </c>
      <c r="F268" s="1" t="n">
        <v>18</v>
      </c>
      <c r="G268" s="1" t="n">
        <f aca="false">IF(E268=0,"",IF(D268="VIGENTE",1,0))</f>
        <v>0</v>
      </c>
      <c r="H268" s="1" t="inlineStr">
        <is>
          <t xml:space="preserve">B observado / C cálculo</t>
        </is>
      </c>
    </row>
    <row r="269" customFormat="false" ht="15" hidden="false" customHeight="true" outlineLevel="0" collapsed="false">
      <c r="A269" s="1" t="n">
        <v>2020</v>
      </c>
      <c r="B269" s="1" t="n">
        <v>2</v>
      </c>
      <c r="C269" s="1" t="inlineStr">
        <is>
          <t xml:space="preserve">TASRE20191</t>
        </is>
      </c>
      <c r="D269" s="1" t="inlineStr">
        <is>
          <t xml:space="preserve">ELIMINADO</t>
        </is>
      </c>
      <c r="E269" s="1" t="n">
        <v>6</v>
      </c>
      <c r="F269" s="1" t="n">
        <v>16</v>
      </c>
      <c r="G269" s="1" t="n">
        <f aca="false">IF(E269=0,"",IF(D269="VIGENTE",1,0))</f>
        <v>0</v>
      </c>
      <c r="H269" s="1" t="inlineStr">
        <is>
          <t xml:space="preserve">B observado / C cálculo</t>
        </is>
      </c>
    </row>
    <row r="270" customFormat="false" ht="15" hidden="false" customHeight="true" outlineLevel="0" collapsed="false">
      <c r="A270" s="1" t="n">
        <v>2020</v>
      </c>
      <c r="B270" s="1" t="n">
        <v>2</v>
      </c>
      <c r="C270" s="1" t="inlineStr">
        <is>
          <t xml:space="preserve">TASRE20191</t>
        </is>
      </c>
      <c r="D270" s="1" t="inlineStr">
        <is>
          <t xml:space="preserve">TITULADO</t>
        </is>
      </c>
      <c r="E270" s="1" t="n">
        <v>2</v>
      </c>
      <c r="F270" s="1" t="n">
        <v>5</v>
      </c>
      <c r="G270" s="1" t="n">
        <f aca="false">IF(E270=0,"",IF(D270="VIGENTE",1,0))</f>
        <v>0</v>
      </c>
      <c r="H270" s="1" t="inlineStr">
        <is>
          <t xml:space="preserve">B observado / C cálculo</t>
        </is>
      </c>
    </row>
    <row r="271" customFormat="false" ht="15" hidden="false" customHeight="true" outlineLevel="0" collapsed="false">
      <c r="A271" s="1" t="n">
        <v>2020</v>
      </c>
      <c r="B271" s="1" t="n">
        <v>2</v>
      </c>
      <c r="C271" s="1" t="inlineStr">
        <is>
          <t xml:space="preserve">TASREOL20191</t>
        </is>
      </c>
      <c r="D271" s="1" t="inlineStr">
        <is>
          <t xml:space="preserve">ELIMINADO</t>
        </is>
      </c>
      <c r="E271" s="1" t="n">
        <v>2</v>
      </c>
      <c r="F271" s="1" t="n">
        <v>2</v>
      </c>
      <c r="G271" s="1" t="n">
        <f aca="false">IF(E271=0,"",IF(D271="VIGENTE",1,0))</f>
        <v>0</v>
      </c>
      <c r="H271" s="1" t="inlineStr">
        <is>
          <t xml:space="preserve">B observado / C cálculo</t>
        </is>
      </c>
    </row>
    <row r="272" customFormat="false" ht="15" hidden="false" customHeight="true" outlineLevel="0" collapsed="false">
      <c r="A272" s="1" t="n">
        <v>2020</v>
      </c>
      <c r="B272" s="1" t="n">
        <v>2</v>
      </c>
      <c r="C272" s="1" t="inlineStr">
        <is>
          <t xml:space="preserve">TCSRE20191</t>
        </is>
      </c>
      <c r="D272" s="1" t="inlineStr">
        <is>
          <t xml:space="preserve">ELIMINADO</t>
        </is>
      </c>
      <c r="E272" s="1" t="n">
        <v>18</v>
      </c>
      <c r="F272" s="1" t="n">
        <v>20</v>
      </c>
      <c r="G272" s="1" t="n">
        <f aca="false">IF(E272=0,"",IF(D272="VIGENTE",1,0))</f>
        <v>0</v>
      </c>
      <c r="H272" s="1" t="inlineStr">
        <is>
          <t xml:space="preserve">B observado / C cálculo</t>
        </is>
      </c>
    </row>
    <row r="273" customFormat="false" ht="15" hidden="false" customHeight="true" outlineLevel="0" collapsed="false">
      <c r="A273" s="1" t="n">
        <v>2020</v>
      </c>
      <c r="B273" s="1" t="n">
        <v>2</v>
      </c>
      <c r="C273" s="1" t="inlineStr">
        <is>
          <t xml:space="preserve">TCSRE20191</t>
        </is>
      </c>
      <c r="D273" s="1" t="inlineStr">
        <is>
          <t xml:space="preserve">TITULADO</t>
        </is>
      </c>
      <c r="E273" s="1" t="n">
        <v>10</v>
      </c>
      <c r="F273" s="1" t="n">
        <v>13</v>
      </c>
      <c r="G273" s="1" t="n">
        <f aca="false">IF(E273=0,"",IF(D273="VIGENTE",1,0))</f>
        <v>0</v>
      </c>
      <c r="H273" s="1" t="inlineStr">
        <is>
          <t xml:space="preserve">B observado / C cálculo</t>
        </is>
      </c>
    </row>
    <row r="274" customFormat="false" ht="15" hidden="false" customHeight="true" outlineLevel="0" collapsed="false">
      <c r="A274" s="1" t="n">
        <v>2020</v>
      </c>
      <c r="B274" s="1" t="n">
        <v>2</v>
      </c>
      <c r="C274" s="1" t="inlineStr">
        <is>
          <t xml:space="preserve">TCSRE20191</t>
        </is>
      </c>
      <c r="D274" s="1" t="inlineStr">
        <is>
          <t xml:space="preserve">VIGENTE</t>
        </is>
      </c>
      <c r="E274" s="1" t="n">
        <v>1</v>
      </c>
      <c r="F274" s="1" t="n">
        <v>1</v>
      </c>
      <c r="G274" s="1" t="n">
        <f aca="false">IF(E274=0,"",IF(D274="VIGENTE",1,0))</f>
        <v>1</v>
      </c>
      <c r="H274" s="1" t="inlineStr">
        <is>
          <t xml:space="preserve">B observado / C cálculo</t>
        </is>
      </c>
    </row>
    <row r="275" customFormat="false" ht="15" hidden="false" customHeight="true" outlineLevel="0" collapsed="false">
      <c r="A275" s="1" t="n">
        <v>2020</v>
      </c>
      <c r="B275" s="1" t="n">
        <v>2</v>
      </c>
      <c r="C275" s="1" t="inlineStr">
        <is>
          <t xml:space="preserve">TCSREOL2020</t>
        </is>
      </c>
      <c r="D275" s="1" t="inlineStr">
        <is>
          <t xml:space="preserve">ELIMINADO</t>
        </is>
      </c>
      <c r="E275" s="1" t="n">
        <v>3</v>
      </c>
      <c r="F275" s="1" t="n">
        <v>7</v>
      </c>
      <c r="G275" s="1" t="n">
        <f aca="false">IF(E275=0,"",IF(D275="VIGENTE",1,0))</f>
        <v>0</v>
      </c>
      <c r="H275" s="1" t="inlineStr">
        <is>
          <t xml:space="preserve">B observado / C cálculo</t>
        </is>
      </c>
    </row>
    <row r="276" customFormat="false" ht="15" hidden="false" customHeight="true" outlineLevel="0" collapsed="false">
      <c r="A276" s="1" t="n">
        <v>2020</v>
      </c>
      <c r="B276" s="1" t="n">
        <v>2</v>
      </c>
      <c r="C276" s="1" t="inlineStr">
        <is>
          <t xml:space="preserve">TCSREOL2020</t>
        </is>
      </c>
      <c r="D276" s="1" t="inlineStr">
        <is>
          <t xml:space="preserve">TITULADO</t>
        </is>
      </c>
      <c r="E276" s="1" t="n">
        <v>1</v>
      </c>
      <c r="F276" s="1" t="n">
        <v>1</v>
      </c>
      <c r="G276" s="1" t="n">
        <f aca="false">IF(E276=0,"",IF(D276="VIGENTE",1,0))</f>
        <v>0</v>
      </c>
      <c r="H276" s="1" t="inlineStr">
        <is>
          <t xml:space="preserve">B observado / C cálculo</t>
        </is>
      </c>
    </row>
    <row r="277" customFormat="false" ht="15" hidden="false" customHeight="true" outlineLevel="0" collapsed="false">
      <c r="A277" s="1" t="n">
        <v>2020</v>
      </c>
      <c r="B277" s="1" t="n">
        <v>2</v>
      </c>
      <c r="C277" s="1" t="inlineStr">
        <is>
          <t xml:space="preserve">TMIRE20171</t>
        </is>
      </c>
      <c r="D277" s="1" t="inlineStr">
        <is>
          <t xml:space="preserve">ELIMINADO</t>
        </is>
      </c>
      <c r="E277" s="1" t="n">
        <v>4</v>
      </c>
      <c r="F277" s="1" t="n">
        <v>8</v>
      </c>
      <c r="G277" s="1" t="n">
        <f aca="false">IF(E277=0,"",IF(D277="VIGENTE",1,0))</f>
        <v>0</v>
      </c>
      <c r="H277" s="1" t="inlineStr">
        <is>
          <t xml:space="preserve">B observado / C cálculo</t>
        </is>
      </c>
    </row>
    <row r="278" customFormat="false" ht="15" hidden="false" customHeight="true" outlineLevel="0" collapsed="false">
      <c r="A278" s="1" t="n">
        <v>2020</v>
      </c>
      <c r="B278" s="1" t="n">
        <v>2</v>
      </c>
      <c r="C278" s="1" t="inlineStr">
        <is>
          <t xml:space="preserve">TMIRE20171</t>
        </is>
      </c>
      <c r="D278" s="1" t="inlineStr">
        <is>
          <t xml:space="preserve">TITULADO</t>
        </is>
      </c>
      <c r="E278" s="1" t="n">
        <v>5</v>
      </c>
      <c r="F278" s="1" t="n">
        <v>10</v>
      </c>
      <c r="G278" s="1" t="n">
        <f aca="false">IF(E278=0,"",IF(D278="VIGENTE",1,0))</f>
        <v>0</v>
      </c>
      <c r="H278" s="1" t="inlineStr">
        <is>
          <t xml:space="preserve">B observado / C cálculo</t>
        </is>
      </c>
    </row>
    <row r="279" customFormat="false" ht="15" hidden="false" customHeight="true" outlineLevel="0" collapsed="false">
      <c r="A279" s="1" t="n">
        <v>2020</v>
      </c>
      <c r="B279" s="1" t="n">
        <v>2</v>
      </c>
      <c r="C279" s="1" t="inlineStr">
        <is>
          <t xml:space="preserve">TMIRE2020</t>
        </is>
      </c>
      <c r="D279" s="1" t="inlineStr">
        <is>
          <t xml:space="preserve">ELIMINADO</t>
        </is>
      </c>
      <c r="E279" s="1" t="n">
        <v>2</v>
      </c>
      <c r="F279" s="1" t="n">
        <v>12</v>
      </c>
      <c r="G279" s="1" t="n">
        <f aca="false">IF(E279=0,"",IF(D279="VIGENTE",1,0))</f>
        <v>0</v>
      </c>
      <c r="H279" s="1" t="inlineStr">
        <is>
          <t xml:space="preserve">B observado / C cálculo</t>
        </is>
      </c>
    </row>
    <row r="280" customFormat="false" ht="15" hidden="false" customHeight="true" outlineLevel="0" collapsed="false">
      <c r="A280" s="1" t="n">
        <v>2020</v>
      </c>
      <c r="B280" s="1" t="n">
        <v>2</v>
      </c>
      <c r="C280" s="1" t="inlineStr">
        <is>
          <t xml:space="preserve">TMIRE2020</t>
        </is>
      </c>
      <c r="D280" s="1" t="inlineStr">
        <is>
          <t xml:space="preserve">TITULADO</t>
        </is>
      </c>
      <c r="E280" s="1" t="n">
        <v>3</v>
      </c>
      <c r="F280" s="1" t="n">
        <v>18</v>
      </c>
      <c r="G280" s="1" t="n">
        <f aca="false">IF(E280=0,"",IF(D280="VIGENTE",1,0))</f>
        <v>0</v>
      </c>
      <c r="H280" s="1" t="inlineStr">
        <is>
          <t xml:space="preserve">B observado / C cálculo</t>
        </is>
      </c>
    </row>
    <row r="281" customFormat="false" ht="15" hidden="false" customHeight="true" outlineLevel="0" collapsed="false">
      <c r="A281" s="1" t="n">
        <v>2020</v>
      </c>
      <c r="B281" s="1" t="n">
        <v>2</v>
      </c>
      <c r="C281" s="1" t="inlineStr">
        <is>
          <t xml:space="preserve">TPARE2020</t>
        </is>
      </c>
      <c r="D281" s="1" t="inlineStr">
        <is>
          <t xml:space="preserve">ELIMINADO</t>
        </is>
      </c>
      <c r="E281" s="1" t="n">
        <v>23</v>
      </c>
      <c r="F281" s="1" t="n">
        <v>44</v>
      </c>
      <c r="G281" s="1" t="n">
        <f aca="false">IF(E281=0,"",IF(D281="VIGENTE",1,0))</f>
        <v>0</v>
      </c>
      <c r="H281" s="1" t="inlineStr">
        <is>
          <t xml:space="preserve">B observado / C cálculo</t>
        </is>
      </c>
    </row>
    <row r="282" customFormat="false" ht="15" hidden="false" customHeight="true" outlineLevel="0" collapsed="false">
      <c r="A282" s="1" t="n">
        <v>2020</v>
      </c>
      <c r="B282" s="1" t="n">
        <v>2</v>
      </c>
      <c r="C282" s="1" t="inlineStr">
        <is>
          <t xml:space="preserve">TPARE2020</t>
        </is>
      </c>
      <c r="D282" s="1" t="inlineStr">
        <is>
          <t xml:space="preserve">TITULADO</t>
        </is>
      </c>
      <c r="E282" s="1" t="n">
        <v>19</v>
      </c>
      <c r="F282" s="1" t="n">
        <v>37</v>
      </c>
      <c r="G282" s="1" t="n">
        <f aca="false">IF(E282=0,"",IF(D282="VIGENTE",1,0))</f>
        <v>0</v>
      </c>
      <c r="H282" s="1" t="inlineStr">
        <is>
          <t xml:space="preserve">B observado / C cálculo</t>
        </is>
      </c>
    </row>
    <row r="283" customFormat="false" ht="15" hidden="false" customHeight="true" outlineLevel="0" collapsed="false">
      <c r="A283" s="1" t="n">
        <v>2020</v>
      </c>
      <c r="B283" s="1" t="n">
        <v>2</v>
      </c>
      <c r="C283" s="1" t="inlineStr">
        <is>
          <t xml:space="preserve">TPAREOL2020</t>
        </is>
      </c>
      <c r="D283" s="1" t="inlineStr">
        <is>
          <t xml:space="preserve">ELIMINADO</t>
        </is>
      </c>
      <c r="E283" s="1" t="n">
        <v>8</v>
      </c>
      <c r="F283" s="1" t="n">
        <v>8</v>
      </c>
      <c r="G283" s="1" t="n">
        <f aca="false">IF(E283=0,"",IF(D283="VIGENTE",1,0))</f>
        <v>0</v>
      </c>
      <c r="H283" s="1" t="inlineStr">
        <is>
          <t xml:space="preserve">B observado / C cálculo</t>
        </is>
      </c>
    </row>
    <row r="284" customFormat="false" ht="15" hidden="false" customHeight="true" outlineLevel="0" collapsed="false">
      <c r="A284" s="1" t="n">
        <v>2020</v>
      </c>
      <c r="B284" s="1" t="n">
        <v>2</v>
      </c>
      <c r="C284" s="1" t="inlineStr">
        <is>
          <t xml:space="preserve">TPAREOL2020</t>
        </is>
      </c>
      <c r="D284" s="1" t="inlineStr">
        <is>
          <t xml:space="preserve">TITULADO</t>
        </is>
      </c>
      <c r="E284" s="1" t="n">
        <v>18</v>
      </c>
      <c r="F284" s="1" t="n">
        <v>18</v>
      </c>
      <c r="G284" s="1" t="n">
        <f aca="false">IF(E284=0,"",IF(D284="VIGENTE",1,0))</f>
        <v>0</v>
      </c>
      <c r="H284" s="1" t="inlineStr">
        <is>
          <t xml:space="preserve">B observado / C cálculo</t>
        </is>
      </c>
    </row>
    <row r="285" customFormat="false" ht="15" hidden="false" customHeight="true" outlineLevel="0" collapsed="false">
      <c r="A285" s="1" t="n">
        <v>2020</v>
      </c>
      <c r="B285" s="1" t="n">
        <v>2</v>
      </c>
      <c r="C285" s="1" t="inlineStr">
        <is>
          <t xml:space="preserve">TPAREOL2020</t>
        </is>
      </c>
      <c r="D285" s="1" t="inlineStr">
        <is>
          <t xml:space="preserve">VIGENTE</t>
        </is>
      </c>
      <c r="E285" s="1" t="n">
        <v>1</v>
      </c>
      <c r="F285" s="1" t="n">
        <v>1</v>
      </c>
      <c r="G285" s="1" t="n">
        <f aca="false">IF(E285=0,"",IF(D285="VIGENTE",1,0))</f>
        <v>1</v>
      </c>
      <c r="H285" s="1" t="inlineStr">
        <is>
          <t xml:space="preserve">B observado / C cálculo</t>
        </is>
      </c>
    </row>
    <row r="286" customFormat="false" ht="15" hidden="false" customHeight="true" outlineLevel="0" collapsed="false">
      <c r="A286" s="1" t="n">
        <v>2020</v>
      </c>
      <c r="B286" s="1" t="n">
        <v>2</v>
      </c>
      <c r="C286" s="1" t="inlineStr">
        <is>
          <t xml:space="preserve">TPCRE20191</t>
        </is>
      </c>
      <c r="D286" s="1" t="inlineStr">
        <is>
          <t xml:space="preserve">ELIMINADO</t>
        </is>
      </c>
      <c r="E286" s="1" t="n">
        <v>11</v>
      </c>
      <c r="F286" s="1" t="n">
        <v>17</v>
      </c>
      <c r="G286" s="1" t="n">
        <f aca="false">IF(E286=0,"",IF(D286="VIGENTE",1,0))</f>
        <v>0</v>
      </c>
      <c r="H286" s="1" t="inlineStr">
        <is>
          <t xml:space="preserve">B observado / C cálculo</t>
        </is>
      </c>
    </row>
    <row r="287" customFormat="false" ht="15" hidden="false" customHeight="true" outlineLevel="0" collapsed="false">
      <c r="A287" s="1" t="n">
        <v>2020</v>
      </c>
      <c r="B287" s="1" t="n">
        <v>2</v>
      </c>
      <c r="C287" s="1" t="inlineStr">
        <is>
          <t xml:space="preserve">TPCRE20191</t>
        </is>
      </c>
      <c r="D287" s="1" t="inlineStr">
        <is>
          <t xml:space="preserve">TITULADO</t>
        </is>
      </c>
      <c r="E287" s="1" t="n">
        <v>11</v>
      </c>
      <c r="F287" s="1" t="n">
        <v>12</v>
      </c>
      <c r="G287" s="1" t="n">
        <f aca="false">IF(E287=0,"",IF(D287="VIGENTE",1,0))</f>
        <v>0</v>
      </c>
      <c r="H287" s="1" t="inlineStr">
        <is>
          <t xml:space="preserve">B observado / C cálculo</t>
        </is>
      </c>
    </row>
    <row r="288" customFormat="false" ht="15" hidden="false" customHeight="true" outlineLevel="0" collapsed="false">
      <c r="A288" s="1" t="n">
        <v>2020</v>
      </c>
      <c r="B288" s="1" t="n">
        <v>2</v>
      </c>
      <c r="C288" s="1" t="inlineStr">
        <is>
          <t xml:space="preserve">TPCREOL20191</t>
        </is>
      </c>
      <c r="D288" s="1" t="inlineStr">
        <is>
          <t xml:space="preserve">ELIMINADO</t>
        </is>
      </c>
      <c r="E288" s="1" t="n">
        <v>6</v>
      </c>
      <c r="F288" s="1" t="n">
        <v>6</v>
      </c>
      <c r="G288" s="1" t="n">
        <f aca="false">IF(E288=0,"",IF(D288="VIGENTE",1,0))</f>
        <v>0</v>
      </c>
      <c r="H288" s="1" t="inlineStr">
        <is>
          <t xml:space="preserve">B observado / C cálculo</t>
        </is>
      </c>
    </row>
    <row r="289" customFormat="false" ht="15" hidden="false" customHeight="true" outlineLevel="0" collapsed="false">
      <c r="A289" s="1" t="n">
        <v>2020</v>
      </c>
      <c r="B289" s="1" t="n">
        <v>2</v>
      </c>
      <c r="C289" s="1" t="inlineStr">
        <is>
          <t xml:space="preserve">TPCREOL20191</t>
        </is>
      </c>
      <c r="D289" s="1" t="inlineStr">
        <is>
          <t xml:space="preserve">TITULADO</t>
        </is>
      </c>
      <c r="E289" s="1" t="n">
        <v>1</v>
      </c>
      <c r="F289" s="1" t="n">
        <v>1</v>
      </c>
      <c r="G289" s="1" t="n">
        <f aca="false">IF(E289=0,"",IF(D289="VIGENTE",1,0))</f>
        <v>0</v>
      </c>
      <c r="H289" s="1" t="inlineStr">
        <is>
          <t xml:space="preserve">B observado / C cálculo</t>
        </is>
      </c>
    </row>
    <row r="290" customFormat="false" ht="15" hidden="false" customHeight="true" outlineLevel="0" collapsed="false">
      <c r="A290" s="1" t="n">
        <v>2020</v>
      </c>
      <c r="B290" s="1" t="n">
        <v>2</v>
      </c>
      <c r="C290" s="1" t="inlineStr">
        <is>
          <t xml:space="preserve">TTMRE20191</t>
        </is>
      </c>
      <c r="D290" s="1" t="inlineStr">
        <is>
          <t xml:space="preserve">ELIMINADO</t>
        </is>
      </c>
      <c r="E290" s="1" t="n">
        <v>15</v>
      </c>
      <c r="F290" s="1" t="n">
        <v>16</v>
      </c>
      <c r="G290" s="1" t="n">
        <f aca="false">IF(E290=0,"",IF(D290="VIGENTE",1,0))</f>
        <v>0</v>
      </c>
      <c r="H290" s="1" t="inlineStr">
        <is>
          <t xml:space="preserve">B observado / C cálculo</t>
        </is>
      </c>
    </row>
    <row r="291" customFormat="false" ht="15" hidden="false" customHeight="true" outlineLevel="0" collapsed="false">
      <c r="A291" s="1" t="n">
        <v>2020</v>
      </c>
      <c r="B291" s="1" t="n">
        <v>2</v>
      </c>
      <c r="C291" s="1" t="inlineStr">
        <is>
          <t xml:space="preserve">TTMRE20191</t>
        </is>
      </c>
      <c r="D291" s="1" t="inlineStr">
        <is>
          <t xml:space="preserve">TITULADO</t>
        </is>
      </c>
      <c r="E291" s="1" t="n">
        <v>35</v>
      </c>
      <c r="F291" s="1" t="n">
        <v>50</v>
      </c>
      <c r="G291" s="1" t="n">
        <f aca="false">IF(E291=0,"",IF(D291="VIGENTE",1,0))</f>
        <v>0</v>
      </c>
      <c r="H291" s="1" t="inlineStr">
        <is>
          <t xml:space="preserve">B observado / C cálculo</t>
        </is>
      </c>
    </row>
    <row r="292" customFormat="false" ht="15" hidden="false" customHeight="true" outlineLevel="0" collapsed="false">
      <c r="A292" s="1" t="n">
        <v>2020</v>
      </c>
      <c r="B292" s="1" t="n">
        <v>2</v>
      </c>
      <c r="C292" s="1" t="inlineStr">
        <is>
          <t xml:space="preserve">TTMRE20211</t>
        </is>
      </c>
      <c r="D292" s="1" t="inlineStr">
        <is>
          <t xml:space="preserve">TITULADO</t>
        </is>
      </c>
      <c r="E292" s="1" t="n">
        <v>3</v>
      </c>
      <c r="F292" s="1" t="n">
        <v>22</v>
      </c>
      <c r="G292" s="1" t="n">
        <f aca="false">IF(E292=0,"",IF(D292="VIGENTE",1,0))</f>
        <v>0</v>
      </c>
      <c r="H292" s="1" t="inlineStr">
        <is>
          <t xml:space="preserve">B observado / C cálculo</t>
        </is>
      </c>
    </row>
    <row r="293" customFormat="false" ht="15" hidden="false" customHeight="true" outlineLevel="0" collapsed="false">
      <c r="A293" s="1" t="n">
        <v>2020</v>
      </c>
      <c r="B293" s="1" t="n">
        <v>2</v>
      </c>
      <c r="C293" s="1" t="inlineStr">
        <is>
          <t xml:space="preserve">TTMREOL20191</t>
        </is>
      </c>
      <c r="D293" s="1" t="inlineStr">
        <is>
          <t xml:space="preserve">ELIMINADO</t>
        </is>
      </c>
      <c r="E293" s="1" t="n">
        <v>6</v>
      </c>
      <c r="F293" s="1" t="n">
        <v>6</v>
      </c>
      <c r="G293" s="1" t="n">
        <f aca="false">IF(E293=0,"",IF(D293="VIGENTE",1,0))</f>
        <v>0</v>
      </c>
      <c r="H293" s="1" t="inlineStr">
        <is>
          <t xml:space="preserve">B observado / C cálculo</t>
        </is>
      </c>
    </row>
    <row r="294" customFormat="false" ht="15" hidden="false" customHeight="true" outlineLevel="0" collapsed="false">
      <c r="A294" s="1" t="n">
        <v>2020</v>
      </c>
      <c r="B294" s="1" t="n">
        <v>2</v>
      </c>
      <c r="C294" s="1" t="inlineStr">
        <is>
          <t xml:space="preserve">TTMREOL20191</t>
        </is>
      </c>
      <c r="D294" s="1" t="inlineStr">
        <is>
          <t xml:space="preserve">TITULADO</t>
        </is>
      </c>
      <c r="E294" s="1" t="n">
        <v>5</v>
      </c>
      <c r="F294" s="1" t="n">
        <v>6</v>
      </c>
      <c r="G294" s="1" t="n">
        <f aca="false">IF(E294=0,"",IF(D294="VIGENTE",1,0))</f>
        <v>0</v>
      </c>
      <c r="H294" s="1" t="inlineStr">
        <is>
          <t xml:space="preserve">B observado / C cálculo</t>
        </is>
      </c>
    </row>
    <row r="295" customFormat="false" ht="15" hidden="false" customHeight="true" outlineLevel="0" collapsed="false">
      <c r="A295" s="1" t="n">
        <v>2020</v>
      </c>
      <c r="B295" s="1" t="n">
        <v>3</v>
      </c>
      <c r="C295" s="1" t="inlineStr">
        <is>
          <t xml:space="preserve">IECIREOL</t>
        </is>
      </c>
      <c r="D295" s="1" t="inlineStr">
        <is>
          <t xml:space="preserve">ELIMINADO</t>
        </is>
      </c>
      <c r="E295" s="1" t="n">
        <v>3</v>
      </c>
      <c r="F295" s="1" t="n">
        <v>5</v>
      </c>
      <c r="G295" s="1" t="n">
        <f aca="false">IF(E295=0,"",IF(D295="VIGENTE",1,0))</f>
        <v>0</v>
      </c>
      <c r="H295" s="1" t="inlineStr">
        <is>
          <t xml:space="preserve">B observado / C cálculo</t>
        </is>
      </c>
    </row>
    <row r="296" customFormat="false" ht="15" hidden="false" customHeight="true" outlineLevel="0" collapsed="false">
      <c r="A296" s="1" t="n">
        <v>2020</v>
      </c>
      <c r="B296" s="1" t="n">
        <v>3</v>
      </c>
      <c r="C296" s="1" t="inlineStr">
        <is>
          <t xml:space="preserve">IECIREOL</t>
        </is>
      </c>
      <c r="D296" s="1" t="inlineStr">
        <is>
          <t xml:space="preserve">TITULADO</t>
        </is>
      </c>
      <c r="E296" s="1" t="n">
        <v>13</v>
      </c>
      <c r="F296" s="1" t="n">
        <v>15</v>
      </c>
      <c r="G296" s="1" t="n">
        <f aca="false">IF(E296=0,"",IF(D296="VIGENTE",1,0))</f>
        <v>0</v>
      </c>
      <c r="H296" s="1" t="inlineStr">
        <is>
          <t xml:space="preserve">B observado / C cálculo</t>
        </is>
      </c>
    </row>
    <row r="297" customFormat="false" ht="15" hidden="false" customHeight="true" outlineLevel="0" collapsed="false">
      <c r="A297" s="1" t="n">
        <v>2020</v>
      </c>
      <c r="B297" s="1" t="n">
        <v>3</v>
      </c>
      <c r="C297" s="1" t="inlineStr">
        <is>
          <t xml:space="preserve">IECIREOL20191</t>
        </is>
      </c>
      <c r="D297" s="1" t="inlineStr">
        <is>
          <t xml:space="preserve">ELIMINADO</t>
        </is>
      </c>
      <c r="E297" s="1" t="n">
        <v>5</v>
      </c>
      <c r="F297" s="1" t="n">
        <v>5</v>
      </c>
      <c r="G297" s="1" t="n">
        <f aca="false">IF(E297=0,"",IF(D297="VIGENTE",1,0))</f>
        <v>0</v>
      </c>
      <c r="H297" s="1" t="inlineStr">
        <is>
          <t xml:space="preserve">B observado / C cálculo</t>
        </is>
      </c>
    </row>
    <row r="298" customFormat="false" ht="15" hidden="false" customHeight="true" outlineLevel="0" collapsed="false">
      <c r="A298" s="1" t="n">
        <v>2020</v>
      </c>
      <c r="B298" s="1" t="n">
        <v>3</v>
      </c>
      <c r="C298" s="1" t="inlineStr">
        <is>
          <t xml:space="preserve">IECIREOL20191</t>
        </is>
      </c>
      <c r="D298" s="1" t="inlineStr">
        <is>
          <t xml:space="preserve">TITULADO</t>
        </is>
      </c>
      <c r="E298" s="1" t="n">
        <v>10</v>
      </c>
      <c r="F298" s="1" t="n">
        <v>10</v>
      </c>
      <c r="G298" s="1" t="n">
        <f aca="false">IF(E298=0,"",IF(D298="VIGENTE",1,0))</f>
        <v>0</v>
      </c>
      <c r="H298" s="1" t="inlineStr">
        <is>
          <t xml:space="preserve">B observado / C cálculo</t>
        </is>
      </c>
    </row>
    <row r="299" customFormat="false" ht="15" hidden="false" customHeight="true" outlineLevel="0" collapsed="false">
      <c r="A299" s="1" t="n">
        <v>2020</v>
      </c>
      <c r="B299" s="1" t="n">
        <v>3</v>
      </c>
      <c r="C299" s="1" t="inlineStr">
        <is>
          <t xml:space="preserve">IECIREOL20201</t>
        </is>
      </c>
      <c r="D299" s="1" t="inlineStr">
        <is>
          <t xml:space="preserve">ELIMINADO</t>
        </is>
      </c>
      <c r="E299" s="1" t="n">
        <v>6</v>
      </c>
      <c r="F299" s="1" t="n">
        <v>8</v>
      </c>
      <c r="G299" s="1" t="n">
        <f aca="false">IF(E299=0,"",IF(D299="VIGENTE",1,0))</f>
        <v>0</v>
      </c>
      <c r="H299" s="1" t="inlineStr">
        <is>
          <t xml:space="preserve">B observado / C cálculo</t>
        </is>
      </c>
    </row>
    <row r="300" customFormat="false" ht="15" hidden="false" customHeight="true" outlineLevel="0" collapsed="false">
      <c r="A300" s="1" t="n">
        <v>2020</v>
      </c>
      <c r="B300" s="1" t="n">
        <v>3</v>
      </c>
      <c r="C300" s="1" t="inlineStr">
        <is>
          <t xml:space="preserve">IECIREOL20201</t>
        </is>
      </c>
      <c r="D300" s="1" t="inlineStr">
        <is>
          <t xml:space="preserve">TITULADO</t>
        </is>
      </c>
      <c r="E300" s="1" t="n">
        <v>8</v>
      </c>
      <c r="F300" s="1" t="n">
        <v>8</v>
      </c>
      <c r="G300" s="1" t="n">
        <f aca="false">IF(E300=0,"",IF(D300="VIGENTE",1,0))</f>
        <v>0</v>
      </c>
      <c r="H300" s="1" t="inlineStr">
        <is>
          <t xml:space="preserve">B observado / C cálculo</t>
        </is>
      </c>
    </row>
    <row r="301" customFormat="false" ht="15" hidden="false" customHeight="true" outlineLevel="0" collapsed="false">
      <c r="A301" s="1" t="n">
        <v>2020</v>
      </c>
      <c r="B301" s="1" t="n">
        <v>3</v>
      </c>
      <c r="C301" s="1" t="inlineStr">
        <is>
          <t xml:space="preserve">IETMREOL</t>
        </is>
      </c>
      <c r="D301" s="1" t="inlineStr">
        <is>
          <t xml:space="preserve">ELIMINADO</t>
        </is>
      </c>
      <c r="E301" s="1" t="n">
        <v>1</v>
      </c>
      <c r="F301" s="1" t="n">
        <v>1</v>
      </c>
      <c r="G301" s="1" t="n">
        <f aca="false">IF(E301=0,"",IF(D301="VIGENTE",1,0))</f>
        <v>0</v>
      </c>
      <c r="H301" s="1" t="inlineStr">
        <is>
          <t xml:space="preserve">B observado / C cálculo</t>
        </is>
      </c>
    </row>
    <row r="302" customFormat="false" ht="15" hidden="false" customHeight="true" outlineLevel="0" collapsed="false">
      <c r="A302" s="1" t="n">
        <v>2020</v>
      </c>
      <c r="B302" s="1" t="n">
        <v>3</v>
      </c>
      <c r="C302" s="1" t="inlineStr">
        <is>
          <t xml:space="preserve">IETMREOL</t>
        </is>
      </c>
      <c r="D302" s="1" t="inlineStr">
        <is>
          <t xml:space="preserve">TITULADO</t>
        </is>
      </c>
      <c r="E302" s="1" t="n">
        <v>12</v>
      </c>
      <c r="F302" s="1" t="n">
        <v>16</v>
      </c>
      <c r="G302" s="1" t="n">
        <f aca="false">IF(E302=0,"",IF(D302="VIGENTE",1,0))</f>
        <v>0</v>
      </c>
      <c r="H302" s="1" t="inlineStr">
        <is>
          <t xml:space="preserve">B observado / C cálculo</t>
        </is>
      </c>
    </row>
    <row r="303" customFormat="false" ht="15" hidden="false" customHeight="true" outlineLevel="0" collapsed="false">
      <c r="A303" s="1" t="n">
        <v>2020</v>
      </c>
      <c r="B303" s="1" t="n">
        <v>3</v>
      </c>
      <c r="C303" s="1" t="inlineStr">
        <is>
          <t xml:space="preserve">IETMREOL20191</t>
        </is>
      </c>
      <c r="D303" s="1" t="inlineStr">
        <is>
          <t xml:space="preserve">ELIMINADO</t>
        </is>
      </c>
      <c r="E303" s="1" t="n">
        <v>6</v>
      </c>
      <c r="F303" s="1" t="n">
        <v>7</v>
      </c>
      <c r="G303" s="1" t="n">
        <f aca="false">IF(E303=0,"",IF(D303="VIGENTE",1,0))</f>
        <v>0</v>
      </c>
      <c r="H303" s="1" t="inlineStr">
        <is>
          <t xml:space="preserve">B observado / C cálculo</t>
        </is>
      </c>
    </row>
    <row r="304" customFormat="false" ht="15" hidden="false" customHeight="true" outlineLevel="0" collapsed="false">
      <c r="A304" s="1" t="n">
        <v>2020</v>
      </c>
      <c r="B304" s="1" t="n">
        <v>3</v>
      </c>
      <c r="C304" s="1" t="inlineStr">
        <is>
          <t xml:space="preserve">IETMREOL20191</t>
        </is>
      </c>
      <c r="D304" s="1" t="inlineStr">
        <is>
          <t xml:space="preserve">TITULADO</t>
        </is>
      </c>
      <c r="E304" s="1" t="n">
        <v>10</v>
      </c>
      <c r="F304" s="1" t="n">
        <v>10</v>
      </c>
      <c r="G304" s="1" t="n">
        <f aca="false">IF(E304=0,"",IF(D304="VIGENTE",1,0))</f>
        <v>0</v>
      </c>
      <c r="H304" s="1" t="inlineStr">
        <is>
          <t xml:space="preserve">B observado / C cálculo</t>
        </is>
      </c>
    </row>
    <row r="305" customFormat="false" ht="15" hidden="false" customHeight="true" outlineLevel="0" collapsed="false">
      <c r="A305" s="1" t="n">
        <v>2020</v>
      </c>
      <c r="B305" s="1" t="n">
        <v>3</v>
      </c>
      <c r="C305" s="1" t="inlineStr">
        <is>
          <t xml:space="preserve">IETMREOL20191</t>
        </is>
      </c>
      <c r="D305" s="1" t="inlineStr">
        <is>
          <t xml:space="preserve">VIGENTE</t>
        </is>
      </c>
      <c r="E305" s="1" t="n">
        <v>1</v>
      </c>
      <c r="F305" s="1" t="n">
        <v>1</v>
      </c>
      <c r="G305" s="1" t="n">
        <f aca="false">IF(E305=0,"",IF(D305="VIGENTE",1,0))</f>
        <v>1</v>
      </c>
      <c r="H305" s="1" t="inlineStr">
        <is>
          <t xml:space="preserve">B observado / C cálculo</t>
        </is>
      </c>
    </row>
    <row r="306" customFormat="false" ht="15" hidden="false" customHeight="true" outlineLevel="0" collapsed="false">
      <c r="A306" s="1" t="n">
        <v>2020</v>
      </c>
      <c r="B306" s="1" t="n">
        <v>3</v>
      </c>
      <c r="C306" s="1" t="inlineStr">
        <is>
          <t xml:space="preserve">NCONREOL2019</t>
        </is>
      </c>
      <c r="D306" s="1" t="inlineStr">
        <is>
          <t xml:space="preserve">TITULADO</t>
        </is>
      </c>
      <c r="E306" s="1" t="n">
        <v>32</v>
      </c>
      <c r="F306" s="1" t="n">
        <v>32</v>
      </c>
      <c r="G306" s="1" t="n">
        <f aca="false">IF(E306=0,"",IF(D306="VIGENTE",1,0))</f>
        <v>0</v>
      </c>
      <c r="H306" s="1" t="inlineStr">
        <is>
          <t xml:space="preserve">B observado / C cálculo</t>
        </is>
      </c>
    </row>
    <row r="307" customFormat="false" ht="15" hidden="false" customHeight="true" outlineLevel="0" collapsed="false">
      <c r="A307" s="1" t="n">
        <v>2020</v>
      </c>
      <c r="B307" s="1" t="n">
        <v>3</v>
      </c>
      <c r="C307" s="1" t="inlineStr">
        <is>
          <t xml:space="preserve">NICCRE20191</t>
        </is>
      </c>
      <c r="D307" s="1" t="inlineStr">
        <is>
          <t xml:space="preserve">TITULADO</t>
        </is>
      </c>
      <c r="E307" s="1" t="n">
        <v>1</v>
      </c>
      <c r="F307" s="1" t="n">
        <v>1</v>
      </c>
      <c r="G307" s="1" t="n">
        <f aca="false">IF(E307=0,"",IF(D307="VIGENTE",1,0))</f>
        <v>0</v>
      </c>
      <c r="H307" s="1" t="inlineStr">
        <is>
          <t xml:space="preserve">B observado / C cálculo</t>
        </is>
      </c>
    </row>
    <row r="308" customFormat="false" ht="15" hidden="false" customHeight="true" outlineLevel="0" collapsed="false">
      <c r="A308" s="1" t="n">
        <v>2020</v>
      </c>
      <c r="B308" s="1" t="n">
        <v>3</v>
      </c>
      <c r="C308" s="1" t="inlineStr">
        <is>
          <t xml:space="preserve">NICCREOL2020</t>
        </is>
      </c>
      <c r="D308" s="1" t="inlineStr">
        <is>
          <t xml:space="preserve">ELIMINADO</t>
        </is>
      </c>
      <c r="E308" s="1" t="n">
        <v>1</v>
      </c>
      <c r="F308" s="1" t="n">
        <v>1</v>
      </c>
      <c r="G308" s="1" t="n">
        <f aca="false">IF(E308=0,"",IF(D308="VIGENTE",1,0))</f>
        <v>0</v>
      </c>
      <c r="H308" s="1" t="inlineStr">
        <is>
          <t xml:space="preserve">B observado / C cálculo</t>
        </is>
      </c>
    </row>
    <row r="309" customFormat="false" ht="15" hidden="false" customHeight="true" outlineLevel="0" collapsed="false">
      <c r="A309" s="1" t="n">
        <v>2020</v>
      </c>
      <c r="B309" s="1" t="n">
        <v>3</v>
      </c>
      <c r="C309" s="1" t="inlineStr">
        <is>
          <t xml:space="preserve">NICCREOL2020</t>
        </is>
      </c>
      <c r="D309" s="1" t="inlineStr">
        <is>
          <t xml:space="preserve">TITULADO</t>
        </is>
      </c>
      <c r="E309" s="1" t="n">
        <v>7</v>
      </c>
      <c r="F309" s="1" t="n">
        <v>7</v>
      </c>
      <c r="G309" s="1" t="n">
        <f aca="false">IF(E309=0,"",IF(D309="VIGENTE",1,0))</f>
        <v>0</v>
      </c>
      <c r="H309" s="1" t="inlineStr">
        <is>
          <t xml:space="preserve">B observado / C cálculo</t>
        </is>
      </c>
    </row>
    <row r="310" customFormat="false" ht="15" hidden="false" customHeight="true" outlineLevel="0" collapsed="false">
      <c r="A310" s="1" t="n">
        <v>2020</v>
      </c>
      <c r="B310" s="1" t="n">
        <v>3</v>
      </c>
      <c r="C310" s="1" t="inlineStr">
        <is>
          <t xml:space="preserve">NINFREOL2019</t>
        </is>
      </c>
      <c r="D310" s="1" t="inlineStr">
        <is>
          <t xml:space="preserve">TITULADO</t>
        </is>
      </c>
      <c r="E310" s="1" t="n">
        <v>8</v>
      </c>
      <c r="F310" s="1" t="n">
        <v>8</v>
      </c>
      <c r="G310" s="1" t="n">
        <f aca="false">IF(E310=0,"",IF(D310="VIGENTE",1,0))</f>
        <v>0</v>
      </c>
      <c r="H310" s="1" t="inlineStr">
        <is>
          <t xml:space="preserve">B observado / C cálculo</t>
        </is>
      </c>
    </row>
    <row r="311" customFormat="false" ht="15" hidden="false" customHeight="true" outlineLevel="0" collapsed="false">
      <c r="A311" s="1" t="n">
        <v>2020</v>
      </c>
      <c r="B311" s="1" t="n">
        <v>3</v>
      </c>
      <c r="C311" s="1" t="inlineStr">
        <is>
          <t xml:space="preserve">NTCCREOL2020</t>
        </is>
      </c>
      <c r="D311" s="1" t="inlineStr">
        <is>
          <t xml:space="preserve">TITULADO</t>
        </is>
      </c>
      <c r="E311" s="1" t="n">
        <v>10</v>
      </c>
      <c r="F311" s="1" t="n">
        <v>10</v>
      </c>
      <c r="G311" s="1" t="n">
        <f aca="false">IF(E311=0,"",IF(D311="VIGENTE",1,0))</f>
        <v>0</v>
      </c>
      <c r="H311" s="1" t="inlineStr">
        <is>
          <t xml:space="preserve">B observado / C cálculo</t>
        </is>
      </c>
    </row>
    <row r="312" customFormat="false" ht="15" hidden="false" customHeight="true" outlineLevel="0" collapsed="false">
      <c r="A312" s="1" t="n">
        <v>2020</v>
      </c>
      <c r="B312" s="1" t="n">
        <v>3</v>
      </c>
      <c r="C312" s="1" t="inlineStr">
        <is>
          <t xml:space="preserve">TASREOL20191</t>
        </is>
      </c>
      <c r="D312" s="1" t="inlineStr">
        <is>
          <t xml:space="preserve">ELIMINADO</t>
        </is>
      </c>
      <c r="E312" s="1" t="n">
        <v>7</v>
      </c>
      <c r="F312" s="1" t="n">
        <v>7</v>
      </c>
      <c r="G312" s="1" t="n">
        <f aca="false">IF(E312=0,"",IF(D312="VIGENTE",1,0))</f>
        <v>0</v>
      </c>
      <c r="H312" s="1" t="inlineStr">
        <is>
          <t xml:space="preserve">B observado / C cálculo</t>
        </is>
      </c>
    </row>
    <row r="313" customFormat="false" ht="15" hidden="false" customHeight="true" outlineLevel="0" collapsed="false">
      <c r="A313" s="1" t="n">
        <v>2020</v>
      </c>
      <c r="B313" s="1" t="n">
        <v>3</v>
      </c>
      <c r="C313" s="1" t="inlineStr">
        <is>
          <t xml:space="preserve">TASREOL20191</t>
        </is>
      </c>
      <c r="D313" s="1" t="inlineStr">
        <is>
          <t xml:space="preserve">TITULADO</t>
        </is>
      </c>
      <c r="E313" s="1" t="n">
        <v>3</v>
      </c>
      <c r="F313" s="1" t="n">
        <v>3</v>
      </c>
      <c r="G313" s="1" t="n">
        <f aca="false">IF(E313=0,"",IF(D313="VIGENTE",1,0))</f>
        <v>0</v>
      </c>
      <c r="H313" s="1" t="inlineStr">
        <is>
          <t xml:space="preserve">B observado / C cálculo</t>
        </is>
      </c>
    </row>
    <row r="314" customFormat="false" ht="15" hidden="false" customHeight="true" outlineLevel="0" collapsed="false">
      <c r="A314" s="1" t="n">
        <v>2020</v>
      </c>
      <c r="B314" s="1" t="n">
        <v>3</v>
      </c>
      <c r="C314" s="1" t="inlineStr">
        <is>
          <t xml:space="preserve">TCSREOL2020</t>
        </is>
      </c>
      <c r="D314" s="1" t="inlineStr">
        <is>
          <t xml:space="preserve">ELIMINADO</t>
        </is>
      </c>
      <c r="E314" s="1" t="n">
        <v>8</v>
      </c>
      <c r="F314" s="1" t="n">
        <v>9</v>
      </c>
      <c r="G314" s="1" t="n">
        <f aca="false">IF(E314=0,"",IF(D314="VIGENTE",1,0))</f>
        <v>0</v>
      </c>
      <c r="H314" s="1" t="inlineStr">
        <is>
          <t xml:space="preserve">B observado / C cálculo</t>
        </is>
      </c>
    </row>
    <row r="315" customFormat="false" ht="15" hidden="false" customHeight="true" outlineLevel="0" collapsed="false">
      <c r="A315" s="1" t="n">
        <v>2020</v>
      </c>
      <c r="B315" s="1" t="n">
        <v>3</v>
      </c>
      <c r="C315" s="1" t="inlineStr">
        <is>
          <t xml:space="preserve">TCSREOL2020</t>
        </is>
      </c>
      <c r="D315" s="1" t="inlineStr">
        <is>
          <t xml:space="preserve">TITULADO</t>
        </is>
      </c>
      <c r="E315" s="1" t="n">
        <v>13</v>
      </c>
      <c r="F315" s="1" t="n">
        <v>13</v>
      </c>
      <c r="G315" s="1" t="n">
        <f aca="false">IF(E315=0,"",IF(D315="VIGENTE",1,0))</f>
        <v>0</v>
      </c>
      <c r="H315" s="1" t="inlineStr">
        <is>
          <t xml:space="preserve">B observado / C cálculo</t>
        </is>
      </c>
    </row>
    <row r="316" customFormat="false" ht="15" hidden="false" customHeight="true" outlineLevel="0" collapsed="false">
      <c r="A316" s="1" t="n">
        <v>2020</v>
      </c>
      <c r="B316" s="1" t="n">
        <v>3</v>
      </c>
      <c r="C316" s="1" t="inlineStr">
        <is>
          <t xml:space="preserve">TCSREOL2020</t>
        </is>
      </c>
      <c r="D316" s="1" t="inlineStr">
        <is>
          <t xml:space="preserve">VIGENTE</t>
        </is>
      </c>
      <c r="E316" s="1" t="n">
        <v>1</v>
      </c>
      <c r="F316" s="1" t="n">
        <v>1</v>
      </c>
      <c r="G316" s="1" t="n">
        <f aca="false">IF(E316=0,"",IF(D316="VIGENTE",1,0))</f>
        <v>1</v>
      </c>
      <c r="H316" s="1" t="inlineStr">
        <is>
          <t xml:space="preserve">B observado / C cálculo</t>
        </is>
      </c>
    </row>
    <row r="317" customFormat="false" ht="15" hidden="false" customHeight="true" outlineLevel="0" collapsed="false">
      <c r="A317" s="1" t="n">
        <v>2020</v>
      </c>
      <c r="B317" s="1" t="n">
        <v>3</v>
      </c>
      <c r="C317" s="1" t="inlineStr">
        <is>
          <t xml:space="preserve">TPAREOL2020</t>
        </is>
      </c>
      <c r="D317" s="1" t="inlineStr">
        <is>
          <t xml:space="preserve">ELIMINADO</t>
        </is>
      </c>
      <c r="E317" s="1" t="n">
        <v>6</v>
      </c>
      <c r="F317" s="1" t="n">
        <v>7</v>
      </c>
      <c r="G317" s="1" t="n">
        <f aca="false">IF(E317=0,"",IF(D317="VIGENTE",1,0))</f>
        <v>0</v>
      </c>
      <c r="H317" s="1" t="inlineStr">
        <is>
          <t xml:space="preserve">B observado / C cálculo</t>
        </is>
      </c>
    </row>
    <row r="318" customFormat="false" ht="15" hidden="false" customHeight="true" outlineLevel="0" collapsed="false">
      <c r="A318" s="1" t="n">
        <v>2020</v>
      </c>
      <c r="B318" s="1" t="n">
        <v>3</v>
      </c>
      <c r="C318" s="1" t="inlineStr">
        <is>
          <t xml:space="preserve">TPAREOL2020</t>
        </is>
      </c>
      <c r="D318" s="1" t="inlineStr">
        <is>
          <t xml:space="preserve">TITULADO</t>
        </is>
      </c>
      <c r="E318" s="1" t="n">
        <v>18</v>
      </c>
      <c r="F318" s="1" t="n">
        <v>22</v>
      </c>
      <c r="G318" s="1" t="n">
        <f aca="false">IF(E318=0,"",IF(D318="VIGENTE",1,0))</f>
        <v>0</v>
      </c>
      <c r="H318" s="1" t="inlineStr">
        <is>
          <t xml:space="preserve">B observado / C cálculo</t>
        </is>
      </c>
    </row>
    <row r="319" customFormat="false" ht="15" hidden="false" customHeight="true" outlineLevel="0" collapsed="false">
      <c r="A319" s="1" t="n">
        <v>2020</v>
      </c>
      <c r="B319" s="1" t="n">
        <v>3</v>
      </c>
      <c r="C319" s="1" t="inlineStr">
        <is>
          <t xml:space="preserve">TPAREOL2020</t>
        </is>
      </c>
      <c r="D319" s="1" t="inlineStr">
        <is>
          <t xml:space="preserve">VIGENTE</t>
        </is>
      </c>
      <c r="E319" s="1" t="n">
        <v>1</v>
      </c>
      <c r="F319" s="1" t="n">
        <v>1</v>
      </c>
      <c r="G319" s="1" t="n">
        <f aca="false">IF(E319=0,"",IF(D319="VIGENTE",1,0))</f>
        <v>1</v>
      </c>
      <c r="H319" s="1" t="inlineStr">
        <is>
          <t xml:space="preserve">B observado / C cálculo</t>
        </is>
      </c>
    </row>
    <row r="320" customFormat="false" ht="15" hidden="false" customHeight="true" outlineLevel="0" collapsed="false">
      <c r="A320" s="1" t="n">
        <v>2020</v>
      </c>
      <c r="B320" s="1" t="n">
        <v>3</v>
      </c>
      <c r="C320" s="1" t="inlineStr">
        <is>
          <t xml:space="preserve">TPCREOL20191</t>
        </is>
      </c>
      <c r="D320" s="1" t="inlineStr">
        <is>
          <t xml:space="preserve">ELIMINADO</t>
        </is>
      </c>
      <c r="E320" s="1" t="n">
        <v>6</v>
      </c>
      <c r="F320" s="1" t="n">
        <v>8</v>
      </c>
      <c r="G320" s="1" t="n">
        <f aca="false">IF(E320=0,"",IF(D320="VIGENTE",1,0))</f>
        <v>0</v>
      </c>
      <c r="H320" s="1" t="inlineStr">
        <is>
          <t xml:space="preserve">B observado / C cálculo</t>
        </is>
      </c>
    </row>
    <row r="321" customFormat="false" ht="15" hidden="false" customHeight="true" outlineLevel="0" collapsed="false">
      <c r="A321" s="1" t="n">
        <v>2020</v>
      </c>
      <c r="B321" s="1" t="n">
        <v>3</v>
      </c>
      <c r="C321" s="1" t="inlineStr">
        <is>
          <t xml:space="preserve">TPCREOL20191</t>
        </is>
      </c>
      <c r="D321" s="1" t="inlineStr">
        <is>
          <t xml:space="preserve">TITULADO</t>
        </is>
      </c>
      <c r="E321" s="1" t="n">
        <v>5</v>
      </c>
      <c r="F321" s="1" t="n">
        <v>5</v>
      </c>
      <c r="G321" s="1" t="n">
        <f aca="false">IF(E321=0,"",IF(D321="VIGENTE",1,0))</f>
        <v>0</v>
      </c>
      <c r="H321" s="1" t="inlineStr">
        <is>
          <t xml:space="preserve">B observado / C cálculo</t>
        </is>
      </c>
    </row>
    <row r="322" customFormat="false" ht="15" hidden="false" customHeight="true" outlineLevel="0" collapsed="false">
      <c r="A322" s="1" t="n">
        <v>2020</v>
      </c>
      <c r="B322" s="1" t="n">
        <v>3</v>
      </c>
      <c r="C322" s="1" t="inlineStr">
        <is>
          <t xml:space="preserve">TTMREOL20191</t>
        </is>
      </c>
      <c r="D322" s="1" t="inlineStr">
        <is>
          <t xml:space="preserve">ELIMINADO</t>
        </is>
      </c>
      <c r="E322" s="1" t="n">
        <v>6</v>
      </c>
      <c r="F322" s="1" t="n">
        <v>7</v>
      </c>
      <c r="G322" s="1" t="n">
        <f aca="false">IF(E322=0,"",IF(D322="VIGENTE",1,0))</f>
        <v>0</v>
      </c>
      <c r="H322" s="1" t="inlineStr">
        <is>
          <t xml:space="preserve">B observado / C cálculo</t>
        </is>
      </c>
    </row>
    <row r="323" customFormat="false" ht="15" hidden="false" customHeight="true" outlineLevel="0" collapsed="false">
      <c r="A323" s="1" t="n">
        <v>2020</v>
      </c>
      <c r="B323" s="1" t="n">
        <v>3</v>
      </c>
      <c r="C323" s="1" t="inlineStr">
        <is>
          <t xml:space="preserve">TTMREOL20191</t>
        </is>
      </c>
      <c r="D323" s="1" t="inlineStr">
        <is>
          <t xml:space="preserve">TITULADO</t>
        </is>
      </c>
      <c r="E323" s="1" t="n">
        <v>16</v>
      </c>
      <c r="F323" s="1" t="n">
        <v>17</v>
      </c>
      <c r="G323" s="1" t="n">
        <f aca="false">IF(E323=0,"",IF(D323="VIGENTE",1,0))</f>
        <v>0</v>
      </c>
      <c r="H323" s="1" t="inlineStr">
        <is>
          <t xml:space="preserve">B observado / C cálculo</t>
        </is>
      </c>
    </row>
    <row r="324" customFormat="false" ht="15" hidden="false" customHeight="true" outlineLevel="0" collapsed="false">
      <c r="A324" s="1" t="n">
        <v>2020</v>
      </c>
      <c r="B324" s="1" t="n">
        <v>4</v>
      </c>
      <c r="C324" s="1" t="inlineStr">
        <is>
          <t xml:space="preserve">IECIREOL</t>
        </is>
      </c>
      <c r="D324" s="1" t="inlineStr">
        <is>
          <t xml:space="preserve">TITULADO</t>
        </is>
      </c>
      <c r="E324" s="1" t="n">
        <v>2</v>
      </c>
      <c r="F324" s="1" t="n">
        <v>3</v>
      </c>
      <c r="G324" s="1" t="n">
        <f aca="false">IF(E324=0,"",IF(D324="VIGENTE",1,0))</f>
        <v>0</v>
      </c>
      <c r="H324" s="1" t="inlineStr">
        <is>
          <t xml:space="preserve">B observado / C cálculo</t>
        </is>
      </c>
    </row>
    <row r="325" customFormat="false" ht="15" hidden="false" customHeight="true" outlineLevel="0" collapsed="false">
      <c r="A325" s="1" t="n">
        <v>2020</v>
      </c>
      <c r="B325" s="1" t="n">
        <v>4</v>
      </c>
      <c r="C325" s="1" t="inlineStr">
        <is>
          <t xml:space="preserve">IECIREOL20191</t>
        </is>
      </c>
      <c r="D325" s="1" t="inlineStr">
        <is>
          <t xml:space="preserve">ELIMINADO</t>
        </is>
      </c>
      <c r="E325" s="1" t="n">
        <v>2</v>
      </c>
      <c r="F325" s="1" t="n">
        <v>2</v>
      </c>
      <c r="G325" s="1" t="n">
        <f aca="false">IF(E325=0,"",IF(D325="VIGENTE",1,0))</f>
        <v>0</v>
      </c>
      <c r="H325" s="1" t="inlineStr">
        <is>
          <t xml:space="preserve">B observado / C cálculo</t>
        </is>
      </c>
    </row>
    <row r="326" customFormat="false" ht="15" hidden="false" customHeight="true" outlineLevel="0" collapsed="false">
      <c r="A326" s="1" t="n">
        <v>2020</v>
      </c>
      <c r="B326" s="1" t="n">
        <v>4</v>
      </c>
      <c r="C326" s="1" t="inlineStr">
        <is>
          <t xml:space="preserve">IECIREOL20191</t>
        </is>
      </c>
      <c r="D326" s="1" t="inlineStr">
        <is>
          <t xml:space="preserve">TITULADO</t>
        </is>
      </c>
      <c r="E326" s="1" t="n">
        <v>11</v>
      </c>
      <c r="F326" s="1" t="n">
        <v>11</v>
      </c>
      <c r="G326" s="1" t="n">
        <f aca="false">IF(E326=0,"",IF(D326="VIGENTE",1,0))</f>
        <v>0</v>
      </c>
      <c r="H326" s="1" t="inlineStr">
        <is>
          <t xml:space="preserve">B observado / C cálculo</t>
        </is>
      </c>
    </row>
    <row r="327" customFormat="false" ht="15" hidden="false" customHeight="true" outlineLevel="0" collapsed="false">
      <c r="A327" s="1" t="n">
        <v>2020</v>
      </c>
      <c r="B327" s="1" t="n">
        <v>4</v>
      </c>
      <c r="C327" s="1" t="inlineStr">
        <is>
          <t xml:space="preserve">IECIREOL20201</t>
        </is>
      </c>
      <c r="D327" s="1" t="inlineStr">
        <is>
          <t xml:space="preserve">ELIMINADO</t>
        </is>
      </c>
      <c r="E327" s="1" t="n">
        <v>5</v>
      </c>
      <c r="F327" s="1" t="n">
        <v>6</v>
      </c>
      <c r="G327" s="1" t="n">
        <f aca="false">IF(E327=0,"",IF(D327="VIGENTE",1,0))</f>
        <v>0</v>
      </c>
      <c r="H327" s="1" t="inlineStr">
        <is>
          <t xml:space="preserve">B observado / C cálculo</t>
        </is>
      </c>
    </row>
    <row r="328" customFormat="false" ht="15" hidden="false" customHeight="true" outlineLevel="0" collapsed="false">
      <c r="A328" s="1" t="n">
        <v>2020</v>
      </c>
      <c r="B328" s="1" t="n">
        <v>4</v>
      </c>
      <c r="C328" s="1" t="inlineStr">
        <is>
          <t xml:space="preserve">IECIREOL20201</t>
        </is>
      </c>
      <c r="D328" s="1" t="inlineStr">
        <is>
          <t xml:space="preserve">TITULADO</t>
        </is>
      </c>
      <c r="E328" s="1" t="n">
        <v>7</v>
      </c>
      <c r="F328" s="1" t="n">
        <v>7</v>
      </c>
      <c r="G328" s="1" t="n">
        <f aca="false">IF(E328=0,"",IF(D328="VIGENTE",1,0))</f>
        <v>0</v>
      </c>
      <c r="H328" s="1" t="inlineStr">
        <is>
          <t xml:space="preserve">B observado / C cálculo</t>
        </is>
      </c>
    </row>
    <row r="329" customFormat="false" ht="15" hidden="false" customHeight="true" outlineLevel="0" collapsed="false">
      <c r="A329" s="1" t="n">
        <v>2020</v>
      </c>
      <c r="B329" s="1" t="n">
        <v>4</v>
      </c>
      <c r="C329" s="1" t="inlineStr">
        <is>
          <t xml:space="preserve">IETMREOL</t>
        </is>
      </c>
      <c r="D329" s="1" t="inlineStr">
        <is>
          <t xml:space="preserve">TITULADO</t>
        </is>
      </c>
      <c r="E329" s="1" t="n">
        <v>2</v>
      </c>
      <c r="F329" s="1" t="n">
        <v>2</v>
      </c>
      <c r="G329" s="1" t="n">
        <f aca="false">IF(E329=0,"",IF(D329="VIGENTE",1,0))</f>
        <v>0</v>
      </c>
      <c r="H329" s="1" t="inlineStr">
        <is>
          <t xml:space="preserve">B observado / C cálculo</t>
        </is>
      </c>
    </row>
    <row r="330" customFormat="false" ht="15" hidden="false" customHeight="true" outlineLevel="0" collapsed="false">
      <c r="A330" s="1" t="n">
        <v>2020</v>
      </c>
      <c r="B330" s="1" t="n">
        <v>4</v>
      </c>
      <c r="C330" s="1" t="inlineStr">
        <is>
          <t xml:space="preserve">IETMREOL20191</t>
        </is>
      </c>
      <c r="D330" s="1" t="inlineStr">
        <is>
          <t xml:space="preserve">ELIMINADO</t>
        </is>
      </c>
      <c r="E330" s="1" t="n">
        <v>4</v>
      </c>
      <c r="F330" s="1" t="n">
        <v>4</v>
      </c>
      <c r="G330" s="1" t="n">
        <f aca="false">IF(E330=0,"",IF(D330="VIGENTE",1,0))</f>
        <v>0</v>
      </c>
      <c r="H330" s="1" t="inlineStr">
        <is>
          <t xml:space="preserve">B observado / C cálculo</t>
        </is>
      </c>
    </row>
    <row r="331" customFormat="false" ht="15" hidden="false" customHeight="true" outlineLevel="0" collapsed="false">
      <c r="A331" s="1" t="n">
        <v>2020</v>
      </c>
      <c r="B331" s="1" t="n">
        <v>4</v>
      </c>
      <c r="C331" s="1" t="inlineStr">
        <is>
          <t xml:space="preserve">IETMREOL20191</t>
        </is>
      </c>
      <c r="D331" s="1" t="inlineStr">
        <is>
          <t xml:space="preserve">TITULADO</t>
        </is>
      </c>
      <c r="E331" s="1" t="n">
        <v>5</v>
      </c>
      <c r="F331" s="1" t="n">
        <v>5</v>
      </c>
      <c r="G331" s="1" t="n">
        <f aca="false">IF(E331=0,"",IF(D331="VIGENTE",1,0))</f>
        <v>0</v>
      </c>
      <c r="H331" s="1" t="inlineStr">
        <is>
          <t xml:space="preserve">B observado / C cálculo</t>
        </is>
      </c>
    </row>
    <row r="332" customFormat="false" ht="15" hidden="false" customHeight="true" outlineLevel="0" collapsed="false">
      <c r="A332" s="1" t="n">
        <v>2020</v>
      </c>
      <c r="B332" s="1" t="n">
        <v>4</v>
      </c>
      <c r="C332" s="1" t="inlineStr">
        <is>
          <t xml:space="preserve">NCONREOL2019</t>
        </is>
      </c>
      <c r="D332" s="1" t="inlineStr">
        <is>
          <t xml:space="preserve">TITULADO</t>
        </is>
      </c>
      <c r="E332" s="1" t="n">
        <v>11</v>
      </c>
      <c r="F332" s="1" t="n">
        <v>11</v>
      </c>
      <c r="G332" s="1" t="n">
        <f aca="false">IF(E332=0,"",IF(D332="VIGENTE",1,0))</f>
        <v>0</v>
      </c>
      <c r="H332" s="1" t="inlineStr">
        <is>
          <t xml:space="preserve">B observado / C cálculo</t>
        </is>
      </c>
    </row>
    <row r="333" customFormat="false" ht="15" hidden="false" customHeight="true" outlineLevel="0" collapsed="false">
      <c r="A333" s="1" t="n">
        <v>2020</v>
      </c>
      <c r="B333" s="1" t="n">
        <v>4</v>
      </c>
      <c r="C333" s="1" t="inlineStr">
        <is>
          <t xml:space="preserve">NINFREOL2019</t>
        </is>
      </c>
      <c r="D333" s="1" t="inlineStr">
        <is>
          <t xml:space="preserve">TITULADO</t>
        </is>
      </c>
      <c r="E333" s="1" t="n">
        <v>3</v>
      </c>
      <c r="F333" s="1" t="n">
        <v>3</v>
      </c>
      <c r="G333" s="1" t="n">
        <f aca="false">IF(E333=0,"",IF(D333="VIGENTE",1,0))</f>
        <v>0</v>
      </c>
      <c r="H333" s="1" t="inlineStr">
        <is>
          <t xml:space="preserve">B observado / C cálculo</t>
        </is>
      </c>
    </row>
    <row r="334" customFormat="false" ht="15" hidden="false" customHeight="true" outlineLevel="0" collapsed="false">
      <c r="A334" s="1" t="n">
        <v>2020</v>
      </c>
      <c r="B334" s="1" t="n">
        <v>4</v>
      </c>
      <c r="C334" s="1" t="inlineStr">
        <is>
          <t xml:space="preserve">NTCCREOL2020</t>
        </is>
      </c>
      <c r="D334" s="1" t="inlineStr">
        <is>
          <t xml:space="preserve">ELIMINADO</t>
        </is>
      </c>
      <c r="E334" s="1" t="n">
        <v>2</v>
      </c>
      <c r="F334" s="1" t="n">
        <v>7</v>
      </c>
      <c r="G334" s="1" t="n">
        <f aca="false">IF(E334=0,"",IF(D334="VIGENTE",1,0))</f>
        <v>0</v>
      </c>
      <c r="H334" s="1" t="inlineStr">
        <is>
          <t xml:space="preserve">B observado / C cálculo</t>
        </is>
      </c>
    </row>
    <row r="335" customFormat="false" ht="15" hidden="false" customHeight="true" outlineLevel="0" collapsed="false">
      <c r="A335" s="1" t="n">
        <v>2020</v>
      </c>
      <c r="B335" s="1" t="n">
        <v>4</v>
      </c>
      <c r="C335" s="1" t="inlineStr">
        <is>
          <t xml:space="preserve">NTCCREOL2020</t>
        </is>
      </c>
      <c r="D335" s="1" t="inlineStr">
        <is>
          <t xml:space="preserve">TITULADO</t>
        </is>
      </c>
      <c r="E335" s="1" t="n">
        <v>1</v>
      </c>
      <c r="F335" s="1" t="n">
        <v>6</v>
      </c>
      <c r="G335" s="1" t="n">
        <f aca="false">IF(E335=0,"",IF(D335="VIGENTE",1,0))</f>
        <v>0</v>
      </c>
      <c r="H335" s="1" t="inlineStr">
        <is>
          <t xml:space="preserve">B observado / C cálculo</t>
        </is>
      </c>
    </row>
    <row r="336" customFormat="false" ht="15" hidden="false" customHeight="true" outlineLevel="0" collapsed="false">
      <c r="A336" s="1" t="n">
        <v>2020</v>
      </c>
      <c r="B336" s="1" t="n">
        <v>4</v>
      </c>
      <c r="C336" s="1" t="inlineStr">
        <is>
          <t xml:space="preserve">TASREOL20191</t>
        </is>
      </c>
      <c r="D336" s="1" t="inlineStr">
        <is>
          <t xml:space="preserve">ELIMINADO</t>
        </is>
      </c>
      <c r="E336" s="1" t="n">
        <v>6</v>
      </c>
      <c r="F336" s="1" t="n">
        <v>6</v>
      </c>
      <c r="G336" s="1" t="n">
        <f aca="false">IF(E336=0,"",IF(D336="VIGENTE",1,0))</f>
        <v>0</v>
      </c>
      <c r="H336" s="1" t="inlineStr">
        <is>
          <t xml:space="preserve">B observado / C cálculo</t>
        </is>
      </c>
    </row>
    <row r="337" customFormat="false" ht="15" hidden="false" customHeight="true" outlineLevel="0" collapsed="false">
      <c r="A337" s="1" t="n">
        <v>2020</v>
      </c>
      <c r="B337" s="1" t="n">
        <v>4</v>
      </c>
      <c r="C337" s="1" t="inlineStr">
        <is>
          <t xml:space="preserve">TASREOL20191</t>
        </is>
      </c>
      <c r="D337" s="1" t="inlineStr">
        <is>
          <t xml:space="preserve">TITULADO</t>
        </is>
      </c>
      <c r="E337" s="1" t="n">
        <v>3</v>
      </c>
      <c r="F337" s="1" t="n">
        <v>3</v>
      </c>
      <c r="G337" s="1" t="n">
        <f aca="false">IF(E337=0,"",IF(D337="VIGENTE",1,0))</f>
        <v>0</v>
      </c>
      <c r="H337" s="1" t="inlineStr">
        <is>
          <t xml:space="preserve">B observado / C cálculo</t>
        </is>
      </c>
    </row>
    <row r="338" customFormat="false" ht="15" hidden="false" customHeight="true" outlineLevel="0" collapsed="false">
      <c r="A338" s="1" t="n">
        <v>2020</v>
      </c>
      <c r="B338" s="1" t="n">
        <v>4</v>
      </c>
      <c r="C338" s="1" t="inlineStr">
        <is>
          <t xml:space="preserve">TCSREOL2020</t>
        </is>
      </c>
      <c r="D338" s="1" t="inlineStr">
        <is>
          <t xml:space="preserve">TITULADO</t>
        </is>
      </c>
      <c r="E338" s="1" t="n">
        <v>2</v>
      </c>
      <c r="F338" s="1" t="n">
        <v>2</v>
      </c>
      <c r="G338" s="1" t="n">
        <f aca="false">IF(E338=0,"",IF(D338="VIGENTE",1,0))</f>
        <v>0</v>
      </c>
      <c r="H338" s="1" t="inlineStr">
        <is>
          <t xml:space="preserve">B observado / C cálculo</t>
        </is>
      </c>
    </row>
    <row r="339" customFormat="false" ht="15" hidden="false" customHeight="true" outlineLevel="0" collapsed="false">
      <c r="A339" s="1" t="n">
        <v>2020</v>
      </c>
      <c r="B339" s="1" t="n">
        <v>4</v>
      </c>
      <c r="C339" s="1" t="inlineStr">
        <is>
          <t xml:space="preserve">TPAREOL2020</t>
        </is>
      </c>
      <c r="D339" s="1" t="inlineStr">
        <is>
          <t xml:space="preserve">ELIMINADO</t>
        </is>
      </c>
      <c r="E339" s="1" t="n">
        <v>4</v>
      </c>
      <c r="F339" s="1" t="n">
        <v>5</v>
      </c>
      <c r="G339" s="1" t="n">
        <f aca="false">IF(E339=0,"",IF(D339="VIGENTE",1,0))</f>
        <v>0</v>
      </c>
      <c r="H339" s="1" t="inlineStr">
        <is>
          <t xml:space="preserve">B observado / C cálculo</t>
        </is>
      </c>
    </row>
    <row r="340" customFormat="false" ht="15" hidden="false" customHeight="true" outlineLevel="0" collapsed="false">
      <c r="A340" s="1" t="n">
        <v>2020</v>
      </c>
      <c r="B340" s="1" t="n">
        <v>4</v>
      </c>
      <c r="C340" s="1" t="inlineStr">
        <is>
          <t xml:space="preserve">TPAREOL2020</t>
        </is>
      </c>
      <c r="D340" s="1" t="inlineStr">
        <is>
          <t xml:space="preserve">TITULADO</t>
        </is>
      </c>
      <c r="E340" s="1" t="n">
        <v>16</v>
      </c>
      <c r="F340" s="1" t="n">
        <v>17</v>
      </c>
      <c r="G340" s="1" t="n">
        <f aca="false">IF(E340=0,"",IF(D340="VIGENTE",1,0))</f>
        <v>0</v>
      </c>
      <c r="H340" s="1" t="inlineStr">
        <is>
          <t xml:space="preserve">B observado / C cálculo</t>
        </is>
      </c>
    </row>
    <row r="341" customFormat="false" ht="15" hidden="false" customHeight="true" outlineLevel="0" collapsed="false">
      <c r="A341" s="1" t="n">
        <v>2020</v>
      </c>
      <c r="B341" s="1" t="n">
        <v>4</v>
      </c>
      <c r="C341" s="1" t="inlineStr">
        <is>
          <t xml:space="preserve">TPAREOL2020</t>
        </is>
      </c>
      <c r="D341" s="1" t="inlineStr">
        <is>
          <t xml:space="preserve">VIGENTE</t>
        </is>
      </c>
      <c r="E341" s="1" t="n">
        <v>1</v>
      </c>
      <c r="F341" s="1" t="n">
        <v>1</v>
      </c>
      <c r="G341" s="1" t="n">
        <f aca="false">IF(E341=0,"",IF(D341="VIGENTE",1,0))</f>
        <v>1</v>
      </c>
      <c r="H341" s="1" t="inlineStr">
        <is>
          <t xml:space="preserve">B observado / C cálculo</t>
        </is>
      </c>
    </row>
    <row r="342" customFormat="false" ht="15" hidden="false" customHeight="true" outlineLevel="0" collapsed="false">
      <c r="A342" s="1" t="n">
        <v>2020</v>
      </c>
      <c r="B342" s="1" t="n">
        <v>4</v>
      </c>
      <c r="C342" s="1" t="inlineStr">
        <is>
          <t xml:space="preserve">TPCREOL20191</t>
        </is>
      </c>
      <c r="D342" s="1" t="inlineStr">
        <is>
          <t xml:space="preserve">ELIMINADO</t>
        </is>
      </c>
      <c r="E342" s="1" t="n">
        <v>6</v>
      </c>
      <c r="F342" s="1" t="n">
        <v>6</v>
      </c>
      <c r="G342" s="1" t="n">
        <f aca="false">IF(E342=0,"",IF(D342="VIGENTE",1,0))</f>
        <v>0</v>
      </c>
      <c r="H342" s="1" t="inlineStr">
        <is>
          <t xml:space="preserve">B observado / C cálculo</t>
        </is>
      </c>
    </row>
    <row r="343" customFormat="false" ht="15" hidden="false" customHeight="true" outlineLevel="0" collapsed="false">
      <c r="A343" s="1" t="n">
        <v>2020</v>
      </c>
      <c r="B343" s="1" t="n">
        <v>4</v>
      </c>
      <c r="C343" s="1" t="inlineStr">
        <is>
          <t xml:space="preserve">TPCREOL20191</t>
        </is>
      </c>
      <c r="D343" s="1" t="inlineStr">
        <is>
          <t xml:space="preserve">TITULADO</t>
        </is>
      </c>
      <c r="E343" s="1" t="n">
        <v>5</v>
      </c>
      <c r="F343" s="1" t="n">
        <v>5</v>
      </c>
      <c r="G343" s="1" t="n">
        <f aca="false">IF(E343=0,"",IF(D343="VIGENTE",1,0))</f>
        <v>0</v>
      </c>
      <c r="H343" s="1" t="inlineStr">
        <is>
          <t xml:space="preserve">B observado / C cálculo</t>
        </is>
      </c>
    </row>
    <row r="344" customFormat="false" ht="15" hidden="false" customHeight="true" outlineLevel="0" collapsed="false">
      <c r="A344" s="1" t="n">
        <v>2020</v>
      </c>
      <c r="B344" s="1" t="n">
        <v>4</v>
      </c>
      <c r="C344" s="1" t="inlineStr">
        <is>
          <t xml:space="preserve">TTMREOL20191</t>
        </is>
      </c>
      <c r="D344" s="1" t="inlineStr">
        <is>
          <t xml:space="preserve">TITULADO</t>
        </is>
      </c>
      <c r="E344" s="1" t="n">
        <v>10</v>
      </c>
      <c r="F344" s="1" t="n">
        <v>10</v>
      </c>
      <c r="G344" s="1" t="n">
        <f aca="false">IF(E344=0,"",IF(D344="VIGENTE",1,0))</f>
        <v>0</v>
      </c>
      <c r="H344" s="1" t="inlineStr">
        <is>
          <t xml:space="preserve">B observado / C cálculo</t>
        </is>
      </c>
    </row>
    <row r="345" customFormat="false" ht="15" hidden="false" customHeight="true" outlineLevel="0" collapsed="false">
      <c r="A345" s="1" t="n">
        <v>2020</v>
      </c>
      <c r="B345" s="1" t="n">
        <v>5</v>
      </c>
      <c r="C345" s="1" t="inlineStr">
        <is>
          <t xml:space="preserve">IECIREOL20191</t>
        </is>
      </c>
      <c r="D345" s="1" t="inlineStr">
        <is>
          <t xml:space="preserve">ELIMINADO</t>
        </is>
      </c>
      <c r="E345" s="1" t="n">
        <v>1</v>
      </c>
      <c r="F345" s="1" t="n">
        <v>1</v>
      </c>
      <c r="G345" s="1" t="n">
        <f aca="false">IF(E345=0,"",IF(D345="VIGENTE",1,0))</f>
        <v>0</v>
      </c>
      <c r="H345" s="1" t="inlineStr">
        <is>
          <t xml:space="preserve">B observado / C cálculo</t>
        </is>
      </c>
    </row>
    <row r="346" customFormat="false" ht="15" hidden="false" customHeight="true" outlineLevel="0" collapsed="false">
      <c r="A346" s="1" t="n">
        <v>2020</v>
      </c>
      <c r="B346" s="1" t="n">
        <v>5</v>
      </c>
      <c r="C346" s="1" t="inlineStr">
        <is>
          <t xml:space="preserve">IECIREOL20191</t>
        </is>
      </c>
      <c r="D346" s="1" t="inlineStr">
        <is>
          <t xml:space="preserve">TITULADO</t>
        </is>
      </c>
      <c r="E346" s="1" t="n">
        <v>10</v>
      </c>
      <c r="F346" s="1" t="n">
        <v>10</v>
      </c>
      <c r="G346" s="1" t="n">
        <f aca="false">IF(E346=0,"",IF(D346="VIGENTE",1,0))</f>
        <v>0</v>
      </c>
      <c r="H346" s="1" t="inlineStr">
        <is>
          <t xml:space="preserve">B observado / C cálculo</t>
        </is>
      </c>
    </row>
    <row r="347" customFormat="false" ht="15" hidden="false" customHeight="true" outlineLevel="0" collapsed="false">
      <c r="A347" s="1" t="n">
        <v>2020</v>
      </c>
      <c r="B347" s="1" t="n">
        <v>5</v>
      </c>
      <c r="C347" s="1" t="inlineStr">
        <is>
          <t xml:space="preserve">IECIREOL20201</t>
        </is>
      </c>
      <c r="D347" s="1" t="inlineStr">
        <is>
          <t xml:space="preserve">ELIMINADO</t>
        </is>
      </c>
      <c r="E347" s="1" t="n">
        <v>5</v>
      </c>
      <c r="F347" s="1" t="n">
        <v>5</v>
      </c>
      <c r="G347" s="1" t="n">
        <f aca="false">IF(E347=0,"",IF(D347="VIGENTE",1,0))</f>
        <v>0</v>
      </c>
      <c r="H347" s="1" t="inlineStr">
        <is>
          <t xml:space="preserve">B observado / C cálculo</t>
        </is>
      </c>
    </row>
    <row r="348" customFormat="false" ht="15" hidden="false" customHeight="true" outlineLevel="0" collapsed="false">
      <c r="A348" s="1" t="n">
        <v>2020</v>
      </c>
      <c r="B348" s="1" t="n">
        <v>5</v>
      </c>
      <c r="C348" s="1" t="inlineStr">
        <is>
          <t xml:space="preserve">IECIREOL20201</t>
        </is>
      </c>
      <c r="D348" s="1" t="inlineStr">
        <is>
          <t xml:space="preserve">TITULADO</t>
        </is>
      </c>
      <c r="E348" s="1" t="n">
        <v>7</v>
      </c>
      <c r="F348" s="1" t="n">
        <v>7</v>
      </c>
      <c r="G348" s="1" t="n">
        <f aca="false">IF(E348=0,"",IF(D348="VIGENTE",1,0))</f>
        <v>0</v>
      </c>
      <c r="H348" s="1" t="inlineStr">
        <is>
          <t xml:space="preserve">B observado / C cálculo</t>
        </is>
      </c>
    </row>
    <row r="349" customFormat="false" ht="15" hidden="false" customHeight="true" outlineLevel="0" collapsed="false">
      <c r="A349" s="1" t="n">
        <v>2020</v>
      </c>
      <c r="B349" s="1" t="n">
        <v>5</v>
      </c>
      <c r="C349" s="1" t="inlineStr">
        <is>
          <t xml:space="preserve">IETMREOL</t>
        </is>
      </c>
      <c r="D349" s="1" t="inlineStr">
        <is>
          <t xml:space="preserve">TITULADO</t>
        </is>
      </c>
      <c r="E349" s="1" t="n">
        <v>1</v>
      </c>
      <c r="F349" s="1" t="n">
        <v>1</v>
      </c>
      <c r="G349" s="1" t="n">
        <f aca="false">IF(E349=0,"",IF(D349="VIGENTE",1,0))</f>
        <v>0</v>
      </c>
      <c r="H349" s="1" t="inlineStr">
        <is>
          <t xml:space="preserve">B observado / C cálculo</t>
        </is>
      </c>
    </row>
    <row r="350" customFormat="false" ht="15" hidden="false" customHeight="true" outlineLevel="0" collapsed="false">
      <c r="A350" s="1" t="n">
        <v>2020</v>
      </c>
      <c r="B350" s="1" t="n">
        <v>5</v>
      </c>
      <c r="C350" s="1" t="inlineStr">
        <is>
          <t xml:space="preserve">IETMREOL20191</t>
        </is>
      </c>
      <c r="D350" s="1" t="inlineStr">
        <is>
          <t xml:space="preserve">ELIMINADO</t>
        </is>
      </c>
      <c r="E350" s="1" t="n">
        <v>6</v>
      </c>
      <c r="F350" s="1" t="n">
        <v>6</v>
      </c>
      <c r="G350" s="1" t="n">
        <f aca="false">IF(E350=0,"",IF(D350="VIGENTE",1,0))</f>
        <v>0</v>
      </c>
      <c r="H350" s="1" t="inlineStr">
        <is>
          <t xml:space="preserve">B observado / C cálculo</t>
        </is>
      </c>
    </row>
    <row r="351" customFormat="false" ht="15" hidden="false" customHeight="true" outlineLevel="0" collapsed="false">
      <c r="A351" s="1" t="n">
        <v>2020</v>
      </c>
      <c r="B351" s="1" t="n">
        <v>5</v>
      </c>
      <c r="C351" s="1" t="inlineStr">
        <is>
          <t xml:space="preserve">IETMREOL20191</t>
        </is>
      </c>
      <c r="D351" s="1" t="inlineStr">
        <is>
          <t xml:space="preserve">TITULADO</t>
        </is>
      </c>
      <c r="E351" s="1" t="n">
        <v>10</v>
      </c>
      <c r="F351" s="1" t="n">
        <v>10</v>
      </c>
      <c r="G351" s="1" t="n">
        <f aca="false">IF(E351=0,"",IF(D351="VIGENTE",1,0))</f>
        <v>0</v>
      </c>
      <c r="H351" s="1" t="inlineStr">
        <is>
          <t xml:space="preserve">B observado / C cálculo</t>
        </is>
      </c>
    </row>
    <row r="352" customFormat="false" ht="15" hidden="false" customHeight="true" outlineLevel="0" collapsed="false">
      <c r="A352" s="1" t="n">
        <v>2020</v>
      </c>
      <c r="B352" s="1" t="n">
        <v>5</v>
      </c>
      <c r="C352" s="1" t="inlineStr">
        <is>
          <t xml:space="preserve">IETMREOL20191</t>
        </is>
      </c>
      <c r="D352" s="1" t="inlineStr">
        <is>
          <t xml:space="preserve">VIGENTE</t>
        </is>
      </c>
      <c r="E352" s="1" t="n">
        <v>1</v>
      </c>
      <c r="F352" s="1" t="n">
        <v>1</v>
      </c>
      <c r="G352" s="1" t="n">
        <f aca="false">IF(E352=0,"",IF(D352="VIGENTE",1,0))</f>
        <v>1</v>
      </c>
      <c r="H352" s="1" t="inlineStr">
        <is>
          <t xml:space="preserve">B observado / C cálculo</t>
        </is>
      </c>
    </row>
    <row r="353" customFormat="false" ht="15" hidden="false" customHeight="true" outlineLevel="0" collapsed="false">
      <c r="A353" s="1" t="n">
        <v>2020</v>
      </c>
      <c r="B353" s="1" t="n">
        <v>5</v>
      </c>
      <c r="C353" s="1" t="inlineStr">
        <is>
          <t xml:space="preserve">IINF20241</t>
        </is>
      </c>
      <c r="D353" s="1" t="inlineStr">
        <is>
          <t xml:space="preserve">VIGENTE</t>
        </is>
      </c>
      <c r="E353" s="1" t="n">
        <v>1</v>
      </c>
      <c r="F353" s="1" t="n">
        <v>1</v>
      </c>
      <c r="G353" s="1" t="n">
        <f aca="false">IF(E353=0,"",IF(D353="VIGENTE",1,0))</f>
        <v>1</v>
      </c>
      <c r="H353" s="1" t="inlineStr">
        <is>
          <t xml:space="preserve">B observado / C cálculo</t>
        </is>
      </c>
    </row>
    <row r="354" customFormat="false" ht="15" hidden="false" customHeight="true" outlineLevel="0" collapsed="false">
      <c r="A354" s="1" t="n">
        <v>2020</v>
      </c>
      <c r="B354" s="1" t="n">
        <v>5</v>
      </c>
      <c r="C354" s="1" t="inlineStr">
        <is>
          <t xml:space="preserve">NCONREOL2019</t>
        </is>
      </c>
      <c r="D354" s="1" t="inlineStr">
        <is>
          <t xml:space="preserve">TITULADO</t>
        </is>
      </c>
      <c r="E354" s="1" t="n">
        <v>18</v>
      </c>
      <c r="F354" s="1" t="n">
        <v>18</v>
      </c>
      <c r="G354" s="1" t="n">
        <f aca="false">IF(E354=0,"",IF(D354="VIGENTE",1,0))</f>
        <v>0</v>
      </c>
      <c r="H354" s="1" t="inlineStr">
        <is>
          <t xml:space="preserve">B observado / C cálculo</t>
        </is>
      </c>
    </row>
    <row r="355" customFormat="false" ht="15" hidden="false" customHeight="true" outlineLevel="0" collapsed="false">
      <c r="A355" s="1" t="n">
        <v>2020</v>
      </c>
      <c r="B355" s="1" t="n">
        <v>5</v>
      </c>
      <c r="C355" s="1" t="inlineStr">
        <is>
          <t xml:space="preserve">NINFREOL2019</t>
        </is>
      </c>
      <c r="D355" s="1" t="inlineStr">
        <is>
          <t xml:space="preserve">TITULADO</t>
        </is>
      </c>
      <c r="E355" s="1" t="n">
        <v>3</v>
      </c>
      <c r="F355" s="1" t="n">
        <v>3</v>
      </c>
      <c r="G355" s="1" t="n">
        <f aca="false">IF(E355=0,"",IF(D355="VIGENTE",1,0))</f>
        <v>0</v>
      </c>
      <c r="H355" s="1" t="inlineStr">
        <is>
          <t xml:space="preserve">B observado / C cálculo</t>
        </is>
      </c>
    </row>
    <row r="356" customFormat="false" ht="15" hidden="false" customHeight="true" outlineLevel="0" collapsed="false">
      <c r="A356" s="1" t="n">
        <v>2020</v>
      </c>
      <c r="B356" s="1" t="n">
        <v>5</v>
      </c>
      <c r="C356" s="1" t="inlineStr">
        <is>
          <t xml:space="preserve">NTCCREOL2020</t>
        </is>
      </c>
      <c r="D356" s="1" t="inlineStr">
        <is>
          <t xml:space="preserve">TITULADO</t>
        </is>
      </c>
      <c r="E356" s="1" t="n">
        <v>11</v>
      </c>
      <c r="F356" s="1" t="n">
        <v>11</v>
      </c>
      <c r="G356" s="1" t="n">
        <f aca="false">IF(E356=0,"",IF(D356="VIGENTE",1,0))</f>
        <v>0</v>
      </c>
      <c r="H356" s="1" t="inlineStr">
        <is>
          <t xml:space="preserve">B observado / C cálculo</t>
        </is>
      </c>
    </row>
    <row r="357" customFormat="false" ht="15" hidden="false" customHeight="true" outlineLevel="0" collapsed="false">
      <c r="A357" s="1" t="n">
        <v>2020</v>
      </c>
      <c r="B357" s="1" t="n">
        <v>5</v>
      </c>
      <c r="C357" s="1" t="inlineStr">
        <is>
          <t xml:space="preserve">TASREOL20191</t>
        </is>
      </c>
      <c r="D357" s="1" t="inlineStr">
        <is>
          <t xml:space="preserve">ELIMINADO</t>
        </is>
      </c>
      <c r="E357" s="1" t="n">
        <v>7</v>
      </c>
      <c r="F357" s="1" t="n">
        <v>7</v>
      </c>
      <c r="G357" s="1" t="n">
        <f aca="false">IF(E357=0,"",IF(D357="VIGENTE",1,0))</f>
        <v>0</v>
      </c>
      <c r="H357" s="1" t="inlineStr">
        <is>
          <t xml:space="preserve">B observado / C cálculo</t>
        </is>
      </c>
    </row>
    <row r="358" customFormat="false" ht="15" hidden="false" customHeight="true" outlineLevel="0" collapsed="false">
      <c r="A358" s="1" t="n">
        <v>2020</v>
      </c>
      <c r="B358" s="1" t="n">
        <v>5</v>
      </c>
      <c r="C358" s="1" t="inlineStr">
        <is>
          <t xml:space="preserve">TASREOL20191</t>
        </is>
      </c>
      <c r="D358" s="1" t="inlineStr">
        <is>
          <t xml:space="preserve">TITULADO</t>
        </is>
      </c>
      <c r="E358" s="1" t="n">
        <v>3</v>
      </c>
      <c r="F358" s="1" t="n">
        <v>3</v>
      </c>
      <c r="G358" s="1" t="n">
        <f aca="false">IF(E358=0,"",IF(D358="VIGENTE",1,0))</f>
        <v>0</v>
      </c>
      <c r="H358" s="1" t="inlineStr">
        <is>
          <t xml:space="preserve">B observado / C cálculo</t>
        </is>
      </c>
    </row>
    <row r="359" customFormat="false" ht="15" hidden="false" customHeight="true" outlineLevel="0" collapsed="false">
      <c r="A359" s="1" t="n">
        <v>2020</v>
      </c>
      <c r="B359" s="1" t="n">
        <v>5</v>
      </c>
      <c r="C359" s="1" t="inlineStr">
        <is>
          <t xml:space="preserve">TCSREOL2020</t>
        </is>
      </c>
      <c r="D359" s="1" t="inlineStr">
        <is>
          <t xml:space="preserve">ELIMINADO</t>
        </is>
      </c>
      <c r="E359" s="1" t="n">
        <v>10</v>
      </c>
      <c r="F359" s="1" t="n">
        <v>10</v>
      </c>
      <c r="G359" s="1" t="n">
        <f aca="false">IF(E359=0,"",IF(D359="VIGENTE",1,0))</f>
        <v>0</v>
      </c>
      <c r="H359" s="1" t="inlineStr">
        <is>
          <t xml:space="preserve">B observado / C cálculo</t>
        </is>
      </c>
    </row>
    <row r="360" customFormat="false" ht="15" hidden="false" customHeight="true" outlineLevel="0" collapsed="false">
      <c r="A360" s="1" t="n">
        <v>2020</v>
      </c>
      <c r="B360" s="1" t="n">
        <v>5</v>
      </c>
      <c r="C360" s="1" t="inlineStr">
        <is>
          <t xml:space="preserve">TCSREOL2020</t>
        </is>
      </c>
      <c r="D360" s="1" t="inlineStr">
        <is>
          <t xml:space="preserve">TITULADO</t>
        </is>
      </c>
      <c r="E360" s="1" t="n">
        <v>17</v>
      </c>
      <c r="F360" s="1" t="n">
        <v>17</v>
      </c>
      <c r="G360" s="1" t="n">
        <f aca="false">IF(E360=0,"",IF(D360="VIGENTE",1,0))</f>
        <v>0</v>
      </c>
      <c r="H360" s="1" t="inlineStr">
        <is>
          <t xml:space="preserve">B observado / C cálculo</t>
        </is>
      </c>
    </row>
    <row r="361" customFormat="false" ht="15" hidden="false" customHeight="true" outlineLevel="0" collapsed="false">
      <c r="A361" s="1" t="n">
        <v>2020</v>
      </c>
      <c r="B361" s="1" t="n">
        <v>5</v>
      </c>
      <c r="C361" s="1" t="inlineStr">
        <is>
          <t xml:space="preserve">TCSREOL2020</t>
        </is>
      </c>
      <c r="D361" s="1" t="inlineStr">
        <is>
          <t xml:space="preserve">VIGENTE</t>
        </is>
      </c>
      <c r="E361" s="1" t="n">
        <v>1</v>
      </c>
      <c r="F361" s="1" t="n">
        <v>1</v>
      </c>
      <c r="G361" s="1" t="n">
        <f aca="false">IF(E361=0,"",IF(D361="VIGENTE",1,0))</f>
        <v>1</v>
      </c>
      <c r="H361" s="1" t="inlineStr">
        <is>
          <t xml:space="preserve">B observado / C cálculo</t>
        </is>
      </c>
    </row>
    <row r="362" customFormat="false" ht="15" hidden="false" customHeight="true" outlineLevel="0" collapsed="false">
      <c r="A362" s="1" t="n">
        <v>2020</v>
      </c>
      <c r="B362" s="1" t="n">
        <v>5</v>
      </c>
      <c r="C362" s="1" t="inlineStr">
        <is>
          <t xml:space="preserve">TPAREOL2020</t>
        </is>
      </c>
      <c r="D362" s="1" t="inlineStr">
        <is>
          <t xml:space="preserve">ELIMINADO</t>
        </is>
      </c>
      <c r="E362" s="1" t="n">
        <v>11</v>
      </c>
      <c r="F362" s="1" t="n">
        <v>13</v>
      </c>
      <c r="G362" s="1" t="n">
        <f aca="false">IF(E362=0,"",IF(D362="VIGENTE",1,0))</f>
        <v>0</v>
      </c>
      <c r="H362" s="1" t="inlineStr">
        <is>
          <t xml:space="preserve">B observado / C cálculo</t>
        </is>
      </c>
    </row>
    <row r="363" customFormat="false" ht="15" hidden="false" customHeight="true" outlineLevel="0" collapsed="false">
      <c r="A363" s="1" t="n">
        <v>2020</v>
      </c>
      <c r="B363" s="1" t="n">
        <v>5</v>
      </c>
      <c r="C363" s="1" t="inlineStr">
        <is>
          <t xml:space="preserve">TPAREOL2020</t>
        </is>
      </c>
      <c r="D363" s="1" t="inlineStr">
        <is>
          <t xml:space="preserve">TITULADO</t>
        </is>
      </c>
      <c r="E363" s="1" t="n">
        <v>17</v>
      </c>
      <c r="F363" s="1" t="n">
        <v>18</v>
      </c>
      <c r="G363" s="1" t="n">
        <f aca="false">IF(E363=0,"",IF(D363="VIGENTE",1,0))</f>
        <v>0</v>
      </c>
      <c r="H363" s="1" t="inlineStr">
        <is>
          <t xml:space="preserve">B observado / C cálculo</t>
        </is>
      </c>
    </row>
    <row r="364" customFormat="false" ht="15" hidden="false" customHeight="true" outlineLevel="0" collapsed="false">
      <c r="A364" s="1" t="n">
        <v>2020</v>
      </c>
      <c r="B364" s="1" t="n">
        <v>5</v>
      </c>
      <c r="C364" s="1" t="inlineStr">
        <is>
          <t xml:space="preserve">TPAREOL2020</t>
        </is>
      </c>
      <c r="D364" s="1" t="inlineStr">
        <is>
          <t xml:space="preserve">VIGENTE</t>
        </is>
      </c>
      <c r="E364" s="1" t="n">
        <v>2</v>
      </c>
      <c r="F364" s="1" t="n">
        <v>2</v>
      </c>
      <c r="G364" s="1" t="n">
        <f aca="false">IF(E364=0,"",IF(D364="VIGENTE",1,0))</f>
        <v>1</v>
      </c>
      <c r="H364" s="1" t="inlineStr">
        <is>
          <t xml:space="preserve">B observado / C cálculo</t>
        </is>
      </c>
    </row>
    <row r="365" customFormat="false" ht="15" hidden="false" customHeight="true" outlineLevel="0" collapsed="false">
      <c r="A365" s="1" t="n">
        <v>2020</v>
      </c>
      <c r="B365" s="1" t="n">
        <v>5</v>
      </c>
      <c r="C365" s="1" t="inlineStr">
        <is>
          <t xml:space="preserve">TPCREOL20191</t>
        </is>
      </c>
      <c r="D365" s="1" t="inlineStr">
        <is>
          <t xml:space="preserve">ELIMINADO</t>
        </is>
      </c>
      <c r="E365" s="1" t="n">
        <v>2</v>
      </c>
      <c r="F365" s="1" t="n">
        <v>2</v>
      </c>
      <c r="G365" s="1" t="n">
        <f aca="false">IF(E365=0,"",IF(D365="VIGENTE",1,0))</f>
        <v>0</v>
      </c>
      <c r="H365" s="1" t="inlineStr">
        <is>
          <t xml:space="preserve">B observado / C cálculo</t>
        </is>
      </c>
    </row>
    <row r="366" customFormat="false" ht="15" hidden="false" customHeight="true" outlineLevel="0" collapsed="false">
      <c r="A366" s="1" t="n">
        <v>2020</v>
      </c>
      <c r="B366" s="1" t="n">
        <v>5</v>
      </c>
      <c r="C366" s="1" t="inlineStr">
        <is>
          <t xml:space="preserve">TTMREOL20191</t>
        </is>
      </c>
      <c r="D366" s="1" t="inlineStr">
        <is>
          <t xml:space="preserve">ELIMINADO</t>
        </is>
      </c>
      <c r="E366" s="1" t="n">
        <v>9</v>
      </c>
      <c r="F366" s="1" t="n">
        <v>9</v>
      </c>
      <c r="G366" s="1" t="n">
        <f aca="false">IF(E366=0,"",IF(D366="VIGENTE",1,0))</f>
        <v>0</v>
      </c>
      <c r="H366" s="1" t="inlineStr">
        <is>
          <t xml:space="preserve">B observado / C cálculo</t>
        </is>
      </c>
    </row>
    <row r="367" customFormat="false" ht="15" hidden="false" customHeight="true" outlineLevel="0" collapsed="false">
      <c r="A367" s="1" t="n">
        <v>2020</v>
      </c>
      <c r="B367" s="1" t="n">
        <v>5</v>
      </c>
      <c r="C367" s="1" t="inlineStr">
        <is>
          <t xml:space="preserve">TTMREOL20191</t>
        </is>
      </c>
      <c r="D367" s="1" t="inlineStr">
        <is>
          <t xml:space="preserve">SUSPENDIDO</t>
        </is>
      </c>
      <c r="E367" s="1" t="n">
        <v>1</v>
      </c>
      <c r="F367" s="1" t="n">
        <v>1</v>
      </c>
      <c r="G367" s="1" t="n">
        <f aca="false">IF(E367=0,"",IF(D367="VIGENTE",1,0))</f>
        <v>0</v>
      </c>
      <c r="H367" s="1" t="inlineStr">
        <is>
          <t xml:space="preserve">B observado / C cálculo</t>
        </is>
      </c>
    </row>
    <row r="368" customFormat="false" ht="15" hidden="false" customHeight="true" outlineLevel="0" collapsed="false">
      <c r="A368" s="1" t="n">
        <v>2020</v>
      </c>
      <c r="B368" s="1" t="n">
        <v>5</v>
      </c>
      <c r="C368" s="1" t="inlineStr">
        <is>
          <t xml:space="preserve">TTMREOL20191</t>
        </is>
      </c>
      <c r="D368" s="1" t="inlineStr">
        <is>
          <t xml:space="preserve">TITULADO</t>
        </is>
      </c>
      <c r="E368" s="1" t="n">
        <v>15</v>
      </c>
      <c r="F368" s="1" t="n">
        <v>15</v>
      </c>
      <c r="G368" s="1" t="n">
        <f aca="false">IF(E368=0,"",IF(D368="VIGENTE",1,0))</f>
        <v>0</v>
      </c>
      <c r="H368" s="1" t="inlineStr">
        <is>
          <t xml:space="preserve">B observado / C cálculo</t>
        </is>
      </c>
    </row>
    <row r="369" customFormat="false" ht="15" hidden="false" customHeight="true" outlineLevel="0" collapsed="false">
      <c r="A369" s="1" t="n">
        <v>2021</v>
      </c>
      <c r="B369" s="1" t="n">
        <v>1</v>
      </c>
      <c r="C369" s="1" t="inlineStr">
        <is>
          <t xml:space="preserve">ICIB20241</t>
        </is>
      </c>
      <c r="D369" s="1" t="inlineStr">
        <is>
          <t xml:space="preserve">ELIMINADO</t>
        </is>
      </c>
      <c r="E369" s="1" t="n">
        <v>1</v>
      </c>
      <c r="F369" s="1" t="n">
        <v>2</v>
      </c>
      <c r="G369" s="1" t="n">
        <f aca="false">IF(E369=0,"",IF(D369="VIGENTE",1,0))</f>
        <v>0</v>
      </c>
      <c r="H369" s="1" t="inlineStr">
        <is>
          <t xml:space="preserve">B observado / C cálculo</t>
        </is>
      </c>
    </row>
    <row r="370" customFormat="false" ht="15" hidden="false" customHeight="true" outlineLevel="0" collapsed="false">
      <c r="A370" s="1" t="n">
        <v>2021</v>
      </c>
      <c r="B370" s="1" t="n">
        <v>1</v>
      </c>
      <c r="C370" s="1" t="inlineStr">
        <is>
          <t xml:space="preserve">IECIRE20151</t>
        </is>
      </c>
      <c r="D370" s="1" t="inlineStr">
        <is>
          <t xml:space="preserve">TITULADO</t>
        </is>
      </c>
      <c r="E370" s="1" t="n">
        <v>8</v>
      </c>
      <c r="F370" s="1" t="n">
        <v>14</v>
      </c>
      <c r="G370" s="1" t="n">
        <f aca="false">IF(E370=0,"",IF(D370="VIGENTE",1,0))</f>
        <v>0</v>
      </c>
      <c r="H370" s="1" t="inlineStr">
        <is>
          <t xml:space="preserve">B observado / C cálculo</t>
        </is>
      </c>
    </row>
    <row r="371" customFormat="false" ht="15" hidden="false" customHeight="true" outlineLevel="0" collapsed="false">
      <c r="A371" s="1" t="n">
        <v>2021</v>
      </c>
      <c r="B371" s="1" t="n">
        <v>1</v>
      </c>
      <c r="C371" s="1" t="inlineStr">
        <is>
          <t xml:space="preserve">IECIRE20191</t>
        </is>
      </c>
      <c r="D371" s="1" t="inlineStr">
        <is>
          <t xml:space="preserve">ELIMINADO</t>
        </is>
      </c>
      <c r="E371" s="1" t="n">
        <v>8</v>
      </c>
      <c r="F371" s="1" t="n">
        <v>16</v>
      </c>
      <c r="G371" s="1" t="n">
        <f aca="false">IF(E371=0,"",IF(D371="VIGENTE",1,0))</f>
        <v>0</v>
      </c>
      <c r="H371" s="1" t="inlineStr">
        <is>
          <t xml:space="preserve">B observado / C cálculo</t>
        </is>
      </c>
    </row>
    <row r="372" customFormat="false" ht="15" hidden="false" customHeight="true" outlineLevel="0" collapsed="false">
      <c r="A372" s="1" t="n">
        <v>2021</v>
      </c>
      <c r="B372" s="1" t="n">
        <v>1</v>
      </c>
      <c r="C372" s="1" t="inlineStr">
        <is>
          <t xml:space="preserve">IECIRE20191</t>
        </is>
      </c>
      <c r="D372" s="1" t="inlineStr">
        <is>
          <t xml:space="preserve">TITULADO</t>
        </is>
      </c>
      <c r="E372" s="1" t="n">
        <v>8</v>
      </c>
      <c r="F372" s="1" t="n">
        <v>16</v>
      </c>
      <c r="G372" s="1" t="n">
        <f aca="false">IF(E372=0,"",IF(D372="VIGENTE",1,0))</f>
        <v>0</v>
      </c>
      <c r="H372" s="1" t="inlineStr">
        <is>
          <t xml:space="preserve">B observado / C cálculo</t>
        </is>
      </c>
    </row>
    <row r="373" customFormat="false" ht="15" hidden="false" customHeight="true" outlineLevel="0" collapsed="false">
      <c r="A373" s="1" t="n">
        <v>2021</v>
      </c>
      <c r="B373" s="1" t="n">
        <v>1</v>
      </c>
      <c r="C373" s="1" t="inlineStr">
        <is>
          <t xml:space="preserve">IECIRE2020</t>
        </is>
      </c>
      <c r="D373" s="1" t="inlineStr">
        <is>
          <t xml:space="preserve">ELIMINADO</t>
        </is>
      </c>
      <c r="E373" s="1" t="n">
        <v>12</v>
      </c>
      <c r="F373" s="1" t="n">
        <v>24</v>
      </c>
      <c r="G373" s="1" t="n">
        <f aca="false">IF(E373=0,"",IF(D373="VIGENTE",1,0))</f>
        <v>0</v>
      </c>
      <c r="H373" s="1" t="inlineStr">
        <is>
          <t xml:space="preserve">B observado / C cálculo</t>
        </is>
      </c>
    </row>
    <row r="374" customFormat="false" ht="15" hidden="false" customHeight="true" outlineLevel="0" collapsed="false">
      <c r="A374" s="1" t="n">
        <v>2021</v>
      </c>
      <c r="B374" s="1" t="n">
        <v>1</v>
      </c>
      <c r="C374" s="1" t="inlineStr">
        <is>
          <t xml:space="preserve">IECIRE2020</t>
        </is>
      </c>
      <c r="D374" s="1" t="inlineStr">
        <is>
          <t xml:space="preserve">TITULADO</t>
        </is>
      </c>
      <c r="E374" s="1" t="n">
        <v>4</v>
      </c>
      <c r="F374" s="1" t="n">
        <v>6</v>
      </c>
      <c r="G374" s="1" t="n">
        <f aca="false">IF(E374=0,"",IF(D374="VIGENTE",1,0))</f>
        <v>0</v>
      </c>
      <c r="H374" s="1" t="inlineStr">
        <is>
          <t xml:space="preserve">B observado / C cálculo</t>
        </is>
      </c>
    </row>
    <row r="375" customFormat="false" ht="15" hidden="false" customHeight="true" outlineLevel="0" collapsed="false">
      <c r="A375" s="1" t="n">
        <v>2021</v>
      </c>
      <c r="B375" s="1" t="n">
        <v>1</v>
      </c>
      <c r="C375" s="1" t="inlineStr">
        <is>
          <t xml:space="preserve">IECIRE20211</t>
        </is>
      </c>
      <c r="D375" s="1" t="inlineStr">
        <is>
          <t xml:space="preserve">ELIMINADO</t>
        </is>
      </c>
      <c r="E375" s="1" t="n">
        <v>19</v>
      </c>
      <c r="F375" s="1" t="n">
        <v>89</v>
      </c>
      <c r="G375" s="1" t="n">
        <f aca="false">IF(E375=0,"",IF(D375="VIGENTE",1,0))</f>
        <v>0</v>
      </c>
      <c r="H375" s="1" t="inlineStr">
        <is>
          <t xml:space="preserve">B observado / C cálculo</t>
        </is>
      </c>
    </row>
    <row r="376" customFormat="false" ht="15" hidden="false" customHeight="true" outlineLevel="0" collapsed="false">
      <c r="A376" s="1" t="n">
        <v>2021</v>
      </c>
      <c r="B376" s="1" t="n">
        <v>1</v>
      </c>
      <c r="C376" s="1" t="inlineStr">
        <is>
          <t xml:space="preserve">IECIRE20211</t>
        </is>
      </c>
      <c r="D376" s="1" t="inlineStr">
        <is>
          <t xml:space="preserve">TITULADO</t>
        </is>
      </c>
      <c r="E376" s="1" t="n">
        <v>8</v>
      </c>
      <c r="F376" s="1" t="n">
        <v>54</v>
      </c>
      <c r="G376" s="1" t="n">
        <f aca="false">IF(E376=0,"",IF(D376="VIGENTE",1,0))</f>
        <v>0</v>
      </c>
      <c r="H376" s="1" t="inlineStr">
        <is>
          <t xml:space="preserve">B observado / C cálculo</t>
        </is>
      </c>
    </row>
    <row r="377" customFormat="false" ht="15" hidden="false" customHeight="true" outlineLevel="0" collapsed="false">
      <c r="A377" s="1" t="n">
        <v>2021</v>
      </c>
      <c r="B377" s="1" t="n">
        <v>1</v>
      </c>
      <c r="C377" s="1" t="inlineStr">
        <is>
          <t xml:space="preserve">IECIREOL</t>
        </is>
      </c>
      <c r="D377" s="1" t="inlineStr">
        <is>
          <t xml:space="preserve">ELIMINADO</t>
        </is>
      </c>
      <c r="E377" s="1" t="n">
        <v>3</v>
      </c>
      <c r="F377" s="1" t="n">
        <v>5</v>
      </c>
      <c r="G377" s="1" t="n">
        <f aca="false">IF(E377=0,"",IF(D377="VIGENTE",1,0))</f>
        <v>0</v>
      </c>
      <c r="H377" s="1" t="inlineStr">
        <is>
          <t xml:space="preserve">B observado / C cálculo</t>
        </is>
      </c>
    </row>
    <row r="378" customFormat="false" ht="15" hidden="false" customHeight="true" outlineLevel="0" collapsed="false">
      <c r="A378" s="1" t="n">
        <v>2021</v>
      </c>
      <c r="B378" s="1" t="n">
        <v>1</v>
      </c>
      <c r="C378" s="1" t="inlineStr">
        <is>
          <t xml:space="preserve">IECIREOL</t>
        </is>
      </c>
      <c r="D378" s="1" t="inlineStr">
        <is>
          <t xml:space="preserve">TITULADO</t>
        </is>
      </c>
      <c r="E378" s="1" t="n">
        <v>19</v>
      </c>
      <c r="F378" s="1" t="n">
        <v>32</v>
      </c>
      <c r="G378" s="1" t="n">
        <f aca="false">IF(E378=0,"",IF(D378="VIGENTE",1,0))</f>
        <v>0</v>
      </c>
      <c r="H378" s="1" t="inlineStr">
        <is>
          <t xml:space="preserve">B observado / C cálculo</t>
        </is>
      </c>
    </row>
    <row r="379" customFormat="false" ht="15" hidden="false" customHeight="true" outlineLevel="0" collapsed="false">
      <c r="A379" s="1" t="n">
        <v>2021</v>
      </c>
      <c r="B379" s="1" t="n">
        <v>1</v>
      </c>
      <c r="C379" s="1" t="inlineStr">
        <is>
          <t xml:space="preserve">IECIREOL20191</t>
        </is>
      </c>
      <c r="D379" s="1" t="inlineStr">
        <is>
          <t xml:space="preserve">ELIMINADO</t>
        </is>
      </c>
      <c r="E379" s="1" t="n">
        <v>1</v>
      </c>
      <c r="F379" s="1" t="n">
        <v>1</v>
      </c>
      <c r="G379" s="1" t="n">
        <f aca="false">IF(E379=0,"",IF(D379="VIGENTE",1,0))</f>
        <v>0</v>
      </c>
      <c r="H379" s="1" t="inlineStr">
        <is>
          <t xml:space="preserve">B observado / C cálculo</t>
        </is>
      </c>
    </row>
    <row r="380" customFormat="false" ht="15" hidden="false" customHeight="true" outlineLevel="0" collapsed="false">
      <c r="A380" s="1" t="n">
        <v>2021</v>
      </c>
      <c r="B380" s="1" t="n">
        <v>1</v>
      </c>
      <c r="C380" s="1" t="inlineStr">
        <is>
          <t xml:space="preserve">IECIREOL20191</t>
        </is>
      </c>
      <c r="D380" s="1" t="inlineStr">
        <is>
          <t xml:space="preserve">TITULADO</t>
        </is>
      </c>
      <c r="E380" s="1" t="n">
        <v>1</v>
      </c>
      <c r="F380" s="1" t="n">
        <v>1</v>
      </c>
      <c r="G380" s="1" t="n">
        <f aca="false">IF(E380=0,"",IF(D380="VIGENTE",1,0))</f>
        <v>0</v>
      </c>
      <c r="H380" s="1" t="inlineStr">
        <is>
          <t xml:space="preserve">B observado / C cálculo</t>
        </is>
      </c>
    </row>
    <row r="381" customFormat="false" ht="15" hidden="false" customHeight="true" outlineLevel="0" collapsed="false">
      <c r="A381" s="1" t="n">
        <v>2021</v>
      </c>
      <c r="B381" s="1" t="n">
        <v>1</v>
      </c>
      <c r="C381" s="1" t="inlineStr">
        <is>
          <t xml:space="preserve">IECIREOL20201</t>
        </is>
      </c>
      <c r="D381" s="1" t="inlineStr">
        <is>
          <t xml:space="preserve">ELIMINADO</t>
        </is>
      </c>
      <c r="E381" s="1" t="n">
        <v>3</v>
      </c>
      <c r="F381" s="1" t="n">
        <v>3</v>
      </c>
      <c r="G381" s="1" t="n">
        <f aca="false">IF(E381=0,"",IF(D381="VIGENTE",1,0))</f>
        <v>0</v>
      </c>
      <c r="H381" s="1" t="inlineStr">
        <is>
          <t xml:space="preserve">B observado / C cálculo</t>
        </is>
      </c>
    </row>
    <row r="382" customFormat="false" ht="15" hidden="false" customHeight="true" outlineLevel="0" collapsed="false">
      <c r="A382" s="1" t="n">
        <v>2021</v>
      </c>
      <c r="B382" s="1" t="n">
        <v>1</v>
      </c>
      <c r="C382" s="1" t="inlineStr">
        <is>
          <t xml:space="preserve">IECIREOL20201</t>
        </is>
      </c>
      <c r="D382" s="1" t="inlineStr">
        <is>
          <t xml:space="preserve">TITULADO</t>
        </is>
      </c>
      <c r="E382" s="1" t="n">
        <v>8</v>
      </c>
      <c r="F382" s="1" t="n">
        <v>8</v>
      </c>
      <c r="G382" s="1" t="n">
        <f aca="false">IF(E382=0,"",IF(D382="VIGENTE",1,0))</f>
        <v>0</v>
      </c>
      <c r="H382" s="1" t="inlineStr">
        <is>
          <t xml:space="preserve">B observado / C cálculo</t>
        </is>
      </c>
    </row>
    <row r="383" customFormat="false" ht="15" hidden="false" customHeight="true" outlineLevel="0" collapsed="false">
      <c r="A383" s="1" t="n">
        <v>2021</v>
      </c>
      <c r="B383" s="1" t="n">
        <v>1</v>
      </c>
      <c r="C383" s="1" t="inlineStr">
        <is>
          <t xml:space="preserve">IECIREOL20211</t>
        </is>
      </c>
      <c r="D383" s="1" t="inlineStr">
        <is>
          <t xml:space="preserve">ELIMINADO</t>
        </is>
      </c>
      <c r="E383" s="1" t="n">
        <v>16</v>
      </c>
      <c r="F383" s="1" t="n">
        <v>39</v>
      </c>
      <c r="G383" s="1" t="n">
        <f aca="false">IF(E383=0,"",IF(D383="VIGENTE",1,0))</f>
        <v>0</v>
      </c>
      <c r="H383" s="1" t="inlineStr">
        <is>
          <t xml:space="preserve">B observado / C cálculo</t>
        </is>
      </c>
    </row>
    <row r="384" customFormat="false" ht="15" hidden="false" customHeight="true" outlineLevel="0" collapsed="false">
      <c r="A384" s="1" t="n">
        <v>2021</v>
      </c>
      <c r="B384" s="1" t="n">
        <v>1</v>
      </c>
      <c r="C384" s="1" t="inlineStr">
        <is>
          <t xml:space="preserve">IECIREOL20211</t>
        </is>
      </c>
      <c r="D384" s="1" t="inlineStr">
        <is>
          <t xml:space="preserve">SUSPENDIDO</t>
        </is>
      </c>
      <c r="E384" s="1" t="n">
        <v>1</v>
      </c>
      <c r="F384" s="1" t="n">
        <v>1</v>
      </c>
      <c r="G384" s="1" t="n">
        <f aca="false">IF(E384=0,"",IF(D384="VIGENTE",1,0))</f>
        <v>0</v>
      </c>
      <c r="H384" s="1" t="inlineStr">
        <is>
          <t xml:space="preserve">B observado / C cálculo</t>
        </is>
      </c>
    </row>
    <row r="385" customFormat="false" ht="15" hidden="false" customHeight="true" outlineLevel="0" collapsed="false">
      <c r="A385" s="1" t="n">
        <v>2021</v>
      </c>
      <c r="B385" s="1" t="n">
        <v>1</v>
      </c>
      <c r="C385" s="1" t="inlineStr">
        <is>
          <t xml:space="preserve">IECIREOL20211</t>
        </is>
      </c>
      <c r="D385" s="1" t="inlineStr">
        <is>
          <t xml:space="preserve">TITULADO</t>
        </is>
      </c>
      <c r="E385" s="1" t="n">
        <v>32</v>
      </c>
      <c r="F385" s="1" t="n">
        <v>168</v>
      </c>
      <c r="G385" s="1" t="n">
        <f aca="false">IF(E385=0,"",IF(D385="VIGENTE",1,0))</f>
        <v>0</v>
      </c>
      <c r="H385" s="1" t="inlineStr">
        <is>
          <t xml:space="preserve">B observado / C cálculo</t>
        </is>
      </c>
    </row>
    <row r="386" customFormat="false" ht="15" hidden="false" customHeight="true" outlineLevel="0" collapsed="false">
      <c r="A386" s="1" t="n">
        <v>2021</v>
      </c>
      <c r="B386" s="1" t="n">
        <v>1</v>
      </c>
      <c r="C386" s="1" t="inlineStr">
        <is>
          <t xml:space="preserve">IECSRE20191</t>
        </is>
      </c>
      <c r="D386" s="1" t="inlineStr">
        <is>
          <t xml:space="preserve">ELIMINADO</t>
        </is>
      </c>
      <c r="E386" s="1" t="n">
        <v>7</v>
      </c>
      <c r="F386" s="1" t="n">
        <v>13</v>
      </c>
      <c r="G386" s="1" t="n">
        <f aca="false">IF(E386=0,"",IF(D386="VIGENTE",1,0))</f>
        <v>0</v>
      </c>
      <c r="H386" s="1" t="inlineStr">
        <is>
          <t xml:space="preserve">B observado / C cálculo</t>
        </is>
      </c>
    </row>
    <row r="387" customFormat="false" ht="15" hidden="false" customHeight="true" outlineLevel="0" collapsed="false">
      <c r="A387" s="1" t="n">
        <v>2021</v>
      </c>
      <c r="B387" s="1" t="n">
        <v>1</v>
      </c>
      <c r="C387" s="1" t="inlineStr">
        <is>
          <t xml:space="preserve">IECSRE20191</t>
        </is>
      </c>
      <c r="D387" s="1" t="inlineStr">
        <is>
          <t xml:space="preserve">TITULADO</t>
        </is>
      </c>
      <c r="E387" s="1" t="n">
        <v>12</v>
      </c>
      <c r="F387" s="1" t="n">
        <v>30</v>
      </c>
      <c r="G387" s="1" t="n">
        <f aca="false">IF(E387=0,"",IF(D387="VIGENTE",1,0))</f>
        <v>0</v>
      </c>
      <c r="H387" s="1" t="inlineStr">
        <is>
          <t xml:space="preserve">B observado / C cálculo</t>
        </is>
      </c>
    </row>
    <row r="388" customFormat="false" ht="15" hidden="false" customHeight="true" outlineLevel="0" collapsed="false">
      <c r="A388" s="1" t="n">
        <v>2021</v>
      </c>
      <c r="B388" s="1" t="n">
        <v>1</v>
      </c>
      <c r="C388" s="1" t="inlineStr">
        <is>
          <t xml:space="preserve">IECSRE20211</t>
        </is>
      </c>
      <c r="D388" s="1" t="inlineStr">
        <is>
          <t xml:space="preserve">ELIMINADO</t>
        </is>
      </c>
      <c r="E388" s="1" t="n">
        <v>18</v>
      </c>
      <c r="F388" s="1" t="n">
        <v>69</v>
      </c>
      <c r="G388" s="1" t="n">
        <f aca="false">IF(E388=0,"",IF(D388="VIGENTE",1,0))</f>
        <v>0</v>
      </c>
      <c r="H388" s="1" t="inlineStr">
        <is>
          <t xml:space="preserve">B observado / C cálculo</t>
        </is>
      </c>
    </row>
    <row r="389" customFormat="false" ht="15" hidden="false" customHeight="true" outlineLevel="0" collapsed="false">
      <c r="A389" s="1" t="n">
        <v>2021</v>
      </c>
      <c r="B389" s="1" t="n">
        <v>1</v>
      </c>
      <c r="C389" s="1" t="inlineStr">
        <is>
          <t xml:space="preserve">IECSRE20211</t>
        </is>
      </c>
      <c r="D389" s="1" t="inlineStr">
        <is>
          <t xml:space="preserve">TITULADO</t>
        </is>
      </c>
      <c r="E389" s="1" t="n">
        <v>10</v>
      </c>
      <c r="F389" s="1" t="n">
        <v>45</v>
      </c>
      <c r="G389" s="1" t="n">
        <f aca="false">IF(E389=0,"",IF(D389="VIGENTE",1,0))</f>
        <v>0</v>
      </c>
      <c r="H389" s="1" t="inlineStr">
        <is>
          <t xml:space="preserve">B observado / C cálculo</t>
        </is>
      </c>
    </row>
    <row r="390" customFormat="false" ht="15" hidden="false" customHeight="true" outlineLevel="0" collapsed="false">
      <c r="A390" s="1" t="n">
        <v>2021</v>
      </c>
      <c r="B390" s="1" t="n">
        <v>1</v>
      </c>
      <c r="C390" s="1" t="inlineStr">
        <is>
          <t xml:space="preserve">IECSREOL20211</t>
        </is>
      </c>
      <c r="D390" s="1" t="inlineStr">
        <is>
          <t xml:space="preserve">ELIMINADO</t>
        </is>
      </c>
      <c r="E390" s="1" t="n">
        <v>25</v>
      </c>
      <c r="F390" s="1" t="n">
        <v>96</v>
      </c>
      <c r="G390" s="1" t="n">
        <f aca="false">IF(E390=0,"",IF(D390="VIGENTE",1,0))</f>
        <v>0</v>
      </c>
      <c r="H390" s="1" t="inlineStr">
        <is>
          <t xml:space="preserve">B observado / C cálculo</t>
        </is>
      </c>
    </row>
    <row r="391" customFormat="false" ht="15" hidden="false" customHeight="true" outlineLevel="0" collapsed="false">
      <c r="A391" s="1" t="n">
        <v>2021</v>
      </c>
      <c r="B391" s="1" t="n">
        <v>1</v>
      </c>
      <c r="C391" s="1" t="inlineStr">
        <is>
          <t xml:space="preserve">IECSREOL20211</t>
        </is>
      </c>
      <c r="D391" s="1" t="inlineStr">
        <is>
          <t xml:space="preserve">TITULADO</t>
        </is>
      </c>
      <c r="E391" s="1" t="n">
        <v>25</v>
      </c>
      <c r="F391" s="1" t="n">
        <v>119</v>
      </c>
      <c r="G391" s="1" t="n">
        <f aca="false">IF(E391=0,"",IF(D391="VIGENTE",1,0))</f>
        <v>0</v>
      </c>
      <c r="H391" s="1" t="inlineStr">
        <is>
          <t xml:space="preserve">B observado / C cálculo</t>
        </is>
      </c>
    </row>
    <row r="392" customFormat="false" ht="15" hidden="false" customHeight="true" outlineLevel="0" collapsed="false">
      <c r="A392" s="1" t="n">
        <v>2021</v>
      </c>
      <c r="B392" s="1" t="n">
        <v>1</v>
      </c>
      <c r="C392" s="1" t="inlineStr">
        <is>
          <t xml:space="preserve">IECSREOL20211</t>
        </is>
      </c>
      <c r="D392" s="1" t="inlineStr">
        <is>
          <t xml:space="preserve">VIGENTE</t>
        </is>
      </c>
      <c r="E392" s="1" t="n">
        <v>1</v>
      </c>
      <c r="F392" s="1" t="n">
        <v>8</v>
      </c>
      <c r="G392" s="1" t="n">
        <f aca="false">IF(E392=0,"",IF(D392="VIGENTE",1,0))</f>
        <v>1</v>
      </c>
      <c r="H392" s="1" t="inlineStr">
        <is>
          <t xml:space="preserve">B observado / C cálculo</t>
        </is>
      </c>
    </row>
    <row r="393" customFormat="false" ht="15" hidden="false" customHeight="true" outlineLevel="0" collapsed="false">
      <c r="A393" s="1" t="n">
        <v>2021</v>
      </c>
      <c r="B393" s="1" t="n">
        <v>1</v>
      </c>
      <c r="C393" s="1" t="inlineStr">
        <is>
          <t xml:space="preserve">IEMORE20201</t>
        </is>
      </c>
      <c r="D393" s="1" t="inlineStr">
        <is>
          <t xml:space="preserve">ELIMINADO</t>
        </is>
      </c>
      <c r="E393" s="1" t="n">
        <v>2</v>
      </c>
      <c r="F393" s="1" t="n">
        <v>16</v>
      </c>
      <c r="G393" s="1" t="n">
        <f aca="false">IF(E393=0,"",IF(D393="VIGENTE",1,0))</f>
        <v>0</v>
      </c>
      <c r="H393" s="1" t="inlineStr">
        <is>
          <t xml:space="preserve">B observado / C cálculo</t>
        </is>
      </c>
    </row>
    <row r="394" customFormat="false" ht="15" hidden="false" customHeight="true" outlineLevel="0" collapsed="false">
      <c r="A394" s="1" t="n">
        <v>2021</v>
      </c>
      <c r="B394" s="1" t="n">
        <v>1</v>
      </c>
      <c r="C394" s="1" t="inlineStr">
        <is>
          <t xml:space="preserve">IEMORE20201</t>
        </is>
      </c>
      <c r="D394" s="1" t="inlineStr">
        <is>
          <t xml:space="preserve">TITULADO</t>
        </is>
      </c>
      <c r="E394" s="1" t="n">
        <v>4</v>
      </c>
      <c r="F394" s="1" t="n">
        <v>30</v>
      </c>
      <c r="G394" s="1" t="n">
        <f aca="false">IF(E394=0,"",IF(D394="VIGENTE",1,0))</f>
        <v>0</v>
      </c>
      <c r="H394" s="1" t="inlineStr">
        <is>
          <t xml:space="preserve">B observado / C cálculo</t>
        </is>
      </c>
    </row>
    <row r="395" customFormat="false" ht="15" hidden="false" customHeight="true" outlineLevel="0" collapsed="false">
      <c r="A395" s="1" t="n">
        <v>2021</v>
      </c>
      <c r="B395" s="1" t="n">
        <v>1</v>
      </c>
      <c r="C395" s="1" t="inlineStr">
        <is>
          <t xml:space="preserve">IEMORE20211</t>
        </is>
      </c>
      <c r="D395" s="1" t="inlineStr">
        <is>
          <t xml:space="preserve">ELIMINADO</t>
        </is>
      </c>
      <c r="E395" s="1" t="n">
        <v>4</v>
      </c>
      <c r="F395" s="1" t="n">
        <v>124</v>
      </c>
      <c r="G395" s="1" t="n">
        <f aca="false">IF(E395=0,"",IF(D395="VIGENTE",1,0))</f>
        <v>0</v>
      </c>
      <c r="H395" s="1" t="inlineStr">
        <is>
          <t xml:space="preserve">B observado / C cálculo</t>
        </is>
      </c>
    </row>
    <row r="396" customFormat="false" ht="15" hidden="false" customHeight="true" outlineLevel="0" collapsed="false">
      <c r="A396" s="1" t="n">
        <v>2021</v>
      </c>
      <c r="B396" s="1" t="n">
        <v>1</v>
      </c>
      <c r="C396" s="1" t="inlineStr">
        <is>
          <t xml:space="preserve">IEMORE20211</t>
        </is>
      </c>
      <c r="D396" s="1" t="inlineStr">
        <is>
          <t xml:space="preserve">TITULADO</t>
        </is>
      </c>
      <c r="E396" s="1" t="n">
        <v>15</v>
      </c>
      <c r="F396" s="1" t="n">
        <v>437</v>
      </c>
      <c r="G396" s="1" t="n">
        <f aca="false">IF(E396=0,"",IF(D396="VIGENTE",1,0))</f>
        <v>0</v>
      </c>
      <c r="H396" s="1" t="inlineStr">
        <is>
          <t xml:space="preserve">B observado / C cálculo</t>
        </is>
      </c>
    </row>
    <row r="397" customFormat="false" ht="15" hidden="false" customHeight="true" outlineLevel="0" collapsed="false">
      <c r="A397" s="1" t="n">
        <v>2021</v>
      </c>
      <c r="B397" s="1" t="n">
        <v>1</v>
      </c>
      <c r="C397" s="1" t="inlineStr">
        <is>
          <t xml:space="preserve">IETMRE20161</t>
        </is>
      </c>
      <c r="D397" s="1" t="inlineStr">
        <is>
          <t xml:space="preserve">TITULADO</t>
        </is>
      </c>
      <c r="E397" s="1" t="n">
        <v>10</v>
      </c>
      <c r="F397" s="1" t="n">
        <v>10</v>
      </c>
      <c r="G397" s="1" t="n">
        <f aca="false">IF(E397=0,"",IF(D397="VIGENTE",1,0))</f>
        <v>0</v>
      </c>
      <c r="H397" s="1" t="inlineStr">
        <is>
          <t xml:space="preserve">B observado / C cálculo</t>
        </is>
      </c>
    </row>
    <row r="398" customFormat="false" ht="15" hidden="false" customHeight="true" outlineLevel="0" collapsed="false">
      <c r="A398" s="1" t="n">
        <v>2021</v>
      </c>
      <c r="B398" s="1" t="n">
        <v>1</v>
      </c>
      <c r="C398" s="1" t="inlineStr">
        <is>
          <t xml:space="preserve">IETMRE20191</t>
        </is>
      </c>
      <c r="D398" s="1" t="inlineStr">
        <is>
          <t xml:space="preserve">ELIMINADO</t>
        </is>
      </c>
      <c r="E398" s="1" t="n">
        <v>6</v>
      </c>
      <c r="F398" s="1" t="n">
        <v>16</v>
      </c>
      <c r="G398" s="1" t="n">
        <f aca="false">IF(E398=0,"",IF(D398="VIGENTE",1,0))</f>
        <v>0</v>
      </c>
      <c r="H398" s="1" t="inlineStr">
        <is>
          <t xml:space="preserve">B observado / C cálculo</t>
        </is>
      </c>
    </row>
    <row r="399" customFormat="false" ht="15" hidden="false" customHeight="true" outlineLevel="0" collapsed="false">
      <c r="A399" s="1" t="n">
        <v>2021</v>
      </c>
      <c r="B399" s="1" t="n">
        <v>1</v>
      </c>
      <c r="C399" s="1" t="inlineStr">
        <is>
          <t xml:space="preserve">IETMRE20191</t>
        </is>
      </c>
      <c r="D399" s="1" t="inlineStr">
        <is>
          <t xml:space="preserve">TITULADO</t>
        </is>
      </c>
      <c r="E399" s="1" t="n">
        <v>7</v>
      </c>
      <c r="F399" s="1" t="n">
        <v>13</v>
      </c>
      <c r="G399" s="1" t="n">
        <f aca="false">IF(E399=0,"",IF(D399="VIGENTE",1,0))</f>
        <v>0</v>
      </c>
      <c r="H399" s="1" t="inlineStr">
        <is>
          <t xml:space="preserve">B observado / C cálculo</t>
        </is>
      </c>
    </row>
    <row r="400" customFormat="false" ht="15" hidden="false" customHeight="true" outlineLevel="0" collapsed="false">
      <c r="A400" s="1" t="n">
        <v>2021</v>
      </c>
      <c r="B400" s="1" t="n">
        <v>1</v>
      </c>
      <c r="C400" s="1" t="inlineStr">
        <is>
          <t xml:space="preserve">IETMRE20211</t>
        </is>
      </c>
      <c r="D400" s="1" t="inlineStr">
        <is>
          <t xml:space="preserve">ELIMINADO</t>
        </is>
      </c>
      <c r="E400" s="1" t="n">
        <v>9</v>
      </c>
      <c r="F400" s="1" t="n">
        <v>59</v>
      </c>
      <c r="G400" s="1" t="n">
        <f aca="false">IF(E400=0,"",IF(D400="VIGENTE",1,0))</f>
        <v>0</v>
      </c>
      <c r="H400" s="1" t="inlineStr">
        <is>
          <t xml:space="preserve">B observado / C cálculo</t>
        </is>
      </c>
    </row>
    <row r="401" customFormat="false" ht="15" hidden="false" customHeight="true" outlineLevel="0" collapsed="false">
      <c r="A401" s="1" t="n">
        <v>2021</v>
      </c>
      <c r="B401" s="1" t="n">
        <v>1</v>
      </c>
      <c r="C401" s="1" t="inlineStr">
        <is>
          <t xml:space="preserve">IETMRE20211</t>
        </is>
      </c>
      <c r="D401" s="1" t="inlineStr">
        <is>
          <t xml:space="preserve">TITULADO</t>
        </is>
      </c>
      <c r="E401" s="1" t="n">
        <v>22</v>
      </c>
      <c r="F401" s="1" t="n">
        <v>129</v>
      </c>
      <c r="G401" s="1" t="n">
        <f aca="false">IF(E401=0,"",IF(D401="VIGENTE",1,0))</f>
        <v>0</v>
      </c>
      <c r="H401" s="1" t="inlineStr">
        <is>
          <t xml:space="preserve">B observado / C cálculo</t>
        </is>
      </c>
    </row>
    <row r="402" customFormat="false" ht="15" hidden="false" customHeight="true" outlineLevel="0" collapsed="false">
      <c r="A402" s="1" t="n">
        <v>2021</v>
      </c>
      <c r="B402" s="1" t="n">
        <v>1</v>
      </c>
      <c r="C402" s="1" t="inlineStr">
        <is>
          <t xml:space="preserve">IETMREOL</t>
        </is>
      </c>
      <c r="D402" s="1" t="inlineStr">
        <is>
          <t xml:space="preserve">ELIMINADO</t>
        </is>
      </c>
      <c r="E402" s="1" t="n">
        <v>1</v>
      </c>
      <c r="F402" s="1" t="n">
        <v>10</v>
      </c>
      <c r="G402" s="1" t="n">
        <f aca="false">IF(E402=0,"",IF(D402="VIGENTE",1,0))</f>
        <v>0</v>
      </c>
      <c r="H402" s="1" t="inlineStr">
        <is>
          <t xml:space="preserve">B observado / C cálculo</t>
        </is>
      </c>
    </row>
    <row r="403" customFormat="false" ht="15" hidden="false" customHeight="true" outlineLevel="0" collapsed="false">
      <c r="A403" s="1" t="n">
        <v>2021</v>
      </c>
      <c r="B403" s="1" t="n">
        <v>1</v>
      </c>
      <c r="C403" s="1" t="inlineStr">
        <is>
          <t xml:space="preserve">IETMREOL</t>
        </is>
      </c>
      <c r="D403" s="1" t="inlineStr">
        <is>
          <t xml:space="preserve">TITULADO</t>
        </is>
      </c>
      <c r="E403" s="1" t="n">
        <v>2</v>
      </c>
      <c r="F403" s="1" t="n">
        <v>4</v>
      </c>
      <c r="G403" s="1" t="n">
        <f aca="false">IF(E403=0,"",IF(D403="VIGENTE",1,0))</f>
        <v>0</v>
      </c>
      <c r="H403" s="1" t="inlineStr">
        <is>
          <t xml:space="preserve">B observado / C cálculo</t>
        </is>
      </c>
    </row>
    <row r="404" customFormat="false" ht="15" hidden="false" customHeight="true" outlineLevel="0" collapsed="false">
      <c r="A404" s="1" t="n">
        <v>2021</v>
      </c>
      <c r="B404" s="1" t="n">
        <v>1</v>
      </c>
      <c r="C404" s="1" t="inlineStr">
        <is>
          <t xml:space="preserve">IETMREOL20191</t>
        </is>
      </c>
      <c r="D404" s="1" t="inlineStr">
        <is>
          <t xml:space="preserve">ELIMINADO</t>
        </is>
      </c>
      <c r="E404" s="1" t="n">
        <v>2</v>
      </c>
      <c r="F404" s="1" t="n">
        <v>2</v>
      </c>
      <c r="G404" s="1" t="n">
        <f aca="false">IF(E404=0,"",IF(D404="VIGENTE",1,0))</f>
        <v>0</v>
      </c>
      <c r="H404" s="1" t="inlineStr">
        <is>
          <t xml:space="preserve">B observado / C cálculo</t>
        </is>
      </c>
    </row>
    <row r="405" customFormat="false" ht="15" hidden="false" customHeight="true" outlineLevel="0" collapsed="false">
      <c r="A405" s="1" t="n">
        <v>2021</v>
      </c>
      <c r="B405" s="1" t="n">
        <v>1</v>
      </c>
      <c r="C405" s="1" t="inlineStr">
        <is>
          <t xml:space="preserve">IETMREOL20191</t>
        </is>
      </c>
      <c r="D405" s="1" t="inlineStr">
        <is>
          <t xml:space="preserve">TITULADO</t>
        </is>
      </c>
      <c r="E405" s="1" t="n">
        <v>12</v>
      </c>
      <c r="F405" s="1" t="n">
        <v>12</v>
      </c>
      <c r="G405" s="1" t="n">
        <f aca="false">IF(E405=0,"",IF(D405="VIGENTE",1,0))</f>
        <v>0</v>
      </c>
      <c r="H405" s="1" t="inlineStr">
        <is>
          <t xml:space="preserve">B observado / C cálculo</t>
        </is>
      </c>
    </row>
    <row r="406" customFormat="false" ht="15" hidden="false" customHeight="true" outlineLevel="0" collapsed="false">
      <c r="A406" s="1" t="n">
        <v>2021</v>
      </c>
      <c r="B406" s="1" t="n">
        <v>1</v>
      </c>
      <c r="C406" s="1" t="inlineStr">
        <is>
          <t xml:space="preserve">IETMREOL20191</t>
        </is>
      </c>
      <c r="D406" s="1" t="inlineStr">
        <is>
          <t xml:space="preserve">VIGENTE</t>
        </is>
      </c>
      <c r="E406" s="1" t="n">
        <v>1</v>
      </c>
      <c r="F406" s="1" t="n">
        <v>1</v>
      </c>
      <c r="G406" s="1" t="n">
        <f aca="false">IF(E406=0,"",IF(D406="VIGENTE",1,0))</f>
        <v>1</v>
      </c>
      <c r="H406" s="1" t="inlineStr">
        <is>
          <t xml:space="preserve">B observado / C cálculo</t>
        </is>
      </c>
    </row>
    <row r="407" customFormat="false" ht="15" hidden="false" customHeight="true" outlineLevel="0" collapsed="false">
      <c r="A407" s="1" t="n">
        <v>2021</v>
      </c>
      <c r="B407" s="1" t="n">
        <v>1</v>
      </c>
      <c r="C407" s="1" t="inlineStr">
        <is>
          <t xml:space="preserve">IETMREOL20211</t>
        </is>
      </c>
      <c r="D407" s="1" t="inlineStr">
        <is>
          <t xml:space="preserve">ELIMINADO</t>
        </is>
      </c>
      <c r="E407" s="1" t="n">
        <v>18</v>
      </c>
      <c r="F407" s="1" t="n">
        <v>106</v>
      </c>
      <c r="G407" s="1" t="n">
        <f aca="false">IF(E407=0,"",IF(D407="VIGENTE",1,0))</f>
        <v>0</v>
      </c>
      <c r="H407" s="1" t="inlineStr">
        <is>
          <t xml:space="preserve">B observado / C cálculo</t>
        </is>
      </c>
    </row>
    <row r="408" customFormat="false" ht="15" hidden="false" customHeight="true" outlineLevel="0" collapsed="false">
      <c r="A408" s="1" t="n">
        <v>2021</v>
      </c>
      <c r="B408" s="1" t="n">
        <v>1</v>
      </c>
      <c r="C408" s="1" t="inlineStr">
        <is>
          <t xml:space="preserve">IETMREOL20211</t>
        </is>
      </c>
      <c r="D408" s="1" t="inlineStr">
        <is>
          <t xml:space="preserve">TITULADO</t>
        </is>
      </c>
      <c r="E408" s="1" t="n">
        <v>46</v>
      </c>
      <c r="F408" s="1" t="n">
        <v>338</v>
      </c>
      <c r="G408" s="1" t="n">
        <f aca="false">IF(E408=0,"",IF(D408="VIGENTE",1,0))</f>
        <v>0</v>
      </c>
      <c r="H408" s="1" t="inlineStr">
        <is>
          <t xml:space="preserve">B observado / C cálculo</t>
        </is>
      </c>
    </row>
    <row r="409" customFormat="false" ht="15" hidden="false" customHeight="true" outlineLevel="0" collapsed="false">
      <c r="A409" s="1" t="n">
        <v>2021</v>
      </c>
      <c r="B409" s="1" t="n">
        <v>1</v>
      </c>
      <c r="C409" s="1" t="inlineStr">
        <is>
          <t xml:space="preserve">IINF20241</t>
        </is>
      </c>
      <c r="D409" s="1" t="inlineStr">
        <is>
          <t xml:space="preserve">VIGENTE</t>
        </is>
      </c>
      <c r="E409" s="1" t="n">
        <v>1</v>
      </c>
      <c r="F409" s="1" t="n">
        <v>1</v>
      </c>
      <c r="G409" s="1" t="n">
        <f aca="false">IF(E409=0,"",IF(D409="VIGENTE",1,0))</f>
        <v>1</v>
      </c>
      <c r="H409" s="1" t="inlineStr">
        <is>
          <t xml:space="preserve">B observado / C cálculo</t>
        </is>
      </c>
    </row>
    <row r="410" customFormat="false" ht="15" hidden="false" customHeight="true" outlineLevel="0" collapsed="false">
      <c r="A410" s="1" t="n">
        <v>2021</v>
      </c>
      <c r="B410" s="1" t="n">
        <v>1</v>
      </c>
      <c r="C410" s="1" t="inlineStr">
        <is>
          <t xml:space="preserve">NAUTRE2020</t>
        </is>
      </c>
      <c r="D410" s="1" t="inlineStr">
        <is>
          <t xml:space="preserve">TITULADO</t>
        </is>
      </c>
      <c r="E410" s="1" t="n">
        <v>2</v>
      </c>
      <c r="F410" s="1" t="n">
        <v>12</v>
      </c>
      <c r="G410" s="1" t="n">
        <f aca="false">IF(E410=0,"",IF(D410="VIGENTE",1,0))</f>
        <v>0</v>
      </c>
      <c r="H410" s="1" t="inlineStr">
        <is>
          <t xml:space="preserve">B observado / C cálculo</t>
        </is>
      </c>
    </row>
    <row r="411" customFormat="false" ht="15" hidden="false" customHeight="true" outlineLevel="0" collapsed="false">
      <c r="A411" s="1" t="n">
        <v>2021</v>
      </c>
      <c r="B411" s="1" t="n">
        <v>1</v>
      </c>
      <c r="C411" s="1" t="inlineStr">
        <is>
          <t xml:space="preserve">NCONRE</t>
        </is>
      </c>
      <c r="D411" s="1" t="inlineStr">
        <is>
          <t xml:space="preserve">TITULADO</t>
        </is>
      </c>
      <c r="E411" s="1" t="n">
        <v>18</v>
      </c>
      <c r="F411" s="1" t="n">
        <v>18</v>
      </c>
      <c r="G411" s="1" t="n">
        <f aca="false">IF(E411=0,"",IF(D411="VIGENTE",1,0))</f>
        <v>0</v>
      </c>
      <c r="H411" s="1" t="inlineStr">
        <is>
          <t xml:space="preserve">B observado / C cálculo</t>
        </is>
      </c>
    </row>
    <row r="412" customFormat="false" ht="15" hidden="false" customHeight="true" outlineLevel="0" collapsed="false">
      <c r="A412" s="1" t="n">
        <v>2021</v>
      </c>
      <c r="B412" s="1" t="n">
        <v>1</v>
      </c>
      <c r="C412" s="1" t="inlineStr">
        <is>
          <t xml:space="preserve">NCONREOL2019</t>
        </is>
      </c>
      <c r="D412" s="1" t="inlineStr">
        <is>
          <t xml:space="preserve">TITULADO</t>
        </is>
      </c>
      <c r="E412" s="1" t="n">
        <v>6</v>
      </c>
      <c r="F412" s="1" t="n">
        <v>6</v>
      </c>
      <c r="G412" s="1" t="n">
        <f aca="false">IF(E412=0,"",IF(D412="VIGENTE",1,0))</f>
        <v>0</v>
      </c>
      <c r="H412" s="1" t="inlineStr">
        <is>
          <t xml:space="preserve">B observado / C cálculo</t>
        </is>
      </c>
    </row>
    <row r="413" customFormat="false" ht="15" hidden="false" customHeight="true" outlineLevel="0" collapsed="false">
      <c r="A413" s="1" t="n">
        <v>2021</v>
      </c>
      <c r="B413" s="1" t="n">
        <v>1</v>
      </c>
      <c r="C413" s="1" t="inlineStr">
        <is>
          <t xml:space="preserve">NICCRE20191</t>
        </is>
      </c>
      <c r="D413" s="1" t="inlineStr">
        <is>
          <t xml:space="preserve">TITULADO</t>
        </is>
      </c>
      <c r="E413" s="1" t="n">
        <v>2</v>
      </c>
      <c r="F413" s="1" t="n">
        <v>6</v>
      </c>
      <c r="G413" s="1" t="n">
        <f aca="false">IF(E413=0,"",IF(D413="VIGENTE",1,0))</f>
        <v>0</v>
      </c>
      <c r="H413" s="1" t="inlineStr">
        <is>
          <t xml:space="preserve">B observado / C cálculo</t>
        </is>
      </c>
    </row>
    <row r="414" customFormat="false" ht="15" hidden="false" customHeight="true" outlineLevel="0" collapsed="false">
      <c r="A414" s="1" t="n">
        <v>2021</v>
      </c>
      <c r="B414" s="1" t="n">
        <v>1</v>
      </c>
      <c r="C414" s="1" t="inlineStr">
        <is>
          <t xml:space="preserve">NICCRE2020</t>
        </is>
      </c>
      <c r="D414" s="1" t="inlineStr">
        <is>
          <t xml:space="preserve">TITULADO</t>
        </is>
      </c>
      <c r="E414" s="1" t="n">
        <v>2</v>
      </c>
      <c r="F414" s="1" t="n">
        <v>4</v>
      </c>
      <c r="G414" s="1" t="n">
        <f aca="false">IF(E414=0,"",IF(D414="VIGENTE",1,0))</f>
        <v>0</v>
      </c>
      <c r="H414" s="1" t="inlineStr">
        <is>
          <t xml:space="preserve">B observado / C cálculo</t>
        </is>
      </c>
    </row>
    <row r="415" customFormat="false" ht="15" hidden="false" customHeight="true" outlineLevel="0" collapsed="false">
      <c r="A415" s="1" t="n">
        <v>2021</v>
      </c>
      <c r="B415" s="1" t="n">
        <v>1</v>
      </c>
      <c r="C415" s="1" t="inlineStr">
        <is>
          <t xml:space="preserve">NICCREOL2020</t>
        </is>
      </c>
      <c r="D415" s="1" t="inlineStr">
        <is>
          <t xml:space="preserve">ELIMINADO</t>
        </is>
      </c>
      <c r="E415" s="1" t="n">
        <v>1</v>
      </c>
      <c r="F415" s="1" t="n">
        <v>1</v>
      </c>
      <c r="G415" s="1" t="n">
        <f aca="false">IF(E415=0,"",IF(D415="VIGENTE",1,0))</f>
        <v>0</v>
      </c>
      <c r="H415" s="1" t="inlineStr">
        <is>
          <t xml:space="preserve">B observado / C cálculo</t>
        </is>
      </c>
    </row>
    <row r="416" customFormat="false" ht="15" hidden="false" customHeight="true" outlineLevel="0" collapsed="false">
      <c r="A416" s="1" t="n">
        <v>2021</v>
      </c>
      <c r="B416" s="1" t="n">
        <v>1</v>
      </c>
      <c r="C416" s="1" t="inlineStr">
        <is>
          <t xml:space="preserve">NICCREOL2020</t>
        </is>
      </c>
      <c r="D416" s="1" t="inlineStr">
        <is>
          <t xml:space="preserve">TITULADO</t>
        </is>
      </c>
      <c r="E416" s="1" t="n">
        <v>9</v>
      </c>
      <c r="F416" s="1" t="n">
        <v>9</v>
      </c>
      <c r="G416" s="1" t="n">
        <f aca="false">IF(E416=0,"",IF(D416="VIGENTE",1,0))</f>
        <v>0</v>
      </c>
      <c r="H416" s="1" t="inlineStr">
        <is>
          <t xml:space="preserve">B observado / C cálculo</t>
        </is>
      </c>
    </row>
    <row r="417" customFormat="false" ht="15" hidden="false" customHeight="true" outlineLevel="0" collapsed="false">
      <c r="A417" s="1" t="n">
        <v>2021</v>
      </c>
      <c r="B417" s="1" t="n">
        <v>1</v>
      </c>
      <c r="C417" s="1" t="inlineStr">
        <is>
          <t xml:space="preserve">NINFRE</t>
        </is>
      </c>
      <c r="D417" s="1" t="inlineStr">
        <is>
          <t xml:space="preserve">TITULADO</t>
        </is>
      </c>
      <c r="E417" s="1" t="n">
        <v>7</v>
      </c>
      <c r="F417" s="1" t="n">
        <v>12</v>
      </c>
      <c r="G417" s="1" t="n">
        <f aca="false">IF(E417=0,"",IF(D417="VIGENTE",1,0))</f>
        <v>0</v>
      </c>
      <c r="H417" s="1" t="inlineStr">
        <is>
          <t xml:space="preserve">B observado / C cálculo</t>
        </is>
      </c>
    </row>
    <row r="418" customFormat="false" ht="15" hidden="false" customHeight="true" outlineLevel="0" collapsed="false">
      <c r="A418" s="1" t="n">
        <v>2021</v>
      </c>
      <c r="B418" s="1" t="n">
        <v>1</v>
      </c>
      <c r="C418" s="1" t="inlineStr">
        <is>
          <t xml:space="preserve">NINFREOL2019</t>
        </is>
      </c>
      <c r="D418" s="1" t="inlineStr">
        <is>
          <t xml:space="preserve">TITULADO</t>
        </is>
      </c>
      <c r="E418" s="1" t="n">
        <v>8</v>
      </c>
      <c r="F418" s="1" t="n">
        <v>8</v>
      </c>
      <c r="G418" s="1" t="n">
        <f aca="false">IF(E418=0,"",IF(D418="VIGENTE",1,0))</f>
        <v>0</v>
      </c>
      <c r="H418" s="1" t="inlineStr">
        <is>
          <t xml:space="preserve">B observado / C cálculo</t>
        </is>
      </c>
    </row>
    <row r="419" customFormat="false" ht="15" hidden="false" customHeight="true" outlineLevel="0" collapsed="false">
      <c r="A419" s="1" t="n">
        <v>2021</v>
      </c>
      <c r="B419" s="1" t="n">
        <v>1</v>
      </c>
      <c r="C419" s="1" t="inlineStr">
        <is>
          <t xml:space="preserve">NTCCRE20191</t>
        </is>
      </c>
      <c r="D419" s="1" t="inlineStr">
        <is>
          <t xml:space="preserve">ELIMINADO</t>
        </is>
      </c>
      <c r="E419" s="1" t="n">
        <v>2</v>
      </c>
      <c r="F419" s="1" t="n">
        <v>6</v>
      </c>
      <c r="G419" s="1" t="n">
        <f aca="false">IF(E419=0,"",IF(D419="VIGENTE",1,0))</f>
        <v>0</v>
      </c>
      <c r="H419" s="1" t="inlineStr">
        <is>
          <t xml:space="preserve">B observado / C cálculo</t>
        </is>
      </c>
    </row>
    <row r="420" customFormat="false" ht="15" hidden="false" customHeight="true" outlineLevel="0" collapsed="false">
      <c r="A420" s="1" t="n">
        <v>2021</v>
      </c>
      <c r="B420" s="1" t="n">
        <v>1</v>
      </c>
      <c r="C420" s="1" t="inlineStr">
        <is>
          <t xml:space="preserve">NTCCRE20191</t>
        </is>
      </c>
      <c r="D420" s="1" t="inlineStr">
        <is>
          <t xml:space="preserve">TITULADO</t>
        </is>
      </c>
      <c r="E420" s="1" t="n">
        <v>19</v>
      </c>
      <c r="F420" s="1" t="n">
        <v>93</v>
      </c>
      <c r="G420" s="1" t="n">
        <f aca="false">IF(E420=0,"",IF(D420="VIGENTE",1,0))</f>
        <v>0</v>
      </c>
      <c r="H420" s="1" t="inlineStr">
        <is>
          <t xml:space="preserve">B observado / C cálculo</t>
        </is>
      </c>
    </row>
    <row r="421" customFormat="false" ht="15" hidden="false" customHeight="true" outlineLevel="0" collapsed="false">
      <c r="A421" s="1" t="n">
        <v>2021</v>
      </c>
      <c r="B421" s="1" t="n">
        <v>1</v>
      </c>
      <c r="C421" s="1" t="inlineStr">
        <is>
          <t xml:space="preserve">NTCCRE2020</t>
        </is>
      </c>
      <c r="D421" s="1" t="inlineStr">
        <is>
          <t xml:space="preserve">ELIMINADO</t>
        </is>
      </c>
      <c r="E421" s="1" t="n">
        <v>10</v>
      </c>
      <c r="F421" s="1" t="n">
        <v>20</v>
      </c>
      <c r="G421" s="1" t="n">
        <f aca="false">IF(E421=0,"",IF(D421="VIGENTE",1,0))</f>
        <v>0</v>
      </c>
      <c r="H421" s="1" t="inlineStr">
        <is>
          <t xml:space="preserve">B observado / C cálculo</t>
        </is>
      </c>
    </row>
    <row r="422" customFormat="false" ht="15" hidden="false" customHeight="true" outlineLevel="0" collapsed="false">
      <c r="A422" s="1" t="n">
        <v>2021</v>
      </c>
      <c r="B422" s="1" t="n">
        <v>1</v>
      </c>
      <c r="C422" s="1" t="inlineStr">
        <is>
          <t xml:space="preserve">NTCCRE2020</t>
        </is>
      </c>
      <c r="D422" s="1" t="inlineStr">
        <is>
          <t xml:space="preserve">TITULADO</t>
        </is>
      </c>
      <c r="E422" s="1" t="n">
        <v>9</v>
      </c>
      <c r="F422" s="1" t="n">
        <v>18</v>
      </c>
      <c r="G422" s="1" t="n">
        <f aca="false">IF(E422=0,"",IF(D422="VIGENTE",1,0))</f>
        <v>0</v>
      </c>
      <c r="H422" s="1" t="inlineStr">
        <is>
          <t xml:space="preserve">B observado / C cálculo</t>
        </is>
      </c>
    </row>
    <row r="423" customFormat="false" ht="15" hidden="false" customHeight="true" outlineLevel="0" collapsed="false">
      <c r="A423" s="1" t="n">
        <v>2021</v>
      </c>
      <c r="B423" s="1" t="n">
        <v>1</v>
      </c>
      <c r="C423" s="1" t="inlineStr">
        <is>
          <t xml:space="preserve">NTCCREOL2020</t>
        </is>
      </c>
      <c r="D423" s="1" t="inlineStr">
        <is>
          <t xml:space="preserve">ELIMINADO</t>
        </is>
      </c>
      <c r="E423" s="1" t="n">
        <v>1</v>
      </c>
      <c r="F423" s="1" t="n">
        <v>1</v>
      </c>
      <c r="G423" s="1" t="n">
        <f aca="false">IF(E423=0,"",IF(D423="VIGENTE",1,0))</f>
        <v>0</v>
      </c>
      <c r="H423" s="1" t="inlineStr">
        <is>
          <t xml:space="preserve">B observado / C cálculo</t>
        </is>
      </c>
    </row>
    <row r="424" customFormat="false" ht="15" hidden="false" customHeight="true" outlineLevel="0" collapsed="false">
      <c r="A424" s="1" t="n">
        <v>2021</v>
      </c>
      <c r="B424" s="1" t="n">
        <v>1</v>
      </c>
      <c r="C424" s="1" t="inlineStr">
        <is>
          <t xml:space="preserve">NTCCREOL2020</t>
        </is>
      </c>
      <c r="D424" s="1" t="inlineStr">
        <is>
          <t xml:space="preserve">TITULADO</t>
        </is>
      </c>
      <c r="E424" s="1" t="n">
        <v>7</v>
      </c>
      <c r="F424" s="1" t="n">
        <v>7</v>
      </c>
      <c r="G424" s="1" t="n">
        <f aca="false">IF(E424=0,"",IF(D424="VIGENTE",1,0))</f>
        <v>0</v>
      </c>
      <c r="H424" s="1" t="inlineStr">
        <is>
          <t xml:space="preserve">B observado / C cálculo</t>
        </is>
      </c>
    </row>
    <row r="425" customFormat="false" ht="15" hidden="false" customHeight="true" outlineLevel="0" collapsed="false">
      <c r="A425" s="1" t="n">
        <v>2021</v>
      </c>
      <c r="B425" s="1" t="n">
        <v>1</v>
      </c>
      <c r="C425" s="1" t="inlineStr">
        <is>
          <t xml:space="preserve">TASRE20191</t>
        </is>
      </c>
      <c r="D425" s="1" t="inlineStr">
        <is>
          <t xml:space="preserve">ELIMINADO</t>
        </is>
      </c>
      <c r="E425" s="1" t="n">
        <v>2</v>
      </c>
      <c r="F425" s="1" t="n">
        <v>3</v>
      </c>
      <c r="G425" s="1" t="n">
        <f aca="false">IF(E425=0,"",IF(D425="VIGENTE",1,0))</f>
        <v>0</v>
      </c>
      <c r="H425" s="1" t="inlineStr">
        <is>
          <t xml:space="preserve">B observado / C cálculo</t>
        </is>
      </c>
    </row>
    <row r="426" customFormat="false" ht="15" hidden="false" customHeight="true" outlineLevel="0" collapsed="false">
      <c r="A426" s="1" t="n">
        <v>2021</v>
      </c>
      <c r="B426" s="1" t="n">
        <v>1</v>
      </c>
      <c r="C426" s="1" t="inlineStr">
        <is>
          <t xml:space="preserve">TASRE20191</t>
        </is>
      </c>
      <c r="D426" s="1" t="inlineStr">
        <is>
          <t xml:space="preserve">TITULADO</t>
        </is>
      </c>
      <c r="E426" s="1" t="n">
        <v>2</v>
      </c>
      <c r="F426" s="1" t="n">
        <v>4</v>
      </c>
      <c r="G426" s="1" t="n">
        <f aca="false">IF(E426=0,"",IF(D426="VIGENTE",1,0))</f>
        <v>0</v>
      </c>
      <c r="H426" s="1" t="inlineStr">
        <is>
          <t xml:space="preserve">B observado / C cálculo</t>
        </is>
      </c>
    </row>
    <row r="427" customFormat="false" ht="15" hidden="false" customHeight="true" outlineLevel="0" collapsed="false">
      <c r="A427" s="1" t="n">
        <v>2021</v>
      </c>
      <c r="B427" s="1" t="n">
        <v>1</v>
      </c>
      <c r="C427" s="1" t="inlineStr">
        <is>
          <t xml:space="preserve">TASREOL20191</t>
        </is>
      </c>
      <c r="D427" s="1" t="inlineStr">
        <is>
          <t xml:space="preserve">ELIMINADO</t>
        </is>
      </c>
      <c r="E427" s="1" t="n">
        <v>1</v>
      </c>
      <c r="F427" s="1" t="n">
        <v>4</v>
      </c>
      <c r="G427" s="1" t="n">
        <f aca="false">IF(E427=0,"",IF(D427="VIGENTE",1,0))</f>
        <v>0</v>
      </c>
      <c r="H427" s="1" t="inlineStr">
        <is>
          <t xml:space="preserve">B observado / C cálculo</t>
        </is>
      </c>
    </row>
    <row r="428" customFormat="false" ht="15" hidden="false" customHeight="true" outlineLevel="0" collapsed="false">
      <c r="A428" s="1" t="n">
        <v>2021</v>
      </c>
      <c r="B428" s="1" t="n">
        <v>1</v>
      </c>
      <c r="C428" s="1" t="inlineStr">
        <is>
          <t xml:space="preserve">TASREOL20191</t>
        </is>
      </c>
      <c r="D428" s="1" t="inlineStr">
        <is>
          <t xml:space="preserve">TITULADO</t>
        </is>
      </c>
      <c r="E428" s="1" t="n">
        <v>1</v>
      </c>
      <c r="F428" s="1" t="n">
        <v>8</v>
      </c>
      <c r="G428" s="1" t="n">
        <f aca="false">IF(E428=0,"",IF(D428="VIGENTE",1,0))</f>
        <v>0</v>
      </c>
      <c r="H428" s="1" t="inlineStr">
        <is>
          <t xml:space="preserve">B observado / C cálculo</t>
        </is>
      </c>
    </row>
    <row r="429" customFormat="false" ht="15" hidden="false" customHeight="true" outlineLevel="0" collapsed="false">
      <c r="A429" s="1" t="n">
        <v>2021</v>
      </c>
      <c r="B429" s="1" t="n">
        <v>1</v>
      </c>
      <c r="C429" s="1" t="inlineStr">
        <is>
          <t xml:space="preserve">TCSRE20191</t>
        </is>
      </c>
      <c r="D429" s="1" t="inlineStr">
        <is>
          <t xml:space="preserve">ELIMINADO</t>
        </is>
      </c>
      <c r="E429" s="1" t="n">
        <v>10</v>
      </c>
      <c r="F429" s="1" t="n">
        <v>20</v>
      </c>
      <c r="G429" s="1" t="n">
        <f aca="false">IF(E429=0,"",IF(D429="VIGENTE",1,0))</f>
        <v>0</v>
      </c>
      <c r="H429" s="1" t="inlineStr">
        <is>
          <t xml:space="preserve">B observado / C cálculo</t>
        </is>
      </c>
    </row>
    <row r="430" customFormat="false" ht="15" hidden="false" customHeight="true" outlineLevel="0" collapsed="false">
      <c r="A430" s="1" t="n">
        <v>2021</v>
      </c>
      <c r="B430" s="1" t="n">
        <v>1</v>
      </c>
      <c r="C430" s="1" t="inlineStr">
        <is>
          <t xml:space="preserve">TCSRE20191</t>
        </is>
      </c>
      <c r="D430" s="1" t="inlineStr">
        <is>
          <t xml:space="preserve">TITULADO</t>
        </is>
      </c>
      <c r="E430" s="1" t="n">
        <v>9</v>
      </c>
      <c r="F430" s="1" t="n">
        <v>24</v>
      </c>
      <c r="G430" s="1" t="n">
        <f aca="false">IF(E430=0,"",IF(D430="VIGENTE",1,0))</f>
        <v>0</v>
      </c>
      <c r="H430" s="1" t="inlineStr">
        <is>
          <t xml:space="preserve">B observado / C cálculo</t>
        </is>
      </c>
    </row>
    <row r="431" customFormat="false" ht="15" hidden="false" customHeight="true" outlineLevel="0" collapsed="false">
      <c r="A431" s="1" t="n">
        <v>2021</v>
      </c>
      <c r="B431" s="1" t="n">
        <v>1</v>
      </c>
      <c r="C431" s="1" t="inlineStr">
        <is>
          <t xml:space="preserve">TCSRE20191</t>
        </is>
      </c>
      <c r="D431" s="1" t="inlineStr">
        <is>
          <t xml:space="preserve">VIGENTE</t>
        </is>
      </c>
      <c r="E431" s="1" t="n">
        <v>1</v>
      </c>
      <c r="F431" s="1" t="n">
        <v>2</v>
      </c>
      <c r="G431" s="1" t="n">
        <f aca="false">IF(E431=0,"",IF(D431="VIGENTE",1,0))</f>
        <v>1</v>
      </c>
      <c r="H431" s="1" t="inlineStr">
        <is>
          <t xml:space="preserve">B observado / C cálculo</t>
        </is>
      </c>
    </row>
    <row r="432" customFormat="false" ht="15" hidden="false" customHeight="true" outlineLevel="0" collapsed="false">
      <c r="A432" s="1" t="n">
        <v>2021</v>
      </c>
      <c r="B432" s="1" t="n">
        <v>1</v>
      </c>
      <c r="C432" s="1" t="inlineStr">
        <is>
          <t xml:space="preserve">TCSRE20211</t>
        </is>
      </c>
      <c r="D432" s="1" t="inlineStr">
        <is>
          <t xml:space="preserve">ELIMINADO</t>
        </is>
      </c>
      <c r="E432" s="1" t="n">
        <v>13</v>
      </c>
      <c r="F432" s="1" t="n">
        <v>43</v>
      </c>
      <c r="G432" s="1" t="n">
        <f aca="false">IF(E432=0,"",IF(D432="VIGENTE",1,0))</f>
        <v>0</v>
      </c>
      <c r="H432" s="1" t="inlineStr">
        <is>
          <t xml:space="preserve">B observado / C cálculo</t>
        </is>
      </c>
    </row>
    <row r="433" customFormat="false" ht="15" hidden="false" customHeight="true" outlineLevel="0" collapsed="false">
      <c r="A433" s="1" t="n">
        <v>2021</v>
      </c>
      <c r="B433" s="1" t="n">
        <v>1</v>
      </c>
      <c r="C433" s="1" t="inlineStr">
        <is>
          <t xml:space="preserve">TCSRE20211</t>
        </is>
      </c>
      <c r="D433" s="1" t="inlineStr">
        <is>
          <t xml:space="preserve">TITULADO</t>
        </is>
      </c>
      <c r="E433" s="1" t="n">
        <v>4</v>
      </c>
      <c r="F433" s="1" t="n">
        <v>12</v>
      </c>
      <c r="G433" s="1" t="n">
        <f aca="false">IF(E433=0,"",IF(D433="VIGENTE",1,0))</f>
        <v>0</v>
      </c>
      <c r="H433" s="1" t="inlineStr">
        <is>
          <t xml:space="preserve">B observado / C cálculo</t>
        </is>
      </c>
    </row>
    <row r="434" customFormat="false" ht="15" hidden="false" customHeight="true" outlineLevel="0" collapsed="false">
      <c r="A434" s="1" t="n">
        <v>2021</v>
      </c>
      <c r="B434" s="1" t="n">
        <v>1</v>
      </c>
      <c r="C434" s="1" t="inlineStr">
        <is>
          <t xml:space="preserve">TCSREOL2020</t>
        </is>
      </c>
      <c r="D434" s="1" t="inlineStr">
        <is>
          <t xml:space="preserve">ELIMINADO</t>
        </is>
      </c>
      <c r="E434" s="1" t="n">
        <v>3</v>
      </c>
      <c r="F434" s="1" t="n">
        <v>3</v>
      </c>
      <c r="G434" s="1" t="n">
        <f aca="false">IF(E434=0,"",IF(D434="VIGENTE",1,0))</f>
        <v>0</v>
      </c>
      <c r="H434" s="1" t="inlineStr">
        <is>
          <t xml:space="preserve">B observado / C cálculo</t>
        </is>
      </c>
    </row>
    <row r="435" customFormat="false" ht="15" hidden="false" customHeight="true" outlineLevel="0" collapsed="false">
      <c r="A435" s="1" t="n">
        <v>2021</v>
      </c>
      <c r="B435" s="1" t="n">
        <v>1</v>
      </c>
      <c r="C435" s="1" t="inlineStr">
        <is>
          <t xml:space="preserve">TCSREOL2020</t>
        </is>
      </c>
      <c r="D435" s="1" t="inlineStr">
        <is>
          <t xml:space="preserve">TITULADO</t>
        </is>
      </c>
      <c r="E435" s="1" t="n">
        <v>6</v>
      </c>
      <c r="F435" s="1" t="n">
        <v>8</v>
      </c>
      <c r="G435" s="1" t="n">
        <f aca="false">IF(E435=0,"",IF(D435="VIGENTE",1,0))</f>
        <v>0</v>
      </c>
      <c r="H435" s="1" t="inlineStr">
        <is>
          <t xml:space="preserve">B observado / C cálculo</t>
        </is>
      </c>
    </row>
    <row r="436" customFormat="false" ht="15" hidden="false" customHeight="true" outlineLevel="0" collapsed="false">
      <c r="A436" s="1" t="n">
        <v>2021</v>
      </c>
      <c r="B436" s="1" t="n">
        <v>1</v>
      </c>
      <c r="C436" s="1" t="inlineStr">
        <is>
          <t xml:space="preserve">TCSREOL20211</t>
        </is>
      </c>
      <c r="D436" s="1" t="inlineStr">
        <is>
          <t xml:space="preserve">ELIMINADO</t>
        </is>
      </c>
      <c r="E436" s="1" t="n">
        <v>34</v>
      </c>
      <c r="F436" s="1" t="n">
        <v>80</v>
      </c>
      <c r="G436" s="1" t="n">
        <f aca="false">IF(E436=0,"",IF(D436="VIGENTE",1,0))</f>
        <v>0</v>
      </c>
      <c r="H436" s="1" t="inlineStr">
        <is>
          <t xml:space="preserve">B observado / C cálculo</t>
        </is>
      </c>
    </row>
    <row r="437" customFormat="false" ht="15" hidden="false" customHeight="true" outlineLevel="0" collapsed="false">
      <c r="A437" s="1" t="n">
        <v>2021</v>
      </c>
      <c r="B437" s="1" t="n">
        <v>1</v>
      </c>
      <c r="C437" s="1" t="inlineStr">
        <is>
          <t xml:space="preserve">TCSREOL20211</t>
        </is>
      </c>
      <c r="D437" s="1" t="inlineStr">
        <is>
          <t xml:space="preserve">TITULADO</t>
        </is>
      </c>
      <c r="E437" s="1" t="n">
        <v>10</v>
      </c>
      <c r="F437" s="1" t="n">
        <v>20</v>
      </c>
      <c r="G437" s="1" t="n">
        <f aca="false">IF(E437=0,"",IF(D437="VIGENTE",1,0))</f>
        <v>0</v>
      </c>
      <c r="H437" s="1" t="inlineStr">
        <is>
          <t xml:space="preserve">B observado / C cálculo</t>
        </is>
      </c>
    </row>
    <row r="438" customFormat="false" ht="15" hidden="false" customHeight="true" outlineLevel="0" collapsed="false">
      <c r="A438" s="1" t="n">
        <v>2021</v>
      </c>
      <c r="B438" s="1" t="n">
        <v>1</v>
      </c>
      <c r="C438" s="1" t="inlineStr">
        <is>
          <t xml:space="preserve">TCSREOL20211</t>
        </is>
      </c>
      <c r="D438" s="1" t="inlineStr">
        <is>
          <t xml:space="preserve">VIGENTE</t>
        </is>
      </c>
      <c r="E438" s="1" t="n">
        <v>1</v>
      </c>
      <c r="F438" s="1" t="n">
        <v>2</v>
      </c>
      <c r="G438" s="1" t="n">
        <f aca="false">IF(E438=0,"",IF(D438="VIGENTE",1,0))</f>
        <v>1</v>
      </c>
      <c r="H438" s="1" t="inlineStr">
        <is>
          <t xml:space="preserve">B observado / C cálculo</t>
        </is>
      </c>
    </row>
    <row r="439" customFormat="false" ht="15" hidden="false" customHeight="true" outlineLevel="0" collapsed="false">
      <c r="A439" s="1" t="n">
        <v>2021</v>
      </c>
      <c r="B439" s="1" t="n">
        <v>1</v>
      </c>
      <c r="C439" s="1" t="inlineStr">
        <is>
          <t xml:space="preserve">TMIRE20171</t>
        </is>
      </c>
      <c r="D439" s="1" t="inlineStr">
        <is>
          <t xml:space="preserve">ELIMINADO</t>
        </is>
      </c>
      <c r="E439" s="1" t="n">
        <v>1</v>
      </c>
      <c r="F439" s="1" t="n">
        <v>1</v>
      </c>
      <c r="G439" s="1" t="n">
        <f aca="false">IF(E439=0,"",IF(D439="VIGENTE",1,0))</f>
        <v>0</v>
      </c>
      <c r="H439" s="1" t="inlineStr">
        <is>
          <t xml:space="preserve">B observado / C cálculo</t>
        </is>
      </c>
    </row>
    <row r="440" customFormat="false" ht="15" hidden="false" customHeight="true" outlineLevel="0" collapsed="false">
      <c r="A440" s="1" t="n">
        <v>2021</v>
      </c>
      <c r="B440" s="1" t="n">
        <v>1</v>
      </c>
      <c r="C440" s="1" t="inlineStr">
        <is>
          <t xml:space="preserve">TMIRE20171</t>
        </is>
      </c>
      <c r="D440" s="1" t="inlineStr">
        <is>
          <t xml:space="preserve">TITULADO</t>
        </is>
      </c>
      <c r="E440" s="1" t="n">
        <v>1</v>
      </c>
      <c r="F440" s="1" t="n">
        <v>1</v>
      </c>
      <c r="G440" s="1" t="n">
        <f aca="false">IF(E440=0,"",IF(D440="VIGENTE",1,0))</f>
        <v>0</v>
      </c>
      <c r="H440" s="1" t="inlineStr">
        <is>
          <t xml:space="preserve">B observado / C cálculo</t>
        </is>
      </c>
    </row>
    <row r="441" customFormat="false" ht="15" hidden="false" customHeight="true" outlineLevel="0" collapsed="false">
      <c r="A441" s="1" t="n">
        <v>2021</v>
      </c>
      <c r="B441" s="1" t="n">
        <v>1</v>
      </c>
      <c r="C441" s="1" t="inlineStr">
        <is>
          <t xml:space="preserve">TMIRE2020</t>
        </is>
      </c>
      <c r="D441" s="1" t="inlineStr">
        <is>
          <t xml:space="preserve">ELIMINADO</t>
        </is>
      </c>
      <c r="E441" s="1" t="n">
        <v>2</v>
      </c>
      <c r="F441" s="1" t="n">
        <v>12</v>
      </c>
      <c r="G441" s="1" t="n">
        <f aca="false">IF(E441=0,"",IF(D441="VIGENTE",1,0))</f>
        <v>0</v>
      </c>
      <c r="H441" s="1" t="inlineStr">
        <is>
          <t xml:space="preserve">B observado / C cálculo</t>
        </is>
      </c>
    </row>
    <row r="442" customFormat="false" ht="15" hidden="false" customHeight="true" outlineLevel="0" collapsed="false">
      <c r="A442" s="1" t="n">
        <v>2021</v>
      </c>
      <c r="B442" s="1" t="n">
        <v>1</v>
      </c>
      <c r="C442" s="1" t="inlineStr">
        <is>
          <t xml:space="preserve">TMIRE2020</t>
        </is>
      </c>
      <c r="D442" s="1" t="inlineStr">
        <is>
          <t xml:space="preserve">TITULADO</t>
        </is>
      </c>
      <c r="E442" s="1" t="n">
        <v>3</v>
      </c>
      <c r="F442" s="1" t="n">
        <v>19</v>
      </c>
      <c r="G442" s="1" t="n">
        <f aca="false">IF(E442=0,"",IF(D442="VIGENTE",1,0))</f>
        <v>0</v>
      </c>
      <c r="H442" s="1" t="inlineStr">
        <is>
          <t xml:space="preserve">B observado / C cálculo</t>
        </is>
      </c>
    </row>
    <row r="443" customFormat="false" ht="15" hidden="false" customHeight="true" outlineLevel="0" collapsed="false">
      <c r="A443" s="1" t="n">
        <v>2021</v>
      </c>
      <c r="B443" s="1" t="n">
        <v>1</v>
      </c>
      <c r="C443" s="1" t="inlineStr">
        <is>
          <t xml:space="preserve">TMIRE20211</t>
        </is>
      </c>
      <c r="D443" s="1" t="inlineStr">
        <is>
          <t xml:space="preserve">ELIMINADO</t>
        </is>
      </c>
      <c r="E443" s="1" t="n">
        <v>7</v>
      </c>
      <c r="F443" s="1" t="n">
        <v>61</v>
      </c>
      <c r="G443" s="1" t="n">
        <f aca="false">IF(E443=0,"",IF(D443="VIGENTE",1,0))</f>
        <v>0</v>
      </c>
      <c r="H443" s="1" t="inlineStr">
        <is>
          <t xml:space="preserve">B observado / C cálculo</t>
        </is>
      </c>
    </row>
    <row r="444" customFormat="false" ht="15" hidden="false" customHeight="true" outlineLevel="0" collapsed="false">
      <c r="A444" s="1" t="n">
        <v>2021</v>
      </c>
      <c r="B444" s="1" t="n">
        <v>1</v>
      </c>
      <c r="C444" s="1" t="inlineStr">
        <is>
          <t xml:space="preserve">TMIRE20211</t>
        </is>
      </c>
      <c r="D444" s="1" t="inlineStr">
        <is>
          <t xml:space="preserve">TITULADO</t>
        </is>
      </c>
      <c r="E444" s="1" t="n">
        <v>1</v>
      </c>
      <c r="F444" s="1" t="n">
        <v>7</v>
      </c>
      <c r="G444" s="1" t="n">
        <f aca="false">IF(E444=0,"",IF(D444="VIGENTE",1,0))</f>
        <v>0</v>
      </c>
      <c r="H444" s="1" t="inlineStr">
        <is>
          <t xml:space="preserve">B observado / C cálculo</t>
        </is>
      </c>
    </row>
    <row r="445" customFormat="false" ht="15" hidden="false" customHeight="true" outlineLevel="0" collapsed="false">
      <c r="A445" s="1" t="n">
        <v>2021</v>
      </c>
      <c r="B445" s="1" t="n">
        <v>1</v>
      </c>
      <c r="C445" s="1" t="inlineStr">
        <is>
          <t xml:space="preserve">TPARE2020</t>
        </is>
      </c>
      <c r="D445" s="1" t="inlineStr">
        <is>
          <t xml:space="preserve">ELIMINADO</t>
        </is>
      </c>
      <c r="E445" s="1" t="n">
        <v>11</v>
      </c>
      <c r="F445" s="1" t="n">
        <v>20</v>
      </c>
      <c r="G445" s="1" t="n">
        <f aca="false">IF(E445=0,"",IF(D445="VIGENTE",1,0))</f>
        <v>0</v>
      </c>
      <c r="H445" s="1" t="inlineStr">
        <is>
          <t xml:space="preserve">B observado / C cálculo</t>
        </is>
      </c>
    </row>
    <row r="446" customFormat="false" ht="15" hidden="false" customHeight="true" outlineLevel="0" collapsed="false">
      <c r="A446" s="1" t="n">
        <v>2021</v>
      </c>
      <c r="B446" s="1" t="n">
        <v>1</v>
      </c>
      <c r="C446" s="1" t="inlineStr">
        <is>
          <t xml:space="preserve">TPARE2020</t>
        </is>
      </c>
      <c r="D446" s="1" t="inlineStr">
        <is>
          <t xml:space="preserve">TITULADO</t>
        </is>
      </c>
      <c r="E446" s="1" t="n">
        <v>18</v>
      </c>
      <c r="F446" s="1" t="n">
        <v>34</v>
      </c>
      <c r="G446" s="1" t="n">
        <f aca="false">IF(E446=0,"",IF(D446="VIGENTE",1,0))</f>
        <v>0</v>
      </c>
      <c r="H446" s="1" t="inlineStr">
        <is>
          <t xml:space="preserve">B observado / C cálculo</t>
        </is>
      </c>
    </row>
    <row r="447" customFormat="false" ht="15" hidden="false" customHeight="true" outlineLevel="0" collapsed="false">
      <c r="A447" s="1" t="n">
        <v>2021</v>
      </c>
      <c r="B447" s="1" t="n">
        <v>1</v>
      </c>
      <c r="C447" s="1" t="inlineStr">
        <is>
          <t xml:space="preserve">TPARE20211</t>
        </is>
      </c>
      <c r="D447" s="1" t="inlineStr">
        <is>
          <t xml:space="preserve">ELIMINADO</t>
        </is>
      </c>
      <c r="E447" s="1" t="n">
        <v>23</v>
      </c>
      <c r="F447" s="1" t="n">
        <v>87</v>
      </c>
      <c r="G447" s="1" t="n">
        <f aca="false">IF(E447=0,"",IF(D447="VIGENTE",1,0))</f>
        <v>0</v>
      </c>
      <c r="H447" s="1" t="inlineStr">
        <is>
          <t xml:space="preserve">B observado / C cálculo</t>
        </is>
      </c>
    </row>
    <row r="448" customFormat="false" ht="15" hidden="false" customHeight="true" outlineLevel="0" collapsed="false">
      <c r="A448" s="1" t="n">
        <v>2021</v>
      </c>
      <c r="B448" s="1" t="n">
        <v>1</v>
      </c>
      <c r="C448" s="1" t="inlineStr">
        <is>
          <t xml:space="preserve">TPARE20211</t>
        </is>
      </c>
      <c r="D448" s="1" t="inlineStr">
        <is>
          <t xml:space="preserve">TITULADO</t>
        </is>
      </c>
      <c r="E448" s="1" t="n">
        <v>17</v>
      </c>
      <c r="F448" s="1" t="n">
        <v>66</v>
      </c>
      <c r="G448" s="1" t="n">
        <f aca="false">IF(E448=0,"",IF(D448="VIGENTE",1,0))</f>
        <v>0</v>
      </c>
      <c r="H448" s="1" t="inlineStr">
        <is>
          <t xml:space="preserve">B observado / C cálculo</t>
        </is>
      </c>
    </row>
    <row r="449" customFormat="false" ht="15" hidden="false" customHeight="true" outlineLevel="0" collapsed="false">
      <c r="A449" s="1" t="n">
        <v>2021</v>
      </c>
      <c r="B449" s="1" t="n">
        <v>1</v>
      </c>
      <c r="C449" s="1" t="inlineStr">
        <is>
          <t xml:space="preserve">TPAREOL2020</t>
        </is>
      </c>
      <c r="D449" s="1" t="inlineStr">
        <is>
          <t xml:space="preserve">ELIMINADO</t>
        </is>
      </c>
      <c r="E449" s="1" t="n">
        <v>7</v>
      </c>
      <c r="F449" s="1" t="n">
        <v>8</v>
      </c>
      <c r="G449" s="1" t="n">
        <f aca="false">IF(E449=0,"",IF(D449="VIGENTE",1,0))</f>
        <v>0</v>
      </c>
      <c r="H449" s="1" t="inlineStr">
        <is>
          <t xml:space="preserve">B observado / C cálculo</t>
        </is>
      </c>
    </row>
    <row r="450" customFormat="false" ht="15" hidden="false" customHeight="true" outlineLevel="0" collapsed="false">
      <c r="A450" s="1" t="n">
        <v>2021</v>
      </c>
      <c r="B450" s="1" t="n">
        <v>1</v>
      </c>
      <c r="C450" s="1" t="inlineStr">
        <is>
          <t xml:space="preserve">TPAREOL2020</t>
        </is>
      </c>
      <c r="D450" s="1" t="inlineStr">
        <is>
          <t xml:space="preserve">TITULADO</t>
        </is>
      </c>
      <c r="E450" s="1" t="n">
        <v>19</v>
      </c>
      <c r="F450" s="1" t="n">
        <v>19</v>
      </c>
      <c r="G450" s="1" t="n">
        <f aca="false">IF(E450=0,"",IF(D450="VIGENTE",1,0))</f>
        <v>0</v>
      </c>
      <c r="H450" s="1" t="inlineStr">
        <is>
          <t xml:space="preserve">B observado / C cálculo</t>
        </is>
      </c>
    </row>
    <row r="451" customFormat="false" ht="15" hidden="false" customHeight="true" outlineLevel="0" collapsed="false">
      <c r="A451" s="1" t="n">
        <v>2021</v>
      </c>
      <c r="B451" s="1" t="n">
        <v>1</v>
      </c>
      <c r="C451" s="1" t="inlineStr">
        <is>
          <t xml:space="preserve">TPAREOL2020</t>
        </is>
      </c>
      <c r="D451" s="1" t="inlineStr">
        <is>
          <t xml:space="preserve">VIGENTE</t>
        </is>
      </c>
      <c r="E451" s="1" t="n">
        <v>2</v>
      </c>
      <c r="F451" s="1" t="n">
        <v>2</v>
      </c>
      <c r="G451" s="1" t="n">
        <f aca="false">IF(E451=0,"",IF(D451="VIGENTE",1,0))</f>
        <v>1</v>
      </c>
      <c r="H451" s="1" t="inlineStr">
        <is>
          <t xml:space="preserve">B observado / C cálculo</t>
        </is>
      </c>
    </row>
    <row r="452" customFormat="false" ht="15" hidden="false" customHeight="true" outlineLevel="0" collapsed="false">
      <c r="A452" s="1" t="n">
        <v>2021</v>
      </c>
      <c r="B452" s="1" t="n">
        <v>1</v>
      </c>
      <c r="C452" s="1" t="inlineStr">
        <is>
          <t xml:space="preserve">TPAREOL20211</t>
        </is>
      </c>
      <c r="D452" s="1" t="inlineStr">
        <is>
          <t xml:space="preserve">ELIMINADO</t>
        </is>
      </c>
      <c r="E452" s="1" t="n">
        <v>51</v>
      </c>
      <c r="F452" s="1" t="n">
        <v>52</v>
      </c>
      <c r="G452" s="1" t="n">
        <f aca="false">IF(E452=0,"",IF(D452="VIGENTE",1,0))</f>
        <v>0</v>
      </c>
      <c r="H452" s="1" t="inlineStr">
        <is>
          <t xml:space="preserve">B observado / C cálculo</t>
        </is>
      </c>
    </row>
    <row r="453" customFormat="false" ht="15" hidden="false" customHeight="true" outlineLevel="0" collapsed="false">
      <c r="A453" s="1" t="n">
        <v>2021</v>
      </c>
      <c r="B453" s="1" t="n">
        <v>1</v>
      </c>
      <c r="C453" s="1" t="inlineStr">
        <is>
          <t xml:space="preserve">TPAREOL20211</t>
        </is>
      </c>
      <c r="D453" s="1" t="inlineStr">
        <is>
          <t xml:space="preserve">TITULADO</t>
        </is>
      </c>
      <c r="E453" s="1" t="n">
        <v>41</v>
      </c>
      <c r="F453" s="1" t="n">
        <v>66</v>
      </c>
      <c r="G453" s="1" t="n">
        <f aca="false">IF(E453=0,"",IF(D453="VIGENTE",1,0))</f>
        <v>0</v>
      </c>
      <c r="H453" s="1" t="inlineStr">
        <is>
          <t xml:space="preserve">B observado / C cálculo</t>
        </is>
      </c>
    </row>
    <row r="454" customFormat="false" ht="15" hidden="false" customHeight="true" outlineLevel="0" collapsed="false">
      <c r="A454" s="1" t="n">
        <v>2021</v>
      </c>
      <c r="B454" s="1" t="n">
        <v>1</v>
      </c>
      <c r="C454" s="1" t="inlineStr">
        <is>
          <t xml:space="preserve">TPAREOL20211</t>
        </is>
      </c>
      <c r="D454" s="1" t="inlineStr">
        <is>
          <t xml:space="preserve">VIGENTE</t>
        </is>
      </c>
      <c r="E454" s="1" t="n">
        <v>2</v>
      </c>
      <c r="F454" s="1" t="n">
        <v>3</v>
      </c>
      <c r="G454" s="1" t="n">
        <f aca="false">IF(E454=0,"",IF(D454="VIGENTE",1,0))</f>
        <v>1</v>
      </c>
      <c r="H454" s="1" t="inlineStr">
        <is>
          <t xml:space="preserve">B observado / C cálculo</t>
        </is>
      </c>
    </row>
    <row r="455" customFormat="false" ht="15" hidden="false" customHeight="true" outlineLevel="0" collapsed="false">
      <c r="A455" s="1" t="n">
        <v>2021</v>
      </c>
      <c r="B455" s="1" t="n">
        <v>1</v>
      </c>
      <c r="C455" s="1" t="inlineStr">
        <is>
          <t xml:space="preserve">TPAS20241</t>
        </is>
      </c>
      <c r="D455" s="1" t="inlineStr">
        <is>
          <t xml:space="preserve">SUSPENDIDO</t>
        </is>
      </c>
      <c r="E455" s="1" t="n">
        <v>1</v>
      </c>
      <c r="F455" s="1" t="n">
        <v>5</v>
      </c>
      <c r="G455" s="1" t="n">
        <f aca="false">IF(E455=0,"",IF(D455="VIGENTE",1,0))</f>
        <v>0</v>
      </c>
      <c r="H455" s="1" t="inlineStr">
        <is>
          <t xml:space="preserve">B observado / C cálculo</t>
        </is>
      </c>
    </row>
    <row r="456" customFormat="false" ht="15" hidden="false" customHeight="true" outlineLevel="0" collapsed="false">
      <c r="A456" s="1" t="n">
        <v>2021</v>
      </c>
      <c r="B456" s="1" t="n">
        <v>1</v>
      </c>
      <c r="C456" s="1" t="inlineStr">
        <is>
          <t xml:space="preserve">TPCRE20191</t>
        </is>
      </c>
      <c r="D456" s="1" t="inlineStr">
        <is>
          <t xml:space="preserve">ELIMINADO</t>
        </is>
      </c>
      <c r="E456" s="1" t="n">
        <v>2</v>
      </c>
      <c r="F456" s="1" t="n">
        <v>2</v>
      </c>
      <c r="G456" s="1" t="n">
        <f aca="false">IF(E456=0,"",IF(D456="VIGENTE",1,0))</f>
        <v>0</v>
      </c>
      <c r="H456" s="1" t="inlineStr">
        <is>
          <t xml:space="preserve">B observado / C cálculo</t>
        </is>
      </c>
    </row>
    <row r="457" customFormat="false" ht="15" hidden="false" customHeight="true" outlineLevel="0" collapsed="false">
      <c r="A457" s="1" t="n">
        <v>2021</v>
      </c>
      <c r="B457" s="1" t="n">
        <v>1</v>
      </c>
      <c r="C457" s="1" t="inlineStr">
        <is>
          <t xml:space="preserve">TPCRE20191</t>
        </is>
      </c>
      <c r="D457" s="1" t="inlineStr">
        <is>
          <t xml:space="preserve">TITULADO</t>
        </is>
      </c>
      <c r="E457" s="1" t="n">
        <v>10</v>
      </c>
      <c r="F457" s="1" t="n">
        <v>30</v>
      </c>
      <c r="G457" s="1" t="n">
        <f aca="false">IF(E457=0,"",IF(D457="VIGENTE",1,0))</f>
        <v>0</v>
      </c>
      <c r="H457" s="1" t="inlineStr">
        <is>
          <t xml:space="preserve">B observado / C cálculo</t>
        </is>
      </c>
    </row>
    <row r="458" customFormat="false" ht="15" hidden="false" customHeight="true" outlineLevel="0" collapsed="false">
      <c r="A458" s="1" t="n">
        <v>2021</v>
      </c>
      <c r="B458" s="1" t="n">
        <v>1</v>
      </c>
      <c r="C458" s="1" t="inlineStr">
        <is>
          <t xml:space="preserve">TPCREOL20191</t>
        </is>
      </c>
      <c r="D458" s="1" t="inlineStr">
        <is>
          <t xml:space="preserve">ELIMINADO</t>
        </is>
      </c>
      <c r="E458" s="1" t="n">
        <v>2</v>
      </c>
      <c r="F458" s="1" t="n">
        <v>2</v>
      </c>
      <c r="G458" s="1" t="n">
        <f aca="false">IF(E458=0,"",IF(D458="VIGENTE",1,0))</f>
        <v>0</v>
      </c>
      <c r="H458" s="1" t="inlineStr">
        <is>
          <t xml:space="preserve">B observado / C cálculo</t>
        </is>
      </c>
    </row>
    <row r="459" customFormat="false" ht="15" hidden="false" customHeight="true" outlineLevel="0" collapsed="false">
      <c r="A459" s="1" t="n">
        <v>2021</v>
      </c>
      <c r="B459" s="1" t="n">
        <v>1</v>
      </c>
      <c r="C459" s="1" t="inlineStr">
        <is>
          <t xml:space="preserve">TPCREOL20191</t>
        </is>
      </c>
      <c r="D459" s="1" t="inlineStr">
        <is>
          <t xml:space="preserve">TITULADO</t>
        </is>
      </c>
      <c r="E459" s="1" t="n">
        <v>5</v>
      </c>
      <c r="F459" s="1" t="n">
        <v>9</v>
      </c>
      <c r="G459" s="1" t="n">
        <f aca="false">IF(E459=0,"",IF(D459="VIGENTE",1,0))</f>
        <v>0</v>
      </c>
      <c r="H459" s="1" t="inlineStr">
        <is>
          <t xml:space="preserve">B observado / C cálculo</t>
        </is>
      </c>
    </row>
    <row r="460" customFormat="false" ht="15" hidden="false" customHeight="true" outlineLevel="0" collapsed="false">
      <c r="A460" s="1" t="n">
        <v>2021</v>
      </c>
      <c r="B460" s="1" t="n">
        <v>1</v>
      </c>
      <c r="C460" s="1" t="inlineStr">
        <is>
          <t xml:space="preserve">TTMRE20191</t>
        </is>
      </c>
      <c r="D460" s="1" t="inlineStr">
        <is>
          <t xml:space="preserve">ELIMINADO</t>
        </is>
      </c>
      <c r="E460" s="1" t="n">
        <v>9</v>
      </c>
      <c r="F460" s="1" t="n">
        <v>15</v>
      </c>
      <c r="G460" s="1" t="n">
        <f aca="false">IF(E460=0,"",IF(D460="VIGENTE",1,0))</f>
        <v>0</v>
      </c>
      <c r="H460" s="1" t="inlineStr">
        <is>
          <t xml:space="preserve">B observado / C cálculo</t>
        </is>
      </c>
    </row>
    <row r="461" customFormat="false" ht="15" hidden="false" customHeight="true" outlineLevel="0" collapsed="false">
      <c r="A461" s="1" t="n">
        <v>2021</v>
      </c>
      <c r="B461" s="1" t="n">
        <v>1</v>
      </c>
      <c r="C461" s="1" t="inlineStr">
        <is>
          <t xml:space="preserve">TTMRE20191</t>
        </is>
      </c>
      <c r="D461" s="1" t="inlineStr">
        <is>
          <t xml:space="preserve">TITULADO</t>
        </is>
      </c>
      <c r="E461" s="1" t="n">
        <v>33</v>
      </c>
      <c r="F461" s="1" t="n">
        <v>79</v>
      </c>
      <c r="G461" s="1" t="n">
        <f aca="false">IF(E461=0,"",IF(D461="VIGENTE",1,0))</f>
        <v>0</v>
      </c>
      <c r="H461" s="1" t="inlineStr">
        <is>
          <t xml:space="preserve">B observado / C cálculo</t>
        </is>
      </c>
    </row>
    <row r="462" customFormat="false" ht="15" hidden="false" customHeight="true" outlineLevel="0" collapsed="false">
      <c r="A462" s="1" t="n">
        <v>2021</v>
      </c>
      <c r="B462" s="1" t="n">
        <v>1</v>
      </c>
      <c r="C462" s="1" t="inlineStr">
        <is>
          <t xml:space="preserve">TTMRE20211</t>
        </is>
      </c>
      <c r="D462" s="1" t="inlineStr">
        <is>
          <t xml:space="preserve">ELIMINADO</t>
        </is>
      </c>
      <c r="E462" s="1" t="n">
        <v>8</v>
      </c>
      <c r="F462" s="1" t="n">
        <v>28</v>
      </c>
      <c r="G462" s="1" t="n">
        <f aca="false">IF(E462=0,"",IF(D462="VIGENTE",1,0))</f>
        <v>0</v>
      </c>
      <c r="H462" s="1" t="inlineStr">
        <is>
          <t xml:space="preserve">B observado / C cálculo</t>
        </is>
      </c>
    </row>
    <row r="463" customFormat="false" ht="15" hidden="false" customHeight="true" outlineLevel="0" collapsed="false">
      <c r="A463" s="1" t="n">
        <v>2021</v>
      </c>
      <c r="B463" s="1" t="n">
        <v>1</v>
      </c>
      <c r="C463" s="1" t="inlineStr">
        <is>
          <t xml:space="preserve">TTMRE20211</t>
        </is>
      </c>
      <c r="D463" s="1" t="inlineStr">
        <is>
          <t xml:space="preserve">TITULADO</t>
        </is>
      </c>
      <c r="E463" s="1" t="n">
        <v>6</v>
      </c>
      <c r="F463" s="1" t="n">
        <v>21</v>
      </c>
      <c r="G463" s="1" t="n">
        <f aca="false">IF(E463=0,"",IF(D463="VIGENTE",1,0))</f>
        <v>0</v>
      </c>
      <c r="H463" s="1" t="inlineStr">
        <is>
          <t xml:space="preserve">B observado / C cálculo</t>
        </is>
      </c>
    </row>
    <row r="464" customFormat="false" ht="15" hidden="false" customHeight="true" outlineLevel="0" collapsed="false">
      <c r="A464" s="1" t="n">
        <v>2021</v>
      </c>
      <c r="B464" s="1" t="n">
        <v>1</v>
      </c>
      <c r="C464" s="1" t="inlineStr">
        <is>
          <t xml:space="preserve">TTMREOL20191</t>
        </is>
      </c>
      <c r="D464" s="1" t="inlineStr">
        <is>
          <t xml:space="preserve">ELIMINADO</t>
        </is>
      </c>
      <c r="E464" s="1" t="n">
        <v>5</v>
      </c>
      <c r="F464" s="1" t="n">
        <v>6</v>
      </c>
      <c r="G464" s="1" t="n">
        <f aca="false">IF(E464=0,"",IF(D464="VIGENTE",1,0))</f>
        <v>0</v>
      </c>
      <c r="H464" s="1" t="inlineStr">
        <is>
          <t xml:space="preserve">B observado / C cálculo</t>
        </is>
      </c>
    </row>
    <row r="465" customFormat="false" ht="15" hidden="false" customHeight="true" outlineLevel="0" collapsed="false">
      <c r="A465" s="1" t="n">
        <v>2021</v>
      </c>
      <c r="B465" s="1" t="n">
        <v>1</v>
      </c>
      <c r="C465" s="1" t="inlineStr">
        <is>
          <t xml:space="preserve">TTMREOL20191</t>
        </is>
      </c>
      <c r="D465" s="1" t="inlineStr">
        <is>
          <t xml:space="preserve">SUSPENDIDO</t>
        </is>
      </c>
      <c r="E465" s="1" t="n">
        <v>1</v>
      </c>
      <c r="F465" s="1" t="n">
        <v>1</v>
      </c>
      <c r="G465" s="1" t="n">
        <f aca="false">IF(E465=0,"",IF(D465="VIGENTE",1,0))</f>
        <v>0</v>
      </c>
      <c r="H465" s="1" t="inlineStr">
        <is>
          <t xml:space="preserve">B observado / C cálculo</t>
        </is>
      </c>
    </row>
    <row r="466" customFormat="false" ht="15" hidden="false" customHeight="true" outlineLevel="0" collapsed="false">
      <c r="A466" s="1" t="n">
        <v>2021</v>
      </c>
      <c r="B466" s="1" t="n">
        <v>1</v>
      </c>
      <c r="C466" s="1" t="inlineStr">
        <is>
          <t xml:space="preserve">TTMREOL20191</t>
        </is>
      </c>
      <c r="D466" s="1" t="inlineStr">
        <is>
          <t xml:space="preserve">TITULADO</t>
        </is>
      </c>
      <c r="E466" s="1" t="n">
        <v>16</v>
      </c>
      <c r="F466" s="1" t="n">
        <v>38</v>
      </c>
      <c r="G466" s="1" t="n">
        <f aca="false">IF(E466=0,"",IF(D466="VIGENTE",1,0))</f>
        <v>0</v>
      </c>
      <c r="H466" s="1" t="inlineStr">
        <is>
          <t xml:space="preserve">B observado / C cálculo</t>
        </is>
      </c>
    </row>
    <row r="467" customFormat="false" ht="15" hidden="false" customHeight="true" outlineLevel="0" collapsed="false">
      <c r="A467" s="1" t="n">
        <v>2021</v>
      </c>
      <c r="B467" s="1" t="n">
        <v>1</v>
      </c>
      <c r="C467" s="1" t="inlineStr">
        <is>
          <t xml:space="preserve">TTMREOL20211</t>
        </is>
      </c>
      <c r="D467" s="1" t="inlineStr">
        <is>
          <t xml:space="preserve">ELIMINADO</t>
        </is>
      </c>
      <c r="E467" s="1" t="n">
        <v>14</v>
      </c>
      <c r="F467" s="1" t="n">
        <v>19</v>
      </c>
      <c r="G467" s="1" t="n">
        <f aca="false">IF(E467=0,"",IF(D467="VIGENTE",1,0))</f>
        <v>0</v>
      </c>
      <c r="H467" s="1" t="inlineStr">
        <is>
          <t xml:space="preserve">B observado / C cálculo</t>
        </is>
      </c>
    </row>
    <row r="468" customFormat="false" ht="15" hidden="false" customHeight="true" outlineLevel="0" collapsed="false">
      <c r="A468" s="1" t="n">
        <v>2021</v>
      </c>
      <c r="B468" s="1" t="n">
        <v>1</v>
      </c>
      <c r="C468" s="1" t="inlineStr">
        <is>
          <t xml:space="preserve">TTMREOL20211</t>
        </is>
      </c>
      <c r="D468" s="1" t="inlineStr">
        <is>
          <t xml:space="preserve">TITULADO</t>
        </is>
      </c>
      <c r="E468" s="1" t="n">
        <v>14</v>
      </c>
      <c r="F468" s="1" t="n">
        <v>27</v>
      </c>
      <c r="G468" s="1" t="n">
        <f aca="false">IF(E468=0,"",IF(D468="VIGENTE",1,0))</f>
        <v>0</v>
      </c>
      <c r="H468" s="1" t="inlineStr">
        <is>
          <t xml:space="preserve">B observado / C cálculo</t>
        </is>
      </c>
    </row>
    <row r="469" customFormat="false" ht="15" hidden="false" customHeight="true" outlineLevel="0" collapsed="false">
      <c r="A469" s="1" t="n">
        <v>2021</v>
      </c>
      <c r="B469" s="1" t="n">
        <v>1</v>
      </c>
      <c r="C469" s="1" t="inlineStr">
        <is>
          <t xml:space="preserve">TTMREOL20211</t>
        </is>
      </c>
      <c r="D469" s="1" t="inlineStr">
        <is>
          <t xml:space="preserve">VIGENTE</t>
        </is>
      </c>
      <c r="E469" s="1" t="n">
        <v>1</v>
      </c>
      <c r="F469" s="1" t="n">
        <v>1</v>
      </c>
      <c r="G469" s="1" t="n">
        <f aca="false">IF(E469=0,"",IF(D469="VIGENTE",1,0))</f>
        <v>1</v>
      </c>
      <c r="H469" s="1" t="inlineStr">
        <is>
          <t xml:space="preserve">B observado / C cálculo</t>
        </is>
      </c>
    </row>
    <row r="470" customFormat="false" ht="15" hidden="false" customHeight="true" outlineLevel="0" collapsed="false">
      <c r="A470" s="1" t="n">
        <v>2021</v>
      </c>
      <c r="B470" s="1" t="n">
        <v>2</v>
      </c>
      <c r="C470" s="1" t="inlineStr">
        <is>
          <t xml:space="preserve">ICIB20241</t>
        </is>
      </c>
      <c r="D470" s="1" t="inlineStr">
        <is>
          <t xml:space="preserve">ELIMINADO</t>
        </is>
      </c>
      <c r="E470" s="1" t="n">
        <v>1</v>
      </c>
      <c r="F470" s="1" t="n">
        <v>1</v>
      </c>
      <c r="G470" s="1" t="n">
        <f aca="false">IF(E470=0,"",IF(D470="VIGENTE",1,0))</f>
        <v>0</v>
      </c>
      <c r="H470" s="1" t="inlineStr">
        <is>
          <t xml:space="preserve">B observado / C cálculo</t>
        </is>
      </c>
    </row>
    <row r="471" customFormat="false" ht="15" hidden="false" customHeight="true" outlineLevel="0" collapsed="false">
      <c r="A471" s="1" t="n">
        <v>2021</v>
      </c>
      <c r="B471" s="1" t="n">
        <v>2</v>
      </c>
      <c r="C471" s="1" t="inlineStr">
        <is>
          <t xml:space="preserve">IECIRE20121</t>
        </is>
      </c>
      <c r="D471" s="1" t="inlineStr">
        <is>
          <t xml:space="preserve">TITULADO</t>
        </is>
      </c>
      <c r="E471" s="1" t="n">
        <v>1</v>
      </c>
      <c r="F471" s="1" t="n">
        <v>1</v>
      </c>
      <c r="G471" s="1" t="n">
        <f aca="false">IF(E471=0,"",IF(D471="VIGENTE",1,0))</f>
        <v>0</v>
      </c>
      <c r="H471" s="1" t="inlineStr">
        <is>
          <t xml:space="preserve">B observado / C cálculo</t>
        </is>
      </c>
    </row>
    <row r="472" customFormat="false" ht="15" hidden="false" customHeight="true" outlineLevel="0" collapsed="false">
      <c r="A472" s="1" t="n">
        <v>2021</v>
      </c>
      <c r="B472" s="1" t="n">
        <v>2</v>
      </c>
      <c r="C472" s="1" t="inlineStr">
        <is>
          <t xml:space="preserve">IECIRE20191</t>
        </is>
      </c>
      <c r="D472" s="1" t="inlineStr">
        <is>
          <t xml:space="preserve">ELIMINADO</t>
        </is>
      </c>
      <c r="E472" s="1" t="n">
        <v>9</v>
      </c>
      <c r="F472" s="1" t="n">
        <v>17</v>
      </c>
      <c r="G472" s="1" t="n">
        <f aca="false">IF(E472=0,"",IF(D472="VIGENTE",1,0))</f>
        <v>0</v>
      </c>
      <c r="H472" s="1" t="inlineStr">
        <is>
          <t xml:space="preserve">B observado / C cálculo</t>
        </is>
      </c>
    </row>
    <row r="473" customFormat="false" ht="15" hidden="false" customHeight="true" outlineLevel="0" collapsed="false">
      <c r="A473" s="1" t="n">
        <v>2021</v>
      </c>
      <c r="B473" s="1" t="n">
        <v>2</v>
      </c>
      <c r="C473" s="1" t="inlineStr">
        <is>
          <t xml:space="preserve">IECIRE20191</t>
        </is>
      </c>
      <c r="D473" s="1" t="inlineStr">
        <is>
          <t xml:space="preserve">TITULADO</t>
        </is>
      </c>
      <c r="E473" s="1" t="n">
        <v>9</v>
      </c>
      <c r="F473" s="1" t="n">
        <v>15</v>
      </c>
      <c r="G473" s="1" t="n">
        <f aca="false">IF(E473=0,"",IF(D473="VIGENTE",1,0))</f>
        <v>0</v>
      </c>
      <c r="H473" s="1" t="inlineStr">
        <is>
          <t xml:space="preserve">B observado / C cálculo</t>
        </is>
      </c>
    </row>
    <row r="474" customFormat="false" ht="15" hidden="false" customHeight="true" outlineLevel="0" collapsed="false">
      <c r="A474" s="1" t="n">
        <v>2021</v>
      </c>
      <c r="B474" s="1" t="n">
        <v>2</v>
      </c>
      <c r="C474" s="1" t="inlineStr">
        <is>
          <t xml:space="preserve">IECIRE2020</t>
        </is>
      </c>
      <c r="D474" s="1" t="inlineStr">
        <is>
          <t xml:space="preserve">ELIMINADO</t>
        </is>
      </c>
      <c r="E474" s="1" t="n">
        <v>8</v>
      </c>
      <c r="F474" s="1" t="n">
        <v>15</v>
      </c>
      <c r="G474" s="1" t="n">
        <f aca="false">IF(E474=0,"",IF(D474="VIGENTE",1,0))</f>
        <v>0</v>
      </c>
      <c r="H474" s="1" t="inlineStr">
        <is>
          <t xml:space="preserve">B observado / C cálculo</t>
        </is>
      </c>
    </row>
    <row r="475" customFormat="false" ht="15" hidden="false" customHeight="true" outlineLevel="0" collapsed="false">
      <c r="A475" s="1" t="n">
        <v>2021</v>
      </c>
      <c r="B475" s="1" t="n">
        <v>2</v>
      </c>
      <c r="C475" s="1" t="inlineStr">
        <is>
          <t xml:space="preserve">IECIRE2020</t>
        </is>
      </c>
      <c r="D475" s="1" t="inlineStr">
        <is>
          <t xml:space="preserve">TITULADO</t>
        </is>
      </c>
      <c r="E475" s="1" t="n">
        <v>4</v>
      </c>
      <c r="F475" s="1" t="n">
        <v>7</v>
      </c>
      <c r="G475" s="1" t="n">
        <f aca="false">IF(E475=0,"",IF(D475="VIGENTE",1,0))</f>
        <v>0</v>
      </c>
      <c r="H475" s="1" t="inlineStr">
        <is>
          <t xml:space="preserve">B observado / C cálculo</t>
        </is>
      </c>
    </row>
    <row r="476" customFormat="false" ht="15" hidden="false" customHeight="true" outlineLevel="0" collapsed="false">
      <c r="A476" s="1" t="n">
        <v>2021</v>
      </c>
      <c r="B476" s="1" t="n">
        <v>2</v>
      </c>
      <c r="C476" s="1" t="inlineStr">
        <is>
          <t xml:space="preserve">IECIRE20211</t>
        </is>
      </c>
      <c r="D476" s="1" t="inlineStr">
        <is>
          <t xml:space="preserve">ELIMINADO</t>
        </is>
      </c>
      <c r="E476" s="1" t="n">
        <v>16</v>
      </c>
      <c r="F476" s="1" t="n">
        <v>35</v>
      </c>
      <c r="G476" s="1" t="n">
        <f aca="false">IF(E476=0,"",IF(D476="VIGENTE",1,0))</f>
        <v>0</v>
      </c>
      <c r="H476" s="1" t="inlineStr">
        <is>
          <t xml:space="preserve">B observado / C cálculo</t>
        </is>
      </c>
    </row>
    <row r="477" customFormat="false" ht="15" hidden="false" customHeight="true" outlineLevel="0" collapsed="false">
      <c r="A477" s="1" t="n">
        <v>2021</v>
      </c>
      <c r="B477" s="1" t="n">
        <v>2</v>
      </c>
      <c r="C477" s="1" t="inlineStr">
        <is>
          <t xml:space="preserve">IECIRE20211</t>
        </is>
      </c>
      <c r="D477" s="1" t="inlineStr">
        <is>
          <t xml:space="preserve">TITULADO</t>
        </is>
      </c>
      <c r="E477" s="1" t="n">
        <v>8</v>
      </c>
      <c r="F477" s="1" t="n">
        <v>16</v>
      </c>
      <c r="G477" s="1" t="n">
        <f aca="false">IF(E477=0,"",IF(D477="VIGENTE",1,0))</f>
        <v>0</v>
      </c>
      <c r="H477" s="1" t="inlineStr">
        <is>
          <t xml:space="preserve">B observado / C cálculo</t>
        </is>
      </c>
    </row>
    <row r="478" customFormat="false" ht="15" hidden="false" customHeight="true" outlineLevel="0" collapsed="false">
      <c r="A478" s="1" t="n">
        <v>2021</v>
      </c>
      <c r="B478" s="1" t="n">
        <v>2</v>
      </c>
      <c r="C478" s="1" t="inlineStr">
        <is>
          <t xml:space="preserve">IECIREOL</t>
        </is>
      </c>
      <c r="D478" s="1" t="inlineStr">
        <is>
          <t xml:space="preserve">ELIMINADO</t>
        </is>
      </c>
      <c r="E478" s="1" t="n">
        <v>2</v>
      </c>
      <c r="F478" s="1" t="n">
        <v>2</v>
      </c>
      <c r="G478" s="1" t="n">
        <f aca="false">IF(E478=0,"",IF(D478="VIGENTE",1,0))</f>
        <v>0</v>
      </c>
      <c r="H478" s="1" t="inlineStr">
        <is>
          <t xml:space="preserve">B observado / C cálculo</t>
        </is>
      </c>
    </row>
    <row r="479" customFormat="false" ht="15" hidden="false" customHeight="true" outlineLevel="0" collapsed="false">
      <c r="A479" s="1" t="n">
        <v>2021</v>
      </c>
      <c r="B479" s="1" t="n">
        <v>2</v>
      </c>
      <c r="C479" s="1" t="inlineStr">
        <is>
          <t xml:space="preserve">IECIREOL</t>
        </is>
      </c>
      <c r="D479" s="1" t="inlineStr">
        <is>
          <t xml:space="preserve">TITULADO</t>
        </is>
      </c>
      <c r="E479" s="1" t="n">
        <v>12</v>
      </c>
      <c r="F479" s="1" t="n">
        <v>12</v>
      </c>
      <c r="G479" s="1" t="n">
        <f aca="false">IF(E479=0,"",IF(D479="VIGENTE",1,0))</f>
        <v>0</v>
      </c>
      <c r="H479" s="1" t="inlineStr">
        <is>
          <t xml:space="preserve">B observado / C cálculo</t>
        </is>
      </c>
    </row>
    <row r="480" customFormat="false" ht="15" hidden="false" customHeight="true" outlineLevel="0" collapsed="false">
      <c r="A480" s="1" t="n">
        <v>2021</v>
      </c>
      <c r="B480" s="1" t="n">
        <v>2</v>
      </c>
      <c r="C480" s="1" t="inlineStr">
        <is>
          <t xml:space="preserve">IECIREOL20191</t>
        </is>
      </c>
      <c r="D480" s="1" t="inlineStr">
        <is>
          <t xml:space="preserve">ELIMINADO</t>
        </is>
      </c>
      <c r="E480" s="1" t="n">
        <v>2</v>
      </c>
      <c r="F480" s="1" t="n">
        <v>2</v>
      </c>
      <c r="G480" s="1" t="n">
        <f aca="false">IF(E480=0,"",IF(D480="VIGENTE",1,0))</f>
        <v>0</v>
      </c>
      <c r="H480" s="1" t="inlineStr">
        <is>
          <t xml:space="preserve">B observado / C cálculo</t>
        </is>
      </c>
    </row>
    <row r="481" customFormat="false" ht="15" hidden="false" customHeight="true" outlineLevel="0" collapsed="false">
      <c r="A481" s="1" t="n">
        <v>2021</v>
      </c>
      <c r="B481" s="1" t="n">
        <v>2</v>
      </c>
      <c r="C481" s="1" t="inlineStr">
        <is>
          <t xml:space="preserve">IECIREOL20191</t>
        </is>
      </c>
      <c r="D481" s="1" t="inlineStr">
        <is>
          <t xml:space="preserve">TITULADO</t>
        </is>
      </c>
      <c r="E481" s="1" t="n">
        <v>11</v>
      </c>
      <c r="F481" s="1" t="n">
        <v>12</v>
      </c>
      <c r="G481" s="1" t="n">
        <f aca="false">IF(E481=0,"",IF(D481="VIGENTE",1,0))</f>
        <v>0</v>
      </c>
      <c r="H481" s="1" t="inlineStr">
        <is>
          <t xml:space="preserve">B observado / C cálculo</t>
        </is>
      </c>
    </row>
    <row r="482" customFormat="false" ht="15" hidden="false" customHeight="true" outlineLevel="0" collapsed="false">
      <c r="A482" s="1" t="n">
        <v>2021</v>
      </c>
      <c r="B482" s="1" t="n">
        <v>2</v>
      </c>
      <c r="C482" s="1" t="inlineStr">
        <is>
          <t xml:space="preserve">IECIREOL20211</t>
        </is>
      </c>
      <c r="D482" s="1" t="inlineStr">
        <is>
          <t xml:space="preserve">ELIMINADO</t>
        </is>
      </c>
      <c r="E482" s="1" t="n">
        <v>18</v>
      </c>
      <c r="F482" s="1" t="n">
        <v>24</v>
      </c>
      <c r="G482" s="1" t="n">
        <f aca="false">IF(E482=0,"",IF(D482="VIGENTE",1,0))</f>
        <v>0</v>
      </c>
      <c r="H482" s="1" t="inlineStr">
        <is>
          <t xml:space="preserve">B observado / C cálculo</t>
        </is>
      </c>
    </row>
    <row r="483" customFormat="false" ht="15" hidden="false" customHeight="true" outlineLevel="0" collapsed="false">
      <c r="A483" s="1" t="n">
        <v>2021</v>
      </c>
      <c r="B483" s="1" t="n">
        <v>2</v>
      </c>
      <c r="C483" s="1" t="inlineStr">
        <is>
          <t xml:space="preserve">IECIREOL20211</t>
        </is>
      </c>
      <c r="D483" s="1" t="inlineStr">
        <is>
          <t xml:space="preserve">SUSPENDIDO</t>
        </is>
      </c>
      <c r="E483" s="1" t="n">
        <v>1</v>
      </c>
      <c r="F483" s="1" t="n">
        <v>1</v>
      </c>
      <c r="G483" s="1" t="n">
        <f aca="false">IF(E483=0,"",IF(D483="VIGENTE",1,0))</f>
        <v>0</v>
      </c>
      <c r="H483" s="1" t="inlineStr">
        <is>
          <t xml:space="preserve">B observado / C cálculo</t>
        </is>
      </c>
    </row>
    <row r="484" customFormat="false" ht="15" hidden="false" customHeight="true" outlineLevel="0" collapsed="false">
      <c r="A484" s="1" t="n">
        <v>2021</v>
      </c>
      <c r="B484" s="1" t="n">
        <v>2</v>
      </c>
      <c r="C484" s="1" t="inlineStr">
        <is>
          <t xml:space="preserve">IECIREOL20211</t>
        </is>
      </c>
      <c r="D484" s="1" t="inlineStr">
        <is>
          <t xml:space="preserve">TITULADO</t>
        </is>
      </c>
      <c r="E484" s="1" t="n">
        <v>32</v>
      </c>
      <c r="F484" s="1" t="n">
        <v>47</v>
      </c>
      <c r="G484" s="1" t="n">
        <f aca="false">IF(E484=0,"",IF(D484="VIGENTE",1,0))</f>
        <v>0</v>
      </c>
      <c r="H484" s="1" t="inlineStr">
        <is>
          <t xml:space="preserve">B observado / C cálculo</t>
        </is>
      </c>
    </row>
    <row r="485" customFormat="false" ht="15" hidden="false" customHeight="true" outlineLevel="0" collapsed="false">
      <c r="A485" s="1" t="n">
        <v>2021</v>
      </c>
      <c r="B485" s="1" t="n">
        <v>2</v>
      </c>
      <c r="C485" s="1" t="inlineStr">
        <is>
          <t xml:space="preserve">IECSRE20191</t>
        </is>
      </c>
      <c r="D485" s="1" t="inlineStr">
        <is>
          <t xml:space="preserve">ELIMINADO</t>
        </is>
      </c>
      <c r="E485" s="1" t="n">
        <v>7</v>
      </c>
      <c r="F485" s="1" t="n">
        <v>12</v>
      </c>
      <c r="G485" s="1" t="n">
        <f aca="false">IF(E485=0,"",IF(D485="VIGENTE",1,0))</f>
        <v>0</v>
      </c>
      <c r="H485" s="1" t="inlineStr">
        <is>
          <t xml:space="preserve">B observado / C cálculo</t>
        </is>
      </c>
    </row>
    <row r="486" customFormat="false" ht="15" hidden="false" customHeight="true" outlineLevel="0" collapsed="false">
      <c r="A486" s="1" t="n">
        <v>2021</v>
      </c>
      <c r="B486" s="1" t="n">
        <v>2</v>
      </c>
      <c r="C486" s="1" t="inlineStr">
        <is>
          <t xml:space="preserve">IECSRE20191</t>
        </is>
      </c>
      <c r="D486" s="1" t="inlineStr">
        <is>
          <t xml:space="preserve">TITULADO</t>
        </is>
      </c>
      <c r="E486" s="1" t="n">
        <v>10</v>
      </c>
      <c r="F486" s="1" t="n">
        <v>20</v>
      </c>
      <c r="G486" s="1" t="n">
        <f aca="false">IF(E486=0,"",IF(D486="VIGENTE",1,0))</f>
        <v>0</v>
      </c>
      <c r="H486" s="1" t="inlineStr">
        <is>
          <t xml:space="preserve">B observado / C cálculo</t>
        </is>
      </c>
    </row>
    <row r="487" customFormat="false" ht="15" hidden="false" customHeight="true" outlineLevel="0" collapsed="false">
      <c r="A487" s="1" t="n">
        <v>2021</v>
      </c>
      <c r="B487" s="1" t="n">
        <v>2</v>
      </c>
      <c r="C487" s="1" t="inlineStr">
        <is>
          <t xml:space="preserve">IECSRE20211</t>
        </is>
      </c>
      <c r="D487" s="1" t="inlineStr">
        <is>
          <t xml:space="preserve">ELIMINADO</t>
        </is>
      </c>
      <c r="E487" s="1" t="n">
        <v>17</v>
      </c>
      <c r="F487" s="1" t="n">
        <v>25</v>
      </c>
      <c r="G487" s="1" t="n">
        <f aca="false">IF(E487=0,"",IF(D487="VIGENTE",1,0))</f>
        <v>0</v>
      </c>
      <c r="H487" s="1" t="inlineStr">
        <is>
          <t xml:space="preserve">B observado / C cálculo</t>
        </is>
      </c>
    </row>
    <row r="488" customFormat="false" ht="15" hidden="false" customHeight="true" outlineLevel="0" collapsed="false">
      <c r="A488" s="1" t="n">
        <v>2021</v>
      </c>
      <c r="B488" s="1" t="n">
        <v>2</v>
      </c>
      <c r="C488" s="1" t="inlineStr">
        <is>
          <t xml:space="preserve">IECSRE20211</t>
        </is>
      </c>
      <c r="D488" s="1" t="inlineStr">
        <is>
          <t xml:space="preserve">TITULADO</t>
        </is>
      </c>
      <c r="E488" s="1" t="n">
        <v>10</v>
      </c>
      <c r="F488" s="1" t="n">
        <v>20</v>
      </c>
      <c r="G488" s="1" t="n">
        <f aca="false">IF(E488=0,"",IF(D488="VIGENTE",1,0))</f>
        <v>0</v>
      </c>
      <c r="H488" s="1" t="inlineStr">
        <is>
          <t xml:space="preserve">B observado / C cálculo</t>
        </is>
      </c>
    </row>
    <row r="489" customFormat="false" ht="15" hidden="false" customHeight="true" outlineLevel="0" collapsed="false">
      <c r="A489" s="1" t="n">
        <v>2021</v>
      </c>
      <c r="B489" s="1" t="n">
        <v>2</v>
      </c>
      <c r="C489" s="1" t="inlineStr">
        <is>
          <t xml:space="preserve">IECSREOL20211</t>
        </is>
      </c>
      <c r="D489" s="1" t="inlineStr">
        <is>
          <t xml:space="preserve">ELIMINADO</t>
        </is>
      </c>
      <c r="E489" s="1" t="n">
        <v>6</v>
      </c>
      <c r="F489" s="1" t="n">
        <v>6</v>
      </c>
      <c r="G489" s="1" t="n">
        <f aca="false">IF(E489=0,"",IF(D489="VIGENTE",1,0))</f>
        <v>0</v>
      </c>
      <c r="H489" s="1" t="inlineStr">
        <is>
          <t xml:space="preserve">B observado / C cálculo</t>
        </is>
      </c>
    </row>
    <row r="490" customFormat="false" ht="15" hidden="false" customHeight="true" outlineLevel="0" collapsed="false">
      <c r="A490" s="1" t="n">
        <v>2021</v>
      </c>
      <c r="B490" s="1" t="n">
        <v>2</v>
      </c>
      <c r="C490" s="1" t="inlineStr">
        <is>
          <t xml:space="preserve">IECSREOL20211</t>
        </is>
      </c>
      <c r="D490" s="1" t="inlineStr">
        <is>
          <t xml:space="preserve">TITULADO</t>
        </is>
      </c>
      <c r="E490" s="1" t="n">
        <v>7</v>
      </c>
      <c r="F490" s="1" t="n">
        <v>7</v>
      </c>
      <c r="G490" s="1" t="n">
        <f aca="false">IF(E490=0,"",IF(D490="VIGENTE",1,0))</f>
        <v>0</v>
      </c>
      <c r="H490" s="1" t="inlineStr">
        <is>
          <t xml:space="preserve">B observado / C cálculo</t>
        </is>
      </c>
    </row>
    <row r="491" customFormat="false" ht="15" hidden="false" customHeight="true" outlineLevel="0" collapsed="false">
      <c r="A491" s="1" t="n">
        <v>2021</v>
      </c>
      <c r="B491" s="1" t="n">
        <v>2</v>
      </c>
      <c r="C491" s="1" t="inlineStr">
        <is>
          <t xml:space="preserve">IEMORE20171</t>
        </is>
      </c>
      <c r="D491" s="1" t="inlineStr">
        <is>
          <t xml:space="preserve">ELIMINADO</t>
        </is>
      </c>
      <c r="E491" s="1" t="n">
        <v>2</v>
      </c>
      <c r="F491" s="1" t="n">
        <v>2</v>
      </c>
      <c r="G491" s="1" t="n">
        <f aca="false">IF(E491=0,"",IF(D491="VIGENTE",1,0))</f>
        <v>0</v>
      </c>
      <c r="H491" s="1" t="inlineStr">
        <is>
          <t xml:space="preserve">B observado / C cálculo</t>
        </is>
      </c>
    </row>
    <row r="492" customFormat="false" ht="15" hidden="false" customHeight="true" outlineLevel="0" collapsed="false">
      <c r="A492" s="1" t="n">
        <v>2021</v>
      </c>
      <c r="B492" s="1" t="n">
        <v>2</v>
      </c>
      <c r="C492" s="1" t="inlineStr">
        <is>
          <t xml:space="preserve">IEMORE20201</t>
        </is>
      </c>
      <c r="D492" s="1" t="inlineStr">
        <is>
          <t xml:space="preserve">ELIMINADO</t>
        </is>
      </c>
      <c r="E492" s="1" t="n">
        <v>2</v>
      </c>
      <c r="F492" s="1" t="n">
        <v>10</v>
      </c>
      <c r="G492" s="1" t="n">
        <f aca="false">IF(E492=0,"",IF(D492="VIGENTE",1,0))</f>
        <v>0</v>
      </c>
      <c r="H492" s="1" t="inlineStr">
        <is>
          <t xml:space="preserve">B observado / C cálculo</t>
        </is>
      </c>
    </row>
    <row r="493" customFormat="false" ht="15" hidden="false" customHeight="true" outlineLevel="0" collapsed="false">
      <c r="A493" s="1" t="n">
        <v>2021</v>
      </c>
      <c r="B493" s="1" t="n">
        <v>2</v>
      </c>
      <c r="C493" s="1" t="inlineStr">
        <is>
          <t xml:space="preserve">IEMORE20201</t>
        </is>
      </c>
      <c r="D493" s="1" t="inlineStr">
        <is>
          <t xml:space="preserve">TITULADO</t>
        </is>
      </c>
      <c r="E493" s="1" t="n">
        <v>4</v>
      </c>
      <c r="F493" s="1" t="n">
        <v>31</v>
      </c>
      <c r="G493" s="1" t="n">
        <f aca="false">IF(E493=0,"",IF(D493="VIGENTE",1,0))</f>
        <v>0</v>
      </c>
      <c r="H493" s="1" t="inlineStr">
        <is>
          <t xml:space="preserve">B observado / C cálculo</t>
        </is>
      </c>
    </row>
    <row r="494" customFormat="false" ht="15" hidden="false" customHeight="true" outlineLevel="0" collapsed="false">
      <c r="A494" s="1" t="n">
        <v>2021</v>
      </c>
      <c r="B494" s="1" t="n">
        <v>2</v>
      </c>
      <c r="C494" s="1" t="inlineStr">
        <is>
          <t xml:space="preserve">IEMORE20211</t>
        </is>
      </c>
      <c r="D494" s="1" t="inlineStr">
        <is>
          <t xml:space="preserve">ELIMINADO</t>
        </is>
      </c>
      <c r="E494" s="1" t="n">
        <v>1</v>
      </c>
      <c r="F494" s="1" t="n">
        <v>7</v>
      </c>
      <c r="G494" s="1" t="n">
        <f aca="false">IF(E494=0,"",IF(D494="VIGENTE",1,0))</f>
        <v>0</v>
      </c>
      <c r="H494" s="1" t="inlineStr">
        <is>
          <t xml:space="preserve">B observado / C cálculo</t>
        </is>
      </c>
    </row>
    <row r="495" customFormat="false" ht="15" hidden="false" customHeight="true" outlineLevel="0" collapsed="false">
      <c r="A495" s="1" t="n">
        <v>2021</v>
      </c>
      <c r="B495" s="1" t="n">
        <v>2</v>
      </c>
      <c r="C495" s="1" t="inlineStr">
        <is>
          <t xml:space="preserve">IEMORE20211</t>
        </is>
      </c>
      <c r="D495" s="1" t="inlineStr">
        <is>
          <t xml:space="preserve">TITULADO</t>
        </is>
      </c>
      <c r="E495" s="1" t="n">
        <v>15</v>
      </c>
      <c r="F495" s="1" t="n">
        <v>97</v>
      </c>
      <c r="G495" s="1" t="n">
        <f aca="false">IF(E495=0,"",IF(D495="VIGENTE",1,0))</f>
        <v>0</v>
      </c>
      <c r="H495" s="1" t="inlineStr">
        <is>
          <t xml:space="preserve">B observado / C cálculo</t>
        </is>
      </c>
    </row>
    <row r="496" customFormat="false" ht="15" hidden="false" customHeight="true" outlineLevel="0" collapsed="false">
      <c r="A496" s="1" t="n">
        <v>2021</v>
      </c>
      <c r="B496" s="1" t="n">
        <v>2</v>
      </c>
      <c r="C496" s="1" t="inlineStr">
        <is>
          <t xml:space="preserve">IETMRE20161</t>
        </is>
      </c>
      <c r="D496" s="1" t="inlineStr">
        <is>
          <t xml:space="preserve">TITULADO</t>
        </is>
      </c>
      <c r="E496" s="1" t="n">
        <v>11</v>
      </c>
      <c r="F496" s="1" t="n">
        <v>18</v>
      </c>
      <c r="G496" s="1" t="n">
        <f aca="false">IF(E496=0,"",IF(D496="VIGENTE",1,0))</f>
        <v>0</v>
      </c>
      <c r="H496" s="1" t="inlineStr">
        <is>
          <t xml:space="preserve">B observado / C cálculo</t>
        </is>
      </c>
    </row>
    <row r="497" customFormat="false" ht="15" hidden="false" customHeight="true" outlineLevel="0" collapsed="false">
      <c r="A497" s="1" t="n">
        <v>2021</v>
      </c>
      <c r="B497" s="1" t="n">
        <v>2</v>
      </c>
      <c r="C497" s="1" t="inlineStr">
        <is>
          <t xml:space="preserve">IETMRE20191</t>
        </is>
      </c>
      <c r="D497" s="1" t="inlineStr">
        <is>
          <t xml:space="preserve">ELIMINADO</t>
        </is>
      </c>
      <c r="E497" s="1" t="n">
        <v>6</v>
      </c>
      <c r="F497" s="1" t="n">
        <v>12</v>
      </c>
      <c r="G497" s="1" t="n">
        <f aca="false">IF(E497=0,"",IF(D497="VIGENTE",1,0))</f>
        <v>0</v>
      </c>
      <c r="H497" s="1" t="inlineStr">
        <is>
          <t xml:space="preserve">B observado / C cálculo</t>
        </is>
      </c>
    </row>
    <row r="498" customFormat="false" ht="15" hidden="false" customHeight="true" outlineLevel="0" collapsed="false">
      <c r="A498" s="1" t="n">
        <v>2021</v>
      </c>
      <c r="B498" s="1" t="n">
        <v>2</v>
      </c>
      <c r="C498" s="1" t="inlineStr">
        <is>
          <t xml:space="preserve">IETMRE20191</t>
        </is>
      </c>
      <c r="D498" s="1" t="inlineStr">
        <is>
          <t xml:space="preserve">TITULADO</t>
        </is>
      </c>
      <c r="E498" s="1" t="n">
        <v>7</v>
      </c>
      <c r="F498" s="1" t="n">
        <v>14</v>
      </c>
      <c r="G498" s="1" t="n">
        <f aca="false">IF(E498=0,"",IF(D498="VIGENTE",1,0))</f>
        <v>0</v>
      </c>
      <c r="H498" s="1" t="inlineStr">
        <is>
          <t xml:space="preserve">B observado / C cálculo</t>
        </is>
      </c>
    </row>
    <row r="499" customFormat="false" ht="15" hidden="false" customHeight="true" outlineLevel="0" collapsed="false">
      <c r="A499" s="1" t="n">
        <v>2021</v>
      </c>
      <c r="B499" s="1" t="n">
        <v>2</v>
      </c>
      <c r="C499" s="1" t="inlineStr">
        <is>
          <t xml:space="preserve">IETMRE20211</t>
        </is>
      </c>
      <c r="D499" s="1" t="inlineStr">
        <is>
          <t xml:space="preserve">ELIMINADO</t>
        </is>
      </c>
      <c r="E499" s="1" t="n">
        <v>9</v>
      </c>
      <c r="F499" s="1" t="n">
        <v>17</v>
      </c>
      <c r="G499" s="1" t="n">
        <f aca="false">IF(E499=0,"",IF(D499="VIGENTE",1,0))</f>
        <v>0</v>
      </c>
      <c r="H499" s="1" t="inlineStr">
        <is>
          <t xml:space="preserve">B observado / C cálculo</t>
        </is>
      </c>
    </row>
    <row r="500" customFormat="false" ht="15" hidden="false" customHeight="true" outlineLevel="0" collapsed="false">
      <c r="A500" s="1" t="n">
        <v>2021</v>
      </c>
      <c r="B500" s="1" t="n">
        <v>2</v>
      </c>
      <c r="C500" s="1" t="inlineStr">
        <is>
          <t xml:space="preserve">IETMRE20211</t>
        </is>
      </c>
      <c r="D500" s="1" t="inlineStr">
        <is>
          <t xml:space="preserve">TITULADO</t>
        </is>
      </c>
      <c r="E500" s="1" t="n">
        <v>22</v>
      </c>
      <c r="F500" s="1" t="n">
        <v>44</v>
      </c>
      <c r="G500" s="1" t="n">
        <f aca="false">IF(E500=0,"",IF(D500="VIGENTE",1,0))</f>
        <v>0</v>
      </c>
      <c r="H500" s="1" t="inlineStr">
        <is>
          <t xml:space="preserve">B observado / C cálculo</t>
        </is>
      </c>
    </row>
    <row r="501" customFormat="false" ht="15" hidden="false" customHeight="true" outlineLevel="0" collapsed="false">
      <c r="A501" s="1" t="n">
        <v>2021</v>
      </c>
      <c r="B501" s="1" t="n">
        <v>2</v>
      </c>
      <c r="C501" s="1" t="inlineStr">
        <is>
          <t xml:space="preserve">IETMREOL</t>
        </is>
      </c>
      <c r="D501" s="1" t="inlineStr">
        <is>
          <t xml:space="preserve">TITULADO</t>
        </is>
      </c>
      <c r="E501" s="1" t="n">
        <v>11</v>
      </c>
      <c r="F501" s="1" t="n">
        <v>11</v>
      </c>
      <c r="G501" s="1" t="n">
        <f aca="false">IF(E501=0,"",IF(D501="VIGENTE",1,0))</f>
        <v>0</v>
      </c>
      <c r="H501" s="1" t="inlineStr">
        <is>
          <t xml:space="preserve">B observado / C cálculo</t>
        </is>
      </c>
    </row>
    <row r="502" customFormat="false" ht="15" hidden="false" customHeight="true" outlineLevel="0" collapsed="false">
      <c r="A502" s="1" t="n">
        <v>2021</v>
      </c>
      <c r="B502" s="1" t="n">
        <v>2</v>
      </c>
      <c r="C502" s="1" t="inlineStr">
        <is>
          <t xml:space="preserve">IETMREOL20191</t>
        </is>
      </c>
      <c r="D502" s="1" t="inlineStr">
        <is>
          <t xml:space="preserve">ELIMINADO</t>
        </is>
      </c>
      <c r="E502" s="1" t="n">
        <v>2</v>
      </c>
      <c r="F502" s="1" t="n">
        <v>2</v>
      </c>
      <c r="G502" s="1" t="n">
        <f aca="false">IF(E502=0,"",IF(D502="VIGENTE",1,0))</f>
        <v>0</v>
      </c>
      <c r="H502" s="1" t="inlineStr">
        <is>
          <t xml:space="preserve">B observado / C cálculo</t>
        </is>
      </c>
    </row>
    <row r="503" customFormat="false" ht="15" hidden="false" customHeight="true" outlineLevel="0" collapsed="false">
      <c r="A503" s="1" t="n">
        <v>2021</v>
      </c>
      <c r="B503" s="1" t="n">
        <v>2</v>
      </c>
      <c r="C503" s="1" t="inlineStr">
        <is>
          <t xml:space="preserve">IETMREOL20191</t>
        </is>
      </c>
      <c r="D503" s="1" t="inlineStr">
        <is>
          <t xml:space="preserve">TITULADO</t>
        </is>
      </c>
      <c r="E503" s="1" t="n">
        <v>5</v>
      </c>
      <c r="F503" s="1" t="n">
        <v>5</v>
      </c>
      <c r="G503" s="1" t="n">
        <f aca="false">IF(E503=0,"",IF(D503="VIGENTE",1,0))</f>
        <v>0</v>
      </c>
      <c r="H503" s="1" t="inlineStr">
        <is>
          <t xml:space="preserve">B observado / C cálculo</t>
        </is>
      </c>
    </row>
    <row r="504" customFormat="false" ht="15" hidden="false" customHeight="true" outlineLevel="0" collapsed="false">
      <c r="A504" s="1" t="n">
        <v>2021</v>
      </c>
      <c r="B504" s="1" t="n">
        <v>2</v>
      </c>
      <c r="C504" s="1" t="inlineStr">
        <is>
          <t xml:space="preserve">IETMREOL20211</t>
        </is>
      </c>
      <c r="D504" s="1" t="inlineStr">
        <is>
          <t xml:space="preserve">ELIMINADO</t>
        </is>
      </c>
      <c r="E504" s="1" t="n">
        <v>15</v>
      </c>
      <c r="F504" s="1" t="n">
        <v>19</v>
      </c>
      <c r="G504" s="1" t="n">
        <f aca="false">IF(E504=0,"",IF(D504="VIGENTE",1,0))</f>
        <v>0</v>
      </c>
      <c r="H504" s="1" t="inlineStr">
        <is>
          <t xml:space="preserve">B observado / C cálculo</t>
        </is>
      </c>
    </row>
    <row r="505" customFormat="false" ht="15" hidden="false" customHeight="true" outlineLevel="0" collapsed="false">
      <c r="A505" s="1" t="n">
        <v>2021</v>
      </c>
      <c r="B505" s="1" t="n">
        <v>2</v>
      </c>
      <c r="C505" s="1" t="inlineStr">
        <is>
          <t xml:space="preserve">IETMREOL20211</t>
        </is>
      </c>
      <c r="D505" s="1" t="inlineStr">
        <is>
          <t xml:space="preserve">TITULADO</t>
        </is>
      </c>
      <c r="E505" s="1" t="n">
        <v>45</v>
      </c>
      <c r="F505" s="1" t="n">
        <v>48</v>
      </c>
      <c r="G505" s="1" t="n">
        <f aca="false">IF(E505=0,"",IF(D505="VIGENTE",1,0))</f>
        <v>0</v>
      </c>
      <c r="H505" s="1" t="inlineStr">
        <is>
          <t xml:space="preserve">B observado / C cálculo</t>
        </is>
      </c>
    </row>
    <row r="506" customFormat="false" ht="15" hidden="false" customHeight="true" outlineLevel="0" collapsed="false">
      <c r="A506" s="1" t="n">
        <v>2021</v>
      </c>
      <c r="B506" s="1" t="n">
        <v>2</v>
      </c>
      <c r="C506" s="1" t="inlineStr">
        <is>
          <t xml:space="preserve">NAUTRE2020</t>
        </is>
      </c>
      <c r="D506" s="1" t="inlineStr">
        <is>
          <t xml:space="preserve">TITULADO</t>
        </is>
      </c>
      <c r="E506" s="1" t="n">
        <v>2</v>
      </c>
      <c r="F506" s="1" t="n">
        <v>14</v>
      </c>
      <c r="G506" s="1" t="n">
        <f aca="false">IF(E506=0,"",IF(D506="VIGENTE",1,0))</f>
        <v>0</v>
      </c>
      <c r="H506" s="1" t="inlineStr">
        <is>
          <t xml:space="preserve">B observado / C cálculo</t>
        </is>
      </c>
    </row>
    <row r="507" customFormat="false" ht="15" hidden="false" customHeight="true" outlineLevel="0" collapsed="false">
      <c r="A507" s="1" t="n">
        <v>2021</v>
      </c>
      <c r="B507" s="1" t="n">
        <v>2</v>
      </c>
      <c r="C507" s="1" t="inlineStr">
        <is>
          <t xml:space="preserve">NCONRE</t>
        </is>
      </c>
      <c r="D507" s="1" t="inlineStr">
        <is>
          <t xml:space="preserve">TITULADO</t>
        </is>
      </c>
      <c r="E507" s="1" t="n">
        <v>18</v>
      </c>
      <c r="F507" s="1" t="n">
        <v>25</v>
      </c>
      <c r="G507" s="1" t="n">
        <f aca="false">IF(E507=0,"",IF(D507="VIGENTE",1,0))</f>
        <v>0</v>
      </c>
      <c r="H507" s="1" t="inlineStr">
        <is>
          <t xml:space="preserve">B observado / C cálculo</t>
        </is>
      </c>
    </row>
    <row r="508" customFormat="false" ht="15" hidden="false" customHeight="true" outlineLevel="0" collapsed="false">
      <c r="A508" s="1" t="n">
        <v>2021</v>
      </c>
      <c r="B508" s="1" t="n">
        <v>2</v>
      </c>
      <c r="C508" s="1" t="inlineStr">
        <is>
          <t xml:space="preserve">NCONREOL2019</t>
        </is>
      </c>
      <c r="D508" s="1" t="inlineStr">
        <is>
          <t xml:space="preserve">TITULADO</t>
        </is>
      </c>
      <c r="E508" s="1" t="n">
        <v>39</v>
      </c>
      <c r="F508" s="1" t="n">
        <v>40</v>
      </c>
      <c r="G508" s="1" t="n">
        <f aca="false">IF(E508=0,"",IF(D508="VIGENTE",1,0))</f>
        <v>0</v>
      </c>
      <c r="H508" s="1" t="inlineStr">
        <is>
          <t xml:space="preserve">B observado / C cálculo</t>
        </is>
      </c>
    </row>
    <row r="509" customFormat="false" ht="15" hidden="false" customHeight="true" outlineLevel="0" collapsed="false">
      <c r="A509" s="1" t="n">
        <v>2021</v>
      </c>
      <c r="B509" s="1" t="n">
        <v>2</v>
      </c>
      <c r="C509" s="1" t="inlineStr">
        <is>
          <t xml:space="preserve">NICCRE20191</t>
        </is>
      </c>
      <c r="D509" s="1" t="inlineStr">
        <is>
          <t xml:space="preserve">TITULADO</t>
        </is>
      </c>
      <c r="E509" s="1" t="n">
        <v>1</v>
      </c>
      <c r="F509" s="1" t="n">
        <v>4</v>
      </c>
      <c r="G509" s="1" t="n">
        <f aca="false">IF(E509=0,"",IF(D509="VIGENTE",1,0))</f>
        <v>0</v>
      </c>
      <c r="H509" s="1" t="inlineStr">
        <is>
          <t xml:space="preserve">B observado / C cálculo</t>
        </is>
      </c>
    </row>
    <row r="510" customFormat="false" ht="15" hidden="false" customHeight="true" outlineLevel="0" collapsed="false">
      <c r="A510" s="1" t="n">
        <v>2021</v>
      </c>
      <c r="B510" s="1" t="n">
        <v>2</v>
      </c>
      <c r="C510" s="1" t="inlineStr">
        <is>
          <t xml:space="preserve">NICCRE2020</t>
        </is>
      </c>
      <c r="D510" s="1" t="inlineStr">
        <is>
          <t xml:space="preserve">TITULADO</t>
        </is>
      </c>
      <c r="E510" s="1" t="n">
        <v>2</v>
      </c>
      <c r="F510" s="1" t="n">
        <v>8</v>
      </c>
      <c r="G510" s="1" t="n">
        <f aca="false">IF(E510=0,"",IF(D510="VIGENTE",1,0))</f>
        <v>0</v>
      </c>
      <c r="H510" s="1" t="inlineStr">
        <is>
          <t xml:space="preserve">B observado / C cálculo</t>
        </is>
      </c>
    </row>
    <row r="511" customFormat="false" ht="15" hidden="false" customHeight="true" outlineLevel="0" collapsed="false">
      <c r="A511" s="1" t="n">
        <v>2021</v>
      </c>
      <c r="B511" s="1" t="n">
        <v>2</v>
      </c>
      <c r="C511" s="1" t="inlineStr">
        <is>
          <t xml:space="preserve">NICCREOL2020</t>
        </is>
      </c>
      <c r="D511" s="1" t="inlineStr">
        <is>
          <t xml:space="preserve">ELIMINADO</t>
        </is>
      </c>
      <c r="E511" s="1" t="n">
        <v>1</v>
      </c>
      <c r="F511" s="1" t="n">
        <v>1</v>
      </c>
      <c r="G511" s="1" t="n">
        <f aca="false">IF(E511=0,"",IF(D511="VIGENTE",1,0))</f>
        <v>0</v>
      </c>
      <c r="H511" s="1" t="inlineStr">
        <is>
          <t xml:space="preserve">B observado / C cálculo</t>
        </is>
      </c>
    </row>
    <row r="512" customFormat="false" ht="15" hidden="false" customHeight="true" outlineLevel="0" collapsed="false">
      <c r="A512" s="1" t="n">
        <v>2021</v>
      </c>
      <c r="B512" s="1" t="n">
        <v>2</v>
      </c>
      <c r="C512" s="1" t="inlineStr">
        <is>
          <t xml:space="preserve">NICCREOL2020</t>
        </is>
      </c>
      <c r="D512" s="1" t="inlineStr">
        <is>
          <t xml:space="preserve">TITULADO</t>
        </is>
      </c>
      <c r="E512" s="1" t="n">
        <v>9</v>
      </c>
      <c r="F512" s="1" t="n">
        <v>9</v>
      </c>
      <c r="G512" s="1" t="n">
        <f aca="false">IF(E512=0,"",IF(D512="VIGENTE",1,0))</f>
        <v>0</v>
      </c>
      <c r="H512" s="1" t="inlineStr">
        <is>
          <t xml:space="preserve">B observado / C cálculo</t>
        </is>
      </c>
    </row>
    <row r="513" customFormat="false" ht="15" hidden="false" customHeight="true" outlineLevel="0" collapsed="false">
      <c r="A513" s="1" t="n">
        <v>2021</v>
      </c>
      <c r="B513" s="1" t="n">
        <v>2</v>
      </c>
      <c r="C513" s="1" t="inlineStr">
        <is>
          <t xml:space="preserve">NINFREOL2019</t>
        </is>
      </c>
      <c r="D513" s="1" t="inlineStr">
        <is>
          <t xml:space="preserve">TITULADO</t>
        </is>
      </c>
      <c r="E513" s="1" t="n">
        <v>5</v>
      </c>
      <c r="F513" s="1" t="n">
        <v>5</v>
      </c>
      <c r="G513" s="1" t="n">
        <f aca="false">IF(E513=0,"",IF(D513="VIGENTE",1,0))</f>
        <v>0</v>
      </c>
      <c r="H513" s="1" t="inlineStr">
        <is>
          <t xml:space="preserve">B observado / C cálculo</t>
        </is>
      </c>
    </row>
    <row r="514" customFormat="false" ht="15" hidden="false" customHeight="true" outlineLevel="0" collapsed="false">
      <c r="A514" s="1" t="n">
        <v>2021</v>
      </c>
      <c r="B514" s="1" t="n">
        <v>2</v>
      </c>
      <c r="C514" s="1" t="inlineStr">
        <is>
          <t xml:space="preserve">NTCCRE20191</t>
        </is>
      </c>
      <c r="D514" s="1" t="inlineStr">
        <is>
          <t xml:space="preserve">TITULADO</t>
        </is>
      </c>
      <c r="E514" s="1" t="n">
        <v>1</v>
      </c>
      <c r="F514" s="1" t="n">
        <v>1</v>
      </c>
      <c r="G514" s="1" t="n">
        <f aca="false">IF(E514=0,"",IF(D514="VIGENTE",1,0))</f>
        <v>0</v>
      </c>
      <c r="H514" s="1" t="inlineStr">
        <is>
          <t xml:space="preserve">B observado / C cálculo</t>
        </is>
      </c>
    </row>
    <row r="515" customFormat="false" ht="15" hidden="false" customHeight="true" outlineLevel="0" collapsed="false">
      <c r="A515" s="1" t="n">
        <v>2021</v>
      </c>
      <c r="B515" s="1" t="n">
        <v>2</v>
      </c>
      <c r="C515" s="1" t="inlineStr">
        <is>
          <t xml:space="preserve">NTCCRE2020</t>
        </is>
      </c>
      <c r="D515" s="1" t="inlineStr">
        <is>
          <t xml:space="preserve">ELIMINADO</t>
        </is>
      </c>
      <c r="E515" s="1" t="n">
        <v>10</v>
      </c>
      <c r="F515" s="1" t="n">
        <v>40</v>
      </c>
      <c r="G515" s="1" t="n">
        <f aca="false">IF(E515=0,"",IF(D515="VIGENTE",1,0))</f>
        <v>0</v>
      </c>
      <c r="H515" s="1" t="inlineStr">
        <is>
          <t xml:space="preserve">B observado / C cálculo</t>
        </is>
      </c>
    </row>
    <row r="516" customFormat="false" ht="15" hidden="false" customHeight="true" outlineLevel="0" collapsed="false">
      <c r="A516" s="1" t="n">
        <v>2021</v>
      </c>
      <c r="B516" s="1" t="n">
        <v>2</v>
      </c>
      <c r="C516" s="1" t="inlineStr">
        <is>
          <t xml:space="preserve">NTCCRE2020</t>
        </is>
      </c>
      <c r="D516" s="1" t="inlineStr">
        <is>
          <t xml:space="preserve">TITULADO</t>
        </is>
      </c>
      <c r="E516" s="1" t="n">
        <v>9</v>
      </c>
      <c r="F516" s="1" t="n">
        <v>36</v>
      </c>
      <c r="G516" s="1" t="n">
        <f aca="false">IF(E516=0,"",IF(D516="VIGENTE",1,0))</f>
        <v>0</v>
      </c>
      <c r="H516" s="1" t="inlineStr">
        <is>
          <t xml:space="preserve">B observado / C cálculo</t>
        </is>
      </c>
    </row>
    <row r="517" customFormat="false" ht="15" hidden="false" customHeight="true" outlineLevel="0" collapsed="false">
      <c r="A517" s="1" t="n">
        <v>2021</v>
      </c>
      <c r="B517" s="1" t="n">
        <v>2</v>
      </c>
      <c r="C517" s="1" t="inlineStr">
        <is>
          <t xml:space="preserve">NTCCREOL2020</t>
        </is>
      </c>
      <c r="D517" s="1" t="inlineStr">
        <is>
          <t xml:space="preserve">TITULADO</t>
        </is>
      </c>
      <c r="E517" s="1" t="n">
        <v>10</v>
      </c>
      <c r="F517" s="1" t="n">
        <v>10</v>
      </c>
      <c r="G517" s="1" t="n">
        <f aca="false">IF(E517=0,"",IF(D517="VIGENTE",1,0))</f>
        <v>0</v>
      </c>
      <c r="H517" s="1" t="inlineStr">
        <is>
          <t xml:space="preserve">B observado / C cálculo</t>
        </is>
      </c>
    </row>
    <row r="518" customFormat="false" ht="15" hidden="false" customHeight="true" outlineLevel="0" collapsed="false">
      <c r="A518" s="1" t="n">
        <v>2021</v>
      </c>
      <c r="B518" s="1" t="n">
        <v>2</v>
      </c>
      <c r="C518" s="1" t="inlineStr">
        <is>
          <t xml:space="preserve">TASRE20191</t>
        </is>
      </c>
      <c r="D518" s="1" t="inlineStr">
        <is>
          <t xml:space="preserve">ELIMINADO</t>
        </is>
      </c>
      <c r="E518" s="1" t="n">
        <v>2</v>
      </c>
      <c r="F518" s="1" t="n">
        <v>3</v>
      </c>
      <c r="G518" s="1" t="n">
        <f aca="false">IF(E518=0,"",IF(D518="VIGENTE",1,0))</f>
        <v>0</v>
      </c>
      <c r="H518" s="1" t="inlineStr">
        <is>
          <t xml:space="preserve">B observado / C cálculo</t>
        </is>
      </c>
    </row>
    <row r="519" customFormat="false" ht="15" hidden="false" customHeight="true" outlineLevel="0" collapsed="false">
      <c r="A519" s="1" t="n">
        <v>2021</v>
      </c>
      <c r="B519" s="1" t="n">
        <v>2</v>
      </c>
      <c r="C519" s="1" t="inlineStr">
        <is>
          <t xml:space="preserve">TASRE20191</t>
        </is>
      </c>
      <c r="D519" s="1" t="inlineStr">
        <is>
          <t xml:space="preserve">TITULADO</t>
        </is>
      </c>
      <c r="E519" s="1" t="n">
        <v>2</v>
      </c>
      <c r="F519" s="1" t="n">
        <v>6</v>
      </c>
      <c r="G519" s="1" t="n">
        <f aca="false">IF(E519=0,"",IF(D519="VIGENTE",1,0))</f>
        <v>0</v>
      </c>
      <c r="H519" s="1" t="inlineStr">
        <is>
          <t xml:space="preserve">B observado / C cálculo</t>
        </is>
      </c>
    </row>
    <row r="520" customFormat="false" ht="15" hidden="false" customHeight="true" outlineLevel="0" collapsed="false">
      <c r="A520" s="1" t="n">
        <v>2021</v>
      </c>
      <c r="B520" s="1" t="n">
        <v>2</v>
      </c>
      <c r="C520" s="1" t="inlineStr">
        <is>
          <t xml:space="preserve">TASREOL20191</t>
        </is>
      </c>
      <c r="D520" s="1" t="inlineStr">
        <is>
          <t xml:space="preserve">ELIMINADO</t>
        </is>
      </c>
      <c r="E520" s="1" t="n">
        <v>6</v>
      </c>
      <c r="F520" s="1" t="n">
        <v>7</v>
      </c>
      <c r="G520" s="1" t="n">
        <f aca="false">IF(E520=0,"",IF(D520="VIGENTE",1,0))</f>
        <v>0</v>
      </c>
      <c r="H520" s="1" t="inlineStr">
        <is>
          <t xml:space="preserve">B observado / C cálculo</t>
        </is>
      </c>
    </row>
    <row r="521" customFormat="false" ht="15" hidden="false" customHeight="true" outlineLevel="0" collapsed="false">
      <c r="A521" s="1" t="n">
        <v>2021</v>
      </c>
      <c r="B521" s="1" t="n">
        <v>2</v>
      </c>
      <c r="C521" s="1" t="inlineStr">
        <is>
          <t xml:space="preserve">TASREOL20191</t>
        </is>
      </c>
      <c r="D521" s="1" t="inlineStr">
        <is>
          <t xml:space="preserve">TITULADO</t>
        </is>
      </c>
      <c r="E521" s="1" t="n">
        <v>4</v>
      </c>
      <c r="F521" s="1" t="n">
        <v>4</v>
      </c>
      <c r="G521" s="1" t="n">
        <f aca="false">IF(E521=0,"",IF(D521="VIGENTE",1,0))</f>
        <v>0</v>
      </c>
      <c r="H521" s="1" t="inlineStr">
        <is>
          <t xml:space="preserve">B observado / C cálculo</t>
        </is>
      </c>
    </row>
    <row r="522" customFormat="false" ht="15" hidden="false" customHeight="true" outlineLevel="0" collapsed="false">
      <c r="A522" s="1" t="n">
        <v>2021</v>
      </c>
      <c r="B522" s="1" t="n">
        <v>2</v>
      </c>
      <c r="C522" s="1" t="inlineStr">
        <is>
          <t xml:space="preserve">TCSRE20191</t>
        </is>
      </c>
      <c r="D522" s="1" t="inlineStr">
        <is>
          <t xml:space="preserve">ELIMINADO</t>
        </is>
      </c>
      <c r="E522" s="1" t="n">
        <v>10</v>
      </c>
      <c r="F522" s="1" t="n">
        <v>18</v>
      </c>
      <c r="G522" s="1" t="n">
        <f aca="false">IF(E522=0,"",IF(D522="VIGENTE",1,0))</f>
        <v>0</v>
      </c>
      <c r="H522" s="1" t="inlineStr">
        <is>
          <t xml:space="preserve">B observado / C cálculo</t>
        </is>
      </c>
    </row>
    <row r="523" customFormat="false" ht="15" hidden="false" customHeight="true" outlineLevel="0" collapsed="false">
      <c r="A523" s="1" t="n">
        <v>2021</v>
      </c>
      <c r="B523" s="1" t="n">
        <v>2</v>
      </c>
      <c r="C523" s="1" t="inlineStr">
        <is>
          <t xml:space="preserve">TCSRE20191</t>
        </is>
      </c>
      <c r="D523" s="1" t="inlineStr">
        <is>
          <t xml:space="preserve">TITULADO</t>
        </is>
      </c>
      <c r="E523" s="1" t="n">
        <v>5</v>
      </c>
      <c r="F523" s="1" t="n">
        <v>11</v>
      </c>
      <c r="G523" s="1" t="n">
        <f aca="false">IF(E523=0,"",IF(D523="VIGENTE",1,0))</f>
        <v>0</v>
      </c>
      <c r="H523" s="1" t="inlineStr">
        <is>
          <t xml:space="preserve">B observado / C cálculo</t>
        </is>
      </c>
    </row>
    <row r="524" customFormat="false" ht="15" hidden="false" customHeight="true" outlineLevel="0" collapsed="false">
      <c r="A524" s="1" t="n">
        <v>2021</v>
      </c>
      <c r="B524" s="1" t="n">
        <v>2</v>
      </c>
      <c r="C524" s="1" t="inlineStr">
        <is>
          <t xml:space="preserve">TCSRE20191</t>
        </is>
      </c>
      <c r="D524" s="1" t="inlineStr">
        <is>
          <t xml:space="preserve">VIGENTE</t>
        </is>
      </c>
      <c r="E524" s="1" t="n">
        <v>1</v>
      </c>
      <c r="F524" s="1" t="n">
        <v>2</v>
      </c>
      <c r="G524" s="1" t="n">
        <f aca="false">IF(E524=0,"",IF(D524="VIGENTE",1,0))</f>
        <v>1</v>
      </c>
      <c r="H524" s="1" t="inlineStr">
        <is>
          <t xml:space="preserve">B observado / C cálculo</t>
        </is>
      </c>
    </row>
    <row r="525" customFormat="false" ht="15" hidden="false" customHeight="true" outlineLevel="0" collapsed="false">
      <c r="A525" s="1" t="n">
        <v>2021</v>
      </c>
      <c r="B525" s="1" t="n">
        <v>2</v>
      </c>
      <c r="C525" s="1" t="inlineStr">
        <is>
          <t xml:space="preserve">TCSRE20211</t>
        </is>
      </c>
      <c r="D525" s="1" t="inlineStr">
        <is>
          <t xml:space="preserve">ELIMINADO</t>
        </is>
      </c>
      <c r="E525" s="1" t="n">
        <v>9</v>
      </c>
      <c r="F525" s="1" t="n">
        <v>9</v>
      </c>
      <c r="G525" s="1" t="n">
        <f aca="false">IF(E525=0,"",IF(D525="VIGENTE",1,0))</f>
        <v>0</v>
      </c>
      <c r="H525" s="1" t="inlineStr">
        <is>
          <t xml:space="preserve">B observado / C cálculo</t>
        </is>
      </c>
    </row>
    <row r="526" customFormat="false" ht="15" hidden="false" customHeight="true" outlineLevel="0" collapsed="false">
      <c r="A526" s="1" t="n">
        <v>2021</v>
      </c>
      <c r="B526" s="1" t="n">
        <v>2</v>
      </c>
      <c r="C526" s="1" t="inlineStr">
        <is>
          <t xml:space="preserve">TCSRE20211</t>
        </is>
      </c>
      <c r="D526" s="1" t="inlineStr">
        <is>
          <t xml:space="preserve">TITULADO</t>
        </is>
      </c>
      <c r="E526" s="1" t="n">
        <v>4</v>
      </c>
      <c r="F526" s="1" t="n">
        <v>4</v>
      </c>
      <c r="G526" s="1" t="n">
        <f aca="false">IF(E526=0,"",IF(D526="VIGENTE",1,0))</f>
        <v>0</v>
      </c>
      <c r="H526" s="1" t="inlineStr">
        <is>
          <t xml:space="preserve">B observado / C cálculo</t>
        </is>
      </c>
    </row>
    <row r="527" customFormat="false" ht="15" hidden="false" customHeight="true" outlineLevel="0" collapsed="false">
      <c r="A527" s="1" t="n">
        <v>2021</v>
      </c>
      <c r="B527" s="1" t="n">
        <v>2</v>
      </c>
      <c r="C527" s="1" t="inlineStr">
        <is>
          <t xml:space="preserve">TCSREOL2020</t>
        </is>
      </c>
      <c r="D527" s="1" t="inlineStr">
        <is>
          <t xml:space="preserve">ELIMINADO</t>
        </is>
      </c>
      <c r="E527" s="1" t="n">
        <v>2</v>
      </c>
      <c r="F527" s="1" t="n">
        <v>2</v>
      </c>
      <c r="G527" s="1" t="n">
        <f aca="false">IF(E527=0,"",IF(D527="VIGENTE",1,0))</f>
        <v>0</v>
      </c>
      <c r="H527" s="1" t="inlineStr">
        <is>
          <t xml:space="preserve">B observado / C cálculo</t>
        </is>
      </c>
    </row>
    <row r="528" customFormat="false" ht="15" hidden="false" customHeight="true" outlineLevel="0" collapsed="false">
      <c r="A528" s="1" t="n">
        <v>2021</v>
      </c>
      <c r="B528" s="1" t="n">
        <v>2</v>
      </c>
      <c r="C528" s="1" t="inlineStr">
        <is>
          <t xml:space="preserve">TCSREOL2020</t>
        </is>
      </c>
      <c r="D528" s="1" t="inlineStr">
        <is>
          <t xml:space="preserve">TITULADO</t>
        </is>
      </c>
      <c r="E528" s="1" t="n">
        <v>12</v>
      </c>
      <c r="F528" s="1" t="n">
        <v>12</v>
      </c>
      <c r="G528" s="1" t="n">
        <f aca="false">IF(E528=0,"",IF(D528="VIGENTE",1,0))</f>
        <v>0</v>
      </c>
      <c r="H528" s="1" t="inlineStr">
        <is>
          <t xml:space="preserve">B observado / C cálculo</t>
        </is>
      </c>
    </row>
    <row r="529" customFormat="false" ht="15" hidden="false" customHeight="true" outlineLevel="0" collapsed="false">
      <c r="A529" s="1" t="n">
        <v>2021</v>
      </c>
      <c r="B529" s="1" t="n">
        <v>2</v>
      </c>
      <c r="C529" s="1" t="inlineStr">
        <is>
          <t xml:space="preserve">TCSREOL2020</t>
        </is>
      </c>
      <c r="D529" s="1" t="inlineStr">
        <is>
          <t xml:space="preserve">VIGENTE</t>
        </is>
      </c>
      <c r="E529" s="1" t="n">
        <v>1</v>
      </c>
      <c r="F529" s="1" t="n">
        <v>1</v>
      </c>
      <c r="G529" s="1" t="n">
        <f aca="false">IF(E529=0,"",IF(D529="VIGENTE",1,0))</f>
        <v>1</v>
      </c>
      <c r="H529" s="1" t="inlineStr">
        <is>
          <t xml:space="preserve">B observado / C cálculo</t>
        </is>
      </c>
    </row>
    <row r="530" customFormat="false" ht="15" hidden="false" customHeight="true" outlineLevel="0" collapsed="false">
      <c r="A530" s="1" t="n">
        <v>2021</v>
      </c>
      <c r="B530" s="1" t="n">
        <v>2</v>
      </c>
      <c r="C530" s="1" t="inlineStr">
        <is>
          <t xml:space="preserve">TCSREOL20211</t>
        </is>
      </c>
      <c r="D530" s="1" t="inlineStr">
        <is>
          <t xml:space="preserve">ELIMINADO</t>
        </is>
      </c>
      <c r="E530" s="1" t="n">
        <v>16</v>
      </c>
      <c r="F530" s="1" t="n">
        <v>19</v>
      </c>
      <c r="G530" s="1" t="n">
        <f aca="false">IF(E530=0,"",IF(D530="VIGENTE",1,0))</f>
        <v>0</v>
      </c>
      <c r="H530" s="1" t="inlineStr">
        <is>
          <t xml:space="preserve">B observado / C cálculo</t>
        </is>
      </c>
    </row>
    <row r="531" customFormat="false" ht="15" hidden="false" customHeight="true" outlineLevel="0" collapsed="false">
      <c r="A531" s="1" t="n">
        <v>2021</v>
      </c>
      <c r="B531" s="1" t="n">
        <v>2</v>
      </c>
      <c r="C531" s="1" t="inlineStr">
        <is>
          <t xml:space="preserve">TCSREOL20211</t>
        </is>
      </c>
      <c r="D531" s="1" t="inlineStr">
        <is>
          <t xml:space="preserve">VIGENTE</t>
        </is>
      </c>
      <c r="E531" s="1" t="n">
        <v>1</v>
      </c>
      <c r="F531" s="1" t="n">
        <v>3</v>
      </c>
      <c r="G531" s="1" t="n">
        <f aca="false">IF(E531=0,"",IF(D531="VIGENTE",1,0))</f>
        <v>1</v>
      </c>
      <c r="H531" s="1" t="inlineStr">
        <is>
          <t xml:space="preserve">B observado / C cálculo</t>
        </is>
      </c>
    </row>
    <row r="532" customFormat="false" ht="15" hidden="false" customHeight="true" outlineLevel="0" collapsed="false">
      <c r="A532" s="1" t="n">
        <v>2021</v>
      </c>
      <c r="B532" s="1" t="n">
        <v>2</v>
      </c>
      <c r="C532" s="1" t="inlineStr">
        <is>
          <t xml:space="preserve">TMIRE20171</t>
        </is>
      </c>
      <c r="D532" s="1" t="inlineStr">
        <is>
          <t xml:space="preserve">ELIMINADO</t>
        </is>
      </c>
      <c r="E532" s="1" t="n">
        <v>1</v>
      </c>
      <c r="F532" s="1" t="n">
        <v>1</v>
      </c>
      <c r="G532" s="1" t="n">
        <f aca="false">IF(E532=0,"",IF(D532="VIGENTE",1,0))</f>
        <v>0</v>
      </c>
      <c r="H532" s="1" t="inlineStr">
        <is>
          <t xml:space="preserve">B observado / C cálculo</t>
        </is>
      </c>
    </row>
    <row r="533" customFormat="false" ht="15" hidden="false" customHeight="true" outlineLevel="0" collapsed="false">
      <c r="A533" s="1" t="n">
        <v>2021</v>
      </c>
      <c r="B533" s="1" t="n">
        <v>2</v>
      </c>
      <c r="C533" s="1" t="inlineStr">
        <is>
          <t xml:space="preserve">TMIRE2020</t>
        </is>
      </c>
      <c r="D533" s="1" t="inlineStr">
        <is>
          <t xml:space="preserve">ELIMINADO</t>
        </is>
      </c>
      <c r="E533" s="1" t="n">
        <v>2</v>
      </c>
      <c r="F533" s="1" t="n">
        <v>11</v>
      </c>
      <c r="G533" s="1" t="n">
        <f aca="false">IF(E533=0,"",IF(D533="VIGENTE",1,0))</f>
        <v>0</v>
      </c>
      <c r="H533" s="1" t="inlineStr">
        <is>
          <t xml:space="preserve">B observado / C cálculo</t>
        </is>
      </c>
    </row>
    <row r="534" customFormat="false" ht="15" hidden="false" customHeight="true" outlineLevel="0" collapsed="false">
      <c r="A534" s="1" t="n">
        <v>2021</v>
      </c>
      <c r="B534" s="1" t="n">
        <v>2</v>
      </c>
      <c r="C534" s="1" t="inlineStr">
        <is>
          <t xml:space="preserve">TMIRE2020</t>
        </is>
      </c>
      <c r="D534" s="1" t="inlineStr">
        <is>
          <t xml:space="preserve">TITULADO</t>
        </is>
      </c>
      <c r="E534" s="1" t="n">
        <v>3</v>
      </c>
      <c r="F534" s="1" t="n">
        <v>16</v>
      </c>
      <c r="G534" s="1" t="n">
        <f aca="false">IF(E534=0,"",IF(D534="VIGENTE",1,0))</f>
        <v>0</v>
      </c>
      <c r="H534" s="1" t="inlineStr">
        <is>
          <t xml:space="preserve">B observado / C cálculo</t>
        </is>
      </c>
    </row>
    <row r="535" customFormat="false" ht="15" hidden="false" customHeight="true" outlineLevel="0" collapsed="false">
      <c r="A535" s="1" t="n">
        <v>2021</v>
      </c>
      <c r="B535" s="1" t="n">
        <v>2</v>
      </c>
      <c r="C535" s="1" t="inlineStr">
        <is>
          <t xml:space="preserve">TMIRE20211</t>
        </is>
      </c>
      <c r="D535" s="1" t="inlineStr">
        <is>
          <t xml:space="preserve">ELIMINADO</t>
        </is>
      </c>
      <c r="E535" s="1" t="n">
        <v>6</v>
      </c>
      <c r="F535" s="1" t="n">
        <v>40</v>
      </c>
      <c r="G535" s="1" t="n">
        <f aca="false">IF(E535=0,"",IF(D535="VIGENTE",1,0))</f>
        <v>0</v>
      </c>
      <c r="H535" s="1" t="inlineStr">
        <is>
          <t xml:space="preserve">B observado / C cálculo</t>
        </is>
      </c>
    </row>
    <row r="536" customFormat="false" ht="15" hidden="false" customHeight="true" outlineLevel="0" collapsed="false">
      <c r="A536" s="1" t="n">
        <v>2021</v>
      </c>
      <c r="B536" s="1" t="n">
        <v>2</v>
      </c>
      <c r="C536" s="1" t="inlineStr">
        <is>
          <t xml:space="preserve">TMIRE20211</t>
        </is>
      </c>
      <c r="D536" s="1" t="inlineStr">
        <is>
          <t xml:space="preserve">TITULADO</t>
        </is>
      </c>
      <c r="E536" s="1" t="n">
        <v>1</v>
      </c>
      <c r="F536" s="1" t="n">
        <v>6</v>
      </c>
      <c r="G536" s="1" t="n">
        <f aca="false">IF(E536=0,"",IF(D536="VIGENTE",1,0))</f>
        <v>0</v>
      </c>
      <c r="H536" s="1" t="inlineStr">
        <is>
          <t xml:space="preserve">B observado / C cálculo</t>
        </is>
      </c>
    </row>
    <row r="537" customFormat="false" ht="15" hidden="false" customHeight="true" outlineLevel="0" collapsed="false">
      <c r="A537" s="1" t="n">
        <v>2021</v>
      </c>
      <c r="B537" s="1" t="n">
        <v>2</v>
      </c>
      <c r="C537" s="1" t="inlineStr">
        <is>
          <t xml:space="preserve">TPARE2020</t>
        </is>
      </c>
      <c r="D537" s="1" t="inlineStr">
        <is>
          <t xml:space="preserve">ELIMINADO</t>
        </is>
      </c>
      <c r="E537" s="1" t="n">
        <v>9</v>
      </c>
      <c r="F537" s="1" t="n">
        <v>15</v>
      </c>
      <c r="G537" s="1" t="n">
        <f aca="false">IF(E537=0,"",IF(D537="VIGENTE",1,0))</f>
        <v>0</v>
      </c>
      <c r="H537" s="1" t="inlineStr">
        <is>
          <t xml:space="preserve">B observado / C cálculo</t>
        </is>
      </c>
    </row>
    <row r="538" customFormat="false" ht="15" hidden="false" customHeight="true" outlineLevel="0" collapsed="false">
      <c r="A538" s="1" t="n">
        <v>2021</v>
      </c>
      <c r="B538" s="1" t="n">
        <v>2</v>
      </c>
      <c r="C538" s="1" t="inlineStr">
        <is>
          <t xml:space="preserve">TPARE2020</t>
        </is>
      </c>
      <c r="D538" s="1" t="inlineStr">
        <is>
          <t xml:space="preserve">TITULADO</t>
        </is>
      </c>
      <c r="E538" s="1" t="n">
        <v>18</v>
      </c>
      <c r="F538" s="1" t="n">
        <v>30</v>
      </c>
      <c r="G538" s="1" t="n">
        <f aca="false">IF(E538=0,"",IF(D538="VIGENTE",1,0))</f>
        <v>0</v>
      </c>
      <c r="H538" s="1" t="inlineStr">
        <is>
          <t xml:space="preserve">B observado / C cálculo</t>
        </is>
      </c>
    </row>
    <row r="539" customFormat="false" ht="15" hidden="false" customHeight="true" outlineLevel="0" collapsed="false">
      <c r="A539" s="1" t="n">
        <v>2021</v>
      </c>
      <c r="B539" s="1" t="n">
        <v>2</v>
      </c>
      <c r="C539" s="1" t="inlineStr">
        <is>
          <t xml:space="preserve">TPARE20211</t>
        </is>
      </c>
      <c r="D539" s="1" t="inlineStr">
        <is>
          <t xml:space="preserve">ELIMINADO</t>
        </is>
      </c>
      <c r="E539" s="1" t="n">
        <v>20</v>
      </c>
      <c r="F539" s="1" t="n">
        <v>39</v>
      </c>
      <c r="G539" s="1" t="n">
        <f aca="false">IF(E539=0,"",IF(D539="VIGENTE",1,0))</f>
        <v>0</v>
      </c>
      <c r="H539" s="1" t="inlineStr">
        <is>
          <t xml:space="preserve">B observado / C cálculo</t>
        </is>
      </c>
    </row>
    <row r="540" customFormat="false" ht="15" hidden="false" customHeight="true" outlineLevel="0" collapsed="false">
      <c r="A540" s="1" t="n">
        <v>2021</v>
      </c>
      <c r="B540" s="1" t="n">
        <v>2</v>
      </c>
      <c r="C540" s="1" t="inlineStr">
        <is>
          <t xml:space="preserve">TPARE20211</t>
        </is>
      </c>
      <c r="D540" s="1" t="inlineStr">
        <is>
          <t xml:space="preserve">TITULADO</t>
        </is>
      </c>
      <c r="E540" s="1" t="n">
        <v>15</v>
      </c>
      <c r="F540" s="1" t="n">
        <v>30</v>
      </c>
      <c r="G540" s="1" t="n">
        <f aca="false">IF(E540=0,"",IF(D540="VIGENTE",1,0))</f>
        <v>0</v>
      </c>
      <c r="H540" s="1" t="inlineStr">
        <is>
          <t xml:space="preserve">B observado / C cálculo</t>
        </is>
      </c>
    </row>
    <row r="541" customFormat="false" ht="15" hidden="false" customHeight="true" outlineLevel="0" collapsed="false">
      <c r="A541" s="1" t="n">
        <v>2021</v>
      </c>
      <c r="B541" s="1" t="n">
        <v>2</v>
      </c>
      <c r="C541" s="1" t="inlineStr">
        <is>
          <t xml:space="preserve">TPAREOL2020</t>
        </is>
      </c>
      <c r="D541" s="1" t="inlineStr">
        <is>
          <t xml:space="preserve">ELIMINADO</t>
        </is>
      </c>
      <c r="E541" s="1" t="n">
        <v>7</v>
      </c>
      <c r="F541" s="1" t="n">
        <v>7</v>
      </c>
      <c r="G541" s="1" t="n">
        <f aca="false">IF(E541=0,"",IF(D541="VIGENTE",1,0))</f>
        <v>0</v>
      </c>
      <c r="H541" s="1" t="inlineStr">
        <is>
          <t xml:space="preserve">B observado / C cálculo</t>
        </is>
      </c>
    </row>
    <row r="542" customFormat="false" ht="15" hidden="false" customHeight="true" outlineLevel="0" collapsed="false">
      <c r="A542" s="1" t="n">
        <v>2021</v>
      </c>
      <c r="B542" s="1" t="n">
        <v>2</v>
      </c>
      <c r="C542" s="1" t="inlineStr">
        <is>
          <t xml:space="preserve">TPAREOL2020</t>
        </is>
      </c>
      <c r="D542" s="1" t="inlineStr">
        <is>
          <t xml:space="preserve">TITULADO</t>
        </is>
      </c>
      <c r="E542" s="1" t="n">
        <v>4</v>
      </c>
      <c r="F542" s="1" t="n">
        <v>4</v>
      </c>
      <c r="G542" s="1" t="n">
        <f aca="false">IF(E542=0,"",IF(D542="VIGENTE",1,0))</f>
        <v>0</v>
      </c>
      <c r="H542" s="1" t="inlineStr">
        <is>
          <t xml:space="preserve">B observado / C cálculo</t>
        </is>
      </c>
    </row>
    <row r="543" customFormat="false" ht="15" hidden="false" customHeight="true" outlineLevel="0" collapsed="false">
      <c r="A543" s="1" t="n">
        <v>2021</v>
      </c>
      <c r="B543" s="1" t="n">
        <v>2</v>
      </c>
      <c r="C543" s="1" t="inlineStr">
        <is>
          <t xml:space="preserve">TPAREOL2020</t>
        </is>
      </c>
      <c r="D543" s="1" t="inlineStr">
        <is>
          <t xml:space="preserve">VIGENTE</t>
        </is>
      </c>
      <c r="E543" s="1" t="n">
        <v>2</v>
      </c>
      <c r="F543" s="1" t="n">
        <v>4</v>
      </c>
      <c r="G543" s="1" t="n">
        <f aca="false">IF(E543=0,"",IF(D543="VIGENTE",1,0))</f>
        <v>1</v>
      </c>
      <c r="H543" s="1" t="inlineStr">
        <is>
          <t xml:space="preserve">B observado / C cálculo</t>
        </is>
      </c>
    </row>
    <row r="544" customFormat="false" ht="15" hidden="false" customHeight="true" outlineLevel="0" collapsed="false">
      <c r="A544" s="1" t="n">
        <v>2021</v>
      </c>
      <c r="B544" s="1" t="n">
        <v>2</v>
      </c>
      <c r="C544" s="1" t="inlineStr">
        <is>
          <t xml:space="preserve">TPAREOL20211</t>
        </is>
      </c>
      <c r="D544" s="1" t="inlineStr">
        <is>
          <t xml:space="preserve">ELIMINADO</t>
        </is>
      </c>
      <c r="E544" s="1" t="n">
        <v>50</v>
      </c>
      <c r="F544" s="1" t="n">
        <v>52</v>
      </c>
      <c r="G544" s="1" t="n">
        <f aca="false">IF(E544=0,"",IF(D544="VIGENTE",1,0))</f>
        <v>0</v>
      </c>
      <c r="H544" s="1" t="inlineStr">
        <is>
          <t xml:space="preserve">B observado / C cálculo</t>
        </is>
      </c>
    </row>
    <row r="545" customFormat="false" ht="15" hidden="false" customHeight="true" outlineLevel="0" collapsed="false">
      <c r="A545" s="1" t="n">
        <v>2021</v>
      </c>
      <c r="B545" s="1" t="n">
        <v>2</v>
      </c>
      <c r="C545" s="1" t="inlineStr">
        <is>
          <t xml:space="preserve">TPAREOL20211</t>
        </is>
      </c>
      <c r="D545" s="1" t="inlineStr">
        <is>
          <t xml:space="preserve">TITULADO</t>
        </is>
      </c>
      <c r="E545" s="1" t="n">
        <v>36</v>
      </c>
      <c r="F545" s="1" t="n">
        <v>43</v>
      </c>
      <c r="G545" s="1" t="n">
        <f aca="false">IF(E545=0,"",IF(D545="VIGENTE",1,0))</f>
        <v>0</v>
      </c>
      <c r="H545" s="1" t="inlineStr">
        <is>
          <t xml:space="preserve">B observado / C cálculo</t>
        </is>
      </c>
    </row>
    <row r="546" customFormat="false" ht="15" hidden="false" customHeight="true" outlineLevel="0" collapsed="false">
      <c r="A546" s="1" t="n">
        <v>2021</v>
      </c>
      <c r="B546" s="1" t="n">
        <v>2</v>
      </c>
      <c r="C546" s="1" t="inlineStr">
        <is>
          <t xml:space="preserve">TPAREOL20211</t>
        </is>
      </c>
      <c r="D546" s="1" t="inlineStr">
        <is>
          <t xml:space="preserve">VIGENTE</t>
        </is>
      </c>
      <c r="E546" s="1" t="n">
        <v>1</v>
      </c>
      <c r="F546" s="1" t="n">
        <v>1</v>
      </c>
      <c r="G546" s="1" t="n">
        <f aca="false">IF(E546=0,"",IF(D546="VIGENTE",1,0))</f>
        <v>1</v>
      </c>
      <c r="H546" s="1" t="inlineStr">
        <is>
          <t xml:space="preserve">B observado / C cálculo</t>
        </is>
      </c>
    </row>
    <row r="547" customFormat="false" ht="15" hidden="false" customHeight="true" outlineLevel="0" collapsed="false">
      <c r="A547" s="1" t="n">
        <v>2021</v>
      </c>
      <c r="B547" s="1" t="n">
        <v>2</v>
      </c>
      <c r="C547" s="1" t="inlineStr">
        <is>
          <t xml:space="preserve">TPCREOL20191</t>
        </is>
      </c>
      <c r="D547" s="1" t="inlineStr">
        <is>
          <t xml:space="preserve">ELIMINADO</t>
        </is>
      </c>
      <c r="E547" s="1" t="n">
        <v>4</v>
      </c>
      <c r="F547" s="1" t="n">
        <v>4</v>
      </c>
      <c r="G547" s="1" t="n">
        <f aca="false">IF(E547=0,"",IF(D547="VIGENTE",1,0))</f>
        <v>0</v>
      </c>
      <c r="H547" s="1" t="inlineStr">
        <is>
          <t xml:space="preserve">B observado / C cálculo</t>
        </is>
      </c>
    </row>
    <row r="548" customFormat="false" ht="15" hidden="false" customHeight="true" outlineLevel="0" collapsed="false">
      <c r="A548" s="1" t="n">
        <v>2021</v>
      </c>
      <c r="B548" s="1" t="n">
        <v>2</v>
      </c>
      <c r="C548" s="1" t="inlineStr">
        <is>
          <t xml:space="preserve">TPCREOL20191</t>
        </is>
      </c>
      <c r="D548" s="1" t="inlineStr">
        <is>
          <t xml:space="preserve">TITULADO</t>
        </is>
      </c>
      <c r="E548" s="1" t="n">
        <v>1</v>
      </c>
      <c r="F548" s="1" t="n">
        <v>1</v>
      </c>
      <c r="G548" s="1" t="n">
        <f aca="false">IF(E548=0,"",IF(D548="VIGENTE",1,0))</f>
        <v>0</v>
      </c>
      <c r="H548" s="1" t="inlineStr">
        <is>
          <t xml:space="preserve">B observado / C cálculo</t>
        </is>
      </c>
    </row>
    <row r="549" customFormat="false" ht="15" hidden="false" customHeight="true" outlineLevel="0" collapsed="false">
      <c r="A549" s="1" t="n">
        <v>2021</v>
      </c>
      <c r="B549" s="1" t="n">
        <v>2</v>
      </c>
      <c r="C549" s="1" t="inlineStr">
        <is>
          <t xml:space="preserve">TTMRE20191</t>
        </is>
      </c>
      <c r="D549" s="1" t="inlineStr">
        <is>
          <t xml:space="preserve">ELIMINADO</t>
        </is>
      </c>
      <c r="E549" s="1" t="n">
        <v>7</v>
      </c>
      <c r="F549" s="1" t="n">
        <v>10</v>
      </c>
      <c r="G549" s="1" t="n">
        <f aca="false">IF(E549=0,"",IF(D549="VIGENTE",1,0))</f>
        <v>0</v>
      </c>
      <c r="H549" s="1" t="inlineStr">
        <is>
          <t xml:space="preserve">B observado / C cálculo</t>
        </is>
      </c>
    </row>
    <row r="550" customFormat="false" ht="15" hidden="false" customHeight="true" outlineLevel="0" collapsed="false">
      <c r="A550" s="1" t="n">
        <v>2021</v>
      </c>
      <c r="B550" s="1" t="n">
        <v>2</v>
      </c>
      <c r="C550" s="1" t="inlineStr">
        <is>
          <t xml:space="preserve">TTMRE20191</t>
        </is>
      </c>
      <c r="D550" s="1" t="inlineStr">
        <is>
          <t xml:space="preserve">TITULADO</t>
        </is>
      </c>
      <c r="E550" s="1" t="n">
        <v>19</v>
      </c>
      <c r="F550" s="1" t="n">
        <v>37</v>
      </c>
      <c r="G550" s="1" t="n">
        <f aca="false">IF(E550=0,"",IF(D550="VIGENTE",1,0))</f>
        <v>0</v>
      </c>
      <c r="H550" s="1" t="inlineStr">
        <is>
          <t xml:space="preserve">B observado / C cálculo</t>
        </is>
      </c>
    </row>
    <row r="551" customFormat="false" ht="15" hidden="false" customHeight="true" outlineLevel="0" collapsed="false">
      <c r="A551" s="1" t="n">
        <v>2021</v>
      </c>
      <c r="B551" s="1" t="n">
        <v>2</v>
      </c>
      <c r="C551" s="1" t="inlineStr">
        <is>
          <t xml:space="preserve">TTMRE20211</t>
        </is>
      </c>
      <c r="D551" s="1" t="inlineStr">
        <is>
          <t xml:space="preserve">ELIMINADO</t>
        </is>
      </c>
      <c r="E551" s="1" t="n">
        <v>7</v>
      </c>
      <c r="F551" s="1" t="n">
        <v>8</v>
      </c>
      <c r="G551" s="1" t="n">
        <f aca="false">IF(E551=0,"",IF(D551="VIGENTE",1,0))</f>
        <v>0</v>
      </c>
      <c r="H551" s="1" t="inlineStr">
        <is>
          <t xml:space="preserve">B observado / C cálculo</t>
        </is>
      </c>
    </row>
    <row r="552" customFormat="false" ht="15" hidden="false" customHeight="true" outlineLevel="0" collapsed="false">
      <c r="A552" s="1" t="n">
        <v>2021</v>
      </c>
      <c r="B552" s="1" t="n">
        <v>2</v>
      </c>
      <c r="C552" s="1" t="inlineStr">
        <is>
          <t xml:space="preserve">TTMRE20211</t>
        </is>
      </c>
      <c r="D552" s="1" t="inlineStr">
        <is>
          <t xml:space="preserve">TITULADO</t>
        </is>
      </c>
      <c r="E552" s="1" t="n">
        <v>3</v>
      </c>
      <c r="F552" s="1" t="n">
        <v>3</v>
      </c>
      <c r="G552" s="1" t="n">
        <f aca="false">IF(E552=0,"",IF(D552="VIGENTE",1,0))</f>
        <v>0</v>
      </c>
      <c r="H552" s="1" t="inlineStr">
        <is>
          <t xml:space="preserve">B observado / C cálculo</t>
        </is>
      </c>
    </row>
    <row r="553" customFormat="false" ht="15" hidden="false" customHeight="true" outlineLevel="0" collapsed="false">
      <c r="A553" s="1" t="n">
        <v>2021</v>
      </c>
      <c r="B553" s="1" t="n">
        <v>2</v>
      </c>
      <c r="C553" s="1" t="inlineStr">
        <is>
          <t xml:space="preserve">TTMREOL20191</t>
        </is>
      </c>
      <c r="D553" s="1" t="inlineStr">
        <is>
          <t xml:space="preserve">ELIMINADO</t>
        </is>
      </c>
      <c r="E553" s="1" t="n">
        <v>1</v>
      </c>
      <c r="F553" s="1" t="n">
        <v>1</v>
      </c>
      <c r="G553" s="1" t="n">
        <f aca="false">IF(E553=0,"",IF(D553="VIGENTE",1,0))</f>
        <v>0</v>
      </c>
      <c r="H553" s="1" t="inlineStr">
        <is>
          <t xml:space="preserve">B observado / C cálculo</t>
        </is>
      </c>
    </row>
    <row r="554" customFormat="false" ht="15" hidden="false" customHeight="true" outlineLevel="0" collapsed="false">
      <c r="A554" s="1" t="n">
        <v>2021</v>
      </c>
      <c r="B554" s="1" t="n">
        <v>2</v>
      </c>
      <c r="C554" s="1" t="inlineStr">
        <is>
          <t xml:space="preserve">TTMREOL20191</t>
        </is>
      </c>
      <c r="D554" s="1" t="inlineStr">
        <is>
          <t xml:space="preserve">TITULADO</t>
        </is>
      </c>
      <c r="E554" s="1" t="n">
        <v>2</v>
      </c>
      <c r="F554" s="1" t="n">
        <v>3</v>
      </c>
      <c r="G554" s="1" t="n">
        <f aca="false">IF(E554=0,"",IF(D554="VIGENTE",1,0))</f>
        <v>0</v>
      </c>
      <c r="H554" s="1" t="inlineStr">
        <is>
          <t xml:space="preserve">B observado / C cálculo</t>
        </is>
      </c>
    </row>
    <row r="555" customFormat="false" ht="15" hidden="false" customHeight="true" outlineLevel="0" collapsed="false">
      <c r="A555" s="1" t="n">
        <v>2021</v>
      </c>
      <c r="B555" s="1" t="n">
        <v>2</v>
      </c>
      <c r="C555" s="1" t="inlineStr">
        <is>
          <t xml:space="preserve">TTMREOL20211</t>
        </is>
      </c>
      <c r="D555" s="1" t="inlineStr">
        <is>
          <t xml:space="preserve">ELIMINADO</t>
        </is>
      </c>
      <c r="E555" s="1" t="n">
        <v>10</v>
      </c>
      <c r="F555" s="1" t="n">
        <v>12</v>
      </c>
      <c r="G555" s="1" t="n">
        <f aca="false">IF(E555=0,"",IF(D555="VIGENTE",1,0))</f>
        <v>0</v>
      </c>
      <c r="H555" s="1" t="inlineStr">
        <is>
          <t xml:space="preserve">B observado / C cálculo</t>
        </is>
      </c>
    </row>
    <row r="556" customFormat="false" ht="15" hidden="false" customHeight="true" outlineLevel="0" collapsed="false">
      <c r="A556" s="1" t="n">
        <v>2021</v>
      </c>
      <c r="B556" s="1" t="n">
        <v>2</v>
      </c>
      <c r="C556" s="1" t="inlineStr">
        <is>
          <t xml:space="preserve">TTMREOL20211</t>
        </is>
      </c>
      <c r="D556" s="1" t="inlineStr">
        <is>
          <t xml:space="preserve">TITULADO</t>
        </is>
      </c>
      <c r="E556" s="1" t="n">
        <v>13</v>
      </c>
      <c r="F556" s="1" t="n">
        <v>17</v>
      </c>
      <c r="G556" s="1" t="n">
        <f aca="false">IF(E556=0,"",IF(D556="VIGENTE",1,0))</f>
        <v>0</v>
      </c>
      <c r="H556" s="1" t="inlineStr">
        <is>
          <t xml:space="preserve">B observado / C cálculo</t>
        </is>
      </c>
    </row>
    <row r="557" customFormat="false" ht="15" hidden="false" customHeight="true" outlineLevel="0" collapsed="false">
      <c r="A557" s="1" t="n">
        <v>2021</v>
      </c>
      <c r="B557" s="1" t="n">
        <v>2</v>
      </c>
      <c r="C557" s="1" t="inlineStr">
        <is>
          <t xml:space="preserve">TTMREOL20211</t>
        </is>
      </c>
      <c r="D557" s="1" t="inlineStr">
        <is>
          <t xml:space="preserve">VIGENTE</t>
        </is>
      </c>
      <c r="E557" s="1" t="n">
        <v>1</v>
      </c>
      <c r="F557" s="1" t="n">
        <v>1</v>
      </c>
      <c r="G557" s="1" t="n">
        <f aca="false">IF(E557=0,"",IF(D557="VIGENTE",1,0))</f>
        <v>1</v>
      </c>
      <c r="H557" s="1" t="inlineStr">
        <is>
          <t xml:space="preserve">B observado / C cálculo</t>
        </is>
      </c>
    </row>
    <row r="558" customFormat="false" ht="15" hidden="false" customHeight="true" outlineLevel="0" collapsed="false">
      <c r="A558" s="1" t="n">
        <v>2021</v>
      </c>
      <c r="B558" s="1" t="n">
        <v>3</v>
      </c>
      <c r="C558" s="1" t="inlineStr">
        <is>
          <t xml:space="preserve">IECIREOL20191</t>
        </is>
      </c>
      <c r="D558" s="1" t="inlineStr">
        <is>
          <t xml:space="preserve">ELIMINADO</t>
        </is>
      </c>
      <c r="E558" s="1" t="n">
        <v>2</v>
      </c>
      <c r="F558" s="1" t="n">
        <v>2</v>
      </c>
      <c r="G558" s="1" t="n">
        <f aca="false">IF(E558=0,"",IF(D558="VIGENTE",1,0))</f>
        <v>0</v>
      </c>
      <c r="H558" s="1" t="inlineStr">
        <is>
          <t xml:space="preserve">B observado / C cálculo</t>
        </is>
      </c>
    </row>
    <row r="559" customFormat="false" ht="15" hidden="false" customHeight="true" outlineLevel="0" collapsed="false">
      <c r="A559" s="1" t="n">
        <v>2021</v>
      </c>
      <c r="B559" s="1" t="n">
        <v>3</v>
      </c>
      <c r="C559" s="1" t="inlineStr">
        <is>
          <t xml:space="preserve">IECIREOL20191</t>
        </is>
      </c>
      <c r="D559" s="1" t="inlineStr">
        <is>
          <t xml:space="preserve">TITULADO</t>
        </is>
      </c>
      <c r="E559" s="1" t="n">
        <v>11</v>
      </c>
      <c r="F559" s="1" t="n">
        <v>11</v>
      </c>
      <c r="G559" s="1" t="n">
        <f aca="false">IF(E559=0,"",IF(D559="VIGENTE",1,0))</f>
        <v>0</v>
      </c>
      <c r="H559" s="1" t="inlineStr">
        <is>
          <t xml:space="preserve">B observado / C cálculo</t>
        </is>
      </c>
    </row>
    <row r="560" customFormat="false" ht="15" hidden="false" customHeight="true" outlineLevel="0" collapsed="false">
      <c r="A560" s="1" t="n">
        <v>2021</v>
      </c>
      <c r="B560" s="1" t="n">
        <v>3</v>
      </c>
      <c r="C560" s="1" t="inlineStr">
        <is>
          <t xml:space="preserve">IECIREOL20201</t>
        </is>
      </c>
      <c r="D560" s="1" t="inlineStr">
        <is>
          <t xml:space="preserve">ELIMINADO</t>
        </is>
      </c>
      <c r="E560" s="1" t="n">
        <v>3</v>
      </c>
      <c r="F560" s="1" t="n">
        <v>3</v>
      </c>
      <c r="G560" s="1" t="n">
        <f aca="false">IF(E560=0,"",IF(D560="VIGENTE",1,0))</f>
        <v>0</v>
      </c>
      <c r="H560" s="1" t="inlineStr">
        <is>
          <t xml:space="preserve">B observado / C cálculo</t>
        </is>
      </c>
    </row>
    <row r="561" customFormat="false" ht="15" hidden="false" customHeight="true" outlineLevel="0" collapsed="false">
      <c r="A561" s="1" t="n">
        <v>2021</v>
      </c>
      <c r="B561" s="1" t="n">
        <v>3</v>
      </c>
      <c r="C561" s="1" t="inlineStr">
        <is>
          <t xml:space="preserve">IECIREOL20201</t>
        </is>
      </c>
      <c r="D561" s="1" t="inlineStr">
        <is>
          <t xml:space="preserve">TITULADO</t>
        </is>
      </c>
      <c r="E561" s="1" t="n">
        <v>8</v>
      </c>
      <c r="F561" s="1" t="n">
        <v>8</v>
      </c>
      <c r="G561" s="1" t="n">
        <f aca="false">IF(E561=0,"",IF(D561="VIGENTE",1,0))</f>
        <v>0</v>
      </c>
      <c r="H561" s="1" t="inlineStr">
        <is>
          <t xml:space="preserve">B observado / C cálculo</t>
        </is>
      </c>
    </row>
    <row r="562" customFormat="false" ht="15" hidden="false" customHeight="true" outlineLevel="0" collapsed="false">
      <c r="A562" s="1" t="n">
        <v>2021</v>
      </c>
      <c r="B562" s="1" t="n">
        <v>3</v>
      </c>
      <c r="C562" s="1" t="inlineStr">
        <is>
          <t xml:space="preserve">IECIREOL20211</t>
        </is>
      </c>
      <c r="D562" s="1" t="inlineStr">
        <is>
          <t xml:space="preserve">ELIMINADO</t>
        </is>
      </c>
      <c r="E562" s="1" t="n">
        <v>13</v>
      </c>
      <c r="F562" s="1" t="n">
        <v>19</v>
      </c>
      <c r="G562" s="1" t="n">
        <f aca="false">IF(E562=0,"",IF(D562="VIGENTE",1,0))</f>
        <v>0</v>
      </c>
      <c r="H562" s="1" t="inlineStr">
        <is>
          <t xml:space="preserve">B observado / C cálculo</t>
        </is>
      </c>
    </row>
    <row r="563" customFormat="false" ht="15" hidden="false" customHeight="true" outlineLevel="0" collapsed="false">
      <c r="A563" s="1" t="n">
        <v>2021</v>
      </c>
      <c r="B563" s="1" t="n">
        <v>3</v>
      </c>
      <c r="C563" s="1" t="inlineStr">
        <is>
          <t xml:space="preserve">IECIREOL20211</t>
        </is>
      </c>
      <c r="D563" s="1" t="inlineStr">
        <is>
          <t xml:space="preserve">SUSPENDIDO</t>
        </is>
      </c>
      <c r="E563" s="1" t="n">
        <v>1</v>
      </c>
      <c r="F563" s="1" t="n">
        <v>1</v>
      </c>
      <c r="G563" s="1" t="n">
        <f aca="false">IF(E563=0,"",IF(D563="VIGENTE",1,0))</f>
        <v>0</v>
      </c>
      <c r="H563" s="1" t="inlineStr">
        <is>
          <t xml:space="preserve">B observado / C cálculo</t>
        </is>
      </c>
    </row>
    <row r="564" customFormat="false" ht="15" hidden="false" customHeight="true" outlineLevel="0" collapsed="false">
      <c r="A564" s="1" t="n">
        <v>2021</v>
      </c>
      <c r="B564" s="1" t="n">
        <v>3</v>
      </c>
      <c r="C564" s="1" t="inlineStr">
        <is>
          <t xml:space="preserve">IECIREOL20211</t>
        </is>
      </c>
      <c r="D564" s="1" t="inlineStr">
        <is>
          <t xml:space="preserve">TITULADO</t>
        </is>
      </c>
      <c r="E564" s="1" t="n">
        <v>31</v>
      </c>
      <c r="F564" s="1" t="n">
        <v>39</v>
      </c>
      <c r="G564" s="1" t="n">
        <f aca="false">IF(E564=0,"",IF(D564="VIGENTE",1,0))</f>
        <v>0</v>
      </c>
      <c r="H564" s="1" t="inlineStr">
        <is>
          <t xml:space="preserve">B observado / C cálculo</t>
        </is>
      </c>
    </row>
    <row r="565" customFormat="false" ht="15" hidden="false" customHeight="true" outlineLevel="0" collapsed="false">
      <c r="A565" s="1" t="n">
        <v>2021</v>
      </c>
      <c r="B565" s="1" t="n">
        <v>3</v>
      </c>
      <c r="C565" s="1" t="inlineStr">
        <is>
          <t xml:space="preserve">IECSREOL20211</t>
        </is>
      </c>
      <c r="D565" s="1" t="inlineStr">
        <is>
          <t xml:space="preserve">ELIMINADO</t>
        </is>
      </c>
      <c r="E565" s="1" t="n">
        <v>16</v>
      </c>
      <c r="F565" s="1" t="n">
        <v>16</v>
      </c>
      <c r="G565" s="1" t="n">
        <f aca="false">IF(E565=0,"",IF(D565="VIGENTE",1,0))</f>
        <v>0</v>
      </c>
      <c r="H565" s="1" t="inlineStr">
        <is>
          <t xml:space="preserve">B observado / C cálculo</t>
        </is>
      </c>
    </row>
    <row r="566" customFormat="false" ht="15" hidden="false" customHeight="true" outlineLevel="0" collapsed="false">
      <c r="A566" s="1" t="n">
        <v>2021</v>
      </c>
      <c r="B566" s="1" t="n">
        <v>3</v>
      </c>
      <c r="C566" s="1" t="inlineStr">
        <is>
          <t xml:space="preserve">IECSREOL20211</t>
        </is>
      </c>
      <c r="D566" s="1" t="inlineStr">
        <is>
          <t xml:space="preserve">TITULADO</t>
        </is>
      </c>
      <c r="E566" s="1" t="n">
        <v>24</v>
      </c>
      <c r="F566" s="1" t="n">
        <v>24</v>
      </c>
      <c r="G566" s="1" t="n">
        <f aca="false">IF(E566=0,"",IF(D566="VIGENTE",1,0))</f>
        <v>0</v>
      </c>
      <c r="H566" s="1" t="inlineStr">
        <is>
          <t xml:space="preserve">B observado / C cálculo</t>
        </is>
      </c>
    </row>
    <row r="567" customFormat="false" ht="15" hidden="false" customHeight="true" outlineLevel="0" collapsed="false">
      <c r="A567" s="1" t="n">
        <v>2021</v>
      </c>
      <c r="B567" s="1" t="n">
        <v>3</v>
      </c>
      <c r="C567" s="1" t="inlineStr">
        <is>
          <t xml:space="preserve">IECSREOL20211</t>
        </is>
      </c>
      <c r="D567" s="1" t="inlineStr">
        <is>
          <t xml:space="preserve">VIGENTE</t>
        </is>
      </c>
      <c r="E567" s="1" t="n">
        <v>1</v>
      </c>
      <c r="F567" s="1" t="n">
        <v>1</v>
      </c>
      <c r="G567" s="1" t="n">
        <f aca="false">IF(E567=0,"",IF(D567="VIGENTE",1,0))</f>
        <v>1</v>
      </c>
      <c r="H567" s="1" t="inlineStr">
        <is>
          <t xml:space="preserve">B observado / C cálculo</t>
        </is>
      </c>
    </row>
    <row r="568" customFormat="false" ht="15" hidden="false" customHeight="true" outlineLevel="0" collapsed="false">
      <c r="A568" s="1" t="n">
        <v>2021</v>
      </c>
      <c r="B568" s="1" t="n">
        <v>3</v>
      </c>
      <c r="C568" s="1" t="inlineStr">
        <is>
          <t xml:space="preserve">IETMRE20161</t>
        </is>
      </c>
      <c r="D568" s="1" t="inlineStr">
        <is>
          <t xml:space="preserve">TITULADO</t>
        </is>
      </c>
      <c r="E568" s="1" t="n">
        <v>1</v>
      </c>
      <c r="F568" s="1" t="n">
        <v>1</v>
      </c>
      <c r="G568" s="1" t="n">
        <f aca="false">IF(E568=0,"",IF(D568="VIGENTE",1,0))</f>
        <v>0</v>
      </c>
      <c r="H568" s="1" t="inlineStr">
        <is>
          <t xml:space="preserve">B observado / C cálculo</t>
        </is>
      </c>
    </row>
    <row r="569" customFormat="false" ht="15" hidden="false" customHeight="true" outlineLevel="0" collapsed="false">
      <c r="A569" s="1" t="n">
        <v>2021</v>
      </c>
      <c r="B569" s="1" t="n">
        <v>3</v>
      </c>
      <c r="C569" s="1" t="inlineStr">
        <is>
          <t xml:space="preserve">IETMREOL20191</t>
        </is>
      </c>
      <c r="D569" s="1" t="inlineStr">
        <is>
          <t xml:space="preserve">ELIMINADO</t>
        </is>
      </c>
      <c r="E569" s="1" t="n">
        <v>2</v>
      </c>
      <c r="F569" s="1" t="n">
        <v>3</v>
      </c>
      <c r="G569" s="1" t="n">
        <f aca="false">IF(E569=0,"",IF(D569="VIGENTE",1,0))</f>
        <v>0</v>
      </c>
      <c r="H569" s="1" t="inlineStr">
        <is>
          <t xml:space="preserve">B observado / C cálculo</t>
        </is>
      </c>
    </row>
    <row r="570" customFormat="false" ht="15" hidden="false" customHeight="true" outlineLevel="0" collapsed="false">
      <c r="A570" s="1" t="n">
        <v>2021</v>
      </c>
      <c r="B570" s="1" t="n">
        <v>3</v>
      </c>
      <c r="C570" s="1" t="inlineStr">
        <is>
          <t xml:space="preserve">IETMREOL20191</t>
        </is>
      </c>
      <c r="D570" s="1" t="inlineStr">
        <is>
          <t xml:space="preserve">TITULADO</t>
        </is>
      </c>
      <c r="E570" s="1" t="n">
        <v>7</v>
      </c>
      <c r="F570" s="1" t="n">
        <v>7</v>
      </c>
      <c r="G570" s="1" t="n">
        <f aca="false">IF(E570=0,"",IF(D570="VIGENTE",1,0))</f>
        <v>0</v>
      </c>
      <c r="H570" s="1" t="inlineStr">
        <is>
          <t xml:space="preserve">B observado / C cálculo</t>
        </is>
      </c>
    </row>
    <row r="571" customFormat="false" ht="15" hidden="false" customHeight="true" outlineLevel="0" collapsed="false">
      <c r="A571" s="1" t="n">
        <v>2021</v>
      </c>
      <c r="B571" s="1" t="n">
        <v>3</v>
      </c>
      <c r="C571" s="1" t="inlineStr">
        <is>
          <t xml:space="preserve">IETMREOL20191</t>
        </is>
      </c>
      <c r="D571" s="1" t="inlineStr">
        <is>
          <t xml:space="preserve">VIGENTE</t>
        </is>
      </c>
      <c r="E571" s="1" t="n">
        <v>1</v>
      </c>
      <c r="F571" s="1" t="n">
        <v>1</v>
      </c>
      <c r="G571" s="1" t="n">
        <f aca="false">IF(E571=0,"",IF(D571="VIGENTE",1,0))</f>
        <v>1</v>
      </c>
      <c r="H571" s="1" t="inlineStr">
        <is>
          <t xml:space="preserve">B observado / C cálculo</t>
        </is>
      </c>
    </row>
    <row r="572" customFormat="false" ht="15" hidden="false" customHeight="true" outlineLevel="0" collapsed="false">
      <c r="A572" s="1" t="n">
        <v>2021</v>
      </c>
      <c r="B572" s="1" t="n">
        <v>3</v>
      </c>
      <c r="C572" s="1" t="inlineStr">
        <is>
          <t xml:space="preserve">IETMREOL20211</t>
        </is>
      </c>
      <c r="D572" s="1" t="inlineStr">
        <is>
          <t xml:space="preserve">ELIMINADO</t>
        </is>
      </c>
      <c r="E572" s="1" t="n">
        <v>6</v>
      </c>
      <c r="F572" s="1" t="n">
        <v>6</v>
      </c>
      <c r="G572" s="1" t="n">
        <f aca="false">IF(E572=0,"",IF(D572="VIGENTE",1,0))</f>
        <v>0</v>
      </c>
      <c r="H572" s="1" t="inlineStr">
        <is>
          <t xml:space="preserve">B observado / C cálculo</t>
        </is>
      </c>
    </row>
    <row r="573" customFormat="false" ht="15" hidden="false" customHeight="true" outlineLevel="0" collapsed="false">
      <c r="A573" s="1" t="n">
        <v>2021</v>
      </c>
      <c r="B573" s="1" t="n">
        <v>3</v>
      </c>
      <c r="C573" s="1" t="inlineStr">
        <is>
          <t xml:space="preserve">IETMREOL20211</t>
        </is>
      </c>
      <c r="D573" s="1" t="inlineStr">
        <is>
          <t xml:space="preserve">TITULADO</t>
        </is>
      </c>
      <c r="E573" s="1" t="n">
        <v>9</v>
      </c>
      <c r="F573" s="1" t="n">
        <v>9</v>
      </c>
      <c r="G573" s="1" t="n">
        <f aca="false">IF(E573=0,"",IF(D573="VIGENTE",1,0))</f>
        <v>0</v>
      </c>
      <c r="H573" s="1" t="inlineStr">
        <is>
          <t xml:space="preserve">B observado / C cálculo</t>
        </is>
      </c>
    </row>
    <row r="574" customFormat="false" ht="15" hidden="false" customHeight="true" outlineLevel="0" collapsed="false">
      <c r="A574" s="1" t="n">
        <v>2021</v>
      </c>
      <c r="B574" s="1" t="n">
        <v>3</v>
      </c>
      <c r="C574" s="1" t="inlineStr">
        <is>
          <t xml:space="preserve">IINF20241</t>
        </is>
      </c>
      <c r="D574" s="1" t="inlineStr">
        <is>
          <t xml:space="preserve">VIGENTE</t>
        </is>
      </c>
      <c r="E574" s="1" t="n">
        <v>1</v>
      </c>
      <c r="F574" s="1" t="n">
        <v>1</v>
      </c>
      <c r="G574" s="1" t="n">
        <f aca="false">IF(E574=0,"",IF(D574="VIGENTE",1,0))</f>
        <v>1</v>
      </c>
      <c r="H574" s="1" t="inlineStr">
        <is>
          <t xml:space="preserve">B observado / C cálculo</t>
        </is>
      </c>
    </row>
    <row r="575" customFormat="false" ht="15" hidden="false" customHeight="true" outlineLevel="0" collapsed="false">
      <c r="A575" s="1" t="n">
        <v>2021</v>
      </c>
      <c r="B575" s="1" t="n">
        <v>3</v>
      </c>
      <c r="C575" s="1" t="inlineStr">
        <is>
          <t xml:space="preserve">NCONRE</t>
        </is>
      </c>
      <c r="D575" s="1" t="inlineStr">
        <is>
          <t xml:space="preserve">ELIMINADO</t>
        </is>
      </c>
      <c r="E575" s="1" t="n">
        <v>1</v>
      </c>
      <c r="F575" s="1" t="n">
        <v>1</v>
      </c>
      <c r="G575" s="1" t="n">
        <f aca="false">IF(E575=0,"",IF(D575="VIGENTE",1,0))</f>
        <v>0</v>
      </c>
      <c r="H575" s="1" t="inlineStr">
        <is>
          <t xml:space="preserve">B observado / C cálculo</t>
        </is>
      </c>
    </row>
    <row r="576" customFormat="false" ht="15" hidden="false" customHeight="true" outlineLevel="0" collapsed="false">
      <c r="A576" s="1" t="n">
        <v>2021</v>
      </c>
      <c r="B576" s="1" t="n">
        <v>3</v>
      </c>
      <c r="C576" s="1" t="inlineStr">
        <is>
          <t xml:space="preserve">NCONREOL2019</t>
        </is>
      </c>
      <c r="D576" s="1" t="inlineStr">
        <is>
          <t xml:space="preserve">TITULADO</t>
        </is>
      </c>
      <c r="E576" s="1" t="n">
        <v>7</v>
      </c>
      <c r="F576" s="1" t="n">
        <v>7</v>
      </c>
      <c r="G576" s="1" t="n">
        <f aca="false">IF(E576=0,"",IF(D576="VIGENTE",1,0))</f>
        <v>0</v>
      </c>
      <c r="H576" s="1" t="inlineStr">
        <is>
          <t xml:space="preserve">B observado / C cálculo</t>
        </is>
      </c>
    </row>
    <row r="577" customFormat="false" ht="15" hidden="false" customHeight="true" outlineLevel="0" collapsed="false">
      <c r="A577" s="1" t="n">
        <v>2021</v>
      </c>
      <c r="B577" s="1" t="n">
        <v>3</v>
      </c>
      <c r="C577" s="1" t="inlineStr">
        <is>
          <t xml:space="preserve">NICCREOL2020</t>
        </is>
      </c>
      <c r="D577" s="1" t="inlineStr">
        <is>
          <t xml:space="preserve">ELIMINADO</t>
        </is>
      </c>
      <c r="E577" s="1" t="n">
        <v>1</v>
      </c>
      <c r="F577" s="1" t="n">
        <v>1</v>
      </c>
      <c r="G577" s="1" t="n">
        <f aca="false">IF(E577=0,"",IF(D577="VIGENTE",1,0))</f>
        <v>0</v>
      </c>
      <c r="H577" s="1" t="inlineStr">
        <is>
          <t xml:space="preserve">B observado / C cálculo</t>
        </is>
      </c>
    </row>
    <row r="578" customFormat="false" ht="15" hidden="false" customHeight="true" outlineLevel="0" collapsed="false">
      <c r="A578" s="1" t="n">
        <v>2021</v>
      </c>
      <c r="B578" s="1" t="n">
        <v>3</v>
      </c>
      <c r="C578" s="1" t="inlineStr">
        <is>
          <t xml:space="preserve">NICCREOL2020</t>
        </is>
      </c>
      <c r="D578" s="1" t="inlineStr">
        <is>
          <t xml:space="preserve">TITULADO</t>
        </is>
      </c>
      <c r="E578" s="1" t="n">
        <v>9</v>
      </c>
      <c r="F578" s="1" t="n">
        <v>9</v>
      </c>
      <c r="G578" s="1" t="n">
        <f aca="false">IF(E578=0,"",IF(D578="VIGENTE",1,0))</f>
        <v>0</v>
      </c>
      <c r="H578" s="1" t="inlineStr">
        <is>
          <t xml:space="preserve">B observado / C cálculo</t>
        </is>
      </c>
    </row>
    <row r="579" customFormat="false" ht="15" hidden="false" customHeight="true" outlineLevel="0" collapsed="false">
      <c r="A579" s="1" t="n">
        <v>2021</v>
      </c>
      <c r="B579" s="1" t="n">
        <v>3</v>
      </c>
      <c r="C579" s="1" t="inlineStr">
        <is>
          <t xml:space="preserve">NTCCREOL2020</t>
        </is>
      </c>
      <c r="D579" s="1" t="inlineStr">
        <is>
          <t xml:space="preserve">ELIMINADO</t>
        </is>
      </c>
      <c r="E579" s="1" t="n">
        <v>1</v>
      </c>
      <c r="F579" s="1" t="n">
        <v>1</v>
      </c>
      <c r="G579" s="1" t="n">
        <f aca="false">IF(E579=0,"",IF(D579="VIGENTE",1,0))</f>
        <v>0</v>
      </c>
      <c r="H579" s="1" t="inlineStr">
        <is>
          <t xml:space="preserve">B observado / C cálculo</t>
        </is>
      </c>
    </row>
    <row r="580" customFormat="false" ht="15" hidden="false" customHeight="true" outlineLevel="0" collapsed="false">
      <c r="A580" s="1" t="n">
        <v>2021</v>
      </c>
      <c r="B580" s="1" t="n">
        <v>3</v>
      </c>
      <c r="C580" s="1" t="inlineStr">
        <is>
          <t xml:space="preserve">NTCCREOL2020</t>
        </is>
      </c>
      <c r="D580" s="1" t="inlineStr">
        <is>
          <t xml:space="preserve">TITULADO</t>
        </is>
      </c>
      <c r="E580" s="1" t="n">
        <v>16</v>
      </c>
      <c r="F580" s="1" t="n">
        <v>26</v>
      </c>
      <c r="G580" s="1" t="n">
        <f aca="false">IF(E580=0,"",IF(D580="VIGENTE",1,0))</f>
        <v>0</v>
      </c>
      <c r="H580" s="1" t="inlineStr">
        <is>
          <t xml:space="preserve">B observado / C cálculo</t>
        </is>
      </c>
    </row>
    <row r="581" customFormat="false" ht="15" hidden="false" customHeight="true" outlineLevel="0" collapsed="false">
      <c r="A581" s="1" t="n">
        <v>2021</v>
      </c>
      <c r="B581" s="1" t="n">
        <v>3</v>
      </c>
      <c r="C581" s="1" t="inlineStr">
        <is>
          <t xml:space="preserve">TASREOL20191</t>
        </is>
      </c>
      <c r="D581" s="1" t="inlineStr">
        <is>
          <t xml:space="preserve">ELIMINADO</t>
        </is>
      </c>
      <c r="E581" s="1" t="n">
        <v>5</v>
      </c>
      <c r="F581" s="1" t="n">
        <v>5</v>
      </c>
      <c r="G581" s="1" t="n">
        <f aca="false">IF(E581=0,"",IF(D581="VIGENTE",1,0))</f>
        <v>0</v>
      </c>
      <c r="H581" s="1" t="inlineStr">
        <is>
          <t xml:space="preserve">B observado / C cálculo</t>
        </is>
      </c>
    </row>
    <row r="582" customFormat="false" ht="15" hidden="false" customHeight="true" outlineLevel="0" collapsed="false">
      <c r="A582" s="1" t="n">
        <v>2021</v>
      </c>
      <c r="B582" s="1" t="n">
        <v>3</v>
      </c>
      <c r="C582" s="1" t="inlineStr">
        <is>
          <t xml:space="preserve">TASREOL20191</t>
        </is>
      </c>
      <c r="D582" s="1" t="inlineStr">
        <is>
          <t xml:space="preserve">TITULADO</t>
        </is>
      </c>
      <c r="E582" s="1" t="n">
        <v>4</v>
      </c>
      <c r="F582" s="1" t="n">
        <v>4</v>
      </c>
      <c r="G582" s="1" t="n">
        <f aca="false">IF(E582=0,"",IF(D582="VIGENTE",1,0))</f>
        <v>0</v>
      </c>
      <c r="H582" s="1" t="inlineStr">
        <is>
          <t xml:space="preserve">B observado / C cálculo</t>
        </is>
      </c>
    </row>
    <row r="583" customFormat="false" ht="15" hidden="false" customHeight="true" outlineLevel="0" collapsed="false">
      <c r="A583" s="1" t="n">
        <v>2021</v>
      </c>
      <c r="B583" s="1" t="n">
        <v>3</v>
      </c>
      <c r="C583" s="1" t="inlineStr">
        <is>
          <t xml:space="preserve">TCSREOL2020</t>
        </is>
      </c>
      <c r="D583" s="1" t="inlineStr">
        <is>
          <t xml:space="preserve">ELIMINADO</t>
        </is>
      </c>
      <c r="E583" s="1" t="n">
        <v>4</v>
      </c>
      <c r="F583" s="1" t="n">
        <v>5</v>
      </c>
      <c r="G583" s="1" t="n">
        <f aca="false">IF(E583=0,"",IF(D583="VIGENTE",1,0))</f>
        <v>0</v>
      </c>
      <c r="H583" s="1" t="inlineStr">
        <is>
          <t xml:space="preserve">B observado / C cálculo</t>
        </is>
      </c>
    </row>
    <row r="584" customFormat="false" ht="15" hidden="false" customHeight="true" outlineLevel="0" collapsed="false">
      <c r="A584" s="1" t="n">
        <v>2021</v>
      </c>
      <c r="B584" s="1" t="n">
        <v>3</v>
      </c>
      <c r="C584" s="1" t="inlineStr">
        <is>
          <t xml:space="preserve">TCSREOL2020</t>
        </is>
      </c>
      <c r="D584" s="1" t="inlineStr">
        <is>
          <t xml:space="preserve">TITULADO</t>
        </is>
      </c>
      <c r="E584" s="1" t="n">
        <v>16</v>
      </c>
      <c r="F584" s="1" t="n">
        <v>16</v>
      </c>
      <c r="G584" s="1" t="n">
        <f aca="false">IF(E584=0,"",IF(D584="VIGENTE",1,0))</f>
        <v>0</v>
      </c>
      <c r="H584" s="1" t="inlineStr">
        <is>
          <t xml:space="preserve">B observado / C cálculo</t>
        </is>
      </c>
    </row>
    <row r="585" customFormat="false" ht="15" hidden="false" customHeight="true" outlineLevel="0" collapsed="false">
      <c r="A585" s="1" t="n">
        <v>2021</v>
      </c>
      <c r="B585" s="1" t="n">
        <v>3</v>
      </c>
      <c r="C585" s="1" t="inlineStr">
        <is>
          <t xml:space="preserve">TCSREOL2020</t>
        </is>
      </c>
      <c r="D585" s="1" t="inlineStr">
        <is>
          <t xml:space="preserve">VIGENTE</t>
        </is>
      </c>
      <c r="E585" s="1" t="n">
        <v>1</v>
      </c>
      <c r="F585" s="1" t="n">
        <v>1</v>
      </c>
      <c r="G585" s="1" t="n">
        <f aca="false">IF(E585=0,"",IF(D585="VIGENTE",1,0))</f>
        <v>1</v>
      </c>
      <c r="H585" s="1" t="inlineStr">
        <is>
          <t xml:space="preserve">B observado / C cálculo</t>
        </is>
      </c>
    </row>
    <row r="586" customFormat="false" ht="15" hidden="false" customHeight="true" outlineLevel="0" collapsed="false">
      <c r="A586" s="1" t="n">
        <v>2021</v>
      </c>
      <c r="B586" s="1" t="n">
        <v>3</v>
      </c>
      <c r="C586" s="1" t="inlineStr">
        <is>
          <t xml:space="preserve">TCSREOL20211</t>
        </is>
      </c>
      <c r="D586" s="1" t="inlineStr">
        <is>
          <t xml:space="preserve">ELIMINADO</t>
        </is>
      </c>
      <c r="E586" s="1" t="n">
        <v>22</v>
      </c>
      <c r="F586" s="1" t="n">
        <v>22</v>
      </c>
      <c r="G586" s="1" t="n">
        <f aca="false">IF(E586=0,"",IF(D586="VIGENTE",1,0))</f>
        <v>0</v>
      </c>
      <c r="H586" s="1" t="inlineStr">
        <is>
          <t xml:space="preserve">B observado / C cálculo</t>
        </is>
      </c>
    </row>
    <row r="587" customFormat="false" ht="15" hidden="false" customHeight="true" outlineLevel="0" collapsed="false">
      <c r="A587" s="1" t="n">
        <v>2021</v>
      </c>
      <c r="B587" s="1" t="n">
        <v>3</v>
      </c>
      <c r="C587" s="1" t="inlineStr">
        <is>
          <t xml:space="preserve">TCSREOL20211</t>
        </is>
      </c>
      <c r="D587" s="1" t="inlineStr">
        <is>
          <t xml:space="preserve">TITULADO</t>
        </is>
      </c>
      <c r="E587" s="1" t="n">
        <v>10</v>
      </c>
      <c r="F587" s="1" t="n">
        <v>10</v>
      </c>
      <c r="G587" s="1" t="n">
        <f aca="false">IF(E587=0,"",IF(D587="VIGENTE",1,0))</f>
        <v>0</v>
      </c>
      <c r="H587" s="1" t="inlineStr">
        <is>
          <t xml:space="preserve">B observado / C cálculo</t>
        </is>
      </c>
    </row>
    <row r="588" customFormat="false" ht="15" hidden="false" customHeight="true" outlineLevel="0" collapsed="false">
      <c r="A588" s="1" t="n">
        <v>2021</v>
      </c>
      <c r="B588" s="1" t="n">
        <v>3</v>
      </c>
      <c r="C588" s="1" t="inlineStr">
        <is>
          <t xml:space="preserve">TCSREOL20211</t>
        </is>
      </c>
      <c r="D588" s="1" t="inlineStr">
        <is>
          <t xml:space="preserve">VIGENTE</t>
        </is>
      </c>
      <c r="E588" s="1" t="n">
        <v>1</v>
      </c>
      <c r="F588" s="1" t="n">
        <v>1</v>
      </c>
      <c r="G588" s="1" t="n">
        <f aca="false">IF(E588=0,"",IF(D588="VIGENTE",1,0))</f>
        <v>1</v>
      </c>
      <c r="H588" s="1" t="inlineStr">
        <is>
          <t xml:space="preserve">B observado / C cálculo</t>
        </is>
      </c>
    </row>
    <row r="589" customFormat="false" ht="15" hidden="false" customHeight="true" outlineLevel="0" collapsed="false">
      <c r="A589" s="1" t="n">
        <v>2021</v>
      </c>
      <c r="B589" s="1" t="n">
        <v>3</v>
      </c>
      <c r="C589" s="1" t="inlineStr">
        <is>
          <t xml:space="preserve">TPAREOL2020</t>
        </is>
      </c>
      <c r="D589" s="1" t="inlineStr">
        <is>
          <t xml:space="preserve">ELIMINADO</t>
        </is>
      </c>
      <c r="E589" s="1" t="n">
        <v>5</v>
      </c>
      <c r="F589" s="1" t="n">
        <v>5</v>
      </c>
      <c r="G589" s="1" t="n">
        <f aca="false">IF(E589=0,"",IF(D589="VIGENTE",1,0))</f>
        <v>0</v>
      </c>
      <c r="H589" s="1" t="inlineStr">
        <is>
          <t xml:space="preserve">B observado / C cálculo</t>
        </is>
      </c>
    </row>
    <row r="590" customFormat="false" ht="15" hidden="false" customHeight="true" outlineLevel="0" collapsed="false">
      <c r="A590" s="1" t="n">
        <v>2021</v>
      </c>
      <c r="B590" s="1" t="n">
        <v>3</v>
      </c>
      <c r="C590" s="1" t="inlineStr">
        <is>
          <t xml:space="preserve">TPAREOL2020</t>
        </is>
      </c>
      <c r="D590" s="1" t="inlineStr">
        <is>
          <t xml:space="preserve">TITULADO</t>
        </is>
      </c>
      <c r="E590" s="1" t="n">
        <v>20</v>
      </c>
      <c r="F590" s="1" t="n">
        <v>20</v>
      </c>
      <c r="G590" s="1" t="n">
        <f aca="false">IF(E590=0,"",IF(D590="VIGENTE",1,0))</f>
        <v>0</v>
      </c>
      <c r="H590" s="1" t="inlineStr">
        <is>
          <t xml:space="preserve">B observado / C cálculo</t>
        </is>
      </c>
    </row>
    <row r="591" customFormat="false" ht="15" hidden="false" customHeight="true" outlineLevel="0" collapsed="false">
      <c r="A591" s="1" t="n">
        <v>2021</v>
      </c>
      <c r="B591" s="1" t="n">
        <v>3</v>
      </c>
      <c r="C591" s="1" t="inlineStr">
        <is>
          <t xml:space="preserve">TPAREOL2020</t>
        </is>
      </c>
      <c r="D591" s="1" t="inlineStr">
        <is>
          <t xml:space="preserve">VIGENTE</t>
        </is>
      </c>
      <c r="E591" s="1" t="n">
        <v>1</v>
      </c>
      <c r="F591" s="1" t="n">
        <v>1</v>
      </c>
      <c r="G591" s="1" t="n">
        <f aca="false">IF(E591=0,"",IF(D591="VIGENTE",1,0))</f>
        <v>1</v>
      </c>
      <c r="H591" s="1" t="inlineStr">
        <is>
          <t xml:space="preserve">B observado / C cálculo</t>
        </is>
      </c>
    </row>
    <row r="592" customFormat="false" ht="15" hidden="false" customHeight="true" outlineLevel="0" collapsed="false">
      <c r="A592" s="1" t="n">
        <v>2021</v>
      </c>
      <c r="B592" s="1" t="n">
        <v>3</v>
      </c>
      <c r="C592" s="1" t="inlineStr">
        <is>
          <t xml:space="preserve">TPAREOL20211</t>
        </is>
      </c>
      <c r="D592" s="1" t="inlineStr">
        <is>
          <t xml:space="preserve">ELIMINADO</t>
        </is>
      </c>
      <c r="E592" s="1" t="n">
        <v>44</v>
      </c>
      <c r="F592" s="1" t="n">
        <v>66</v>
      </c>
      <c r="G592" s="1" t="n">
        <f aca="false">IF(E592=0,"",IF(D592="VIGENTE",1,0))</f>
        <v>0</v>
      </c>
      <c r="H592" s="1" t="inlineStr">
        <is>
          <t xml:space="preserve">B observado / C cálculo</t>
        </is>
      </c>
    </row>
    <row r="593" customFormat="false" ht="15" hidden="false" customHeight="true" outlineLevel="0" collapsed="false">
      <c r="A593" s="1" t="n">
        <v>2021</v>
      </c>
      <c r="B593" s="1" t="n">
        <v>3</v>
      </c>
      <c r="C593" s="1" t="inlineStr">
        <is>
          <t xml:space="preserve">TPAREOL20211</t>
        </is>
      </c>
      <c r="D593" s="1" t="inlineStr">
        <is>
          <t xml:space="preserve">TITULADO</t>
        </is>
      </c>
      <c r="E593" s="1" t="n">
        <v>40</v>
      </c>
      <c r="F593" s="1" t="n">
        <v>55</v>
      </c>
      <c r="G593" s="1" t="n">
        <f aca="false">IF(E593=0,"",IF(D593="VIGENTE",1,0))</f>
        <v>0</v>
      </c>
      <c r="H593" s="1" t="inlineStr">
        <is>
          <t xml:space="preserve">B observado / C cálculo</t>
        </is>
      </c>
    </row>
    <row r="594" customFormat="false" ht="15" hidden="false" customHeight="true" outlineLevel="0" collapsed="false">
      <c r="A594" s="1" t="n">
        <v>2021</v>
      </c>
      <c r="B594" s="1" t="n">
        <v>3</v>
      </c>
      <c r="C594" s="1" t="inlineStr">
        <is>
          <t xml:space="preserve">TPAREOL20211</t>
        </is>
      </c>
      <c r="D594" s="1" t="inlineStr">
        <is>
          <t xml:space="preserve">VIGENTE</t>
        </is>
      </c>
      <c r="E594" s="1" t="n">
        <v>2</v>
      </c>
      <c r="F594" s="1" t="n">
        <v>3</v>
      </c>
      <c r="G594" s="1" t="n">
        <f aca="false">IF(E594=0,"",IF(D594="VIGENTE",1,0))</f>
        <v>1</v>
      </c>
      <c r="H594" s="1" t="inlineStr">
        <is>
          <t xml:space="preserve">B observado / C cálculo</t>
        </is>
      </c>
    </row>
    <row r="595" customFormat="false" ht="15" hidden="false" customHeight="true" outlineLevel="0" collapsed="false">
      <c r="A595" s="1" t="n">
        <v>2021</v>
      </c>
      <c r="B595" s="1" t="n">
        <v>3</v>
      </c>
      <c r="C595" s="1" t="inlineStr">
        <is>
          <t xml:space="preserve">TPCREOL20191</t>
        </is>
      </c>
      <c r="D595" s="1" t="inlineStr">
        <is>
          <t xml:space="preserve">TITULADO</t>
        </is>
      </c>
      <c r="E595" s="1" t="n">
        <v>1</v>
      </c>
      <c r="F595" s="1" t="n">
        <v>2</v>
      </c>
      <c r="G595" s="1" t="n">
        <f aca="false">IF(E595=0,"",IF(D595="VIGENTE",1,0))</f>
        <v>0</v>
      </c>
      <c r="H595" s="1" t="inlineStr">
        <is>
          <t xml:space="preserve">B observado / C cálculo</t>
        </is>
      </c>
    </row>
    <row r="596" customFormat="false" ht="15" hidden="false" customHeight="true" outlineLevel="0" collapsed="false">
      <c r="A596" s="1" t="n">
        <v>2021</v>
      </c>
      <c r="B596" s="1" t="n">
        <v>3</v>
      </c>
      <c r="C596" s="1" t="inlineStr">
        <is>
          <t xml:space="preserve">TTMREOL20191</t>
        </is>
      </c>
      <c r="D596" s="1" t="inlineStr">
        <is>
          <t xml:space="preserve">ELIMINADO</t>
        </is>
      </c>
      <c r="E596" s="1" t="n">
        <v>2</v>
      </c>
      <c r="F596" s="1" t="n">
        <v>3</v>
      </c>
      <c r="G596" s="1" t="n">
        <f aca="false">IF(E596=0,"",IF(D596="VIGENTE",1,0))</f>
        <v>0</v>
      </c>
      <c r="H596" s="1" t="inlineStr">
        <is>
          <t xml:space="preserve">B observado / C cálculo</t>
        </is>
      </c>
    </row>
    <row r="597" customFormat="false" ht="15" hidden="false" customHeight="true" outlineLevel="0" collapsed="false">
      <c r="A597" s="1" t="n">
        <v>2021</v>
      </c>
      <c r="B597" s="1" t="n">
        <v>3</v>
      </c>
      <c r="C597" s="1" t="inlineStr">
        <is>
          <t xml:space="preserve">TTMREOL20191</t>
        </is>
      </c>
      <c r="D597" s="1" t="inlineStr">
        <is>
          <t xml:space="preserve">TITULADO</t>
        </is>
      </c>
      <c r="E597" s="1" t="n">
        <v>8</v>
      </c>
      <c r="F597" s="1" t="n">
        <v>11</v>
      </c>
      <c r="G597" s="1" t="n">
        <f aca="false">IF(E597=0,"",IF(D597="VIGENTE",1,0))</f>
        <v>0</v>
      </c>
      <c r="H597" s="1" t="inlineStr">
        <is>
          <t xml:space="preserve">B observado / C cálculo</t>
        </is>
      </c>
    </row>
    <row r="598" customFormat="false" ht="15" hidden="false" customHeight="true" outlineLevel="0" collapsed="false">
      <c r="A598" s="1" t="n">
        <v>2021</v>
      </c>
      <c r="B598" s="1" t="n">
        <v>3</v>
      </c>
      <c r="C598" s="1" t="inlineStr">
        <is>
          <t xml:space="preserve">TTMREOL20211</t>
        </is>
      </c>
      <c r="D598" s="1" t="inlineStr">
        <is>
          <t xml:space="preserve">ELIMINADO</t>
        </is>
      </c>
      <c r="E598" s="1" t="n">
        <v>8</v>
      </c>
      <c r="F598" s="1" t="n">
        <v>10</v>
      </c>
      <c r="G598" s="1" t="n">
        <f aca="false">IF(E598=0,"",IF(D598="VIGENTE",1,0))</f>
        <v>0</v>
      </c>
      <c r="H598" s="1" t="inlineStr">
        <is>
          <t xml:space="preserve">B observado / C cálculo</t>
        </is>
      </c>
    </row>
    <row r="599" customFormat="false" ht="15" hidden="false" customHeight="true" outlineLevel="0" collapsed="false">
      <c r="A599" s="1" t="n">
        <v>2021</v>
      </c>
      <c r="B599" s="1" t="n">
        <v>3</v>
      </c>
      <c r="C599" s="1" t="inlineStr">
        <is>
          <t xml:space="preserve">TTMREOL20211</t>
        </is>
      </c>
      <c r="D599" s="1" t="inlineStr">
        <is>
          <t xml:space="preserve">TITULADO</t>
        </is>
      </c>
      <c r="E599" s="1" t="n">
        <v>14</v>
      </c>
      <c r="F599" s="1" t="n">
        <v>16</v>
      </c>
      <c r="G599" s="1" t="n">
        <f aca="false">IF(E599=0,"",IF(D599="VIGENTE",1,0))</f>
        <v>0</v>
      </c>
      <c r="H599" s="1" t="inlineStr">
        <is>
          <t xml:space="preserve">B observado / C cálculo</t>
        </is>
      </c>
    </row>
    <row r="600" customFormat="false" ht="15" hidden="false" customHeight="true" outlineLevel="0" collapsed="false">
      <c r="A600" s="1" t="n">
        <v>2021</v>
      </c>
      <c r="B600" s="1" t="n">
        <v>3</v>
      </c>
      <c r="C600" s="1" t="inlineStr">
        <is>
          <t xml:space="preserve">TTMREOL20211</t>
        </is>
      </c>
      <c r="D600" s="1" t="inlineStr">
        <is>
          <t xml:space="preserve">VIGENTE</t>
        </is>
      </c>
      <c r="E600" s="1" t="n">
        <v>1</v>
      </c>
      <c r="F600" s="1" t="n">
        <v>1</v>
      </c>
      <c r="G600" s="1" t="n">
        <f aca="false">IF(E600=0,"",IF(D600="VIGENTE",1,0))</f>
        <v>1</v>
      </c>
      <c r="H600" s="1" t="inlineStr">
        <is>
          <t xml:space="preserve">B observado / C cálculo</t>
        </is>
      </c>
    </row>
    <row r="601" customFormat="false" ht="15" hidden="false" customHeight="true" outlineLevel="0" collapsed="false">
      <c r="A601" s="1" t="n">
        <v>2021</v>
      </c>
      <c r="B601" s="1" t="n">
        <v>4</v>
      </c>
      <c r="C601" s="1" t="inlineStr">
        <is>
          <t xml:space="preserve">IECIREOL</t>
        </is>
      </c>
      <c r="D601" s="1" t="inlineStr">
        <is>
          <t xml:space="preserve">TITULADO</t>
        </is>
      </c>
      <c r="E601" s="1" t="n">
        <v>6</v>
      </c>
      <c r="F601" s="1" t="n">
        <v>6</v>
      </c>
      <c r="G601" s="1" t="n">
        <f aca="false">IF(E601=0,"",IF(D601="VIGENTE",1,0))</f>
        <v>0</v>
      </c>
      <c r="H601" s="1" t="inlineStr">
        <is>
          <t xml:space="preserve">B observado / C cálculo</t>
        </is>
      </c>
    </row>
    <row r="602" customFormat="false" ht="15" hidden="false" customHeight="true" outlineLevel="0" collapsed="false">
      <c r="A602" s="1" t="n">
        <v>2021</v>
      </c>
      <c r="B602" s="1" t="n">
        <v>4</v>
      </c>
      <c r="C602" s="1" t="inlineStr">
        <is>
          <t xml:space="preserve">IECIREOL20201</t>
        </is>
      </c>
      <c r="D602" s="1" t="inlineStr">
        <is>
          <t xml:space="preserve">ELIMINADO</t>
        </is>
      </c>
      <c r="E602" s="1" t="n">
        <v>2</v>
      </c>
      <c r="F602" s="1" t="n">
        <v>2</v>
      </c>
      <c r="G602" s="1" t="n">
        <f aca="false">IF(E602=0,"",IF(D602="VIGENTE",1,0))</f>
        <v>0</v>
      </c>
      <c r="H602" s="1" t="inlineStr">
        <is>
          <t xml:space="preserve">B observado / C cálculo</t>
        </is>
      </c>
    </row>
    <row r="603" customFormat="false" ht="15" hidden="false" customHeight="true" outlineLevel="0" collapsed="false">
      <c r="A603" s="1" t="n">
        <v>2021</v>
      </c>
      <c r="B603" s="1" t="n">
        <v>4</v>
      </c>
      <c r="C603" s="1" t="inlineStr">
        <is>
          <t xml:space="preserve">IECIREOL20201</t>
        </is>
      </c>
      <c r="D603" s="1" t="inlineStr">
        <is>
          <t xml:space="preserve">TITULADO</t>
        </is>
      </c>
      <c r="E603" s="1" t="n">
        <v>9</v>
      </c>
      <c r="F603" s="1" t="n">
        <v>9</v>
      </c>
      <c r="G603" s="1" t="n">
        <f aca="false">IF(E603=0,"",IF(D603="VIGENTE",1,0))</f>
        <v>0</v>
      </c>
      <c r="H603" s="1" t="inlineStr">
        <is>
          <t xml:space="preserve">B observado / C cálculo</t>
        </is>
      </c>
    </row>
    <row r="604" customFormat="false" ht="15" hidden="false" customHeight="true" outlineLevel="0" collapsed="false">
      <c r="A604" s="1" t="n">
        <v>2021</v>
      </c>
      <c r="B604" s="1" t="n">
        <v>4</v>
      </c>
      <c r="C604" s="1" t="inlineStr">
        <is>
          <t xml:space="preserve">IECIREOL20211</t>
        </is>
      </c>
      <c r="D604" s="1" t="inlineStr">
        <is>
          <t xml:space="preserve">ELIMINADO</t>
        </is>
      </c>
      <c r="E604" s="1" t="n">
        <v>11</v>
      </c>
      <c r="F604" s="1" t="n">
        <v>21</v>
      </c>
      <c r="G604" s="1" t="n">
        <f aca="false">IF(E604=0,"",IF(D604="VIGENTE",1,0))</f>
        <v>0</v>
      </c>
      <c r="H604" s="1" t="inlineStr">
        <is>
          <t xml:space="preserve">B observado / C cálculo</t>
        </is>
      </c>
    </row>
    <row r="605" customFormat="false" ht="15" hidden="false" customHeight="true" outlineLevel="0" collapsed="false">
      <c r="A605" s="1" t="n">
        <v>2021</v>
      </c>
      <c r="B605" s="1" t="n">
        <v>4</v>
      </c>
      <c r="C605" s="1" t="inlineStr">
        <is>
          <t xml:space="preserve">IECIREOL20211</t>
        </is>
      </c>
      <c r="D605" s="1" t="inlineStr">
        <is>
          <t xml:space="preserve">SUSPENDIDO</t>
        </is>
      </c>
      <c r="E605" s="1" t="n">
        <v>1</v>
      </c>
      <c r="F605" s="1" t="n">
        <v>1</v>
      </c>
      <c r="G605" s="1" t="n">
        <f aca="false">IF(E605=0,"",IF(D605="VIGENTE",1,0))</f>
        <v>0</v>
      </c>
      <c r="H605" s="1" t="inlineStr">
        <is>
          <t xml:space="preserve">B observado / C cálculo</t>
        </is>
      </c>
    </row>
    <row r="606" customFormat="false" ht="15" hidden="false" customHeight="true" outlineLevel="0" collapsed="false">
      <c r="A606" s="1" t="n">
        <v>2021</v>
      </c>
      <c r="B606" s="1" t="n">
        <v>4</v>
      </c>
      <c r="C606" s="1" t="inlineStr">
        <is>
          <t xml:space="preserve">IECIREOL20211</t>
        </is>
      </c>
      <c r="D606" s="1" t="inlineStr">
        <is>
          <t xml:space="preserve">TITULADO</t>
        </is>
      </c>
      <c r="E606" s="1" t="n">
        <v>21</v>
      </c>
      <c r="F606" s="1" t="n">
        <v>58</v>
      </c>
      <c r="G606" s="1" t="n">
        <f aca="false">IF(E606=0,"",IF(D606="VIGENTE",1,0))</f>
        <v>0</v>
      </c>
      <c r="H606" s="1" t="inlineStr">
        <is>
          <t xml:space="preserve">B observado / C cálculo</t>
        </is>
      </c>
    </row>
    <row r="607" customFormat="false" ht="15" hidden="false" customHeight="true" outlineLevel="0" collapsed="false">
      <c r="A607" s="1" t="n">
        <v>2021</v>
      </c>
      <c r="B607" s="1" t="n">
        <v>4</v>
      </c>
      <c r="C607" s="1" t="inlineStr">
        <is>
          <t xml:space="preserve">IECSREOL20211</t>
        </is>
      </c>
      <c r="D607" s="1" t="inlineStr">
        <is>
          <t xml:space="preserve">ELIMINADO</t>
        </is>
      </c>
      <c r="E607" s="1" t="n">
        <v>4</v>
      </c>
      <c r="F607" s="1" t="n">
        <v>25</v>
      </c>
      <c r="G607" s="1" t="n">
        <f aca="false">IF(E607=0,"",IF(D607="VIGENTE",1,0))</f>
        <v>0</v>
      </c>
      <c r="H607" s="1" t="inlineStr">
        <is>
          <t xml:space="preserve">B observado / C cálculo</t>
        </is>
      </c>
    </row>
    <row r="608" customFormat="false" ht="15" hidden="false" customHeight="true" outlineLevel="0" collapsed="false">
      <c r="A608" s="1" t="n">
        <v>2021</v>
      </c>
      <c r="B608" s="1" t="n">
        <v>4</v>
      </c>
      <c r="C608" s="1" t="inlineStr">
        <is>
          <t xml:space="preserve">IECSREOL20211</t>
        </is>
      </c>
      <c r="D608" s="1" t="inlineStr">
        <is>
          <t xml:space="preserve">TITULADO</t>
        </is>
      </c>
      <c r="E608" s="1" t="n">
        <v>5</v>
      </c>
      <c r="F608" s="1" t="n">
        <v>19</v>
      </c>
      <c r="G608" s="1" t="n">
        <f aca="false">IF(E608=0,"",IF(D608="VIGENTE",1,0))</f>
        <v>0</v>
      </c>
      <c r="H608" s="1" t="inlineStr">
        <is>
          <t xml:space="preserve">B observado / C cálculo</t>
        </is>
      </c>
    </row>
    <row r="609" customFormat="false" ht="15" hidden="false" customHeight="true" outlineLevel="0" collapsed="false">
      <c r="A609" s="1" t="n">
        <v>2021</v>
      </c>
      <c r="B609" s="1" t="n">
        <v>4</v>
      </c>
      <c r="C609" s="1" t="inlineStr">
        <is>
          <t xml:space="preserve">IETMREOL</t>
        </is>
      </c>
      <c r="D609" s="1" t="inlineStr">
        <is>
          <t xml:space="preserve">TITULADO</t>
        </is>
      </c>
      <c r="E609" s="1" t="n">
        <v>7</v>
      </c>
      <c r="F609" s="1" t="n">
        <v>7</v>
      </c>
      <c r="G609" s="1" t="n">
        <f aca="false">IF(E609=0,"",IF(D609="VIGENTE",1,0))</f>
        <v>0</v>
      </c>
      <c r="H609" s="1" t="inlineStr">
        <is>
          <t xml:space="preserve">B observado / C cálculo</t>
        </is>
      </c>
    </row>
    <row r="610" customFormat="false" ht="15" hidden="false" customHeight="true" outlineLevel="0" collapsed="false">
      <c r="A610" s="1" t="n">
        <v>2021</v>
      </c>
      <c r="B610" s="1" t="n">
        <v>4</v>
      </c>
      <c r="C610" s="1" t="inlineStr">
        <is>
          <t xml:space="preserve">IETMREOL20191</t>
        </is>
      </c>
      <c r="D610" s="1" t="inlineStr">
        <is>
          <t xml:space="preserve">ELIMINADO</t>
        </is>
      </c>
      <c r="E610" s="1" t="n">
        <v>1</v>
      </c>
      <c r="F610" s="1" t="n">
        <v>1</v>
      </c>
      <c r="G610" s="1" t="n">
        <f aca="false">IF(E610=0,"",IF(D610="VIGENTE",1,0))</f>
        <v>0</v>
      </c>
      <c r="H610" s="1" t="inlineStr">
        <is>
          <t xml:space="preserve">B observado / C cálculo</t>
        </is>
      </c>
    </row>
    <row r="611" customFormat="false" ht="15" hidden="false" customHeight="true" outlineLevel="0" collapsed="false">
      <c r="A611" s="1" t="n">
        <v>2021</v>
      </c>
      <c r="B611" s="1" t="n">
        <v>4</v>
      </c>
      <c r="C611" s="1" t="inlineStr">
        <is>
          <t xml:space="preserve">IETMREOL20191</t>
        </is>
      </c>
      <c r="D611" s="1" t="inlineStr">
        <is>
          <t xml:space="preserve">TITULADO</t>
        </is>
      </c>
      <c r="E611" s="1" t="n">
        <v>12</v>
      </c>
      <c r="F611" s="1" t="n">
        <v>12</v>
      </c>
      <c r="G611" s="1" t="n">
        <f aca="false">IF(E611=0,"",IF(D611="VIGENTE",1,0))</f>
        <v>0</v>
      </c>
      <c r="H611" s="1" t="inlineStr">
        <is>
          <t xml:space="preserve">B observado / C cálculo</t>
        </is>
      </c>
    </row>
    <row r="612" customFormat="false" ht="15" hidden="false" customHeight="true" outlineLevel="0" collapsed="false">
      <c r="A612" s="1" t="n">
        <v>2021</v>
      </c>
      <c r="B612" s="1" t="n">
        <v>4</v>
      </c>
      <c r="C612" s="1" t="inlineStr">
        <is>
          <t xml:space="preserve">IETMREOL20191</t>
        </is>
      </c>
      <c r="D612" s="1" t="inlineStr">
        <is>
          <t xml:space="preserve">VIGENTE</t>
        </is>
      </c>
      <c r="E612" s="1" t="n">
        <v>1</v>
      </c>
      <c r="F612" s="1" t="n">
        <v>1</v>
      </c>
      <c r="G612" s="1" t="n">
        <f aca="false">IF(E612=0,"",IF(D612="VIGENTE",1,0))</f>
        <v>1</v>
      </c>
      <c r="H612" s="1" t="inlineStr">
        <is>
          <t xml:space="preserve">B observado / C cálculo</t>
        </is>
      </c>
    </row>
    <row r="613" customFormat="false" ht="15" hidden="false" customHeight="true" outlineLevel="0" collapsed="false">
      <c r="A613" s="1" t="n">
        <v>2021</v>
      </c>
      <c r="B613" s="1" t="n">
        <v>4</v>
      </c>
      <c r="C613" s="1" t="inlineStr">
        <is>
          <t xml:space="preserve">IETMREOL20211</t>
        </is>
      </c>
      <c r="D613" s="1" t="inlineStr">
        <is>
          <t xml:space="preserve">ELIMINADO</t>
        </is>
      </c>
      <c r="E613" s="1" t="n">
        <v>14</v>
      </c>
      <c r="F613" s="1" t="n">
        <v>69</v>
      </c>
      <c r="G613" s="1" t="n">
        <f aca="false">IF(E613=0,"",IF(D613="VIGENTE",1,0))</f>
        <v>0</v>
      </c>
      <c r="H613" s="1" t="inlineStr">
        <is>
          <t xml:space="preserve">B observado / C cálculo</t>
        </is>
      </c>
    </row>
    <row r="614" customFormat="false" ht="15" hidden="false" customHeight="true" outlineLevel="0" collapsed="false">
      <c r="A614" s="1" t="n">
        <v>2021</v>
      </c>
      <c r="B614" s="1" t="n">
        <v>4</v>
      </c>
      <c r="C614" s="1" t="inlineStr">
        <is>
          <t xml:space="preserve">IETMREOL20211</t>
        </is>
      </c>
      <c r="D614" s="1" t="inlineStr">
        <is>
          <t xml:space="preserve">TITULADO</t>
        </is>
      </c>
      <c r="E614" s="1" t="n">
        <v>48</v>
      </c>
      <c r="F614" s="1" t="n">
        <v>137</v>
      </c>
      <c r="G614" s="1" t="n">
        <f aca="false">IF(E614=0,"",IF(D614="VIGENTE",1,0))</f>
        <v>0</v>
      </c>
      <c r="H614" s="1" t="inlineStr">
        <is>
          <t xml:space="preserve">B observado / C cálculo</t>
        </is>
      </c>
    </row>
    <row r="615" customFormat="false" ht="15" hidden="false" customHeight="true" outlineLevel="0" collapsed="false">
      <c r="A615" s="1" t="n">
        <v>2021</v>
      </c>
      <c r="B615" s="1" t="n">
        <v>4</v>
      </c>
      <c r="C615" s="1" t="inlineStr">
        <is>
          <t xml:space="preserve">NCONREOL2019</t>
        </is>
      </c>
      <c r="D615" s="1" t="inlineStr">
        <is>
          <t xml:space="preserve">TITULADO</t>
        </is>
      </c>
      <c r="E615" s="1" t="n">
        <v>32</v>
      </c>
      <c r="F615" s="1" t="n">
        <v>32</v>
      </c>
      <c r="G615" s="1" t="n">
        <f aca="false">IF(E615=0,"",IF(D615="VIGENTE",1,0))</f>
        <v>0</v>
      </c>
      <c r="H615" s="1" t="inlineStr">
        <is>
          <t xml:space="preserve">B observado / C cálculo</t>
        </is>
      </c>
    </row>
    <row r="616" customFormat="false" ht="15" hidden="false" customHeight="true" outlineLevel="0" collapsed="false">
      <c r="A616" s="1" t="n">
        <v>2021</v>
      </c>
      <c r="B616" s="1" t="n">
        <v>4</v>
      </c>
      <c r="C616" s="1" t="inlineStr">
        <is>
          <t xml:space="preserve">NTCCREOL2020</t>
        </is>
      </c>
      <c r="D616" s="1" t="inlineStr">
        <is>
          <t xml:space="preserve">ELIMINADO</t>
        </is>
      </c>
      <c r="E616" s="1" t="n">
        <v>1</v>
      </c>
      <c r="F616" s="1" t="n">
        <v>1</v>
      </c>
      <c r="G616" s="1" t="n">
        <f aca="false">IF(E616=0,"",IF(D616="VIGENTE",1,0))</f>
        <v>0</v>
      </c>
      <c r="H616" s="1" t="inlineStr">
        <is>
          <t xml:space="preserve">B observado / C cálculo</t>
        </is>
      </c>
    </row>
    <row r="617" customFormat="false" ht="15" hidden="false" customHeight="true" outlineLevel="0" collapsed="false">
      <c r="A617" s="1" t="n">
        <v>2021</v>
      </c>
      <c r="B617" s="1" t="n">
        <v>4</v>
      </c>
      <c r="C617" s="1" t="inlineStr">
        <is>
          <t xml:space="preserve">NTCCREOL2020</t>
        </is>
      </c>
      <c r="D617" s="1" t="inlineStr">
        <is>
          <t xml:space="preserve">TITULADO</t>
        </is>
      </c>
      <c r="E617" s="1" t="n">
        <v>17</v>
      </c>
      <c r="F617" s="1" t="n">
        <v>17</v>
      </c>
      <c r="G617" s="1" t="n">
        <f aca="false">IF(E617=0,"",IF(D617="VIGENTE",1,0))</f>
        <v>0</v>
      </c>
      <c r="H617" s="1" t="inlineStr">
        <is>
          <t xml:space="preserve">B observado / C cálculo</t>
        </is>
      </c>
    </row>
    <row r="618" customFormat="false" ht="15" hidden="false" customHeight="true" outlineLevel="0" collapsed="false">
      <c r="A618" s="1" t="n">
        <v>2021</v>
      </c>
      <c r="B618" s="1" t="n">
        <v>4</v>
      </c>
      <c r="C618" s="1" t="inlineStr">
        <is>
          <t xml:space="preserve">TASREOL20191</t>
        </is>
      </c>
      <c r="D618" s="1" t="inlineStr">
        <is>
          <t xml:space="preserve">ELIMINADO</t>
        </is>
      </c>
      <c r="E618" s="1" t="n">
        <v>3</v>
      </c>
      <c r="F618" s="1" t="n">
        <v>3</v>
      </c>
      <c r="G618" s="1" t="n">
        <f aca="false">IF(E618=0,"",IF(D618="VIGENTE",1,0))</f>
        <v>0</v>
      </c>
      <c r="H618" s="1" t="inlineStr">
        <is>
          <t xml:space="preserve">B observado / C cálculo</t>
        </is>
      </c>
    </row>
    <row r="619" customFormat="false" ht="15" hidden="false" customHeight="true" outlineLevel="0" collapsed="false">
      <c r="A619" s="1" t="n">
        <v>2021</v>
      </c>
      <c r="B619" s="1" t="n">
        <v>4</v>
      </c>
      <c r="C619" s="1" t="inlineStr">
        <is>
          <t xml:space="preserve">TASREOL20191</t>
        </is>
      </c>
      <c r="D619" s="1" t="inlineStr">
        <is>
          <t xml:space="preserve">TITULADO</t>
        </is>
      </c>
      <c r="E619" s="1" t="n">
        <v>3</v>
      </c>
      <c r="F619" s="1" t="n">
        <v>3</v>
      </c>
      <c r="G619" s="1" t="n">
        <f aca="false">IF(E619=0,"",IF(D619="VIGENTE",1,0))</f>
        <v>0</v>
      </c>
      <c r="H619" s="1" t="inlineStr">
        <is>
          <t xml:space="preserve">B observado / C cálculo</t>
        </is>
      </c>
    </row>
    <row r="620" customFormat="false" ht="15" hidden="false" customHeight="true" outlineLevel="0" collapsed="false">
      <c r="A620" s="1" t="n">
        <v>2021</v>
      </c>
      <c r="B620" s="1" t="n">
        <v>4</v>
      </c>
      <c r="C620" s="1" t="inlineStr">
        <is>
          <t xml:space="preserve">TCSREOL2020</t>
        </is>
      </c>
      <c r="D620" s="1" t="inlineStr">
        <is>
          <t xml:space="preserve">ELIMINADO</t>
        </is>
      </c>
      <c r="E620" s="1" t="n">
        <v>2</v>
      </c>
      <c r="F620" s="1" t="n">
        <v>2</v>
      </c>
      <c r="G620" s="1" t="n">
        <f aca="false">IF(E620=0,"",IF(D620="VIGENTE",1,0))</f>
        <v>0</v>
      </c>
      <c r="H620" s="1" t="inlineStr">
        <is>
          <t xml:space="preserve">B observado / C cálculo</t>
        </is>
      </c>
    </row>
    <row r="621" customFormat="false" ht="15" hidden="false" customHeight="true" outlineLevel="0" collapsed="false">
      <c r="A621" s="1" t="n">
        <v>2021</v>
      </c>
      <c r="B621" s="1" t="n">
        <v>4</v>
      </c>
      <c r="C621" s="1" t="inlineStr">
        <is>
          <t xml:space="preserve">TCSREOL2020</t>
        </is>
      </c>
      <c r="D621" s="1" t="inlineStr">
        <is>
          <t xml:space="preserve">TITULADO</t>
        </is>
      </c>
      <c r="E621" s="1" t="n">
        <v>13</v>
      </c>
      <c r="F621" s="1" t="n">
        <v>14</v>
      </c>
      <c r="G621" s="1" t="n">
        <f aca="false">IF(E621=0,"",IF(D621="VIGENTE",1,0))</f>
        <v>0</v>
      </c>
      <c r="H621" s="1" t="inlineStr">
        <is>
          <t xml:space="preserve">B observado / C cálculo</t>
        </is>
      </c>
    </row>
    <row r="622" customFormat="false" ht="15" hidden="false" customHeight="true" outlineLevel="0" collapsed="false">
      <c r="A622" s="1" t="n">
        <v>2021</v>
      </c>
      <c r="B622" s="1" t="n">
        <v>4</v>
      </c>
      <c r="C622" s="1" t="inlineStr">
        <is>
          <t xml:space="preserve">TCSREOL2020</t>
        </is>
      </c>
      <c r="D622" s="1" t="inlineStr">
        <is>
          <t xml:space="preserve">VIGENTE</t>
        </is>
      </c>
      <c r="E622" s="1" t="n">
        <v>1</v>
      </c>
      <c r="F622" s="1" t="n">
        <v>1</v>
      </c>
      <c r="G622" s="1" t="n">
        <f aca="false">IF(E622=0,"",IF(D622="VIGENTE",1,0))</f>
        <v>1</v>
      </c>
      <c r="H622" s="1" t="inlineStr">
        <is>
          <t xml:space="preserve">B observado / C cálculo</t>
        </is>
      </c>
    </row>
    <row r="623" customFormat="false" ht="15" hidden="false" customHeight="true" outlineLevel="0" collapsed="false">
      <c r="A623" s="1" t="n">
        <v>2021</v>
      </c>
      <c r="B623" s="1" t="n">
        <v>4</v>
      </c>
      <c r="C623" s="1" t="inlineStr">
        <is>
          <t xml:space="preserve">TCSREOL20211</t>
        </is>
      </c>
      <c r="D623" s="1" t="inlineStr">
        <is>
          <t xml:space="preserve">ELIMINADO</t>
        </is>
      </c>
      <c r="E623" s="1" t="n">
        <v>15</v>
      </c>
      <c r="F623" s="1" t="n">
        <v>26</v>
      </c>
      <c r="G623" s="1" t="n">
        <f aca="false">IF(E623=0,"",IF(D623="VIGENTE",1,0))</f>
        <v>0</v>
      </c>
      <c r="H623" s="1" t="inlineStr">
        <is>
          <t xml:space="preserve">B observado / C cálculo</t>
        </is>
      </c>
    </row>
    <row r="624" customFormat="false" ht="15" hidden="false" customHeight="true" outlineLevel="0" collapsed="false">
      <c r="A624" s="1" t="n">
        <v>2021</v>
      </c>
      <c r="B624" s="1" t="n">
        <v>4</v>
      </c>
      <c r="C624" s="1" t="inlineStr">
        <is>
          <t xml:space="preserve">TCSREOL20211</t>
        </is>
      </c>
      <c r="D624" s="1" t="inlineStr">
        <is>
          <t xml:space="preserve">TITULADO</t>
        </is>
      </c>
      <c r="E624" s="1" t="n">
        <v>7</v>
      </c>
      <c r="F624" s="1" t="n">
        <v>14</v>
      </c>
      <c r="G624" s="1" t="n">
        <f aca="false">IF(E624=0,"",IF(D624="VIGENTE",1,0))</f>
        <v>0</v>
      </c>
      <c r="H624" s="1" t="inlineStr">
        <is>
          <t xml:space="preserve">B observado / C cálculo</t>
        </is>
      </c>
    </row>
    <row r="625" customFormat="false" ht="15" hidden="false" customHeight="true" outlineLevel="0" collapsed="false">
      <c r="A625" s="1" t="n">
        <v>2021</v>
      </c>
      <c r="B625" s="1" t="n">
        <v>4</v>
      </c>
      <c r="C625" s="1" t="inlineStr">
        <is>
          <t xml:space="preserve">TPAREOL2020</t>
        </is>
      </c>
      <c r="D625" s="1" t="inlineStr">
        <is>
          <t xml:space="preserve">ELIMINADO</t>
        </is>
      </c>
      <c r="E625" s="1" t="n">
        <v>5</v>
      </c>
      <c r="F625" s="1" t="n">
        <v>5</v>
      </c>
      <c r="G625" s="1" t="n">
        <f aca="false">IF(E625=0,"",IF(D625="VIGENTE",1,0))</f>
        <v>0</v>
      </c>
      <c r="H625" s="1" t="inlineStr">
        <is>
          <t xml:space="preserve">B observado / C cálculo</t>
        </is>
      </c>
    </row>
    <row r="626" customFormat="false" ht="15" hidden="false" customHeight="true" outlineLevel="0" collapsed="false">
      <c r="A626" s="1" t="n">
        <v>2021</v>
      </c>
      <c r="B626" s="1" t="n">
        <v>4</v>
      </c>
      <c r="C626" s="1" t="inlineStr">
        <is>
          <t xml:space="preserve">TPAREOL2020</t>
        </is>
      </c>
      <c r="D626" s="1" t="inlineStr">
        <is>
          <t xml:space="preserve">TITULADO</t>
        </is>
      </c>
      <c r="E626" s="1" t="n">
        <v>18</v>
      </c>
      <c r="F626" s="1" t="n">
        <v>18</v>
      </c>
      <c r="G626" s="1" t="n">
        <f aca="false">IF(E626=0,"",IF(D626="VIGENTE",1,0))</f>
        <v>0</v>
      </c>
      <c r="H626" s="1" t="inlineStr">
        <is>
          <t xml:space="preserve">B observado / C cálculo</t>
        </is>
      </c>
    </row>
    <row r="627" customFormat="false" ht="15" hidden="false" customHeight="true" outlineLevel="0" collapsed="false">
      <c r="A627" s="1" t="n">
        <v>2021</v>
      </c>
      <c r="B627" s="1" t="n">
        <v>4</v>
      </c>
      <c r="C627" s="1" t="inlineStr">
        <is>
          <t xml:space="preserve">TPAREOL2020</t>
        </is>
      </c>
      <c r="D627" s="1" t="inlineStr">
        <is>
          <t xml:space="preserve">VIGENTE</t>
        </is>
      </c>
      <c r="E627" s="1" t="n">
        <v>1</v>
      </c>
      <c r="F627" s="1" t="n">
        <v>2</v>
      </c>
      <c r="G627" s="1" t="n">
        <f aca="false">IF(E627=0,"",IF(D627="VIGENTE",1,0))</f>
        <v>1</v>
      </c>
      <c r="H627" s="1" t="inlineStr">
        <is>
          <t xml:space="preserve">B observado / C cálculo</t>
        </is>
      </c>
    </row>
    <row r="628" customFormat="false" ht="15" hidden="false" customHeight="true" outlineLevel="0" collapsed="false">
      <c r="A628" s="1" t="n">
        <v>2021</v>
      </c>
      <c r="B628" s="1" t="n">
        <v>4</v>
      </c>
      <c r="C628" s="1" t="inlineStr">
        <is>
          <t xml:space="preserve">TPAREOL20211</t>
        </is>
      </c>
      <c r="D628" s="1" t="inlineStr">
        <is>
          <t xml:space="preserve">ELIMINADO</t>
        </is>
      </c>
      <c r="E628" s="1" t="n">
        <v>51</v>
      </c>
      <c r="F628" s="1" t="n">
        <v>68</v>
      </c>
      <c r="G628" s="1" t="n">
        <f aca="false">IF(E628=0,"",IF(D628="VIGENTE",1,0))</f>
        <v>0</v>
      </c>
      <c r="H628" s="1" t="inlineStr">
        <is>
          <t xml:space="preserve">B observado / C cálculo</t>
        </is>
      </c>
    </row>
    <row r="629" customFormat="false" ht="15" hidden="false" customHeight="true" outlineLevel="0" collapsed="false">
      <c r="A629" s="1" t="n">
        <v>2021</v>
      </c>
      <c r="B629" s="1" t="n">
        <v>4</v>
      </c>
      <c r="C629" s="1" t="inlineStr">
        <is>
          <t xml:space="preserve">TPAREOL20211</t>
        </is>
      </c>
      <c r="D629" s="1" t="inlineStr">
        <is>
          <t xml:space="preserve">TITULADO</t>
        </is>
      </c>
      <c r="E629" s="1" t="n">
        <v>47</v>
      </c>
      <c r="F629" s="1" t="n">
        <v>54</v>
      </c>
      <c r="G629" s="1" t="n">
        <f aca="false">IF(E629=0,"",IF(D629="VIGENTE",1,0))</f>
        <v>0</v>
      </c>
      <c r="H629" s="1" t="inlineStr">
        <is>
          <t xml:space="preserve">B observado / C cálculo</t>
        </is>
      </c>
    </row>
    <row r="630" customFormat="false" ht="15" hidden="false" customHeight="true" outlineLevel="0" collapsed="false">
      <c r="A630" s="1" t="n">
        <v>2021</v>
      </c>
      <c r="B630" s="1" t="n">
        <v>4</v>
      </c>
      <c r="C630" s="1" t="inlineStr">
        <is>
          <t xml:space="preserve">TPAREOL20211</t>
        </is>
      </c>
      <c r="D630" s="1" t="inlineStr">
        <is>
          <t xml:space="preserve">VIGENTE</t>
        </is>
      </c>
      <c r="E630" s="1" t="n">
        <v>2</v>
      </c>
      <c r="F630" s="1" t="n">
        <v>7</v>
      </c>
      <c r="G630" s="1" t="n">
        <f aca="false">IF(E630=0,"",IF(D630="VIGENTE",1,0))</f>
        <v>1</v>
      </c>
      <c r="H630" s="1" t="inlineStr">
        <is>
          <t xml:space="preserve">B observado / C cálculo</t>
        </is>
      </c>
    </row>
    <row r="631" customFormat="false" ht="15" hidden="false" customHeight="true" outlineLevel="0" collapsed="false">
      <c r="A631" s="1" t="n">
        <v>2021</v>
      </c>
      <c r="B631" s="1" t="n">
        <v>4</v>
      </c>
      <c r="C631" s="1" t="inlineStr">
        <is>
          <t xml:space="preserve">TPCREOL20191</t>
        </is>
      </c>
      <c r="D631" s="1" t="inlineStr">
        <is>
          <t xml:space="preserve">ELIMINADO</t>
        </is>
      </c>
      <c r="E631" s="1" t="n">
        <v>2</v>
      </c>
      <c r="F631" s="1" t="n">
        <v>2</v>
      </c>
      <c r="G631" s="1" t="n">
        <f aca="false">IF(E631=0,"",IF(D631="VIGENTE",1,0))</f>
        <v>0</v>
      </c>
      <c r="H631" s="1" t="inlineStr">
        <is>
          <t xml:space="preserve">B observado / C cálculo</t>
        </is>
      </c>
    </row>
    <row r="632" customFormat="false" ht="15" hidden="false" customHeight="true" outlineLevel="0" collapsed="false">
      <c r="A632" s="1" t="n">
        <v>2021</v>
      </c>
      <c r="B632" s="1" t="n">
        <v>4</v>
      </c>
      <c r="C632" s="1" t="inlineStr">
        <is>
          <t xml:space="preserve">TPCREOL20191</t>
        </is>
      </c>
      <c r="D632" s="1" t="inlineStr">
        <is>
          <t xml:space="preserve">TITULADO</t>
        </is>
      </c>
      <c r="E632" s="1" t="n">
        <v>1</v>
      </c>
      <c r="F632" s="1" t="n">
        <v>1</v>
      </c>
      <c r="G632" s="1" t="n">
        <f aca="false">IF(E632=0,"",IF(D632="VIGENTE",1,0))</f>
        <v>0</v>
      </c>
      <c r="H632" s="1" t="inlineStr">
        <is>
          <t xml:space="preserve">B observado / C cálculo</t>
        </is>
      </c>
    </row>
    <row r="633" customFormat="false" ht="15" hidden="false" customHeight="true" outlineLevel="0" collapsed="false">
      <c r="A633" s="1" t="n">
        <v>2021</v>
      </c>
      <c r="B633" s="1" t="n">
        <v>4</v>
      </c>
      <c r="C633" s="1" t="inlineStr">
        <is>
          <t xml:space="preserve">TTMRE20191</t>
        </is>
      </c>
      <c r="D633" s="1" t="inlineStr">
        <is>
          <t xml:space="preserve">ELIMINADO</t>
        </is>
      </c>
      <c r="E633" s="1" t="n">
        <v>2</v>
      </c>
      <c r="F633" s="1" t="n">
        <v>2</v>
      </c>
      <c r="G633" s="1" t="n">
        <f aca="false">IF(E633=0,"",IF(D633="VIGENTE",1,0))</f>
        <v>0</v>
      </c>
      <c r="H633" s="1" t="inlineStr">
        <is>
          <t xml:space="preserve">B observado / C cálculo</t>
        </is>
      </c>
    </row>
    <row r="634" customFormat="false" ht="15" hidden="false" customHeight="true" outlineLevel="0" collapsed="false">
      <c r="A634" s="1" t="n">
        <v>2021</v>
      </c>
      <c r="B634" s="1" t="n">
        <v>4</v>
      </c>
      <c r="C634" s="1" t="inlineStr">
        <is>
          <t xml:space="preserve">TTMREOL20191</t>
        </is>
      </c>
      <c r="D634" s="1" t="inlineStr">
        <is>
          <t xml:space="preserve">ELIMINADO</t>
        </is>
      </c>
      <c r="E634" s="1" t="n">
        <v>2</v>
      </c>
      <c r="F634" s="1" t="n">
        <v>2</v>
      </c>
      <c r="G634" s="1" t="n">
        <f aca="false">IF(E634=0,"",IF(D634="VIGENTE",1,0))</f>
        <v>0</v>
      </c>
      <c r="H634" s="1" t="inlineStr">
        <is>
          <t xml:space="preserve">B observado / C cálculo</t>
        </is>
      </c>
    </row>
    <row r="635" customFormat="false" ht="15" hidden="false" customHeight="true" outlineLevel="0" collapsed="false">
      <c r="A635" s="1" t="n">
        <v>2021</v>
      </c>
      <c r="B635" s="1" t="n">
        <v>4</v>
      </c>
      <c r="C635" s="1" t="inlineStr">
        <is>
          <t xml:space="preserve">TTMREOL20191</t>
        </is>
      </c>
      <c r="D635" s="1" t="inlineStr">
        <is>
          <t xml:space="preserve">TITULADO</t>
        </is>
      </c>
      <c r="E635" s="1" t="n">
        <v>7</v>
      </c>
      <c r="F635" s="1" t="n">
        <v>8</v>
      </c>
      <c r="G635" s="1" t="n">
        <f aca="false">IF(E635=0,"",IF(D635="VIGENTE",1,0))</f>
        <v>0</v>
      </c>
      <c r="H635" s="1" t="inlineStr">
        <is>
          <t xml:space="preserve">B observado / C cálculo</t>
        </is>
      </c>
    </row>
    <row r="636" customFormat="false" ht="15" hidden="false" customHeight="true" outlineLevel="0" collapsed="false">
      <c r="A636" s="1" t="n">
        <v>2021</v>
      </c>
      <c r="B636" s="1" t="n">
        <v>4</v>
      </c>
      <c r="C636" s="1" t="inlineStr">
        <is>
          <t xml:space="preserve">TTMREOL20211</t>
        </is>
      </c>
      <c r="D636" s="1" t="inlineStr">
        <is>
          <t xml:space="preserve">ELIMINADO</t>
        </is>
      </c>
      <c r="E636" s="1" t="n">
        <v>15</v>
      </c>
      <c r="F636" s="1" t="n">
        <v>21</v>
      </c>
      <c r="G636" s="1" t="n">
        <f aca="false">IF(E636=0,"",IF(D636="VIGENTE",1,0))</f>
        <v>0</v>
      </c>
      <c r="H636" s="1" t="inlineStr">
        <is>
          <t xml:space="preserve">B observado / C cálculo</t>
        </is>
      </c>
    </row>
    <row r="637" customFormat="false" ht="15" hidden="false" customHeight="true" outlineLevel="0" collapsed="false">
      <c r="A637" s="1" t="n">
        <v>2021</v>
      </c>
      <c r="B637" s="1" t="n">
        <v>4</v>
      </c>
      <c r="C637" s="1" t="inlineStr">
        <is>
          <t xml:space="preserve">TTMREOL20211</t>
        </is>
      </c>
      <c r="D637" s="1" t="inlineStr">
        <is>
          <t xml:space="preserve">TITULADO</t>
        </is>
      </c>
      <c r="E637" s="1" t="n">
        <v>7</v>
      </c>
      <c r="F637" s="1" t="n">
        <v>12</v>
      </c>
      <c r="G637" s="1" t="n">
        <f aca="false">IF(E637=0,"",IF(D637="VIGENTE",1,0))</f>
        <v>0</v>
      </c>
      <c r="H637" s="1" t="inlineStr">
        <is>
          <t xml:space="preserve">B observado / C cálculo</t>
        </is>
      </c>
    </row>
    <row r="638" customFormat="false" ht="15" hidden="false" customHeight="true" outlineLevel="0" collapsed="false">
      <c r="A638" s="1" t="n">
        <v>2021</v>
      </c>
      <c r="B638" s="1" t="n">
        <v>5</v>
      </c>
      <c r="C638" s="1" t="inlineStr">
        <is>
          <t xml:space="preserve">IECIREOL</t>
        </is>
      </c>
      <c r="D638" s="1" t="inlineStr">
        <is>
          <t xml:space="preserve">TITULADO</t>
        </is>
      </c>
      <c r="E638" s="1" t="n">
        <v>8</v>
      </c>
      <c r="F638" s="1" t="n">
        <v>8</v>
      </c>
      <c r="G638" s="1" t="n">
        <f aca="false">IF(E638=0,"",IF(D638="VIGENTE",1,0))</f>
        <v>0</v>
      </c>
      <c r="H638" s="1" t="inlineStr">
        <is>
          <t xml:space="preserve">B observado / C cálculo</t>
        </is>
      </c>
    </row>
    <row r="639" customFormat="false" ht="15" hidden="false" customHeight="true" outlineLevel="0" collapsed="false">
      <c r="A639" s="1" t="n">
        <v>2021</v>
      </c>
      <c r="B639" s="1" t="n">
        <v>5</v>
      </c>
      <c r="C639" s="1" t="inlineStr">
        <is>
          <t xml:space="preserve">IECIREOL20191</t>
        </is>
      </c>
      <c r="D639" s="1" t="inlineStr">
        <is>
          <t xml:space="preserve">ELIMINADO</t>
        </is>
      </c>
      <c r="E639" s="1" t="n">
        <v>2</v>
      </c>
      <c r="F639" s="1" t="n">
        <v>2</v>
      </c>
      <c r="G639" s="1" t="n">
        <f aca="false">IF(E639=0,"",IF(D639="VIGENTE",1,0))</f>
        <v>0</v>
      </c>
      <c r="H639" s="1" t="inlineStr">
        <is>
          <t xml:space="preserve">B observado / C cálculo</t>
        </is>
      </c>
    </row>
    <row r="640" customFormat="false" ht="15" hidden="false" customHeight="true" outlineLevel="0" collapsed="false">
      <c r="A640" s="1" t="n">
        <v>2021</v>
      </c>
      <c r="B640" s="1" t="n">
        <v>5</v>
      </c>
      <c r="C640" s="1" t="inlineStr">
        <is>
          <t xml:space="preserve">IECIREOL20191</t>
        </is>
      </c>
      <c r="D640" s="1" t="inlineStr">
        <is>
          <t xml:space="preserve">TITULADO</t>
        </is>
      </c>
      <c r="E640" s="1" t="n">
        <v>11</v>
      </c>
      <c r="F640" s="1" t="n">
        <v>11</v>
      </c>
      <c r="G640" s="1" t="n">
        <f aca="false">IF(E640=0,"",IF(D640="VIGENTE",1,0))</f>
        <v>0</v>
      </c>
      <c r="H640" s="1" t="inlineStr">
        <is>
          <t xml:space="preserve">B observado / C cálculo</t>
        </is>
      </c>
    </row>
    <row r="641" customFormat="false" ht="15" hidden="false" customHeight="true" outlineLevel="0" collapsed="false">
      <c r="A641" s="1" t="n">
        <v>2021</v>
      </c>
      <c r="B641" s="1" t="n">
        <v>5</v>
      </c>
      <c r="C641" s="1" t="inlineStr">
        <is>
          <t xml:space="preserve">IECIREOL20201</t>
        </is>
      </c>
      <c r="D641" s="1" t="inlineStr">
        <is>
          <t xml:space="preserve">ELIMINADO</t>
        </is>
      </c>
      <c r="E641" s="1" t="n">
        <v>2</v>
      </c>
      <c r="F641" s="1" t="n">
        <v>2</v>
      </c>
      <c r="G641" s="1" t="n">
        <f aca="false">IF(E641=0,"",IF(D641="VIGENTE",1,0))</f>
        <v>0</v>
      </c>
      <c r="H641" s="1" t="inlineStr">
        <is>
          <t xml:space="preserve">B observado / C cálculo</t>
        </is>
      </c>
    </row>
    <row r="642" customFormat="false" ht="15" hidden="false" customHeight="true" outlineLevel="0" collapsed="false">
      <c r="A642" s="1" t="n">
        <v>2021</v>
      </c>
      <c r="B642" s="1" t="n">
        <v>5</v>
      </c>
      <c r="C642" s="1" t="inlineStr">
        <is>
          <t xml:space="preserve">IECIREOL20201</t>
        </is>
      </c>
      <c r="D642" s="1" t="inlineStr">
        <is>
          <t xml:space="preserve">TITULADO</t>
        </is>
      </c>
      <c r="E642" s="1" t="n">
        <v>5</v>
      </c>
      <c r="F642" s="1" t="n">
        <v>5</v>
      </c>
      <c r="G642" s="1" t="n">
        <f aca="false">IF(E642=0,"",IF(D642="VIGENTE",1,0))</f>
        <v>0</v>
      </c>
      <c r="H642" s="1" t="inlineStr">
        <is>
          <t xml:space="preserve">B observado / C cálculo</t>
        </is>
      </c>
    </row>
    <row r="643" customFormat="false" ht="15" hidden="false" customHeight="true" outlineLevel="0" collapsed="false">
      <c r="A643" s="1" t="n">
        <v>2021</v>
      </c>
      <c r="B643" s="1" t="n">
        <v>5</v>
      </c>
      <c r="C643" s="1" t="inlineStr">
        <is>
          <t xml:space="preserve">IECIREOL20211</t>
        </is>
      </c>
      <c r="D643" s="1" t="inlineStr">
        <is>
          <t xml:space="preserve">ELIMINADO</t>
        </is>
      </c>
      <c r="E643" s="1" t="n">
        <v>13</v>
      </c>
      <c r="F643" s="1" t="n">
        <v>19</v>
      </c>
      <c r="G643" s="1" t="n">
        <f aca="false">IF(E643=0,"",IF(D643="VIGENTE",1,0))</f>
        <v>0</v>
      </c>
      <c r="H643" s="1" t="inlineStr">
        <is>
          <t xml:space="preserve">B observado / C cálculo</t>
        </is>
      </c>
    </row>
    <row r="644" customFormat="false" ht="15" hidden="false" customHeight="true" outlineLevel="0" collapsed="false">
      <c r="A644" s="1" t="n">
        <v>2021</v>
      </c>
      <c r="B644" s="1" t="n">
        <v>5</v>
      </c>
      <c r="C644" s="1" t="inlineStr">
        <is>
          <t xml:space="preserve">IECIREOL20211</t>
        </is>
      </c>
      <c r="D644" s="1" t="inlineStr">
        <is>
          <t xml:space="preserve">SUSPENDIDO</t>
        </is>
      </c>
      <c r="E644" s="1" t="n">
        <v>1</v>
      </c>
      <c r="F644" s="1" t="n">
        <v>1</v>
      </c>
      <c r="G644" s="1" t="n">
        <f aca="false">IF(E644=0,"",IF(D644="VIGENTE",1,0))</f>
        <v>0</v>
      </c>
      <c r="H644" s="1" t="inlineStr">
        <is>
          <t xml:space="preserve">B observado / C cálculo</t>
        </is>
      </c>
    </row>
    <row r="645" customFormat="false" ht="15" hidden="false" customHeight="true" outlineLevel="0" collapsed="false">
      <c r="A645" s="1" t="n">
        <v>2021</v>
      </c>
      <c r="B645" s="1" t="n">
        <v>5</v>
      </c>
      <c r="C645" s="1" t="inlineStr">
        <is>
          <t xml:space="preserve">IECIREOL20211</t>
        </is>
      </c>
      <c r="D645" s="1" t="inlineStr">
        <is>
          <t xml:space="preserve">TITULADO</t>
        </is>
      </c>
      <c r="E645" s="1" t="n">
        <v>35</v>
      </c>
      <c r="F645" s="1" t="n">
        <v>44</v>
      </c>
      <c r="G645" s="1" t="n">
        <f aca="false">IF(E645=0,"",IF(D645="VIGENTE",1,0))</f>
        <v>0</v>
      </c>
      <c r="H645" s="1" t="inlineStr">
        <is>
          <t xml:space="preserve">B observado / C cálculo</t>
        </is>
      </c>
    </row>
    <row r="646" customFormat="false" ht="15" hidden="false" customHeight="true" outlineLevel="0" collapsed="false">
      <c r="A646" s="1" t="n">
        <v>2021</v>
      </c>
      <c r="B646" s="1" t="n">
        <v>5</v>
      </c>
      <c r="C646" s="1" t="inlineStr">
        <is>
          <t xml:space="preserve">IECSREOL20211</t>
        </is>
      </c>
      <c r="D646" s="1" t="inlineStr">
        <is>
          <t xml:space="preserve">ELIMINADO</t>
        </is>
      </c>
      <c r="E646" s="1" t="n">
        <v>11</v>
      </c>
      <c r="F646" s="1" t="n">
        <v>11</v>
      </c>
      <c r="G646" s="1" t="n">
        <f aca="false">IF(E646=0,"",IF(D646="VIGENTE",1,0))</f>
        <v>0</v>
      </c>
      <c r="H646" s="1" t="inlineStr">
        <is>
          <t xml:space="preserve">B observado / C cálculo</t>
        </is>
      </c>
    </row>
    <row r="647" customFormat="false" ht="15" hidden="false" customHeight="true" outlineLevel="0" collapsed="false">
      <c r="A647" s="1" t="n">
        <v>2021</v>
      </c>
      <c r="B647" s="1" t="n">
        <v>5</v>
      </c>
      <c r="C647" s="1" t="inlineStr">
        <is>
          <t xml:space="preserve">IECSREOL20211</t>
        </is>
      </c>
      <c r="D647" s="1" t="inlineStr">
        <is>
          <t xml:space="preserve">TITULADO</t>
        </is>
      </c>
      <c r="E647" s="1" t="n">
        <v>24</v>
      </c>
      <c r="F647" s="1" t="n">
        <v>26</v>
      </c>
      <c r="G647" s="1" t="n">
        <f aca="false">IF(E647=0,"",IF(D647="VIGENTE",1,0))</f>
        <v>0</v>
      </c>
      <c r="H647" s="1" t="inlineStr">
        <is>
          <t xml:space="preserve">B observado / C cálculo</t>
        </is>
      </c>
    </row>
    <row r="648" customFormat="false" ht="15" hidden="false" customHeight="true" outlineLevel="0" collapsed="false">
      <c r="A648" s="1" t="n">
        <v>2021</v>
      </c>
      <c r="B648" s="1" t="n">
        <v>5</v>
      </c>
      <c r="C648" s="1" t="inlineStr">
        <is>
          <t xml:space="preserve">IECSREOL20211</t>
        </is>
      </c>
      <c r="D648" s="1" t="inlineStr">
        <is>
          <t xml:space="preserve">VIGENTE</t>
        </is>
      </c>
      <c r="E648" s="1" t="n">
        <v>1</v>
      </c>
      <c r="F648" s="1" t="n">
        <v>1</v>
      </c>
      <c r="G648" s="1" t="n">
        <f aca="false">IF(E648=0,"",IF(D648="VIGENTE",1,0))</f>
        <v>1</v>
      </c>
      <c r="H648" s="1" t="inlineStr">
        <is>
          <t xml:space="preserve">B observado / C cálculo</t>
        </is>
      </c>
    </row>
    <row r="649" customFormat="false" ht="15" hidden="false" customHeight="true" outlineLevel="0" collapsed="false">
      <c r="A649" s="1" t="n">
        <v>2021</v>
      </c>
      <c r="B649" s="1" t="n">
        <v>5</v>
      </c>
      <c r="C649" s="1" t="inlineStr">
        <is>
          <t xml:space="preserve">IETMREOL</t>
        </is>
      </c>
      <c r="D649" s="1" t="inlineStr">
        <is>
          <t xml:space="preserve">TITULADO</t>
        </is>
      </c>
      <c r="E649" s="1" t="n">
        <v>12</v>
      </c>
      <c r="F649" s="1" t="n">
        <v>12</v>
      </c>
      <c r="G649" s="1" t="n">
        <f aca="false">IF(E649=0,"",IF(D649="VIGENTE",1,0))</f>
        <v>0</v>
      </c>
      <c r="H649" s="1" t="inlineStr">
        <is>
          <t xml:space="preserve">B observado / C cálculo</t>
        </is>
      </c>
    </row>
    <row r="650" customFormat="false" ht="15" hidden="false" customHeight="true" outlineLevel="0" collapsed="false">
      <c r="A650" s="1" t="n">
        <v>2021</v>
      </c>
      <c r="B650" s="1" t="n">
        <v>5</v>
      </c>
      <c r="C650" s="1" t="inlineStr">
        <is>
          <t xml:space="preserve">IETMREOL20191</t>
        </is>
      </c>
      <c r="D650" s="1" t="inlineStr">
        <is>
          <t xml:space="preserve">ELIMINADO</t>
        </is>
      </c>
      <c r="E650" s="1" t="n">
        <v>3</v>
      </c>
      <c r="F650" s="1" t="n">
        <v>3</v>
      </c>
      <c r="G650" s="1" t="n">
        <f aca="false">IF(E650=0,"",IF(D650="VIGENTE",1,0))</f>
        <v>0</v>
      </c>
      <c r="H650" s="1" t="inlineStr">
        <is>
          <t xml:space="preserve">B observado / C cálculo</t>
        </is>
      </c>
    </row>
    <row r="651" customFormat="false" ht="15" hidden="false" customHeight="true" outlineLevel="0" collapsed="false">
      <c r="A651" s="1" t="n">
        <v>2021</v>
      </c>
      <c r="B651" s="1" t="n">
        <v>5</v>
      </c>
      <c r="C651" s="1" t="inlineStr">
        <is>
          <t xml:space="preserve">IETMREOL20191</t>
        </is>
      </c>
      <c r="D651" s="1" t="inlineStr">
        <is>
          <t xml:space="preserve">TITULADO</t>
        </is>
      </c>
      <c r="E651" s="1" t="n">
        <v>12</v>
      </c>
      <c r="F651" s="1" t="n">
        <v>13</v>
      </c>
      <c r="G651" s="1" t="n">
        <f aca="false">IF(E651=0,"",IF(D651="VIGENTE",1,0))</f>
        <v>0</v>
      </c>
      <c r="H651" s="1" t="inlineStr">
        <is>
          <t xml:space="preserve">B observado / C cálculo</t>
        </is>
      </c>
    </row>
    <row r="652" customFormat="false" ht="15" hidden="false" customHeight="true" outlineLevel="0" collapsed="false">
      <c r="A652" s="1" t="n">
        <v>2021</v>
      </c>
      <c r="B652" s="1" t="n">
        <v>5</v>
      </c>
      <c r="C652" s="1" t="inlineStr">
        <is>
          <t xml:space="preserve">IETMREOL20191</t>
        </is>
      </c>
      <c r="D652" s="1" t="inlineStr">
        <is>
          <t xml:space="preserve">VIGENTE</t>
        </is>
      </c>
      <c r="E652" s="1" t="n">
        <v>1</v>
      </c>
      <c r="F652" s="1" t="n">
        <v>1</v>
      </c>
      <c r="G652" s="1" t="n">
        <f aca="false">IF(E652=0,"",IF(D652="VIGENTE",1,0))</f>
        <v>1</v>
      </c>
      <c r="H652" s="1" t="inlineStr">
        <is>
          <t xml:space="preserve">B observado / C cálculo</t>
        </is>
      </c>
    </row>
    <row r="653" customFormat="false" ht="15" hidden="false" customHeight="true" outlineLevel="0" collapsed="false">
      <c r="A653" s="1" t="n">
        <v>2021</v>
      </c>
      <c r="B653" s="1" t="n">
        <v>5</v>
      </c>
      <c r="C653" s="1" t="inlineStr">
        <is>
          <t xml:space="preserve">IETMREOL20211</t>
        </is>
      </c>
      <c r="D653" s="1" t="inlineStr">
        <is>
          <t xml:space="preserve">ELIMINADO</t>
        </is>
      </c>
      <c r="E653" s="1" t="n">
        <v>14</v>
      </c>
      <c r="F653" s="1" t="n">
        <v>14</v>
      </c>
      <c r="G653" s="1" t="n">
        <f aca="false">IF(E653=0,"",IF(D653="VIGENTE",1,0))</f>
        <v>0</v>
      </c>
      <c r="H653" s="1" t="inlineStr">
        <is>
          <t xml:space="preserve">B observado / C cálculo</t>
        </is>
      </c>
    </row>
    <row r="654" customFormat="false" ht="15" hidden="false" customHeight="true" outlineLevel="0" collapsed="false">
      <c r="A654" s="1" t="n">
        <v>2021</v>
      </c>
      <c r="B654" s="1" t="n">
        <v>5</v>
      </c>
      <c r="C654" s="1" t="inlineStr">
        <is>
          <t xml:space="preserve">IETMREOL20211</t>
        </is>
      </c>
      <c r="D654" s="1" t="inlineStr">
        <is>
          <t xml:space="preserve">TITULADO</t>
        </is>
      </c>
      <c r="E654" s="1" t="n">
        <v>56</v>
      </c>
      <c r="F654" s="1" t="n">
        <v>58</v>
      </c>
      <c r="G654" s="1" t="n">
        <f aca="false">IF(E654=0,"",IF(D654="VIGENTE",1,0))</f>
        <v>0</v>
      </c>
      <c r="H654" s="1" t="inlineStr">
        <is>
          <t xml:space="preserve">B observado / C cálculo</t>
        </is>
      </c>
    </row>
    <row r="655" customFormat="false" ht="15" hidden="false" customHeight="true" outlineLevel="0" collapsed="false">
      <c r="A655" s="1" t="n">
        <v>2021</v>
      </c>
      <c r="B655" s="1" t="n">
        <v>5</v>
      </c>
      <c r="C655" s="1" t="inlineStr">
        <is>
          <t xml:space="preserve">NCONREOL2019</t>
        </is>
      </c>
      <c r="D655" s="1" t="inlineStr">
        <is>
          <t xml:space="preserve">TITULADO</t>
        </is>
      </c>
      <c r="E655" s="1" t="n">
        <v>38</v>
      </c>
      <c r="F655" s="1" t="n">
        <v>38</v>
      </c>
      <c r="G655" s="1" t="n">
        <f aca="false">IF(E655=0,"",IF(D655="VIGENTE",1,0))</f>
        <v>0</v>
      </c>
      <c r="H655" s="1" t="inlineStr">
        <is>
          <t xml:space="preserve">B observado / C cálculo</t>
        </is>
      </c>
    </row>
    <row r="656" customFormat="false" ht="15" hidden="false" customHeight="true" outlineLevel="0" collapsed="false">
      <c r="A656" s="1" t="n">
        <v>2021</v>
      </c>
      <c r="B656" s="1" t="n">
        <v>5</v>
      </c>
      <c r="C656" s="1" t="inlineStr">
        <is>
          <t xml:space="preserve">NICCREOL2020</t>
        </is>
      </c>
      <c r="D656" s="1" t="inlineStr">
        <is>
          <t xml:space="preserve">ELIMINADO</t>
        </is>
      </c>
      <c r="E656" s="1" t="n">
        <v>1</v>
      </c>
      <c r="F656" s="1" t="n">
        <v>1</v>
      </c>
      <c r="G656" s="1" t="n">
        <f aca="false">IF(E656=0,"",IF(D656="VIGENTE",1,0))</f>
        <v>0</v>
      </c>
      <c r="H656" s="1" t="inlineStr">
        <is>
          <t xml:space="preserve">B observado / C cálculo</t>
        </is>
      </c>
    </row>
    <row r="657" customFormat="false" ht="15" hidden="false" customHeight="true" outlineLevel="0" collapsed="false">
      <c r="A657" s="1" t="n">
        <v>2021</v>
      </c>
      <c r="B657" s="1" t="n">
        <v>5</v>
      </c>
      <c r="C657" s="1" t="inlineStr">
        <is>
          <t xml:space="preserve">NICCREOL2020</t>
        </is>
      </c>
      <c r="D657" s="1" t="inlineStr">
        <is>
          <t xml:space="preserve">TITULADO</t>
        </is>
      </c>
      <c r="E657" s="1" t="n">
        <v>9</v>
      </c>
      <c r="F657" s="1" t="n">
        <v>27</v>
      </c>
      <c r="G657" s="1" t="n">
        <f aca="false">IF(E657=0,"",IF(D657="VIGENTE",1,0))</f>
        <v>0</v>
      </c>
      <c r="H657" s="1" t="inlineStr">
        <is>
          <t xml:space="preserve">B observado / C cálculo</t>
        </is>
      </c>
    </row>
    <row r="658" customFormat="false" ht="15" hidden="false" customHeight="true" outlineLevel="0" collapsed="false">
      <c r="A658" s="1" t="n">
        <v>2021</v>
      </c>
      <c r="B658" s="1" t="n">
        <v>5</v>
      </c>
      <c r="C658" s="1" t="inlineStr">
        <is>
          <t xml:space="preserve">NTCCREOL2020</t>
        </is>
      </c>
      <c r="D658" s="1" t="inlineStr">
        <is>
          <t xml:space="preserve">TITULADO</t>
        </is>
      </c>
      <c r="E658" s="1" t="n">
        <v>12</v>
      </c>
      <c r="F658" s="1" t="n">
        <v>22</v>
      </c>
      <c r="G658" s="1" t="n">
        <f aca="false">IF(E658=0,"",IF(D658="VIGENTE",1,0))</f>
        <v>0</v>
      </c>
      <c r="H658" s="1" t="inlineStr">
        <is>
          <t xml:space="preserve">B observado / C cálculo</t>
        </is>
      </c>
    </row>
    <row r="659" customFormat="false" ht="15" hidden="false" customHeight="true" outlineLevel="0" collapsed="false">
      <c r="A659" s="1" t="n">
        <v>2021</v>
      </c>
      <c r="B659" s="1" t="n">
        <v>5</v>
      </c>
      <c r="C659" s="1" t="inlineStr">
        <is>
          <t xml:space="preserve">TASREOL20191</t>
        </is>
      </c>
      <c r="D659" s="1" t="inlineStr">
        <is>
          <t xml:space="preserve">TITULADO</t>
        </is>
      </c>
      <c r="E659" s="1" t="n">
        <v>4</v>
      </c>
      <c r="F659" s="1" t="n">
        <v>9</v>
      </c>
      <c r="G659" s="1" t="n">
        <f aca="false">IF(E659=0,"",IF(D659="VIGENTE",1,0))</f>
        <v>0</v>
      </c>
      <c r="H659" s="1" t="inlineStr">
        <is>
          <t xml:space="preserve">B observado / C cálculo</t>
        </is>
      </c>
    </row>
    <row r="660" customFormat="false" ht="15" hidden="false" customHeight="true" outlineLevel="0" collapsed="false">
      <c r="A660" s="1" t="n">
        <v>2021</v>
      </c>
      <c r="B660" s="1" t="n">
        <v>5</v>
      </c>
      <c r="C660" s="1" t="inlineStr">
        <is>
          <t xml:space="preserve">TCSREOL2020</t>
        </is>
      </c>
      <c r="D660" s="1" t="inlineStr">
        <is>
          <t xml:space="preserve">ELIMINADO</t>
        </is>
      </c>
      <c r="E660" s="1" t="n">
        <v>4</v>
      </c>
      <c r="F660" s="1" t="n">
        <v>4</v>
      </c>
      <c r="G660" s="1" t="n">
        <f aca="false">IF(E660=0,"",IF(D660="VIGENTE",1,0))</f>
        <v>0</v>
      </c>
      <c r="H660" s="1" t="inlineStr">
        <is>
          <t xml:space="preserve">B observado / C cálculo</t>
        </is>
      </c>
    </row>
    <row r="661" customFormat="false" ht="15" hidden="false" customHeight="true" outlineLevel="0" collapsed="false">
      <c r="A661" s="1" t="n">
        <v>2021</v>
      </c>
      <c r="B661" s="1" t="n">
        <v>5</v>
      </c>
      <c r="C661" s="1" t="inlineStr">
        <is>
          <t xml:space="preserve">TCSREOL2020</t>
        </is>
      </c>
      <c r="D661" s="1" t="inlineStr">
        <is>
          <t xml:space="preserve">TITULADO</t>
        </is>
      </c>
      <c r="E661" s="1" t="n">
        <v>17</v>
      </c>
      <c r="F661" s="1" t="n">
        <v>17</v>
      </c>
      <c r="G661" s="1" t="n">
        <f aca="false">IF(E661=0,"",IF(D661="VIGENTE",1,0))</f>
        <v>0</v>
      </c>
      <c r="H661" s="1" t="inlineStr">
        <is>
          <t xml:space="preserve">B observado / C cálculo</t>
        </is>
      </c>
    </row>
    <row r="662" customFormat="false" ht="15" hidden="false" customHeight="true" outlineLevel="0" collapsed="false">
      <c r="A662" s="1" t="n">
        <v>2021</v>
      </c>
      <c r="B662" s="1" t="n">
        <v>5</v>
      </c>
      <c r="C662" s="1" t="inlineStr">
        <is>
          <t xml:space="preserve">TCSREOL2020</t>
        </is>
      </c>
      <c r="D662" s="1" t="inlineStr">
        <is>
          <t xml:space="preserve">VIGENTE</t>
        </is>
      </c>
      <c r="E662" s="1" t="n">
        <v>1</v>
      </c>
      <c r="F662" s="1" t="n">
        <v>1</v>
      </c>
      <c r="G662" s="1" t="n">
        <f aca="false">IF(E662=0,"",IF(D662="VIGENTE",1,0))</f>
        <v>1</v>
      </c>
      <c r="H662" s="1" t="inlineStr">
        <is>
          <t xml:space="preserve">B observado / C cálculo</t>
        </is>
      </c>
    </row>
    <row r="663" customFormat="false" ht="15" hidden="false" customHeight="true" outlineLevel="0" collapsed="false">
      <c r="A663" s="1" t="n">
        <v>2021</v>
      </c>
      <c r="B663" s="1" t="n">
        <v>5</v>
      </c>
      <c r="C663" s="1" t="inlineStr">
        <is>
          <t xml:space="preserve">TCSREOL20211</t>
        </is>
      </c>
      <c r="D663" s="1" t="inlineStr">
        <is>
          <t xml:space="preserve">ELIMINADO</t>
        </is>
      </c>
      <c r="E663" s="1" t="n">
        <v>16</v>
      </c>
      <c r="F663" s="1" t="n">
        <v>16</v>
      </c>
      <c r="G663" s="1" t="n">
        <f aca="false">IF(E663=0,"",IF(D663="VIGENTE",1,0))</f>
        <v>0</v>
      </c>
      <c r="H663" s="1" t="inlineStr">
        <is>
          <t xml:space="preserve">B observado / C cálculo</t>
        </is>
      </c>
    </row>
    <row r="664" customFormat="false" ht="15" hidden="false" customHeight="true" outlineLevel="0" collapsed="false">
      <c r="A664" s="1" t="n">
        <v>2021</v>
      </c>
      <c r="B664" s="1" t="n">
        <v>5</v>
      </c>
      <c r="C664" s="1" t="inlineStr">
        <is>
          <t xml:space="preserve">TCSREOL20211</t>
        </is>
      </c>
      <c r="D664" s="1" t="inlineStr">
        <is>
          <t xml:space="preserve">TITULADO</t>
        </is>
      </c>
      <c r="E664" s="1" t="n">
        <v>10</v>
      </c>
      <c r="F664" s="1" t="n">
        <v>10</v>
      </c>
      <c r="G664" s="1" t="n">
        <f aca="false">IF(E664=0,"",IF(D664="VIGENTE",1,0))</f>
        <v>0</v>
      </c>
      <c r="H664" s="1" t="inlineStr">
        <is>
          <t xml:space="preserve">B observado / C cálculo</t>
        </is>
      </c>
    </row>
    <row r="665" customFormat="false" ht="15" hidden="false" customHeight="true" outlineLevel="0" collapsed="false">
      <c r="A665" s="1" t="n">
        <v>2021</v>
      </c>
      <c r="B665" s="1" t="n">
        <v>5</v>
      </c>
      <c r="C665" s="1" t="inlineStr">
        <is>
          <t xml:space="preserve">TPAREOL2020</t>
        </is>
      </c>
      <c r="D665" s="1" t="inlineStr">
        <is>
          <t xml:space="preserve">TITULADO</t>
        </is>
      </c>
      <c r="E665" s="1" t="n">
        <v>6</v>
      </c>
      <c r="F665" s="1" t="n">
        <v>7</v>
      </c>
      <c r="G665" s="1" t="n">
        <f aca="false">IF(E665=0,"",IF(D665="VIGENTE",1,0))</f>
        <v>0</v>
      </c>
      <c r="H665" s="1" t="inlineStr">
        <is>
          <t xml:space="preserve">B observado / C cálculo</t>
        </is>
      </c>
    </row>
    <row r="666" customFormat="false" ht="15" hidden="false" customHeight="true" outlineLevel="0" collapsed="false">
      <c r="A666" s="1" t="n">
        <v>2021</v>
      </c>
      <c r="B666" s="1" t="n">
        <v>5</v>
      </c>
      <c r="C666" s="1" t="inlineStr">
        <is>
          <t xml:space="preserve">TPAREOL20211</t>
        </is>
      </c>
      <c r="D666" s="1" t="inlineStr">
        <is>
          <t xml:space="preserve">ELIMINADO</t>
        </is>
      </c>
      <c r="E666" s="1" t="n">
        <v>40</v>
      </c>
      <c r="F666" s="1" t="n">
        <v>50</v>
      </c>
      <c r="G666" s="1" t="n">
        <f aca="false">IF(E666=0,"",IF(D666="VIGENTE",1,0))</f>
        <v>0</v>
      </c>
      <c r="H666" s="1" t="inlineStr">
        <is>
          <t xml:space="preserve">B observado / C cálculo</t>
        </is>
      </c>
    </row>
    <row r="667" customFormat="false" ht="15" hidden="false" customHeight="true" outlineLevel="0" collapsed="false">
      <c r="A667" s="1" t="n">
        <v>2021</v>
      </c>
      <c r="B667" s="1" t="n">
        <v>5</v>
      </c>
      <c r="C667" s="1" t="inlineStr">
        <is>
          <t xml:space="preserve">TPAREOL20211</t>
        </is>
      </c>
      <c r="D667" s="1" t="inlineStr">
        <is>
          <t xml:space="preserve">TITULADO</t>
        </is>
      </c>
      <c r="E667" s="1" t="n">
        <v>41</v>
      </c>
      <c r="F667" s="1" t="n">
        <v>44</v>
      </c>
      <c r="G667" s="1" t="n">
        <f aca="false">IF(E667=0,"",IF(D667="VIGENTE",1,0))</f>
        <v>0</v>
      </c>
      <c r="H667" s="1" t="inlineStr">
        <is>
          <t xml:space="preserve">B observado / C cálculo</t>
        </is>
      </c>
    </row>
    <row r="668" customFormat="false" ht="15" hidden="false" customHeight="true" outlineLevel="0" collapsed="false">
      <c r="A668" s="1" t="n">
        <v>2021</v>
      </c>
      <c r="B668" s="1" t="n">
        <v>5</v>
      </c>
      <c r="C668" s="1" t="inlineStr">
        <is>
          <t xml:space="preserve">TPCREOL20191</t>
        </is>
      </c>
      <c r="D668" s="1" t="inlineStr">
        <is>
          <t xml:space="preserve">TITULADO</t>
        </is>
      </c>
      <c r="E668" s="1" t="n">
        <v>1</v>
      </c>
      <c r="F668" s="1" t="n">
        <v>2</v>
      </c>
      <c r="G668" s="1" t="n">
        <f aca="false">IF(E668=0,"",IF(D668="VIGENTE",1,0))</f>
        <v>0</v>
      </c>
      <c r="H668" s="1" t="inlineStr">
        <is>
          <t xml:space="preserve">B observado / C cálculo</t>
        </is>
      </c>
    </row>
    <row r="669" customFormat="false" ht="15" hidden="false" customHeight="true" outlineLevel="0" collapsed="false">
      <c r="A669" s="1" t="n">
        <v>2021</v>
      </c>
      <c r="B669" s="1" t="n">
        <v>5</v>
      </c>
      <c r="C669" s="1" t="inlineStr">
        <is>
          <t xml:space="preserve">TTMRE20191</t>
        </is>
      </c>
      <c r="D669" s="1" t="inlineStr">
        <is>
          <t xml:space="preserve">ELIMINADO</t>
        </is>
      </c>
      <c r="E669" s="1" t="n">
        <v>1</v>
      </c>
      <c r="F669" s="1" t="n">
        <v>1</v>
      </c>
      <c r="G669" s="1" t="n">
        <f aca="false">IF(E669=0,"",IF(D669="VIGENTE",1,0))</f>
        <v>0</v>
      </c>
      <c r="H669" s="1" t="inlineStr">
        <is>
          <t xml:space="preserve">B observado / C cálculo</t>
        </is>
      </c>
    </row>
    <row r="670" customFormat="false" ht="15" hidden="false" customHeight="true" outlineLevel="0" collapsed="false">
      <c r="A670" s="1" t="n">
        <v>2021</v>
      </c>
      <c r="B670" s="1" t="n">
        <v>5</v>
      </c>
      <c r="C670" s="1" t="inlineStr">
        <is>
          <t xml:space="preserve">TTMREOL20191</t>
        </is>
      </c>
      <c r="D670" s="1" t="inlineStr">
        <is>
          <t xml:space="preserve">ELIMINADO</t>
        </is>
      </c>
      <c r="E670" s="1" t="n">
        <v>3</v>
      </c>
      <c r="F670" s="1" t="n">
        <v>3</v>
      </c>
      <c r="G670" s="1" t="n">
        <f aca="false">IF(E670=0,"",IF(D670="VIGENTE",1,0))</f>
        <v>0</v>
      </c>
      <c r="H670" s="1" t="inlineStr">
        <is>
          <t xml:space="preserve">B observado / C cálculo</t>
        </is>
      </c>
    </row>
    <row r="671" customFormat="false" ht="15" hidden="false" customHeight="true" outlineLevel="0" collapsed="false">
      <c r="A671" s="1" t="n">
        <v>2021</v>
      </c>
      <c r="B671" s="1" t="n">
        <v>5</v>
      </c>
      <c r="C671" s="1" t="inlineStr">
        <is>
          <t xml:space="preserve">TTMREOL20191</t>
        </is>
      </c>
      <c r="D671" s="1" t="inlineStr">
        <is>
          <t xml:space="preserve">SUSPENDIDO</t>
        </is>
      </c>
      <c r="E671" s="1" t="n">
        <v>1</v>
      </c>
      <c r="F671" s="1" t="n">
        <v>1</v>
      </c>
      <c r="G671" s="1" t="n">
        <f aca="false">IF(E671=0,"",IF(D671="VIGENTE",1,0))</f>
        <v>0</v>
      </c>
      <c r="H671" s="1" t="inlineStr">
        <is>
          <t xml:space="preserve">B observado / C cálculo</t>
        </is>
      </c>
    </row>
    <row r="672" customFormat="false" ht="15" hidden="false" customHeight="true" outlineLevel="0" collapsed="false">
      <c r="A672" s="1" t="n">
        <v>2021</v>
      </c>
      <c r="B672" s="1" t="n">
        <v>5</v>
      </c>
      <c r="C672" s="1" t="inlineStr">
        <is>
          <t xml:space="preserve">TTMREOL20191</t>
        </is>
      </c>
      <c r="D672" s="1" t="inlineStr">
        <is>
          <t xml:space="preserve">TITULADO</t>
        </is>
      </c>
      <c r="E672" s="1" t="n">
        <v>8</v>
      </c>
      <c r="F672" s="1" t="n">
        <v>9</v>
      </c>
      <c r="G672" s="1" t="n">
        <f aca="false">IF(E672=0,"",IF(D672="VIGENTE",1,0))</f>
        <v>0</v>
      </c>
      <c r="H672" s="1" t="inlineStr">
        <is>
          <t xml:space="preserve">B observado / C cálculo</t>
        </is>
      </c>
    </row>
    <row r="673" customFormat="false" ht="15" hidden="false" customHeight="true" outlineLevel="0" collapsed="false">
      <c r="A673" s="1" t="n">
        <v>2021</v>
      </c>
      <c r="B673" s="1" t="n">
        <v>5</v>
      </c>
      <c r="C673" s="1" t="inlineStr">
        <is>
          <t xml:space="preserve">TTMREOL20211</t>
        </is>
      </c>
      <c r="D673" s="1" t="inlineStr">
        <is>
          <t xml:space="preserve">ELIMINADO</t>
        </is>
      </c>
      <c r="E673" s="1" t="n">
        <v>16</v>
      </c>
      <c r="F673" s="1" t="n">
        <v>16</v>
      </c>
      <c r="G673" s="1" t="n">
        <f aca="false">IF(E673=0,"",IF(D673="VIGENTE",1,0))</f>
        <v>0</v>
      </c>
      <c r="H673" s="1" t="inlineStr">
        <is>
          <t xml:space="preserve">B observado / C cálculo</t>
        </is>
      </c>
    </row>
    <row r="674" customFormat="false" ht="15" hidden="false" customHeight="true" outlineLevel="0" collapsed="false">
      <c r="A674" s="1" t="n">
        <v>2021</v>
      </c>
      <c r="B674" s="1" t="n">
        <v>5</v>
      </c>
      <c r="C674" s="1" t="inlineStr">
        <is>
          <t xml:space="preserve">TTMREOL20211</t>
        </is>
      </c>
      <c r="D674" s="1" t="inlineStr">
        <is>
          <t xml:space="preserve">TITULADO</t>
        </is>
      </c>
      <c r="E674" s="1" t="n">
        <v>18</v>
      </c>
      <c r="F674" s="1" t="n">
        <v>20</v>
      </c>
      <c r="G674" s="1" t="n">
        <f aca="false">IF(E674=0,"",IF(D674="VIGENTE",1,0))</f>
        <v>0</v>
      </c>
      <c r="H674" s="1" t="inlineStr">
        <is>
          <t xml:space="preserve">B observado / C cálculo</t>
        </is>
      </c>
    </row>
    <row r="675" customFormat="false" ht="15" hidden="false" customHeight="true" outlineLevel="0" collapsed="false">
      <c r="A675" s="1" t="n">
        <v>2021</v>
      </c>
      <c r="B675" s="1" t="n">
        <v>5</v>
      </c>
      <c r="C675" s="1" t="inlineStr">
        <is>
          <t xml:space="preserve">TTMREOL20211</t>
        </is>
      </c>
      <c r="D675" s="1" t="inlineStr">
        <is>
          <t xml:space="preserve">VIGENTE</t>
        </is>
      </c>
      <c r="E675" s="1" t="n">
        <v>1</v>
      </c>
      <c r="F675" s="1" t="n">
        <v>1</v>
      </c>
      <c r="G675" s="1" t="n">
        <f aca="false">IF(E675=0,"",IF(D675="VIGENTE",1,0))</f>
        <v>1</v>
      </c>
      <c r="H675" s="1" t="inlineStr">
        <is>
          <t xml:space="preserve">B observado / C cálculo</t>
        </is>
      </c>
    </row>
    <row r="676" customFormat="false" ht="15" hidden="false" customHeight="true" outlineLevel="0" collapsed="false">
      <c r="A676" s="1" t="n">
        <v>2022</v>
      </c>
      <c r="B676" s="1" t="n">
        <v>1</v>
      </c>
      <c r="C676" s="1" t="inlineStr">
        <is>
          <t xml:space="preserve">CIIND20251</t>
        </is>
      </c>
      <c r="D676" s="1" t="inlineStr">
        <is>
          <t xml:space="preserve">VIGENTE</t>
        </is>
      </c>
      <c r="E676" s="1" t="n">
        <v>1</v>
      </c>
      <c r="F676" s="1" t="n">
        <v>1</v>
      </c>
      <c r="G676" s="1" t="n">
        <f aca="false">IF(E676=0,"",IF(D676="VIGENTE",1,0))</f>
        <v>1</v>
      </c>
      <c r="H676" s="1" t="inlineStr">
        <is>
          <t xml:space="preserve">B observado / C cálculo</t>
        </is>
      </c>
    </row>
    <row r="677" customFormat="false" ht="15" hidden="false" customHeight="true" outlineLevel="0" collapsed="false">
      <c r="A677" s="1" t="n">
        <v>2022</v>
      </c>
      <c r="B677" s="1" t="n">
        <v>1</v>
      </c>
      <c r="C677" s="1" t="inlineStr">
        <is>
          <t xml:space="preserve">IECIRE20191</t>
        </is>
      </c>
      <c r="D677" s="1" t="inlineStr">
        <is>
          <t xml:space="preserve">ELIMINADO</t>
        </is>
      </c>
      <c r="E677" s="1" t="n">
        <v>1</v>
      </c>
      <c r="F677" s="1" t="n">
        <v>4</v>
      </c>
      <c r="G677" s="1" t="n">
        <f aca="false">IF(E677=0,"",IF(D677="VIGENTE",1,0))</f>
        <v>0</v>
      </c>
      <c r="H677" s="1" t="inlineStr">
        <is>
          <t xml:space="preserve">B observado / C cálculo</t>
        </is>
      </c>
    </row>
    <row r="678" customFormat="false" ht="15" hidden="false" customHeight="true" outlineLevel="0" collapsed="false">
      <c r="A678" s="1" t="n">
        <v>2022</v>
      </c>
      <c r="B678" s="1" t="n">
        <v>1</v>
      </c>
      <c r="C678" s="1" t="inlineStr">
        <is>
          <t xml:space="preserve">IECIRE20191</t>
        </is>
      </c>
      <c r="D678" s="1" t="inlineStr">
        <is>
          <t xml:space="preserve">TITULADO</t>
        </is>
      </c>
      <c r="E678" s="1" t="n">
        <v>9</v>
      </c>
      <c r="F678" s="1" t="n">
        <v>34</v>
      </c>
      <c r="G678" s="1" t="n">
        <f aca="false">IF(E678=0,"",IF(D678="VIGENTE",1,0))</f>
        <v>0</v>
      </c>
      <c r="H678" s="1" t="inlineStr">
        <is>
          <t xml:space="preserve">B observado / C cálculo</t>
        </is>
      </c>
    </row>
    <row r="679" customFormat="false" ht="15" hidden="false" customHeight="true" outlineLevel="0" collapsed="false">
      <c r="A679" s="1" t="n">
        <v>2022</v>
      </c>
      <c r="B679" s="1" t="n">
        <v>1</v>
      </c>
      <c r="C679" s="1" t="inlineStr">
        <is>
          <t xml:space="preserve">IECIRE2020</t>
        </is>
      </c>
      <c r="D679" s="1" t="inlineStr">
        <is>
          <t xml:space="preserve">ELIMINADO</t>
        </is>
      </c>
      <c r="E679" s="1" t="n">
        <v>5</v>
      </c>
      <c r="F679" s="1" t="n">
        <v>8</v>
      </c>
      <c r="G679" s="1" t="n">
        <f aca="false">IF(E679=0,"",IF(D679="VIGENTE",1,0))</f>
        <v>0</v>
      </c>
      <c r="H679" s="1" t="inlineStr">
        <is>
          <t xml:space="preserve">B observado / C cálculo</t>
        </is>
      </c>
    </row>
    <row r="680" customFormat="false" ht="15" hidden="false" customHeight="true" outlineLevel="0" collapsed="false">
      <c r="A680" s="1" t="n">
        <v>2022</v>
      </c>
      <c r="B680" s="1" t="n">
        <v>1</v>
      </c>
      <c r="C680" s="1" t="inlineStr">
        <is>
          <t xml:space="preserve">IECIRE2020</t>
        </is>
      </c>
      <c r="D680" s="1" t="inlineStr">
        <is>
          <t xml:space="preserve">TITULADO</t>
        </is>
      </c>
      <c r="E680" s="1" t="n">
        <v>4</v>
      </c>
      <c r="F680" s="1" t="n">
        <v>8</v>
      </c>
      <c r="G680" s="1" t="n">
        <f aca="false">IF(E680=0,"",IF(D680="VIGENTE",1,0))</f>
        <v>0</v>
      </c>
      <c r="H680" s="1" t="inlineStr">
        <is>
          <t xml:space="preserve">B observado / C cálculo</t>
        </is>
      </c>
    </row>
    <row r="681" customFormat="false" ht="15" hidden="false" customHeight="true" outlineLevel="0" collapsed="false">
      <c r="A681" s="1" t="n">
        <v>2022</v>
      </c>
      <c r="B681" s="1" t="n">
        <v>1</v>
      </c>
      <c r="C681" s="1" t="inlineStr">
        <is>
          <t xml:space="preserve">IECIRE20211</t>
        </is>
      </c>
      <c r="D681" s="1" t="inlineStr">
        <is>
          <t xml:space="preserve">ELIMINADO</t>
        </is>
      </c>
      <c r="E681" s="1" t="n">
        <v>18</v>
      </c>
      <c r="F681" s="1" t="n">
        <v>62</v>
      </c>
      <c r="G681" s="1" t="n">
        <f aca="false">IF(E681=0,"",IF(D681="VIGENTE",1,0))</f>
        <v>0</v>
      </c>
      <c r="H681" s="1" t="inlineStr">
        <is>
          <t xml:space="preserve">B observado / C cálculo</t>
        </is>
      </c>
    </row>
    <row r="682" customFormat="false" ht="15" hidden="false" customHeight="true" outlineLevel="0" collapsed="false">
      <c r="A682" s="1" t="n">
        <v>2022</v>
      </c>
      <c r="B682" s="1" t="n">
        <v>1</v>
      </c>
      <c r="C682" s="1" t="inlineStr">
        <is>
          <t xml:space="preserve">IECIRE20211</t>
        </is>
      </c>
      <c r="D682" s="1" t="inlineStr">
        <is>
          <t xml:space="preserve">TITULADO</t>
        </is>
      </c>
      <c r="E682" s="1" t="n">
        <v>10</v>
      </c>
      <c r="F682" s="1" t="n">
        <v>48</v>
      </c>
      <c r="G682" s="1" t="n">
        <f aca="false">IF(E682=0,"",IF(D682="VIGENTE",1,0))</f>
        <v>0</v>
      </c>
      <c r="H682" s="1" t="inlineStr">
        <is>
          <t xml:space="preserve">B observado / C cálculo</t>
        </is>
      </c>
    </row>
    <row r="683" customFormat="false" ht="15" hidden="false" customHeight="true" outlineLevel="0" collapsed="false">
      <c r="A683" s="1" t="n">
        <v>2022</v>
      </c>
      <c r="B683" s="1" t="n">
        <v>1</v>
      </c>
      <c r="C683" s="1" t="inlineStr">
        <is>
          <t xml:space="preserve">IECIREOL20191</t>
        </is>
      </c>
      <c r="D683" s="1" t="inlineStr">
        <is>
          <t xml:space="preserve">ELIMINADO</t>
        </is>
      </c>
      <c r="E683" s="1" t="n">
        <v>1</v>
      </c>
      <c r="F683" s="1" t="n">
        <v>1</v>
      </c>
      <c r="G683" s="1" t="n">
        <f aca="false">IF(E683=0,"",IF(D683="VIGENTE",1,0))</f>
        <v>0</v>
      </c>
      <c r="H683" s="1" t="inlineStr">
        <is>
          <t xml:space="preserve">B observado / C cálculo</t>
        </is>
      </c>
    </row>
    <row r="684" customFormat="false" ht="15" hidden="false" customHeight="true" outlineLevel="0" collapsed="false">
      <c r="A684" s="1" t="n">
        <v>2022</v>
      </c>
      <c r="B684" s="1" t="n">
        <v>1</v>
      </c>
      <c r="C684" s="1" t="inlineStr">
        <is>
          <t xml:space="preserve">IECIREOL20191</t>
        </is>
      </c>
      <c r="D684" s="1" t="inlineStr">
        <is>
          <t xml:space="preserve">TITULADO</t>
        </is>
      </c>
      <c r="E684" s="1" t="n">
        <v>11</v>
      </c>
      <c r="F684" s="1" t="n">
        <v>11</v>
      </c>
      <c r="G684" s="1" t="n">
        <f aca="false">IF(E684=0,"",IF(D684="VIGENTE",1,0))</f>
        <v>0</v>
      </c>
      <c r="H684" s="1" t="inlineStr">
        <is>
          <t xml:space="preserve">B observado / C cálculo</t>
        </is>
      </c>
    </row>
    <row r="685" customFormat="false" ht="15" hidden="false" customHeight="true" outlineLevel="0" collapsed="false">
      <c r="A685" s="1" t="n">
        <v>2022</v>
      </c>
      <c r="B685" s="1" t="n">
        <v>1</v>
      </c>
      <c r="C685" s="1" t="inlineStr">
        <is>
          <t xml:space="preserve">IECIREOL20201</t>
        </is>
      </c>
      <c r="D685" s="1" t="inlineStr">
        <is>
          <t xml:space="preserve">TITULADO</t>
        </is>
      </c>
      <c r="E685" s="1" t="n">
        <v>1</v>
      </c>
      <c r="F685" s="1" t="n">
        <v>10</v>
      </c>
      <c r="G685" s="1" t="n">
        <f aca="false">IF(E685=0,"",IF(D685="VIGENTE",1,0))</f>
        <v>0</v>
      </c>
      <c r="H685" s="1" t="inlineStr">
        <is>
          <t xml:space="preserve">B observado / C cálculo</t>
        </is>
      </c>
    </row>
    <row r="686" customFormat="false" ht="15" hidden="false" customHeight="true" outlineLevel="0" collapsed="false">
      <c r="A686" s="1" t="n">
        <v>2022</v>
      </c>
      <c r="B686" s="1" t="n">
        <v>1</v>
      </c>
      <c r="C686" s="1" t="inlineStr">
        <is>
          <t xml:space="preserve">IECIREOL20211</t>
        </is>
      </c>
      <c r="D686" s="1" t="inlineStr">
        <is>
          <t xml:space="preserve">ELIMINADO</t>
        </is>
      </c>
      <c r="E686" s="1" t="n">
        <v>33</v>
      </c>
      <c r="F686" s="1" t="n">
        <v>84</v>
      </c>
      <c r="G686" s="1" t="n">
        <f aca="false">IF(E686=0,"",IF(D686="VIGENTE",1,0))</f>
        <v>0</v>
      </c>
      <c r="H686" s="1" t="inlineStr">
        <is>
          <t xml:space="preserve">B observado / C cálculo</t>
        </is>
      </c>
    </row>
    <row r="687" customFormat="false" ht="15" hidden="false" customHeight="true" outlineLevel="0" collapsed="false">
      <c r="A687" s="1" t="n">
        <v>2022</v>
      </c>
      <c r="B687" s="1" t="n">
        <v>1</v>
      </c>
      <c r="C687" s="1" t="inlineStr">
        <is>
          <t xml:space="preserve">IECIREOL20211</t>
        </is>
      </c>
      <c r="D687" s="1" t="inlineStr">
        <is>
          <t xml:space="preserve">SUSPENDIDO</t>
        </is>
      </c>
      <c r="E687" s="1" t="n">
        <v>1</v>
      </c>
      <c r="F687" s="1" t="n">
        <v>1</v>
      </c>
      <c r="G687" s="1" t="n">
        <f aca="false">IF(E687=0,"",IF(D687="VIGENTE",1,0))</f>
        <v>0</v>
      </c>
      <c r="H687" s="1" t="inlineStr">
        <is>
          <t xml:space="preserve">B observado / C cálculo</t>
        </is>
      </c>
    </row>
    <row r="688" customFormat="false" ht="15" hidden="false" customHeight="true" outlineLevel="0" collapsed="false">
      <c r="A688" s="1" t="n">
        <v>2022</v>
      </c>
      <c r="B688" s="1" t="n">
        <v>1</v>
      </c>
      <c r="C688" s="1" t="inlineStr">
        <is>
          <t xml:space="preserve">IECIREOL20211</t>
        </is>
      </c>
      <c r="D688" s="1" t="inlineStr">
        <is>
          <t xml:space="preserve">TITULADO</t>
        </is>
      </c>
      <c r="E688" s="1" t="n">
        <v>61</v>
      </c>
      <c r="F688" s="1" t="n">
        <v>274</v>
      </c>
      <c r="G688" s="1" t="n">
        <f aca="false">IF(E688=0,"",IF(D688="VIGENTE",1,0))</f>
        <v>0</v>
      </c>
      <c r="H688" s="1" t="inlineStr">
        <is>
          <t xml:space="preserve">B observado / C cálculo</t>
        </is>
      </c>
    </row>
    <row r="689" customFormat="false" ht="15" hidden="false" customHeight="true" outlineLevel="0" collapsed="false">
      <c r="A689" s="1" t="n">
        <v>2022</v>
      </c>
      <c r="B689" s="1" t="n">
        <v>1</v>
      </c>
      <c r="C689" s="1" t="inlineStr">
        <is>
          <t xml:space="preserve">IECIREOL20211</t>
        </is>
      </c>
      <c r="D689" s="1" t="inlineStr">
        <is>
          <t xml:space="preserve">VIGENTE</t>
        </is>
      </c>
      <c r="E689" s="1" t="n">
        <v>1</v>
      </c>
      <c r="F689" s="1" t="n">
        <v>15</v>
      </c>
      <c r="G689" s="1" t="n">
        <f aca="false">IF(E689=0,"",IF(D689="VIGENTE",1,0))</f>
        <v>1</v>
      </c>
      <c r="H689" s="1" t="inlineStr">
        <is>
          <t xml:space="preserve">B observado / C cálculo</t>
        </is>
      </c>
    </row>
    <row r="690" customFormat="false" ht="15" hidden="false" customHeight="true" outlineLevel="0" collapsed="false">
      <c r="A690" s="1" t="n">
        <v>2022</v>
      </c>
      <c r="B690" s="1" t="n">
        <v>1</v>
      </c>
      <c r="C690" s="1" t="inlineStr">
        <is>
          <t xml:space="preserve">IECSRE20191</t>
        </is>
      </c>
      <c r="D690" s="1" t="inlineStr">
        <is>
          <t xml:space="preserve">TITULADO</t>
        </is>
      </c>
      <c r="E690" s="1" t="n">
        <v>10</v>
      </c>
      <c r="F690" s="1" t="n">
        <v>26</v>
      </c>
      <c r="G690" s="1" t="n">
        <f aca="false">IF(E690=0,"",IF(D690="VIGENTE",1,0))</f>
        <v>0</v>
      </c>
      <c r="H690" s="1" t="inlineStr">
        <is>
          <t xml:space="preserve">B observado / C cálculo</t>
        </is>
      </c>
    </row>
    <row r="691" customFormat="false" ht="15" hidden="false" customHeight="true" outlineLevel="0" collapsed="false">
      <c r="A691" s="1" t="n">
        <v>2022</v>
      </c>
      <c r="B691" s="1" t="n">
        <v>1</v>
      </c>
      <c r="C691" s="1" t="inlineStr">
        <is>
          <t xml:space="preserve">IECSRE20211</t>
        </is>
      </c>
      <c r="D691" s="1" t="inlineStr">
        <is>
          <t xml:space="preserve">ELIMINADO</t>
        </is>
      </c>
      <c r="E691" s="1" t="n">
        <v>20</v>
      </c>
      <c r="F691" s="1" t="n">
        <v>69</v>
      </c>
      <c r="G691" s="1" t="n">
        <f aca="false">IF(E691=0,"",IF(D691="VIGENTE",1,0))</f>
        <v>0</v>
      </c>
      <c r="H691" s="1" t="inlineStr">
        <is>
          <t xml:space="preserve">B observado / C cálculo</t>
        </is>
      </c>
    </row>
    <row r="692" customFormat="false" ht="15" hidden="false" customHeight="true" outlineLevel="0" collapsed="false">
      <c r="A692" s="1" t="n">
        <v>2022</v>
      </c>
      <c r="B692" s="1" t="n">
        <v>1</v>
      </c>
      <c r="C692" s="1" t="inlineStr">
        <is>
          <t xml:space="preserve">IECSRE20211</t>
        </is>
      </c>
      <c r="D692" s="1" t="inlineStr">
        <is>
          <t xml:space="preserve">TITULADO</t>
        </is>
      </c>
      <c r="E692" s="1" t="n">
        <v>16</v>
      </c>
      <c r="F692" s="1" t="n">
        <v>82</v>
      </c>
      <c r="G692" s="1" t="n">
        <f aca="false">IF(E692=0,"",IF(D692="VIGENTE",1,0))</f>
        <v>0</v>
      </c>
      <c r="H692" s="1" t="inlineStr">
        <is>
          <t xml:space="preserve">B observado / C cálculo</t>
        </is>
      </c>
    </row>
    <row r="693" customFormat="false" ht="15" hidden="false" customHeight="true" outlineLevel="0" collapsed="false">
      <c r="A693" s="1" t="n">
        <v>2022</v>
      </c>
      <c r="B693" s="1" t="n">
        <v>1</v>
      </c>
      <c r="C693" s="1" t="inlineStr">
        <is>
          <t xml:space="preserve">IECSREOL20211</t>
        </is>
      </c>
      <c r="D693" s="1" t="inlineStr">
        <is>
          <t xml:space="preserve">ELIMINADO</t>
        </is>
      </c>
      <c r="E693" s="1" t="n">
        <v>17</v>
      </c>
      <c r="F693" s="1" t="n">
        <v>51</v>
      </c>
      <c r="G693" s="1" t="n">
        <f aca="false">IF(E693=0,"",IF(D693="VIGENTE",1,0))</f>
        <v>0</v>
      </c>
      <c r="H693" s="1" t="inlineStr">
        <is>
          <t xml:space="preserve">B observado / C cálculo</t>
        </is>
      </c>
    </row>
    <row r="694" customFormat="false" ht="15" hidden="false" customHeight="true" outlineLevel="0" collapsed="false">
      <c r="A694" s="1" t="n">
        <v>2022</v>
      </c>
      <c r="B694" s="1" t="n">
        <v>1</v>
      </c>
      <c r="C694" s="1" t="inlineStr">
        <is>
          <t xml:space="preserve">IECSREOL20211</t>
        </is>
      </c>
      <c r="D694" s="1" t="inlineStr">
        <is>
          <t xml:space="preserve">SUSPENDIDO</t>
        </is>
      </c>
      <c r="E694" s="1" t="n">
        <v>1</v>
      </c>
      <c r="F694" s="1" t="n">
        <v>2</v>
      </c>
      <c r="G694" s="1" t="n">
        <f aca="false">IF(E694=0,"",IF(D694="VIGENTE",1,0))</f>
        <v>0</v>
      </c>
      <c r="H694" s="1" t="inlineStr">
        <is>
          <t xml:space="preserve">B observado / C cálculo</t>
        </is>
      </c>
    </row>
    <row r="695" customFormat="false" ht="15" hidden="false" customHeight="true" outlineLevel="0" collapsed="false">
      <c r="A695" s="1" t="n">
        <v>2022</v>
      </c>
      <c r="B695" s="1" t="n">
        <v>1</v>
      </c>
      <c r="C695" s="1" t="inlineStr">
        <is>
          <t xml:space="preserve">IECSREOL20211</t>
        </is>
      </c>
      <c r="D695" s="1" t="inlineStr">
        <is>
          <t xml:space="preserve">TITULADO</t>
        </is>
      </c>
      <c r="E695" s="1" t="n">
        <v>57</v>
      </c>
      <c r="F695" s="1" t="n">
        <v>439</v>
      </c>
      <c r="G695" s="1" t="n">
        <f aca="false">IF(E695=0,"",IF(D695="VIGENTE",1,0))</f>
        <v>0</v>
      </c>
      <c r="H695" s="1" t="inlineStr">
        <is>
          <t xml:space="preserve">B observado / C cálculo</t>
        </is>
      </c>
    </row>
    <row r="696" customFormat="false" ht="15" hidden="false" customHeight="true" outlineLevel="0" collapsed="false">
      <c r="A696" s="1" t="n">
        <v>2022</v>
      </c>
      <c r="B696" s="1" t="n">
        <v>1</v>
      </c>
      <c r="C696" s="1" t="inlineStr">
        <is>
          <t xml:space="preserve">IECSREOL20211</t>
        </is>
      </c>
      <c r="D696" s="1" t="inlineStr">
        <is>
          <t xml:space="preserve">VIGENTE</t>
        </is>
      </c>
      <c r="E696" s="1" t="n">
        <v>1</v>
      </c>
      <c r="F696" s="1" t="n">
        <v>1</v>
      </c>
      <c r="G696" s="1" t="n">
        <f aca="false">IF(E696=0,"",IF(D696="VIGENTE",1,0))</f>
        <v>1</v>
      </c>
      <c r="H696" s="1" t="inlineStr">
        <is>
          <t xml:space="preserve">B observado / C cálculo</t>
        </is>
      </c>
    </row>
    <row r="697" customFormat="false" ht="15" hidden="false" customHeight="true" outlineLevel="0" collapsed="false">
      <c r="A697" s="1" t="n">
        <v>2022</v>
      </c>
      <c r="B697" s="1" t="n">
        <v>1</v>
      </c>
      <c r="C697" s="1" t="inlineStr">
        <is>
          <t xml:space="preserve">IEMORE20211</t>
        </is>
      </c>
      <c r="D697" s="1" t="inlineStr">
        <is>
          <t xml:space="preserve">TITULADO</t>
        </is>
      </c>
      <c r="E697" s="1" t="n">
        <v>16</v>
      </c>
      <c r="F697" s="1" t="n">
        <v>131</v>
      </c>
      <c r="G697" s="1" t="n">
        <f aca="false">IF(E697=0,"",IF(D697="VIGENTE",1,0))</f>
        <v>0</v>
      </c>
      <c r="H697" s="1" t="inlineStr">
        <is>
          <t xml:space="preserve">B observado / C cálculo</t>
        </is>
      </c>
    </row>
    <row r="698" customFormat="false" ht="15" hidden="false" customHeight="true" outlineLevel="0" collapsed="false">
      <c r="A698" s="1" t="n">
        <v>2022</v>
      </c>
      <c r="B698" s="1" t="n">
        <v>1</v>
      </c>
      <c r="C698" s="1" t="inlineStr">
        <is>
          <t xml:space="preserve">IETMRE20191</t>
        </is>
      </c>
      <c r="D698" s="1" t="inlineStr">
        <is>
          <t xml:space="preserve">ELIMINADO</t>
        </is>
      </c>
      <c r="E698" s="1" t="n">
        <v>1</v>
      </c>
      <c r="F698" s="1" t="n">
        <v>2</v>
      </c>
      <c r="G698" s="1" t="n">
        <f aca="false">IF(E698=0,"",IF(D698="VIGENTE",1,0))</f>
        <v>0</v>
      </c>
      <c r="H698" s="1" t="inlineStr">
        <is>
          <t xml:space="preserve">B observado / C cálculo</t>
        </is>
      </c>
    </row>
    <row r="699" customFormat="false" ht="15" hidden="false" customHeight="true" outlineLevel="0" collapsed="false">
      <c r="A699" s="1" t="n">
        <v>2022</v>
      </c>
      <c r="B699" s="1" t="n">
        <v>1</v>
      </c>
      <c r="C699" s="1" t="inlineStr">
        <is>
          <t xml:space="preserve">IETMRE20191</t>
        </is>
      </c>
      <c r="D699" s="1" t="inlineStr">
        <is>
          <t xml:space="preserve">TITULADO</t>
        </is>
      </c>
      <c r="E699" s="1" t="n">
        <v>7</v>
      </c>
      <c r="F699" s="1" t="n">
        <v>20</v>
      </c>
      <c r="G699" s="1" t="n">
        <f aca="false">IF(E699=0,"",IF(D699="VIGENTE",1,0))</f>
        <v>0</v>
      </c>
      <c r="H699" s="1" t="inlineStr">
        <is>
          <t xml:space="preserve">B observado / C cálculo</t>
        </is>
      </c>
    </row>
    <row r="700" customFormat="false" ht="15" hidden="false" customHeight="true" outlineLevel="0" collapsed="false">
      <c r="A700" s="1" t="n">
        <v>2022</v>
      </c>
      <c r="B700" s="1" t="n">
        <v>1</v>
      </c>
      <c r="C700" s="1" t="inlineStr">
        <is>
          <t xml:space="preserve">IETMRE20211</t>
        </is>
      </c>
      <c r="D700" s="1" t="inlineStr">
        <is>
          <t xml:space="preserve">ELIMINADO</t>
        </is>
      </c>
      <c r="E700" s="1" t="n">
        <v>5</v>
      </c>
      <c r="F700" s="1" t="n">
        <v>14</v>
      </c>
      <c r="G700" s="1" t="n">
        <f aca="false">IF(E700=0,"",IF(D700="VIGENTE",1,0))</f>
        <v>0</v>
      </c>
      <c r="H700" s="1" t="inlineStr">
        <is>
          <t xml:space="preserve">B observado / C cálculo</t>
        </is>
      </c>
    </row>
    <row r="701" customFormat="false" ht="15" hidden="false" customHeight="true" outlineLevel="0" collapsed="false">
      <c r="A701" s="1" t="n">
        <v>2022</v>
      </c>
      <c r="B701" s="1" t="n">
        <v>1</v>
      </c>
      <c r="C701" s="1" t="inlineStr">
        <is>
          <t xml:space="preserve">IETMRE20211</t>
        </is>
      </c>
      <c r="D701" s="1" t="inlineStr">
        <is>
          <t xml:space="preserve">TITULADO</t>
        </is>
      </c>
      <c r="E701" s="1" t="n">
        <v>30</v>
      </c>
      <c r="F701" s="1" t="n">
        <v>153</v>
      </c>
      <c r="G701" s="1" t="n">
        <f aca="false">IF(E701=0,"",IF(D701="VIGENTE",1,0))</f>
        <v>0</v>
      </c>
      <c r="H701" s="1" t="inlineStr">
        <is>
          <t xml:space="preserve">B observado / C cálculo</t>
        </is>
      </c>
    </row>
    <row r="702" customFormat="false" ht="15" hidden="false" customHeight="true" outlineLevel="0" collapsed="false">
      <c r="A702" s="1" t="n">
        <v>2022</v>
      </c>
      <c r="B702" s="1" t="n">
        <v>1</v>
      </c>
      <c r="C702" s="1" t="inlineStr">
        <is>
          <t xml:space="preserve">IETMREOL20191</t>
        </is>
      </c>
      <c r="D702" s="1" t="inlineStr">
        <is>
          <t xml:space="preserve">ELIMINADO</t>
        </is>
      </c>
      <c r="E702" s="1" t="n">
        <v>2</v>
      </c>
      <c r="F702" s="1" t="n">
        <v>2</v>
      </c>
      <c r="G702" s="1" t="n">
        <f aca="false">IF(E702=0,"",IF(D702="VIGENTE",1,0))</f>
        <v>0</v>
      </c>
      <c r="H702" s="1" t="inlineStr">
        <is>
          <t xml:space="preserve">B observado / C cálculo</t>
        </is>
      </c>
    </row>
    <row r="703" customFormat="false" ht="15" hidden="false" customHeight="true" outlineLevel="0" collapsed="false">
      <c r="A703" s="1" t="n">
        <v>2022</v>
      </c>
      <c r="B703" s="1" t="n">
        <v>1</v>
      </c>
      <c r="C703" s="1" t="inlineStr">
        <is>
          <t xml:space="preserve">IETMREOL20191</t>
        </is>
      </c>
      <c r="D703" s="1" t="inlineStr">
        <is>
          <t xml:space="preserve">TITULADO</t>
        </is>
      </c>
      <c r="E703" s="1" t="n">
        <v>12</v>
      </c>
      <c r="F703" s="1" t="n">
        <v>12</v>
      </c>
      <c r="G703" s="1" t="n">
        <f aca="false">IF(E703=0,"",IF(D703="VIGENTE",1,0))</f>
        <v>0</v>
      </c>
      <c r="H703" s="1" t="inlineStr">
        <is>
          <t xml:space="preserve">B observado / C cálculo</t>
        </is>
      </c>
    </row>
    <row r="704" customFormat="false" ht="15" hidden="false" customHeight="true" outlineLevel="0" collapsed="false">
      <c r="A704" s="1" t="n">
        <v>2022</v>
      </c>
      <c r="B704" s="1" t="n">
        <v>1</v>
      </c>
      <c r="C704" s="1" t="inlineStr">
        <is>
          <t xml:space="preserve">IETMREOL20191</t>
        </is>
      </c>
      <c r="D704" s="1" t="inlineStr">
        <is>
          <t xml:space="preserve">VIGENTE</t>
        </is>
      </c>
      <c r="E704" s="1" t="n">
        <v>1</v>
      </c>
      <c r="F704" s="1" t="n">
        <v>1</v>
      </c>
      <c r="G704" s="1" t="n">
        <f aca="false">IF(E704=0,"",IF(D704="VIGENTE",1,0))</f>
        <v>1</v>
      </c>
      <c r="H704" s="1" t="inlineStr">
        <is>
          <t xml:space="preserve">B observado / C cálculo</t>
        </is>
      </c>
    </row>
    <row r="705" customFormat="false" ht="15" hidden="false" customHeight="true" outlineLevel="0" collapsed="false">
      <c r="A705" s="1" t="n">
        <v>2022</v>
      </c>
      <c r="B705" s="1" t="n">
        <v>1</v>
      </c>
      <c r="C705" s="1" t="inlineStr">
        <is>
          <t xml:space="preserve">IETMREOL20211</t>
        </is>
      </c>
      <c r="D705" s="1" t="inlineStr">
        <is>
          <t xml:space="preserve">ELIMINADO</t>
        </is>
      </c>
      <c r="E705" s="1" t="n">
        <v>39</v>
      </c>
      <c r="F705" s="1" t="n">
        <v>132</v>
      </c>
      <c r="G705" s="1" t="n">
        <f aca="false">IF(E705=0,"",IF(D705="VIGENTE",1,0))</f>
        <v>0</v>
      </c>
      <c r="H705" s="1" t="inlineStr">
        <is>
          <t xml:space="preserve">B observado / C cálculo</t>
        </is>
      </c>
    </row>
    <row r="706" customFormat="false" ht="15" hidden="false" customHeight="true" outlineLevel="0" collapsed="false">
      <c r="A706" s="1" t="n">
        <v>2022</v>
      </c>
      <c r="B706" s="1" t="n">
        <v>1</v>
      </c>
      <c r="C706" s="1" t="inlineStr">
        <is>
          <t xml:space="preserve">IETMREOL20211</t>
        </is>
      </c>
      <c r="D706" s="1" t="inlineStr">
        <is>
          <t xml:space="preserve">TITULADO</t>
        </is>
      </c>
      <c r="E706" s="1" t="n">
        <v>84</v>
      </c>
      <c r="F706" s="1" t="n">
        <v>417</v>
      </c>
      <c r="G706" s="1" t="n">
        <f aca="false">IF(E706=0,"",IF(D706="VIGENTE",1,0))</f>
        <v>0</v>
      </c>
      <c r="H706" s="1" t="inlineStr">
        <is>
          <t xml:space="preserve">B observado / C cálculo</t>
        </is>
      </c>
    </row>
    <row r="707" customFormat="false" ht="15" hidden="false" customHeight="true" outlineLevel="0" collapsed="false">
      <c r="A707" s="1" t="n">
        <v>2022</v>
      </c>
      <c r="B707" s="1" t="n">
        <v>1</v>
      </c>
      <c r="C707" s="1" t="inlineStr">
        <is>
          <t xml:space="preserve">IETMREOL20211</t>
        </is>
      </c>
      <c r="D707" s="1" t="inlineStr">
        <is>
          <t xml:space="preserve">VIGENTE</t>
        </is>
      </c>
      <c r="E707" s="1" t="n">
        <v>1</v>
      </c>
      <c r="F707" s="1" t="n">
        <v>9</v>
      </c>
      <c r="G707" s="1" t="n">
        <f aca="false">IF(E707=0,"",IF(D707="VIGENTE",1,0))</f>
        <v>1</v>
      </c>
      <c r="H707" s="1" t="inlineStr">
        <is>
          <t xml:space="preserve">B observado / C cálculo</t>
        </is>
      </c>
    </row>
    <row r="708" customFormat="false" ht="15" hidden="false" customHeight="true" outlineLevel="0" collapsed="false">
      <c r="A708" s="1" t="n">
        <v>2022</v>
      </c>
      <c r="B708" s="1" t="n">
        <v>1</v>
      </c>
      <c r="C708" s="1" t="inlineStr">
        <is>
          <t xml:space="preserve">IINF20241</t>
        </is>
      </c>
      <c r="D708" s="1" t="inlineStr">
        <is>
          <t xml:space="preserve">TITULADO</t>
        </is>
      </c>
      <c r="E708" s="1" t="n">
        <v>1</v>
      </c>
      <c r="F708" s="1" t="n">
        <v>6</v>
      </c>
      <c r="G708" s="1" t="n">
        <f aca="false">IF(E708=0,"",IF(D708="VIGENTE",1,0))</f>
        <v>0</v>
      </c>
      <c r="H708" s="1" t="inlineStr">
        <is>
          <t xml:space="preserve">B observado / C cálculo</t>
        </is>
      </c>
    </row>
    <row r="709" customFormat="false" ht="15" hidden="false" customHeight="true" outlineLevel="0" collapsed="false">
      <c r="A709" s="1" t="n">
        <v>2022</v>
      </c>
      <c r="B709" s="1" t="n">
        <v>1</v>
      </c>
      <c r="C709" s="1" t="inlineStr">
        <is>
          <t xml:space="preserve">NTCCRE20191</t>
        </is>
      </c>
      <c r="D709" s="1" t="inlineStr">
        <is>
          <t xml:space="preserve">ELIMINADO</t>
        </is>
      </c>
      <c r="E709" s="1" t="n">
        <v>1</v>
      </c>
      <c r="F709" s="1" t="n">
        <v>1</v>
      </c>
      <c r="G709" s="1" t="n">
        <f aca="false">IF(E709=0,"",IF(D709="VIGENTE",1,0))</f>
        <v>0</v>
      </c>
      <c r="H709" s="1" t="inlineStr">
        <is>
          <t xml:space="preserve">B observado / C cálculo</t>
        </is>
      </c>
    </row>
    <row r="710" customFormat="false" ht="15" hidden="false" customHeight="true" outlineLevel="0" collapsed="false">
      <c r="A710" s="1" t="n">
        <v>2022</v>
      </c>
      <c r="B710" s="1" t="n">
        <v>1</v>
      </c>
      <c r="C710" s="1" t="inlineStr">
        <is>
          <t xml:space="preserve">NTCCRE20191</t>
        </is>
      </c>
      <c r="D710" s="1" t="inlineStr">
        <is>
          <t xml:space="preserve">TITULADO</t>
        </is>
      </c>
      <c r="E710" s="1" t="n">
        <v>1</v>
      </c>
      <c r="F710" s="1" t="n">
        <v>3</v>
      </c>
      <c r="G710" s="1" t="n">
        <f aca="false">IF(E710=0,"",IF(D710="VIGENTE",1,0))</f>
        <v>0</v>
      </c>
      <c r="H710" s="1" t="inlineStr">
        <is>
          <t xml:space="preserve">B observado / C cálculo</t>
        </is>
      </c>
    </row>
    <row r="711" customFormat="false" ht="15" hidden="false" customHeight="true" outlineLevel="0" collapsed="false">
      <c r="A711" s="1" t="n">
        <v>2022</v>
      </c>
      <c r="B711" s="1" t="n">
        <v>1</v>
      </c>
      <c r="C711" s="1" t="inlineStr">
        <is>
          <t xml:space="preserve">NTCCRE2020</t>
        </is>
      </c>
      <c r="D711" s="1" t="inlineStr">
        <is>
          <t xml:space="preserve">TITULADO</t>
        </is>
      </c>
      <c r="E711" s="1" t="n">
        <v>9</v>
      </c>
      <c r="F711" s="1" t="n">
        <v>45</v>
      </c>
      <c r="G711" s="1" t="n">
        <f aca="false">IF(E711=0,"",IF(D711="VIGENTE",1,0))</f>
        <v>0</v>
      </c>
      <c r="H711" s="1" t="inlineStr">
        <is>
          <t xml:space="preserve">B observado / C cálculo</t>
        </is>
      </c>
    </row>
    <row r="712" customFormat="false" ht="15" hidden="false" customHeight="true" outlineLevel="0" collapsed="false">
      <c r="A712" s="1" t="n">
        <v>2022</v>
      </c>
      <c r="B712" s="1" t="n">
        <v>1</v>
      </c>
      <c r="C712" s="1" t="inlineStr">
        <is>
          <t xml:space="preserve">NTCCREOL2020</t>
        </is>
      </c>
      <c r="D712" s="1" t="inlineStr">
        <is>
          <t xml:space="preserve">TITULADO</t>
        </is>
      </c>
      <c r="E712" s="1" t="n">
        <v>17</v>
      </c>
      <c r="F712" s="1" t="n">
        <v>33</v>
      </c>
      <c r="G712" s="1" t="n">
        <f aca="false">IF(E712=0,"",IF(D712="VIGENTE",1,0))</f>
        <v>0</v>
      </c>
      <c r="H712" s="1" t="inlineStr">
        <is>
          <t xml:space="preserve">B observado / C cálculo</t>
        </is>
      </c>
    </row>
    <row r="713" customFormat="false" ht="15" hidden="false" customHeight="true" outlineLevel="0" collapsed="false">
      <c r="A713" s="1" t="n">
        <v>2022</v>
      </c>
      <c r="B713" s="1" t="n">
        <v>1</v>
      </c>
      <c r="C713" s="1" t="inlineStr">
        <is>
          <t xml:space="preserve">TASREOL20191</t>
        </is>
      </c>
      <c r="D713" s="1" t="inlineStr">
        <is>
          <t xml:space="preserve">ELIMINADO</t>
        </is>
      </c>
      <c r="E713" s="1" t="n">
        <v>1</v>
      </c>
      <c r="F713" s="1" t="n">
        <v>1</v>
      </c>
      <c r="G713" s="1" t="n">
        <f aca="false">IF(E713=0,"",IF(D713="VIGENTE",1,0))</f>
        <v>0</v>
      </c>
      <c r="H713" s="1" t="inlineStr">
        <is>
          <t xml:space="preserve">B observado / C cálculo</t>
        </is>
      </c>
    </row>
    <row r="714" customFormat="false" ht="15" hidden="false" customHeight="true" outlineLevel="0" collapsed="false">
      <c r="A714" s="1" t="n">
        <v>2022</v>
      </c>
      <c r="B714" s="1" t="n">
        <v>1</v>
      </c>
      <c r="C714" s="1" t="inlineStr">
        <is>
          <t xml:space="preserve">TCSRE20191</t>
        </is>
      </c>
      <c r="D714" s="1" t="inlineStr">
        <is>
          <t xml:space="preserve">TITULADO</t>
        </is>
      </c>
      <c r="E714" s="1" t="n">
        <v>4</v>
      </c>
      <c r="F714" s="1" t="n">
        <v>12</v>
      </c>
      <c r="G714" s="1" t="n">
        <f aca="false">IF(E714=0,"",IF(D714="VIGENTE",1,0))</f>
        <v>0</v>
      </c>
      <c r="H714" s="1" t="inlineStr">
        <is>
          <t xml:space="preserve">B observado / C cálculo</t>
        </is>
      </c>
    </row>
    <row r="715" customFormat="false" ht="15" hidden="false" customHeight="true" outlineLevel="0" collapsed="false">
      <c r="A715" s="1" t="n">
        <v>2022</v>
      </c>
      <c r="B715" s="1" t="n">
        <v>1</v>
      </c>
      <c r="C715" s="1" t="inlineStr">
        <is>
          <t xml:space="preserve">TCSRE20191</t>
        </is>
      </c>
      <c r="D715" s="1" t="inlineStr">
        <is>
          <t xml:space="preserve">VIGENTE</t>
        </is>
      </c>
      <c r="E715" s="1" t="n">
        <v>1</v>
      </c>
      <c r="F715" s="1" t="n">
        <v>1</v>
      </c>
      <c r="G715" s="1" t="n">
        <f aca="false">IF(E715=0,"",IF(D715="VIGENTE",1,0))</f>
        <v>1</v>
      </c>
      <c r="H715" s="1" t="inlineStr">
        <is>
          <t xml:space="preserve">B observado / C cálculo</t>
        </is>
      </c>
    </row>
    <row r="716" customFormat="false" ht="15" hidden="false" customHeight="true" outlineLevel="0" collapsed="false">
      <c r="A716" s="1" t="n">
        <v>2022</v>
      </c>
      <c r="B716" s="1" t="n">
        <v>1</v>
      </c>
      <c r="C716" s="1" t="inlineStr">
        <is>
          <t xml:space="preserve">TCSRE20211</t>
        </is>
      </c>
      <c r="D716" s="1" t="inlineStr">
        <is>
          <t xml:space="preserve">ELIMINADO</t>
        </is>
      </c>
      <c r="E716" s="1" t="n">
        <v>13</v>
      </c>
      <c r="F716" s="1" t="n">
        <v>36</v>
      </c>
      <c r="G716" s="1" t="n">
        <f aca="false">IF(E716=0,"",IF(D716="VIGENTE",1,0))</f>
        <v>0</v>
      </c>
      <c r="H716" s="1" t="inlineStr">
        <is>
          <t xml:space="preserve">B observado / C cálculo</t>
        </is>
      </c>
    </row>
    <row r="717" customFormat="false" ht="15" hidden="false" customHeight="true" outlineLevel="0" collapsed="false">
      <c r="A717" s="1" t="n">
        <v>2022</v>
      </c>
      <c r="B717" s="1" t="n">
        <v>1</v>
      </c>
      <c r="C717" s="1" t="inlineStr">
        <is>
          <t xml:space="preserve">TCSRE20211</t>
        </is>
      </c>
      <c r="D717" s="1" t="inlineStr">
        <is>
          <t xml:space="preserve">TITULADO</t>
        </is>
      </c>
      <c r="E717" s="1" t="n">
        <v>12</v>
      </c>
      <c r="F717" s="1" t="n">
        <v>44</v>
      </c>
      <c r="G717" s="1" t="n">
        <f aca="false">IF(E717=0,"",IF(D717="VIGENTE",1,0))</f>
        <v>0</v>
      </c>
      <c r="H717" s="1" t="inlineStr">
        <is>
          <t xml:space="preserve">B observado / C cálculo</t>
        </is>
      </c>
    </row>
    <row r="718" customFormat="false" ht="15" hidden="false" customHeight="true" outlineLevel="0" collapsed="false">
      <c r="A718" s="1" t="n">
        <v>2022</v>
      </c>
      <c r="B718" s="1" t="n">
        <v>1</v>
      </c>
      <c r="C718" s="1" t="inlineStr">
        <is>
          <t xml:space="preserve">TCSREOL2020</t>
        </is>
      </c>
      <c r="D718" s="1" t="inlineStr">
        <is>
          <t xml:space="preserve">ELIMINADO</t>
        </is>
      </c>
      <c r="E718" s="1" t="n">
        <v>2</v>
      </c>
      <c r="F718" s="1" t="n">
        <v>2</v>
      </c>
      <c r="G718" s="1" t="n">
        <f aca="false">IF(E718=0,"",IF(D718="VIGENTE",1,0))</f>
        <v>0</v>
      </c>
      <c r="H718" s="1" t="inlineStr">
        <is>
          <t xml:space="preserve">B observado / C cálculo</t>
        </is>
      </c>
    </row>
    <row r="719" customFormat="false" ht="15" hidden="false" customHeight="true" outlineLevel="0" collapsed="false">
      <c r="A719" s="1" t="n">
        <v>2022</v>
      </c>
      <c r="B719" s="1" t="n">
        <v>1</v>
      </c>
      <c r="C719" s="1" t="inlineStr">
        <is>
          <t xml:space="preserve">TCSREOL2020</t>
        </is>
      </c>
      <c r="D719" s="1" t="inlineStr">
        <is>
          <t xml:space="preserve">TITULADO</t>
        </is>
      </c>
      <c r="E719" s="1" t="n">
        <v>15</v>
      </c>
      <c r="F719" s="1" t="n">
        <v>40</v>
      </c>
      <c r="G719" s="1" t="n">
        <f aca="false">IF(E719=0,"",IF(D719="VIGENTE",1,0))</f>
        <v>0</v>
      </c>
      <c r="H719" s="1" t="inlineStr">
        <is>
          <t xml:space="preserve">B observado / C cálculo</t>
        </is>
      </c>
    </row>
    <row r="720" customFormat="false" ht="15" hidden="false" customHeight="true" outlineLevel="0" collapsed="false">
      <c r="A720" s="1" t="n">
        <v>2022</v>
      </c>
      <c r="B720" s="1" t="n">
        <v>1</v>
      </c>
      <c r="C720" s="1" t="inlineStr">
        <is>
          <t xml:space="preserve">TCSREOL2020</t>
        </is>
      </c>
      <c r="D720" s="1" t="inlineStr">
        <is>
          <t xml:space="preserve">VIGENTE</t>
        </is>
      </c>
      <c r="E720" s="1" t="n">
        <v>1</v>
      </c>
      <c r="F720" s="1" t="n">
        <v>1</v>
      </c>
      <c r="G720" s="1" t="n">
        <f aca="false">IF(E720=0,"",IF(D720="VIGENTE",1,0))</f>
        <v>1</v>
      </c>
      <c r="H720" s="1" t="inlineStr">
        <is>
          <t xml:space="preserve">B observado / C cálculo</t>
        </is>
      </c>
    </row>
    <row r="721" customFormat="false" ht="15" hidden="false" customHeight="true" outlineLevel="0" collapsed="false">
      <c r="A721" s="1" t="n">
        <v>2022</v>
      </c>
      <c r="B721" s="1" t="n">
        <v>1</v>
      </c>
      <c r="C721" s="1" t="inlineStr">
        <is>
          <t xml:space="preserve">TCSREOL20211</t>
        </is>
      </c>
      <c r="D721" s="1" t="inlineStr">
        <is>
          <t xml:space="preserve">ELIMINADO</t>
        </is>
      </c>
      <c r="E721" s="1" t="n">
        <v>18</v>
      </c>
      <c r="F721" s="1" t="n">
        <v>43</v>
      </c>
      <c r="G721" s="1" t="n">
        <f aca="false">IF(E721=0,"",IF(D721="VIGENTE",1,0))</f>
        <v>0</v>
      </c>
      <c r="H721" s="1" t="inlineStr">
        <is>
          <t xml:space="preserve">B observado / C cálculo</t>
        </is>
      </c>
    </row>
    <row r="722" customFormat="false" ht="15" hidden="false" customHeight="true" outlineLevel="0" collapsed="false">
      <c r="A722" s="1" t="n">
        <v>2022</v>
      </c>
      <c r="B722" s="1" t="n">
        <v>1</v>
      </c>
      <c r="C722" s="1" t="inlineStr">
        <is>
          <t xml:space="preserve">TCSREOL20211</t>
        </is>
      </c>
      <c r="D722" s="1" t="inlineStr">
        <is>
          <t xml:space="preserve">TITULADO</t>
        </is>
      </c>
      <c r="E722" s="1" t="n">
        <v>20</v>
      </c>
      <c r="F722" s="1" t="n">
        <v>53</v>
      </c>
      <c r="G722" s="1" t="n">
        <f aca="false">IF(E722=0,"",IF(D722="VIGENTE",1,0))</f>
        <v>0</v>
      </c>
      <c r="H722" s="1" t="inlineStr">
        <is>
          <t xml:space="preserve">B observado / C cálculo</t>
        </is>
      </c>
    </row>
    <row r="723" customFormat="false" ht="15" hidden="false" customHeight="true" outlineLevel="0" collapsed="false">
      <c r="A723" s="1" t="n">
        <v>2022</v>
      </c>
      <c r="B723" s="1" t="n">
        <v>1</v>
      </c>
      <c r="C723" s="1" t="inlineStr">
        <is>
          <t xml:space="preserve">TMIRE2020</t>
        </is>
      </c>
      <c r="D723" s="1" t="inlineStr">
        <is>
          <t xml:space="preserve">TITULADO</t>
        </is>
      </c>
      <c r="E723" s="1" t="n">
        <v>2</v>
      </c>
      <c r="F723" s="1" t="n">
        <v>6</v>
      </c>
      <c r="G723" s="1" t="n">
        <f aca="false">IF(E723=0,"",IF(D723="VIGENTE",1,0))</f>
        <v>0</v>
      </c>
      <c r="H723" s="1" t="inlineStr">
        <is>
          <t xml:space="preserve">B observado / C cálculo</t>
        </is>
      </c>
    </row>
    <row r="724" customFormat="false" ht="15" hidden="false" customHeight="true" outlineLevel="0" collapsed="false">
      <c r="A724" s="1" t="n">
        <v>2022</v>
      </c>
      <c r="B724" s="1" t="n">
        <v>1</v>
      </c>
      <c r="C724" s="1" t="inlineStr">
        <is>
          <t xml:space="preserve">TMIRE20211</t>
        </is>
      </c>
      <c r="D724" s="1" t="inlineStr">
        <is>
          <t xml:space="preserve">ELIMINADO</t>
        </is>
      </c>
      <c r="E724" s="1" t="n">
        <v>3</v>
      </c>
      <c r="F724" s="1" t="n">
        <v>11</v>
      </c>
      <c r="G724" s="1" t="n">
        <f aca="false">IF(E724=0,"",IF(D724="VIGENTE",1,0))</f>
        <v>0</v>
      </c>
      <c r="H724" s="1" t="inlineStr">
        <is>
          <t xml:space="preserve">B observado / C cálculo</t>
        </is>
      </c>
    </row>
    <row r="725" customFormat="false" ht="15" hidden="false" customHeight="true" outlineLevel="0" collapsed="false">
      <c r="A725" s="1" t="n">
        <v>2022</v>
      </c>
      <c r="B725" s="1" t="n">
        <v>1</v>
      </c>
      <c r="C725" s="1" t="inlineStr">
        <is>
          <t xml:space="preserve">TPARE2020</t>
        </is>
      </c>
      <c r="D725" s="1" t="inlineStr">
        <is>
          <t xml:space="preserve">ELIMINADO</t>
        </is>
      </c>
      <c r="E725" s="1" t="n">
        <v>3</v>
      </c>
      <c r="F725" s="1" t="n">
        <v>3</v>
      </c>
      <c r="G725" s="1" t="n">
        <f aca="false">IF(E725=0,"",IF(D725="VIGENTE",1,0))</f>
        <v>0</v>
      </c>
      <c r="H725" s="1" t="inlineStr">
        <is>
          <t xml:space="preserve">B observado / C cálculo</t>
        </is>
      </c>
    </row>
    <row r="726" customFormat="false" ht="15" hidden="false" customHeight="true" outlineLevel="0" collapsed="false">
      <c r="A726" s="1" t="n">
        <v>2022</v>
      </c>
      <c r="B726" s="1" t="n">
        <v>1</v>
      </c>
      <c r="C726" s="1" t="inlineStr">
        <is>
          <t xml:space="preserve">TPARE2020</t>
        </is>
      </c>
      <c r="D726" s="1" t="inlineStr">
        <is>
          <t xml:space="preserve">TITULADO</t>
        </is>
      </c>
      <c r="E726" s="1" t="n">
        <v>18</v>
      </c>
      <c r="F726" s="1" t="n">
        <v>53</v>
      </c>
      <c r="G726" s="1" t="n">
        <f aca="false">IF(E726=0,"",IF(D726="VIGENTE",1,0))</f>
        <v>0</v>
      </c>
      <c r="H726" s="1" t="inlineStr">
        <is>
          <t xml:space="preserve">B observado / C cálculo</t>
        </is>
      </c>
    </row>
    <row r="727" customFormat="false" ht="15" hidden="false" customHeight="true" outlineLevel="0" collapsed="false">
      <c r="A727" s="1" t="n">
        <v>2022</v>
      </c>
      <c r="B727" s="1" t="n">
        <v>1</v>
      </c>
      <c r="C727" s="1" t="inlineStr">
        <is>
          <t xml:space="preserve">TPARE20211</t>
        </is>
      </c>
      <c r="D727" s="1" t="inlineStr">
        <is>
          <t xml:space="preserve">ELIMINADO</t>
        </is>
      </c>
      <c r="E727" s="1" t="n">
        <v>20</v>
      </c>
      <c r="F727" s="1" t="n">
        <v>60</v>
      </c>
      <c r="G727" s="1" t="n">
        <f aca="false">IF(E727=0,"",IF(D727="VIGENTE",1,0))</f>
        <v>0</v>
      </c>
      <c r="H727" s="1" t="inlineStr">
        <is>
          <t xml:space="preserve">B observado / C cálculo</t>
        </is>
      </c>
    </row>
    <row r="728" customFormat="false" ht="15" hidden="false" customHeight="true" outlineLevel="0" collapsed="false">
      <c r="A728" s="1" t="n">
        <v>2022</v>
      </c>
      <c r="B728" s="1" t="n">
        <v>1</v>
      </c>
      <c r="C728" s="1" t="inlineStr">
        <is>
          <t xml:space="preserve">TPARE20211</t>
        </is>
      </c>
      <c r="D728" s="1" t="inlineStr">
        <is>
          <t xml:space="preserve">TITULADO</t>
        </is>
      </c>
      <c r="E728" s="1" t="n">
        <v>32</v>
      </c>
      <c r="F728" s="1" t="n">
        <v>84</v>
      </c>
      <c r="G728" s="1" t="n">
        <f aca="false">IF(E728=0,"",IF(D728="VIGENTE",1,0))</f>
        <v>0</v>
      </c>
      <c r="H728" s="1" t="inlineStr">
        <is>
          <t xml:space="preserve">B observado / C cálculo</t>
        </is>
      </c>
    </row>
    <row r="729" customFormat="false" ht="15" hidden="false" customHeight="true" outlineLevel="0" collapsed="false">
      <c r="A729" s="1" t="n">
        <v>2022</v>
      </c>
      <c r="B729" s="1" t="n">
        <v>1</v>
      </c>
      <c r="C729" s="1" t="inlineStr">
        <is>
          <t xml:space="preserve">TPARE20211</t>
        </is>
      </c>
      <c r="D729" s="1" t="inlineStr">
        <is>
          <t xml:space="preserve">VIGENTE</t>
        </is>
      </c>
      <c r="E729" s="1" t="n">
        <v>1</v>
      </c>
      <c r="F729" s="1" t="n">
        <v>3</v>
      </c>
      <c r="G729" s="1" t="n">
        <f aca="false">IF(E729=0,"",IF(D729="VIGENTE",1,0))</f>
        <v>1</v>
      </c>
      <c r="H729" s="1" t="inlineStr">
        <is>
          <t xml:space="preserve">B observado / C cálculo</t>
        </is>
      </c>
    </row>
    <row r="730" customFormat="false" ht="15" hidden="false" customHeight="true" outlineLevel="0" collapsed="false">
      <c r="A730" s="1" t="n">
        <v>2022</v>
      </c>
      <c r="B730" s="1" t="n">
        <v>1</v>
      </c>
      <c r="C730" s="1" t="inlineStr">
        <is>
          <t xml:space="preserve">TPAREOL2020</t>
        </is>
      </c>
      <c r="D730" s="1" t="inlineStr">
        <is>
          <t xml:space="preserve">ELIMINADO</t>
        </is>
      </c>
      <c r="E730" s="1" t="n">
        <v>3</v>
      </c>
      <c r="F730" s="1" t="n">
        <v>3</v>
      </c>
      <c r="G730" s="1" t="n">
        <f aca="false">IF(E730=0,"",IF(D730="VIGENTE",1,0))</f>
        <v>0</v>
      </c>
      <c r="H730" s="1" t="inlineStr">
        <is>
          <t xml:space="preserve">B observado / C cálculo</t>
        </is>
      </c>
    </row>
    <row r="731" customFormat="false" ht="15" hidden="false" customHeight="true" outlineLevel="0" collapsed="false">
      <c r="A731" s="1" t="n">
        <v>2022</v>
      </c>
      <c r="B731" s="1" t="n">
        <v>1</v>
      </c>
      <c r="C731" s="1" t="inlineStr">
        <is>
          <t xml:space="preserve">TPAREOL2020</t>
        </is>
      </c>
      <c r="D731" s="1" t="inlineStr">
        <is>
          <t xml:space="preserve">TITULADO</t>
        </is>
      </c>
      <c r="E731" s="1" t="n">
        <v>17</v>
      </c>
      <c r="F731" s="1" t="n">
        <v>39</v>
      </c>
      <c r="G731" s="1" t="n">
        <f aca="false">IF(E731=0,"",IF(D731="VIGENTE",1,0))</f>
        <v>0</v>
      </c>
      <c r="H731" s="1" t="inlineStr">
        <is>
          <t xml:space="preserve">B observado / C cálculo</t>
        </is>
      </c>
    </row>
    <row r="732" customFormat="false" ht="15" hidden="false" customHeight="true" outlineLevel="0" collapsed="false">
      <c r="A732" s="1" t="n">
        <v>2022</v>
      </c>
      <c r="B732" s="1" t="n">
        <v>1</v>
      </c>
      <c r="C732" s="1" t="inlineStr">
        <is>
          <t xml:space="preserve">TPAREOL2020</t>
        </is>
      </c>
      <c r="D732" s="1" t="inlineStr">
        <is>
          <t xml:space="preserve">VIGENTE</t>
        </is>
      </c>
      <c r="E732" s="1" t="n">
        <v>2</v>
      </c>
      <c r="F732" s="1" t="n">
        <v>2</v>
      </c>
      <c r="G732" s="1" t="n">
        <f aca="false">IF(E732=0,"",IF(D732="VIGENTE",1,0))</f>
        <v>1</v>
      </c>
      <c r="H732" s="1" t="inlineStr">
        <is>
          <t xml:space="preserve">B observado / C cálculo</t>
        </is>
      </c>
    </row>
    <row r="733" customFormat="false" ht="15" hidden="false" customHeight="true" outlineLevel="0" collapsed="false">
      <c r="A733" s="1" t="n">
        <v>2022</v>
      </c>
      <c r="B733" s="1" t="n">
        <v>1</v>
      </c>
      <c r="C733" s="1" t="inlineStr">
        <is>
          <t xml:space="preserve">TPAREOL20211</t>
        </is>
      </c>
      <c r="D733" s="1" t="inlineStr">
        <is>
          <t xml:space="preserve">ELIMINADO</t>
        </is>
      </c>
      <c r="E733" s="1" t="n">
        <v>53</v>
      </c>
      <c r="F733" s="1" t="n">
        <v>63</v>
      </c>
      <c r="G733" s="1" t="n">
        <f aca="false">IF(E733=0,"",IF(D733="VIGENTE",1,0))</f>
        <v>0</v>
      </c>
      <c r="H733" s="1" t="inlineStr">
        <is>
          <t xml:space="preserve">B observado / C cálculo</t>
        </is>
      </c>
    </row>
    <row r="734" customFormat="false" ht="15" hidden="false" customHeight="true" outlineLevel="0" collapsed="false">
      <c r="A734" s="1" t="n">
        <v>2022</v>
      </c>
      <c r="B734" s="1" t="n">
        <v>1</v>
      </c>
      <c r="C734" s="1" t="inlineStr">
        <is>
          <t xml:space="preserve">TPAREOL20211</t>
        </is>
      </c>
      <c r="D734" s="1" t="inlineStr">
        <is>
          <t xml:space="preserve">TITULADO</t>
        </is>
      </c>
      <c r="E734" s="1" t="n">
        <v>81</v>
      </c>
      <c r="F734" s="1" t="n">
        <v>150</v>
      </c>
      <c r="G734" s="1" t="n">
        <f aca="false">IF(E734=0,"",IF(D734="VIGENTE",1,0))</f>
        <v>0</v>
      </c>
      <c r="H734" s="1" t="inlineStr">
        <is>
          <t xml:space="preserve">B observado / C cálculo</t>
        </is>
      </c>
    </row>
    <row r="735" customFormat="false" ht="15" hidden="false" customHeight="true" outlineLevel="0" collapsed="false">
      <c r="A735" s="1" t="n">
        <v>2022</v>
      </c>
      <c r="B735" s="1" t="n">
        <v>1</v>
      </c>
      <c r="C735" s="1" t="inlineStr">
        <is>
          <t xml:space="preserve">TPAREOL20211</t>
        </is>
      </c>
      <c r="D735" s="1" t="inlineStr">
        <is>
          <t xml:space="preserve">VIGENTE</t>
        </is>
      </c>
      <c r="E735" s="1" t="n">
        <v>2</v>
      </c>
      <c r="F735" s="1" t="n">
        <v>7</v>
      </c>
      <c r="G735" s="1" t="n">
        <f aca="false">IF(E735=0,"",IF(D735="VIGENTE",1,0))</f>
        <v>1</v>
      </c>
      <c r="H735" s="1" t="inlineStr">
        <is>
          <t xml:space="preserve">B observado / C cálculo</t>
        </is>
      </c>
    </row>
    <row r="736" customFormat="false" ht="15" hidden="false" customHeight="true" outlineLevel="0" collapsed="false">
      <c r="A736" s="1" t="n">
        <v>2022</v>
      </c>
      <c r="B736" s="1" t="n">
        <v>1</v>
      </c>
      <c r="C736" s="1" t="inlineStr">
        <is>
          <t xml:space="preserve">TPAS20241</t>
        </is>
      </c>
      <c r="D736" s="1" t="inlineStr">
        <is>
          <t xml:space="preserve">SUSPENDIDO</t>
        </is>
      </c>
      <c r="E736" s="1" t="n">
        <v>1</v>
      </c>
      <c r="F736" s="1" t="n">
        <v>1</v>
      </c>
      <c r="G736" s="1" t="n">
        <f aca="false">IF(E736=0,"",IF(D736="VIGENTE",1,0))</f>
        <v>0</v>
      </c>
      <c r="H736" s="1" t="inlineStr">
        <is>
          <t xml:space="preserve">B observado / C cálculo</t>
        </is>
      </c>
    </row>
    <row r="737" customFormat="false" ht="15" hidden="false" customHeight="true" outlineLevel="0" collapsed="false">
      <c r="A737" s="1" t="n">
        <v>2022</v>
      </c>
      <c r="B737" s="1" t="n">
        <v>1</v>
      </c>
      <c r="C737" s="1" t="inlineStr">
        <is>
          <t xml:space="preserve">TPCRE20191</t>
        </is>
      </c>
      <c r="D737" s="1" t="inlineStr">
        <is>
          <t xml:space="preserve">TITULADO</t>
        </is>
      </c>
      <c r="E737" s="1" t="n">
        <v>1</v>
      </c>
      <c r="F737" s="1" t="n">
        <v>3</v>
      </c>
      <c r="G737" s="1" t="n">
        <f aca="false">IF(E737=0,"",IF(D737="VIGENTE",1,0))</f>
        <v>0</v>
      </c>
      <c r="H737" s="1" t="inlineStr">
        <is>
          <t xml:space="preserve">B observado / C cálculo</t>
        </is>
      </c>
    </row>
    <row r="738" customFormat="false" ht="15" hidden="false" customHeight="true" outlineLevel="0" collapsed="false">
      <c r="A738" s="1" t="n">
        <v>2022</v>
      </c>
      <c r="B738" s="1" t="n">
        <v>1</v>
      </c>
      <c r="C738" s="1" t="inlineStr">
        <is>
          <t xml:space="preserve">TPCREOL20191</t>
        </is>
      </c>
      <c r="D738" s="1" t="inlineStr">
        <is>
          <t xml:space="preserve">TITULADO</t>
        </is>
      </c>
      <c r="E738" s="1" t="n">
        <v>2</v>
      </c>
      <c r="F738" s="1" t="n">
        <v>4</v>
      </c>
      <c r="G738" s="1" t="n">
        <f aca="false">IF(E738=0,"",IF(D738="VIGENTE",1,0))</f>
        <v>0</v>
      </c>
      <c r="H738" s="1" t="inlineStr">
        <is>
          <t xml:space="preserve">B observado / C cálculo</t>
        </is>
      </c>
    </row>
    <row r="739" customFormat="false" ht="15" hidden="false" customHeight="true" outlineLevel="0" collapsed="false">
      <c r="A739" s="1" t="n">
        <v>2022</v>
      </c>
      <c r="B739" s="1" t="n">
        <v>1</v>
      </c>
      <c r="C739" s="1" t="inlineStr">
        <is>
          <t xml:space="preserve">TTMRE20191</t>
        </is>
      </c>
      <c r="D739" s="1" t="inlineStr">
        <is>
          <t xml:space="preserve">ELIMINADO</t>
        </is>
      </c>
      <c r="E739" s="1" t="n">
        <v>3</v>
      </c>
      <c r="F739" s="1" t="n">
        <v>4</v>
      </c>
      <c r="G739" s="1" t="n">
        <f aca="false">IF(E739=0,"",IF(D739="VIGENTE",1,0))</f>
        <v>0</v>
      </c>
      <c r="H739" s="1" t="inlineStr">
        <is>
          <t xml:space="preserve">B observado / C cálculo</t>
        </is>
      </c>
    </row>
    <row r="740" customFormat="false" ht="15" hidden="false" customHeight="true" outlineLevel="0" collapsed="false">
      <c r="A740" s="1" t="n">
        <v>2022</v>
      </c>
      <c r="B740" s="1" t="n">
        <v>1</v>
      </c>
      <c r="C740" s="1" t="inlineStr">
        <is>
          <t xml:space="preserve">TTMRE20191</t>
        </is>
      </c>
      <c r="D740" s="1" t="inlineStr">
        <is>
          <t xml:space="preserve">TITULADO</t>
        </is>
      </c>
      <c r="E740" s="1" t="n">
        <v>14</v>
      </c>
      <c r="F740" s="1" t="n">
        <v>37</v>
      </c>
      <c r="G740" s="1" t="n">
        <f aca="false">IF(E740=0,"",IF(D740="VIGENTE",1,0))</f>
        <v>0</v>
      </c>
      <c r="H740" s="1" t="inlineStr">
        <is>
          <t xml:space="preserve">B observado / C cálculo</t>
        </is>
      </c>
    </row>
    <row r="741" customFormat="false" ht="15" hidden="false" customHeight="true" outlineLevel="0" collapsed="false">
      <c r="A741" s="1" t="n">
        <v>2022</v>
      </c>
      <c r="B741" s="1" t="n">
        <v>1</v>
      </c>
      <c r="C741" s="1" t="inlineStr">
        <is>
          <t xml:space="preserve">TTMRE20211</t>
        </is>
      </c>
      <c r="D741" s="1" t="inlineStr">
        <is>
          <t xml:space="preserve">ELIMINADO</t>
        </is>
      </c>
      <c r="E741" s="1" t="n">
        <v>5</v>
      </c>
      <c r="F741" s="1" t="n">
        <v>13</v>
      </c>
      <c r="G741" s="1" t="n">
        <f aca="false">IF(E741=0,"",IF(D741="VIGENTE",1,0))</f>
        <v>0</v>
      </c>
      <c r="H741" s="1" t="inlineStr">
        <is>
          <t xml:space="preserve">B observado / C cálculo</t>
        </is>
      </c>
    </row>
    <row r="742" customFormat="false" ht="15" hidden="false" customHeight="true" outlineLevel="0" collapsed="false">
      <c r="A742" s="1" t="n">
        <v>2022</v>
      </c>
      <c r="B742" s="1" t="n">
        <v>1</v>
      </c>
      <c r="C742" s="1" t="inlineStr">
        <is>
          <t xml:space="preserve">TTMRE20211</t>
        </is>
      </c>
      <c r="D742" s="1" t="inlineStr">
        <is>
          <t xml:space="preserve">TITULADO</t>
        </is>
      </c>
      <c r="E742" s="1" t="n">
        <v>7</v>
      </c>
      <c r="F742" s="1" t="n">
        <v>15</v>
      </c>
      <c r="G742" s="1" t="n">
        <f aca="false">IF(E742=0,"",IF(D742="VIGENTE",1,0))</f>
        <v>0</v>
      </c>
      <c r="H742" s="1" t="inlineStr">
        <is>
          <t xml:space="preserve">B observado / C cálculo</t>
        </is>
      </c>
    </row>
    <row r="743" customFormat="false" ht="15" hidden="false" customHeight="true" outlineLevel="0" collapsed="false">
      <c r="A743" s="1" t="n">
        <v>2022</v>
      </c>
      <c r="B743" s="1" t="n">
        <v>1</v>
      </c>
      <c r="C743" s="1" t="inlineStr">
        <is>
          <t xml:space="preserve">TTMREOL20191</t>
        </is>
      </c>
      <c r="D743" s="1" t="inlineStr">
        <is>
          <t xml:space="preserve">SUSPENDIDO</t>
        </is>
      </c>
      <c r="E743" s="1" t="n">
        <v>1</v>
      </c>
      <c r="F743" s="1" t="n">
        <v>1</v>
      </c>
      <c r="G743" s="1" t="n">
        <f aca="false">IF(E743=0,"",IF(D743="VIGENTE",1,0))</f>
        <v>0</v>
      </c>
      <c r="H743" s="1" t="inlineStr">
        <is>
          <t xml:space="preserve">B observado / C cálculo</t>
        </is>
      </c>
    </row>
    <row r="744" customFormat="false" ht="15" hidden="false" customHeight="true" outlineLevel="0" collapsed="false">
      <c r="A744" s="1" t="n">
        <v>2022</v>
      </c>
      <c r="B744" s="1" t="n">
        <v>1</v>
      </c>
      <c r="C744" s="1" t="inlineStr">
        <is>
          <t xml:space="preserve">TTMREOL20191</t>
        </is>
      </c>
      <c r="D744" s="1" t="inlineStr">
        <is>
          <t xml:space="preserve">TITULADO</t>
        </is>
      </c>
      <c r="E744" s="1" t="n">
        <v>6</v>
      </c>
      <c r="F744" s="1" t="n">
        <v>10</v>
      </c>
      <c r="G744" s="1" t="n">
        <f aca="false">IF(E744=0,"",IF(D744="VIGENTE",1,0))</f>
        <v>0</v>
      </c>
      <c r="H744" s="1" t="inlineStr">
        <is>
          <t xml:space="preserve">B observado / C cálculo</t>
        </is>
      </c>
    </row>
    <row r="745" customFormat="false" ht="15" hidden="false" customHeight="true" outlineLevel="0" collapsed="false">
      <c r="A745" s="1" t="n">
        <v>2022</v>
      </c>
      <c r="B745" s="1" t="n">
        <v>1</v>
      </c>
      <c r="C745" s="1" t="inlineStr">
        <is>
          <t xml:space="preserve">TTMREOL20211</t>
        </is>
      </c>
      <c r="D745" s="1" t="inlineStr">
        <is>
          <t xml:space="preserve">ELIMINADO</t>
        </is>
      </c>
      <c r="E745" s="1" t="n">
        <v>28</v>
      </c>
      <c r="F745" s="1" t="n">
        <v>44</v>
      </c>
      <c r="G745" s="1" t="n">
        <f aca="false">IF(E745=0,"",IF(D745="VIGENTE",1,0))</f>
        <v>0</v>
      </c>
      <c r="H745" s="1" t="inlineStr">
        <is>
          <t xml:space="preserve">B observado / C cálculo</t>
        </is>
      </c>
    </row>
    <row r="746" customFormat="false" ht="15" hidden="false" customHeight="true" outlineLevel="0" collapsed="false">
      <c r="A746" s="1" t="n">
        <v>2022</v>
      </c>
      <c r="B746" s="1" t="n">
        <v>1</v>
      </c>
      <c r="C746" s="1" t="inlineStr">
        <is>
          <t xml:space="preserve">TTMREOL20211</t>
        </is>
      </c>
      <c r="D746" s="1" t="inlineStr">
        <is>
          <t xml:space="preserve">TITULADO</t>
        </is>
      </c>
      <c r="E746" s="1" t="n">
        <v>30</v>
      </c>
      <c r="F746" s="1" t="n">
        <v>64</v>
      </c>
      <c r="G746" s="1" t="n">
        <f aca="false">IF(E746=0,"",IF(D746="VIGENTE",1,0))</f>
        <v>0</v>
      </c>
      <c r="H746" s="1" t="inlineStr">
        <is>
          <t xml:space="preserve">B observado / C cálculo</t>
        </is>
      </c>
    </row>
    <row r="747" customFormat="false" ht="15" hidden="false" customHeight="true" outlineLevel="0" collapsed="false">
      <c r="A747" s="1" t="n">
        <v>2022</v>
      </c>
      <c r="B747" s="1" t="n">
        <v>1</v>
      </c>
      <c r="C747" s="1" t="inlineStr">
        <is>
          <t xml:space="preserve">TTMREOL20211</t>
        </is>
      </c>
      <c r="D747" s="1" t="inlineStr">
        <is>
          <t xml:space="preserve">VIGENTE</t>
        </is>
      </c>
      <c r="E747" s="1" t="n">
        <v>1</v>
      </c>
      <c r="F747" s="1" t="n">
        <v>1</v>
      </c>
      <c r="G747" s="1" t="n">
        <f aca="false">IF(E747=0,"",IF(D747="VIGENTE",1,0))</f>
        <v>1</v>
      </c>
      <c r="H747" s="1" t="inlineStr">
        <is>
          <t xml:space="preserve">B observado / C cálculo</t>
        </is>
      </c>
    </row>
    <row r="748" customFormat="false" ht="15" hidden="false" customHeight="true" outlineLevel="0" collapsed="false">
      <c r="A748" s="1" t="n">
        <v>2022</v>
      </c>
      <c r="B748" s="1" t="n">
        <v>2</v>
      </c>
      <c r="C748" s="1" t="inlineStr">
        <is>
          <t xml:space="preserve">IECIRE20191</t>
        </is>
      </c>
      <c r="D748" s="1" t="inlineStr">
        <is>
          <t xml:space="preserve">ELIMINADO</t>
        </is>
      </c>
      <c r="E748" s="1" t="n">
        <v>1</v>
      </c>
      <c r="F748" s="1" t="n">
        <v>3</v>
      </c>
      <c r="G748" s="1" t="n">
        <f aca="false">IF(E748=0,"",IF(D748="VIGENTE",1,0))</f>
        <v>0</v>
      </c>
      <c r="H748" s="1" t="inlineStr">
        <is>
          <t xml:space="preserve">B observado / C cálculo</t>
        </is>
      </c>
    </row>
    <row r="749" customFormat="false" ht="15" hidden="false" customHeight="true" outlineLevel="0" collapsed="false">
      <c r="A749" s="1" t="n">
        <v>2022</v>
      </c>
      <c r="B749" s="1" t="n">
        <v>2</v>
      </c>
      <c r="C749" s="1" t="inlineStr">
        <is>
          <t xml:space="preserve">IECIRE20191</t>
        </is>
      </c>
      <c r="D749" s="1" t="inlineStr">
        <is>
          <t xml:space="preserve">TITULADO</t>
        </is>
      </c>
      <c r="E749" s="1" t="n">
        <v>9</v>
      </c>
      <c r="F749" s="1" t="n">
        <v>41</v>
      </c>
      <c r="G749" s="1" t="n">
        <f aca="false">IF(E749=0,"",IF(D749="VIGENTE",1,0))</f>
        <v>0</v>
      </c>
      <c r="H749" s="1" t="inlineStr">
        <is>
          <t xml:space="preserve">B observado / C cálculo</t>
        </is>
      </c>
    </row>
    <row r="750" customFormat="false" ht="15" hidden="false" customHeight="true" outlineLevel="0" collapsed="false">
      <c r="A750" s="1" t="n">
        <v>2022</v>
      </c>
      <c r="B750" s="1" t="n">
        <v>2</v>
      </c>
      <c r="C750" s="1" t="inlineStr">
        <is>
          <t xml:space="preserve">IECIRE2020</t>
        </is>
      </c>
      <c r="D750" s="1" t="inlineStr">
        <is>
          <t xml:space="preserve">ELIMINADO</t>
        </is>
      </c>
      <c r="E750" s="1" t="n">
        <v>4</v>
      </c>
      <c r="F750" s="1" t="n">
        <v>5</v>
      </c>
      <c r="G750" s="1" t="n">
        <f aca="false">IF(E750=0,"",IF(D750="VIGENTE",1,0))</f>
        <v>0</v>
      </c>
      <c r="H750" s="1" t="inlineStr">
        <is>
          <t xml:space="preserve">B observado / C cálculo</t>
        </is>
      </c>
    </row>
    <row r="751" customFormat="false" ht="15" hidden="false" customHeight="true" outlineLevel="0" collapsed="false">
      <c r="A751" s="1" t="n">
        <v>2022</v>
      </c>
      <c r="B751" s="1" t="n">
        <v>2</v>
      </c>
      <c r="C751" s="1" t="inlineStr">
        <is>
          <t xml:space="preserve">IECIRE2020</t>
        </is>
      </c>
      <c r="D751" s="1" t="inlineStr">
        <is>
          <t xml:space="preserve">TITULADO</t>
        </is>
      </c>
      <c r="E751" s="1" t="n">
        <v>4</v>
      </c>
      <c r="F751" s="1" t="n">
        <v>7</v>
      </c>
      <c r="G751" s="1" t="n">
        <f aca="false">IF(E751=0,"",IF(D751="VIGENTE",1,0))</f>
        <v>0</v>
      </c>
      <c r="H751" s="1" t="inlineStr">
        <is>
          <t xml:space="preserve">B observado / C cálculo</t>
        </is>
      </c>
    </row>
    <row r="752" customFormat="false" ht="15" hidden="false" customHeight="true" outlineLevel="0" collapsed="false">
      <c r="A752" s="1" t="n">
        <v>2022</v>
      </c>
      <c r="B752" s="1" t="n">
        <v>2</v>
      </c>
      <c r="C752" s="1" t="inlineStr">
        <is>
          <t xml:space="preserve">IECIRE20211</t>
        </is>
      </c>
      <c r="D752" s="1" t="inlineStr">
        <is>
          <t xml:space="preserve">ELIMINADO</t>
        </is>
      </c>
      <c r="E752" s="1" t="n">
        <v>13</v>
      </c>
      <c r="F752" s="1" t="n">
        <v>23</v>
      </c>
      <c r="G752" s="1" t="n">
        <f aca="false">IF(E752=0,"",IF(D752="VIGENTE",1,0))</f>
        <v>0</v>
      </c>
      <c r="H752" s="1" t="inlineStr">
        <is>
          <t xml:space="preserve">B observado / C cálculo</t>
        </is>
      </c>
    </row>
    <row r="753" customFormat="false" ht="15" hidden="false" customHeight="true" outlineLevel="0" collapsed="false">
      <c r="A753" s="1" t="n">
        <v>2022</v>
      </c>
      <c r="B753" s="1" t="n">
        <v>2</v>
      </c>
      <c r="C753" s="1" t="inlineStr">
        <is>
          <t xml:space="preserve">IECIRE20211</t>
        </is>
      </c>
      <c r="D753" s="1" t="inlineStr">
        <is>
          <t xml:space="preserve">TITULADO</t>
        </is>
      </c>
      <c r="E753" s="1" t="n">
        <v>10</v>
      </c>
      <c r="F753" s="1" t="n">
        <v>31</v>
      </c>
      <c r="G753" s="1" t="n">
        <f aca="false">IF(E753=0,"",IF(D753="VIGENTE",1,0))</f>
        <v>0</v>
      </c>
      <c r="H753" s="1" t="inlineStr">
        <is>
          <t xml:space="preserve">B observado / C cálculo</t>
        </is>
      </c>
    </row>
    <row r="754" customFormat="false" ht="15" hidden="false" customHeight="true" outlineLevel="0" collapsed="false">
      <c r="A754" s="1" t="n">
        <v>2022</v>
      </c>
      <c r="B754" s="1" t="n">
        <v>2</v>
      </c>
      <c r="C754" s="1" t="inlineStr">
        <is>
          <t xml:space="preserve">IECIREOL20201</t>
        </is>
      </c>
      <c r="D754" s="1" t="inlineStr">
        <is>
          <t xml:space="preserve">ELIMINADO</t>
        </is>
      </c>
      <c r="E754" s="1" t="n">
        <v>1</v>
      </c>
      <c r="F754" s="1" t="n">
        <v>1</v>
      </c>
      <c r="G754" s="1" t="n">
        <f aca="false">IF(E754=0,"",IF(D754="VIGENTE",1,0))</f>
        <v>0</v>
      </c>
      <c r="H754" s="1" t="inlineStr">
        <is>
          <t xml:space="preserve">B observado / C cálculo</t>
        </is>
      </c>
    </row>
    <row r="755" customFormat="false" ht="15" hidden="false" customHeight="true" outlineLevel="0" collapsed="false">
      <c r="A755" s="1" t="n">
        <v>2022</v>
      </c>
      <c r="B755" s="1" t="n">
        <v>2</v>
      </c>
      <c r="C755" s="1" t="inlineStr">
        <is>
          <t xml:space="preserve">IECIREOL20201</t>
        </is>
      </c>
      <c r="D755" s="1" t="inlineStr">
        <is>
          <t xml:space="preserve">TITULADO</t>
        </is>
      </c>
      <c r="E755" s="1" t="n">
        <v>8</v>
      </c>
      <c r="F755" s="1" t="n">
        <v>8</v>
      </c>
      <c r="G755" s="1" t="n">
        <f aca="false">IF(E755=0,"",IF(D755="VIGENTE",1,0))</f>
        <v>0</v>
      </c>
      <c r="H755" s="1" t="inlineStr">
        <is>
          <t xml:space="preserve">B observado / C cálculo</t>
        </is>
      </c>
    </row>
    <row r="756" customFormat="false" ht="15" hidden="false" customHeight="true" outlineLevel="0" collapsed="false">
      <c r="A756" s="1" t="n">
        <v>2022</v>
      </c>
      <c r="B756" s="1" t="n">
        <v>2</v>
      </c>
      <c r="C756" s="1" t="inlineStr">
        <is>
          <t xml:space="preserve">IECIREOL20211</t>
        </is>
      </c>
      <c r="D756" s="1" t="inlineStr">
        <is>
          <t xml:space="preserve">ELIMINADO</t>
        </is>
      </c>
      <c r="E756" s="1" t="n">
        <v>22</v>
      </c>
      <c r="F756" s="1" t="n">
        <v>25</v>
      </c>
      <c r="G756" s="1" t="n">
        <f aca="false">IF(E756=0,"",IF(D756="VIGENTE",1,0))</f>
        <v>0</v>
      </c>
      <c r="H756" s="1" t="inlineStr">
        <is>
          <t xml:space="preserve">B observado / C cálculo</t>
        </is>
      </c>
    </row>
    <row r="757" customFormat="false" ht="15" hidden="false" customHeight="true" outlineLevel="0" collapsed="false">
      <c r="A757" s="1" t="n">
        <v>2022</v>
      </c>
      <c r="B757" s="1" t="n">
        <v>2</v>
      </c>
      <c r="C757" s="1" t="inlineStr">
        <is>
          <t xml:space="preserve">IECIREOL20211</t>
        </is>
      </c>
      <c r="D757" s="1" t="inlineStr">
        <is>
          <t xml:space="preserve">TITULADO</t>
        </is>
      </c>
      <c r="E757" s="1" t="n">
        <v>24</v>
      </c>
      <c r="F757" s="1" t="n">
        <v>25</v>
      </c>
      <c r="G757" s="1" t="n">
        <f aca="false">IF(E757=0,"",IF(D757="VIGENTE",1,0))</f>
        <v>0</v>
      </c>
      <c r="H757" s="1" t="inlineStr">
        <is>
          <t xml:space="preserve">B observado / C cálculo</t>
        </is>
      </c>
    </row>
    <row r="758" customFormat="false" ht="15" hidden="false" customHeight="true" outlineLevel="0" collapsed="false">
      <c r="A758" s="1" t="n">
        <v>2022</v>
      </c>
      <c r="B758" s="1" t="n">
        <v>2</v>
      </c>
      <c r="C758" s="1" t="inlineStr">
        <is>
          <t xml:space="preserve">IECIREOL20211</t>
        </is>
      </c>
      <c r="D758" s="1" t="inlineStr">
        <is>
          <t xml:space="preserve">VIGENTE</t>
        </is>
      </c>
      <c r="E758" s="1" t="n">
        <v>1</v>
      </c>
      <c r="F758" s="1" t="n">
        <v>2</v>
      </c>
      <c r="G758" s="1" t="n">
        <f aca="false">IF(E758=0,"",IF(D758="VIGENTE",1,0))</f>
        <v>1</v>
      </c>
      <c r="H758" s="1" t="inlineStr">
        <is>
          <t xml:space="preserve">B observado / C cálculo</t>
        </is>
      </c>
    </row>
    <row r="759" customFormat="false" ht="15" hidden="false" customHeight="true" outlineLevel="0" collapsed="false">
      <c r="A759" s="1" t="n">
        <v>2022</v>
      </c>
      <c r="B759" s="1" t="n">
        <v>2</v>
      </c>
      <c r="C759" s="1" t="inlineStr">
        <is>
          <t xml:space="preserve">IECSRE20191</t>
        </is>
      </c>
      <c r="D759" s="1" t="inlineStr">
        <is>
          <t xml:space="preserve">TITULADO</t>
        </is>
      </c>
      <c r="E759" s="1" t="n">
        <v>10</v>
      </c>
      <c r="F759" s="1" t="n">
        <v>29</v>
      </c>
      <c r="G759" s="1" t="n">
        <f aca="false">IF(E759=0,"",IF(D759="VIGENTE",1,0))</f>
        <v>0</v>
      </c>
      <c r="H759" s="1" t="inlineStr">
        <is>
          <t xml:space="preserve">B observado / C cálculo</t>
        </is>
      </c>
    </row>
    <row r="760" customFormat="false" ht="15" hidden="false" customHeight="true" outlineLevel="0" collapsed="false">
      <c r="A760" s="1" t="n">
        <v>2022</v>
      </c>
      <c r="B760" s="1" t="n">
        <v>2</v>
      </c>
      <c r="C760" s="1" t="inlineStr">
        <is>
          <t xml:space="preserve">IECSRE20211</t>
        </is>
      </c>
      <c r="D760" s="1" t="inlineStr">
        <is>
          <t xml:space="preserve">ELIMINADO</t>
        </is>
      </c>
      <c r="E760" s="1" t="n">
        <v>13</v>
      </c>
      <c r="F760" s="1" t="n">
        <v>17</v>
      </c>
      <c r="G760" s="1" t="n">
        <f aca="false">IF(E760=0,"",IF(D760="VIGENTE",1,0))</f>
        <v>0</v>
      </c>
      <c r="H760" s="1" t="inlineStr">
        <is>
          <t xml:space="preserve">B observado / C cálculo</t>
        </is>
      </c>
    </row>
    <row r="761" customFormat="false" ht="15" hidden="false" customHeight="true" outlineLevel="0" collapsed="false">
      <c r="A761" s="1" t="n">
        <v>2022</v>
      </c>
      <c r="B761" s="1" t="n">
        <v>2</v>
      </c>
      <c r="C761" s="1" t="inlineStr">
        <is>
          <t xml:space="preserve">IECSRE20211</t>
        </is>
      </c>
      <c r="D761" s="1" t="inlineStr">
        <is>
          <t xml:space="preserve">TITULADO</t>
        </is>
      </c>
      <c r="E761" s="1" t="n">
        <v>16</v>
      </c>
      <c r="F761" s="1" t="n">
        <v>46</v>
      </c>
      <c r="G761" s="1" t="n">
        <f aca="false">IF(E761=0,"",IF(D761="VIGENTE",1,0))</f>
        <v>0</v>
      </c>
      <c r="H761" s="1" t="inlineStr">
        <is>
          <t xml:space="preserve">B observado / C cálculo</t>
        </is>
      </c>
    </row>
    <row r="762" customFormat="false" ht="15" hidden="false" customHeight="true" outlineLevel="0" collapsed="false">
      <c r="A762" s="1" t="n">
        <v>2022</v>
      </c>
      <c r="B762" s="1" t="n">
        <v>2</v>
      </c>
      <c r="C762" s="1" t="inlineStr">
        <is>
          <t xml:space="preserve">IECSREOL20211</t>
        </is>
      </c>
      <c r="D762" s="1" t="inlineStr">
        <is>
          <t xml:space="preserve">ELIMINADO</t>
        </is>
      </c>
      <c r="E762" s="1" t="n">
        <v>2</v>
      </c>
      <c r="F762" s="1" t="n">
        <v>2</v>
      </c>
      <c r="G762" s="1" t="n">
        <f aca="false">IF(E762=0,"",IF(D762="VIGENTE",1,0))</f>
        <v>0</v>
      </c>
      <c r="H762" s="1" t="inlineStr">
        <is>
          <t xml:space="preserve">B observado / C cálculo</t>
        </is>
      </c>
    </row>
    <row r="763" customFormat="false" ht="15" hidden="false" customHeight="true" outlineLevel="0" collapsed="false">
      <c r="A763" s="1" t="n">
        <v>2022</v>
      </c>
      <c r="B763" s="1" t="n">
        <v>2</v>
      </c>
      <c r="C763" s="1" t="inlineStr">
        <is>
          <t xml:space="preserve">IECSREOL20211</t>
        </is>
      </c>
      <c r="D763" s="1" t="inlineStr">
        <is>
          <t xml:space="preserve">TITULADO</t>
        </is>
      </c>
      <c r="E763" s="1" t="n">
        <v>46</v>
      </c>
      <c r="F763" s="1" t="n">
        <v>69</v>
      </c>
      <c r="G763" s="1" t="n">
        <f aca="false">IF(E763=0,"",IF(D763="VIGENTE",1,0))</f>
        <v>0</v>
      </c>
      <c r="H763" s="1" t="inlineStr">
        <is>
          <t xml:space="preserve">B observado / C cálculo</t>
        </is>
      </c>
    </row>
    <row r="764" customFormat="false" ht="15" hidden="false" customHeight="true" outlineLevel="0" collapsed="false">
      <c r="A764" s="1" t="n">
        <v>2022</v>
      </c>
      <c r="B764" s="1" t="n">
        <v>2</v>
      </c>
      <c r="C764" s="1" t="inlineStr">
        <is>
          <t xml:space="preserve">IECSREOL20211</t>
        </is>
      </c>
      <c r="D764" s="1" t="inlineStr">
        <is>
          <t xml:space="preserve">VIGENTE</t>
        </is>
      </c>
      <c r="E764" s="1" t="n">
        <v>1</v>
      </c>
      <c r="F764" s="1" t="n">
        <v>1</v>
      </c>
      <c r="G764" s="1" t="n">
        <f aca="false">IF(E764=0,"",IF(D764="VIGENTE",1,0))</f>
        <v>1</v>
      </c>
      <c r="H764" s="1" t="inlineStr">
        <is>
          <t xml:space="preserve">B observado / C cálculo</t>
        </is>
      </c>
    </row>
    <row r="765" customFormat="false" ht="15" hidden="false" customHeight="true" outlineLevel="0" collapsed="false">
      <c r="A765" s="1" t="n">
        <v>2022</v>
      </c>
      <c r="B765" s="1" t="n">
        <v>2</v>
      </c>
      <c r="C765" s="1" t="inlineStr">
        <is>
          <t xml:space="preserve">IEMORE20211</t>
        </is>
      </c>
      <c r="D765" s="1" t="inlineStr">
        <is>
          <t xml:space="preserve">TITULADO</t>
        </is>
      </c>
      <c r="E765" s="1" t="n">
        <v>16</v>
      </c>
      <c r="F765" s="1" t="n">
        <v>140</v>
      </c>
      <c r="G765" s="1" t="n">
        <f aca="false">IF(E765=0,"",IF(D765="VIGENTE",1,0))</f>
        <v>0</v>
      </c>
      <c r="H765" s="1" t="inlineStr">
        <is>
          <t xml:space="preserve">B observado / C cálculo</t>
        </is>
      </c>
    </row>
    <row r="766" customFormat="false" ht="15" hidden="false" customHeight="true" outlineLevel="0" collapsed="false">
      <c r="A766" s="1" t="n">
        <v>2022</v>
      </c>
      <c r="B766" s="1" t="n">
        <v>2</v>
      </c>
      <c r="C766" s="1" t="inlineStr">
        <is>
          <t xml:space="preserve">IETMRE20161</t>
        </is>
      </c>
      <c r="D766" s="1" t="inlineStr">
        <is>
          <t xml:space="preserve">TITULADO</t>
        </is>
      </c>
      <c r="E766" s="1" t="n">
        <v>1</v>
      </c>
      <c r="F766" s="1" t="n">
        <v>1</v>
      </c>
      <c r="G766" s="1" t="n">
        <f aca="false">IF(E766=0,"",IF(D766="VIGENTE",1,0))</f>
        <v>0</v>
      </c>
      <c r="H766" s="1" t="inlineStr">
        <is>
          <t xml:space="preserve">B observado / C cálculo</t>
        </is>
      </c>
    </row>
    <row r="767" customFormat="false" ht="15" hidden="false" customHeight="true" outlineLevel="0" collapsed="false">
      <c r="A767" s="1" t="n">
        <v>2022</v>
      </c>
      <c r="B767" s="1" t="n">
        <v>2</v>
      </c>
      <c r="C767" s="1" t="inlineStr">
        <is>
          <t xml:space="preserve">IETMRE20191</t>
        </is>
      </c>
      <c r="D767" s="1" t="inlineStr">
        <is>
          <t xml:space="preserve">ELIMINADO</t>
        </is>
      </c>
      <c r="E767" s="1" t="n">
        <v>1</v>
      </c>
      <c r="F767" s="1" t="n">
        <v>1</v>
      </c>
      <c r="G767" s="1" t="n">
        <f aca="false">IF(E767=0,"",IF(D767="VIGENTE",1,0))</f>
        <v>0</v>
      </c>
      <c r="H767" s="1" t="inlineStr">
        <is>
          <t xml:space="preserve">B observado / C cálculo</t>
        </is>
      </c>
    </row>
    <row r="768" customFormat="false" ht="15" hidden="false" customHeight="true" outlineLevel="0" collapsed="false">
      <c r="A768" s="1" t="n">
        <v>2022</v>
      </c>
      <c r="B768" s="1" t="n">
        <v>2</v>
      </c>
      <c r="C768" s="1" t="inlineStr">
        <is>
          <t xml:space="preserve">IETMRE20191</t>
        </is>
      </c>
      <c r="D768" s="1" t="inlineStr">
        <is>
          <t xml:space="preserve">TITULADO</t>
        </is>
      </c>
      <c r="E768" s="1" t="n">
        <v>7</v>
      </c>
      <c r="F768" s="1" t="n">
        <v>23</v>
      </c>
      <c r="G768" s="1" t="n">
        <f aca="false">IF(E768=0,"",IF(D768="VIGENTE",1,0))</f>
        <v>0</v>
      </c>
      <c r="H768" s="1" t="inlineStr">
        <is>
          <t xml:space="preserve">B observado / C cálculo</t>
        </is>
      </c>
    </row>
    <row r="769" customFormat="false" ht="15" hidden="false" customHeight="true" outlineLevel="0" collapsed="false">
      <c r="A769" s="1" t="n">
        <v>2022</v>
      </c>
      <c r="B769" s="1" t="n">
        <v>2</v>
      </c>
      <c r="C769" s="1" t="inlineStr">
        <is>
          <t xml:space="preserve">IETMRE20211</t>
        </is>
      </c>
      <c r="D769" s="1" t="inlineStr">
        <is>
          <t xml:space="preserve">ELIMINADO</t>
        </is>
      </c>
      <c r="E769" s="1" t="n">
        <v>3</v>
      </c>
      <c r="F769" s="1" t="n">
        <v>4</v>
      </c>
      <c r="G769" s="1" t="n">
        <f aca="false">IF(E769=0,"",IF(D769="VIGENTE",1,0))</f>
        <v>0</v>
      </c>
      <c r="H769" s="1" t="inlineStr">
        <is>
          <t xml:space="preserve">B observado / C cálculo</t>
        </is>
      </c>
    </row>
    <row r="770" customFormat="false" ht="15" hidden="false" customHeight="true" outlineLevel="0" collapsed="false">
      <c r="A770" s="1" t="n">
        <v>2022</v>
      </c>
      <c r="B770" s="1" t="n">
        <v>2</v>
      </c>
      <c r="C770" s="1" t="inlineStr">
        <is>
          <t xml:space="preserve">IETMRE20211</t>
        </is>
      </c>
      <c r="D770" s="1" t="inlineStr">
        <is>
          <t xml:space="preserve">TITULADO</t>
        </is>
      </c>
      <c r="E770" s="1" t="n">
        <v>30</v>
      </c>
      <c r="F770" s="1" t="n">
        <v>112</v>
      </c>
      <c r="G770" s="1" t="n">
        <f aca="false">IF(E770=0,"",IF(D770="VIGENTE",1,0))</f>
        <v>0</v>
      </c>
      <c r="H770" s="1" t="inlineStr">
        <is>
          <t xml:space="preserve">B observado / C cálculo</t>
        </is>
      </c>
    </row>
    <row r="771" customFormat="false" ht="15" hidden="false" customHeight="true" outlineLevel="0" collapsed="false">
      <c r="A771" s="1" t="n">
        <v>2022</v>
      </c>
      <c r="B771" s="1" t="n">
        <v>2</v>
      </c>
      <c r="C771" s="1" t="inlineStr">
        <is>
          <t xml:space="preserve">IETMREOL</t>
        </is>
      </c>
      <c r="D771" s="1" t="inlineStr">
        <is>
          <t xml:space="preserve">TITULADO</t>
        </is>
      </c>
      <c r="E771" s="1" t="n">
        <v>1</v>
      </c>
      <c r="F771" s="1" t="n">
        <v>1</v>
      </c>
      <c r="G771" s="1" t="n">
        <f aca="false">IF(E771=0,"",IF(D771="VIGENTE",1,0))</f>
        <v>0</v>
      </c>
      <c r="H771" s="1" t="inlineStr">
        <is>
          <t xml:space="preserve">B observado / C cálculo</t>
        </is>
      </c>
    </row>
    <row r="772" customFormat="false" ht="15" hidden="false" customHeight="true" outlineLevel="0" collapsed="false">
      <c r="A772" s="1" t="n">
        <v>2022</v>
      </c>
      <c r="B772" s="1" t="n">
        <v>2</v>
      </c>
      <c r="C772" s="1" t="inlineStr">
        <is>
          <t xml:space="preserve">IETMREOL20191</t>
        </is>
      </c>
      <c r="D772" s="1" t="inlineStr">
        <is>
          <t xml:space="preserve">TITULADO</t>
        </is>
      </c>
      <c r="E772" s="1" t="n">
        <v>12</v>
      </c>
      <c r="F772" s="1" t="n">
        <v>12</v>
      </c>
      <c r="G772" s="1" t="n">
        <f aca="false">IF(E772=0,"",IF(D772="VIGENTE",1,0))</f>
        <v>0</v>
      </c>
      <c r="H772" s="1" t="inlineStr">
        <is>
          <t xml:space="preserve">B observado / C cálculo</t>
        </is>
      </c>
    </row>
    <row r="773" customFormat="false" ht="15" hidden="false" customHeight="true" outlineLevel="0" collapsed="false">
      <c r="A773" s="1" t="n">
        <v>2022</v>
      </c>
      <c r="B773" s="1" t="n">
        <v>2</v>
      </c>
      <c r="C773" s="1" t="inlineStr">
        <is>
          <t xml:space="preserve">IETMREOL20191</t>
        </is>
      </c>
      <c r="D773" s="1" t="inlineStr">
        <is>
          <t xml:space="preserve">VIGENTE</t>
        </is>
      </c>
      <c r="E773" s="1" t="n">
        <v>1</v>
      </c>
      <c r="F773" s="1" t="n">
        <v>1</v>
      </c>
      <c r="G773" s="1" t="n">
        <f aca="false">IF(E773=0,"",IF(D773="VIGENTE",1,0))</f>
        <v>1</v>
      </c>
      <c r="H773" s="1" t="inlineStr">
        <is>
          <t xml:space="preserve">B observado / C cálculo</t>
        </is>
      </c>
    </row>
    <row r="774" customFormat="false" ht="15" hidden="false" customHeight="true" outlineLevel="0" collapsed="false">
      <c r="A774" s="1" t="n">
        <v>2022</v>
      </c>
      <c r="B774" s="1" t="n">
        <v>2</v>
      </c>
      <c r="C774" s="1" t="inlineStr">
        <is>
          <t xml:space="preserve">IETMREOL20211</t>
        </is>
      </c>
      <c r="D774" s="1" t="inlineStr">
        <is>
          <t xml:space="preserve">ELIMINADO</t>
        </is>
      </c>
      <c r="E774" s="1" t="n">
        <v>32</v>
      </c>
      <c r="F774" s="1" t="n">
        <v>33</v>
      </c>
      <c r="G774" s="1" t="n">
        <f aca="false">IF(E774=0,"",IF(D774="VIGENTE",1,0))</f>
        <v>0</v>
      </c>
      <c r="H774" s="1" t="inlineStr">
        <is>
          <t xml:space="preserve">B observado / C cálculo</t>
        </is>
      </c>
    </row>
    <row r="775" customFormat="false" ht="15" hidden="false" customHeight="true" outlineLevel="0" collapsed="false">
      <c r="A775" s="1" t="n">
        <v>2022</v>
      </c>
      <c r="B775" s="1" t="n">
        <v>2</v>
      </c>
      <c r="C775" s="1" t="inlineStr">
        <is>
          <t xml:space="preserve">IETMREOL20211</t>
        </is>
      </c>
      <c r="D775" s="1" t="inlineStr">
        <is>
          <t xml:space="preserve">TITULADO</t>
        </is>
      </c>
      <c r="E775" s="1" t="n">
        <v>84</v>
      </c>
      <c r="F775" s="1" t="n">
        <v>86</v>
      </c>
      <c r="G775" s="1" t="n">
        <f aca="false">IF(E775=0,"",IF(D775="VIGENTE",1,0))</f>
        <v>0</v>
      </c>
      <c r="H775" s="1" t="inlineStr">
        <is>
          <t xml:space="preserve">B observado / C cálculo</t>
        </is>
      </c>
    </row>
    <row r="776" customFormat="false" ht="15" hidden="false" customHeight="true" outlineLevel="0" collapsed="false">
      <c r="A776" s="1" t="n">
        <v>2022</v>
      </c>
      <c r="B776" s="1" t="n">
        <v>2</v>
      </c>
      <c r="C776" s="1" t="inlineStr">
        <is>
          <t xml:space="preserve">IETMREOL20211</t>
        </is>
      </c>
      <c r="D776" s="1" t="inlineStr">
        <is>
          <t xml:space="preserve">VIGENTE</t>
        </is>
      </c>
      <c r="E776" s="1" t="n">
        <v>1</v>
      </c>
      <c r="F776" s="1" t="n">
        <v>2</v>
      </c>
      <c r="G776" s="1" t="n">
        <f aca="false">IF(E776=0,"",IF(D776="VIGENTE",1,0))</f>
        <v>1</v>
      </c>
      <c r="H776" s="1" t="inlineStr">
        <is>
          <t xml:space="preserve">B observado / C cálculo</t>
        </is>
      </c>
    </row>
    <row r="777" customFormat="false" ht="15" hidden="false" customHeight="true" outlineLevel="0" collapsed="false">
      <c r="A777" s="1" t="n">
        <v>2022</v>
      </c>
      <c r="B777" s="1" t="n">
        <v>2</v>
      </c>
      <c r="C777" s="1" t="inlineStr">
        <is>
          <t xml:space="preserve">NCONREOL2019</t>
        </is>
      </c>
      <c r="D777" s="1" t="inlineStr">
        <is>
          <t xml:space="preserve">TITULADO</t>
        </is>
      </c>
      <c r="E777" s="1" t="n">
        <v>5</v>
      </c>
      <c r="F777" s="1" t="n">
        <v>5</v>
      </c>
      <c r="G777" s="1" t="n">
        <f aca="false">IF(E777=0,"",IF(D777="VIGENTE",1,0))</f>
        <v>0</v>
      </c>
      <c r="H777" s="1" t="inlineStr">
        <is>
          <t xml:space="preserve">B observado / C cálculo</t>
        </is>
      </c>
    </row>
    <row r="778" customFormat="false" ht="15" hidden="false" customHeight="true" outlineLevel="0" collapsed="false">
      <c r="A778" s="1" t="n">
        <v>2022</v>
      </c>
      <c r="B778" s="1" t="n">
        <v>2</v>
      </c>
      <c r="C778" s="1" t="inlineStr">
        <is>
          <t xml:space="preserve">NTCCRE2020</t>
        </is>
      </c>
      <c r="D778" s="1" t="inlineStr">
        <is>
          <t xml:space="preserve">TITULADO</t>
        </is>
      </c>
      <c r="E778" s="1" t="n">
        <v>1</v>
      </c>
      <c r="F778" s="1" t="n">
        <v>3</v>
      </c>
      <c r="G778" s="1" t="n">
        <f aca="false">IF(E778=0,"",IF(D778="VIGENTE",1,0))</f>
        <v>0</v>
      </c>
      <c r="H778" s="1" t="inlineStr">
        <is>
          <t xml:space="preserve">B observado / C cálculo</t>
        </is>
      </c>
    </row>
    <row r="779" customFormat="false" ht="15" hidden="false" customHeight="true" outlineLevel="0" collapsed="false">
      <c r="A779" s="1" t="n">
        <v>2022</v>
      </c>
      <c r="B779" s="1" t="n">
        <v>2</v>
      </c>
      <c r="C779" s="1" t="inlineStr">
        <is>
          <t xml:space="preserve">NTCCREOL2020</t>
        </is>
      </c>
      <c r="D779" s="1" t="inlineStr">
        <is>
          <t xml:space="preserve">TITULADO</t>
        </is>
      </c>
      <c r="E779" s="1" t="n">
        <v>7</v>
      </c>
      <c r="F779" s="1" t="n">
        <v>9</v>
      </c>
      <c r="G779" s="1" t="n">
        <f aca="false">IF(E779=0,"",IF(D779="VIGENTE",1,0))</f>
        <v>0</v>
      </c>
      <c r="H779" s="1" t="inlineStr">
        <is>
          <t xml:space="preserve">B observado / C cálculo</t>
        </is>
      </c>
    </row>
    <row r="780" customFormat="false" ht="15" hidden="false" customHeight="true" outlineLevel="0" collapsed="false">
      <c r="A780" s="1" t="n">
        <v>2022</v>
      </c>
      <c r="B780" s="1" t="n">
        <v>2</v>
      </c>
      <c r="C780" s="1" t="inlineStr">
        <is>
          <t xml:space="preserve">TASREOL20191</t>
        </is>
      </c>
      <c r="D780" s="1" t="inlineStr">
        <is>
          <t xml:space="preserve">ELIMINADO</t>
        </is>
      </c>
      <c r="E780" s="1" t="n">
        <v>1</v>
      </c>
      <c r="F780" s="1" t="n">
        <v>1</v>
      </c>
      <c r="G780" s="1" t="n">
        <f aca="false">IF(E780=0,"",IF(D780="VIGENTE",1,0))</f>
        <v>0</v>
      </c>
      <c r="H780" s="1" t="inlineStr">
        <is>
          <t xml:space="preserve">B observado / C cálculo</t>
        </is>
      </c>
    </row>
    <row r="781" customFormat="false" ht="15" hidden="false" customHeight="true" outlineLevel="0" collapsed="false">
      <c r="A781" s="1" t="n">
        <v>2022</v>
      </c>
      <c r="B781" s="1" t="n">
        <v>2</v>
      </c>
      <c r="C781" s="1" t="inlineStr">
        <is>
          <t xml:space="preserve">TCSRE20191</t>
        </is>
      </c>
      <c r="D781" s="1" t="inlineStr">
        <is>
          <t xml:space="preserve">ELIMINADO</t>
        </is>
      </c>
      <c r="E781" s="1" t="n">
        <v>1</v>
      </c>
      <c r="F781" s="1" t="n">
        <v>1</v>
      </c>
      <c r="G781" s="1" t="n">
        <f aca="false">IF(E781=0,"",IF(D781="VIGENTE",1,0))</f>
        <v>0</v>
      </c>
      <c r="H781" s="1" t="inlineStr">
        <is>
          <t xml:space="preserve">B observado / C cálculo</t>
        </is>
      </c>
    </row>
    <row r="782" customFormat="false" ht="15" hidden="false" customHeight="true" outlineLevel="0" collapsed="false">
      <c r="A782" s="1" t="n">
        <v>2022</v>
      </c>
      <c r="B782" s="1" t="n">
        <v>2</v>
      </c>
      <c r="C782" s="1" t="inlineStr">
        <is>
          <t xml:space="preserve">TCSRE20211</t>
        </is>
      </c>
      <c r="D782" s="1" t="inlineStr">
        <is>
          <t xml:space="preserve">ELIMINADO</t>
        </is>
      </c>
      <c r="E782" s="1" t="n">
        <v>11</v>
      </c>
      <c r="F782" s="1" t="n">
        <v>13</v>
      </c>
      <c r="G782" s="1" t="n">
        <f aca="false">IF(E782=0,"",IF(D782="VIGENTE",1,0))</f>
        <v>0</v>
      </c>
      <c r="H782" s="1" t="inlineStr">
        <is>
          <t xml:space="preserve">B observado / C cálculo</t>
        </is>
      </c>
    </row>
    <row r="783" customFormat="false" ht="15" hidden="false" customHeight="true" outlineLevel="0" collapsed="false">
      <c r="A783" s="1" t="n">
        <v>2022</v>
      </c>
      <c r="B783" s="1" t="n">
        <v>2</v>
      </c>
      <c r="C783" s="1" t="inlineStr">
        <is>
          <t xml:space="preserve">TCSRE20211</t>
        </is>
      </c>
      <c r="D783" s="1" t="inlineStr">
        <is>
          <t xml:space="preserve">TITULADO</t>
        </is>
      </c>
      <c r="E783" s="1" t="n">
        <v>11</v>
      </c>
      <c r="F783" s="1" t="n">
        <v>16</v>
      </c>
      <c r="G783" s="1" t="n">
        <f aca="false">IF(E783=0,"",IF(D783="VIGENTE",1,0))</f>
        <v>0</v>
      </c>
      <c r="H783" s="1" t="inlineStr">
        <is>
          <t xml:space="preserve">B observado / C cálculo</t>
        </is>
      </c>
    </row>
    <row r="784" customFormat="false" ht="15" hidden="false" customHeight="true" outlineLevel="0" collapsed="false">
      <c r="A784" s="1" t="n">
        <v>2022</v>
      </c>
      <c r="B784" s="1" t="n">
        <v>2</v>
      </c>
      <c r="C784" s="1" t="inlineStr">
        <is>
          <t xml:space="preserve">TCSREOL2020</t>
        </is>
      </c>
      <c r="D784" s="1" t="inlineStr">
        <is>
          <t xml:space="preserve">TITULADO</t>
        </is>
      </c>
      <c r="E784" s="1" t="n">
        <v>5</v>
      </c>
      <c r="F784" s="1" t="n">
        <v>8</v>
      </c>
      <c r="G784" s="1" t="n">
        <f aca="false">IF(E784=0,"",IF(D784="VIGENTE",1,0))</f>
        <v>0</v>
      </c>
      <c r="H784" s="1" t="inlineStr">
        <is>
          <t xml:space="preserve">B observado / C cálculo</t>
        </is>
      </c>
    </row>
    <row r="785" customFormat="false" ht="15" hidden="false" customHeight="true" outlineLevel="0" collapsed="false">
      <c r="A785" s="1" t="n">
        <v>2022</v>
      </c>
      <c r="B785" s="1" t="n">
        <v>2</v>
      </c>
      <c r="C785" s="1" t="inlineStr">
        <is>
          <t xml:space="preserve">TCSREOL20211</t>
        </is>
      </c>
      <c r="D785" s="1" t="inlineStr">
        <is>
          <t xml:space="preserve">ELIMINADO</t>
        </is>
      </c>
      <c r="E785" s="1" t="n">
        <v>11</v>
      </c>
      <c r="F785" s="1" t="n">
        <v>11</v>
      </c>
      <c r="G785" s="1" t="n">
        <f aca="false">IF(E785=0,"",IF(D785="VIGENTE",1,0))</f>
        <v>0</v>
      </c>
      <c r="H785" s="1" t="inlineStr">
        <is>
          <t xml:space="preserve">B observado / C cálculo</t>
        </is>
      </c>
    </row>
    <row r="786" customFormat="false" ht="15" hidden="false" customHeight="true" outlineLevel="0" collapsed="false">
      <c r="A786" s="1" t="n">
        <v>2022</v>
      </c>
      <c r="B786" s="1" t="n">
        <v>2</v>
      </c>
      <c r="C786" s="1" t="inlineStr">
        <is>
          <t xml:space="preserve">TCSREOL20211</t>
        </is>
      </c>
      <c r="D786" s="1" t="inlineStr">
        <is>
          <t xml:space="preserve">TITULADO</t>
        </is>
      </c>
      <c r="E786" s="1" t="n">
        <v>15</v>
      </c>
      <c r="F786" s="1" t="n">
        <v>15</v>
      </c>
      <c r="G786" s="1" t="n">
        <f aca="false">IF(E786=0,"",IF(D786="VIGENTE",1,0))</f>
        <v>0</v>
      </c>
      <c r="H786" s="1" t="inlineStr">
        <is>
          <t xml:space="preserve">B observado / C cálculo</t>
        </is>
      </c>
    </row>
    <row r="787" customFormat="false" ht="15" hidden="false" customHeight="true" outlineLevel="0" collapsed="false">
      <c r="A787" s="1" t="n">
        <v>2022</v>
      </c>
      <c r="B787" s="1" t="n">
        <v>2</v>
      </c>
      <c r="C787" s="1" t="inlineStr">
        <is>
          <t xml:space="preserve">TMIRE20211</t>
        </is>
      </c>
      <c r="D787" s="1" t="inlineStr">
        <is>
          <t xml:space="preserve">ELIMINADO</t>
        </is>
      </c>
      <c r="E787" s="1" t="n">
        <v>2</v>
      </c>
      <c r="F787" s="1" t="n">
        <v>12</v>
      </c>
      <c r="G787" s="1" t="n">
        <f aca="false">IF(E787=0,"",IF(D787="VIGENTE",1,0))</f>
        <v>0</v>
      </c>
      <c r="H787" s="1" t="inlineStr">
        <is>
          <t xml:space="preserve">B observado / C cálculo</t>
        </is>
      </c>
    </row>
    <row r="788" customFormat="false" ht="15" hidden="false" customHeight="true" outlineLevel="0" collapsed="false">
      <c r="A788" s="1" t="n">
        <v>2022</v>
      </c>
      <c r="B788" s="1" t="n">
        <v>2</v>
      </c>
      <c r="C788" s="1" t="inlineStr">
        <is>
          <t xml:space="preserve">TMIRE20211</t>
        </is>
      </c>
      <c r="D788" s="1" t="inlineStr">
        <is>
          <t xml:space="preserve">TITULADO</t>
        </is>
      </c>
      <c r="E788" s="1" t="n">
        <v>1</v>
      </c>
      <c r="F788" s="1" t="n">
        <v>19</v>
      </c>
      <c r="G788" s="1" t="n">
        <f aca="false">IF(E788=0,"",IF(D788="VIGENTE",1,0))</f>
        <v>0</v>
      </c>
      <c r="H788" s="1" t="inlineStr">
        <is>
          <t xml:space="preserve">B observado / C cálculo</t>
        </is>
      </c>
    </row>
    <row r="789" customFormat="false" ht="15" hidden="false" customHeight="true" outlineLevel="0" collapsed="false">
      <c r="A789" s="1" t="n">
        <v>2022</v>
      </c>
      <c r="B789" s="1" t="n">
        <v>2</v>
      </c>
      <c r="C789" s="1" t="inlineStr">
        <is>
          <t xml:space="preserve">TPARE2020</t>
        </is>
      </c>
      <c r="D789" s="1" t="inlineStr">
        <is>
          <t xml:space="preserve">ELIMINADO</t>
        </is>
      </c>
      <c r="E789" s="1" t="n">
        <v>2</v>
      </c>
      <c r="F789" s="1" t="n">
        <v>3</v>
      </c>
      <c r="G789" s="1" t="n">
        <f aca="false">IF(E789=0,"",IF(D789="VIGENTE",1,0))</f>
        <v>0</v>
      </c>
      <c r="H789" s="1" t="inlineStr">
        <is>
          <t xml:space="preserve">B observado / C cálculo</t>
        </is>
      </c>
    </row>
    <row r="790" customFormat="false" ht="15" hidden="false" customHeight="true" outlineLevel="0" collapsed="false">
      <c r="A790" s="1" t="n">
        <v>2022</v>
      </c>
      <c r="B790" s="1" t="n">
        <v>2</v>
      </c>
      <c r="C790" s="1" t="inlineStr">
        <is>
          <t xml:space="preserve">TPARE2020</t>
        </is>
      </c>
      <c r="D790" s="1" t="inlineStr">
        <is>
          <t xml:space="preserve">TITULADO</t>
        </is>
      </c>
      <c r="E790" s="1" t="n">
        <v>1</v>
      </c>
      <c r="F790" s="1" t="n">
        <v>1</v>
      </c>
      <c r="G790" s="1" t="n">
        <f aca="false">IF(E790=0,"",IF(D790="VIGENTE",1,0))</f>
        <v>0</v>
      </c>
      <c r="H790" s="1" t="inlineStr">
        <is>
          <t xml:space="preserve">B observado / C cálculo</t>
        </is>
      </c>
    </row>
    <row r="791" customFormat="false" ht="15" hidden="false" customHeight="true" outlineLevel="0" collapsed="false">
      <c r="A791" s="1" t="n">
        <v>2022</v>
      </c>
      <c r="B791" s="1" t="n">
        <v>2</v>
      </c>
      <c r="C791" s="1" t="inlineStr">
        <is>
          <t xml:space="preserve">TPARE20211</t>
        </is>
      </c>
      <c r="D791" s="1" t="inlineStr">
        <is>
          <t xml:space="preserve">ELIMINADO</t>
        </is>
      </c>
      <c r="E791" s="1" t="n">
        <v>9</v>
      </c>
      <c r="F791" s="1" t="n">
        <v>15</v>
      </c>
      <c r="G791" s="1" t="n">
        <f aca="false">IF(E791=0,"",IF(D791="VIGENTE",1,0))</f>
        <v>0</v>
      </c>
      <c r="H791" s="1" t="inlineStr">
        <is>
          <t xml:space="preserve">B observado / C cálculo</t>
        </is>
      </c>
    </row>
    <row r="792" customFormat="false" ht="15" hidden="false" customHeight="true" outlineLevel="0" collapsed="false">
      <c r="A792" s="1" t="n">
        <v>2022</v>
      </c>
      <c r="B792" s="1" t="n">
        <v>2</v>
      </c>
      <c r="C792" s="1" t="inlineStr">
        <is>
          <t xml:space="preserve">TPARE20211</t>
        </is>
      </c>
      <c r="D792" s="1" t="inlineStr">
        <is>
          <t xml:space="preserve">TITULADO</t>
        </is>
      </c>
      <c r="E792" s="1" t="n">
        <v>30</v>
      </c>
      <c r="F792" s="1" t="n">
        <v>54</v>
      </c>
      <c r="G792" s="1" t="n">
        <f aca="false">IF(E792=0,"",IF(D792="VIGENTE",1,0))</f>
        <v>0</v>
      </c>
      <c r="H792" s="1" t="inlineStr">
        <is>
          <t xml:space="preserve">B observado / C cálculo</t>
        </is>
      </c>
    </row>
    <row r="793" customFormat="false" ht="15" hidden="false" customHeight="true" outlineLevel="0" collapsed="false">
      <c r="A793" s="1" t="n">
        <v>2022</v>
      </c>
      <c r="B793" s="1" t="n">
        <v>2</v>
      </c>
      <c r="C793" s="1" t="inlineStr">
        <is>
          <t xml:space="preserve">TPARE20211</t>
        </is>
      </c>
      <c r="D793" s="1" t="inlineStr">
        <is>
          <t xml:space="preserve">VIGENTE</t>
        </is>
      </c>
      <c r="E793" s="1" t="n">
        <v>1</v>
      </c>
      <c r="F793" s="1" t="n">
        <v>2</v>
      </c>
      <c r="G793" s="1" t="n">
        <f aca="false">IF(E793=0,"",IF(D793="VIGENTE",1,0))</f>
        <v>1</v>
      </c>
      <c r="H793" s="1" t="inlineStr">
        <is>
          <t xml:space="preserve">B observado / C cálculo</t>
        </is>
      </c>
    </row>
    <row r="794" customFormat="false" ht="15" hidden="false" customHeight="true" outlineLevel="0" collapsed="false">
      <c r="A794" s="1" t="n">
        <v>2022</v>
      </c>
      <c r="B794" s="1" t="n">
        <v>2</v>
      </c>
      <c r="C794" s="1" t="inlineStr">
        <is>
          <t xml:space="preserve">TPAREOL2020</t>
        </is>
      </c>
      <c r="D794" s="1" t="inlineStr">
        <is>
          <t xml:space="preserve">ELIMINADO</t>
        </is>
      </c>
      <c r="E794" s="1" t="n">
        <v>3</v>
      </c>
      <c r="F794" s="1" t="n">
        <v>3</v>
      </c>
      <c r="G794" s="1" t="n">
        <f aca="false">IF(E794=0,"",IF(D794="VIGENTE",1,0))</f>
        <v>0</v>
      </c>
      <c r="H794" s="1" t="inlineStr">
        <is>
          <t xml:space="preserve">B observado / C cálculo</t>
        </is>
      </c>
    </row>
    <row r="795" customFormat="false" ht="15" hidden="false" customHeight="true" outlineLevel="0" collapsed="false">
      <c r="A795" s="1" t="n">
        <v>2022</v>
      </c>
      <c r="B795" s="1" t="n">
        <v>2</v>
      </c>
      <c r="C795" s="1" t="inlineStr">
        <is>
          <t xml:space="preserve">TPAREOL2020</t>
        </is>
      </c>
      <c r="D795" s="1" t="inlineStr">
        <is>
          <t xml:space="preserve">TITULADO</t>
        </is>
      </c>
      <c r="E795" s="1" t="n">
        <v>2</v>
      </c>
      <c r="F795" s="1" t="n">
        <v>2</v>
      </c>
      <c r="G795" s="1" t="n">
        <f aca="false">IF(E795=0,"",IF(D795="VIGENTE",1,0))</f>
        <v>0</v>
      </c>
      <c r="H795" s="1" t="inlineStr">
        <is>
          <t xml:space="preserve">B observado / C cálculo</t>
        </is>
      </c>
    </row>
    <row r="796" customFormat="false" ht="15" hidden="false" customHeight="true" outlineLevel="0" collapsed="false">
      <c r="A796" s="1" t="n">
        <v>2022</v>
      </c>
      <c r="B796" s="1" t="n">
        <v>2</v>
      </c>
      <c r="C796" s="1" t="inlineStr">
        <is>
          <t xml:space="preserve">TPAREOL2020</t>
        </is>
      </c>
      <c r="D796" s="1" t="inlineStr">
        <is>
          <t xml:space="preserve">VIGENTE</t>
        </is>
      </c>
      <c r="E796" s="1" t="n">
        <v>1</v>
      </c>
      <c r="F796" s="1" t="n">
        <v>1</v>
      </c>
      <c r="G796" s="1" t="n">
        <f aca="false">IF(E796=0,"",IF(D796="VIGENTE",1,0))</f>
        <v>1</v>
      </c>
      <c r="H796" s="1" t="inlineStr">
        <is>
          <t xml:space="preserve">B observado / C cálculo</t>
        </is>
      </c>
    </row>
    <row r="797" customFormat="false" ht="15" hidden="false" customHeight="true" outlineLevel="0" collapsed="false">
      <c r="A797" s="1" t="n">
        <v>2022</v>
      </c>
      <c r="B797" s="1" t="n">
        <v>2</v>
      </c>
      <c r="C797" s="1" t="inlineStr">
        <is>
          <t xml:space="preserve">TPAREOL20211</t>
        </is>
      </c>
      <c r="D797" s="1" t="inlineStr">
        <is>
          <t xml:space="preserve">ELIMINADO</t>
        </is>
      </c>
      <c r="E797" s="1" t="n">
        <v>33</v>
      </c>
      <c r="F797" s="1" t="n">
        <v>34</v>
      </c>
      <c r="G797" s="1" t="n">
        <f aca="false">IF(E797=0,"",IF(D797="VIGENTE",1,0))</f>
        <v>0</v>
      </c>
      <c r="H797" s="1" t="inlineStr">
        <is>
          <t xml:space="preserve">B observado / C cálculo</t>
        </is>
      </c>
    </row>
    <row r="798" customFormat="false" ht="15" hidden="false" customHeight="true" outlineLevel="0" collapsed="false">
      <c r="A798" s="1" t="n">
        <v>2022</v>
      </c>
      <c r="B798" s="1" t="n">
        <v>2</v>
      </c>
      <c r="C798" s="1" t="inlineStr">
        <is>
          <t xml:space="preserve">TPAREOL20211</t>
        </is>
      </c>
      <c r="D798" s="1" t="inlineStr">
        <is>
          <t xml:space="preserve">TITULADO</t>
        </is>
      </c>
      <c r="E798" s="1" t="n">
        <v>36</v>
      </c>
      <c r="F798" s="1" t="n">
        <v>37</v>
      </c>
      <c r="G798" s="1" t="n">
        <f aca="false">IF(E798=0,"",IF(D798="VIGENTE",1,0))</f>
        <v>0</v>
      </c>
      <c r="H798" s="1" t="inlineStr">
        <is>
          <t xml:space="preserve">B observado / C cálculo</t>
        </is>
      </c>
    </row>
    <row r="799" customFormat="false" ht="15" hidden="false" customHeight="true" outlineLevel="0" collapsed="false">
      <c r="A799" s="1" t="n">
        <v>2022</v>
      </c>
      <c r="B799" s="1" t="n">
        <v>2</v>
      </c>
      <c r="C799" s="1" t="inlineStr">
        <is>
          <t xml:space="preserve">TPAREOL20211</t>
        </is>
      </c>
      <c r="D799" s="1" t="inlineStr">
        <is>
          <t xml:space="preserve">VIGENTE</t>
        </is>
      </c>
      <c r="E799" s="1" t="n">
        <v>1</v>
      </c>
      <c r="F799" s="1" t="n">
        <v>1</v>
      </c>
      <c r="G799" s="1" t="n">
        <f aca="false">IF(E799=0,"",IF(D799="VIGENTE",1,0))</f>
        <v>1</v>
      </c>
      <c r="H799" s="1" t="inlineStr">
        <is>
          <t xml:space="preserve">B observado / C cálculo</t>
        </is>
      </c>
    </row>
    <row r="800" customFormat="false" ht="15" hidden="false" customHeight="true" outlineLevel="0" collapsed="false">
      <c r="A800" s="1" t="n">
        <v>2022</v>
      </c>
      <c r="B800" s="1" t="n">
        <v>2</v>
      </c>
      <c r="C800" s="1" t="inlineStr">
        <is>
          <t xml:space="preserve">TTMRE20191</t>
        </is>
      </c>
      <c r="D800" s="1" t="inlineStr">
        <is>
          <t xml:space="preserve">ELIMINADO</t>
        </is>
      </c>
      <c r="E800" s="1" t="n">
        <v>1</v>
      </c>
      <c r="F800" s="1" t="n">
        <v>1</v>
      </c>
      <c r="G800" s="1" t="n">
        <f aca="false">IF(E800=0,"",IF(D800="VIGENTE",1,0))</f>
        <v>0</v>
      </c>
      <c r="H800" s="1" t="inlineStr">
        <is>
          <t xml:space="preserve">B observado / C cálculo</t>
        </is>
      </c>
    </row>
    <row r="801" customFormat="false" ht="15" hidden="false" customHeight="true" outlineLevel="0" collapsed="false">
      <c r="A801" s="1" t="n">
        <v>2022</v>
      </c>
      <c r="B801" s="1" t="n">
        <v>2</v>
      </c>
      <c r="C801" s="1" t="inlineStr">
        <is>
          <t xml:space="preserve">TTMRE20191</t>
        </is>
      </c>
      <c r="D801" s="1" t="inlineStr">
        <is>
          <t xml:space="preserve">TITULADO</t>
        </is>
      </c>
      <c r="E801" s="1" t="n">
        <v>3</v>
      </c>
      <c r="F801" s="1" t="n">
        <v>8</v>
      </c>
      <c r="G801" s="1" t="n">
        <f aca="false">IF(E801=0,"",IF(D801="VIGENTE",1,0))</f>
        <v>0</v>
      </c>
      <c r="H801" s="1" t="inlineStr">
        <is>
          <t xml:space="preserve">B observado / C cálculo</t>
        </is>
      </c>
    </row>
    <row r="802" customFormat="false" ht="15" hidden="false" customHeight="true" outlineLevel="0" collapsed="false">
      <c r="A802" s="1" t="n">
        <v>2022</v>
      </c>
      <c r="B802" s="1" t="n">
        <v>2</v>
      </c>
      <c r="C802" s="1" t="inlineStr">
        <is>
          <t xml:space="preserve">TTMRE20211</t>
        </is>
      </c>
      <c r="D802" s="1" t="inlineStr">
        <is>
          <t xml:space="preserve">ELIMINADO</t>
        </is>
      </c>
      <c r="E802" s="1" t="n">
        <v>4</v>
      </c>
      <c r="F802" s="1" t="n">
        <v>5</v>
      </c>
      <c r="G802" s="1" t="n">
        <f aca="false">IF(E802=0,"",IF(D802="VIGENTE",1,0))</f>
        <v>0</v>
      </c>
      <c r="H802" s="1" t="inlineStr">
        <is>
          <t xml:space="preserve">B observado / C cálculo</t>
        </is>
      </c>
    </row>
    <row r="803" customFormat="false" ht="15" hidden="false" customHeight="true" outlineLevel="0" collapsed="false">
      <c r="A803" s="1" t="n">
        <v>2022</v>
      </c>
      <c r="B803" s="1" t="n">
        <v>2</v>
      </c>
      <c r="C803" s="1" t="inlineStr">
        <is>
          <t xml:space="preserve">TTMRE20211</t>
        </is>
      </c>
      <c r="D803" s="1" t="inlineStr">
        <is>
          <t xml:space="preserve">TITULADO</t>
        </is>
      </c>
      <c r="E803" s="1" t="n">
        <v>6</v>
      </c>
      <c r="F803" s="1" t="n">
        <v>9</v>
      </c>
      <c r="G803" s="1" t="n">
        <f aca="false">IF(E803=0,"",IF(D803="VIGENTE",1,0))</f>
        <v>0</v>
      </c>
      <c r="H803" s="1" t="inlineStr">
        <is>
          <t xml:space="preserve">B observado / C cálculo</t>
        </is>
      </c>
    </row>
    <row r="804" customFormat="false" ht="15" hidden="false" customHeight="true" outlineLevel="0" collapsed="false">
      <c r="A804" s="1" t="n">
        <v>2022</v>
      </c>
      <c r="B804" s="1" t="n">
        <v>2</v>
      </c>
      <c r="C804" s="1" t="inlineStr">
        <is>
          <t xml:space="preserve">TTMREOL20191</t>
        </is>
      </c>
      <c r="D804" s="1" t="inlineStr">
        <is>
          <t xml:space="preserve">TITULADO</t>
        </is>
      </c>
      <c r="E804" s="1" t="n">
        <v>4</v>
      </c>
      <c r="F804" s="1" t="n">
        <v>6</v>
      </c>
      <c r="G804" s="1" t="n">
        <f aca="false">IF(E804=0,"",IF(D804="VIGENTE",1,0))</f>
        <v>0</v>
      </c>
      <c r="H804" s="1" t="inlineStr">
        <is>
          <t xml:space="preserve">B observado / C cálculo</t>
        </is>
      </c>
    </row>
    <row r="805" customFormat="false" ht="15" hidden="false" customHeight="true" outlineLevel="0" collapsed="false">
      <c r="A805" s="1" t="n">
        <v>2022</v>
      </c>
      <c r="B805" s="1" t="n">
        <v>2</v>
      </c>
      <c r="C805" s="1" t="inlineStr">
        <is>
          <t xml:space="preserve">TTMREOL20211</t>
        </is>
      </c>
      <c r="D805" s="1" t="inlineStr">
        <is>
          <t xml:space="preserve">ELIMINADO</t>
        </is>
      </c>
      <c r="E805" s="1" t="n">
        <v>11</v>
      </c>
      <c r="F805" s="1" t="n">
        <v>11</v>
      </c>
      <c r="G805" s="1" t="n">
        <f aca="false">IF(E805=0,"",IF(D805="VIGENTE",1,0))</f>
        <v>0</v>
      </c>
      <c r="H805" s="1" t="inlineStr">
        <is>
          <t xml:space="preserve">B observado / C cálculo</t>
        </is>
      </c>
    </row>
    <row r="806" customFormat="false" ht="15" hidden="false" customHeight="true" outlineLevel="0" collapsed="false">
      <c r="A806" s="1" t="n">
        <v>2022</v>
      </c>
      <c r="B806" s="1" t="n">
        <v>2</v>
      </c>
      <c r="C806" s="1" t="inlineStr">
        <is>
          <t xml:space="preserve">TTMREOL20211</t>
        </is>
      </c>
      <c r="D806" s="1" t="inlineStr">
        <is>
          <t xml:space="preserve">TITULADO</t>
        </is>
      </c>
      <c r="E806" s="1" t="n">
        <v>14</v>
      </c>
      <c r="F806" s="1" t="n">
        <v>14</v>
      </c>
      <c r="G806" s="1" t="n">
        <f aca="false">IF(E806=0,"",IF(D806="VIGENTE",1,0))</f>
        <v>0</v>
      </c>
      <c r="H806" s="1" t="inlineStr">
        <is>
          <t xml:space="preserve">B observado / C cálculo</t>
        </is>
      </c>
    </row>
    <row r="807" customFormat="false" ht="15" hidden="false" customHeight="true" outlineLevel="0" collapsed="false">
      <c r="A807" s="1" t="n">
        <v>2022</v>
      </c>
      <c r="B807" s="1" t="n">
        <v>3</v>
      </c>
      <c r="C807" s="1" t="inlineStr">
        <is>
          <t xml:space="preserve">IECIREOL20191</t>
        </is>
      </c>
      <c r="D807" s="1" t="inlineStr">
        <is>
          <t xml:space="preserve">ELIMINADO</t>
        </is>
      </c>
      <c r="E807" s="1" t="n">
        <v>1</v>
      </c>
      <c r="F807" s="1" t="n">
        <v>3</v>
      </c>
      <c r="G807" s="1" t="n">
        <f aca="false">IF(E807=0,"",IF(D807="VIGENTE",1,0))</f>
        <v>0</v>
      </c>
      <c r="H807" s="1" t="inlineStr">
        <is>
          <t xml:space="preserve">B observado / C cálculo</t>
        </is>
      </c>
    </row>
    <row r="808" customFormat="false" ht="15" hidden="false" customHeight="true" outlineLevel="0" collapsed="false">
      <c r="A808" s="1" t="n">
        <v>2022</v>
      </c>
      <c r="B808" s="1" t="n">
        <v>3</v>
      </c>
      <c r="C808" s="1" t="inlineStr">
        <is>
          <t xml:space="preserve">IECIREOL20191</t>
        </is>
      </c>
      <c r="D808" s="1" t="inlineStr">
        <is>
          <t xml:space="preserve">TITULADO</t>
        </is>
      </c>
      <c r="E808" s="1" t="n">
        <v>11</v>
      </c>
      <c r="F808" s="1" t="n">
        <v>30</v>
      </c>
      <c r="G808" s="1" t="n">
        <f aca="false">IF(E808=0,"",IF(D808="VIGENTE",1,0))</f>
        <v>0</v>
      </c>
      <c r="H808" s="1" t="inlineStr">
        <is>
          <t xml:space="preserve">B observado / C cálculo</t>
        </is>
      </c>
    </row>
    <row r="809" customFormat="false" ht="15" hidden="false" customHeight="true" outlineLevel="0" collapsed="false">
      <c r="A809" s="1" t="n">
        <v>2022</v>
      </c>
      <c r="B809" s="1" t="n">
        <v>3</v>
      </c>
      <c r="C809" s="1" t="inlineStr">
        <is>
          <t xml:space="preserve">IECIREOL20201</t>
        </is>
      </c>
      <c r="D809" s="1" t="inlineStr">
        <is>
          <t xml:space="preserve">ELIMINADO</t>
        </is>
      </c>
      <c r="E809" s="1" t="n">
        <v>1</v>
      </c>
      <c r="F809" s="1" t="n">
        <v>1</v>
      </c>
      <c r="G809" s="1" t="n">
        <f aca="false">IF(E809=0,"",IF(D809="VIGENTE",1,0))</f>
        <v>0</v>
      </c>
      <c r="H809" s="1" t="inlineStr">
        <is>
          <t xml:space="preserve">B observado / C cálculo</t>
        </is>
      </c>
    </row>
    <row r="810" customFormat="false" ht="15" hidden="false" customHeight="true" outlineLevel="0" collapsed="false">
      <c r="A810" s="1" t="n">
        <v>2022</v>
      </c>
      <c r="B810" s="1" t="n">
        <v>3</v>
      </c>
      <c r="C810" s="1" t="inlineStr">
        <is>
          <t xml:space="preserve">IECIREOL20201</t>
        </is>
      </c>
      <c r="D810" s="1" t="inlineStr">
        <is>
          <t xml:space="preserve">TITULADO</t>
        </is>
      </c>
      <c r="E810" s="1" t="n">
        <v>9</v>
      </c>
      <c r="F810" s="1" t="n">
        <v>13</v>
      </c>
      <c r="G810" s="1" t="n">
        <f aca="false">IF(E810=0,"",IF(D810="VIGENTE",1,0))</f>
        <v>0</v>
      </c>
      <c r="H810" s="1" t="inlineStr">
        <is>
          <t xml:space="preserve">B observado / C cálculo</t>
        </is>
      </c>
    </row>
    <row r="811" customFormat="false" ht="15" hidden="false" customHeight="true" outlineLevel="0" collapsed="false">
      <c r="A811" s="1" t="n">
        <v>2022</v>
      </c>
      <c r="B811" s="1" t="n">
        <v>3</v>
      </c>
      <c r="C811" s="1" t="inlineStr">
        <is>
          <t xml:space="preserve">IECIREOL20211</t>
        </is>
      </c>
      <c r="D811" s="1" t="inlineStr">
        <is>
          <t xml:space="preserve">ELIMINADO</t>
        </is>
      </c>
      <c r="E811" s="1" t="n">
        <v>34</v>
      </c>
      <c r="F811" s="1" t="n">
        <v>47</v>
      </c>
      <c r="G811" s="1" t="n">
        <f aca="false">IF(E811=0,"",IF(D811="VIGENTE",1,0))</f>
        <v>0</v>
      </c>
      <c r="H811" s="1" t="inlineStr">
        <is>
          <t xml:space="preserve">B observado / C cálculo</t>
        </is>
      </c>
    </row>
    <row r="812" customFormat="false" ht="15" hidden="false" customHeight="true" outlineLevel="0" collapsed="false">
      <c r="A812" s="1" t="n">
        <v>2022</v>
      </c>
      <c r="B812" s="1" t="n">
        <v>3</v>
      </c>
      <c r="C812" s="1" t="inlineStr">
        <is>
          <t xml:space="preserve">IECIREOL20211</t>
        </is>
      </c>
      <c r="D812" s="1" t="inlineStr">
        <is>
          <t xml:space="preserve">SUSPENDIDO</t>
        </is>
      </c>
      <c r="E812" s="1" t="n">
        <v>1</v>
      </c>
      <c r="F812" s="1" t="n">
        <v>1</v>
      </c>
      <c r="G812" s="1" t="n">
        <f aca="false">IF(E812=0,"",IF(D812="VIGENTE",1,0))</f>
        <v>0</v>
      </c>
      <c r="H812" s="1" t="inlineStr">
        <is>
          <t xml:space="preserve">B observado / C cálculo</t>
        </is>
      </c>
    </row>
    <row r="813" customFormat="false" ht="15" hidden="false" customHeight="true" outlineLevel="0" collapsed="false">
      <c r="A813" s="1" t="n">
        <v>2022</v>
      </c>
      <c r="B813" s="1" t="n">
        <v>3</v>
      </c>
      <c r="C813" s="1" t="inlineStr">
        <is>
          <t xml:space="preserve">IECIREOL20211</t>
        </is>
      </c>
      <c r="D813" s="1" t="inlineStr">
        <is>
          <t xml:space="preserve">TITULADO</t>
        </is>
      </c>
      <c r="E813" s="1" t="n">
        <v>62</v>
      </c>
      <c r="F813" s="1" t="n">
        <v>123</v>
      </c>
      <c r="G813" s="1" t="n">
        <f aca="false">IF(E813=0,"",IF(D813="VIGENTE",1,0))</f>
        <v>0</v>
      </c>
      <c r="H813" s="1" t="inlineStr">
        <is>
          <t xml:space="preserve">B observado / C cálculo</t>
        </is>
      </c>
    </row>
    <row r="814" customFormat="false" ht="15" hidden="false" customHeight="true" outlineLevel="0" collapsed="false">
      <c r="A814" s="1" t="n">
        <v>2022</v>
      </c>
      <c r="B814" s="1" t="n">
        <v>3</v>
      </c>
      <c r="C814" s="1" t="inlineStr">
        <is>
          <t xml:space="preserve">IECIREOL20211</t>
        </is>
      </c>
      <c r="D814" s="1" t="inlineStr">
        <is>
          <t xml:space="preserve">VIGENTE</t>
        </is>
      </c>
      <c r="E814" s="1" t="n">
        <v>1</v>
      </c>
      <c r="F814" s="1" t="n">
        <v>3</v>
      </c>
      <c r="G814" s="1" t="n">
        <f aca="false">IF(E814=0,"",IF(D814="VIGENTE",1,0))</f>
        <v>1</v>
      </c>
      <c r="H814" s="1" t="inlineStr">
        <is>
          <t xml:space="preserve">B observado / C cálculo</t>
        </is>
      </c>
    </row>
    <row r="815" customFormat="false" ht="15" hidden="false" customHeight="true" outlineLevel="0" collapsed="false">
      <c r="A815" s="1" t="n">
        <v>2022</v>
      </c>
      <c r="B815" s="1" t="n">
        <v>3</v>
      </c>
      <c r="C815" s="1" t="inlineStr">
        <is>
          <t xml:space="preserve">IECSREOL20211</t>
        </is>
      </c>
      <c r="D815" s="1" t="inlineStr">
        <is>
          <t xml:space="preserve">ELIMINADO</t>
        </is>
      </c>
      <c r="E815" s="1" t="n">
        <v>24</v>
      </c>
      <c r="F815" s="1" t="n">
        <v>35</v>
      </c>
      <c r="G815" s="1" t="n">
        <f aca="false">IF(E815=0,"",IF(D815="VIGENTE",1,0))</f>
        <v>0</v>
      </c>
      <c r="H815" s="1" t="inlineStr">
        <is>
          <t xml:space="preserve">B observado / C cálculo</t>
        </is>
      </c>
    </row>
    <row r="816" customFormat="false" ht="15" hidden="false" customHeight="true" outlineLevel="0" collapsed="false">
      <c r="A816" s="1" t="n">
        <v>2022</v>
      </c>
      <c r="B816" s="1" t="n">
        <v>3</v>
      </c>
      <c r="C816" s="1" t="inlineStr">
        <is>
          <t xml:space="preserve">IECSREOL20211</t>
        </is>
      </c>
      <c r="D816" s="1" t="inlineStr">
        <is>
          <t xml:space="preserve">SUSPENDIDO</t>
        </is>
      </c>
      <c r="E816" s="1" t="n">
        <v>1</v>
      </c>
      <c r="F816" s="1" t="n">
        <v>1</v>
      </c>
      <c r="G816" s="1" t="n">
        <f aca="false">IF(E816=0,"",IF(D816="VIGENTE",1,0))</f>
        <v>0</v>
      </c>
      <c r="H816" s="1" t="inlineStr">
        <is>
          <t xml:space="preserve">B observado / C cálculo</t>
        </is>
      </c>
    </row>
    <row r="817" customFormat="false" ht="15" hidden="false" customHeight="true" outlineLevel="0" collapsed="false">
      <c r="A817" s="1" t="n">
        <v>2022</v>
      </c>
      <c r="B817" s="1" t="n">
        <v>3</v>
      </c>
      <c r="C817" s="1" t="inlineStr">
        <is>
          <t xml:space="preserve">IECSREOL20211</t>
        </is>
      </c>
      <c r="D817" s="1" t="inlineStr">
        <is>
          <t xml:space="preserve">TITULADO</t>
        </is>
      </c>
      <c r="E817" s="1" t="n">
        <v>57</v>
      </c>
      <c r="F817" s="1" t="n">
        <v>106</v>
      </c>
      <c r="G817" s="1" t="n">
        <f aca="false">IF(E817=0,"",IF(D817="VIGENTE",1,0))</f>
        <v>0</v>
      </c>
      <c r="H817" s="1" t="inlineStr">
        <is>
          <t xml:space="preserve">B observado / C cálculo</t>
        </is>
      </c>
    </row>
    <row r="818" customFormat="false" ht="15" hidden="false" customHeight="true" outlineLevel="0" collapsed="false">
      <c r="A818" s="1" t="n">
        <v>2022</v>
      </c>
      <c r="B818" s="1" t="n">
        <v>3</v>
      </c>
      <c r="C818" s="1" t="inlineStr">
        <is>
          <t xml:space="preserve">IECSREOL20211</t>
        </is>
      </c>
      <c r="D818" s="1" t="inlineStr">
        <is>
          <t xml:space="preserve">VIGENTE</t>
        </is>
      </c>
      <c r="E818" s="1" t="n">
        <v>1</v>
      </c>
      <c r="F818" s="1" t="n">
        <v>2</v>
      </c>
      <c r="G818" s="1" t="n">
        <f aca="false">IF(E818=0,"",IF(D818="VIGENTE",1,0))</f>
        <v>1</v>
      </c>
      <c r="H818" s="1" t="inlineStr">
        <is>
          <t xml:space="preserve">B observado / C cálculo</t>
        </is>
      </c>
    </row>
    <row r="819" customFormat="false" ht="15" hidden="false" customHeight="true" outlineLevel="0" collapsed="false">
      <c r="A819" s="1" t="n">
        <v>2022</v>
      </c>
      <c r="B819" s="1" t="n">
        <v>3</v>
      </c>
      <c r="C819" s="1" t="inlineStr">
        <is>
          <t xml:space="preserve">IETMREOL</t>
        </is>
      </c>
      <c r="D819" s="1" t="inlineStr">
        <is>
          <t xml:space="preserve">TITULADO</t>
        </is>
      </c>
      <c r="E819" s="1" t="n">
        <v>1</v>
      </c>
      <c r="F819" s="1" t="n">
        <v>1</v>
      </c>
      <c r="G819" s="1" t="n">
        <f aca="false">IF(E819=0,"",IF(D819="VIGENTE",1,0))</f>
        <v>0</v>
      </c>
      <c r="H819" s="1" t="inlineStr">
        <is>
          <t xml:space="preserve">B observado / C cálculo</t>
        </is>
      </c>
    </row>
    <row r="820" customFormat="false" ht="15" hidden="false" customHeight="true" outlineLevel="0" collapsed="false">
      <c r="A820" s="1" t="n">
        <v>2022</v>
      </c>
      <c r="B820" s="1" t="n">
        <v>3</v>
      </c>
      <c r="C820" s="1" t="inlineStr">
        <is>
          <t xml:space="preserve">IETMREOL20191</t>
        </is>
      </c>
      <c r="D820" s="1" t="inlineStr">
        <is>
          <t xml:space="preserve">ELIMINADO</t>
        </is>
      </c>
      <c r="E820" s="1" t="n">
        <v>1</v>
      </c>
      <c r="F820" s="1" t="n">
        <v>2</v>
      </c>
      <c r="G820" s="1" t="n">
        <f aca="false">IF(E820=0,"",IF(D820="VIGENTE",1,0))</f>
        <v>0</v>
      </c>
      <c r="H820" s="1" t="inlineStr">
        <is>
          <t xml:space="preserve">B observado / C cálculo</t>
        </is>
      </c>
    </row>
    <row r="821" customFormat="false" ht="15" hidden="false" customHeight="true" outlineLevel="0" collapsed="false">
      <c r="A821" s="1" t="n">
        <v>2022</v>
      </c>
      <c r="B821" s="1" t="n">
        <v>3</v>
      </c>
      <c r="C821" s="1" t="inlineStr">
        <is>
          <t xml:space="preserve">IETMREOL20191</t>
        </is>
      </c>
      <c r="D821" s="1" t="inlineStr">
        <is>
          <t xml:space="preserve">TITULADO</t>
        </is>
      </c>
      <c r="E821" s="1" t="n">
        <v>5</v>
      </c>
      <c r="F821" s="1" t="n">
        <v>10</v>
      </c>
      <c r="G821" s="1" t="n">
        <f aca="false">IF(E821=0,"",IF(D821="VIGENTE",1,0))</f>
        <v>0</v>
      </c>
      <c r="H821" s="1" t="inlineStr">
        <is>
          <t xml:space="preserve">B observado / C cálculo</t>
        </is>
      </c>
    </row>
    <row r="822" customFormat="false" ht="15" hidden="false" customHeight="true" outlineLevel="0" collapsed="false">
      <c r="A822" s="1" t="n">
        <v>2022</v>
      </c>
      <c r="B822" s="1" t="n">
        <v>3</v>
      </c>
      <c r="C822" s="1" t="inlineStr">
        <is>
          <t xml:space="preserve">IETMREOL20211</t>
        </is>
      </c>
      <c r="D822" s="1" t="inlineStr">
        <is>
          <t xml:space="preserve">ELIMINADO</t>
        </is>
      </c>
      <c r="E822" s="1" t="n">
        <v>36</v>
      </c>
      <c r="F822" s="1" t="n">
        <v>59</v>
      </c>
      <c r="G822" s="1" t="n">
        <f aca="false">IF(E822=0,"",IF(D822="VIGENTE",1,0))</f>
        <v>0</v>
      </c>
      <c r="H822" s="1" t="inlineStr">
        <is>
          <t xml:space="preserve">B observado / C cálculo</t>
        </is>
      </c>
    </row>
    <row r="823" customFormat="false" ht="15" hidden="false" customHeight="true" outlineLevel="0" collapsed="false">
      <c r="A823" s="1" t="n">
        <v>2022</v>
      </c>
      <c r="B823" s="1" t="n">
        <v>3</v>
      </c>
      <c r="C823" s="1" t="inlineStr">
        <is>
          <t xml:space="preserve">IETMREOL20211</t>
        </is>
      </c>
      <c r="D823" s="1" t="inlineStr">
        <is>
          <t xml:space="preserve">SUSPENDIDO</t>
        </is>
      </c>
      <c r="E823" s="1" t="n">
        <v>1</v>
      </c>
      <c r="F823" s="1" t="n">
        <v>1</v>
      </c>
      <c r="G823" s="1" t="n">
        <f aca="false">IF(E823=0,"",IF(D823="VIGENTE",1,0))</f>
        <v>0</v>
      </c>
      <c r="H823" s="1" t="inlineStr">
        <is>
          <t xml:space="preserve">B observado / C cálculo</t>
        </is>
      </c>
    </row>
    <row r="824" customFormat="false" ht="15" hidden="false" customHeight="true" outlineLevel="0" collapsed="false">
      <c r="A824" s="1" t="n">
        <v>2022</v>
      </c>
      <c r="B824" s="1" t="n">
        <v>3</v>
      </c>
      <c r="C824" s="1" t="inlineStr">
        <is>
          <t xml:space="preserve">IETMREOL20211</t>
        </is>
      </c>
      <c r="D824" s="1" t="inlineStr">
        <is>
          <t xml:space="preserve">TITULADO</t>
        </is>
      </c>
      <c r="E824" s="1" t="n">
        <v>76</v>
      </c>
      <c r="F824" s="1" t="n">
        <v>177</v>
      </c>
      <c r="G824" s="1" t="n">
        <f aca="false">IF(E824=0,"",IF(D824="VIGENTE",1,0))</f>
        <v>0</v>
      </c>
      <c r="H824" s="1" t="inlineStr">
        <is>
          <t xml:space="preserve">B observado / C cálculo</t>
        </is>
      </c>
    </row>
    <row r="825" customFormat="false" ht="15" hidden="false" customHeight="true" outlineLevel="0" collapsed="false">
      <c r="A825" s="1" t="n">
        <v>2022</v>
      </c>
      <c r="B825" s="1" t="n">
        <v>3</v>
      </c>
      <c r="C825" s="1" t="inlineStr">
        <is>
          <t xml:space="preserve">IETMREOL20211</t>
        </is>
      </c>
      <c r="D825" s="1" t="inlineStr">
        <is>
          <t xml:space="preserve">VIGENTE</t>
        </is>
      </c>
      <c r="E825" s="1" t="n">
        <v>1</v>
      </c>
      <c r="F825" s="1" t="n">
        <v>3</v>
      </c>
      <c r="G825" s="1" t="n">
        <f aca="false">IF(E825=0,"",IF(D825="VIGENTE",1,0))</f>
        <v>1</v>
      </c>
      <c r="H825" s="1" t="inlineStr">
        <is>
          <t xml:space="preserve">B observado / C cálculo</t>
        </is>
      </c>
    </row>
    <row r="826" customFormat="false" ht="15" hidden="false" customHeight="true" outlineLevel="0" collapsed="false">
      <c r="A826" s="1" t="n">
        <v>2022</v>
      </c>
      <c r="B826" s="1" t="n">
        <v>3</v>
      </c>
      <c r="C826" s="1" t="inlineStr">
        <is>
          <t xml:space="preserve">NCONRE</t>
        </is>
      </c>
      <c r="D826" s="1" t="inlineStr">
        <is>
          <t xml:space="preserve">TITULADO</t>
        </is>
      </c>
      <c r="E826" s="1" t="n">
        <v>1</v>
      </c>
      <c r="F826" s="1" t="n">
        <v>1</v>
      </c>
      <c r="G826" s="1" t="n">
        <f aca="false">IF(E826=0,"",IF(D826="VIGENTE",1,0))</f>
        <v>0</v>
      </c>
      <c r="H826" s="1" t="inlineStr">
        <is>
          <t xml:space="preserve">B observado / C cálculo</t>
        </is>
      </c>
    </row>
    <row r="827" customFormat="false" ht="15" hidden="false" customHeight="true" outlineLevel="0" collapsed="false">
      <c r="A827" s="1" t="n">
        <v>2022</v>
      </c>
      <c r="B827" s="1" t="n">
        <v>3</v>
      </c>
      <c r="C827" s="1" t="inlineStr">
        <is>
          <t xml:space="preserve">NCONREOL2019</t>
        </is>
      </c>
      <c r="D827" s="1" t="inlineStr">
        <is>
          <t xml:space="preserve">TITULADO</t>
        </is>
      </c>
      <c r="E827" s="1" t="n">
        <v>7</v>
      </c>
      <c r="F827" s="1" t="n">
        <v>8</v>
      </c>
      <c r="G827" s="1" t="n">
        <f aca="false">IF(E827=0,"",IF(D827="VIGENTE",1,0))</f>
        <v>0</v>
      </c>
      <c r="H827" s="1" t="inlineStr">
        <is>
          <t xml:space="preserve">B observado / C cálculo</t>
        </is>
      </c>
    </row>
    <row r="828" customFormat="false" ht="15" hidden="false" customHeight="true" outlineLevel="0" collapsed="false">
      <c r="A828" s="1" t="n">
        <v>2022</v>
      </c>
      <c r="B828" s="1" t="n">
        <v>3</v>
      </c>
      <c r="C828" s="1" t="inlineStr">
        <is>
          <t xml:space="preserve">NTCCREOL2020</t>
        </is>
      </c>
      <c r="D828" s="1" t="inlineStr">
        <is>
          <t xml:space="preserve">TITULADO</t>
        </is>
      </c>
      <c r="E828" s="1" t="n">
        <v>17</v>
      </c>
      <c r="F828" s="1" t="n">
        <v>41</v>
      </c>
      <c r="G828" s="1" t="n">
        <f aca="false">IF(E828=0,"",IF(D828="VIGENTE",1,0))</f>
        <v>0</v>
      </c>
      <c r="H828" s="1" t="inlineStr">
        <is>
          <t xml:space="preserve">B observado / C cálculo</t>
        </is>
      </c>
    </row>
    <row r="829" customFormat="false" ht="15" hidden="false" customHeight="true" outlineLevel="0" collapsed="false">
      <c r="A829" s="1" t="n">
        <v>2022</v>
      </c>
      <c r="B829" s="1" t="n">
        <v>3</v>
      </c>
      <c r="C829" s="1" t="inlineStr">
        <is>
          <t xml:space="preserve">TASREOL20191</t>
        </is>
      </c>
      <c r="D829" s="1" t="inlineStr">
        <is>
          <t xml:space="preserve">ELIMINADO</t>
        </is>
      </c>
      <c r="E829" s="1" t="n">
        <v>1</v>
      </c>
      <c r="F829" s="1" t="n">
        <v>1</v>
      </c>
      <c r="G829" s="1" t="n">
        <f aca="false">IF(E829=0,"",IF(D829="VIGENTE",1,0))</f>
        <v>0</v>
      </c>
      <c r="H829" s="1" t="inlineStr">
        <is>
          <t xml:space="preserve">B observado / C cálculo</t>
        </is>
      </c>
    </row>
    <row r="830" customFormat="false" ht="15" hidden="false" customHeight="true" outlineLevel="0" collapsed="false">
      <c r="A830" s="1" t="n">
        <v>2022</v>
      </c>
      <c r="B830" s="1" t="n">
        <v>3</v>
      </c>
      <c r="C830" s="1" t="inlineStr">
        <is>
          <t xml:space="preserve">TCSREOL2020</t>
        </is>
      </c>
      <c r="D830" s="1" t="inlineStr">
        <is>
          <t xml:space="preserve">TITULADO</t>
        </is>
      </c>
      <c r="E830" s="1" t="n">
        <v>3</v>
      </c>
      <c r="F830" s="1" t="n">
        <v>7</v>
      </c>
      <c r="G830" s="1" t="n">
        <f aca="false">IF(E830=0,"",IF(D830="VIGENTE",1,0))</f>
        <v>0</v>
      </c>
      <c r="H830" s="1" t="inlineStr">
        <is>
          <t xml:space="preserve">B observado / C cálculo</t>
        </is>
      </c>
    </row>
    <row r="831" customFormat="false" ht="15" hidden="false" customHeight="true" outlineLevel="0" collapsed="false">
      <c r="A831" s="1" t="n">
        <v>2022</v>
      </c>
      <c r="B831" s="1" t="n">
        <v>3</v>
      </c>
      <c r="C831" s="1" t="inlineStr">
        <is>
          <t xml:space="preserve">TCSREOL20211</t>
        </is>
      </c>
      <c r="D831" s="1" t="inlineStr">
        <is>
          <t xml:space="preserve">ELIMINADO</t>
        </is>
      </c>
      <c r="E831" s="1" t="n">
        <v>23</v>
      </c>
      <c r="F831" s="1" t="n">
        <v>27</v>
      </c>
      <c r="G831" s="1" t="n">
        <f aca="false">IF(E831=0,"",IF(D831="VIGENTE",1,0))</f>
        <v>0</v>
      </c>
      <c r="H831" s="1" t="inlineStr">
        <is>
          <t xml:space="preserve">B observado / C cálculo</t>
        </is>
      </c>
    </row>
    <row r="832" customFormat="false" ht="15" hidden="false" customHeight="true" outlineLevel="0" collapsed="false">
      <c r="A832" s="1" t="n">
        <v>2022</v>
      </c>
      <c r="B832" s="1" t="n">
        <v>3</v>
      </c>
      <c r="C832" s="1" t="inlineStr">
        <is>
          <t xml:space="preserve">TCSREOL20211</t>
        </is>
      </c>
      <c r="D832" s="1" t="inlineStr">
        <is>
          <t xml:space="preserve">TITULADO</t>
        </is>
      </c>
      <c r="E832" s="1" t="n">
        <v>29</v>
      </c>
      <c r="F832" s="1" t="n">
        <v>31</v>
      </c>
      <c r="G832" s="1" t="n">
        <f aca="false">IF(E832=0,"",IF(D832="VIGENTE",1,0))</f>
        <v>0</v>
      </c>
      <c r="H832" s="1" t="inlineStr">
        <is>
          <t xml:space="preserve">B observado / C cálculo</t>
        </is>
      </c>
    </row>
    <row r="833" customFormat="false" ht="15" hidden="false" customHeight="true" outlineLevel="0" collapsed="false">
      <c r="A833" s="1" t="n">
        <v>2022</v>
      </c>
      <c r="B833" s="1" t="n">
        <v>3</v>
      </c>
      <c r="C833" s="1" t="inlineStr">
        <is>
          <t xml:space="preserve">TPAREOL2020</t>
        </is>
      </c>
      <c r="D833" s="1" t="inlineStr">
        <is>
          <t xml:space="preserve">TITULADO</t>
        </is>
      </c>
      <c r="E833" s="1" t="n">
        <v>4</v>
      </c>
      <c r="F833" s="1" t="n">
        <v>6</v>
      </c>
      <c r="G833" s="1" t="n">
        <f aca="false">IF(E833=0,"",IF(D833="VIGENTE",1,0))</f>
        <v>0</v>
      </c>
      <c r="H833" s="1" t="inlineStr">
        <is>
          <t xml:space="preserve">B observado / C cálculo</t>
        </is>
      </c>
    </row>
    <row r="834" customFormat="false" ht="15" hidden="false" customHeight="true" outlineLevel="0" collapsed="false">
      <c r="A834" s="1" t="n">
        <v>2022</v>
      </c>
      <c r="B834" s="1" t="n">
        <v>3</v>
      </c>
      <c r="C834" s="1" t="inlineStr">
        <is>
          <t xml:space="preserve">TPAREOL20211</t>
        </is>
      </c>
      <c r="D834" s="1" t="inlineStr">
        <is>
          <t xml:space="preserve">ELIMINADO</t>
        </is>
      </c>
      <c r="E834" s="1" t="n">
        <v>47</v>
      </c>
      <c r="F834" s="1" t="n">
        <v>59</v>
      </c>
      <c r="G834" s="1" t="n">
        <f aca="false">IF(E834=0,"",IF(D834="VIGENTE",1,0))</f>
        <v>0</v>
      </c>
      <c r="H834" s="1" t="inlineStr">
        <is>
          <t xml:space="preserve">B observado / C cálculo</t>
        </is>
      </c>
    </row>
    <row r="835" customFormat="false" ht="15" hidden="false" customHeight="true" outlineLevel="0" collapsed="false">
      <c r="A835" s="1" t="n">
        <v>2022</v>
      </c>
      <c r="B835" s="1" t="n">
        <v>3</v>
      </c>
      <c r="C835" s="1" t="inlineStr">
        <is>
          <t xml:space="preserve">TPAREOL20211</t>
        </is>
      </c>
      <c r="D835" s="1" t="inlineStr">
        <is>
          <t xml:space="preserve">TITULADO</t>
        </is>
      </c>
      <c r="E835" s="1" t="n">
        <v>76</v>
      </c>
      <c r="F835" s="1" t="n">
        <v>93</v>
      </c>
      <c r="G835" s="1" t="n">
        <f aca="false">IF(E835=0,"",IF(D835="VIGENTE",1,0))</f>
        <v>0</v>
      </c>
      <c r="H835" s="1" t="inlineStr">
        <is>
          <t xml:space="preserve">B observado / C cálculo</t>
        </is>
      </c>
    </row>
    <row r="836" customFormat="false" ht="15" hidden="false" customHeight="true" outlineLevel="0" collapsed="false">
      <c r="A836" s="1" t="n">
        <v>2022</v>
      </c>
      <c r="B836" s="1" t="n">
        <v>3</v>
      </c>
      <c r="C836" s="1" t="inlineStr">
        <is>
          <t xml:space="preserve">TPAREOL20211</t>
        </is>
      </c>
      <c r="D836" s="1" t="inlineStr">
        <is>
          <t xml:space="preserve">VIGENTE</t>
        </is>
      </c>
      <c r="E836" s="1" t="n">
        <v>2</v>
      </c>
      <c r="F836" s="1" t="n">
        <v>2</v>
      </c>
      <c r="G836" s="1" t="n">
        <f aca="false">IF(E836=0,"",IF(D836="VIGENTE",1,0))</f>
        <v>1</v>
      </c>
      <c r="H836" s="1" t="inlineStr">
        <is>
          <t xml:space="preserve">B observado / C cálculo</t>
        </is>
      </c>
    </row>
    <row r="837" customFormat="false" ht="15" hidden="false" customHeight="true" outlineLevel="0" collapsed="false">
      <c r="A837" s="1" t="n">
        <v>2022</v>
      </c>
      <c r="B837" s="1" t="n">
        <v>3</v>
      </c>
      <c r="C837" s="1" t="inlineStr">
        <is>
          <t xml:space="preserve">TTMREOL20191</t>
        </is>
      </c>
      <c r="D837" s="1" t="inlineStr">
        <is>
          <t xml:space="preserve">ELIMINADO</t>
        </is>
      </c>
      <c r="E837" s="1" t="n">
        <v>1</v>
      </c>
      <c r="F837" s="1" t="n">
        <v>1</v>
      </c>
      <c r="G837" s="1" t="n">
        <f aca="false">IF(E837=0,"",IF(D837="VIGENTE",1,0))</f>
        <v>0</v>
      </c>
      <c r="H837" s="1" t="inlineStr">
        <is>
          <t xml:space="preserve">B observado / C cálculo</t>
        </is>
      </c>
    </row>
    <row r="838" customFormat="false" ht="15" hidden="false" customHeight="true" outlineLevel="0" collapsed="false">
      <c r="A838" s="1" t="n">
        <v>2022</v>
      </c>
      <c r="B838" s="1" t="n">
        <v>3</v>
      </c>
      <c r="C838" s="1" t="inlineStr">
        <is>
          <t xml:space="preserve">TTMREOL20191</t>
        </is>
      </c>
      <c r="D838" s="1" t="inlineStr">
        <is>
          <t xml:space="preserve">SUSPENDIDO</t>
        </is>
      </c>
      <c r="E838" s="1" t="n">
        <v>1</v>
      </c>
      <c r="F838" s="1" t="n">
        <v>1</v>
      </c>
      <c r="G838" s="1" t="n">
        <f aca="false">IF(E838=0,"",IF(D838="VIGENTE",1,0))</f>
        <v>0</v>
      </c>
      <c r="H838" s="1" t="inlineStr">
        <is>
          <t xml:space="preserve">B observado / C cálculo</t>
        </is>
      </c>
    </row>
    <row r="839" customFormat="false" ht="15" hidden="false" customHeight="true" outlineLevel="0" collapsed="false">
      <c r="A839" s="1" t="n">
        <v>2022</v>
      </c>
      <c r="B839" s="1" t="n">
        <v>3</v>
      </c>
      <c r="C839" s="1" t="inlineStr">
        <is>
          <t xml:space="preserve">TTMREOL20191</t>
        </is>
      </c>
      <c r="D839" s="1" t="inlineStr">
        <is>
          <t xml:space="preserve">TITULADO</t>
        </is>
      </c>
      <c r="E839" s="1" t="n">
        <v>4</v>
      </c>
      <c r="F839" s="1" t="n">
        <v>4</v>
      </c>
      <c r="G839" s="1" t="n">
        <f aca="false">IF(E839=0,"",IF(D839="VIGENTE",1,0))</f>
        <v>0</v>
      </c>
      <c r="H839" s="1" t="inlineStr">
        <is>
          <t xml:space="preserve">B observado / C cálculo</t>
        </is>
      </c>
    </row>
    <row r="840" customFormat="false" ht="15" hidden="false" customHeight="true" outlineLevel="0" collapsed="false">
      <c r="A840" s="1" t="n">
        <v>2022</v>
      </c>
      <c r="B840" s="1" t="n">
        <v>3</v>
      </c>
      <c r="C840" s="1" t="inlineStr">
        <is>
          <t xml:space="preserve">TTMREOL20211</t>
        </is>
      </c>
      <c r="D840" s="1" t="inlineStr">
        <is>
          <t xml:space="preserve">ELIMINADO</t>
        </is>
      </c>
      <c r="E840" s="1" t="n">
        <v>21</v>
      </c>
      <c r="F840" s="1" t="n">
        <v>23</v>
      </c>
      <c r="G840" s="1" t="n">
        <f aca="false">IF(E840=0,"",IF(D840="VIGENTE",1,0))</f>
        <v>0</v>
      </c>
      <c r="H840" s="1" t="inlineStr">
        <is>
          <t xml:space="preserve">B observado / C cálculo</t>
        </is>
      </c>
    </row>
    <row r="841" customFormat="false" ht="15" hidden="false" customHeight="true" outlineLevel="0" collapsed="false">
      <c r="A841" s="1" t="n">
        <v>2022</v>
      </c>
      <c r="B841" s="1" t="n">
        <v>3</v>
      </c>
      <c r="C841" s="1" t="inlineStr">
        <is>
          <t xml:space="preserve">TTMREOL20211</t>
        </is>
      </c>
      <c r="D841" s="1" t="inlineStr">
        <is>
          <t xml:space="preserve">TITULADO</t>
        </is>
      </c>
      <c r="E841" s="1" t="n">
        <v>30</v>
      </c>
      <c r="F841" s="1" t="n">
        <v>31</v>
      </c>
      <c r="G841" s="1" t="n">
        <f aca="false">IF(E841=0,"",IF(D841="VIGENTE",1,0))</f>
        <v>0</v>
      </c>
      <c r="H841" s="1" t="inlineStr">
        <is>
          <t xml:space="preserve">B observado / C cálculo</t>
        </is>
      </c>
    </row>
    <row r="842" customFormat="false" ht="15" hidden="false" customHeight="true" outlineLevel="0" collapsed="false">
      <c r="A842" s="1" t="n">
        <v>2022</v>
      </c>
      <c r="B842" s="1" t="n">
        <v>3</v>
      </c>
      <c r="C842" s="1" t="inlineStr">
        <is>
          <t xml:space="preserve">TTMREOL20211</t>
        </is>
      </c>
      <c r="D842" s="1" t="inlineStr">
        <is>
          <t xml:space="preserve">VIGENTE</t>
        </is>
      </c>
      <c r="E842" s="1" t="n">
        <v>1</v>
      </c>
      <c r="F842" s="1" t="n">
        <v>1</v>
      </c>
      <c r="G842" s="1" t="n">
        <f aca="false">IF(E842=0,"",IF(D842="VIGENTE",1,0))</f>
        <v>1</v>
      </c>
      <c r="H842" s="1" t="inlineStr">
        <is>
          <t xml:space="preserve">B observado / C cálculo</t>
        </is>
      </c>
    </row>
    <row r="843" customFormat="false" ht="15" hidden="false" customHeight="true" outlineLevel="0" collapsed="false">
      <c r="A843" s="1" t="n">
        <v>2022</v>
      </c>
      <c r="B843" s="1" t="n">
        <v>3</v>
      </c>
      <c r="C843" s="1" t="inlineStr">
        <is>
          <t xml:space="preserve">TTMREOL20231</t>
        </is>
      </c>
      <c r="D843" s="1" t="inlineStr">
        <is>
          <t xml:space="preserve">ELIMINADO</t>
        </is>
      </c>
      <c r="E843" s="1" t="n">
        <v>1</v>
      </c>
      <c r="F843" s="1" t="n">
        <v>1</v>
      </c>
      <c r="G843" s="1" t="n">
        <f aca="false">IF(E843=0,"",IF(D843="VIGENTE",1,0))</f>
        <v>0</v>
      </c>
      <c r="H843" s="1" t="inlineStr">
        <is>
          <t xml:space="preserve">B observado / C cálculo</t>
        </is>
      </c>
    </row>
    <row r="844" customFormat="false" ht="15" hidden="false" customHeight="true" outlineLevel="0" collapsed="false">
      <c r="A844" s="1" t="n">
        <v>2022</v>
      </c>
      <c r="B844" s="1" t="n">
        <v>4</v>
      </c>
      <c r="C844" s="1" t="inlineStr">
        <is>
          <t xml:space="preserve">IECIREOL20191</t>
        </is>
      </c>
      <c r="D844" s="1" t="inlineStr">
        <is>
          <t xml:space="preserve">ELIMINADO</t>
        </is>
      </c>
      <c r="E844" s="1" t="n">
        <v>1</v>
      </c>
      <c r="F844" s="1" t="n">
        <v>2</v>
      </c>
      <c r="G844" s="1" t="n">
        <f aca="false">IF(E844=0,"",IF(D844="VIGENTE",1,0))</f>
        <v>0</v>
      </c>
      <c r="H844" s="1" t="inlineStr">
        <is>
          <t xml:space="preserve">B observado / C cálculo</t>
        </is>
      </c>
    </row>
    <row r="845" customFormat="false" ht="15" hidden="false" customHeight="true" outlineLevel="0" collapsed="false">
      <c r="A845" s="1" t="n">
        <v>2022</v>
      </c>
      <c r="B845" s="1" t="n">
        <v>4</v>
      </c>
      <c r="C845" s="1" t="inlineStr">
        <is>
          <t xml:space="preserve">IECIREOL20191</t>
        </is>
      </c>
      <c r="D845" s="1" t="inlineStr">
        <is>
          <t xml:space="preserve">TITULADO</t>
        </is>
      </c>
      <c r="E845" s="1" t="n">
        <v>11</v>
      </c>
      <c r="F845" s="1" t="n">
        <v>20</v>
      </c>
      <c r="G845" s="1" t="n">
        <f aca="false">IF(E845=0,"",IF(D845="VIGENTE",1,0))</f>
        <v>0</v>
      </c>
      <c r="H845" s="1" t="inlineStr">
        <is>
          <t xml:space="preserve">B observado / C cálculo</t>
        </is>
      </c>
    </row>
    <row r="846" customFormat="false" ht="15" hidden="false" customHeight="true" outlineLevel="0" collapsed="false">
      <c r="A846" s="1" t="n">
        <v>2022</v>
      </c>
      <c r="B846" s="1" t="n">
        <v>4</v>
      </c>
      <c r="C846" s="1" t="inlineStr">
        <is>
          <t xml:space="preserve">IECIREOL20201</t>
        </is>
      </c>
      <c r="D846" s="1" t="inlineStr">
        <is>
          <t xml:space="preserve">TITULADO</t>
        </is>
      </c>
      <c r="E846" s="1" t="n">
        <v>2</v>
      </c>
      <c r="F846" s="1" t="n">
        <v>2</v>
      </c>
      <c r="G846" s="1" t="n">
        <f aca="false">IF(E846=0,"",IF(D846="VIGENTE",1,0))</f>
        <v>0</v>
      </c>
      <c r="H846" s="1" t="inlineStr">
        <is>
          <t xml:space="preserve">B observado / C cálculo</t>
        </is>
      </c>
    </row>
    <row r="847" customFormat="false" ht="15" hidden="false" customHeight="true" outlineLevel="0" collapsed="false">
      <c r="A847" s="1" t="n">
        <v>2022</v>
      </c>
      <c r="B847" s="1" t="n">
        <v>4</v>
      </c>
      <c r="C847" s="1" t="inlineStr">
        <is>
          <t xml:space="preserve">IECIREOL20211</t>
        </is>
      </c>
      <c r="D847" s="1" t="inlineStr">
        <is>
          <t xml:space="preserve">ELIMINADO</t>
        </is>
      </c>
      <c r="E847" s="1" t="n">
        <v>36</v>
      </c>
      <c r="F847" s="1" t="n">
        <v>42</v>
      </c>
      <c r="G847" s="1" t="n">
        <f aca="false">IF(E847=0,"",IF(D847="VIGENTE",1,0))</f>
        <v>0</v>
      </c>
      <c r="H847" s="1" t="inlineStr">
        <is>
          <t xml:space="preserve">B observado / C cálculo</t>
        </is>
      </c>
    </row>
    <row r="848" customFormat="false" ht="15" hidden="false" customHeight="true" outlineLevel="0" collapsed="false">
      <c r="A848" s="1" t="n">
        <v>2022</v>
      </c>
      <c r="B848" s="1" t="n">
        <v>4</v>
      </c>
      <c r="C848" s="1" t="inlineStr">
        <is>
          <t xml:space="preserve">IECIREOL20211</t>
        </is>
      </c>
      <c r="D848" s="1" t="inlineStr">
        <is>
          <t xml:space="preserve">SUSPENDIDO</t>
        </is>
      </c>
      <c r="E848" s="1" t="n">
        <v>1</v>
      </c>
      <c r="F848" s="1" t="n">
        <v>1</v>
      </c>
      <c r="G848" s="1" t="n">
        <f aca="false">IF(E848=0,"",IF(D848="VIGENTE",1,0))</f>
        <v>0</v>
      </c>
      <c r="H848" s="1" t="inlineStr">
        <is>
          <t xml:space="preserve">B observado / C cálculo</t>
        </is>
      </c>
    </row>
    <row r="849" customFormat="false" ht="15" hidden="false" customHeight="true" outlineLevel="0" collapsed="false">
      <c r="A849" s="1" t="n">
        <v>2022</v>
      </c>
      <c r="B849" s="1" t="n">
        <v>4</v>
      </c>
      <c r="C849" s="1" t="inlineStr">
        <is>
          <t xml:space="preserve">IECIREOL20211</t>
        </is>
      </c>
      <c r="D849" s="1" t="inlineStr">
        <is>
          <t xml:space="preserve">TITULADO</t>
        </is>
      </c>
      <c r="E849" s="1" t="n">
        <v>51</v>
      </c>
      <c r="F849" s="1" t="n">
        <v>91</v>
      </c>
      <c r="G849" s="1" t="n">
        <f aca="false">IF(E849=0,"",IF(D849="VIGENTE",1,0))</f>
        <v>0</v>
      </c>
      <c r="H849" s="1" t="inlineStr">
        <is>
          <t xml:space="preserve">B observado / C cálculo</t>
        </is>
      </c>
    </row>
    <row r="850" customFormat="false" ht="15" hidden="false" customHeight="true" outlineLevel="0" collapsed="false">
      <c r="A850" s="1" t="n">
        <v>2022</v>
      </c>
      <c r="B850" s="1" t="n">
        <v>4</v>
      </c>
      <c r="C850" s="1" t="inlineStr">
        <is>
          <t xml:space="preserve">IECIREOL20211</t>
        </is>
      </c>
      <c r="D850" s="1" t="inlineStr">
        <is>
          <t xml:space="preserve">VIGENTE</t>
        </is>
      </c>
      <c r="E850" s="1" t="n">
        <v>1</v>
      </c>
      <c r="F850" s="1" t="n">
        <v>2</v>
      </c>
      <c r="G850" s="1" t="n">
        <f aca="false">IF(E850=0,"",IF(D850="VIGENTE",1,0))</f>
        <v>1</v>
      </c>
      <c r="H850" s="1" t="inlineStr">
        <is>
          <t xml:space="preserve">B observado / C cálculo</t>
        </is>
      </c>
    </row>
    <row r="851" customFormat="false" ht="15" hidden="false" customHeight="true" outlineLevel="0" collapsed="false">
      <c r="A851" s="1" t="n">
        <v>2022</v>
      </c>
      <c r="B851" s="1" t="n">
        <v>4</v>
      </c>
      <c r="C851" s="1" t="inlineStr">
        <is>
          <t xml:space="preserve">IECSREOL20211</t>
        </is>
      </c>
      <c r="D851" s="1" t="inlineStr">
        <is>
          <t xml:space="preserve">ELIMINADO</t>
        </is>
      </c>
      <c r="E851" s="1" t="n">
        <v>13</v>
      </c>
      <c r="F851" s="1" t="n">
        <v>29</v>
      </c>
      <c r="G851" s="1" t="n">
        <f aca="false">IF(E851=0,"",IF(D851="VIGENTE",1,0))</f>
        <v>0</v>
      </c>
      <c r="H851" s="1" t="inlineStr">
        <is>
          <t xml:space="preserve">B observado / C cálculo</t>
        </is>
      </c>
    </row>
    <row r="852" customFormat="false" ht="15" hidden="false" customHeight="true" outlineLevel="0" collapsed="false">
      <c r="A852" s="1" t="n">
        <v>2022</v>
      </c>
      <c r="B852" s="1" t="n">
        <v>4</v>
      </c>
      <c r="C852" s="1" t="inlineStr">
        <is>
          <t xml:space="preserve">IECSREOL20211</t>
        </is>
      </c>
      <c r="D852" s="1" t="inlineStr">
        <is>
          <t xml:space="preserve">SUSPENDIDO</t>
        </is>
      </c>
      <c r="E852" s="1" t="n">
        <v>1</v>
      </c>
      <c r="F852" s="1" t="n">
        <v>8</v>
      </c>
      <c r="G852" s="1" t="n">
        <f aca="false">IF(E852=0,"",IF(D852="VIGENTE",1,0))</f>
        <v>0</v>
      </c>
      <c r="H852" s="1" t="inlineStr">
        <is>
          <t xml:space="preserve">B observado / C cálculo</t>
        </is>
      </c>
    </row>
    <row r="853" customFormat="false" ht="15" hidden="false" customHeight="true" outlineLevel="0" collapsed="false">
      <c r="A853" s="1" t="n">
        <v>2022</v>
      </c>
      <c r="B853" s="1" t="n">
        <v>4</v>
      </c>
      <c r="C853" s="1" t="inlineStr">
        <is>
          <t xml:space="preserve">IECSREOL20211</t>
        </is>
      </c>
      <c r="D853" s="1" t="inlineStr">
        <is>
          <t xml:space="preserve">TITULADO</t>
        </is>
      </c>
      <c r="E853" s="1" t="n">
        <v>46</v>
      </c>
      <c r="F853" s="1" t="n">
        <v>64</v>
      </c>
      <c r="G853" s="1" t="n">
        <f aca="false">IF(E853=0,"",IF(D853="VIGENTE",1,0))</f>
        <v>0</v>
      </c>
      <c r="H853" s="1" t="inlineStr">
        <is>
          <t xml:space="preserve">B observado / C cálculo</t>
        </is>
      </c>
    </row>
    <row r="854" customFormat="false" ht="15" hidden="false" customHeight="true" outlineLevel="0" collapsed="false">
      <c r="A854" s="1" t="n">
        <v>2022</v>
      </c>
      <c r="B854" s="1" t="n">
        <v>4</v>
      </c>
      <c r="C854" s="1" t="inlineStr">
        <is>
          <t xml:space="preserve">IECSREOL20211</t>
        </is>
      </c>
      <c r="D854" s="1" t="inlineStr">
        <is>
          <t xml:space="preserve">VIGENTE</t>
        </is>
      </c>
      <c r="E854" s="1" t="n">
        <v>3</v>
      </c>
      <c r="F854" s="1" t="n">
        <v>17</v>
      </c>
      <c r="G854" s="1" t="n">
        <f aca="false">IF(E854=0,"",IF(D854="VIGENTE",1,0))</f>
        <v>1</v>
      </c>
      <c r="H854" s="1" t="inlineStr">
        <is>
          <t xml:space="preserve">B observado / C cálculo</t>
        </is>
      </c>
    </row>
    <row r="855" customFormat="false" ht="15" hidden="false" customHeight="true" outlineLevel="0" collapsed="false">
      <c r="A855" s="1" t="n">
        <v>2022</v>
      </c>
      <c r="B855" s="1" t="n">
        <v>4</v>
      </c>
      <c r="C855" s="1" t="inlineStr">
        <is>
          <t xml:space="preserve">IETMREOL20191</t>
        </is>
      </c>
      <c r="D855" s="1" t="inlineStr">
        <is>
          <t xml:space="preserve">TITULADO</t>
        </is>
      </c>
      <c r="E855" s="1" t="n">
        <v>12</v>
      </c>
      <c r="F855" s="1" t="n">
        <v>17</v>
      </c>
      <c r="G855" s="1" t="n">
        <f aca="false">IF(E855=0,"",IF(D855="VIGENTE",1,0))</f>
        <v>0</v>
      </c>
      <c r="H855" s="1" t="inlineStr">
        <is>
          <t xml:space="preserve">B observado / C cálculo</t>
        </is>
      </c>
    </row>
    <row r="856" customFormat="false" ht="15" hidden="false" customHeight="true" outlineLevel="0" collapsed="false">
      <c r="A856" s="1" t="n">
        <v>2022</v>
      </c>
      <c r="B856" s="1" t="n">
        <v>4</v>
      </c>
      <c r="C856" s="1" t="inlineStr">
        <is>
          <t xml:space="preserve">IETMREOL20191</t>
        </is>
      </c>
      <c r="D856" s="1" t="inlineStr">
        <is>
          <t xml:space="preserve">VIGENTE</t>
        </is>
      </c>
      <c r="E856" s="1" t="n">
        <v>1</v>
      </c>
      <c r="F856" s="1" t="n">
        <v>1</v>
      </c>
      <c r="G856" s="1" t="n">
        <f aca="false">IF(E856=0,"",IF(D856="VIGENTE",1,0))</f>
        <v>1</v>
      </c>
      <c r="H856" s="1" t="inlineStr">
        <is>
          <t xml:space="preserve">B observado / C cálculo</t>
        </is>
      </c>
    </row>
    <row r="857" customFormat="false" ht="15" hidden="false" customHeight="true" outlineLevel="0" collapsed="false">
      <c r="A857" s="1" t="n">
        <v>2022</v>
      </c>
      <c r="B857" s="1" t="n">
        <v>4</v>
      </c>
      <c r="C857" s="1" t="inlineStr">
        <is>
          <t xml:space="preserve">IETMREOL20211</t>
        </is>
      </c>
      <c r="D857" s="1" t="inlineStr">
        <is>
          <t xml:space="preserve">ELIMINADO</t>
        </is>
      </c>
      <c r="E857" s="1" t="n">
        <v>27</v>
      </c>
      <c r="F857" s="1" t="n">
        <v>46</v>
      </c>
      <c r="G857" s="1" t="n">
        <f aca="false">IF(E857=0,"",IF(D857="VIGENTE",1,0))</f>
        <v>0</v>
      </c>
      <c r="H857" s="1" t="inlineStr">
        <is>
          <t xml:space="preserve">B observado / C cálculo</t>
        </is>
      </c>
    </row>
    <row r="858" customFormat="false" ht="15" hidden="false" customHeight="true" outlineLevel="0" collapsed="false">
      <c r="A858" s="1" t="n">
        <v>2022</v>
      </c>
      <c r="B858" s="1" t="n">
        <v>4</v>
      </c>
      <c r="C858" s="1" t="inlineStr">
        <is>
          <t xml:space="preserve">IETMREOL20211</t>
        </is>
      </c>
      <c r="D858" s="1" t="inlineStr">
        <is>
          <t xml:space="preserve">SUSPENDIDO</t>
        </is>
      </c>
      <c r="E858" s="1" t="n">
        <v>1</v>
      </c>
      <c r="F858" s="1" t="n">
        <v>1</v>
      </c>
      <c r="G858" s="1" t="n">
        <f aca="false">IF(E858=0,"",IF(D858="VIGENTE",1,0))</f>
        <v>0</v>
      </c>
      <c r="H858" s="1" t="inlineStr">
        <is>
          <t xml:space="preserve">B observado / C cálculo</t>
        </is>
      </c>
    </row>
    <row r="859" customFormat="false" ht="15" hidden="false" customHeight="true" outlineLevel="0" collapsed="false">
      <c r="A859" s="1" t="n">
        <v>2022</v>
      </c>
      <c r="B859" s="1" t="n">
        <v>4</v>
      </c>
      <c r="C859" s="1" t="inlineStr">
        <is>
          <t xml:space="preserve">IETMREOL20211</t>
        </is>
      </c>
      <c r="D859" s="1" t="inlineStr">
        <is>
          <t xml:space="preserve">TITULADO</t>
        </is>
      </c>
      <c r="E859" s="1" t="n">
        <v>104</v>
      </c>
      <c r="F859" s="1" t="n">
        <v>196</v>
      </c>
      <c r="G859" s="1" t="n">
        <f aca="false">IF(E859=0,"",IF(D859="VIGENTE",1,0))</f>
        <v>0</v>
      </c>
      <c r="H859" s="1" t="inlineStr">
        <is>
          <t xml:space="preserve">B observado / C cálculo</t>
        </is>
      </c>
    </row>
    <row r="860" customFormat="false" ht="15" hidden="false" customHeight="true" outlineLevel="0" collapsed="false">
      <c r="A860" s="1" t="n">
        <v>2022</v>
      </c>
      <c r="B860" s="1" t="n">
        <v>4</v>
      </c>
      <c r="C860" s="1" t="inlineStr">
        <is>
          <t xml:space="preserve">IETMREOL20211</t>
        </is>
      </c>
      <c r="D860" s="1" t="inlineStr">
        <is>
          <t xml:space="preserve">VIGENTE</t>
        </is>
      </c>
      <c r="E860" s="1" t="n">
        <v>1</v>
      </c>
      <c r="F860" s="1" t="n">
        <v>1</v>
      </c>
      <c r="G860" s="1" t="n">
        <f aca="false">IF(E860=0,"",IF(D860="VIGENTE",1,0))</f>
        <v>1</v>
      </c>
      <c r="H860" s="1" t="inlineStr">
        <is>
          <t xml:space="preserve">B observado / C cálculo</t>
        </is>
      </c>
    </row>
    <row r="861" customFormat="false" ht="15" hidden="false" customHeight="true" outlineLevel="0" collapsed="false">
      <c r="A861" s="1" t="n">
        <v>2022</v>
      </c>
      <c r="B861" s="1" t="n">
        <v>4</v>
      </c>
      <c r="C861" s="1" t="inlineStr">
        <is>
          <t xml:space="preserve">NTCCREOL2020</t>
        </is>
      </c>
      <c r="D861" s="1" t="inlineStr">
        <is>
          <t xml:space="preserve">TITULADO</t>
        </is>
      </c>
      <c r="E861" s="1" t="n">
        <v>6</v>
      </c>
      <c r="F861" s="1" t="n">
        <v>12</v>
      </c>
      <c r="G861" s="1" t="n">
        <f aca="false">IF(E861=0,"",IF(D861="VIGENTE",1,0))</f>
        <v>0</v>
      </c>
      <c r="H861" s="1" t="inlineStr">
        <is>
          <t xml:space="preserve">B observado / C cálculo</t>
        </is>
      </c>
    </row>
    <row r="862" customFormat="false" ht="15" hidden="false" customHeight="true" outlineLevel="0" collapsed="false">
      <c r="A862" s="1" t="n">
        <v>2022</v>
      </c>
      <c r="B862" s="1" t="n">
        <v>4</v>
      </c>
      <c r="C862" s="1" t="inlineStr">
        <is>
          <t xml:space="preserve">TASREOL20191</t>
        </is>
      </c>
      <c r="D862" s="1" t="inlineStr">
        <is>
          <t xml:space="preserve">ELIMINADO</t>
        </is>
      </c>
      <c r="E862" s="1" t="n">
        <v>1</v>
      </c>
      <c r="F862" s="1" t="n">
        <v>1</v>
      </c>
      <c r="G862" s="1" t="n">
        <f aca="false">IF(E862=0,"",IF(D862="VIGENTE",1,0))</f>
        <v>0</v>
      </c>
      <c r="H862" s="1" t="inlineStr">
        <is>
          <t xml:space="preserve">B observado / C cálculo</t>
        </is>
      </c>
    </row>
    <row r="863" customFormat="false" ht="15" hidden="false" customHeight="true" outlineLevel="0" collapsed="false">
      <c r="A863" s="1" t="n">
        <v>2022</v>
      </c>
      <c r="B863" s="1" t="n">
        <v>4</v>
      </c>
      <c r="C863" s="1" t="inlineStr">
        <is>
          <t xml:space="preserve">TCSREOL20211</t>
        </is>
      </c>
      <c r="D863" s="1" t="inlineStr">
        <is>
          <t xml:space="preserve">ELIMINADO</t>
        </is>
      </c>
      <c r="E863" s="1" t="n">
        <v>15</v>
      </c>
      <c r="F863" s="1" t="n">
        <v>20</v>
      </c>
      <c r="G863" s="1" t="n">
        <f aca="false">IF(E863=0,"",IF(D863="VIGENTE",1,0))</f>
        <v>0</v>
      </c>
      <c r="H863" s="1" t="inlineStr">
        <is>
          <t xml:space="preserve">B observado / C cálculo</t>
        </is>
      </c>
    </row>
    <row r="864" customFormat="false" ht="15" hidden="false" customHeight="true" outlineLevel="0" collapsed="false">
      <c r="A864" s="1" t="n">
        <v>2022</v>
      </c>
      <c r="B864" s="1" t="n">
        <v>4</v>
      </c>
      <c r="C864" s="1" t="inlineStr">
        <is>
          <t xml:space="preserve">TCSREOL20211</t>
        </is>
      </c>
      <c r="D864" s="1" t="inlineStr">
        <is>
          <t xml:space="preserve">TITULADO</t>
        </is>
      </c>
      <c r="E864" s="1" t="n">
        <v>14</v>
      </c>
      <c r="F864" s="1" t="n">
        <v>15</v>
      </c>
      <c r="G864" s="1" t="n">
        <f aca="false">IF(E864=0,"",IF(D864="VIGENTE",1,0))</f>
        <v>0</v>
      </c>
      <c r="H864" s="1" t="inlineStr">
        <is>
          <t xml:space="preserve">B observado / C cálculo</t>
        </is>
      </c>
    </row>
    <row r="865" customFormat="false" ht="15" hidden="false" customHeight="true" outlineLevel="0" collapsed="false">
      <c r="A865" s="1" t="n">
        <v>2022</v>
      </c>
      <c r="B865" s="1" t="n">
        <v>4</v>
      </c>
      <c r="C865" s="1" t="inlineStr">
        <is>
          <t xml:space="preserve">TCSREOL20211</t>
        </is>
      </c>
      <c r="D865" s="1" t="inlineStr">
        <is>
          <t xml:space="preserve">VIGENTE</t>
        </is>
      </c>
      <c r="E865" s="1" t="n">
        <v>1</v>
      </c>
      <c r="F865" s="1" t="n">
        <v>1</v>
      </c>
      <c r="G865" s="1" t="n">
        <f aca="false">IF(E865=0,"",IF(D865="VIGENTE",1,0))</f>
        <v>1</v>
      </c>
      <c r="H865" s="1" t="inlineStr">
        <is>
          <t xml:space="preserve">B observado / C cálculo</t>
        </is>
      </c>
    </row>
    <row r="866" customFormat="false" ht="15" hidden="false" customHeight="true" outlineLevel="0" collapsed="false">
      <c r="A866" s="1" t="n">
        <v>2022</v>
      </c>
      <c r="B866" s="1" t="n">
        <v>4</v>
      </c>
      <c r="C866" s="1" t="inlineStr">
        <is>
          <t xml:space="preserve">TPAREOL2020</t>
        </is>
      </c>
      <c r="D866" s="1" t="inlineStr">
        <is>
          <t xml:space="preserve">ELIMINADO</t>
        </is>
      </c>
      <c r="E866" s="1" t="n">
        <v>2</v>
      </c>
      <c r="F866" s="1" t="n">
        <v>2</v>
      </c>
      <c r="G866" s="1" t="n">
        <f aca="false">IF(E866=0,"",IF(D866="VIGENTE",1,0))</f>
        <v>0</v>
      </c>
      <c r="H866" s="1" t="inlineStr">
        <is>
          <t xml:space="preserve">B observado / C cálculo</t>
        </is>
      </c>
    </row>
    <row r="867" customFormat="false" ht="15" hidden="false" customHeight="true" outlineLevel="0" collapsed="false">
      <c r="A867" s="1" t="n">
        <v>2022</v>
      </c>
      <c r="B867" s="1" t="n">
        <v>4</v>
      </c>
      <c r="C867" s="1" t="inlineStr">
        <is>
          <t xml:space="preserve">TPAREOL2020</t>
        </is>
      </c>
      <c r="D867" s="1" t="inlineStr">
        <is>
          <t xml:space="preserve">TITULADO</t>
        </is>
      </c>
      <c r="E867" s="1" t="n">
        <v>6</v>
      </c>
      <c r="F867" s="1" t="n">
        <v>6</v>
      </c>
      <c r="G867" s="1" t="n">
        <f aca="false">IF(E867=0,"",IF(D867="VIGENTE",1,0))</f>
        <v>0</v>
      </c>
      <c r="H867" s="1" t="inlineStr">
        <is>
          <t xml:space="preserve">B observado / C cálculo</t>
        </is>
      </c>
    </row>
    <row r="868" customFormat="false" ht="15" hidden="false" customHeight="true" outlineLevel="0" collapsed="false">
      <c r="A868" s="1" t="n">
        <v>2022</v>
      </c>
      <c r="B868" s="1" t="n">
        <v>4</v>
      </c>
      <c r="C868" s="1" t="inlineStr">
        <is>
          <t xml:space="preserve">TPAREOL2020</t>
        </is>
      </c>
      <c r="D868" s="1" t="inlineStr">
        <is>
          <t xml:space="preserve">VIGENTE</t>
        </is>
      </c>
      <c r="E868" s="1" t="n">
        <v>2</v>
      </c>
      <c r="F868" s="1" t="n">
        <v>2</v>
      </c>
      <c r="G868" s="1" t="n">
        <f aca="false">IF(E868=0,"",IF(D868="VIGENTE",1,0))</f>
        <v>1</v>
      </c>
      <c r="H868" s="1" t="inlineStr">
        <is>
          <t xml:space="preserve">B observado / C cálculo</t>
        </is>
      </c>
    </row>
    <row r="869" customFormat="false" ht="15" hidden="false" customHeight="true" outlineLevel="0" collapsed="false">
      <c r="A869" s="1" t="n">
        <v>2022</v>
      </c>
      <c r="B869" s="1" t="n">
        <v>4</v>
      </c>
      <c r="C869" s="1" t="inlineStr">
        <is>
          <t xml:space="preserve">TPAREOL20211</t>
        </is>
      </c>
      <c r="D869" s="1" t="inlineStr">
        <is>
          <t xml:space="preserve">ELIMINADO</t>
        </is>
      </c>
      <c r="E869" s="1" t="n">
        <v>56</v>
      </c>
      <c r="F869" s="1" t="n">
        <v>62</v>
      </c>
      <c r="G869" s="1" t="n">
        <f aca="false">IF(E869=0,"",IF(D869="VIGENTE",1,0))</f>
        <v>0</v>
      </c>
      <c r="H869" s="1" t="inlineStr">
        <is>
          <t xml:space="preserve">B observado / C cálculo</t>
        </is>
      </c>
    </row>
    <row r="870" customFormat="false" ht="15" hidden="false" customHeight="true" outlineLevel="0" collapsed="false">
      <c r="A870" s="1" t="n">
        <v>2022</v>
      </c>
      <c r="B870" s="1" t="n">
        <v>4</v>
      </c>
      <c r="C870" s="1" t="inlineStr">
        <is>
          <t xml:space="preserve">TPAREOL20211</t>
        </is>
      </c>
      <c r="D870" s="1" t="inlineStr">
        <is>
          <t xml:space="preserve">SUSPENDIDO</t>
        </is>
      </c>
      <c r="E870" s="1" t="n">
        <v>1</v>
      </c>
      <c r="F870" s="1" t="n">
        <v>1</v>
      </c>
      <c r="G870" s="1" t="n">
        <f aca="false">IF(E870=0,"",IF(D870="VIGENTE",1,0))</f>
        <v>0</v>
      </c>
      <c r="H870" s="1" t="inlineStr">
        <is>
          <t xml:space="preserve">B observado / C cálculo</t>
        </is>
      </c>
    </row>
    <row r="871" customFormat="false" ht="15" hidden="false" customHeight="true" outlineLevel="0" collapsed="false">
      <c r="A871" s="1" t="n">
        <v>2022</v>
      </c>
      <c r="B871" s="1" t="n">
        <v>4</v>
      </c>
      <c r="C871" s="1" t="inlineStr">
        <is>
          <t xml:space="preserve">TPAREOL20211</t>
        </is>
      </c>
      <c r="D871" s="1" t="inlineStr">
        <is>
          <t xml:space="preserve">TITULADO</t>
        </is>
      </c>
      <c r="E871" s="1" t="n">
        <v>81</v>
      </c>
      <c r="F871" s="1" t="n">
        <v>85</v>
      </c>
      <c r="G871" s="1" t="n">
        <f aca="false">IF(E871=0,"",IF(D871="VIGENTE",1,0))</f>
        <v>0</v>
      </c>
      <c r="H871" s="1" t="inlineStr">
        <is>
          <t xml:space="preserve">B observado / C cálculo</t>
        </is>
      </c>
    </row>
    <row r="872" customFormat="false" ht="15" hidden="false" customHeight="true" outlineLevel="0" collapsed="false">
      <c r="A872" s="1" t="n">
        <v>2022</v>
      </c>
      <c r="B872" s="1" t="n">
        <v>4</v>
      </c>
      <c r="C872" s="1" t="inlineStr">
        <is>
          <t xml:space="preserve">TPAREOL20211</t>
        </is>
      </c>
      <c r="D872" s="1" t="inlineStr">
        <is>
          <t xml:space="preserve">VIGENTE</t>
        </is>
      </c>
      <c r="E872" s="1" t="n">
        <v>2</v>
      </c>
      <c r="F872" s="1" t="n">
        <v>2</v>
      </c>
      <c r="G872" s="1" t="n">
        <f aca="false">IF(E872=0,"",IF(D872="VIGENTE",1,0))</f>
        <v>1</v>
      </c>
      <c r="H872" s="1" t="inlineStr">
        <is>
          <t xml:space="preserve">B observado / C cálculo</t>
        </is>
      </c>
    </row>
    <row r="873" customFormat="false" ht="15" hidden="false" customHeight="true" outlineLevel="0" collapsed="false">
      <c r="A873" s="1" t="n">
        <v>2022</v>
      </c>
      <c r="B873" s="1" t="n">
        <v>4</v>
      </c>
      <c r="C873" s="1" t="inlineStr">
        <is>
          <t xml:space="preserve">TTMREOL20191</t>
        </is>
      </c>
      <c r="D873" s="1" t="inlineStr">
        <is>
          <t xml:space="preserve">SUSPENDIDO</t>
        </is>
      </c>
      <c r="E873" s="1" t="n">
        <v>1</v>
      </c>
      <c r="F873" s="1" t="n">
        <v>1</v>
      </c>
      <c r="G873" s="1" t="n">
        <f aca="false">IF(E873=0,"",IF(D873="VIGENTE",1,0))</f>
        <v>0</v>
      </c>
      <c r="H873" s="1" t="inlineStr">
        <is>
          <t xml:space="preserve">B observado / C cálculo</t>
        </is>
      </c>
    </row>
    <row r="874" customFormat="false" ht="15" hidden="false" customHeight="true" outlineLevel="0" collapsed="false">
      <c r="A874" s="1" t="n">
        <v>2022</v>
      </c>
      <c r="B874" s="1" t="n">
        <v>4</v>
      </c>
      <c r="C874" s="1" t="inlineStr">
        <is>
          <t xml:space="preserve">TTMREOL20211</t>
        </is>
      </c>
      <c r="D874" s="1" t="inlineStr">
        <is>
          <t xml:space="preserve">ELIMINADO</t>
        </is>
      </c>
      <c r="E874" s="1" t="n">
        <v>18</v>
      </c>
      <c r="F874" s="1" t="n">
        <v>19</v>
      </c>
      <c r="G874" s="1" t="n">
        <f aca="false">IF(E874=0,"",IF(D874="VIGENTE",1,0))</f>
        <v>0</v>
      </c>
      <c r="H874" s="1" t="inlineStr">
        <is>
          <t xml:space="preserve">B observado / C cálculo</t>
        </is>
      </c>
    </row>
    <row r="875" customFormat="false" ht="15" hidden="false" customHeight="true" outlineLevel="0" collapsed="false">
      <c r="A875" s="1" t="n">
        <v>2022</v>
      </c>
      <c r="B875" s="1" t="n">
        <v>4</v>
      </c>
      <c r="C875" s="1" t="inlineStr">
        <is>
          <t xml:space="preserve">TTMREOL20211</t>
        </is>
      </c>
      <c r="D875" s="1" t="inlineStr">
        <is>
          <t xml:space="preserve">TITULADO</t>
        </is>
      </c>
      <c r="E875" s="1" t="n">
        <v>15</v>
      </c>
      <c r="F875" s="1" t="n">
        <v>15</v>
      </c>
      <c r="G875" s="1" t="n">
        <f aca="false">IF(E875=0,"",IF(D875="VIGENTE",1,0))</f>
        <v>0</v>
      </c>
      <c r="H875" s="1" t="inlineStr">
        <is>
          <t xml:space="preserve">B observado / C cálculo</t>
        </is>
      </c>
    </row>
    <row r="876" customFormat="false" ht="15" hidden="false" customHeight="true" outlineLevel="0" collapsed="false">
      <c r="A876" s="1" t="n">
        <v>2022</v>
      </c>
      <c r="B876" s="1" t="n">
        <v>4</v>
      </c>
      <c r="C876" s="1" t="inlineStr">
        <is>
          <t xml:space="preserve">TTMREOL20211</t>
        </is>
      </c>
      <c r="D876" s="1" t="inlineStr">
        <is>
          <t xml:space="preserve">VIGENTE</t>
        </is>
      </c>
      <c r="E876" s="1" t="n">
        <v>1</v>
      </c>
      <c r="F876" s="1" t="n">
        <v>1</v>
      </c>
      <c r="G876" s="1" t="n">
        <f aca="false">IF(E876=0,"",IF(D876="VIGENTE",1,0))</f>
        <v>1</v>
      </c>
      <c r="H876" s="1" t="inlineStr">
        <is>
          <t xml:space="preserve">B observado / C cálculo</t>
        </is>
      </c>
    </row>
    <row r="877" customFormat="false" ht="15" hidden="false" customHeight="true" outlineLevel="0" collapsed="false">
      <c r="A877" s="1" t="n">
        <v>2022</v>
      </c>
      <c r="B877" s="1" t="n">
        <v>4</v>
      </c>
      <c r="C877" s="1" t="inlineStr">
        <is>
          <t xml:space="preserve">TTMREOL20231</t>
        </is>
      </c>
      <c r="D877" s="1" t="inlineStr">
        <is>
          <t xml:space="preserve">ELIMINADO</t>
        </is>
      </c>
      <c r="E877" s="1" t="n">
        <v>1</v>
      </c>
      <c r="F877" s="1" t="n">
        <v>1</v>
      </c>
      <c r="G877" s="1" t="n">
        <f aca="false">IF(E877=0,"",IF(D877="VIGENTE",1,0))</f>
        <v>0</v>
      </c>
      <c r="H877" s="1" t="inlineStr">
        <is>
          <t xml:space="preserve">B observado / C cálculo</t>
        </is>
      </c>
    </row>
    <row r="878" customFormat="false" ht="15" hidden="false" customHeight="true" outlineLevel="0" collapsed="false">
      <c r="A878" s="1" t="n">
        <v>2022</v>
      </c>
      <c r="B878" s="1" t="n">
        <v>5</v>
      </c>
      <c r="C878" s="1" t="inlineStr">
        <is>
          <t xml:space="preserve">IECIREOL20191</t>
        </is>
      </c>
      <c r="D878" s="1" t="inlineStr">
        <is>
          <t xml:space="preserve">ELIMINADO</t>
        </is>
      </c>
      <c r="E878" s="1" t="n">
        <v>1</v>
      </c>
      <c r="F878" s="1" t="n">
        <v>4</v>
      </c>
      <c r="G878" s="1" t="n">
        <f aca="false">IF(E878=0,"",IF(D878="VIGENTE",1,0))</f>
        <v>0</v>
      </c>
      <c r="H878" s="1" t="inlineStr">
        <is>
          <t xml:space="preserve">B observado / C cálculo</t>
        </is>
      </c>
    </row>
    <row r="879" customFormat="false" ht="15" hidden="false" customHeight="true" outlineLevel="0" collapsed="false">
      <c r="A879" s="1" t="n">
        <v>2022</v>
      </c>
      <c r="B879" s="1" t="n">
        <v>5</v>
      </c>
      <c r="C879" s="1" t="inlineStr">
        <is>
          <t xml:space="preserve">IECIREOL20191</t>
        </is>
      </c>
      <c r="D879" s="1" t="inlineStr">
        <is>
          <t xml:space="preserve">TITULADO</t>
        </is>
      </c>
      <c r="E879" s="1" t="n">
        <v>9</v>
      </c>
      <c r="F879" s="1" t="n">
        <v>36</v>
      </c>
      <c r="G879" s="1" t="n">
        <f aca="false">IF(E879=0,"",IF(D879="VIGENTE",1,0))</f>
        <v>0</v>
      </c>
      <c r="H879" s="1" t="inlineStr">
        <is>
          <t xml:space="preserve">B observado / C cálculo</t>
        </is>
      </c>
    </row>
    <row r="880" customFormat="false" ht="15" hidden="false" customHeight="true" outlineLevel="0" collapsed="false">
      <c r="A880" s="1" t="n">
        <v>2022</v>
      </c>
      <c r="B880" s="1" t="n">
        <v>5</v>
      </c>
      <c r="C880" s="1" t="inlineStr">
        <is>
          <t xml:space="preserve">IECIREOL20201</t>
        </is>
      </c>
      <c r="D880" s="1" t="inlineStr">
        <is>
          <t xml:space="preserve">ELIMINADO</t>
        </is>
      </c>
      <c r="E880" s="1" t="n">
        <v>1</v>
      </c>
      <c r="F880" s="1" t="n">
        <v>1</v>
      </c>
      <c r="G880" s="1" t="n">
        <f aca="false">IF(E880=0,"",IF(D880="VIGENTE",1,0))</f>
        <v>0</v>
      </c>
      <c r="H880" s="1" t="inlineStr">
        <is>
          <t xml:space="preserve">B observado / C cálculo</t>
        </is>
      </c>
    </row>
    <row r="881" customFormat="false" ht="15" hidden="false" customHeight="true" outlineLevel="0" collapsed="false">
      <c r="A881" s="1" t="n">
        <v>2022</v>
      </c>
      <c r="B881" s="1" t="n">
        <v>5</v>
      </c>
      <c r="C881" s="1" t="inlineStr">
        <is>
          <t xml:space="preserve">IECIREOL20201</t>
        </is>
      </c>
      <c r="D881" s="1" t="inlineStr">
        <is>
          <t xml:space="preserve">TITULADO</t>
        </is>
      </c>
      <c r="E881" s="1" t="n">
        <v>8</v>
      </c>
      <c r="F881" s="1" t="n">
        <v>11</v>
      </c>
      <c r="G881" s="1" t="n">
        <f aca="false">IF(E881=0,"",IF(D881="VIGENTE",1,0))</f>
        <v>0</v>
      </c>
      <c r="H881" s="1" t="inlineStr">
        <is>
          <t xml:space="preserve">B observado / C cálculo</t>
        </is>
      </c>
    </row>
    <row r="882" customFormat="false" ht="15" hidden="false" customHeight="true" outlineLevel="0" collapsed="false">
      <c r="A882" s="1" t="n">
        <v>2022</v>
      </c>
      <c r="B882" s="1" t="n">
        <v>5</v>
      </c>
      <c r="C882" s="1" t="inlineStr">
        <is>
          <t xml:space="preserve">IECIREOL20211</t>
        </is>
      </c>
      <c r="D882" s="1" t="inlineStr">
        <is>
          <t xml:space="preserve">ELIMINADO</t>
        </is>
      </c>
      <c r="E882" s="1" t="n">
        <v>29</v>
      </c>
      <c r="F882" s="1" t="n">
        <v>37</v>
      </c>
      <c r="G882" s="1" t="n">
        <f aca="false">IF(E882=0,"",IF(D882="VIGENTE",1,0))</f>
        <v>0</v>
      </c>
      <c r="H882" s="1" t="inlineStr">
        <is>
          <t xml:space="preserve">B observado / C cálculo</t>
        </is>
      </c>
    </row>
    <row r="883" customFormat="false" ht="15" hidden="false" customHeight="true" outlineLevel="0" collapsed="false">
      <c r="A883" s="1" t="n">
        <v>2022</v>
      </c>
      <c r="B883" s="1" t="n">
        <v>5</v>
      </c>
      <c r="C883" s="1" t="inlineStr">
        <is>
          <t xml:space="preserve">IECIREOL20211</t>
        </is>
      </c>
      <c r="D883" s="1" t="inlineStr">
        <is>
          <t xml:space="preserve">SUSPENDIDO</t>
        </is>
      </c>
      <c r="E883" s="1" t="n">
        <v>1</v>
      </c>
      <c r="F883" s="1" t="n">
        <v>1</v>
      </c>
      <c r="G883" s="1" t="n">
        <f aca="false">IF(E883=0,"",IF(D883="VIGENTE",1,0))</f>
        <v>0</v>
      </c>
      <c r="H883" s="1" t="inlineStr">
        <is>
          <t xml:space="preserve">B observado / C cálculo</t>
        </is>
      </c>
    </row>
    <row r="884" customFormat="false" ht="15" hidden="false" customHeight="true" outlineLevel="0" collapsed="false">
      <c r="A884" s="1" t="n">
        <v>2022</v>
      </c>
      <c r="B884" s="1" t="n">
        <v>5</v>
      </c>
      <c r="C884" s="1" t="inlineStr">
        <is>
          <t xml:space="preserve">IECIREOL20211</t>
        </is>
      </c>
      <c r="D884" s="1" t="inlineStr">
        <is>
          <t xml:space="preserve">TITULADO</t>
        </is>
      </c>
      <c r="E884" s="1" t="n">
        <v>60</v>
      </c>
      <c r="F884" s="1" t="n">
        <v>122</v>
      </c>
      <c r="G884" s="1" t="n">
        <f aca="false">IF(E884=0,"",IF(D884="VIGENTE",1,0))</f>
        <v>0</v>
      </c>
      <c r="H884" s="1" t="inlineStr">
        <is>
          <t xml:space="preserve">B observado / C cálculo</t>
        </is>
      </c>
    </row>
    <row r="885" customFormat="false" ht="15" hidden="false" customHeight="true" outlineLevel="0" collapsed="false">
      <c r="A885" s="1" t="n">
        <v>2022</v>
      </c>
      <c r="B885" s="1" t="n">
        <v>5</v>
      </c>
      <c r="C885" s="1" t="inlineStr">
        <is>
          <t xml:space="preserve">IECIREOL20211</t>
        </is>
      </c>
      <c r="D885" s="1" t="inlineStr">
        <is>
          <t xml:space="preserve">VIGENTE</t>
        </is>
      </c>
      <c r="E885" s="1" t="n">
        <v>1</v>
      </c>
      <c r="F885" s="1" t="n">
        <v>1</v>
      </c>
      <c r="G885" s="1" t="n">
        <f aca="false">IF(E885=0,"",IF(D885="VIGENTE",1,0))</f>
        <v>1</v>
      </c>
      <c r="H885" s="1" t="inlineStr">
        <is>
          <t xml:space="preserve">B observado / C cálculo</t>
        </is>
      </c>
    </row>
    <row r="886" customFormat="false" ht="15" hidden="false" customHeight="true" outlineLevel="0" collapsed="false">
      <c r="A886" s="1" t="n">
        <v>2022</v>
      </c>
      <c r="B886" s="1" t="n">
        <v>5</v>
      </c>
      <c r="C886" s="1" t="inlineStr">
        <is>
          <t xml:space="preserve">IECSREOL20211</t>
        </is>
      </c>
      <c r="D886" s="1" t="inlineStr">
        <is>
          <t xml:space="preserve">ELIMINADO</t>
        </is>
      </c>
      <c r="E886" s="1" t="n">
        <v>17</v>
      </c>
      <c r="F886" s="1" t="n">
        <v>19</v>
      </c>
      <c r="G886" s="1" t="n">
        <f aca="false">IF(E886=0,"",IF(D886="VIGENTE",1,0))</f>
        <v>0</v>
      </c>
      <c r="H886" s="1" t="inlineStr">
        <is>
          <t xml:space="preserve">B observado / C cálculo</t>
        </is>
      </c>
    </row>
    <row r="887" customFormat="false" ht="15" hidden="false" customHeight="true" outlineLevel="0" collapsed="false">
      <c r="A887" s="1" t="n">
        <v>2022</v>
      </c>
      <c r="B887" s="1" t="n">
        <v>5</v>
      </c>
      <c r="C887" s="1" t="inlineStr">
        <is>
          <t xml:space="preserve">IECSREOL20211</t>
        </is>
      </c>
      <c r="D887" s="1" t="inlineStr">
        <is>
          <t xml:space="preserve">SUSPENDIDO</t>
        </is>
      </c>
      <c r="E887" s="1" t="n">
        <v>1</v>
      </c>
      <c r="F887" s="1" t="n">
        <v>1</v>
      </c>
      <c r="G887" s="1" t="n">
        <f aca="false">IF(E887=0,"",IF(D887="VIGENTE",1,0))</f>
        <v>0</v>
      </c>
      <c r="H887" s="1" t="inlineStr">
        <is>
          <t xml:space="preserve">B observado / C cálculo</t>
        </is>
      </c>
    </row>
    <row r="888" customFormat="false" ht="15" hidden="false" customHeight="true" outlineLevel="0" collapsed="false">
      <c r="A888" s="1" t="n">
        <v>2022</v>
      </c>
      <c r="B888" s="1" t="n">
        <v>5</v>
      </c>
      <c r="C888" s="1" t="inlineStr">
        <is>
          <t xml:space="preserve">IECSREOL20211</t>
        </is>
      </c>
      <c r="D888" s="1" t="inlineStr">
        <is>
          <t xml:space="preserve">TITULADO</t>
        </is>
      </c>
      <c r="E888" s="1" t="n">
        <v>53</v>
      </c>
      <c r="F888" s="1" t="n">
        <v>65</v>
      </c>
      <c r="G888" s="1" t="n">
        <f aca="false">IF(E888=0,"",IF(D888="VIGENTE",1,0))</f>
        <v>0</v>
      </c>
      <c r="H888" s="1" t="inlineStr">
        <is>
          <t xml:space="preserve">B observado / C cálculo</t>
        </is>
      </c>
    </row>
    <row r="889" customFormat="false" ht="15" hidden="false" customHeight="true" outlineLevel="0" collapsed="false">
      <c r="A889" s="1" t="n">
        <v>2022</v>
      </c>
      <c r="B889" s="1" t="n">
        <v>5</v>
      </c>
      <c r="C889" s="1" t="inlineStr">
        <is>
          <t xml:space="preserve">IECSREOL20211</t>
        </is>
      </c>
      <c r="D889" s="1" t="inlineStr">
        <is>
          <t xml:space="preserve">VIGENTE</t>
        </is>
      </c>
      <c r="E889" s="1" t="n">
        <v>1</v>
      </c>
      <c r="F889" s="1" t="n">
        <v>1</v>
      </c>
      <c r="G889" s="1" t="n">
        <f aca="false">IF(E889=0,"",IF(D889="VIGENTE",1,0))</f>
        <v>1</v>
      </c>
      <c r="H889" s="1" t="inlineStr">
        <is>
          <t xml:space="preserve">B observado / C cálculo</t>
        </is>
      </c>
    </row>
    <row r="890" customFormat="false" ht="15" hidden="false" customHeight="true" outlineLevel="0" collapsed="false">
      <c r="A890" s="1" t="n">
        <v>2022</v>
      </c>
      <c r="B890" s="1" t="n">
        <v>5</v>
      </c>
      <c r="C890" s="1" t="inlineStr">
        <is>
          <t xml:space="preserve">IETMRE20211</t>
        </is>
      </c>
      <c r="D890" s="1" t="inlineStr">
        <is>
          <t xml:space="preserve">ELIMINADO</t>
        </is>
      </c>
      <c r="E890" s="1" t="n">
        <v>1</v>
      </c>
      <c r="F890" s="1" t="n">
        <v>1</v>
      </c>
      <c r="G890" s="1" t="n">
        <f aca="false">IF(E890=0,"",IF(D890="VIGENTE",1,0))</f>
        <v>0</v>
      </c>
      <c r="H890" s="1" t="inlineStr">
        <is>
          <t xml:space="preserve">B observado / C cálculo</t>
        </is>
      </c>
    </row>
    <row r="891" customFormat="false" ht="15" hidden="false" customHeight="true" outlineLevel="0" collapsed="false">
      <c r="A891" s="1" t="n">
        <v>2022</v>
      </c>
      <c r="B891" s="1" t="n">
        <v>5</v>
      </c>
      <c r="C891" s="1" t="inlineStr">
        <is>
          <t xml:space="preserve">IETMREOL20191</t>
        </is>
      </c>
      <c r="D891" s="1" t="inlineStr">
        <is>
          <t xml:space="preserve">ELIMINADO</t>
        </is>
      </c>
      <c r="E891" s="1" t="n">
        <v>1</v>
      </c>
      <c r="F891" s="1" t="n">
        <v>2</v>
      </c>
      <c r="G891" s="1" t="n">
        <f aca="false">IF(E891=0,"",IF(D891="VIGENTE",1,0))</f>
        <v>0</v>
      </c>
      <c r="H891" s="1" t="inlineStr">
        <is>
          <t xml:space="preserve">B observado / C cálculo</t>
        </is>
      </c>
    </row>
    <row r="892" customFormat="false" ht="15" hidden="false" customHeight="true" outlineLevel="0" collapsed="false">
      <c r="A892" s="1" t="n">
        <v>2022</v>
      </c>
      <c r="B892" s="1" t="n">
        <v>5</v>
      </c>
      <c r="C892" s="1" t="inlineStr">
        <is>
          <t xml:space="preserve">IETMREOL20191</t>
        </is>
      </c>
      <c r="D892" s="1" t="inlineStr">
        <is>
          <t xml:space="preserve">TITULADO</t>
        </is>
      </c>
      <c r="E892" s="1" t="n">
        <v>11</v>
      </c>
      <c r="F892" s="1" t="n">
        <v>21</v>
      </c>
      <c r="G892" s="1" t="n">
        <f aca="false">IF(E892=0,"",IF(D892="VIGENTE",1,0))</f>
        <v>0</v>
      </c>
      <c r="H892" s="1" t="inlineStr">
        <is>
          <t xml:space="preserve">B observado / C cálculo</t>
        </is>
      </c>
    </row>
    <row r="893" customFormat="false" ht="15" hidden="false" customHeight="true" outlineLevel="0" collapsed="false">
      <c r="A893" s="1" t="n">
        <v>2022</v>
      </c>
      <c r="B893" s="1" t="n">
        <v>5</v>
      </c>
      <c r="C893" s="1" t="inlineStr">
        <is>
          <t xml:space="preserve">IETMREOL20191</t>
        </is>
      </c>
      <c r="D893" s="1" t="inlineStr">
        <is>
          <t xml:space="preserve">VIGENTE</t>
        </is>
      </c>
      <c r="E893" s="1" t="n">
        <v>1</v>
      </c>
      <c r="F893" s="1" t="n">
        <v>1</v>
      </c>
      <c r="G893" s="1" t="n">
        <f aca="false">IF(E893=0,"",IF(D893="VIGENTE",1,0))</f>
        <v>1</v>
      </c>
      <c r="H893" s="1" t="inlineStr">
        <is>
          <t xml:space="preserve">B observado / C cálculo</t>
        </is>
      </c>
    </row>
    <row r="894" customFormat="false" ht="15" hidden="false" customHeight="true" outlineLevel="0" collapsed="false">
      <c r="A894" s="1" t="n">
        <v>2022</v>
      </c>
      <c r="B894" s="1" t="n">
        <v>5</v>
      </c>
      <c r="C894" s="1" t="inlineStr">
        <is>
          <t xml:space="preserve">IETMREOL20211</t>
        </is>
      </c>
      <c r="D894" s="1" t="inlineStr">
        <is>
          <t xml:space="preserve">ELIMINADO</t>
        </is>
      </c>
      <c r="E894" s="1" t="n">
        <v>36</v>
      </c>
      <c r="F894" s="1" t="n">
        <v>46</v>
      </c>
      <c r="G894" s="1" t="n">
        <f aca="false">IF(E894=0,"",IF(D894="VIGENTE",1,0))</f>
        <v>0</v>
      </c>
      <c r="H894" s="1" t="inlineStr">
        <is>
          <t xml:space="preserve">B observado / C cálculo</t>
        </is>
      </c>
    </row>
    <row r="895" customFormat="false" ht="15" hidden="false" customHeight="true" outlineLevel="0" collapsed="false">
      <c r="A895" s="1" t="n">
        <v>2022</v>
      </c>
      <c r="B895" s="1" t="n">
        <v>5</v>
      </c>
      <c r="C895" s="1" t="inlineStr">
        <is>
          <t xml:space="preserve">IETMREOL20211</t>
        </is>
      </c>
      <c r="D895" s="1" t="inlineStr">
        <is>
          <t xml:space="preserve">TITULADO</t>
        </is>
      </c>
      <c r="E895" s="1" t="n">
        <v>101</v>
      </c>
      <c r="F895" s="1" t="n">
        <v>188</v>
      </c>
      <c r="G895" s="1" t="n">
        <f aca="false">IF(E895=0,"",IF(D895="VIGENTE",1,0))</f>
        <v>0</v>
      </c>
      <c r="H895" s="1" t="inlineStr">
        <is>
          <t xml:space="preserve">B observado / C cálculo</t>
        </is>
      </c>
    </row>
    <row r="896" customFormat="false" ht="15" hidden="false" customHeight="true" outlineLevel="0" collapsed="false">
      <c r="A896" s="1" t="n">
        <v>2022</v>
      </c>
      <c r="B896" s="1" t="n">
        <v>5</v>
      </c>
      <c r="C896" s="1" t="inlineStr">
        <is>
          <t xml:space="preserve">IETMREOL20211</t>
        </is>
      </c>
      <c r="D896" s="1" t="inlineStr">
        <is>
          <t xml:space="preserve">VIGENTE</t>
        </is>
      </c>
      <c r="E896" s="1" t="n">
        <v>1</v>
      </c>
      <c r="F896" s="1" t="n">
        <v>2</v>
      </c>
      <c r="G896" s="1" t="n">
        <f aca="false">IF(E896=0,"",IF(D896="VIGENTE",1,0))</f>
        <v>1</v>
      </c>
      <c r="H896" s="1" t="inlineStr">
        <is>
          <t xml:space="preserve">B observado / C cálculo</t>
        </is>
      </c>
    </row>
    <row r="897" customFormat="false" ht="15" hidden="false" customHeight="true" outlineLevel="0" collapsed="false">
      <c r="A897" s="1" t="n">
        <v>2022</v>
      </c>
      <c r="B897" s="1" t="n">
        <v>5</v>
      </c>
      <c r="C897" s="1" t="inlineStr">
        <is>
          <t xml:space="preserve">NTCCRE2020</t>
        </is>
      </c>
      <c r="D897" s="1" t="inlineStr">
        <is>
          <t xml:space="preserve">TITULADO</t>
        </is>
      </c>
      <c r="E897" s="1" t="n">
        <v>1</v>
      </c>
      <c r="F897" s="1" t="n">
        <v>1</v>
      </c>
      <c r="G897" s="1" t="n">
        <f aca="false">IF(E897=0,"",IF(D897="VIGENTE",1,0))</f>
        <v>0</v>
      </c>
      <c r="H897" s="1" t="inlineStr">
        <is>
          <t xml:space="preserve">B observado / C cálculo</t>
        </is>
      </c>
    </row>
    <row r="898" customFormat="false" ht="15" hidden="false" customHeight="true" outlineLevel="0" collapsed="false">
      <c r="A898" s="1" t="n">
        <v>2022</v>
      </c>
      <c r="B898" s="1" t="n">
        <v>5</v>
      </c>
      <c r="C898" s="1" t="inlineStr">
        <is>
          <t xml:space="preserve">NTCCREOL2020</t>
        </is>
      </c>
      <c r="D898" s="1" t="inlineStr">
        <is>
          <t xml:space="preserve">TITULADO</t>
        </is>
      </c>
      <c r="E898" s="1" t="n">
        <v>6</v>
      </c>
      <c r="F898" s="1" t="n">
        <v>18</v>
      </c>
      <c r="G898" s="1" t="n">
        <f aca="false">IF(E898=0,"",IF(D898="VIGENTE",1,0))</f>
        <v>0</v>
      </c>
      <c r="H898" s="1" t="inlineStr">
        <is>
          <t xml:space="preserve">B observado / C cálculo</t>
        </is>
      </c>
    </row>
    <row r="899" customFormat="false" ht="15" hidden="false" customHeight="true" outlineLevel="0" collapsed="false">
      <c r="A899" s="1" t="n">
        <v>2022</v>
      </c>
      <c r="B899" s="1" t="n">
        <v>5</v>
      </c>
      <c r="C899" s="1" t="inlineStr">
        <is>
          <t xml:space="preserve">TCSREOL2020</t>
        </is>
      </c>
      <c r="D899" s="1" t="inlineStr">
        <is>
          <t xml:space="preserve">TITULADO</t>
        </is>
      </c>
      <c r="E899" s="1" t="n">
        <v>3</v>
      </c>
      <c r="F899" s="1" t="n">
        <v>6</v>
      </c>
      <c r="G899" s="1" t="n">
        <f aca="false">IF(E899=0,"",IF(D899="VIGENTE",1,0))</f>
        <v>0</v>
      </c>
      <c r="H899" s="1" t="inlineStr">
        <is>
          <t xml:space="preserve">B observado / C cálculo</t>
        </is>
      </c>
    </row>
    <row r="900" customFormat="false" ht="15" hidden="false" customHeight="true" outlineLevel="0" collapsed="false">
      <c r="A900" s="1" t="n">
        <v>2022</v>
      </c>
      <c r="B900" s="1" t="n">
        <v>5</v>
      </c>
      <c r="C900" s="1" t="inlineStr">
        <is>
          <t xml:space="preserve">TCSREOL20211</t>
        </is>
      </c>
      <c r="D900" s="1" t="inlineStr">
        <is>
          <t xml:space="preserve">ELIMINADO</t>
        </is>
      </c>
      <c r="E900" s="1" t="n">
        <v>19</v>
      </c>
      <c r="F900" s="1" t="n">
        <v>20</v>
      </c>
      <c r="G900" s="1" t="n">
        <f aca="false">IF(E900=0,"",IF(D900="VIGENTE",1,0))</f>
        <v>0</v>
      </c>
      <c r="H900" s="1" t="inlineStr">
        <is>
          <t xml:space="preserve">B observado / C cálculo</t>
        </is>
      </c>
    </row>
    <row r="901" customFormat="false" ht="15" hidden="false" customHeight="true" outlineLevel="0" collapsed="false">
      <c r="A901" s="1" t="n">
        <v>2022</v>
      </c>
      <c r="B901" s="1" t="n">
        <v>5</v>
      </c>
      <c r="C901" s="1" t="inlineStr">
        <is>
          <t xml:space="preserve">TCSREOL20211</t>
        </is>
      </c>
      <c r="D901" s="1" t="inlineStr">
        <is>
          <t xml:space="preserve">TITULADO</t>
        </is>
      </c>
      <c r="E901" s="1" t="n">
        <v>28</v>
      </c>
      <c r="F901" s="1" t="n">
        <v>31</v>
      </c>
      <c r="G901" s="1" t="n">
        <f aca="false">IF(E901=0,"",IF(D901="VIGENTE",1,0))</f>
        <v>0</v>
      </c>
      <c r="H901" s="1" t="inlineStr">
        <is>
          <t xml:space="preserve">B observado / C cálculo</t>
        </is>
      </c>
    </row>
    <row r="902" customFormat="false" ht="15" hidden="false" customHeight="true" outlineLevel="0" collapsed="false">
      <c r="A902" s="1" t="n">
        <v>2022</v>
      </c>
      <c r="B902" s="1" t="n">
        <v>5</v>
      </c>
      <c r="C902" s="1" t="inlineStr">
        <is>
          <t xml:space="preserve">TPAREOL20211</t>
        </is>
      </c>
      <c r="D902" s="1" t="inlineStr">
        <is>
          <t xml:space="preserve">ELIMINADO</t>
        </is>
      </c>
      <c r="E902" s="1" t="n">
        <v>42</v>
      </c>
      <c r="F902" s="1" t="n">
        <v>62</v>
      </c>
      <c r="G902" s="1" t="n">
        <f aca="false">IF(E902=0,"",IF(D902="VIGENTE",1,0))</f>
        <v>0</v>
      </c>
      <c r="H902" s="1" t="inlineStr">
        <is>
          <t xml:space="preserve">B observado / C cálculo</t>
        </is>
      </c>
    </row>
    <row r="903" customFormat="false" ht="15" hidden="false" customHeight="true" outlineLevel="0" collapsed="false">
      <c r="A903" s="1" t="n">
        <v>2022</v>
      </c>
      <c r="B903" s="1" t="n">
        <v>5</v>
      </c>
      <c r="C903" s="1" t="inlineStr">
        <is>
          <t xml:space="preserve">TPAREOL20211</t>
        </is>
      </c>
      <c r="D903" s="1" t="inlineStr">
        <is>
          <t xml:space="preserve">SUSPENDIDO</t>
        </is>
      </c>
      <c r="E903" s="1" t="n">
        <v>1</v>
      </c>
      <c r="F903" s="1" t="n">
        <v>1</v>
      </c>
      <c r="G903" s="1" t="n">
        <f aca="false">IF(E903=0,"",IF(D903="VIGENTE",1,0))</f>
        <v>0</v>
      </c>
      <c r="H903" s="1" t="inlineStr">
        <is>
          <t xml:space="preserve">B observado / C cálculo</t>
        </is>
      </c>
    </row>
    <row r="904" customFormat="false" ht="15" hidden="false" customHeight="true" outlineLevel="0" collapsed="false">
      <c r="A904" s="1" t="n">
        <v>2022</v>
      </c>
      <c r="B904" s="1" t="n">
        <v>5</v>
      </c>
      <c r="C904" s="1" t="inlineStr">
        <is>
          <t xml:space="preserve">TPAREOL20211</t>
        </is>
      </c>
      <c r="D904" s="1" t="inlineStr">
        <is>
          <t xml:space="preserve">TITULADO</t>
        </is>
      </c>
      <c r="E904" s="1" t="n">
        <v>49</v>
      </c>
      <c r="F904" s="1" t="n">
        <v>55</v>
      </c>
      <c r="G904" s="1" t="n">
        <f aca="false">IF(E904=0,"",IF(D904="VIGENTE",1,0))</f>
        <v>0</v>
      </c>
      <c r="H904" s="1" t="inlineStr">
        <is>
          <t xml:space="preserve">B observado / C cálculo</t>
        </is>
      </c>
    </row>
    <row r="905" customFormat="false" ht="15" hidden="false" customHeight="true" outlineLevel="0" collapsed="false">
      <c r="A905" s="1" t="n">
        <v>2022</v>
      </c>
      <c r="B905" s="1" t="n">
        <v>5</v>
      </c>
      <c r="C905" s="1" t="inlineStr">
        <is>
          <t xml:space="preserve">TTMREOL20191</t>
        </is>
      </c>
      <c r="D905" s="1" t="inlineStr">
        <is>
          <t xml:space="preserve">SUSPENDIDO</t>
        </is>
      </c>
      <c r="E905" s="1" t="n">
        <v>1</v>
      </c>
      <c r="F905" s="1" t="n">
        <v>1</v>
      </c>
      <c r="G905" s="1" t="n">
        <f aca="false">IF(E905=0,"",IF(D905="VIGENTE",1,0))</f>
        <v>0</v>
      </c>
      <c r="H905" s="1" t="inlineStr">
        <is>
          <t xml:space="preserve">B observado / C cálculo</t>
        </is>
      </c>
    </row>
    <row r="906" customFormat="false" ht="15" hidden="false" customHeight="true" outlineLevel="0" collapsed="false">
      <c r="A906" s="1" t="n">
        <v>2022</v>
      </c>
      <c r="B906" s="1" t="n">
        <v>5</v>
      </c>
      <c r="C906" s="1" t="inlineStr">
        <is>
          <t xml:space="preserve">TTMREOL20191</t>
        </is>
      </c>
      <c r="D906" s="1" t="inlineStr">
        <is>
          <t xml:space="preserve">TITULADO</t>
        </is>
      </c>
      <c r="E906" s="1" t="n">
        <v>4</v>
      </c>
      <c r="F906" s="1" t="n">
        <v>6</v>
      </c>
      <c r="G906" s="1" t="n">
        <f aca="false">IF(E906=0,"",IF(D906="VIGENTE",1,0))</f>
        <v>0</v>
      </c>
      <c r="H906" s="1" t="inlineStr">
        <is>
          <t xml:space="preserve">B observado / C cálculo</t>
        </is>
      </c>
    </row>
    <row r="907" customFormat="false" ht="15" hidden="false" customHeight="true" outlineLevel="0" collapsed="false">
      <c r="A907" s="1" t="n">
        <v>2022</v>
      </c>
      <c r="B907" s="1" t="n">
        <v>5</v>
      </c>
      <c r="C907" s="1" t="inlineStr">
        <is>
          <t xml:space="preserve">TTMREOL20211</t>
        </is>
      </c>
      <c r="D907" s="1" t="inlineStr">
        <is>
          <t xml:space="preserve">ELIMINADO</t>
        </is>
      </c>
      <c r="E907" s="1" t="n">
        <v>23</v>
      </c>
      <c r="F907" s="1" t="n">
        <v>28</v>
      </c>
      <c r="G907" s="1" t="n">
        <f aca="false">IF(E907=0,"",IF(D907="VIGENTE",1,0))</f>
        <v>0</v>
      </c>
      <c r="H907" s="1" t="inlineStr">
        <is>
          <t xml:space="preserve">B observado / C cálculo</t>
        </is>
      </c>
    </row>
    <row r="908" customFormat="false" ht="15" hidden="false" customHeight="true" outlineLevel="0" collapsed="false">
      <c r="A908" s="1" t="n">
        <v>2022</v>
      </c>
      <c r="B908" s="1" t="n">
        <v>5</v>
      </c>
      <c r="C908" s="1" t="inlineStr">
        <is>
          <t xml:space="preserve">TTMREOL20211</t>
        </is>
      </c>
      <c r="D908" s="1" t="inlineStr">
        <is>
          <t xml:space="preserve">TITULADO</t>
        </is>
      </c>
      <c r="E908" s="1" t="n">
        <v>25</v>
      </c>
      <c r="F908" s="1" t="n">
        <v>26</v>
      </c>
      <c r="G908" s="1" t="n">
        <f aca="false">IF(E908=0,"",IF(D908="VIGENTE",1,0))</f>
        <v>0</v>
      </c>
      <c r="H908" s="1" t="inlineStr">
        <is>
          <t xml:space="preserve">B observado / C cálculo</t>
        </is>
      </c>
    </row>
    <row r="909" customFormat="false" ht="15" hidden="false" customHeight="true" outlineLevel="0" collapsed="false">
      <c r="A909" s="1" t="n">
        <v>2022</v>
      </c>
      <c r="B909" s="1" t="n">
        <v>5</v>
      </c>
      <c r="C909" s="1" t="inlineStr">
        <is>
          <t xml:space="preserve">TTMREOL20211</t>
        </is>
      </c>
      <c r="D909" s="1" t="inlineStr">
        <is>
          <t xml:space="preserve">VIGENTE</t>
        </is>
      </c>
      <c r="E909" s="1" t="n">
        <v>1</v>
      </c>
      <c r="F909" s="1" t="n">
        <v>1</v>
      </c>
      <c r="G909" s="1" t="n">
        <f aca="false">IF(E909=0,"",IF(D909="VIGENTE",1,0))</f>
        <v>1</v>
      </c>
      <c r="H909" s="1" t="inlineStr">
        <is>
          <t xml:space="preserve">B observado / C cálculo</t>
        </is>
      </c>
    </row>
    <row r="910" customFormat="false" ht="15" hidden="false" customHeight="true" outlineLevel="0" collapsed="false">
      <c r="A910" s="1" t="n">
        <v>2022</v>
      </c>
      <c r="B910" s="1" t="n">
        <v>5</v>
      </c>
      <c r="C910" s="1" t="inlineStr">
        <is>
          <t xml:space="preserve">TTMREOL20231</t>
        </is>
      </c>
      <c r="D910" s="1" t="inlineStr">
        <is>
          <t xml:space="preserve">ELIMINADO</t>
        </is>
      </c>
      <c r="E910" s="1" t="n">
        <v>1</v>
      </c>
      <c r="F910" s="1" t="n">
        <v>1</v>
      </c>
      <c r="G910" s="1" t="n">
        <f aca="false">IF(E910=0,"",IF(D910="VIGENTE",1,0))</f>
        <v>0</v>
      </c>
      <c r="H910" s="1" t="inlineStr">
        <is>
          <t xml:space="preserve">B observado / C cálculo</t>
        </is>
      </c>
    </row>
    <row r="911" customFormat="false" ht="15" hidden="false" customHeight="true" outlineLevel="0" collapsed="false">
      <c r="A911" s="1" t="n">
        <v>2023</v>
      </c>
      <c r="B911" s="1" t="n">
        <v>1</v>
      </c>
      <c r="C911" s="1" t="inlineStr">
        <is>
          <t xml:space="preserve">ICIB20241</t>
        </is>
      </c>
      <c r="D911" s="1" t="inlineStr">
        <is>
          <t xml:space="preserve">VIGENTE</t>
        </is>
      </c>
      <c r="E911" s="1" t="n">
        <v>1</v>
      </c>
      <c r="F911" s="1" t="n">
        <v>12</v>
      </c>
      <c r="G911" s="1" t="n">
        <f aca="false">IF(E911=0,"",IF(D911="VIGENTE",1,0))</f>
        <v>1</v>
      </c>
      <c r="H911" s="1" t="inlineStr">
        <is>
          <t xml:space="preserve">B observado / C cálculo</t>
        </is>
      </c>
    </row>
    <row r="912" customFormat="false" ht="15" hidden="false" customHeight="true" outlineLevel="0" collapsed="false">
      <c r="A912" s="1" t="n">
        <v>2023</v>
      </c>
      <c r="B912" s="1" t="n">
        <v>1</v>
      </c>
      <c r="C912" s="1" t="inlineStr">
        <is>
          <t xml:space="preserve">ICRE20241</t>
        </is>
      </c>
      <c r="D912" s="1" t="inlineStr">
        <is>
          <t xml:space="preserve">VIGENTE</t>
        </is>
      </c>
      <c r="E912" s="1" t="n">
        <v>1</v>
      </c>
      <c r="F912" s="1" t="n">
        <v>2</v>
      </c>
      <c r="G912" s="1" t="n">
        <f aca="false">IF(E912=0,"",IF(D912="VIGENTE",1,0))</f>
        <v>1</v>
      </c>
      <c r="H912" s="1" t="inlineStr">
        <is>
          <t xml:space="preserve">B observado / C cálculo</t>
        </is>
      </c>
    </row>
    <row r="913" customFormat="false" ht="15" hidden="false" customHeight="true" outlineLevel="0" collapsed="false">
      <c r="A913" s="1" t="n">
        <v>2023</v>
      </c>
      <c r="B913" s="1" t="n">
        <v>1</v>
      </c>
      <c r="C913" s="1" t="inlineStr">
        <is>
          <t xml:space="preserve">IECIRE20191</t>
        </is>
      </c>
      <c r="D913" s="1" t="inlineStr">
        <is>
          <t xml:space="preserve">TITULADO</t>
        </is>
      </c>
      <c r="E913" s="1" t="n">
        <v>1</v>
      </c>
      <c r="F913" s="1" t="n">
        <v>4</v>
      </c>
      <c r="G913" s="1" t="n">
        <f aca="false">IF(E913=0,"",IF(D913="VIGENTE",1,0))</f>
        <v>0</v>
      </c>
      <c r="H913" s="1" t="inlineStr">
        <is>
          <t xml:space="preserve">B observado / C cálculo</t>
        </is>
      </c>
    </row>
    <row r="914" customFormat="false" ht="15" hidden="false" customHeight="true" outlineLevel="0" collapsed="false">
      <c r="A914" s="1" t="n">
        <v>2023</v>
      </c>
      <c r="B914" s="1" t="n">
        <v>1</v>
      </c>
      <c r="C914" s="1" t="inlineStr">
        <is>
          <t xml:space="preserve">IECIRE2020</t>
        </is>
      </c>
      <c r="D914" s="1" t="inlineStr">
        <is>
          <t xml:space="preserve">ELIMINADO</t>
        </is>
      </c>
      <c r="E914" s="1" t="n">
        <v>1</v>
      </c>
      <c r="F914" s="1" t="n">
        <v>1</v>
      </c>
      <c r="G914" s="1" t="n">
        <f aca="false">IF(E914=0,"",IF(D914="VIGENTE",1,0))</f>
        <v>0</v>
      </c>
      <c r="H914" s="1" t="inlineStr">
        <is>
          <t xml:space="preserve">B observado / C cálculo</t>
        </is>
      </c>
    </row>
    <row r="915" customFormat="false" ht="15" hidden="false" customHeight="true" outlineLevel="0" collapsed="false">
      <c r="A915" s="1" t="n">
        <v>2023</v>
      </c>
      <c r="B915" s="1" t="n">
        <v>1</v>
      </c>
      <c r="C915" s="1" t="inlineStr">
        <is>
          <t xml:space="preserve">IECIRE2020</t>
        </is>
      </c>
      <c r="D915" s="1" t="inlineStr">
        <is>
          <t xml:space="preserve">TITULADO</t>
        </is>
      </c>
      <c r="E915" s="1" t="n">
        <v>3</v>
      </c>
      <c r="F915" s="1" t="n">
        <v>12</v>
      </c>
      <c r="G915" s="1" t="n">
        <f aca="false">IF(E915=0,"",IF(D915="VIGENTE",1,0))</f>
        <v>0</v>
      </c>
      <c r="H915" s="1" t="inlineStr">
        <is>
          <t xml:space="preserve">B observado / C cálculo</t>
        </is>
      </c>
    </row>
    <row r="916" customFormat="false" ht="15" hidden="false" customHeight="true" outlineLevel="0" collapsed="false">
      <c r="A916" s="1" t="n">
        <v>2023</v>
      </c>
      <c r="B916" s="1" t="n">
        <v>1</v>
      </c>
      <c r="C916" s="1" t="inlineStr">
        <is>
          <t xml:space="preserve">IECIRE20211</t>
        </is>
      </c>
      <c r="D916" s="1" t="inlineStr">
        <is>
          <t xml:space="preserve">ELIMINADO</t>
        </is>
      </c>
      <c r="E916" s="1" t="n">
        <v>17</v>
      </c>
      <c r="F916" s="1" t="n">
        <v>48</v>
      </c>
      <c r="G916" s="1" t="n">
        <f aca="false">IF(E916=0,"",IF(D916="VIGENTE",1,0))</f>
        <v>0</v>
      </c>
      <c r="H916" s="1" t="inlineStr">
        <is>
          <t xml:space="preserve">B observado / C cálculo</t>
        </is>
      </c>
    </row>
    <row r="917" customFormat="false" ht="15" hidden="false" customHeight="true" outlineLevel="0" collapsed="false">
      <c r="A917" s="1" t="n">
        <v>2023</v>
      </c>
      <c r="B917" s="1" t="n">
        <v>1</v>
      </c>
      <c r="C917" s="1" t="inlineStr">
        <is>
          <t xml:space="preserve">IECIRE20211</t>
        </is>
      </c>
      <c r="D917" s="1" t="inlineStr">
        <is>
          <t xml:space="preserve">TITULADO</t>
        </is>
      </c>
      <c r="E917" s="1" t="n">
        <v>8</v>
      </c>
      <c r="F917" s="1" t="n">
        <v>38</v>
      </c>
      <c r="G917" s="1" t="n">
        <f aca="false">IF(E917=0,"",IF(D917="VIGENTE",1,0))</f>
        <v>0</v>
      </c>
      <c r="H917" s="1" t="inlineStr">
        <is>
          <t xml:space="preserve">B observado / C cálculo</t>
        </is>
      </c>
    </row>
    <row r="918" customFormat="false" ht="15" hidden="false" customHeight="true" outlineLevel="0" collapsed="false">
      <c r="A918" s="1" t="n">
        <v>2023</v>
      </c>
      <c r="B918" s="1" t="n">
        <v>1</v>
      </c>
      <c r="C918" s="1" t="inlineStr">
        <is>
          <t xml:space="preserve">IECIRE20211</t>
        </is>
      </c>
      <c r="D918" s="1" t="inlineStr">
        <is>
          <t xml:space="preserve">VIGENTE</t>
        </is>
      </c>
      <c r="E918" s="1" t="n">
        <v>1</v>
      </c>
      <c r="F918" s="1" t="n">
        <v>3</v>
      </c>
      <c r="G918" s="1" t="n">
        <f aca="false">IF(E918=0,"",IF(D918="VIGENTE",1,0))</f>
        <v>1</v>
      </c>
      <c r="H918" s="1" t="inlineStr">
        <is>
          <t xml:space="preserve">B observado / C cálculo</t>
        </is>
      </c>
    </row>
    <row r="919" customFormat="false" ht="15" hidden="false" customHeight="true" outlineLevel="0" collapsed="false">
      <c r="A919" s="1" t="n">
        <v>2023</v>
      </c>
      <c r="B919" s="1" t="n">
        <v>1</v>
      </c>
      <c r="C919" s="1" t="inlineStr">
        <is>
          <t xml:space="preserve">IECIREOL20191</t>
        </is>
      </c>
      <c r="D919" s="1" t="inlineStr">
        <is>
          <t xml:space="preserve">TITULADO</t>
        </is>
      </c>
      <c r="E919" s="1" t="n">
        <v>2</v>
      </c>
      <c r="F919" s="1" t="n">
        <v>4</v>
      </c>
      <c r="G919" s="1" t="n">
        <f aca="false">IF(E919=0,"",IF(D919="VIGENTE",1,0))</f>
        <v>0</v>
      </c>
      <c r="H919" s="1" t="inlineStr">
        <is>
          <t xml:space="preserve">B observado / C cálculo</t>
        </is>
      </c>
    </row>
    <row r="920" customFormat="false" ht="15" hidden="false" customHeight="true" outlineLevel="0" collapsed="false">
      <c r="A920" s="1" t="n">
        <v>2023</v>
      </c>
      <c r="B920" s="1" t="n">
        <v>1</v>
      </c>
      <c r="C920" s="1" t="inlineStr">
        <is>
          <t xml:space="preserve">IECIREOL20201</t>
        </is>
      </c>
      <c r="D920" s="1" t="inlineStr">
        <is>
          <t xml:space="preserve">TITULADO</t>
        </is>
      </c>
      <c r="E920" s="1" t="n">
        <v>7</v>
      </c>
      <c r="F920" s="1" t="n">
        <v>10</v>
      </c>
      <c r="G920" s="1" t="n">
        <f aca="false">IF(E920=0,"",IF(D920="VIGENTE",1,0))</f>
        <v>0</v>
      </c>
      <c r="H920" s="1" t="inlineStr">
        <is>
          <t xml:space="preserve">B observado / C cálculo</t>
        </is>
      </c>
    </row>
    <row r="921" customFormat="false" ht="15" hidden="false" customHeight="true" outlineLevel="0" collapsed="false">
      <c r="A921" s="1" t="n">
        <v>2023</v>
      </c>
      <c r="B921" s="1" t="n">
        <v>1</v>
      </c>
      <c r="C921" s="1" t="inlineStr">
        <is>
          <t xml:space="preserve">IECIREOL20211</t>
        </is>
      </c>
      <c r="D921" s="1" t="inlineStr">
        <is>
          <t xml:space="preserve">ELIMINADO</t>
        </is>
      </c>
      <c r="E921" s="1" t="n">
        <v>68</v>
      </c>
      <c r="F921" s="1" t="n">
        <v>109</v>
      </c>
      <c r="G921" s="1" t="n">
        <f aca="false">IF(E921=0,"",IF(D921="VIGENTE",1,0))</f>
        <v>0</v>
      </c>
      <c r="H921" s="1" t="inlineStr">
        <is>
          <t xml:space="preserve">B observado / C cálculo</t>
        </is>
      </c>
    </row>
    <row r="922" customFormat="false" ht="15" hidden="false" customHeight="true" outlineLevel="0" collapsed="false">
      <c r="A922" s="1" t="n">
        <v>2023</v>
      </c>
      <c r="B922" s="1" t="n">
        <v>1</v>
      </c>
      <c r="C922" s="1" t="inlineStr">
        <is>
          <t xml:space="preserve">IECIREOL20211</t>
        </is>
      </c>
      <c r="D922" s="1" t="inlineStr">
        <is>
          <t xml:space="preserve">SUSPENDIDO</t>
        </is>
      </c>
      <c r="E922" s="1" t="n">
        <v>4</v>
      </c>
      <c r="F922" s="1" t="n">
        <v>4</v>
      </c>
      <c r="G922" s="1" t="n">
        <f aca="false">IF(E922=0,"",IF(D922="VIGENTE",1,0))</f>
        <v>0</v>
      </c>
      <c r="H922" s="1" t="inlineStr">
        <is>
          <t xml:space="preserve">B observado / C cálculo</t>
        </is>
      </c>
    </row>
    <row r="923" customFormat="false" ht="15" hidden="false" customHeight="true" outlineLevel="0" collapsed="false">
      <c r="A923" s="1" t="n">
        <v>2023</v>
      </c>
      <c r="B923" s="1" t="n">
        <v>1</v>
      </c>
      <c r="C923" s="1" t="inlineStr">
        <is>
          <t xml:space="preserve">IECIREOL20211</t>
        </is>
      </c>
      <c r="D923" s="1" t="inlineStr">
        <is>
          <t xml:space="preserve">TITULADO</t>
        </is>
      </c>
      <c r="E923" s="1" t="n">
        <v>64</v>
      </c>
      <c r="F923" s="1" t="n">
        <v>368</v>
      </c>
      <c r="G923" s="1" t="n">
        <f aca="false">IF(E923=0,"",IF(D923="VIGENTE",1,0))</f>
        <v>0</v>
      </c>
      <c r="H923" s="1" t="inlineStr">
        <is>
          <t xml:space="preserve">B observado / C cálculo</t>
        </is>
      </c>
    </row>
    <row r="924" customFormat="false" ht="15" hidden="false" customHeight="true" outlineLevel="0" collapsed="false">
      <c r="A924" s="1" t="n">
        <v>2023</v>
      </c>
      <c r="B924" s="1" t="n">
        <v>1</v>
      </c>
      <c r="C924" s="1" t="inlineStr">
        <is>
          <t xml:space="preserve">IECIREOL20211</t>
        </is>
      </c>
      <c r="D924" s="1" t="inlineStr">
        <is>
          <t xml:space="preserve">VIGENTE</t>
        </is>
      </c>
      <c r="E924" s="1" t="n">
        <v>3</v>
      </c>
      <c r="F924" s="1" t="n">
        <v>18</v>
      </c>
      <c r="G924" s="1" t="n">
        <f aca="false">IF(E924=0,"",IF(D924="VIGENTE",1,0))</f>
        <v>1</v>
      </c>
      <c r="H924" s="1" t="inlineStr">
        <is>
          <t xml:space="preserve">B observado / C cálculo</t>
        </is>
      </c>
    </row>
    <row r="925" customFormat="false" ht="15" hidden="false" customHeight="true" outlineLevel="0" collapsed="false">
      <c r="A925" s="1" t="n">
        <v>2023</v>
      </c>
      <c r="B925" s="1" t="n">
        <v>1</v>
      </c>
      <c r="C925" s="1" t="inlineStr">
        <is>
          <t xml:space="preserve">IECSRE20191</t>
        </is>
      </c>
      <c r="D925" s="1" t="inlineStr">
        <is>
          <t xml:space="preserve">TITULADO</t>
        </is>
      </c>
      <c r="E925" s="1" t="n">
        <v>7</v>
      </c>
      <c r="F925" s="1" t="n">
        <v>28</v>
      </c>
      <c r="G925" s="1" t="n">
        <f aca="false">IF(E925=0,"",IF(D925="VIGENTE",1,0))</f>
        <v>0</v>
      </c>
      <c r="H925" s="1" t="inlineStr">
        <is>
          <t xml:space="preserve">B observado / C cálculo</t>
        </is>
      </c>
    </row>
    <row r="926" customFormat="false" ht="15" hidden="false" customHeight="true" outlineLevel="0" collapsed="false">
      <c r="A926" s="1" t="n">
        <v>2023</v>
      </c>
      <c r="B926" s="1" t="n">
        <v>1</v>
      </c>
      <c r="C926" s="1" t="inlineStr">
        <is>
          <t xml:space="preserve">IECSRE20211</t>
        </is>
      </c>
      <c r="D926" s="1" t="inlineStr">
        <is>
          <t xml:space="preserve">ELIMINADO</t>
        </is>
      </c>
      <c r="E926" s="1" t="n">
        <v>24</v>
      </c>
      <c r="F926" s="1" t="n">
        <v>75</v>
      </c>
      <c r="G926" s="1" t="n">
        <f aca="false">IF(E926=0,"",IF(D926="VIGENTE",1,0))</f>
        <v>0</v>
      </c>
      <c r="H926" s="1" t="inlineStr">
        <is>
          <t xml:space="preserve">B observado / C cálculo</t>
        </is>
      </c>
    </row>
    <row r="927" customFormat="false" ht="15" hidden="false" customHeight="true" outlineLevel="0" collapsed="false">
      <c r="A927" s="1" t="n">
        <v>2023</v>
      </c>
      <c r="B927" s="1" t="n">
        <v>1</v>
      </c>
      <c r="C927" s="1" t="inlineStr">
        <is>
          <t xml:space="preserve">IECSRE20211</t>
        </is>
      </c>
      <c r="D927" s="1" t="inlineStr">
        <is>
          <t xml:space="preserve">SUSPENDIDO</t>
        </is>
      </c>
      <c r="E927" s="1" t="n">
        <v>2</v>
      </c>
      <c r="F927" s="1" t="n">
        <v>6</v>
      </c>
      <c r="G927" s="1" t="n">
        <f aca="false">IF(E927=0,"",IF(D927="VIGENTE",1,0))</f>
        <v>0</v>
      </c>
      <c r="H927" s="1" t="inlineStr">
        <is>
          <t xml:space="preserve">B observado / C cálculo</t>
        </is>
      </c>
    </row>
    <row r="928" customFormat="false" ht="15" hidden="false" customHeight="true" outlineLevel="0" collapsed="false">
      <c r="A928" s="1" t="n">
        <v>2023</v>
      </c>
      <c r="B928" s="1" t="n">
        <v>1</v>
      </c>
      <c r="C928" s="1" t="inlineStr">
        <is>
          <t xml:space="preserve">IECSRE20211</t>
        </is>
      </c>
      <c r="D928" s="1" t="inlineStr">
        <is>
          <t xml:space="preserve">TITULADO</t>
        </is>
      </c>
      <c r="E928" s="1" t="n">
        <v>17</v>
      </c>
      <c r="F928" s="1" t="n">
        <v>69</v>
      </c>
      <c r="G928" s="1" t="n">
        <f aca="false">IF(E928=0,"",IF(D928="VIGENTE",1,0))</f>
        <v>0</v>
      </c>
      <c r="H928" s="1" t="inlineStr">
        <is>
          <t xml:space="preserve">B observado / C cálculo</t>
        </is>
      </c>
    </row>
    <row r="929" customFormat="false" ht="15" hidden="false" customHeight="true" outlineLevel="0" collapsed="false">
      <c r="A929" s="1" t="n">
        <v>2023</v>
      </c>
      <c r="B929" s="1" t="n">
        <v>1</v>
      </c>
      <c r="C929" s="1" t="inlineStr">
        <is>
          <t xml:space="preserve">IECSREOL20211</t>
        </is>
      </c>
      <c r="D929" s="1" t="inlineStr">
        <is>
          <t xml:space="preserve">ELIMINADO</t>
        </is>
      </c>
      <c r="E929" s="1" t="n">
        <v>69</v>
      </c>
      <c r="F929" s="1" t="n">
        <v>202</v>
      </c>
      <c r="G929" s="1" t="n">
        <f aca="false">IF(E929=0,"",IF(D929="VIGENTE",1,0))</f>
        <v>0</v>
      </c>
      <c r="H929" s="1" t="inlineStr">
        <is>
          <t xml:space="preserve">B observado / C cálculo</t>
        </is>
      </c>
    </row>
    <row r="930" customFormat="false" ht="15" hidden="false" customHeight="true" outlineLevel="0" collapsed="false">
      <c r="A930" s="1" t="n">
        <v>2023</v>
      </c>
      <c r="B930" s="1" t="n">
        <v>1</v>
      </c>
      <c r="C930" s="1" t="inlineStr">
        <is>
          <t xml:space="preserve">IECSREOL20211</t>
        </is>
      </c>
      <c r="D930" s="1" t="inlineStr">
        <is>
          <t xml:space="preserve">TITULADO</t>
        </is>
      </c>
      <c r="E930" s="1" t="n">
        <v>78</v>
      </c>
      <c r="F930" s="1" t="n">
        <v>303</v>
      </c>
      <c r="G930" s="1" t="n">
        <f aca="false">IF(E930=0,"",IF(D930="VIGENTE",1,0))</f>
        <v>0</v>
      </c>
      <c r="H930" s="1" t="inlineStr">
        <is>
          <t xml:space="preserve">B observado / C cálculo</t>
        </is>
      </c>
    </row>
    <row r="931" customFormat="false" ht="15" hidden="false" customHeight="true" outlineLevel="0" collapsed="false">
      <c r="A931" s="1" t="n">
        <v>2023</v>
      </c>
      <c r="B931" s="1" t="n">
        <v>1</v>
      </c>
      <c r="C931" s="1" t="inlineStr">
        <is>
          <t xml:space="preserve">IECSREOL20211</t>
        </is>
      </c>
      <c r="D931" s="1" t="inlineStr">
        <is>
          <t xml:space="preserve">VIGENTE</t>
        </is>
      </c>
      <c r="E931" s="1" t="n">
        <v>6</v>
      </c>
      <c r="F931" s="1" t="n">
        <v>9</v>
      </c>
      <c r="G931" s="1" t="n">
        <f aca="false">IF(E931=0,"",IF(D931="VIGENTE",1,0))</f>
        <v>1</v>
      </c>
      <c r="H931" s="1" t="inlineStr">
        <is>
          <t xml:space="preserve">B observado / C cálculo</t>
        </is>
      </c>
    </row>
    <row r="932" customFormat="false" ht="15" hidden="false" customHeight="true" outlineLevel="0" collapsed="false">
      <c r="A932" s="1" t="n">
        <v>2023</v>
      </c>
      <c r="B932" s="1" t="n">
        <v>1</v>
      </c>
      <c r="C932" s="1" t="inlineStr">
        <is>
          <t xml:space="preserve">IETMRE20191</t>
        </is>
      </c>
      <c r="D932" s="1" t="inlineStr">
        <is>
          <t xml:space="preserve">TITULADO</t>
        </is>
      </c>
      <c r="E932" s="1" t="n">
        <v>4</v>
      </c>
      <c r="F932" s="1" t="n">
        <v>16</v>
      </c>
      <c r="G932" s="1" t="n">
        <f aca="false">IF(E932=0,"",IF(D932="VIGENTE",1,0))</f>
        <v>0</v>
      </c>
      <c r="H932" s="1" t="inlineStr">
        <is>
          <t xml:space="preserve">B observado / C cálculo</t>
        </is>
      </c>
    </row>
    <row r="933" customFormat="false" ht="15" hidden="false" customHeight="true" outlineLevel="0" collapsed="false">
      <c r="A933" s="1" t="n">
        <v>2023</v>
      </c>
      <c r="B933" s="1" t="n">
        <v>1</v>
      </c>
      <c r="C933" s="1" t="inlineStr">
        <is>
          <t xml:space="preserve">IETMRE20211</t>
        </is>
      </c>
      <c r="D933" s="1" t="inlineStr">
        <is>
          <t xml:space="preserve">ELIMINADO</t>
        </is>
      </c>
      <c r="E933" s="1" t="n">
        <v>4</v>
      </c>
      <c r="F933" s="1" t="n">
        <v>24</v>
      </c>
      <c r="G933" s="1" t="n">
        <f aca="false">IF(E933=0,"",IF(D933="VIGENTE",1,0))</f>
        <v>0</v>
      </c>
      <c r="H933" s="1" t="inlineStr">
        <is>
          <t xml:space="preserve">B observado / C cálculo</t>
        </is>
      </c>
    </row>
    <row r="934" customFormat="false" ht="15" hidden="false" customHeight="true" outlineLevel="0" collapsed="false">
      <c r="A934" s="1" t="n">
        <v>2023</v>
      </c>
      <c r="B934" s="1" t="n">
        <v>1</v>
      </c>
      <c r="C934" s="1" t="inlineStr">
        <is>
          <t xml:space="preserve">IETMRE20211</t>
        </is>
      </c>
      <c r="D934" s="1" t="inlineStr">
        <is>
          <t xml:space="preserve">TITULADO</t>
        </is>
      </c>
      <c r="E934" s="1" t="n">
        <v>19</v>
      </c>
      <c r="F934" s="1" t="n">
        <v>100</v>
      </c>
      <c r="G934" s="1" t="n">
        <f aca="false">IF(E934=0,"",IF(D934="VIGENTE",1,0))</f>
        <v>0</v>
      </c>
      <c r="H934" s="1" t="inlineStr">
        <is>
          <t xml:space="preserve">B observado / C cálculo</t>
        </is>
      </c>
    </row>
    <row r="935" customFormat="false" ht="15" hidden="false" customHeight="true" outlineLevel="0" collapsed="false">
      <c r="A935" s="1" t="n">
        <v>2023</v>
      </c>
      <c r="B935" s="1" t="n">
        <v>1</v>
      </c>
      <c r="C935" s="1" t="inlineStr">
        <is>
          <t xml:space="preserve">IETMREOL20191</t>
        </is>
      </c>
      <c r="D935" s="1" t="inlineStr">
        <is>
          <t xml:space="preserve">TITULADO</t>
        </is>
      </c>
      <c r="E935" s="1" t="n">
        <v>7</v>
      </c>
      <c r="F935" s="1" t="n">
        <v>7</v>
      </c>
      <c r="G935" s="1" t="n">
        <f aca="false">IF(E935=0,"",IF(D935="VIGENTE",1,0))</f>
        <v>0</v>
      </c>
      <c r="H935" s="1" t="inlineStr">
        <is>
          <t xml:space="preserve">B observado / C cálculo</t>
        </is>
      </c>
    </row>
    <row r="936" customFormat="false" ht="15" hidden="false" customHeight="true" outlineLevel="0" collapsed="false">
      <c r="A936" s="1" t="n">
        <v>2023</v>
      </c>
      <c r="B936" s="1" t="n">
        <v>1</v>
      </c>
      <c r="C936" s="1" t="inlineStr">
        <is>
          <t xml:space="preserve">IETMREOL20191</t>
        </is>
      </c>
      <c r="D936" s="1" t="inlineStr">
        <is>
          <t xml:space="preserve">VIGENTE</t>
        </is>
      </c>
      <c r="E936" s="1" t="n">
        <v>1</v>
      </c>
      <c r="F936" s="1" t="n">
        <v>1</v>
      </c>
      <c r="G936" s="1" t="n">
        <f aca="false">IF(E936=0,"",IF(D936="VIGENTE",1,0))</f>
        <v>1</v>
      </c>
      <c r="H936" s="1" t="inlineStr">
        <is>
          <t xml:space="preserve">B observado / C cálculo</t>
        </is>
      </c>
    </row>
    <row r="937" customFormat="false" ht="15" hidden="false" customHeight="true" outlineLevel="0" collapsed="false">
      <c r="A937" s="1" t="n">
        <v>2023</v>
      </c>
      <c r="B937" s="1" t="n">
        <v>1</v>
      </c>
      <c r="C937" s="1" t="inlineStr">
        <is>
          <t xml:space="preserve">IETMREOL20211</t>
        </is>
      </c>
      <c r="D937" s="1" t="inlineStr">
        <is>
          <t xml:space="preserve">ELIMINADO</t>
        </is>
      </c>
      <c r="E937" s="1" t="n">
        <v>69</v>
      </c>
      <c r="F937" s="1" t="n">
        <v>138</v>
      </c>
      <c r="G937" s="1" t="n">
        <f aca="false">IF(E937=0,"",IF(D937="VIGENTE",1,0))</f>
        <v>0</v>
      </c>
      <c r="H937" s="1" t="inlineStr">
        <is>
          <t xml:space="preserve">B observado / C cálculo</t>
        </is>
      </c>
    </row>
    <row r="938" customFormat="false" ht="15" hidden="false" customHeight="true" outlineLevel="0" collapsed="false">
      <c r="A938" s="1" t="n">
        <v>2023</v>
      </c>
      <c r="B938" s="1" t="n">
        <v>1</v>
      </c>
      <c r="C938" s="1" t="inlineStr">
        <is>
          <t xml:space="preserve">IETMREOL20211</t>
        </is>
      </c>
      <c r="D938" s="1" t="inlineStr">
        <is>
          <t xml:space="preserve">SUSPENDIDO</t>
        </is>
      </c>
      <c r="E938" s="1" t="n">
        <v>4</v>
      </c>
      <c r="F938" s="1" t="n">
        <v>4</v>
      </c>
      <c r="G938" s="1" t="n">
        <f aca="false">IF(E938=0,"",IF(D938="VIGENTE",1,0))</f>
        <v>0</v>
      </c>
      <c r="H938" s="1" t="inlineStr">
        <is>
          <t xml:space="preserve">B observado / C cálculo</t>
        </is>
      </c>
    </row>
    <row r="939" customFormat="false" ht="15" hidden="false" customHeight="true" outlineLevel="0" collapsed="false">
      <c r="A939" s="1" t="n">
        <v>2023</v>
      </c>
      <c r="B939" s="1" t="n">
        <v>1</v>
      </c>
      <c r="C939" s="1" t="inlineStr">
        <is>
          <t xml:space="preserve">IETMREOL20211</t>
        </is>
      </c>
      <c r="D939" s="1" t="inlineStr">
        <is>
          <t xml:space="preserve">TITULADO</t>
        </is>
      </c>
      <c r="E939" s="1" t="n">
        <v>112</v>
      </c>
      <c r="F939" s="1" t="n">
        <v>484</v>
      </c>
      <c r="G939" s="1" t="n">
        <f aca="false">IF(E939=0,"",IF(D939="VIGENTE",1,0))</f>
        <v>0</v>
      </c>
      <c r="H939" s="1" t="inlineStr">
        <is>
          <t xml:space="preserve">B observado / C cálculo</t>
        </is>
      </c>
    </row>
    <row r="940" customFormat="false" ht="15" hidden="false" customHeight="true" outlineLevel="0" collapsed="false">
      <c r="A940" s="1" t="n">
        <v>2023</v>
      </c>
      <c r="B940" s="1" t="n">
        <v>1</v>
      </c>
      <c r="C940" s="1" t="inlineStr">
        <is>
          <t xml:space="preserve">IETMREOL20211</t>
        </is>
      </c>
      <c r="D940" s="1" t="inlineStr">
        <is>
          <t xml:space="preserve">VIGENTE</t>
        </is>
      </c>
      <c r="E940" s="1" t="n">
        <v>5</v>
      </c>
      <c r="F940" s="1" t="n">
        <v>21</v>
      </c>
      <c r="G940" s="1" t="n">
        <f aca="false">IF(E940=0,"",IF(D940="VIGENTE",1,0))</f>
        <v>1</v>
      </c>
      <c r="H940" s="1" t="inlineStr">
        <is>
          <t xml:space="preserve">B observado / C cálculo</t>
        </is>
      </c>
    </row>
    <row r="941" customFormat="false" ht="15" hidden="false" customHeight="true" outlineLevel="0" collapsed="false">
      <c r="A941" s="1" t="n">
        <v>2023</v>
      </c>
      <c r="B941" s="1" t="n">
        <v>1</v>
      </c>
      <c r="C941" s="1" t="inlineStr">
        <is>
          <t xml:space="preserve">IINF20241</t>
        </is>
      </c>
      <c r="D941" s="1" t="inlineStr">
        <is>
          <t xml:space="preserve">TITULADO</t>
        </is>
      </c>
      <c r="E941" s="1" t="n">
        <v>1</v>
      </c>
      <c r="F941" s="1" t="n">
        <v>5</v>
      </c>
      <c r="G941" s="1" t="n">
        <f aca="false">IF(E941=0,"",IF(D941="VIGENTE",1,0))</f>
        <v>0</v>
      </c>
      <c r="H941" s="1" t="inlineStr">
        <is>
          <t xml:space="preserve">B observado / C cálculo</t>
        </is>
      </c>
    </row>
    <row r="942" customFormat="false" ht="15" hidden="false" customHeight="true" outlineLevel="0" collapsed="false">
      <c r="A942" s="1" t="n">
        <v>2023</v>
      </c>
      <c r="B942" s="1" t="n">
        <v>1</v>
      </c>
      <c r="C942" s="1" t="inlineStr">
        <is>
          <t xml:space="preserve">IINF20241</t>
        </is>
      </c>
      <c r="D942" s="1" t="inlineStr">
        <is>
          <t xml:space="preserve">VIGENTE</t>
        </is>
      </c>
      <c r="E942" s="1" t="n">
        <v>3</v>
      </c>
      <c r="F942" s="1" t="n">
        <v>9</v>
      </c>
      <c r="G942" s="1" t="n">
        <f aca="false">IF(E942=0,"",IF(D942="VIGENTE",1,0))</f>
        <v>1</v>
      </c>
      <c r="H942" s="1" t="inlineStr">
        <is>
          <t xml:space="preserve">B observado / C cálculo</t>
        </is>
      </c>
    </row>
    <row r="943" customFormat="false" ht="15" hidden="false" customHeight="true" outlineLevel="0" collapsed="false">
      <c r="A943" s="1" t="n">
        <v>2023</v>
      </c>
      <c r="B943" s="1" t="n">
        <v>1</v>
      </c>
      <c r="C943" s="1" t="inlineStr">
        <is>
          <t xml:space="preserve">TCSRE20191</t>
        </is>
      </c>
      <c r="D943" s="1" t="inlineStr">
        <is>
          <t xml:space="preserve">VIGENTE</t>
        </is>
      </c>
      <c r="E943" s="1" t="n">
        <v>1</v>
      </c>
      <c r="F943" s="1" t="n">
        <v>2</v>
      </c>
      <c r="G943" s="1" t="n">
        <f aca="false">IF(E943=0,"",IF(D943="VIGENTE",1,0))</f>
        <v>1</v>
      </c>
      <c r="H943" s="1" t="inlineStr">
        <is>
          <t xml:space="preserve">B observado / C cálculo</t>
        </is>
      </c>
    </row>
    <row r="944" customFormat="false" ht="15" hidden="false" customHeight="true" outlineLevel="0" collapsed="false">
      <c r="A944" s="1" t="n">
        <v>2023</v>
      </c>
      <c r="B944" s="1" t="n">
        <v>1</v>
      </c>
      <c r="C944" s="1" t="inlineStr">
        <is>
          <t xml:space="preserve">TCSRE20211</t>
        </is>
      </c>
      <c r="D944" s="1" t="inlineStr">
        <is>
          <t xml:space="preserve">ELIMINADO</t>
        </is>
      </c>
      <c r="E944" s="1" t="n">
        <v>4</v>
      </c>
      <c r="F944" s="1" t="n">
        <v>9</v>
      </c>
      <c r="G944" s="1" t="n">
        <f aca="false">IF(E944=0,"",IF(D944="VIGENTE",1,0))</f>
        <v>0</v>
      </c>
      <c r="H944" s="1" t="inlineStr">
        <is>
          <t xml:space="preserve">B observado / C cálculo</t>
        </is>
      </c>
    </row>
    <row r="945" customFormat="false" ht="15" hidden="false" customHeight="true" outlineLevel="0" collapsed="false">
      <c r="A945" s="1" t="n">
        <v>2023</v>
      </c>
      <c r="B945" s="1" t="n">
        <v>1</v>
      </c>
      <c r="C945" s="1" t="inlineStr">
        <is>
          <t xml:space="preserve">TCSRE20211</t>
        </is>
      </c>
      <c r="D945" s="1" t="inlineStr">
        <is>
          <t xml:space="preserve">TITULADO</t>
        </is>
      </c>
      <c r="E945" s="1" t="n">
        <v>11</v>
      </c>
      <c r="F945" s="1" t="n">
        <v>27</v>
      </c>
      <c r="G945" s="1" t="n">
        <f aca="false">IF(E945=0,"",IF(D945="VIGENTE",1,0))</f>
        <v>0</v>
      </c>
      <c r="H945" s="1" t="inlineStr">
        <is>
          <t xml:space="preserve">B observado / C cálculo</t>
        </is>
      </c>
    </row>
    <row r="946" customFormat="false" ht="15" hidden="false" customHeight="true" outlineLevel="0" collapsed="false">
      <c r="A946" s="1" t="n">
        <v>2023</v>
      </c>
      <c r="B946" s="1" t="n">
        <v>1</v>
      </c>
      <c r="C946" s="1" t="inlineStr">
        <is>
          <t xml:space="preserve">TCSREOL2020</t>
        </is>
      </c>
      <c r="D946" s="1" t="inlineStr">
        <is>
          <t xml:space="preserve">TITULADO</t>
        </is>
      </c>
      <c r="E946" s="1" t="n">
        <v>1</v>
      </c>
      <c r="F946" s="1" t="n">
        <v>3</v>
      </c>
      <c r="G946" s="1" t="n">
        <f aca="false">IF(E946=0,"",IF(D946="VIGENTE",1,0))</f>
        <v>0</v>
      </c>
      <c r="H946" s="1" t="inlineStr">
        <is>
          <t xml:space="preserve">B observado / C cálculo</t>
        </is>
      </c>
    </row>
    <row r="947" customFormat="false" ht="15" hidden="false" customHeight="true" outlineLevel="0" collapsed="false">
      <c r="A947" s="1" t="n">
        <v>2023</v>
      </c>
      <c r="B947" s="1" t="n">
        <v>1</v>
      </c>
      <c r="C947" s="1" t="inlineStr">
        <is>
          <t xml:space="preserve">TCSREOL2020</t>
        </is>
      </c>
      <c r="D947" s="1" t="inlineStr">
        <is>
          <t xml:space="preserve">VIGENTE</t>
        </is>
      </c>
      <c r="E947" s="1" t="n">
        <v>1</v>
      </c>
      <c r="F947" s="1" t="n">
        <v>1</v>
      </c>
      <c r="G947" s="1" t="n">
        <f aca="false">IF(E947=0,"",IF(D947="VIGENTE",1,0))</f>
        <v>1</v>
      </c>
      <c r="H947" s="1" t="inlineStr">
        <is>
          <t xml:space="preserve">B observado / C cálculo</t>
        </is>
      </c>
    </row>
    <row r="948" customFormat="false" ht="15" hidden="false" customHeight="true" outlineLevel="0" collapsed="false">
      <c r="A948" s="1" t="n">
        <v>2023</v>
      </c>
      <c r="B948" s="1" t="n">
        <v>1</v>
      </c>
      <c r="C948" s="1" t="inlineStr">
        <is>
          <t xml:space="preserve">TCSREOL20211</t>
        </is>
      </c>
      <c r="D948" s="1" t="inlineStr">
        <is>
          <t xml:space="preserve">ELIMINADO</t>
        </is>
      </c>
      <c r="E948" s="1" t="n">
        <v>2</v>
      </c>
      <c r="F948" s="1" t="n">
        <v>5</v>
      </c>
      <c r="G948" s="1" t="n">
        <f aca="false">IF(E948=0,"",IF(D948="VIGENTE",1,0))</f>
        <v>0</v>
      </c>
      <c r="H948" s="1" t="inlineStr">
        <is>
          <t xml:space="preserve">B observado / C cálculo</t>
        </is>
      </c>
    </row>
    <row r="949" customFormat="false" ht="15" hidden="false" customHeight="true" outlineLevel="0" collapsed="false">
      <c r="A949" s="1" t="n">
        <v>2023</v>
      </c>
      <c r="B949" s="1" t="n">
        <v>1</v>
      </c>
      <c r="C949" s="1" t="inlineStr">
        <is>
          <t xml:space="preserve">TCSREOL20211</t>
        </is>
      </c>
      <c r="D949" s="1" t="inlineStr">
        <is>
          <t xml:space="preserve">TITULADO</t>
        </is>
      </c>
      <c r="E949" s="1" t="n">
        <v>22</v>
      </c>
      <c r="F949" s="1" t="n">
        <v>63</v>
      </c>
      <c r="G949" s="1" t="n">
        <f aca="false">IF(E949=0,"",IF(D949="VIGENTE",1,0))</f>
        <v>0</v>
      </c>
      <c r="H949" s="1" t="inlineStr">
        <is>
          <t xml:space="preserve">B observado / C cálculo</t>
        </is>
      </c>
    </row>
    <row r="950" customFormat="false" ht="15" hidden="false" customHeight="true" outlineLevel="0" collapsed="false">
      <c r="A950" s="1" t="n">
        <v>2023</v>
      </c>
      <c r="B950" s="1" t="n">
        <v>1</v>
      </c>
      <c r="C950" s="1" t="inlineStr">
        <is>
          <t xml:space="preserve">TCSREOL20211</t>
        </is>
      </c>
      <c r="D950" s="1" t="inlineStr">
        <is>
          <t xml:space="preserve">VIGENTE</t>
        </is>
      </c>
      <c r="E950" s="1" t="n">
        <v>1</v>
      </c>
      <c r="F950" s="1" t="n">
        <v>8</v>
      </c>
      <c r="G950" s="1" t="n">
        <f aca="false">IF(E950=0,"",IF(D950="VIGENTE",1,0))</f>
        <v>1</v>
      </c>
      <c r="H950" s="1" t="inlineStr">
        <is>
          <t xml:space="preserve">B observado / C cálculo</t>
        </is>
      </c>
    </row>
    <row r="951" customFormat="false" ht="15" hidden="false" customHeight="true" outlineLevel="0" collapsed="false">
      <c r="A951" s="1" t="n">
        <v>2023</v>
      </c>
      <c r="B951" s="1" t="n">
        <v>1</v>
      </c>
      <c r="C951" s="1" t="inlineStr">
        <is>
          <t xml:space="preserve">TCSREOL20231</t>
        </is>
      </c>
      <c r="D951" s="1" t="inlineStr">
        <is>
          <t xml:space="preserve">ELIMINADO</t>
        </is>
      </c>
      <c r="E951" s="1" t="n">
        <v>52</v>
      </c>
      <c r="F951" s="1" t="n">
        <v>107</v>
      </c>
      <c r="G951" s="1" t="n">
        <f aca="false">IF(E951=0,"",IF(D951="VIGENTE",1,0))</f>
        <v>0</v>
      </c>
      <c r="H951" s="1" t="inlineStr">
        <is>
          <t xml:space="preserve">B observado / C cálculo</t>
        </is>
      </c>
    </row>
    <row r="952" customFormat="false" ht="15" hidden="false" customHeight="true" outlineLevel="0" collapsed="false">
      <c r="A952" s="1" t="n">
        <v>2023</v>
      </c>
      <c r="B952" s="1" t="n">
        <v>1</v>
      </c>
      <c r="C952" s="1" t="inlineStr">
        <is>
          <t xml:space="preserve">TCSREOL20231</t>
        </is>
      </c>
      <c r="D952" s="1" t="inlineStr">
        <is>
          <t xml:space="preserve">TITULADO</t>
        </is>
      </c>
      <c r="E952" s="1" t="n">
        <v>4</v>
      </c>
      <c r="F952" s="1" t="n">
        <v>8</v>
      </c>
      <c r="G952" s="1" t="n">
        <f aca="false">IF(E952=0,"",IF(D952="VIGENTE",1,0))</f>
        <v>0</v>
      </c>
      <c r="H952" s="1" t="inlineStr">
        <is>
          <t xml:space="preserve">B observado / C cálculo</t>
        </is>
      </c>
    </row>
    <row r="953" customFormat="false" ht="15" hidden="false" customHeight="true" outlineLevel="0" collapsed="false">
      <c r="A953" s="1" t="n">
        <v>2023</v>
      </c>
      <c r="B953" s="1" t="n">
        <v>1</v>
      </c>
      <c r="C953" s="1" t="inlineStr">
        <is>
          <t xml:space="preserve">TMIRE20211</t>
        </is>
      </c>
      <c r="D953" s="1" t="inlineStr">
        <is>
          <t xml:space="preserve">ELIMINADO</t>
        </is>
      </c>
      <c r="E953" s="1" t="n">
        <v>1</v>
      </c>
      <c r="F953" s="1" t="n">
        <v>2</v>
      </c>
      <c r="G953" s="1" t="n">
        <f aca="false">IF(E953=0,"",IF(D953="VIGENTE",1,0))</f>
        <v>0</v>
      </c>
      <c r="H953" s="1" t="inlineStr">
        <is>
          <t xml:space="preserve">B observado / C cálculo</t>
        </is>
      </c>
    </row>
    <row r="954" customFormat="false" ht="15" hidden="false" customHeight="true" outlineLevel="0" collapsed="false">
      <c r="A954" s="1" t="n">
        <v>2023</v>
      </c>
      <c r="B954" s="1" t="n">
        <v>1</v>
      </c>
      <c r="C954" s="1" t="inlineStr">
        <is>
          <t xml:space="preserve">TMIRE20211</t>
        </is>
      </c>
      <c r="D954" s="1" t="inlineStr">
        <is>
          <t xml:space="preserve">TITULADO</t>
        </is>
      </c>
      <c r="E954" s="1" t="n">
        <v>1</v>
      </c>
      <c r="F954" s="1" t="n">
        <v>3</v>
      </c>
      <c r="G954" s="1" t="n">
        <f aca="false">IF(E954=0,"",IF(D954="VIGENTE",1,0))</f>
        <v>0</v>
      </c>
      <c r="H954" s="1" t="inlineStr">
        <is>
          <t xml:space="preserve">B observado / C cálculo</t>
        </is>
      </c>
    </row>
    <row r="955" customFormat="false" ht="15" hidden="false" customHeight="true" outlineLevel="0" collapsed="false">
      <c r="A955" s="1" t="n">
        <v>2023</v>
      </c>
      <c r="B955" s="1" t="n">
        <v>1</v>
      </c>
      <c r="C955" s="1" t="inlineStr">
        <is>
          <t xml:space="preserve">TPARE2020</t>
        </is>
      </c>
      <c r="D955" s="1" t="inlineStr">
        <is>
          <t xml:space="preserve">TITULADO</t>
        </is>
      </c>
      <c r="E955" s="1" t="n">
        <v>1</v>
      </c>
      <c r="F955" s="1" t="n">
        <v>3</v>
      </c>
      <c r="G955" s="1" t="n">
        <f aca="false">IF(E955=0,"",IF(D955="VIGENTE",1,0))</f>
        <v>0</v>
      </c>
      <c r="H955" s="1" t="inlineStr">
        <is>
          <t xml:space="preserve">B observado / C cálculo</t>
        </is>
      </c>
    </row>
    <row r="956" customFormat="false" ht="15" hidden="false" customHeight="true" outlineLevel="0" collapsed="false">
      <c r="A956" s="1" t="n">
        <v>2023</v>
      </c>
      <c r="B956" s="1" t="n">
        <v>1</v>
      </c>
      <c r="C956" s="1" t="inlineStr">
        <is>
          <t xml:space="preserve">TPARE20211</t>
        </is>
      </c>
      <c r="D956" s="1" t="inlineStr">
        <is>
          <t xml:space="preserve">ELIMINADO</t>
        </is>
      </c>
      <c r="E956" s="1" t="n">
        <v>3</v>
      </c>
      <c r="F956" s="1" t="n">
        <v>5</v>
      </c>
      <c r="G956" s="1" t="n">
        <f aca="false">IF(E956=0,"",IF(D956="VIGENTE",1,0))</f>
        <v>0</v>
      </c>
      <c r="H956" s="1" t="inlineStr">
        <is>
          <t xml:space="preserve">B observado / C cálculo</t>
        </is>
      </c>
    </row>
    <row r="957" customFormat="false" ht="15" hidden="false" customHeight="true" outlineLevel="0" collapsed="false">
      <c r="A957" s="1" t="n">
        <v>2023</v>
      </c>
      <c r="B957" s="1" t="n">
        <v>1</v>
      </c>
      <c r="C957" s="1" t="inlineStr">
        <is>
          <t xml:space="preserve">TPARE20211</t>
        </is>
      </c>
      <c r="D957" s="1" t="inlineStr">
        <is>
          <t xml:space="preserve">TITULADO</t>
        </is>
      </c>
      <c r="E957" s="1" t="n">
        <v>28</v>
      </c>
      <c r="F957" s="1" t="n">
        <v>69</v>
      </c>
      <c r="G957" s="1" t="n">
        <f aca="false">IF(E957=0,"",IF(D957="VIGENTE",1,0))</f>
        <v>0</v>
      </c>
      <c r="H957" s="1" t="inlineStr">
        <is>
          <t xml:space="preserve">B observado / C cálculo</t>
        </is>
      </c>
    </row>
    <row r="958" customFormat="false" ht="15" hidden="false" customHeight="true" outlineLevel="0" collapsed="false">
      <c r="A958" s="1" t="n">
        <v>2023</v>
      </c>
      <c r="B958" s="1" t="n">
        <v>1</v>
      </c>
      <c r="C958" s="1" t="inlineStr">
        <is>
          <t xml:space="preserve">TPARE20211</t>
        </is>
      </c>
      <c r="D958" s="1" t="inlineStr">
        <is>
          <t xml:space="preserve">VIGENTE</t>
        </is>
      </c>
      <c r="E958" s="1" t="n">
        <v>1</v>
      </c>
      <c r="F958" s="1" t="n">
        <v>2</v>
      </c>
      <c r="G958" s="1" t="n">
        <f aca="false">IF(E958=0,"",IF(D958="VIGENTE",1,0))</f>
        <v>1</v>
      </c>
      <c r="H958" s="1" t="inlineStr">
        <is>
          <t xml:space="preserve">B observado / C cálculo</t>
        </is>
      </c>
    </row>
    <row r="959" customFormat="false" ht="15" hidden="false" customHeight="true" outlineLevel="0" collapsed="false">
      <c r="A959" s="1" t="n">
        <v>2023</v>
      </c>
      <c r="B959" s="1" t="n">
        <v>1</v>
      </c>
      <c r="C959" s="1" t="inlineStr">
        <is>
          <t xml:space="preserve">TPAREOL2020</t>
        </is>
      </c>
      <c r="D959" s="1" t="inlineStr">
        <is>
          <t xml:space="preserve">TITULADO</t>
        </is>
      </c>
      <c r="E959" s="1" t="n">
        <v>8</v>
      </c>
      <c r="F959" s="1" t="n">
        <v>21</v>
      </c>
      <c r="G959" s="1" t="n">
        <f aca="false">IF(E959=0,"",IF(D959="VIGENTE",1,0))</f>
        <v>0</v>
      </c>
      <c r="H959" s="1" t="inlineStr">
        <is>
          <t xml:space="preserve">B observado / C cálculo</t>
        </is>
      </c>
    </row>
    <row r="960" customFormat="false" ht="15" hidden="false" customHeight="true" outlineLevel="0" collapsed="false">
      <c r="A960" s="1" t="n">
        <v>2023</v>
      </c>
      <c r="B960" s="1" t="n">
        <v>1</v>
      </c>
      <c r="C960" s="1" t="inlineStr">
        <is>
          <t xml:space="preserve">TPAREOL2020</t>
        </is>
      </c>
      <c r="D960" s="1" t="inlineStr">
        <is>
          <t xml:space="preserve">VIGENTE</t>
        </is>
      </c>
      <c r="E960" s="1" t="n">
        <v>1</v>
      </c>
      <c r="F960" s="1" t="n">
        <v>1</v>
      </c>
      <c r="G960" s="1" t="n">
        <f aca="false">IF(E960=0,"",IF(D960="VIGENTE",1,0))</f>
        <v>1</v>
      </c>
      <c r="H960" s="1" t="inlineStr">
        <is>
          <t xml:space="preserve">B observado / C cálculo</t>
        </is>
      </c>
    </row>
    <row r="961" customFormat="false" ht="15" hidden="false" customHeight="true" outlineLevel="0" collapsed="false">
      <c r="A961" s="1" t="n">
        <v>2023</v>
      </c>
      <c r="B961" s="1" t="n">
        <v>1</v>
      </c>
      <c r="C961" s="1" t="inlineStr">
        <is>
          <t xml:space="preserve">TPAREOL20211</t>
        </is>
      </c>
      <c r="D961" s="1" t="inlineStr">
        <is>
          <t xml:space="preserve">ELIMINADO</t>
        </is>
      </c>
      <c r="E961" s="1" t="n">
        <v>27</v>
      </c>
      <c r="F961" s="1" t="n">
        <v>48</v>
      </c>
      <c r="G961" s="1" t="n">
        <f aca="false">IF(E961=0,"",IF(D961="VIGENTE",1,0))</f>
        <v>0</v>
      </c>
      <c r="H961" s="1" t="inlineStr">
        <is>
          <t xml:space="preserve">B observado / C cálculo</t>
        </is>
      </c>
    </row>
    <row r="962" customFormat="false" ht="15" hidden="false" customHeight="true" outlineLevel="0" collapsed="false">
      <c r="A962" s="1" t="n">
        <v>2023</v>
      </c>
      <c r="B962" s="1" t="n">
        <v>1</v>
      </c>
      <c r="C962" s="1" t="inlineStr">
        <is>
          <t xml:space="preserve">TPAREOL20211</t>
        </is>
      </c>
      <c r="D962" s="1" t="inlineStr">
        <is>
          <t xml:space="preserve">SUSPENDIDO</t>
        </is>
      </c>
      <c r="E962" s="1" t="n">
        <v>1</v>
      </c>
      <c r="F962" s="1" t="n">
        <v>1</v>
      </c>
      <c r="G962" s="1" t="n">
        <f aca="false">IF(E962=0,"",IF(D962="VIGENTE",1,0))</f>
        <v>0</v>
      </c>
      <c r="H962" s="1" t="inlineStr">
        <is>
          <t xml:space="preserve">B observado / C cálculo</t>
        </is>
      </c>
    </row>
    <row r="963" customFormat="false" ht="15" hidden="false" customHeight="true" outlineLevel="0" collapsed="false">
      <c r="A963" s="1" t="n">
        <v>2023</v>
      </c>
      <c r="B963" s="1" t="n">
        <v>1</v>
      </c>
      <c r="C963" s="1" t="inlineStr">
        <is>
          <t xml:space="preserve">TPAREOL20211</t>
        </is>
      </c>
      <c r="D963" s="1" t="inlineStr">
        <is>
          <t xml:space="preserve">TITULADO</t>
        </is>
      </c>
      <c r="E963" s="1" t="n">
        <v>87</v>
      </c>
      <c r="F963" s="1" t="n">
        <v>204</v>
      </c>
      <c r="G963" s="1" t="n">
        <f aca="false">IF(E963=0,"",IF(D963="VIGENTE",1,0))</f>
        <v>0</v>
      </c>
      <c r="H963" s="1" t="inlineStr">
        <is>
          <t xml:space="preserve">B observado / C cálculo</t>
        </is>
      </c>
    </row>
    <row r="964" customFormat="false" ht="15" hidden="false" customHeight="true" outlineLevel="0" collapsed="false">
      <c r="A964" s="1" t="n">
        <v>2023</v>
      </c>
      <c r="B964" s="1" t="n">
        <v>1</v>
      </c>
      <c r="C964" s="1" t="inlineStr">
        <is>
          <t xml:space="preserve">TPAREOL20211</t>
        </is>
      </c>
      <c r="D964" s="1" t="inlineStr">
        <is>
          <t xml:space="preserve">VIGENTE</t>
        </is>
      </c>
      <c r="E964" s="1" t="n">
        <v>4</v>
      </c>
      <c r="F964" s="1" t="n">
        <v>13</v>
      </c>
      <c r="G964" s="1" t="n">
        <f aca="false">IF(E964=0,"",IF(D964="VIGENTE",1,0))</f>
        <v>1</v>
      </c>
      <c r="H964" s="1" t="inlineStr">
        <is>
          <t xml:space="preserve">B observado / C cálculo</t>
        </is>
      </c>
    </row>
    <row r="965" customFormat="false" ht="15" hidden="false" customHeight="true" outlineLevel="0" collapsed="false">
      <c r="A965" s="1" t="n">
        <v>2023</v>
      </c>
      <c r="B965" s="1" t="n">
        <v>1</v>
      </c>
      <c r="C965" s="1" t="inlineStr">
        <is>
          <t xml:space="preserve">TPAREOL20231</t>
        </is>
      </c>
      <c r="D965" s="1" t="inlineStr">
        <is>
          <t xml:space="preserve">ELIMINADO</t>
        </is>
      </c>
      <c r="E965" s="1" t="n">
        <v>99</v>
      </c>
      <c r="F965" s="1" t="n">
        <v>198</v>
      </c>
      <c r="G965" s="1" t="n">
        <f aca="false">IF(E965=0,"",IF(D965="VIGENTE",1,0))</f>
        <v>0</v>
      </c>
      <c r="H965" s="1" t="inlineStr">
        <is>
          <t xml:space="preserve">B observado / C cálculo</t>
        </is>
      </c>
    </row>
    <row r="966" customFormat="false" ht="15" hidden="false" customHeight="true" outlineLevel="0" collapsed="false">
      <c r="A966" s="1" t="n">
        <v>2023</v>
      </c>
      <c r="B966" s="1" t="n">
        <v>1</v>
      </c>
      <c r="C966" s="1" t="inlineStr">
        <is>
          <t xml:space="preserve">TPAREOL20231</t>
        </is>
      </c>
      <c r="D966" s="1" t="inlineStr">
        <is>
          <t xml:space="preserve">SUSPENDIDO</t>
        </is>
      </c>
      <c r="E966" s="1" t="n">
        <v>7</v>
      </c>
      <c r="F966" s="1" t="n">
        <v>14</v>
      </c>
      <c r="G966" s="1" t="n">
        <f aca="false">IF(E966=0,"",IF(D966="VIGENTE",1,0))</f>
        <v>0</v>
      </c>
      <c r="H966" s="1" t="inlineStr">
        <is>
          <t xml:space="preserve">B observado / C cálculo</t>
        </is>
      </c>
    </row>
    <row r="967" customFormat="false" ht="15" hidden="false" customHeight="true" outlineLevel="0" collapsed="false">
      <c r="A967" s="1" t="n">
        <v>2023</v>
      </c>
      <c r="B967" s="1" t="n">
        <v>1</v>
      </c>
      <c r="C967" s="1" t="inlineStr">
        <is>
          <t xml:space="preserve">TPAREOL20231</t>
        </is>
      </c>
      <c r="D967" s="1" t="inlineStr">
        <is>
          <t xml:space="preserve">TITULADO</t>
        </is>
      </c>
      <c r="E967" s="1" t="n">
        <v>8</v>
      </c>
      <c r="F967" s="1" t="n">
        <v>16</v>
      </c>
      <c r="G967" s="1" t="n">
        <f aca="false">IF(E967=0,"",IF(D967="VIGENTE",1,0))</f>
        <v>0</v>
      </c>
      <c r="H967" s="1" t="inlineStr">
        <is>
          <t xml:space="preserve">B observado / C cálculo</t>
        </is>
      </c>
    </row>
    <row r="968" customFormat="false" ht="15" hidden="false" customHeight="true" outlineLevel="0" collapsed="false">
      <c r="A968" s="1" t="n">
        <v>2023</v>
      </c>
      <c r="B968" s="1" t="n">
        <v>1</v>
      </c>
      <c r="C968" s="1" t="inlineStr">
        <is>
          <t xml:space="preserve">TPAREOL20231</t>
        </is>
      </c>
      <c r="D968" s="1" t="inlineStr">
        <is>
          <t xml:space="preserve">VIGENTE</t>
        </is>
      </c>
      <c r="E968" s="1" t="n">
        <v>1</v>
      </c>
      <c r="F968" s="1" t="n">
        <v>2</v>
      </c>
      <c r="G968" s="1" t="n">
        <f aca="false">IF(E968=0,"",IF(D968="VIGENTE",1,0))</f>
        <v>1</v>
      </c>
      <c r="H968" s="1" t="inlineStr">
        <is>
          <t xml:space="preserve">B observado / C cálculo</t>
        </is>
      </c>
    </row>
    <row r="969" customFormat="false" ht="15" hidden="false" customHeight="true" outlineLevel="0" collapsed="false">
      <c r="A969" s="1" t="n">
        <v>2023</v>
      </c>
      <c r="B969" s="1" t="n">
        <v>1</v>
      </c>
      <c r="C969" s="1" t="inlineStr">
        <is>
          <t xml:space="preserve">TPAS20241</t>
        </is>
      </c>
      <c r="D969" s="1" t="inlineStr">
        <is>
          <t xml:space="preserve">TITULADO</t>
        </is>
      </c>
      <c r="E969" s="1" t="n">
        <v>1</v>
      </c>
      <c r="F969" s="1" t="n">
        <v>3</v>
      </c>
      <c r="G969" s="1" t="n">
        <f aca="false">IF(E969=0,"",IF(D969="VIGENTE",1,0))</f>
        <v>0</v>
      </c>
      <c r="H969" s="1" t="inlineStr">
        <is>
          <t xml:space="preserve">B observado / C cálculo</t>
        </is>
      </c>
    </row>
    <row r="970" customFormat="false" ht="15" hidden="false" customHeight="true" outlineLevel="0" collapsed="false">
      <c r="A970" s="1" t="n">
        <v>2023</v>
      </c>
      <c r="B970" s="1" t="n">
        <v>1</v>
      </c>
      <c r="C970" s="1" t="inlineStr">
        <is>
          <t xml:space="preserve">TPAS20241</t>
        </is>
      </c>
      <c r="D970" s="1" t="inlineStr">
        <is>
          <t xml:space="preserve">VIGENTE</t>
        </is>
      </c>
      <c r="E970" s="1" t="n">
        <v>1</v>
      </c>
      <c r="F970" s="1" t="n">
        <v>1</v>
      </c>
      <c r="G970" s="1" t="n">
        <f aca="false">IF(E970=0,"",IF(D970="VIGENTE",1,0))</f>
        <v>1</v>
      </c>
      <c r="H970" s="1" t="inlineStr">
        <is>
          <t xml:space="preserve">B observado / C cálculo</t>
        </is>
      </c>
    </row>
    <row r="971" customFormat="false" ht="15" hidden="false" customHeight="true" outlineLevel="0" collapsed="false">
      <c r="A971" s="1" t="n">
        <v>2023</v>
      </c>
      <c r="B971" s="1" t="n">
        <v>1</v>
      </c>
      <c r="C971" s="1" t="inlineStr">
        <is>
          <t xml:space="preserve">TPCPASO</t>
        </is>
      </c>
      <c r="D971" s="1" t="inlineStr">
        <is>
          <t xml:space="preserve">TITULADO</t>
        </is>
      </c>
      <c r="E971" s="1" t="n">
        <v>1</v>
      </c>
      <c r="F971" s="1" t="n">
        <v>1</v>
      </c>
      <c r="G971" s="1" t="n">
        <f aca="false">IF(E971=0,"",IF(D971="VIGENTE",1,0))</f>
        <v>0</v>
      </c>
      <c r="H971" s="1" t="inlineStr">
        <is>
          <t xml:space="preserve">B observado / C cálculo</t>
        </is>
      </c>
    </row>
    <row r="972" customFormat="false" ht="15" hidden="false" customHeight="true" outlineLevel="0" collapsed="false">
      <c r="A972" s="1" t="n">
        <v>2023</v>
      </c>
      <c r="B972" s="1" t="n">
        <v>1</v>
      </c>
      <c r="C972" s="1" t="inlineStr">
        <is>
          <t xml:space="preserve">TTMRE20191</t>
        </is>
      </c>
      <c r="D972" s="1" t="inlineStr">
        <is>
          <t xml:space="preserve">ELIMINADO</t>
        </is>
      </c>
      <c r="E972" s="1" t="n">
        <v>1</v>
      </c>
      <c r="F972" s="1" t="n">
        <v>1</v>
      </c>
      <c r="G972" s="1" t="n">
        <f aca="false">IF(E972=0,"",IF(D972="VIGENTE",1,0))</f>
        <v>0</v>
      </c>
      <c r="H972" s="1" t="inlineStr">
        <is>
          <t xml:space="preserve">B observado / C cálculo</t>
        </is>
      </c>
    </row>
    <row r="973" customFormat="false" ht="15" hidden="false" customHeight="true" outlineLevel="0" collapsed="false">
      <c r="A973" s="1" t="n">
        <v>2023</v>
      </c>
      <c r="B973" s="1" t="n">
        <v>1</v>
      </c>
      <c r="C973" s="1" t="inlineStr">
        <is>
          <t xml:space="preserve">TTMRE20211</t>
        </is>
      </c>
      <c r="D973" s="1" t="inlineStr">
        <is>
          <t xml:space="preserve">ELIMINADO</t>
        </is>
      </c>
      <c r="E973" s="1" t="n">
        <v>3</v>
      </c>
      <c r="F973" s="1" t="n">
        <v>7</v>
      </c>
      <c r="G973" s="1" t="n">
        <f aca="false">IF(E973=0,"",IF(D973="VIGENTE",1,0))</f>
        <v>0</v>
      </c>
      <c r="H973" s="1" t="inlineStr">
        <is>
          <t xml:space="preserve">B observado / C cálculo</t>
        </is>
      </c>
    </row>
    <row r="974" customFormat="false" ht="15" hidden="false" customHeight="true" outlineLevel="0" collapsed="false">
      <c r="A974" s="1" t="n">
        <v>2023</v>
      </c>
      <c r="B974" s="1" t="n">
        <v>1</v>
      </c>
      <c r="C974" s="1" t="inlineStr">
        <is>
          <t xml:space="preserve">TTMRE20211</t>
        </is>
      </c>
      <c r="D974" s="1" t="inlineStr">
        <is>
          <t xml:space="preserve">TITULADO</t>
        </is>
      </c>
      <c r="E974" s="1" t="n">
        <v>5</v>
      </c>
      <c r="F974" s="1" t="n">
        <v>14</v>
      </c>
      <c r="G974" s="1" t="n">
        <f aca="false">IF(E974=0,"",IF(D974="VIGENTE",1,0))</f>
        <v>0</v>
      </c>
      <c r="H974" s="1" t="inlineStr">
        <is>
          <t xml:space="preserve">B observado / C cálculo</t>
        </is>
      </c>
    </row>
    <row r="975" customFormat="false" ht="15" hidden="false" customHeight="true" outlineLevel="0" collapsed="false">
      <c r="A975" s="1" t="n">
        <v>2023</v>
      </c>
      <c r="B975" s="1" t="n">
        <v>1</v>
      </c>
      <c r="C975" s="1" t="inlineStr">
        <is>
          <t xml:space="preserve">TTMREOL20191</t>
        </is>
      </c>
      <c r="D975" s="1" t="inlineStr">
        <is>
          <t xml:space="preserve">TITULADO</t>
        </is>
      </c>
      <c r="E975" s="1" t="n">
        <v>2</v>
      </c>
      <c r="F975" s="1" t="n">
        <v>11</v>
      </c>
      <c r="G975" s="1" t="n">
        <f aca="false">IF(E975=0,"",IF(D975="VIGENTE",1,0))</f>
        <v>0</v>
      </c>
      <c r="H975" s="1" t="inlineStr">
        <is>
          <t xml:space="preserve">B observado / C cálculo</t>
        </is>
      </c>
    </row>
    <row r="976" customFormat="false" ht="15" hidden="false" customHeight="true" outlineLevel="0" collapsed="false">
      <c r="A976" s="1" t="n">
        <v>2023</v>
      </c>
      <c r="B976" s="1" t="n">
        <v>1</v>
      </c>
      <c r="C976" s="1" t="inlineStr">
        <is>
          <t xml:space="preserve">TTMREOL20211</t>
        </is>
      </c>
      <c r="D976" s="1" t="inlineStr">
        <is>
          <t xml:space="preserve">ELIMINADO</t>
        </is>
      </c>
      <c r="E976" s="1" t="n">
        <v>9</v>
      </c>
      <c r="F976" s="1" t="n">
        <v>12</v>
      </c>
      <c r="G976" s="1" t="n">
        <f aca="false">IF(E976=0,"",IF(D976="VIGENTE",1,0))</f>
        <v>0</v>
      </c>
      <c r="H976" s="1" t="inlineStr">
        <is>
          <t xml:space="preserve">B observado / C cálculo</t>
        </is>
      </c>
    </row>
    <row r="977" customFormat="false" ht="15" hidden="false" customHeight="true" outlineLevel="0" collapsed="false">
      <c r="A977" s="1" t="n">
        <v>2023</v>
      </c>
      <c r="B977" s="1" t="n">
        <v>1</v>
      </c>
      <c r="C977" s="1" t="inlineStr">
        <is>
          <t xml:space="preserve">TTMREOL20211</t>
        </is>
      </c>
      <c r="D977" s="1" t="inlineStr">
        <is>
          <t xml:space="preserve">TITULADO</t>
        </is>
      </c>
      <c r="E977" s="1" t="n">
        <v>28</v>
      </c>
      <c r="F977" s="1" t="n">
        <v>49</v>
      </c>
      <c r="G977" s="1" t="n">
        <f aca="false">IF(E977=0,"",IF(D977="VIGENTE",1,0))</f>
        <v>0</v>
      </c>
      <c r="H977" s="1" t="inlineStr">
        <is>
          <t xml:space="preserve">B observado / C cálculo</t>
        </is>
      </c>
    </row>
    <row r="978" customFormat="false" ht="15" hidden="false" customHeight="true" outlineLevel="0" collapsed="false">
      <c r="A978" s="1" t="n">
        <v>2023</v>
      </c>
      <c r="B978" s="1" t="n">
        <v>1</v>
      </c>
      <c r="C978" s="1" t="inlineStr">
        <is>
          <t xml:space="preserve">TTMREOL20211</t>
        </is>
      </c>
      <c r="D978" s="1" t="inlineStr">
        <is>
          <t xml:space="preserve">VIGENTE</t>
        </is>
      </c>
      <c r="E978" s="1" t="n">
        <v>1</v>
      </c>
      <c r="F978" s="1" t="n">
        <v>1</v>
      </c>
      <c r="G978" s="1" t="n">
        <f aca="false">IF(E978=0,"",IF(D978="VIGENTE",1,0))</f>
        <v>1</v>
      </c>
      <c r="H978" s="1" t="inlineStr">
        <is>
          <t xml:space="preserve">B observado / C cálculo</t>
        </is>
      </c>
    </row>
    <row r="979" customFormat="false" ht="15" hidden="false" customHeight="true" outlineLevel="0" collapsed="false">
      <c r="A979" s="1" t="n">
        <v>2023</v>
      </c>
      <c r="B979" s="1" t="n">
        <v>1</v>
      </c>
      <c r="C979" s="1" t="inlineStr">
        <is>
          <t xml:space="preserve">TTMREOL20231</t>
        </is>
      </c>
      <c r="D979" s="1" t="inlineStr">
        <is>
          <t xml:space="preserve">ELIMINADO</t>
        </is>
      </c>
      <c r="E979" s="1" t="n">
        <v>23</v>
      </c>
      <c r="F979" s="1" t="n">
        <v>48</v>
      </c>
      <c r="G979" s="1" t="n">
        <f aca="false">IF(E979=0,"",IF(D979="VIGENTE",1,0))</f>
        <v>0</v>
      </c>
      <c r="H979" s="1" t="inlineStr">
        <is>
          <t xml:space="preserve">B observado / C cálculo</t>
        </is>
      </c>
    </row>
    <row r="980" customFormat="false" ht="15" hidden="false" customHeight="true" outlineLevel="0" collapsed="false">
      <c r="A980" s="1" t="n">
        <v>2023</v>
      </c>
      <c r="B980" s="1" t="n">
        <v>1</v>
      </c>
      <c r="C980" s="1" t="inlineStr">
        <is>
          <t xml:space="preserve">TTMREOL20231</t>
        </is>
      </c>
      <c r="D980" s="1" t="inlineStr">
        <is>
          <t xml:space="preserve">SUSPENDIDO</t>
        </is>
      </c>
      <c r="E980" s="1" t="n">
        <v>1</v>
      </c>
      <c r="F980" s="1" t="n">
        <v>2</v>
      </c>
      <c r="G980" s="1" t="n">
        <f aca="false">IF(E980=0,"",IF(D980="VIGENTE",1,0))</f>
        <v>0</v>
      </c>
      <c r="H980" s="1" t="inlineStr">
        <is>
          <t xml:space="preserve">B observado / C cálculo</t>
        </is>
      </c>
    </row>
    <row r="981" customFormat="false" ht="15" hidden="false" customHeight="true" outlineLevel="0" collapsed="false">
      <c r="A981" s="1" t="n">
        <v>2023</v>
      </c>
      <c r="B981" s="1" t="n">
        <v>1</v>
      </c>
      <c r="C981" s="1" t="inlineStr">
        <is>
          <t xml:space="preserve">TTMREOL20231</t>
        </is>
      </c>
      <c r="D981" s="1" t="inlineStr">
        <is>
          <t xml:space="preserve">TITULADO</t>
        </is>
      </c>
      <c r="E981" s="1" t="n">
        <v>1</v>
      </c>
      <c r="F981" s="1" t="n">
        <v>2</v>
      </c>
      <c r="G981" s="1" t="n">
        <f aca="false">IF(E981=0,"",IF(D981="VIGENTE",1,0))</f>
        <v>0</v>
      </c>
      <c r="H981" s="1" t="inlineStr">
        <is>
          <t xml:space="preserve">B observado / C cálculo</t>
        </is>
      </c>
    </row>
    <row r="982" customFormat="false" ht="15" hidden="false" customHeight="true" outlineLevel="0" collapsed="false">
      <c r="A982" s="1" t="n">
        <v>2023</v>
      </c>
      <c r="B982" s="1" t="n">
        <v>2</v>
      </c>
      <c r="C982" s="1" t="inlineStr">
        <is>
          <t xml:space="preserve">IECIRE20191</t>
        </is>
      </c>
      <c r="D982" s="1" t="inlineStr">
        <is>
          <t xml:space="preserve">TITULADO</t>
        </is>
      </c>
      <c r="E982" s="1" t="n">
        <v>1</v>
      </c>
      <c r="F982" s="1" t="n">
        <v>5</v>
      </c>
      <c r="G982" s="1" t="n">
        <f aca="false">IF(E982=0,"",IF(D982="VIGENTE",1,0))</f>
        <v>0</v>
      </c>
      <c r="H982" s="1" t="inlineStr">
        <is>
          <t xml:space="preserve">B observado / C cálculo</t>
        </is>
      </c>
    </row>
    <row r="983" customFormat="false" ht="15" hidden="false" customHeight="true" outlineLevel="0" collapsed="false">
      <c r="A983" s="1" t="n">
        <v>2023</v>
      </c>
      <c r="B983" s="1" t="n">
        <v>2</v>
      </c>
      <c r="C983" s="1" t="inlineStr">
        <is>
          <t xml:space="preserve">IECIRE2020</t>
        </is>
      </c>
      <c r="D983" s="1" t="inlineStr">
        <is>
          <t xml:space="preserve">ELIMINADO</t>
        </is>
      </c>
      <c r="E983" s="1" t="n">
        <v>2</v>
      </c>
      <c r="F983" s="1" t="n">
        <v>2</v>
      </c>
      <c r="G983" s="1" t="n">
        <f aca="false">IF(E983=0,"",IF(D983="VIGENTE",1,0))</f>
        <v>0</v>
      </c>
      <c r="H983" s="1" t="inlineStr">
        <is>
          <t xml:space="preserve">B observado / C cálculo</t>
        </is>
      </c>
    </row>
    <row r="984" customFormat="false" ht="15" hidden="false" customHeight="true" outlineLevel="0" collapsed="false">
      <c r="A984" s="1" t="n">
        <v>2023</v>
      </c>
      <c r="B984" s="1" t="n">
        <v>2</v>
      </c>
      <c r="C984" s="1" t="inlineStr">
        <is>
          <t xml:space="preserve">IECIRE2020</t>
        </is>
      </c>
      <c r="D984" s="1" t="inlineStr">
        <is>
          <t xml:space="preserve">TITULADO</t>
        </is>
      </c>
      <c r="E984" s="1" t="n">
        <v>4</v>
      </c>
      <c r="F984" s="1" t="n">
        <v>17</v>
      </c>
      <c r="G984" s="1" t="n">
        <f aca="false">IF(E984=0,"",IF(D984="VIGENTE",1,0))</f>
        <v>0</v>
      </c>
      <c r="H984" s="1" t="inlineStr">
        <is>
          <t xml:space="preserve">B observado / C cálculo</t>
        </is>
      </c>
    </row>
    <row r="985" customFormat="false" ht="15" hidden="false" customHeight="true" outlineLevel="0" collapsed="false">
      <c r="A985" s="1" t="n">
        <v>2023</v>
      </c>
      <c r="B985" s="1" t="n">
        <v>2</v>
      </c>
      <c r="C985" s="1" t="inlineStr">
        <is>
          <t xml:space="preserve">IECIRE20211</t>
        </is>
      </c>
      <c r="D985" s="1" t="inlineStr">
        <is>
          <t xml:space="preserve">ELIMINADO</t>
        </is>
      </c>
      <c r="E985" s="1" t="n">
        <v>7</v>
      </c>
      <c r="F985" s="1" t="n">
        <v>14</v>
      </c>
      <c r="G985" s="1" t="n">
        <f aca="false">IF(E985=0,"",IF(D985="VIGENTE",1,0))</f>
        <v>0</v>
      </c>
      <c r="H985" s="1" t="inlineStr">
        <is>
          <t xml:space="preserve">B observado / C cálculo</t>
        </is>
      </c>
    </row>
    <row r="986" customFormat="false" ht="15" hidden="false" customHeight="true" outlineLevel="0" collapsed="false">
      <c r="A986" s="1" t="n">
        <v>2023</v>
      </c>
      <c r="B986" s="1" t="n">
        <v>2</v>
      </c>
      <c r="C986" s="1" t="inlineStr">
        <is>
          <t xml:space="preserve">IECIRE20211</t>
        </is>
      </c>
      <c r="D986" s="1" t="inlineStr">
        <is>
          <t xml:space="preserve">TITULADO</t>
        </is>
      </c>
      <c r="E986" s="1" t="n">
        <v>8</v>
      </c>
      <c r="F986" s="1" t="n">
        <v>25</v>
      </c>
      <c r="G986" s="1" t="n">
        <f aca="false">IF(E986=0,"",IF(D986="VIGENTE",1,0))</f>
        <v>0</v>
      </c>
      <c r="H986" s="1" t="inlineStr">
        <is>
          <t xml:space="preserve">B observado / C cálculo</t>
        </is>
      </c>
    </row>
    <row r="987" customFormat="false" ht="15" hidden="false" customHeight="true" outlineLevel="0" collapsed="false">
      <c r="A987" s="1" t="n">
        <v>2023</v>
      </c>
      <c r="B987" s="1" t="n">
        <v>2</v>
      </c>
      <c r="C987" s="1" t="inlineStr">
        <is>
          <t xml:space="preserve">IECIRE20211</t>
        </is>
      </c>
      <c r="D987" s="1" t="inlineStr">
        <is>
          <t xml:space="preserve">VIGENTE</t>
        </is>
      </c>
      <c r="E987" s="1" t="n">
        <v>1</v>
      </c>
      <c r="F987" s="1" t="n">
        <v>2</v>
      </c>
      <c r="G987" s="1" t="n">
        <f aca="false">IF(E987=0,"",IF(D987="VIGENTE",1,0))</f>
        <v>1</v>
      </c>
      <c r="H987" s="1" t="inlineStr">
        <is>
          <t xml:space="preserve">B observado / C cálculo</t>
        </is>
      </c>
    </row>
    <row r="988" customFormat="false" ht="15" hidden="false" customHeight="true" outlineLevel="0" collapsed="false">
      <c r="A988" s="1" t="n">
        <v>2023</v>
      </c>
      <c r="B988" s="1" t="n">
        <v>2</v>
      </c>
      <c r="C988" s="1" t="inlineStr">
        <is>
          <t xml:space="preserve">IECIREOL20191</t>
        </is>
      </c>
      <c r="D988" s="1" t="inlineStr">
        <is>
          <t xml:space="preserve">TITULADO</t>
        </is>
      </c>
      <c r="E988" s="1" t="n">
        <v>2</v>
      </c>
      <c r="F988" s="1" t="n">
        <v>3</v>
      </c>
      <c r="G988" s="1" t="n">
        <f aca="false">IF(E988=0,"",IF(D988="VIGENTE",1,0))</f>
        <v>0</v>
      </c>
      <c r="H988" s="1" t="inlineStr">
        <is>
          <t xml:space="preserve">B observado / C cálculo</t>
        </is>
      </c>
    </row>
    <row r="989" customFormat="false" ht="15" hidden="false" customHeight="true" outlineLevel="0" collapsed="false">
      <c r="A989" s="1" t="n">
        <v>2023</v>
      </c>
      <c r="B989" s="1" t="n">
        <v>2</v>
      </c>
      <c r="C989" s="1" t="inlineStr">
        <is>
          <t xml:space="preserve">IECIREOL20211</t>
        </is>
      </c>
      <c r="D989" s="1" t="inlineStr">
        <is>
          <t xml:space="preserve">ELIMINADO</t>
        </is>
      </c>
      <c r="E989" s="1" t="n">
        <v>57</v>
      </c>
      <c r="F989" s="1" t="n">
        <v>87</v>
      </c>
      <c r="G989" s="1" t="n">
        <f aca="false">IF(E989=0,"",IF(D989="VIGENTE",1,0))</f>
        <v>0</v>
      </c>
      <c r="H989" s="1" t="inlineStr">
        <is>
          <t xml:space="preserve">B observado / C cálculo</t>
        </is>
      </c>
    </row>
    <row r="990" customFormat="false" ht="15" hidden="false" customHeight="true" outlineLevel="0" collapsed="false">
      <c r="A990" s="1" t="n">
        <v>2023</v>
      </c>
      <c r="B990" s="1" t="n">
        <v>2</v>
      </c>
      <c r="C990" s="1" t="inlineStr">
        <is>
          <t xml:space="preserve">IECIREOL20211</t>
        </is>
      </c>
      <c r="D990" s="1" t="inlineStr">
        <is>
          <t xml:space="preserve">SUSPENDIDO</t>
        </is>
      </c>
      <c r="E990" s="1" t="n">
        <v>5</v>
      </c>
      <c r="F990" s="1" t="n">
        <v>6</v>
      </c>
      <c r="G990" s="1" t="n">
        <f aca="false">IF(E990=0,"",IF(D990="VIGENTE",1,0))</f>
        <v>0</v>
      </c>
      <c r="H990" s="1" t="inlineStr">
        <is>
          <t xml:space="preserve">B observado / C cálculo</t>
        </is>
      </c>
    </row>
    <row r="991" customFormat="false" ht="15" hidden="false" customHeight="true" outlineLevel="0" collapsed="false">
      <c r="A991" s="1" t="n">
        <v>2023</v>
      </c>
      <c r="B991" s="1" t="n">
        <v>2</v>
      </c>
      <c r="C991" s="1" t="inlineStr">
        <is>
          <t xml:space="preserve">IECIREOL20211</t>
        </is>
      </c>
      <c r="D991" s="1" t="inlineStr">
        <is>
          <t xml:space="preserve">TITULADO</t>
        </is>
      </c>
      <c r="E991" s="1" t="n">
        <v>47</v>
      </c>
      <c r="F991" s="1" t="n">
        <v>62</v>
      </c>
      <c r="G991" s="1" t="n">
        <f aca="false">IF(E991=0,"",IF(D991="VIGENTE",1,0))</f>
        <v>0</v>
      </c>
      <c r="H991" s="1" t="inlineStr">
        <is>
          <t xml:space="preserve">B observado / C cálculo</t>
        </is>
      </c>
    </row>
    <row r="992" customFormat="false" ht="15" hidden="false" customHeight="true" outlineLevel="0" collapsed="false">
      <c r="A992" s="1" t="n">
        <v>2023</v>
      </c>
      <c r="B992" s="1" t="n">
        <v>2</v>
      </c>
      <c r="C992" s="1" t="inlineStr">
        <is>
          <t xml:space="preserve">IECIREOL20211</t>
        </is>
      </c>
      <c r="D992" s="1" t="inlineStr">
        <is>
          <t xml:space="preserve">VIGENTE</t>
        </is>
      </c>
      <c r="E992" s="1" t="n">
        <v>1</v>
      </c>
      <c r="F992" s="1" t="n">
        <v>1</v>
      </c>
      <c r="G992" s="1" t="n">
        <f aca="false">IF(E992=0,"",IF(D992="VIGENTE",1,0))</f>
        <v>1</v>
      </c>
      <c r="H992" s="1" t="inlineStr">
        <is>
          <t xml:space="preserve">B observado / C cálculo</t>
        </is>
      </c>
    </row>
    <row r="993" customFormat="false" ht="15" hidden="false" customHeight="true" outlineLevel="0" collapsed="false">
      <c r="A993" s="1" t="n">
        <v>2023</v>
      </c>
      <c r="B993" s="1" t="n">
        <v>2</v>
      </c>
      <c r="C993" s="1" t="inlineStr">
        <is>
          <t xml:space="preserve">IECSRE20191</t>
        </is>
      </c>
      <c r="D993" s="1" t="inlineStr">
        <is>
          <t xml:space="preserve">TITULADO</t>
        </is>
      </c>
      <c r="E993" s="1" t="n">
        <v>7</v>
      </c>
      <c r="F993" s="1" t="n">
        <v>35</v>
      </c>
      <c r="G993" s="1" t="n">
        <f aca="false">IF(E993=0,"",IF(D993="VIGENTE",1,0))</f>
        <v>0</v>
      </c>
      <c r="H993" s="1" t="inlineStr">
        <is>
          <t xml:space="preserve">B observado / C cálculo</t>
        </is>
      </c>
    </row>
    <row r="994" customFormat="false" ht="15" hidden="false" customHeight="true" outlineLevel="0" collapsed="false">
      <c r="A994" s="1" t="n">
        <v>2023</v>
      </c>
      <c r="B994" s="1" t="n">
        <v>2</v>
      </c>
      <c r="C994" s="1" t="inlineStr">
        <is>
          <t xml:space="preserve">IECSRE20211</t>
        </is>
      </c>
      <c r="D994" s="1" t="inlineStr">
        <is>
          <t xml:space="preserve">ELIMINADO</t>
        </is>
      </c>
      <c r="E994" s="1" t="n">
        <v>18</v>
      </c>
      <c r="F994" s="1" t="n">
        <v>27</v>
      </c>
      <c r="G994" s="1" t="n">
        <f aca="false">IF(E994=0,"",IF(D994="VIGENTE",1,0))</f>
        <v>0</v>
      </c>
      <c r="H994" s="1" t="inlineStr">
        <is>
          <t xml:space="preserve">B observado / C cálculo</t>
        </is>
      </c>
    </row>
    <row r="995" customFormat="false" ht="15" hidden="false" customHeight="true" outlineLevel="0" collapsed="false">
      <c r="A995" s="1" t="n">
        <v>2023</v>
      </c>
      <c r="B995" s="1" t="n">
        <v>2</v>
      </c>
      <c r="C995" s="1" t="inlineStr">
        <is>
          <t xml:space="preserve">IECSRE20211</t>
        </is>
      </c>
      <c r="D995" s="1" t="inlineStr">
        <is>
          <t xml:space="preserve">SUSPENDIDO</t>
        </is>
      </c>
      <c r="E995" s="1" t="n">
        <v>1</v>
      </c>
      <c r="F995" s="1" t="n">
        <v>1</v>
      </c>
      <c r="G995" s="1" t="n">
        <f aca="false">IF(E995=0,"",IF(D995="VIGENTE",1,0))</f>
        <v>0</v>
      </c>
      <c r="H995" s="1" t="inlineStr">
        <is>
          <t xml:space="preserve">B observado / C cálculo</t>
        </is>
      </c>
    </row>
    <row r="996" customFormat="false" ht="15" hidden="false" customHeight="true" outlineLevel="0" collapsed="false">
      <c r="A996" s="1" t="n">
        <v>2023</v>
      </c>
      <c r="B996" s="1" t="n">
        <v>2</v>
      </c>
      <c r="C996" s="1" t="inlineStr">
        <is>
          <t xml:space="preserve">IECSRE20211</t>
        </is>
      </c>
      <c r="D996" s="1" t="inlineStr">
        <is>
          <t xml:space="preserve">TITULADO</t>
        </is>
      </c>
      <c r="E996" s="1" t="n">
        <v>14</v>
      </c>
      <c r="F996" s="1" t="n">
        <v>41</v>
      </c>
      <c r="G996" s="1" t="n">
        <f aca="false">IF(E996=0,"",IF(D996="VIGENTE",1,0))</f>
        <v>0</v>
      </c>
      <c r="H996" s="1" t="inlineStr">
        <is>
          <t xml:space="preserve">B observado / C cálculo</t>
        </is>
      </c>
    </row>
    <row r="997" customFormat="false" ht="15" hidden="false" customHeight="true" outlineLevel="0" collapsed="false">
      <c r="A997" s="1" t="n">
        <v>2023</v>
      </c>
      <c r="B997" s="1" t="n">
        <v>2</v>
      </c>
      <c r="C997" s="1" t="inlineStr">
        <is>
          <t xml:space="preserve">IECSREOL20211</t>
        </is>
      </c>
      <c r="D997" s="1" t="inlineStr">
        <is>
          <t xml:space="preserve">ELIMINADO</t>
        </is>
      </c>
      <c r="E997" s="1" t="n">
        <v>20</v>
      </c>
      <c r="F997" s="1" t="n">
        <v>22</v>
      </c>
      <c r="G997" s="1" t="n">
        <f aca="false">IF(E997=0,"",IF(D997="VIGENTE",1,0))</f>
        <v>0</v>
      </c>
      <c r="H997" s="1" t="inlineStr">
        <is>
          <t xml:space="preserve">B observado / C cálculo</t>
        </is>
      </c>
    </row>
    <row r="998" customFormat="false" ht="15" hidden="false" customHeight="true" outlineLevel="0" collapsed="false">
      <c r="A998" s="1" t="n">
        <v>2023</v>
      </c>
      <c r="B998" s="1" t="n">
        <v>2</v>
      </c>
      <c r="C998" s="1" t="inlineStr">
        <is>
          <t xml:space="preserve">IECSREOL20211</t>
        </is>
      </c>
      <c r="D998" s="1" t="inlineStr">
        <is>
          <t xml:space="preserve">SUSPENDIDO</t>
        </is>
      </c>
      <c r="E998" s="1" t="n">
        <v>1</v>
      </c>
      <c r="F998" s="1" t="n">
        <v>1</v>
      </c>
      <c r="G998" s="1" t="n">
        <f aca="false">IF(E998=0,"",IF(D998="VIGENTE",1,0))</f>
        <v>0</v>
      </c>
      <c r="H998" s="1" t="inlineStr">
        <is>
          <t xml:space="preserve">B observado / C cálculo</t>
        </is>
      </c>
    </row>
    <row r="999" customFormat="false" ht="15" hidden="false" customHeight="true" outlineLevel="0" collapsed="false">
      <c r="A999" s="1" t="n">
        <v>2023</v>
      </c>
      <c r="B999" s="1" t="n">
        <v>2</v>
      </c>
      <c r="C999" s="1" t="inlineStr">
        <is>
          <t xml:space="preserve">IECSREOL20211</t>
        </is>
      </c>
      <c r="D999" s="1" t="inlineStr">
        <is>
          <t xml:space="preserve">TITULADO</t>
        </is>
      </c>
      <c r="E999" s="1" t="n">
        <v>68</v>
      </c>
      <c r="F999" s="1" t="n">
        <v>98</v>
      </c>
      <c r="G999" s="1" t="n">
        <f aca="false">IF(E999=0,"",IF(D999="VIGENTE",1,0))</f>
        <v>0</v>
      </c>
      <c r="H999" s="1" t="inlineStr">
        <is>
          <t xml:space="preserve">B observado / C cálculo</t>
        </is>
      </c>
    </row>
    <row r="1000" customFormat="false" ht="15" hidden="false" customHeight="true" outlineLevel="0" collapsed="false">
      <c r="A1000" s="1" t="n">
        <v>2023</v>
      </c>
      <c r="B1000" s="1" t="n">
        <v>2</v>
      </c>
      <c r="C1000" s="1" t="inlineStr">
        <is>
          <t xml:space="preserve">IECSREOL20211</t>
        </is>
      </c>
      <c r="D1000" s="1" t="inlineStr">
        <is>
          <t xml:space="preserve">VIGENTE</t>
        </is>
      </c>
      <c r="E1000" s="1" t="n">
        <v>5</v>
      </c>
      <c r="F1000" s="1" t="n">
        <v>5</v>
      </c>
      <c r="G1000" s="1" t="n">
        <f aca="false">IF(E1000=0,"",IF(D1000="VIGENTE",1,0))</f>
        <v>1</v>
      </c>
      <c r="H1000" s="1" t="inlineStr">
        <is>
          <t xml:space="preserve">B observado / C cálculo</t>
        </is>
      </c>
    </row>
    <row r="1001" customFormat="false" ht="15" hidden="false" customHeight="true" outlineLevel="0" collapsed="false">
      <c r="A1001" s="1" t="n">
        <v>2023</v>
      </c>
      <c r="B1001" s="1" t="n">
        <v>2</v>
      </c>
      <c r="C1001" s="1" t="inlineStr">
        <is>
          <t xml:space="preserve">IETMRE20191</t>
        </is>
      </c>
      <c r="D1001" s="1" t="inlineStr">
        <is>
          <t xml:space="preserve">TITULADO</t>
        </is>
      </c>
      <c r="E1001" s="1" t="n">
        <v>4</v>
      </c>
      <c r="F1001" s="1" t="n">
        <v>20</v>
      </c>
      <c r="G1001" s="1" t="n">
        <f aca="false">IF(E1001=0,"",IF(D1001="VIGENTE",1,0))</f>
        <v>0</v>
      </c>
      <c r="H1001" s="1" t="inlineStr">
        <is>
          <t xml:space="preserve">B observado / C cálculo</t>
        </is>
      </c>
    </row>
    <row r="1002" customFormat="false" ht="15" hidden="false" customHeight="true" outlineLevel="0" collapsed="false">
      <c r="A1002" s="1" t="n">
        <v>2023</v>
      </c>
      <c r="B1002" s="1" t="n">
        <v>2</v>
      </c>
      <c r="C1002" s="1" t="inlineStr">
        <is>
          <t xml:space="preserve">IETMRE20211</t>
        </is>
      </c>
      <c r="D1002" s="1" t="inlineStr">
        <is>
          <t xml:space="preserve">ELIMINADO</t>
        </is>
      </c>
      <c r="E1002" s="1" t="n">
        <v>5</v>
      </c>
      <c r="F1002" s="1" t="n">
        <v>10</v>
      </c>
      <c r="G1002" s="1" t="n">
        <f aca="false">IF(E1002=0,"",IF(D1002="VIGENTE",1,0))</f>
        <v>0</v>
      </c>
      <c r="H1002" s="1" t="inlineStr">
        <is>
          <t xml:space="preserve">B observado / C cálculo</t>
        </is>
      </c>
    </row>
    <row r="1003" customFormat="false" ht="15" hidden="false" customHeight="true" outlineLevel="0" collapsed="false">
      <c r="A1003" s="1" t="n">
        <v>2023</v>
      </c>
      <c r="B1003" s="1" t="n">
        <v>2</v>
      </c>
      <c r="C1003" s="1" t="inlineStr">
        <is>
          <t xml:space="preserve">IETMRE20211</t>
        </is>
      </c>
      <c r="D1003" s="1" t="inlineStr">
        <is>
          <t xml:space="preserve">TITULADO</t>
        </is>
      </c>
      <c r="E1003" s="1" t="n">
        <v>20</v>
      </c>
      <c r="F1003" s="1" t="n">
        <v>60</v>
      </c>
      <c r="G1003" s="1" t="n">
        <f aca="false">IF(E1003=0,"",IF(D1003="VIGENTE",1,0))</f>
        <v>0</v>
      </c>
      <c r="H1003" s="1" t="inlineStr">
        <is>
          <t xml:space="preserve">B observado / C cálculo</t>
        </is>
      </c>
    </row>
    <row r="1004" customFormat="false" ht="15" hidden="false" customHeight="true" outlineLevel="0" collapsed="false">
      <c r="A1004" s="1" t="n">
        <v>2023</v>
      </c>
      <c r="B1004" s="1" t="n">
        <v>2</v>
      </c>
      <c r="C1004" s="1" t="inlineStr">
        <is>
          <t xml:space="preserve">IETMREOL20191</t>
        </is>
      </c>
      <c r="D1004" s="1" t="inlineStr">
        <is>
          <t xml:space="preserve">ELIMINADO</t>
        </is>
      </c>
      <c r="E1004" s="1" t="n">
        <v>1</v>
      </c>
      <c r="F1004" s="1" t="n">
        <v>2</v>
      </c>
      <c r="G1004" s="1" t="n">
        <f aca="false">IF(E1004=0,"",IF(D1004="VIGENTE",1,0))</f>
        <v>0</v>
      </c>
      <c r="H1004" s="1" t="inlineStr">
        <is>
          <t xml:space="preserve">B observado / C cálculo</t>
        </is>
      </c>
    </row>
    <row r="1005" customFormat="false" ht="15" hidden="false" customHeight="true" outlineLevel="0" collapsed="false">
      <c r="A1005" s="1" t="n">
        <v>2023</v>
      </c>
      <c r="B1005" s="1" t="n">
        <v>2</v>
      </c>
      <c r="C1005" s="1" t="inlineStr">
        <is>
          <t xml:space="preserve">IETMREOL20191</t>
        </is>
      </c>
      <c r="D1005" s="1" t="inlineStr">
        <is>
          <t xml:space="preserve">TITULADO</t>
        </is>
      </c>
      <c r="E1005" s="1" t="n">
        <v>7</v>
      </c>
      <c r="F1005" s="1" t="n">
        <v>8</v>
      </c>
      <c r="G1005" s="1" t="n">
        <f aca="false">IF(E1005=0,"",IF(D1005="VIGENTE",1,0))</f>
        <v>0</v>
      </c>
      <c r="H1005" s="1" t="inlineStr">
        <is>
          <t xml:space="preserve">B observado / C cálculo</t>
        </is>
      </c>
    </row>
    <row r="1006" customFormat="false" ht="15" hidden="false" customHeight="true" outlineLevel="0" collapsed="false">
      <c r="A1006" s="1" t="n">
        <v>2023</v>
      </c>
      <c r="B1006" s="1" t="n">
        <v>2</v>
      </c>
      <c r="C1006" s="1" t="inlineStr">
        <is>
          <t xml:space="preserve">IETMREOL20191</t>
        </is>
      </c>
      <c r="D1006" s="1" t="inlineStr">
        <is>
          <t xml:space="preserve">VIGENTE</t>
        </is>
      </c>
      <c r="E1006" s="1" t="n">
        <v>1</v>
      </c>
      <c r="F1006" s="1" t="n">
        <v>1</v>
      </c>
      <c r="G1006" s="1" t="n">
        <f aca="false">IF(E1006=0,"",IF(D1006="VIGENTE",1,0))</f>
        <v>1</v>
      </c>
      <c r="H1006" s="1" t="inlineStr">
        <is>
          <t xml:space="preserve">B observado / C cálculo</t>
        </is>
      </c>
    </row>
    <row r="1007" customFormat="false" ht="15" hidden="false" customHeight="true" outlineLevel="0" collapsed="false">
      <c r="A1007" s="1" t="n">
        <v>2023</v>
      </c>
      <c r="B1007" s="1" t="n">
        <v>2</v>
      </c>
      <c r="C1007" s="1" t="inlineStr">
        <is>
          <t xml:space="preserve">IETMREOL20211</t>
        </is>
      </c>
      <c r="D1007" s="1" t="inlineStr">
        <is>
          <t xml:space="preserve">ELIMINADO</t>
        </is>
      </c>
      <c r="E1007" s="1" t="n">
        <v>44</v>
      </c>
      <c r="F1007" s="1" t="n">
        <v>60</v>
      </c>
      <c r="G1007" s="1" t="n">
        <f aca="false">IF(E1007=0,"",IF(D1007="VIGENTE",1,0))</f>
        <v>0</v>
      </c>
      <c r="H1007" s="1" t="inlineStr">
        <is>
          <t xml:space="preserve">B observado / C cálculo</t>
        </is>
      </c>
    </row>
    <row r="1008" customFormat="false" ht="15" hidden="false" customHeight="true" outlineLevel="0" collapsed="false">
      <c r="A1008" s="1" t="n">
        <v>2023</v>
      </c>
      <c r="B1008" s="1" t="n">
        <v>2</v>
      </c>
      <c r="C1008" s="1" t="inlineStr">
        <is>
          <t xml:space="preserve">IETMREOL20211</t>
        </is>
      </c>
      <c r="D1008" s="1" t="inlineStr">
        <is>
          <t xml:space="preserve">SUSPENDIDO</t>
        </is>
      </c>
      <c r="E1008" s="1" t="n">
        <v>3</v>
      </c>
      <c r="F1008" s="1" t="n">
        <v>3</v>
      </c>
      <c r="G1008" s="1" t="n">
        <f aca="false">IF(E1008=0,"",IF(D1008="VIGENTE",1,0))</f>
        <v>0</v>
      </c>
      <c r="H1008" s="1" t="inlineStr">
        <is>
          <t xml:space="preserve">B observado / C cálculo</t>
        </is>
      </c>
    </row>
    <row r="1009" customFormat="false" ht="15" hidden="false" customHeight="true" outlineLevel="0" collapsed="false">
      <c r="A1009" s="1" t="n">
        <v>2023</v>
      </c>
      <c r="B1009" s="1" t="n">
        <v>2</v>
      </c>
      <c r="C1009" s="1" t="inlineStr">
        <is>
          <t xml:space="preserve">IETMREOL20211</t>
        </is>
      </c>
      <c r="D1009" s="1" t="inlineStr">
        <is>
          <t xml:space="preserve">TITULADO</t>
        </is>
      </c>
      <c r="E1009" s="1" t="n">
        <v>109</v>
      </c>
      <c r="F1009" s="1" t="n">
        <v>139</v>
      </c>
      <c r="G1009" s="1" t="n">
        <f aca="false">IF(E1009=0,"",IF(D1009="VIGENTE",1,0))</f>
        <v>0</v>
      </c>
      <c r="H1009" s="1" t="inlineStr">
        <is>
          <t xml:space="preserve">B observado / C cálculo</t>
        </is>
      </c>
    </row>
    <row r="1010" customFormat="false" ht="15" hidden="false" customHeight="true" outlineLevel="0" collapsed="false">
      <c r="A1010" s="1" t="n">
        <v>2023</v>
      </c>
      <c r="B1010" s="1" t="n">
        <v>2</v>
      </c>
      <c r="C1010" s="1" t="inlineStr">
        <is>
          <t xml:space="preserve">IETMREOL20211</t>
        </is>
      </c>
      <c r="D1010" s="1" t="inlineStr">
        <is>
          <t xml:space="preserve">VIGENTE</t>
        </is>
      </c>
      <c r="E1010" s="1" t="n">
        <v>5</v>
      </c>
      <c r="F1010" s="1" t="n">
        <v>5</v>
      </c>
      <c r="G1010" s="1" t="n">
        <f aca="false">IF(E1010=0,"",IF(D1010="VIGENTE",1,0))</f>
        <v>1</v>
      </c>
      <c r="H1010" s="1" t="inlineStr">
        <is>
          <t xml:space="preserve">B observado / C cálculo</t>
        </is>
      </c>
    </row>
    <row r="1011" customFormat="false" ht="15" hidden="false" customHeight="true" outlineLevel="0" collapsed="false">
      <c r="A1011" s="1" t="n">
        <v>2023</v>
      </c>
      <c r="B1011" s="1" t="n">
        <v>2</v>
      </c>
      <c r="C1011" s="1" t="inlineStr">
        <is>
          <t xml:space="preserve">IINF20241</t>
        </is>
      </c>
      <c r="D1011" s="1" t="inlineStr">
        <is>
          <t xml:space="preserve">VIGENTE</t>
        </is>
      </c>
      <c r="E1011" s="1" t="n">
        <v>2</v>
      </c>
      <c r="F1011" s="1" t="n">
        <v>2</v>
      </c>
      <c r="G1011" s="1" t="n">
        <f aca="false">IF(E1011=0,"",IF(D1011="VIGENTE",1,0))</f>
        <v>1</v>
      </c>
      <c r="H1011" s="1" t="inlineStr">
        <is>
          <t xml:space="preserve">B observado / C cálculo</t>
        </is>
      </c>
    </row>
    <row r="1012" customFormat="false" ht="15" hidden="false" customHeight="true" outlineLevel="0" collapsed="false">
      <c r="A1012" s="1" t="n">
        <v>2023</v>
      </c>
      <c r="B1012" s="1" t="n">
        <v>2</v>
      </c>
      <c r="C1012" s="1" t="inlineStr">
        <is>
          <t xml:space="preserve">TCSRE20211</t>
        </is>
      </c>
      <c r="D1012" s="1" t="inlineStr">
        <is>
          <t xml:space="preserve">ELIMINADO</t>
        </is>
      </c>
      <c r="E1012" s="1" t="n">
        <v>5</v>
      </c>
      <c r="F1012" s="1" t="n">
        <v>9</v>
      </c>
      <c r="G1012" s="1" t="n">
        <f aca="false">IF(E1012=0,"",IF(D1012="VIGENTE",1,0))</f>
        <v>0</v>
      </c>
      <c r="H1012" s="1" t="inlineStr">
        <is>
          <t xml:space="preserve">B observado / C cálculo</t>
        </is>
      </c>
    </row>
    <row r="1013" customFormat="false" ht="15" hidden="false" customHeight="true" outlineLevel="0" collapsed="false">
      <c r="A1013" s="1" t="n">
        <v>2023</v>
      </c>
      <c r="B1013" s="1" t="n">
        <v>2</v>
      </c>
      <c r="C1013" s="1" t="inlineStr">
        <is>
          <t xml:space="preserve">TCSRE20211</t>
        </is>
      </c>
      <c r="D1013" s="1" t="inlineStr">
        <is>
          <t xml:space="preserve">TITULADO</t>
        </is>
      </c>
      <c r="E1013" s="1" t="n">
        <v>6</v>
      </c>
      <c r="F1013" s="1" t="n">
        <v>12</v>
      </c>
      <c r="G1013" s="1" t="n">
        <f aca="false">IF(E1013=0,"",IF(D1013="VIGENTE",1,0))</f>
        <v>0</v>
      </c>
      <c r="H1013" s="1" t="inlineStr">
        <is>
          <t xml:space="preserve">B observado / C cálculo</t>
        </is>
      </c>
    </row>
    <row r="1014" customFormat="false" ht="15" hidden="false" customHeight="true" outlineLevel="0" collapsed="false">
      <c r="A1014" s="1" t="n">
        <v>2023</v>
      </c>
      <c r="B1014" s="1" t="n">
        <v>2</v>
      </c>
      <c r="C1014" s="1" t="inlineStr">
        <is>
          <t xml:space="preserve">TCSREOL20211</t>
        </is>
      </c>
      <c r="D1014" s="1" t="inlineStr">
        <is>
          <t xml:space="preserve">ELIMINADO</t>
        </is>
      </c>
      <c r="E1014" s="1" t="n">
        <v>4</v>
      </c>
      <c r="F1014" s="1" t="n">
        <v>4</v>
      </c>
      <c r="G1014" s="1" t="n">
        <f aca="false">IF(E1014=0,"",IF(D1014="VIGENTE",1,0))</f>
        <v>0</v>
      </c>
      <c r="H1014" s="1" t="inlineStr">
        <is>
          <t xml:space="preserve">B observado / C cálculo</t>
        </is>
      </c>
    </row>
    <row r="1015" customFormat="false" ht="15" hidden="false" customHeight="true" outlineLevel="0" collapsed="false">
      <c r="A1015" s="1" t="n">
        <v>2023</v>
      </c>
      <c r="B1015" s="1" t="n">
        <v>2</v>
      </c>
      <c r="C1015" s="1" t="inlineStr">
        <is>
          <t xml:space="preserve">TCSREOL20211</t>
        </is>
      </c>
      <c r="D1015" s="1" t="inlineStr">
        <is>
          <t xml:space="preserve">TITULADO</t>
        </is>
      </c>
      <c r="E1015" s="1" t="n">
        <v>17</v>
      </c>
      <c r="F1015" s="1" t="n">
        <v>18</v>
      </c>
      <c r="G1015" s="1" t="n">
        <f aca="false">IF(E1015=0,"",IF(D1015="VIGENTE",1,0))</f>
        <v>0</v>
      </c>
      <c r="H1015" s="1" t="inlineStr">
        <is>
          <t xml:space="preserve">B observado / C cálculo</t>
        </is>
      </c>
    </row>
    <row r="1016" customFormat="false" ht="15" hidden="false" customHeight="true" outlineLevel="0" collapsed="false">
      <c r="A1016" s="1" t="n">
        <v>2023</v>
      </c>
      <c r="B1016" s="1" t="n">
        <v>2</v>
      </c>
      <c r="C1016" s="1" t="inlineStr">
        <is>
          <t xml:space="preserve">TCSREOL20211</t>
        </is>
      </c>
      <c r="D1016" s="1" t="inlineStr">
        <is>
          <t xml:space="preserve">VIGENTE</t>
        </is>
      </c>
      <c r="E1016" s="1" t="n">
        <v>1</v>
      </c>
      <c r="F1016" s="1" t="n">
        <v>1</v>
      </c>
      <c r="G1016" s="1" t="n">
        <f aca="false">IF(E1016=0,"",IF(D1016="VIGENTE",1,0))</f>
        <v>1</v>
      </c>
      <c r="H1016" s="1" t="inlineStr">
        <is>
          <t xml:space="preserve">B observado / C cálculo</t>
        </is>
      </c>
    </row>
    <row r="1017" customFormat="false" ht="15" hidden="false" customHeight="true" outlineLevel="0" collapsed="false">
      <c r="A1017" s="1" t="n">
        <v>2023</v>
      </c>
      <c r="B1017" s="1" t="n">
        <v>2</v>
      </c>
      <c r="C1017" s="1" t="inlineStr">
        <is>
          <t xml:space="preserve">TCSREOL20231</t>
        </is>
      </c>
      <c r="D1017" s="1" t="inlineStr">
        <is>
          <t xml:space="preserve">ELIMINADO</t>
        </is>
      </c>
      <c r="E1017" s="1" t="n">
        <v>46</v>
      </c>
      <c r="F1017" s="1" t="n">
        <v>54</v>
      </c>
      <c r="G1017" s="1" t="n">
        <f aca="false">IF(E1017=0,"",IF(D1017="VIGENTE",1,0))</f>
        <v>0</v>
      </c>
      <c r="H1017" s="1" t="inlineStr">
        <is>
          <t xml:space="preserve">B observado / C cálculo</t>
        </is>
      </c>
    </row>
    <row r="1018" customFormat="false" ht="15" hidden="false" customHeight="true" outlineLevel="0" collapsed="false">
      <c r="A1018" s="1" t="n">
        <v>2023</v>
      </c>
      <c r="B1018" s="1" t="n">
        <v>2</v>
      </c>
      <c r="C1018" s="1" t="inlineStr">
        <is>
          <t xml:space="preserve">TCSREOL20231</t>
        </is>
      </c>
      <c r="D1018" s="1" t="inlineStr">
        <is>
          <t xml:space="preserve">TITULADO</t>
        </is>
      </c>
      <c r="E1018" s="1" t="n">
        <v>4</v>
      </c>
      <c r="F1018" s="1" t="n">
        <v>6</v>
      </c>
      <c r="G1018" s="1" t="n">
        <f aca="false">IF(E1018=0,"",IF(D1018="VIGENTE",1,0))</f>
        <v>0</v>
      </c>
      <c r="H1018" s="1" t="inlineStr">
        <is>
          <t xml:space="preserve">B observado / C cálculo</t>
        </is>
      </c>
    </row>
    <row r="1019" customFormat="false" ht="15" hidden="false" customHeight="true" outlineLevel="0" collapsed="false">
      <c r="A1019" s="1" t="n">
        <v>2023</v>
      </c>
      <c r="B1019" s="1" t="n">
        <v>2</v>
      </c>
      <c r="C1019" s="1" t="inlineStr">
        <is>
          <t xml:space="preserve">TMIRE2020</t>
        </is>
      </c>
      <c r="D1019" s="1" t="inlineStr">
        <is>
          <t xml:space="preserve">TITULADO</t>
        </is>
      </c>
      <c r="E1019" s="1" t="n">
        <v>1</v>
      </c>
      <c r="F1019" s="1" t="n">
        <v>3</v>
      </c>
      <c r="G1019" s="1" t="n">
        <f aca="false">IF(E1019=0,"",IF(D1019="VIGENTE",1,0))</f>
        <v>0</v>
      </c>
      <c r="H1019" s="1" t="inlineStr">
        <is>
          <t xml:space="preserve">B observado / C cálculo</t>
        </is>
      </c>
    </row>
    <row r="1020" customFormat="false" ht="15" hidden="false" customHeight="true" outlineLevel="0" collapsed="false">
      <c r="A1020" s="1" t="n">
        <v>2023</v>
      </c>
      <c r="B1020" s="1" t="n">
        <v>2</v>
      </c>
      <c r="C1020" s="1" t="inlineStr">
        <is>
          <t xml:space="preserve">TPARE2020</t>
        </is>
      </c>
      <c r="D1020" s="1" t="inlineStr">
        <is>
          <t xml:space="preserve">ELIMINADO</t>
        </is>
      </c>
      <c r="E1020" s="1" t="n">
        <v>1</v>
      </c>
      <c r="F1020" s="1" t="n">
        <v>1</v>
      </c>
      <c r="G1020" s="1" t="n">
        <f aca="false">IF(E1020=0,"",IF(D1020="VIGENTE",1,0))</f>
        <v>0</v>
      </c>
      <c r="H1020" s="1" t="inlineStr">
        <is>
          <t xml:space="preserve">B observado / C cálculo</t>
        </is>
      </c>
    </row>
    <row r="1021" customFormat="false" ht="15" hidden="false" customHeight="true" outlineLevel="0" collapsed="false">
      <c r="A1021" s="1" t="n">
        <v>2023</v>
      </c>
      <c r="B1021" s="1" t="n">
        <v>2</v>
      </c>
      <c r="C1021" s="1" t="inlineStr">
        <is>
          <t xml:space="preserve">TPARE20211</t>
        </is>
      </c>
      <c r="D1021" s="1" t="inlineStr">
        <is>
          <t xml:space="preserve">ELIMINADO</t>
        </is>
      </c>
      <c r="E1021" s="1" t="n">
        <v>1</v>
      </c>
      <c r="F1021" s="1" t="n">
        <v>2</v>
      </c>
      <c r="G1021" s="1" t="n">
        <f aca="false">IF(E1021=0,"",IF(D1021="VIGENTE",1,0))</f>
        <v>0</v>
      </c>
      <c r="H1021" s="1" t="inlineStr">
        <is>
          <t xml:space="preserve">B observado / C cálculo</t>
        </is>
      </c>
    </row>
    <row r="1022" customFormat="false" ht="15" hidden="false" customHeight="true" outlineLevel="0" collapsed="false">
      <c r="A1022" s="1" t="n">
        <v>2023</v>
      </c>
      <c r="B1022" s="1" t="n">
        <v>2</v>
      </c>
      <c r="C1022" s="1" t="inlineStr">
        <is>
          <t xml:space="preserve">TPARE20211</t>
        </is>
      </c>
      <c r="D1022" s="1" t="inlineStr">
        <is>
          <t xml:space="preserve">TITULADO</t>
        </is>
      </c>
      <c r="E1022" s="1" t="n">
        <v>15</v>
      </c>
      <c r="F1022" s="1" t="n">
        <v>22</v>
      </c>
      <c r="G1022" s="1" t="n">
        <f aca="false">IF(E1022=0,"",IF(D1022="VIGENTE",1,0))</f>
        <v>0</v>
      </c>
      <c r="H1022" s="1" t="inlineStr">
        <is>
          <t xml:space="preserve">B observado / C cálculo</t>
        </is>
      </c>
    </row>
    <row r="1023" customFormat="false" ht="15" hidden="false" customHeight="true" outlineLevel="0" collapsed="false">
      <c r="A1023" s="1" t="n">
        <v>2023</v>
      </c>
      <c r="B1023" s="1" t="n">
        <v>2</v>
      </c>
      <c r="C1023" s="1" t="inlineStr">
        <is>
          <t xml:space="preserve">TPARE20211</t>
        </is>
      </c>
      <c r="D1023" s="1" t="inlineStr">
        <is>
          <t xml:space="preserve">VIGENTE</t>
        </is>
      </c>
      <c r="E1023" s="1" t="n">
        <v>1</v>
      </c>
      <c r="F1023" s="1" t="n">
        <v>2</v>
      </c>
      <c r="G1023" s="1" t="n">
        <f aca="false">IF(E1023=0,"",IF(D1023="VIGENTE",1,0))</f>
        <v>1</v>
      </c>
      <c r="H1023" s="1" t="inlineStr">
        <is>
          <t xml:space="preserve">B observado / C cálculo</t>
        </is>
      </c>
    </row>
    <row r="1024" customFormat="false" ht="15" hidden="false" customHeight="true" outlineLevel="0" collapsed="false">
      <c r="A1024" s="1" t="n">
        <v>2023</v>
      </c>
      <c r="B1024" s="1" t="n">
        <v>2</v>
      </c>
      <c r="C1024" s="1" t="inlineStr">
        <is>
          <t xml:space="preserve">TPAREOL2020</t>
        </is>
      </c>
      <c r="D1024" s="1" t="inlineStr">
        <is>
          <t xml:space="preserve">VIGENTE</t>
        </is>
      </c>
      <c r="E1024" s="1" t="n">
        <v>1</v>
      </c>
      <c r="F1024" s="1" t="n">
        <v>2</v>
      </c>
      <c r="G1024" s="1" t="n">
        <f aca="false">IF(E1024=0,"",IF(D1024="VIGENTE",1,0))</f>
        <v>1</v>
      </c>
      <c r="H1024" s="1" t="inlineStr">
        <is>
          <t xml:space="preserve">B observado / C cálculo</t>
        </is>
      </c>
    </row>
    <row r="1025" customFormat="false" ht="15" hidden="false" customHeight="true" outlineLevel="0" collapsed="false">
      <c r="A1025" s="1" t="n">
        <v>2023</v>
      </c>
      <c r="B1025" s="1" t="n">
        <v>2</v>
      </c>
      <c r="C1025" s="1" t="inlineStr">
        <is>
          <t xml:space="preserve">TPAREOL20211</t>
        </is>
      </c>
      <c r="D1025" s="1" t="inlineStr">
        <is>
          <t xml:space="preserve">ELIMINADO</t>
        </is>
      </c>
      <c r="E1025" s="1" t="n">
        <v>12</v>
      </c>
      <c r="F1025" s="1" t="n">
        <v>15</v>
      </c>
      <c r="G1025" s="1" t="n">
        <f aca="false">IF(E1025=0,"",IF(D1025="VIGENTE",1,0))</f>
        <v>0</v>
      </c>
      <c r="H1025" s="1" t="inlineStr">
        <is>
          <t xml:space="preserve">B observado / C cálculo</t>
        </is>
      </c>
    </row>
    <row r="1026" customFormat="false" ht="15" hidden="false" customHeight="true" outlineLevel="0" collapsed="false">
      <c r="A1026" s="1" t="n">
        <v>2023</v>
      </c>
      <c r="B1026" s="1" t="n">
        <v>2</v>
      </c>
      <c r="C1026" s="1" t="inlineStr">
        <is>
          <t xml:space="preserve">TPAREOL20211</t>
        </is>
      </c>
      <c r="D1026" s="1" t="inlineStr">
        <is>
          <t xml:space="preserve">SUSPENDIDO</t>
        </is>
      </c>
      <c r="E1026" s="1" t="n">
        <v>1</v>
      </c>
      <c r="F1026" s="1" t="n">
        <v>1</v>
      </c>
      <c r="G1026" s="1" t="n">
        <f aca="false">IF(E1026=0,"",IF(D1026="VIGENTE",1,0))</f>
        <v>0</v>
      </c>
      <c r="H1026" s="1" t="inlineStr">
        <is>
          <t xml:space="preserve">B observado / C cálculo</t>
        </is>
      </c>
    </row>
    <row r="1027" customFormat="false" ht="15" hidden="false" customHeight="true" outlineLevel="0" collapsed="false">
      <c r="A1027" s="1" t="n">
        <v>2023</v>
      </c>
      <c r="B1027" s="1" t="n">
        <v>2</v>
      </c>
      <c r="C1027" s="1" t="inlineStr">
        <is>
          <t xml:space="preserve">TPAREOL20211</t>
        </is>
      </c>
      <c r="D1027" s="1" t="inlineStr">
        <is>
          <t xml:space="preserve">TITULADO</t>
        </is>
      </c>
      <c r="E1027" s="1" t="n">
        <v>27</v>
      </c>
      <c r="F1027" s="1" t="n">
        <v>39</v>
      </c>
      <c r="G1027" s="1" t="n">
        <f aca="false">IF(E1027=0,"",IF(D1027="VIGENTE",1,0))</f>
        <v>0</v>
      </c>
      <c r="H1027" s="1" t="inlineStr">
        <is>
          <t xml:space="preserve">B observado / C cálculo</t>
        </is>
      </c>
    </row>
    <row r="1028" customFormat="false" ht="15" hidden="false" customHeight="true" outlineLevel="0" collapsed="false">
      <c r="A1028" s="1" t="n">
        <v>2023</v>
      </c>
      <c r="B1028" s="1" t="n">
        <v>2</v>
      </c>
      <c r="C1028" s="1" t="inlineStr">
        <is>
          <t xml:space="preserve">TPAREOL20211</t>
        </is>
      </c>
      <c r="D1028" s="1" t="inlineStr">
        <is>
          <t xml:space="preserve">VIGENTE</t>
        </is>
      </c>
      <c r="E1028" s="1" t="n">
        <v>1</v>
      </c>
      <c r="F1028" s="1" t="n">
        <v>1</v>
      </c>
      <c r="G1028" s="1" t="n">
        <f aca="false">IF(E1028=0,"",IF(D1028="VIGENTE",1,0))</f>
        <v>1</v>
      </c>
      <c r="H1028" s="1" t="inlineStr">
        <is>
          <t xml:space="preserve">B observado / C cálculo</t>
        </is>
      </c>
    </row>
    <row r="1029" customFormat="false" ht="15" hidden="false" customHeight="true" outlineLevel="0" collapsed="false">
      <c r="A1029" s="1" t="n">
        <v>2023</v>
      </c>
      <c r="B1029" s="1" t="n">
        <v>2</v>
      </c>
      <c r="C1029" s="1" t="inlineStr">
        <is>
          <t xml:space="preserve">TPAREOL20231</t>
        </is>
      </c>
      <c r="D1029" s="1" t="inlineStr">
        <is>
          <t xml:space="preserve">ELIMINADO</t>
        </is>
      </c>
      <c r="E1029" s="1" t="n">
        <v>96</v>
      </c>
      <c r="F1029" s="1" t="n">
        <v>106</v>
      </c>
      <c r="G1029" s="1" t="n">
        <f aca="false">IF(E1029=0,"",IF(D1029="VIGENTE",1,0))</f>
        <v>0</v>
      </c>
      <c r="H1029" s="1" t="inlineStr">
        <is>
          <t xml:space="preserve">B observado / C cálculo</t>
        </is>
      </c>
    </row>
    <row r="1030" customFormat="false" ht="15" hidden="false" customHeight="true" outlineLevel="0" collapsed="false">
      <c r="A1030" s="1" t="n">
        <v>2023</v>
      </c>
      <c r="B1030" s="1" t="n">
        <v>2</v>
      </c>
      <c r="C1030" s="1" t="inlineStr">
        <is>
          <t xml:space="preserve">TPAREOL20231</t>
        </is>
      </c>
      <c r="D1030" s="1" t="inlineStr">
        <is>
          <t xml:space="preserve">SUSPENDIDO</t>
        </is>
      </c>
      <c r="E1030" s="1" t="n">
        <v>7</v>
      </c>
      <c r="F1030" s="1" t="n">
        <v>9</v>
      </c>
      <c r="G1030" s="1" t="n">
        <f aca="false">IF(E1030=0,"",IF(D1030="VIGENTE",1,0))</f>
        <v>0</v>
      </c>
      <c r="H1030" s="1" t="inlineStr">
        <is>
          <t xml:space="preserve">B observado / C cálculo</t>
        </is>
      </c>
    </row>
    <row r="1031" customFormat="false" ht="15" hidden="false" customHeight="true" outlineLevel="0" collapsed="false">
      <c r="A1031" s="1" t="n">
        <v>2023</v>
      </c>
      <c r="B1031" s="1" t="n">
        <v>2</v>
      </c>
      <c r="C1031" s="1" t="inlineStr">
        <is>
          <t xml:space="preserve">TPAREOL20231</t>
        </is>
      </c>
      <c r="D1031" s="1" t="inlineStr">
        <is>
          <t xml:space="preserve">TITULADO</t>
        </is>
      </c>
      <c r="E1031" s="1" t="n">
        <v>8</v>
      </c>
      <c r="F1031" s="1" t="n">
        <v>8</v>
      </c>
      <c r="G1031" s="1" t="n">
        <f aca="false">IF(E1031=0,"",IF(D1031="VIGENTE",1,0))</f>
        <v>0</v>
      </c>
      <c r="H1031" s="1" t="inlineStr">
        <is>
          <t xml:space="preserve">B observado / C cálculo</t>
        </is>
      </c>
    </row>
    <row r="1032" customFormat="false" ht="15" hidden="false" customHeight="true" outlineLevel="0" collapsed="false">
      <c r="A1032" s="1" t="n">
        <v>2023</v>
      </c>
      <c r="B1032" s="1" t="n">
        <v>2</v>
      </c>
      <c r="C1032" s="1" t="inlineStr">
        <is>
          <t xml:space="preserve">TPAREOL20231</t>
        </is>
      </c>
      <c r="D1032" s="1" t="inlineStr">
        <is>
          <t xml:space="preserve">VIGENTE</t>
        </is>
      </c>
      <c r="E1032" s="1" t="n">
        <v>1</v>
      </c>
      <c r="F1032" s="1" t="n">
        <v>1</v>
      </c>
      <c r="G1032" s="1" t="n">
        <f aca="false">IF(E1032=0,"",IF(D1032="VIGENTE",1,0))</f>
        <v>1</v>
      </c>
      <c r="H1032" s="1" t="inlineStr">
        <is>
          <t xml:space="preserve">B observado / C cálculo</t>
        </is>
      </c>
    </row>
    <row r="1033" customFormat="false" ht="15" hidden="false" customHeight="true" outlineLevel="0" collapsed="false">
      <c r="A1033" s="1" t="n">
        <v>2023</v>
      </c>
      <c r="B1033" s="1" t="n">
        <v>2</v>
      </c>
      <c r="C1033" s="1" t="inlineStr">
        <is>
          <t xml:space="preserve">TPAS20241</t>
        </is>
      </c>
      <c r="D1033" s="1" t="inlineStr">
        <is>
          <t xml:space="preserve">TITULADO</t>
        </is>
      </c>
      <c r="E1033" s="1" t="n">
        <v>1</v>
      </c>
      <c r="F1033" s="1" t="n">
        <v>2</v>
      </c>
      <c r="G1033" s="1" t="n">
        <f aca="false">IF(E1033=0,"",IF(D1033="VIGENTE",1,0))</f>
        <v>0</v>
      </c>
      <c r="H1033" s="1" t="inlineStr">
        <is>
          <t xml:space="preserve">B observado / C cálculo</t>
        </is>
      </c>
    </row>
    <row r="1034" customFormat="false" ht="15" hidden="false" customHeight="true" outlineLevel="0" collapsed="false">
      <c r="A1034" s="1" t="n">
        <v>2023</v>
      </c>
      <c r="B1034" s="1" t="n">
        <v>2</v>
      </c>
      <c r="C1034" s="1" t="inlineStr">
        <is>
          <t xml:space="preserve">TPAS20241</t>
        </is>
      </c>
      <c r="D1034" s="1" t="inlineStr">
        <is>
          <t xml:space="preserve">VIGENTE</t>
        </is>
      </c>
      <c r="E1034" s="1" t="n">
        <v>1</v>
      </c>
      <c r="F1034" s="1" t="n">
        <v>1</v>
      </c>
      <c r="G1034" s="1" t="n">
        <f aca="false">IF(E1034=0,"",IF(D1034="VIGENTE",1,0))</f>
        <v>1</v>
      </c>
      <c r="H1034" s="1" t="inlineStr">
        <is>
          <t xml:space="preserve">B observado / C cálculo</t>
        </is>
      </c>
    </row>
    <row r="1035" customFormat="false" ht="15" hidden="false" customHeight="true" outlineLevel="0" collapsed="false">
      <c r="A1035" s="1" t="n">
        <v>2023</v>
      </c>
      <c r="B1035" s="1" t="n">
        <v>2</v>
      </c>
      <c r="C1035" s="1" t="inlineStr">
        <is>
          <t xml:space="preserve">TTMRE20191</t>
        </is>
      </c>
      <c r="D1035" s="1" t="inlineStr">
        <is>
          <t xml:space="preserve">ELIMINADO</t>
        </is>
      </c>
      <c r="E1035" s="1" t="n">
        <v>1</v>
      </c>
      <c r="F1035" s="1" t="n">
        <v>2</v>
      </c>
      <c r="G1035" s="1" t="n">
        <f aca="false">IF(E1035=0,"",IF(D1035="VIGENTE",1,0))</f>
        <v>0</v>
      </c>
      <c r="H1035" s="1" t="inlineStr">
        <is>
          <t xml:space="preserve">B observado / C cálculo</t>
        </is>
      </c>
    </row>
    <row r="1036" customFormat="false" ht="15" hidden="false" customHeight="true" outlineLevel="0" collapsed="false">
      <c r="A1036" s="1" t="n">
        <v>2023</v>
      </c>
      <c r="B1036" s="1" t="n">
        <v>2</v>
      </c>
      <c r="C1036" s="1" t="inlineStr">
        <is>
          <t xml:space="preserve">TTMRE20211</t>
        </is>
      </c>
      <c r="D1036" s="1" t="inlineStr">
        <is>
          <t xml:space="preserve">ELIMINADO</t>
        </is>
      </c>
      <c r="E1036" s="1" t="n">
        <v>2</v>
      </c>
      <c r="F1036" s="1" t="n">
        <v>3</v>
      </c>
      <c r="G1036" s="1" t="n">
        <f aca="false">IF(E1036=0,"",IF(D1036="VIGENTE",1,0))</f>
        <v>0</v>
      </c>
      <c r="H1036" s="1" t="inlineStr">
        <is>
          <t xml:space="preserve">B observado / C cálculo</t>
        </is>
      </c>
    </row>
    <row r="1037" customFormat="false" ht="15" hidden="false" customHeight="true" outlineLevel="0" collapsed="false">
      <c r="A1037" s="1" t="n">
        <v>2023</v>
      </c>
      <c r="B1037" s="1" t="n">
        <v>2</v>
      </c>
      <c r="C1037" s="1" t="inlineStr">
        <is>
          <t xml:space="preserve">TTMRE20211</t>
        </is>
      </c>
      <c r="D1037" s="1" t="inlineStr">
        <is>
          <t xml:space="preserve">TITULADO</t>
        </is>
      </c>
      <c r="E1037" s="1" t="n">
        <v>2</v>
      </c>
      <c r="F1037" s="1" t="n">
        <v>4</v>
      </c>
      <c r="G1037" s="1" t="n">
        <f aca="false">IF(E1037=0,"",IF(D1037="VIGENTE",1,0))</f>
        <v>0</v>
      </c>
      <c r="H1037" s="1" t="inlineStr">
        <is>
          <t xml:space="preserve">B observado / C cálculo</t>
        </is>
      </c>
    </row>
    <row r="1038" customFormat="false" ht="15" hidden="false" customHeight="true" outlineLevel="0" collapsed="false">
      <c r="A1038" s="1" t="n">
        <v>2023</v>
      </c>
      <c r="B1038" s="1" t="n">
        <v>2</v>
      </c>
      <c r="C1038" s="1" t="inlineStr">
        <is>
          <t xml:space="preserve">TTMREOL20211</t>
        </is>
      </c>
      <c r="D1038" s="1" t="inlineStr">
        <is>
          <t xml:space="preserve">ELIMINADO</t>
        </is>
      </c>
      <c r="E1038" s="1" t="n">
        <v>6</v>
      </c>
      <c r="F1038" s="1" t="n">
        <v>6</v>
      </c>
      <c r="G1038" s="1" t="n">
        <f aca="false">IF(E1038=0,"",IF(D1038="VIGENTE",1,0))</f>
        <v>0</v>
      </c>
      <c r="H1038" s="1" t="inlineStr">
        <is>
          <t xml:space="preserve">B observado / C cálculo</t>
        </is>
      </c>
    </row>
    <row r="1039" customFormat="false" ht="15" hidden="false" customHeight="true" outlineLevel="0" collapsed="false">
      <c r="A1039" s="1" t="n">
        <v>2023</v>
      </c>
      <c r="B1039" s="1" t="n">
        <v>2</v>
      </c>
      <c r="C1039" s="1" t="inlineStr">
        <is>
          <t xml:space="preserve">TTMREOL20211</t>
        </is>
      </c>
      <c r="D1039" s="1" t="inlineStr">
        <is>
          <t xml:space="preserve">TITULADO</t>
        </is>
      </c>
      <c r="E1039" s="1" t="n">
        <v>9</v>
      </c>
      <c r="F1039" s="1" t="n">
        <v>12</v>
      </c>
      <c r="G1039" s="1" t="n">
        <f aca="false">IF(E1039=0,"",IF(D1039="VIGENTE",1,0))</f>
        <v>0</v>
      </c>
      <c r="H1039" s="1" t="inlineStr">
        <is>
          <t xml:space="preserve">B observado / C cálculo</t>
        </is>
      </c>
    </row>
    <row r="1040" customFormat="false" ht="15" hidden="false" customHeight="true" outlineLevel="0" collapsed="false">
      <c r="A1040" s="1" t="n">
        <v>2023</v>
      </c>
      <c r="B1040" s="1" t="n">
        <v>2</v>
      </c>
      <c r="C1040" s="1" t="inlineStr">
        <is>
          <t xml:space="preserve">TTMREOL20231</t>
        </is>
      </c>
      <c r="D1040" s="1" t="inlineStr">
        <is>
          <t xml:space="preserve">ELIMINADO</t>
        </is>
      </c>
      <c r="E1040" s="1" t="n">
        <v>18</v>
      </c>
      <c r="F1040" s="1" t="n">
        <v>27</v>
      </c>
      <c r="G1040" s="1" t="n">
        <f aca="false">IF(E1040=0,"",IF(D1040="VIGENTE",1,0))</f>
        <v>0</v>
      </c>
      <c r="H1040" s="1" t="inlineStr">
        <is>
          <t xml:space="preserve">B observado / C cálculo</t>
        </is>
      </c>
    </row>
    <row r="1041" customFormat="false" ht="15" hidden="false" customHeight="true" outlineLevel="0" collapsed="false">
      <c r="A1041" s="1" t="n">
        <v>2023</v>
      </c>
      <c r="B1041" s="1" t="n">
        <v>2</v>
      </c>
      <c r="C1041" s="1" t="inlineStr">
        <is>
          <t xml:space="preserve">TTMREOL20231</t>
        </is>
      </c>
      <c r="D1041" s="1" t="inlineStr">
        <is>
          <t xml:space="preserve">SUSPENDIDO</t>
        </is>
      </c>
      <c r="E1041" s="1" t="n">
        <v>1</v>
      </c>
      <c r="F1041" s="1" t="n">
        <v>1</v>
      </c>
      <c r="G1041" s="1" t="n">
        <f aca="false">IF(E1041=0,"",IF(D1041="VIGENTE",1,0))</f>
        <v>0</v>
      </c>
      <c r="H1041" s="1" t="inlineStr">
        <is>
          <t xml:space="preserve">B observado / C cálculo</t>
        </is>
      </c>
    </row>
    <row r="1042" customFormat="false" ht="15" hidden="false" customHeight="true" outlineLevel="0" collapsed="false">
      <c r="A1042" s="1" t="n">
        <v>2023</v>
      </c>
      <c r="B1042" s="1" t="n">
        <v>2</v>
      </c>
      <c r="C1042" s="1" t="inlineStr">
        <is>
          <t xml:space="preserve">TTMREOL20231</t>
        </is>
      </c>
      <c r="D1042" s="1" t="inlineStr">
        <is>
          <t xml:space="preserve">TITULADO</t>
        </is>
      </c>
      <c r="E1042" s="1" t="n">
        <v>1</v>
      </c>
      <c r="F1042" s="1" t="n">
        <v>1</v>
      </c>
      <c r="G1042" s="1" t="n">
        <f aca="false">IF(E1042=0,"",IF(D1042="VIGENTE",1,0))</f>
        <v>0</v>
      </c>
      <c r="H1042" s="1" t="inlineStr">
        <is>
          <t xml:space="preserve">B observado / C cálculo</t>
        </is>
      </c>
    </row>
    <row r="1043" customFormat="false" ht="15" hidden="false" customHeight="true" outlineLevel="0" collapsed="false">
      <c r="A1043" s="1" t="n">
        <v>2023</v>
      </c>
      <c r="B1043" s="1" t="n">
        <v>3</v>
      </c>
      <c r="C1043" s="1" t="inlineStr">
        <is>
          <t xml:space="preserve">IECIREOL20191</t>
        </is>
      </c>
      <c r="D1043" s="1" t="inlineStr">
        <is>
          <t xml:space="preserve">TITULADO</t>
        </is>
      </c>
      <c r="E1043" s="1" t="n">
        <v>1</v>
      </c>
      <c r="F1043" s="1" t="n">
        <v>4</v>
      </c>
      <c r="G1043" s="1" t="n">
        <f aca="false">IF(E1043=0,"",IF(D1043="VIGENTE",1,0))</f>
        <v>0</v>
      </c>
      <c r="H1043" s="1" t="inlineStr">
        <is>
          <t xml:space="preserve">B observado / C cálculo</t>
        </is>
      </c>
    </row>
    <row r="1044" customFormat="false" ht="15" hidden="false" customHeight="true" outlineLevel="0" collapsed="false">
      <c r="A1044" s="1" t="n">
        <v>2023</v>
      </c>
      <c r="B1044" s="1" t="n">
        <v>3</v>
      </c>
      <c r="C1044" s="1" t="inlineStr">
        <is>
          <t xml:space="preserve">IECIREOL20201</t>
        </is>
      </c>
      <c r="D1044" s="1" t="inlineStr">
        <is>
          <t xml:space="preserve">TITULADO</t>
        </is>
      </c>
      <c r="E1044" s="1" t="n">
        <v>6</v>
      </c>
      <c r="F1044" s="1" t="n">
        <v>14</v>
      </c>
      <c r="G1044" s="1" t="n">
        <f aca="false">IF(E1044=0,"",IF(D1044="VIGENTE",1,0))</f>
        <v>0</v>
      </c>
      <c r="H1044" s="1" t="inlineStr">
        <is>
          <t xml:space="preserve">B observado / C cálculo</t>
        </is>
      </c>
    </row>
    <row r="1045" customFormat="false" ht="15" hidden="false" customHeight="true" outlineLevel="0" collapsed="false">
      <c r="A1045" s="1" t="n">
        <v>2023</v>
      </c>
      <c r="B1045" s="1" t="n">
        <v>3</v>
      </c>
      <c r="C1045" s="1" t="inlineStr">
        <is>
          <t xml:space="preserve">IECIREOL20211</t>
        </is>
      </c>
      <c r="D1045" s="1" t="inlineStr">
        <is>
          <t xml:space="preserve">ELIMINADO</t>
        </is>
      </c>
      <c r="E1045" s="1" t="n">
        <v>66</v>
      </c>
      <c r="F1045" s="1" t="n">
        <v>86</v>
      </c>
      <c r="G1045" s="1" t="n">
        <f aca="false">IF(E1045=0,"",IF(D1045="VIGENTE",1,0))</f>
        <v>0</v>
      </c>
      <c r="H1045" s="1" t="inlineStr">
        <is>
          <t xml:space="preserve">B observado / C cálculo</t>
        </is>
      </c>
    </row>
    <row r="1046" customFormat="false" ht="15" hidden="false" customHeight="true" outlineLevel="0" collapsed="false">
      <c r="A1046" s="1" t="n">
        <v>2023</v>
      </c>
      <c r="B1046" s="1" t="n">
        <v>3</v>
      </c>
      <c r="C1046" s="1" t="inlineStr">
        <is>
          <t xml:space="preserve">IECIREOL20211</t>
        </is>
      </c>
      <c r="D1046" s="1" t="inlineStr">
        <is>
          <t xml:space="preserve">SUSPENDIDO</t>
        </is>
      </c>
      <c r="E1046" s="1" t="n">
        <v>6</v>
      </c>
      <c r="F1046" s="1" t="n">
        <v>6</v>
      </c>
      <c r="G1046" s="1" t="n">
        <f aca="false">IF(E1046=0,"",IF(D1046="VIGENTE",1,0))</f>
        <v>0</v>
      </c>
      <c r="H1046" s="1" t="inlineStr">
        <is>
          <t xml:space="preserve">B observado / C cálculo</t>
        </is>
      </c>
    </row>
    <row r="1047" customFormat="false" ht="15" hidden="false" customHeight="true" outlineLevel="0" collapsed="false">
      <c r="A1047" s="1" t="n">
        <v>2023</v>
      </c>
      <c r="B1047" s="1" t="n">
        <v>3</v>
      </c>
      <c r="C1047" s="1" t="inlineStr">
        <is>
          <t xml:space="preserve">IECIREOL20211</t>
        </is>
      </c>
      <c r="D1047" s="1" t="inlineStr">
        <is>
          <t xml:space="preserve">TITULADO</t>
        </is>
      </c>
      <c r="E1047" s="1" t="n">
        <v>77</v>
      </c>
      <c r="F1047" s="1" t="n">
        <v>184</v>
      </c>
      <c r="G1047" s="1" t="n">
        <f aca="false">IF(E1047=0,"",IF(D1047="VIGENTE",1,0))</f>
        <v>0</v>
      </c>
      <c r="H1047" s="1" t="inlineStr">
        <is>
          <t xml:space="preserve">B observado / C cálculo</t>
        </is>
      </c>
    </row>
    <row r="1048" customFormat="false" ht="15" hidden="false" customHeight="true" outlineLevel="0" collapsed="false">
      <c r="A1048" s="1" t="n">
        <v>2023</v>
      </c>
      <c r="B1048" s="1" t="n">
        <v>3</v>
      </c>
      <c r="C1048" s="1" t="inlineStr">
        <is>
          <t xml:space="preserve">IECIREOL20211</t>
        </is>
      </c>
      <c r="D1048" s="1" t="inlineStr">
        <is>
          <t xml:space="preserve">VIGENTE</t>
        </is>
      </c>
      <c r="E1048" s="1" t="n">
        <v>2</v>
      </c>
      <c r="F1048" s="1" t="n">
        <v>2</v>
      </c>
      <c r="G1048" s="1" t="n">
        <f aca="false">IF(E1048=0,"",IF(D1048="VIGENTE",1,0))</f>
        <v>1</v>
      </c>
      <c r="H1048" s="1" t="inlineStr">
        <is>
          <t xml:space="preserve">B observado / C cálculo</t>
        </is>
      </c>
    </row>
    <row r="1049" customFormat="false" ht="15" hidden="false" customHeight="true" outlineLevel="0" collapsed="false">
      <c r="A1049" s="1" t="n">
        <v>2023</v>
      </c>
      <c r="B1049" s="1" t="n">
        <v>3</v>
      </c>
      <c r="C1049" s="1" t="inlineStr">
        <is>
          <t xml:space="preserve">IECSREOL20211</t>
        </is>
      </c>
      <c r="D1049" s="1" t="inlineStr">
        <is>
          <t xml:space="preserve">ELIMINADO</t>
        </is>
      </c>
      <c r="E1049" s="1" t="n">
        <v>67</v>
      </c>
      <c r="F1049" s="1" t="n">
        <v>120</v>
      </c>
      <c r="G1049" s="1" t="n">
        <f aca="false">IF(E1049=0,"",IF(D1049="VIGENTE",1,0))</f>
        <v>0</v>
      </c>
      <c r="H1049" s="1" t="inlineStr">
        <is>
          <t xml:space="preserve">B observado / C cálculo</t>
        </is>
      </c>
    </row>
    <row r="1050" customFormat="false" ht="15" hidden="false" customHeight="true" outlineLevel="0" collapsed="false">
      <c r="A1050" s="1" t="n">
        <v>2023</v>
      </c>
      <c r="B1050" s="1" t="n">
        <v>3</v>
      </c>
      <c r="C1050" s="1" t="inlineStr">
        <is>
          <t xml:space="preserve">IECSREOL20211</t>
        </is>
      </c>
      <c r="D1050" s="1" t="inlineStr">
        <is>
          <t xml:space="preserve">SUSPENDIDO</t>
        </is>
      </c>
      <c r="E1050" s="1" t="n">
        <v>2</v>
      </c>
      <c r="F1050" s="1" t="n">
        <v>2</v>
      </c>
      <c r="G1050" s="1" t="n">
        <f aca="false">IF(E1050=0,"",IF(D1050="VIGENTE",1,0))</f>
        <v>0</v>
      </c>
      <c r="H1050" s="1" t="inlineStr">
        <is>
          <t xml:space="preserve">B observado / C cálculo</t>
        </is>
      </c>
    </row>
    <row r="1051" customFormat="false" ht="15" hidden="false" customHeight="true" outlineLevel="0" collapsed="false">
      <c r="A1051" s="1" t="n">
        <v>2023</v>
      </c>
      <c r="B1051" s="1" t="n">
        <v>3</v>
      </c>
      <c r="C1051" s="1" t="inlineStr">
        <is>
          <t xml:space="preserve">IECSREOL20211</t>
        </is>
      </c>
      <c r="D1051" s="1" t="inlineStr">
        <is>
          <t xml:space="preserve">TITULADO</t>
        </is>
      </c>
      <c r="E1051" s="1" t="n">
        <v>50</v>
      </c>
      <c r="F1051" s="1" t="n">
        <v>103</v>
      </c>
      <c r="G1051" s="1" t="n">
        <f aca="false">IF(E1051=0,"",IF(D1051="VIGENTE",1,0))</f>
        <v>0</v>
      </c>
      <c r="H1051" s="1" t="inlineStr">
        <is>
          <t xml:space="preserve">B observado / C cálculo</t>
        </is>
      </c>
    </row>
    <row r="1052" customFormat="false" ht="15" hidden="false" customHeight="true" outlineLevel="0" collapsed="false">
      <c r="A1052" s="1" t="n">
        <v>2023</v>
      </c>
      <c r="B1052" s="1" t="n">
        <v>3</v>
      </c>
      <c r="C1052" s="1" t="inlineStr">
        <is>
          <t xml:space="preserve">IECSREOL20211</t>
        </is>
      </c>
      <c r="D1052" s="1" t="inlineStr">
        <is>
          <t xml:space="preserve">VIGENTE</t>
        </is>
      </c>
      <c r="E1052" s="1" t="n">
        <v>3</v>
      </c>
      <c r="F1052" s="1" t="n">
        <v>4</v>
      </c>
      <c r="G1052" s="1" t="n">
        <f aca="false">IF(E1052=0,"",IF(D1052="VIGENTE",1,0))</f>
        <v>1</v>
      </c>
      <c r="H1052" s="1" t="inlineStr">
        <is>
          <t xml:space="preserve">B observado / C cálculo</t>
        </is>
      </c>
    </row>
    <row r="1053" customFormat="false" ht="15" hidden="false" customHeight="true" outlineLevel="0" collapsed="false">
      <c r="A1053" s="1" t="n">
        <v>2023</v>
      </c>
      <c r="B1053" s="1" t="n">
        <v>3</v>
      </c>
      <c r="C1053" s="1" t="inlineStr">
        <is>
          <t xml:space="preserve">IETMREOL20191</t>
        </is>
      </c>
      <c r="D1053" s="1" t="inlineStr">
        <is>
          <t xml:space="preserve">TITULADO</t>
        </is>
      </c>
      <c r="E1053" s="1" t="n">
        <v>7</v>
      </c>
      <c r="F1053" s="1" t="n">
        <v>14</v>
      </c>
      <c r="G1053" s="1" t="n">
        <f aca="false">IF(E1053=0,"",IF(D1053="VIGENTE",1,0))</f>
        <v>0</v>
      </c>
      <c r="H1053" s="1" t="inlineStr">
        <is>
          <t xml:space="preserve">B observado / C cálculo</t>
        </is>
      </c>
    </row>
    <row r="1054" customFormat="false" ht="15" hidden="false" customHeight="true" outlineLevel="0" collapsed="false">
      <c r="A1054" s="1" t="n">
        <v>2023</v>
      </c>
      <c r="B1054" s="1" t="n">
        <v>3</v>
      </c>
      <c r="C1054" s="1" t="inlineStr">
        <is>
          <t xml:space="preserve">IETMREOL20191</t>
        </is>
      </c>
      <c r="D1054" s="1" t="inlineStr">
        <is>
          <t xml:space="preserve">VIGENTE</t>
        </is>
      </c>
      <c r="E1054" s="1" t="n">
        <v>1</v>
      </c>
      <c r="F1054" s="1" t="n">
        <v>2</v>
      </c>
      <c r="G1054" s="1" t="n">
        <f aca="false">IF(E1054=0,"",IF(D1054="VIGENTE",1,0))</f>
        <v>1</v>
      </c>
      <c r="H1054" s="1" t="inlineStr">
        <is>
          <t xml:space="preserve">B observado / C cálculo</t>
        </is>
      </c>
    </row>
    <row r="1055" customFormat="false" ht="15" hidden="false" customHeight="true" outlineLevel="0" collapsed="false">
      <c r="A1055" s="1" t="n">
        <v>2023</v>
      </c>
      <c r="B1055" s="1" t="n">
        <v>3</v>
      </c>
      <c r="C1055" s="1" t="inlineStr">
        <is>
          <t xml:space="preserve">IETMREOL20211</t>
        </is>
      </c>
      <c r="D1055" s="1" t="inlineStr">
        <is>
          <t xml:space="preserve">ELIMINADO</t>
        </is>
      </c>
      <c r="E1055" s="1" t="n">
        <v>60</v>
      </c>
      <c r="F1055" s="1" t="n">
        <v>98</v>
      </c>
      <c r="G1055" s="1" t="n">
        <f aca="false">IF(E1055=0,"",IF(D1055="VIGENTE",1,0))</f>
        <v>0</v>
      </c>
      <c r="H1055" s="1" t="inlineStr">
        <is>
          <t xml:space="preserve">B observado / C cálculo</t>
        </is>
      </c>
    </row>
    <row r="1056" customFormat="false" ht="15" hidden="false" customHeight="true" outlineLevel="0" collapsed="false">
      <c r="A1056" s="1" t="n">
        <v>2023</v>
      </c>
      <c r="B1056" s="1" t="n">
        <v>3</v>
      </c>
      <c r="C1056" s="1" t="inlineStr">
        <is>
          <t xml:space="preserve">IETMREOL20211</t>
        </is>
      </c>
      <c r="D1056" s="1" t="inlineStr">
        <is>
          <t xml:space="preserve">SUSPENDIDO</t>
        </is>
      </c>
      <c r="E1056" s="1" t="n">
        <v>4</v>
      </c>
      <c r="F1056" s="1" t="n">
        <v>5</v>
      </c>
      <c r="G1056" s="1" t="n">
        <f aca="false">IF(E1056=0,"",IF(D1056="VIGENTE",1,0))</f>
        <v>0</v>
      </c>
      <c r="H1056" s="1" t="inlineStr">
        <is>
          <t xml:space="preserve">B observado / C cálculo</t>
        </is>
      </c>
    </row>
    <row r="1057" customFormat="false" ht="15" hidden="false" customHeight="true" outlineLevel="0" collapsed="false">
      <c r="A1057" s="1" t="n">
        <v>2023</v>
      </c>
      <c r="B1057" s="1" t="n">
        <v>3</v>
      </c>
      <c r="C1057" s="1" t="inlineStr">
        <is>
          <t xml:space="preserve">IETMREOL20211</t>
        </is>
      </c>
      <c r="D1057" s="1" t="inlineStr">
        <is>
          <t xml:space="preserve">TITULADO</t>
        </is>
      </c>
      <c r="E1057" s="1" t="n">
        <v>75</v>
      </c>
      <c r="F1057" s="1" t="n">
        <v>224</v>
      </c>
      <c r="G1057" s="1" t="n">
        <f aca="false">IF(E1057=0,"",IF(D1057="VIGENTE",1,0))</f>
        <v>0</v>
      </c>
      <c r="H1057" s="1" t="inlineStr">
        <is>
          <t xml:space="preserve">B observado / C cálculo</t>
        </is>
      </c>
    </row>
    <row r="1058" customFormat="false" ht="15" hidden="false" customHeight="true" outlineLevel="0" collapsed="false">
      <c r="A1058" s="1" t="n">
        <v>2023</v>
      </c>
      <c r="B1058" s="1" t="n">
        <v>3</v>
      </c>
      <c r="C1058" s="1" t="inlineStr">
        <is>
          <t xml:space="preserve">IETMREOL20211</t>
        </is>
      </c>
      <c r="D1058" s="1" t="inlineStr">
        <is>
          <t xml:space="preserve">VIGENTE</t>
        </is>
      </c>
      <c r="E1058" s="1" t="n">
        <v>3</v>
      </c>
      <c r="F1058" s="1" t="n">
        <v>3</v>
      </c>
      <c r="G1058" s="1" t="n">
        <f aca="false">IF(E1058=0,"",IF(D1058="VIGENTE",1,0))</f>
        <v>1</v>
      </c>
      <c r="H1058" s="1" t="inlineStr">
        <is>
          <t xml:space="preserve">B observado / C cálculo</t>
        </is>
      </c>
    </row>
    <row r="1059" customFormat="false" ht="15" hidden="false" customHeight="true" outlineLevel="0" collapsed="false">
      <c r="A1059" s="1" t="n">
        <v>2023</v>
      </c>
      <c r="B1059" s="1" t="n">
        <v>3</v>
      </c>
      <c r="C1059" s="1" t="inlineStr">
        <is>
          <t xml:space="preserve">IINF20241</t>
        </is>
      </c>
      <c r="D1059" s="1" t="inlineStr">
        <is>
          <t xml:space="preserve">VIGENTE</t>
        </is>
      </c>
      <c r="E1059" s="1" t="n">
        <v>2</v>
      </c>
      <c r="F1059" s="1" t="n">
        <v>2</v>
      </c>
      <c r="G1059" s="1" t="n">
        <f aca="false">IF(E1059=0,"",IF(D1059="VIGENTE",1,0))</f>
        <v>1</v>
      </c>
      <c r="H1059" s="1" t="inlineStr">
        <is>
          <t xml:space="preserve">B observado / C cálculo</t>
        </is>
      </c>
    </row>
    <row r="1060" customFormat="false" ht="15" hidden="false" customHeight="true" outlineLevel="0" collapsed="false">
      <c r="A1060" s="1" t="n">
        <v>2023</v>
      </c>
      <c r="B1060" s="1" t="n">
        <v>3</v>
      </c>
      <c r="C1060" s="1" t="inlineStr">
        <is>
          <t xml:space="preserve">TCSREOL20211</t>
        </is>
      </c>
      <c r="D1060" s="1" t="inlineStr">
        <is>
          <t xml:space="preserve">ELIMINADO</t>
        </is>
      </c>
      <c r="E1060" s="1" t="n">
        <v>4</v>
      </c>
      <c r="F1060" s="1" t="n">
        <v>5</v>
      </c>
      <c r="G1060" s="1" t="n">
        <f aca="false">IF(E1060=0,"",IF(D1060="VIGENTE",1,0))</f>
        <v>0</v>
      </c>
      <c r="H1060" s="1" t="inlineStr">
        <is>
          <t xml:space="preserve">B observado / C cálculo</t>
        </is>
      </c>
    </row>
    <row r="1061" customFormat="false" ht="15" hidden="false" customHeight="true" outlineLevel="0" collapsed="false">
      <c r="A1061" s="1" t="n">
        <v>2023</v>
      </c>
      <c r="B1061" s="1" t="n">
        <v>3</v>
      </c>
      <c r="C1061" s="1" t="inlineStr">
        <is>
          <t xml:space="preserve">TCSREOL20211</t>
        </is>
      </c>
      <c r="D1061" s="1" t="inlineStr">
        <is>
          <t xml:space="preserve">TITULADO</t>
        </is>
      </c>
      <c r="E1061" s="1" t="n">
        <v>17</v>
      </c>
      <c r="F1061" s="1" t="n">
        <v>19</v>
      </c>
      <c r="G1061" s="1" t="n">
        <f aca="false">IF(E1061=0,"",IF(D1061="VIGENTE",1,0))</f>
        <v>0</v>
      </c>
      <c r="H1061" s="1" t="inlineStr">
        <is>
          <t xml:space="preserve">B observado / C cálculo</t>
        </is>
      </c>
    </row>
    <row r="1062" customFormat="false" ht="15" hidden="false" customHeight="true" outlineLevel="0" collapsed="false">
      <c r="A1062" s="1" t="n">
        <v>2023</v>
      </c>
      <c r="B1062" s="1" t="n">
        <v>3</v>
      </c>
      <c r="C1062" s="1" t="inlineStr">
        <is>
          <t xml:space="preserve">TCSREOL20211</t>
        </is>
      </c>
      <c r="D1062" s="1" t="inlineStr">
        <is>
          <t xml:space="preserve">VIGENTE</t>
        </is>
      </c>
      <c r="E1062" s="1" t="n">
        <v>1</v>
      </c>
      <c r="F1062" s="1" t="n">
        <v>1</v>
      </c>
      <c r="G1062" s="1" t="n">
        <f aca="false">IF(E1062=0,"",IF(D1062="VIGENTE",1,0))</f>
        <v>1</v>
      </c>
      <c r="H1062" s="1" t="inlineStr">
        <is>
          <t xml:space="preserve">B observado / C cálculo</t>
        </is>
      </c>
    </row>
    <row r="1063" customFormat="false" ht="15" hidden="false" customHeight="true" outlineLevel="0" collapsed="false">
      <c r="A1063" s="1" t="n">
        <v>2023</v>
      </c>
      <c r="B1063" s="1" t="n">
        <v>3</v>
      </c>
      <c r="C1063" s="1" t="inlineStr">
        <is>
          <t xml:space="preserve">TCSREOL20231</t>
        </is>
      </c>
      <c r="D1063" s="1" t="inlineStr">
        <is>
          <t xml:space="preserve">ELIMINADO</t>
        </is>
      </c>
      <c r="E1063" s="1" t="n">
        <v>54</v>
      </c>
      <c r="F1063" s="1" t="n">
        <v>70</v>
      </c>
      <c r="G1063" s="1" t="n">
        <f aca="false">IF(E1063=0,"",IF(D1063="VIGENTE",1,0))</f>
        <v>0</v>
      </c>
      <c r="H1063" s="1" t="inlineStr">
        <is>
          <t xml:space="preserve">B observado / C cálculo</t>
        </is>
      </c>
    </row>
    <row r="1064" customFormat="false" ht="15" hidden="false" customHeight="true" outlineLevel="0" collapsed="false">
      <c r="A1064" s="1" t="n">
        <v>2023</v>
      </c>
      <c r="B1064" s="1" t="n">
        <v>3</v>
      </c>
      <c r="C1064" s="1" t="inlineStr">
        <is>
          <t xml:space="preserve">TCSREOL20231</t>
        </is>
      </c>
      <c r="D1064" s="1" t="inlineStr">
        <is>
          <t xml:space="preserve">TITULADO</t>
        </is>
      </c>
      <c r="E1064" s="1" t="n">
        <v>3</v>
      </c>
      <c r="F1064" s="1" t="n">
        <v>3</v>
      </c>
      <c r="G1064" s="1" t="n">
        <f aca="false">IF(E1064=0,"",IF(D1064="VIGENTE",1,0))</f>
        <v>0</v>
      </c>
      <c r="H1064" s="1" t="inlineStr">
        <is>
          <t xml:space="preserve">B observado / C cálculo</t>
        </is>
      </c>
    </row>
    <row r="1065" customFormat="false" ht="15" hidden="false" customHeight="true" outlineLevel="0" collapsed="false">
      <c r="A1065" s="1" t="n">
        <v>2023</v>
      </c>
      <c r="B1065" s="1" t="n">
        <v>3</v>
      </c>
      <c r="C1065" s="1" t="inlineStr">
        <is>
          <t xml:space="preserve">TPAREOL20211</t>
        </is>
      </c>
      <c r="D1065" s="1" t="inlineStr">
        <is>
          <t xml:space="preserve">ELIMINADO</t>
        </is>
      </c>
      <c r="E1065" s="1" t="n">
        <v>18</v>
      </c>
      <c r="F1065" s="1" t="n">
        <v>19</v>
      </c>
      <c r="G1065" s="1" t="n">
        <f aca="false">IF(E1065=0,"",IF(D1065="VIGENTE",1,0))</f>
        <v>0</v>
      </c>
      <c r="H1065" s="1" t="inlineStr">
        <is>
          <t xml:space="preserve">B observado / C cálculo</t>
        </is>
      </c>
    </row>
    <row r="1066" customFormat="false" ht="15" hidden="false" customHeight="true" outlineLevel="0" collapsed="false">
      <c r="A1066" s="1" t="n">
        <v>2023</v>
      </c>
      <c r="B1066" s="1" t="n">
        <v>3</v>
      </c>
      <c r="C1066" s="1" t="inlineStr">
        <is>
          <t xml:space="preserve">TPAREOL20211</t>
        </is>
      </c>
      <c r="D1066" s="1" t="inlineStr">
        <is>
          <t xml:space="preserve">SUSPENDIDO</t>
        </is>
      </c>
      <c r="E1066" s="1" t="n">
        <v>1</v>
      </c>
      <c r="F1066" s="1" t="n">
        <v>1</v>
      </c>
      <c r="G1066" s="1" t="n">
        <f aca="false">IF(E1066=0,"",IF(D1066="VIGENTE",1,0))</f>
        <v>0</v>
      </c>
      <c r="H1066" s="1" t="inlineStr">
        <is>
          <t xml:space="preserve">B observado / C cálculo</t>
        </is>
      </c>
    </row>
    <row r="1067" customFormat="false" ht="15" hidden="false" customHeight="true" outlineLevel="0" collapsed="false">
      <c r="A1067" s="1" t="n">
        <v>2023</v>
      </c>
      <c r="B1067" s="1" t="n">
        <v>3</v>
      </c>
      <c r="C1067" s="1" t="inlineStr">
        <is>
          <t xml:space="preserve">TPAREOL20211</t>
        </is>
      </c>
      <c r="D1067" s="1" t="inlineStr">
        <is>
          <t xml:space="preserve">TITULADO</t>
        </is>
      </c>
      <c r="E1067" s="1" t="n">
        <v>45</v>
      </c>
      <c r="F1067" s="1" t="n">
        <v>56</v>
      </c>
      <c r="G1067" s="1" t="n">
        <f aca="false">IF(E1067=0,"",IF(D1067="VIGENTE",1,0))</f>
        <v>0</v>
      </c>
      <c r="H1067" s="1" t="inlineStr">
        <is>
          <t xml:space="preserve">B observado / C cálculo</t>
        </is>
      </c>
    </row>
    <row r="1068" customFormat="false" ht="15" hidden="false" customHeight="true" outlineLevel="0" collapsed="false">
      <c r="A1068" s="1" t="n">
        <v>2023</v>
      </c>
      <c r="B1068" s="1" t="n">
        <v>3</v>
      </c>
      <c r="C1068" s="1" t="inlineStr">
        <is>
          <t xml:space="preserve">TPAREOL20231</t>
        </is>
      </c>
      <c r="D1068" s="1" t="inlineStr">
        <is>
          <t xml:space="preserve">ELIMINADO</t>
        </is>
      </c>
      <c r="E1068" s="1" t="n">
        <v>120</v>
      </c>
      <c r="F1068" s="1" t="n">
        <v>158</v>
      </c>
      <c r="G1068" s="1" t="n">
        <f aca="false">IF(E1068=0,"",IF(D1068="VIGENTE",1,0))</f>
        <v>0</v>
      </c>
      <c r="H1068" s="1" t="inlineStr">
        <is>
          <t xml:space="preserve">B observado / C cálculo</t>
        </is>
      </c>
    </row>
    <row r="1069" customFormat="false" ht="15" hidden="false" customHeight="true" outlineLevel="0" collapsed="false">
      <c r="A1069" s="1" t="n">
        <v>2023</v>
      </c>
      <c r="B1069" s="1" t="n">
        <v>3</v>
      </c>
      <c r="C1069" s="1" t="inlineStr">
        <is>
          <t xml:space="preserve">TPAREOL20231</t>
        </is>
      </c>
      <c r="D1069" s="1" t="inlineStr">
        <is>
          <t xml:space="preserve">SUSPENDIDO</t>
        </is>
      </c>
      <c r="E1069" s="1" t="n">
        <v>9</v>
      </c>
      <c r="F1069" s="1" t="n">
        <v>11</v>
      </c>
      <c r="G1069" s="1" t="n">
        <f aca="false">IF(E1069=0,"",IF(D1069="VIGENTE",1,0))</f>
        <v>0</v>
      </c>
      <c r="H1069" s="1" t="inlineStr">
        <is>
          <t xml:space="preserve">B observado / C cálculo</t>
        </is>
      </c>
    </row>
    <row r="1070" customFormat="false" ht="15" hidden="false" customHeight="true" outlineLevel="0" collapsed="false">
      <c r="A1070" s="1" t="n">
        <v>2023</v>
      </c>
      <c r="B1070" s="1" t="n">
        <v>3</v>
      </c>
      <c r="C1070" s="1" t="inlineStr">
        <is>
          <t xml:space="preserve">TPAREOL20231</t>
        </is>
      </c>
      <c r="D1070" s="1" t="inlineStr">
        <is>
          <t xml:space="preserve">TITULADO</t>
        </is>
      </c>
      <c r="E1070" s="1" t="n">
        <v>8</v>
      </c>
      <c r="F1070" s="1" t="n">
        <v>9</v>
      </c>
      <c r="G1070" s="1" t="n">
        <f aca="false">IF(E1070=0,"",IF(D1070="VIGENTE",1,0))</f>
        <v>0</v>
      </c>
      <c r="H1070" s="1" t="inlineStr">
        <is>
          <t xml:space="preserve">B observado / C cálculo</t>
        </is>
      </c>
    </row>
    <row r="1071" customFormat="false" ht="15" hidden="false" customHeight="true" outlineLevel="0" collapsed="false">
      <c r="A1071" s="1" t="n">
        <v>2023</v>
      </c>
      <c r="B1071" s="1" t="n">
        <v>3</v>
      </c>
      <c r="C1071" s="1" t="inlineStr">
        <is>
          <t xml:space="preserve">TPAREOL20231</t>
        </is>
      </c>
      <c r="D1071" s="1" t="inlineStr">
        <is>
          <t xml:space="preserve">VIGENTE</t>
        </is>
      </c>
      <c r="E1071" s="1" t="n">
        <v>1</v>
      </c>
      <c r="F1071" s="1" t="n">
        <v>1</v>
      </c>
      <c r="G1071" s="1" t="n">
        <f aca="false">IF(E1071=0,"",IF(D1071="VIGENTE",1,0))</f>
        <v>1</v>
      </c>
      <c r="H1071" s="1" t="inlineStr">
        <is>
          <t xml:space="preserve">B observado / C cálculo</t>
        </is>
      </c>
    </row>
    <row r="1072" customFormat="false" ht="15" hidden="false" customHeight="true" outlineLevel="0" collapsed="false">
      <c r="A1072" s="1" t="n">
        <v>2023</v>
      </c>
      <c r="B1072" s="1" t="n">
        <v>3</v>
      </c>
      <c r="C1072" s="1" t="inlineStr">
        <is>
          <t xml:space="preserve">TTMRE20211</t>
        </is>
      </c>
      <c r="D1072" s="1" t="inlineStr">
        <is>
          <t xml:space="preserve">TITULADO</t>
        </is>
      </c>
      <c r="E1072" s="1" t="n">
        <v>1</v>
      </c>
      <c r="F1072" s="1" t="n">
        <v>2</v>
      </c>
      <c r="G1072" s="1" t="n">
        <f aca="false">IF(E1072=0,"",IF(D1072="VIGENTE",1,0))</f>
        <v>0</v>
      </c>
      <c r="H1072" s="1" t="inlineStr">
        <is>
          <t xml:space="preserve">B observado / C cálculo</t>
        </is>
      </c>
    </row>
    <row r="1073" customFormat="false" ht="15" hidden="false" customHeight="true" outlineLevel="0" collapsed="false">
      <c r="A1073" s="1" t="n">
        <v>2023</v>
      </c>
      <c r="B1073" s="1" t="n">
        <v>3</v>
      </c>
      <c r="C1073" s="1" t="inlineStr">
        <is>
          <t xml:space="preserve">TTMREOL20211</t>
        </is>
      </c>
      <c r="D1073" s="1" t="inlineStr">
        <is>
          <t xml:space="preserve">ELIMINADO</t>
        </is>
      </c>
      <c r="E1073" s="1" t="n">
        <v>8</v>
      </c>
      <c r="F1073" s="1" t="n">
        <v>9</v>
      </c>
      <c r="G1073" s="1" t="n">
        <f aca="false">IF(E1073=0,"",IF(D1073="VIGENTE",1,0))</f>
        <v>0</v>
      </c>
      <c r="H1073" s="1" t="inlineStr">
        <is>
          <t xml:space="preserve">B observado / C cálculo</t>
        </is>
      </c>
    </row>
    <row r="1074" customFormat="false" ht="15" hidden="false" customHeight="true" outlineLevel="0" collapsed="false">
      <c r="A1074" s="1" t="n">
        <v>2023</v>
      </c>
      <c r="B1074" s="1" t="n">
        <v>3</v>
      </c>
      <c r="C1074" s="1" t="inlineStr">
        <is>
          <t xml:space="preserve">TTMREOL20211</t>
        </is>
      </c>
      <c r="D1074" s="1" t="inlineStr">
        <is>
          <t xml:space="preserve">TITULADO</t>
        </is>
      </c>
      <c r="E1074" s="1" t="n">
        <v>18</v>
      </c>
      <c r="F1074" s="1" t="n">
        <v>18</v>
      </c>
      <c r="G1074" s="1" t="n">
        <f aca="false">IF(E1074=0,"",IF(D1074="VIGENTE",1,0))</f>
        <v>0</v>
      </c>
      <c r="H1074" s="1" t="inlineStr">
        <is>
          <t xml:space="preserve">B observado / C cálculo</t>
        </is>
      </c>
    </row>
    <row r="1075" customFormat="false" ht="15" hidden="false" customHeight="true" outlineLevel="0" collapsed="false">
      <c r="A1075" s="1" t="n">
        <v>2023</v>
      </c>
      <c r="B1075" s="1" t="n">
        <v>3</v>
      </c>
      <c r="C1075" s="1" t="inlineStr">
        <is>
          <t xml:space="preserve">TTMREOL20231</t>
        </is>
      </c>
      <c r="D1075" s="1" t="inlineStr">
        <is>
          <t xml:space="preserve">ELIMINADO</t>
        </is>
      </c>
      <c r="E1075" s="1" t="n">
        <v>16</v>
      </c>
      <c r="F1075" s="1" t="n">
        <v>22</v>
      </c>
      <c r="G1075" s="1" t="n">
        <f aca="false">IF(E1075=0,"",IF(D1075="VIGENTE",1,0))</f>
        <v>0</v>
      </c>
      <c r="H1075" s="1" t="inlineStr">
        <is>
          <t xml:space="preserve">B observado / C cálculo</t>
        </is>
      </c>
    </row>
    <row r="1076" customFormat="false" ht="15" hidden="false" customHeight="true" outlineLevel="0" collapsed="false">
      <c r="A1076" s="1" t="n">
        <v>2023</v>
      </c>
      <c r="B1076" s="1" t="n">
        <v>3</v>
      </c>
      <c r="C1076" s="1" t="inlineStr">
        <is>
          <t xml:space="preserve">TTMREOL20231</t>
        </is>
      </c>
      <c r="D1076" s="1" t="inlineStr">
        <is>
          <t xml:space="preserve">SUSPENDIDO</t>
        </is>
      </c>
      <c r="E1076" s="1" t="n">
        <v>1</v>
      </c>
      <c r="F1076" s="1" t="n">
        <v>1</v>
      </c>
      <c r="G1076" s="1" t="n">
        <f aca="false">IF(E1076=0,"",IF(D1076="VIGENTE",1,0))</f>
        <v>0</v>
      </c>
      <c r="H1076" s="1" t="inlineStr">
        <is>
          <t xml:space="preserve">B observado / C cálculo</t>
        </is>
      </c>
    </row>
    <row r="1077" customFormat="false" ht="15" hidden="false" customHeight="true" outlineLevel="0" collapsed="false">
      <c r="A1077" s="1" t="n">
        <v>2023</v>
      </c>
      <c r="B1077" s="1" t="n">
        <v>3</v>
      </c>
      <c r="C1077" s="1" t="inlineStr">
        <is>
          <t xml:space="preserve">TTMREOL20231</t>
        </is>
      </c>
      <c r="D1077" s="1" t="inlineStr">
        <is>
          <t xml:space="preserve">TITULADO</t>
        </is>
      </c>
      <c r="E1077" s="1" t="n">
        <v>2</v>
      </c>
      <c r="F1077" s="1" t="n">
        <v>3</v>
      </c>
      <c r="G1077" s="1" t="n">
        <f aca="false">IF(E1077=0,"",IF(D1077="VIGENTE",1,0))</f>
        <v>0</v>
      </c>
      <c r="H1077" s="1" t="inlineStr">
        <is>
          <t xml:space="preserve">B observado / C cálculo</t>
        </is>
      </c>
    </row>
    <row r="1078" customFormat="false" ht="15" hidden="false" customHeight="true" outlineLevel="0" collapsed="false">
      <c r="A1078" s="1" t="n">
        <v>2023</v>
      </c>
      <c r="B1078" s="1" t="n">
        <v>4</v>
      </c>
      <c r="C1078" s="1" t="inlineStr">
        <is>
          <t xml:space="preserve">IECIREOL20201</t>
        </is>
      </c>
      <c r="D1078" s="1" t="inlineStr">
        <is>
          <t xml:space="preserve">TITULADO</t>
        </is>
      </c>
      <c r="E1078" s="1" t="n">
        <v>5</v>
      </c>
      <c r="F1078" s="1" t="n">
        <v>9</v>
      </c>
      <c r="G1078" s="1" t="n">
        <f aca="false">IF(E1078=0,"",IF(D1078="VIGENTE",1,0))</f>
        <v>0</v>
      </c>
      <c r="H1078" s="1" t="inlineStr">
        <is>
          <t xml:space="preserve">B observado / C cálculo</t>
        </is>
      </c>
    </row>
    <row r="1079" customFormat="false" ht="15" hidden="false" customHeight="true" outlineLevel="0" collapsed="false">
      <c r="A1079" s="1" t="n">
        <v>2023</v>
      </c>
      <c r="B1079" s="1" t="n">
        <v>4</v>
      </c>
      <c r="C1079" s="1" t="inlineStr">
        <is>
          <t xml:space="preserve">IECIREOL20211</t>
        </is>
      </c>
      <c r="D1079" s="1" t="inlineStr">
        <is>
          <t xml:space="preserve">ELIMINADO</t>
        </is>
      </c>
      <c r="E1079" s="1" t="n">
        <v>60</v>
      </c>
      <c r="F1079" s="1" t="n">
        <v>77</v>
      </c>
      <c r="G1079" s="1" t="n">
        <f aca="false">IF(E1079=0,"",IF(D1079="VIGENTE",1,0))</f>
        <v>0</v>
      </c>
      <c r="H1079" s="1" t="inlineStr">
        <is>
          <t xml:space="preserve">B observado / C cálculo</t>
        </is>
      </c>
    </row>
    <row r="1080" customFormat="false" ht="15" hidden="false" customHeight="true" outlineLevel="0" collapsed="false">
      <c r="A1080" s="1" t="n">
        <v>2023</v>
      </c>
      <c r="B1080" s="1" t="n">
        <v>4</v>
      </c>
      <c r="C1080" s="1" t="inlineStr">
        <is>
          <t xml:space="preserve">IECIREOL20211</t>
        </is>
      </c>
      <c r="D1080" s="1" t="inlineStr">
        <is>
          <t xml:space="preserve">SUSPENDIDO</t>
        </is>
      </c>
      <c r="E1080" s="1" t="n">
        <v>4</v>
      </c>
      <c r="F1080" s="1" t="n">
        <v>4</v>
      </c>
      <c r="G1080" s="1" t="n">
        <f aca="false">IF(E1080=0,"",IF(D1080="VIGENTE",1,0))</f>
        <v>0</v>
      </c>
      <c r="H1080" s="1" t="inlineStr">
        <is>
          <t xml:space="preserve">B observado / C cálculo</t>
        </is>
      </c>
    </row>
    <row r="1081" customFormat="false" ht="15" hidden="false" customHeight="true" outlineLevel="0" collapsed="false">
      <c r="A1081" s="1" t="n">
        <v>2023</v>
      </c>
      <c r="B1081" s="1" t="n">
        <v>4</v>
      </c>
      <c r="C1081" s="1" t="inlineStr">
        <is>
          <t xml:space="preserve">IECIREOL20211</t>
        </is>
      </c>
      <c r="D1081" s="1" t="inlineStr">
        <is>
          <t xml:space="preserve">TITULADO</t>
        </is>
      </c>
      <c r="E1081" s="1" t="n">
        <v>26</v>
      </c>
      <c r="F1081" s="1" t="n">
        <v>50</v>
      </c>
      <c r="G1081" s="1" t="n">
        <f aca="false">IF(E1081=0,"",IF(D1081="VIGENTE",1,0))</f>
        <v>0</v>
      </c>
      <c r="H1081" s="1" t="inlineStr">
        <is>
          <t xml:space="preserve">B observado / C cálculo</t>
        </is>
      </c>
    </row>
    <row r="1082" customFormat="false" ht="15" hidden="false" customHeight="true" outlineLevel="0" collapsed="false">
      <c r="A1082" s="1" t="n">
        <v>2023</v>
      </c>
      <c r="B1082" s="1" t="n">
        <v>4</v>
      </c>
      <c r="C1082" s="1" t="inlineStr">
        <is>
          <t xml:space="preserve">IECIREOL20211</t>
        </is>
      </c>
      <c r="D1082" s="1" t="inlineStr">
        <is>
          <t xml:space="preserve">VIGENTE</t>
        </is>
      </c>
      <c r="E1082" s="1" t="n">
        <v>1</v>
      </c>
      <c r="F1082" s="1" t="n">
        <v>1</v>
      </c>
      <c r="G1082" s="1" t="n">
        <f aca="false">IF(E1082=0,"",IF(D1082="VIGENTE",1,0))</f>
        <v>1</v>
      </c>
      <c r="H1082" s="1" t="inlineStr">
        <is>
          <t xml:space="preserve">B observado / C cálculo</t>
        </is>
      </c>
    </row>
    <row r="1083" customFormat="false" ht="15" hidden="false" customHeight="true" outlineLevel="0" collapsed="false">
      <c r="A1083" s="1" t="n">
        <v>2023</v>
      </c>
      <c r="B1083" s="1" t="n">
        <v>4</v>
      </c>
      <c r="C1083" s="1" t="inlineStr">
        <is>
          <t xml:space="preserve">IECSREOL20211</t>
        </is>
      </c>
      <c r="D1083" s="1" t="inlineStr">
        <is>
          <t xml:space="preserve">ELIMINADO</t>
        </is>
      </c>
      <c r="E1083" s="1" t="n">
        <v>19</v>
      </c>
      <c r="F1083" s="1" t="n">
        <v>22</v>
      </c>
      <c r="G1083" s="1" t="n">
        <f aca="false">IF(E1083=0,"",IF(D1083="VIGENTE",1,0))</f>
        <v>0</v>
      </c>
      <c r="H1083" s="1" t="inlineStr">
        <is>
          <t xml:space="preserve">B observado / C cálculo</t>
        </is>
      </c>
    </row>
    <row r="1084" customFormat="false" ht="15" hidden="false" customHeight="true" outlineLevel="0" collapsed="false">
      <c r="A1084" s="1" t="n">
        <v>2023</v>
      </c>
      <c r="B1084" s="1" t="n">
        <v>4</v>
      </c>
      <c r="C1084" s="1" t="inlineStr">
        <is>
          <t xml:space="preserve">IECSREOL20211</t>
        </is>
      </c>
      <c r="D1084" s="1" t="inlineStr">
        <is>
          <t xml:space="preserve">TITULADO</t>
        </is>
      </c>
      <c r="E1084" s="1" t="n">
        <v>71</v>
      </c>
      <c r="F1084" s="1" t="n">
        <v>94</v>
      </c>
      <c r="G1084" s="1" t="n">
        <f aca="false">IF(E1084=0,"",IF(D1084="VIGENTE",1,0))</f>
        <v>0</v>
      </c>
      <c r="H1084" s="1" t="inlineStr">
        <is>
          <t xml:space="preserve">B observado / C cálculo</t>
        </is>
      </c>
    </row>
    <row r="1085" customFormat="false" ht="15" hidden="false" customHeight="true" outlineLevel="0" collapsed="false">
      <c r="A1085" s="1" t="n">
        <v>2023</v>
      </c>
      <c r="B1085" s="1" t="n">
        <v>4</v>
      </c>
      <c r="C1085" s="1" t="inlineStr">
        <is>
          <t xml:space="preserve">IECSREOL20211</t>
        </is>
      </c>
      <c r="D1085" s="1" t="inlineStr">
        <is>
          <t xml:space="preserve">VIGENTE</t>
        </is>
      </c>
      <c r="E1085" s="1" t="n">
        <v>2</v>
      </c>
      <c r="F1085" s="1" t="n">
        <v>2</v>
      </c>
      <c r="G1085" s="1" t="n">
        <f aca="false">IF(E1085=0,"",IF(D1085="VIGENTE",1,0))</f>
        <v>1</v>
      </c>
      <c r="H1085" s="1" t="inlineStr">
        <is>
          <t xml:space="preserve">B observado / C cálculo</t>
        </is>
      </c>
    </row>
    <row r="1086" customFormat="false" ht="15" hidden="false" customHeight="true" outlineLevel="0" collapsed="false">
      <c r="A1086" s="1" t="n">
        <v>2023</v>
      </c>
      <c r="B1086" s="1" t="n">
        <v>4</v>
      </c>
      <c r="C1086" s="1" t="inlineStr">
        <is>
          <t xml:space="preserve">IETMREOL20191</t>
        </is>
      </c>
      <c r="D1086" s="1" t="inlineStr">
        <is>
          <t xml:space="preserve">ELIMINADO</t>
        </is>
      </c>
      <c r="E1086" s="1" t="n">
        <v>1</v>
      </c>
      <c r="F1086" s="1" t="n">
        <v>1</v>
      </c>
      <c r="G1086" s="1" t="n">
        <f aca="false">IF(E1086=0,"",IF(D1086="VIGENTE",1,0))</f>
        <v>0</v>
      </c>
      <c r="H1086" s="1" t="inlineStr">
        <is>
          <t xml:space="preserve">B observado / C cálculo</t>
        </is>
      </c>
    </row>
    <row r="1087" customFormat="false" ht="15" hidden="false" customHeight="true" outlineLevel="0" collapsed="false">
      <c r="A1087" s="1" t="n">
        <v>2023</v>
      </c>
      <c r="B1087" s="1" t="n">
        <v>4</v>
      </c>
      <c r="C1087" s="1" t="inlineStr">
        <is>
          <t xml:space="preserve">IETMREOL20191</t>
        </is>
      </c>
      <c r="D1087" s="1" t="inlineStr">
        <is>
          <t xml:space="preserve">TITULADO</t>
        </is>
      </c>
      <c r="E1087" s="1" t="n">
        <v>7</v>
      </c>
      <c r="F1087" s="1" t="n">
        <v>14</v>
      </c>
      <c r="G1087" s="1" t="n">
        <f aca="false">IF(E1087=0,"",IF(D1087="VIGENTE",1,0))</f>
        <v>0</v>
      </c>
      <c r="H1087" s="1" t="inlineStr">
        <is>
          <t xml:space="preserve">B observado / C cálculo</t>
        </is>
      </c>
    </row>
    <row r="1088" customFormat="false" ht="15" hidden="false" customHeight="true" outlineLevel="0" collapsed="false">
      <c r="A1088" s="1" t="n">
        <v>2023</v>
      </c>
      <c r="B1088" s="1" t="n">
        <v>4</v>
      </c>
      <c r="C1088" s="1" t="inlineStr">
        <is>
          <t xml:space="preserve">IETMREOL20191</t>
        </is>
      </c>
      <c r="D1088" s="1" t="inlineStr">
        <is>
          <t xml:space="preserve">VIGENTE</t>
        </is>
      </c>
      <c r="E1088" s="1" t="n">
        <v>1</v>
      </c>
      <c r="F1088" s="1" t="n">
        <v>2</v>
      </c>
      <c r="G1088" s="1" t="n">
        <f aca="false">IF(E1088=0,"",IF(D1088="VIGENTE",1,0))</f>
        <v>1</v>
      </c>
      <c r="H1088" s="1" t="inlineStr">
        <is>
          <t xml:space="preserve">B observado / C cálculo</t>
        </is>
      </c>
    </row>
    <row r="1089" customFormat="false" ht="15" hidden="false" customHeight="true" outlineLevel="0" collapsed="false">
      <c r="A1089" s="1" t="n">
        <v>2023</v>
      </c>
      <c r="B1089" s="1" t="n">
        <v>4</v>
      </c>
      <c r="C1089" s="1" t="inlineStr">
        <is>
          <t xml:space="preserve">IETMREOL20211</t>
        </is>
      </c>
      <c r="D1089" s="1" t="inlineStr">
        <is>
          <t xml:space="preserve">ELIMINADO</t>
        </is>
      </c>
      <c r="E1089" s="1" t="n">
        <v>37</v>
      </c>
      <c r="F1089" s="1" t="n">
        <v>51</v>
      </c>
      <c r="G1089" s="1" t="n">
        <f aca="false">IF(E1089=0,"",IF(D1089="VIGENTE",1,0))</f>
        <v>0</v>
      </c>
      <c r="H1089" s="1" t="inlineStr">
        <is>
          <t xml:space="preserve">B observado / C cálculo</t>
        </is>
      </c>
    </row>
    <row r="1090" customFormat="false" ht="15" hidden="false" customHeight="true" outlineLevel="0" collapsed="false">
      <c r="A1090" s="1" t="n">
        <v>2023</v>
      </c>
      <c r="B1090" s="1" t="n">
        <v>4</v>
      </c>
      <c r="C1090" s="1" t="inlineStr">
        <is>
          <t xml:space="preserve">IETMREOL20211</t>
        </is>
      </c>
      <c r="D1090" s="1" t="inlineStr">
        <is>
          <t xml:space="preserve">SUSPENDIDO</t>
        </is>
      </c>
      <c r="E1090" s="1" t="n">
        <v>2</v>
      </c>
      <c r="F1090" s="1" t="n">
        <v>4</v>
      </c>
      <c r="G1090" s="1" t="n">
        <f aca="false">IF(E1090=0,"",IF(D1090="VIGENTE",1,0))</f>
        <v>0</v>
      </c>
      <c r="H1090" s="1" t="inlineStr">
        <is>
          <t xml:space="preserve">B observado / C cálculo</t>
        </is>
      </c>
    </row>
    <row r="1091" customFormat="false" ht="15" hidden="false" customHeight="true" outlineLevel="0" collapsed="false">
      <c r="A1091" s="1" t="n">
        <v>2023</v>
      </c>
      <c r="B1091" s="1" t="n">
        <v>4</v>
      </c>
      <c r="C1091" s="1" t="inlineStr">
        <is>
          <t xml:space="preserve">IETMREOL20211</t>
        </is>
      </c>
      <c r="D1091" s="1" t="inlineStr">
        <is>
          <t xml:space="preserve">TITULADO</t>
        </is>
      </c>
      <c r="E1091" s="1" t="n">
        <v>111</v>
      </c>
      <c r="F1091" s="1" t="n">
        <v>170</v>
      </c>
      <c r="G1091" s="1" t="n">
        <f aca="false">IF(E1091=0,"",IF(D1091="VIGENTE",1,0))</f>
        <v>0</v>
      </c>
      <c r="H1091" s="1" t="inlineStr">
        <is>
          <t xml:space="preserve">B observado / C cálculo</t>
        </is>
      </c>
    </row>
    <row r="1092" customFormat="false" ht="15" hidden="false" customHeight="true" outlineLevel="0" collapsed="false">
      <c r="A1092" s="1" t="n">
        <v>2023</v>
      </c>
      <c r="B1092" s="1" t="n">
        <v>4</v>
      </c>
      <c r="C1092" s="1" t="inlineStr">
        <is>
          <t xml:space="preserve">IETMREOL20211</t>
        </is>
      </c>
      <c r="D1092" s="1" t="inlineStr">
        <is>
          <t xml:space="preserve">VIGENTE</t>
        </is>
      </c>
      <c r="E1092" s="1" t="n">
        <v>2</v>
      </c>
      <c r="F1092" s="1" t="n">
        <v>2</v>
      </c>
      <c r="G1092" s="1" t="n">
        <f aca="false">IF(E1092=0,"",IF(D1092="VIGENTE",1,0))</f>
        <v>1</v>
      </c>
      <c r="H1092" s="1" t="inlineStr">
        <is>
          <t xml:space="preserve">B observado / C cálculo</t>
        </is>
      </c>
    </row>
    <row r="1093" customFormat="false" ht="15" hidden="false" customHeight="true" outlineLevel="0" collapsed="false">
      <c r="A1093" s="1" t="n">
        <v>2023</v>
      </c>
      <c r="B1093" s="1" t="n">
        <v>4</v>
      </c>
      <c r="C1093" s="1" t="inlineStr">
        <is>
          <t xml:space="preserve">TCSREOL20211</t>
        </is>
      </c>
      <c r="D1093" s="1" t="inlineStr">
        <is>
          <t xml:space="preserve">ELIMINADO</t>
        </is>
      </c>
      <c r="E1093" s="1" t="n">
        <v>1</v>
      </c>
      <c r="F1093" s="1" t="n">
        <v>1</v>
      </c>
      <c r="G1093" s="1" t="n">
        <f aca="false">IF(E1093=0,"",IF(D1093="VIGENTE",1,0))</f>
        <v>0</v>
      </c>
      <c r="H1093" s="1" t="inlineStr">
        <is>
          <t xml:space="preserve">B observado / C cálculo</t>
        </is>
      </c>
    </row>
    <row r="1094" customFormat="false" ht="15" hidden="false" customHeight="true" outlineLevel="0" collapsed="false">
      <c r="A1094" s="1" t="n">
        <v>2023</v>
      </c>
      <c r="B1094" s="1" t="n">
        <v>4</v>
      </c>
      <c r="C1094" s="1" t="inlineStr">
        <is>
          <t xml:space="preserve">TCSREOL20211</t>
        </is>
      </c>
      <c r="D1094" s="1" t="inlineStr">
        <is>
          <t xml:space="preserve">TITULADO</t>
        </is>
      </c>
      <c r="E1094" s="1" t="n">
        <v>17</v>
      </c>
      <c r="F1094" s="1" t="n">
        <v>26</v>
      </c>
      <c r="G1094" s="1" t="n">
        <f aca="false">IF(E1094=0,"",IF(D1094="VIGENTE",1,0))</f>
        <v>0</v>
      </c>
      <c r="H1094" s="1" t="inlineStr">
        <is>
          <t xml:space="preserve">B observado / C cálculo</t>
        </is>
      </c>
    </row>
    <row r="1095" customFormat="false" ht="15" hidden="false" customHeight="true" outlineLevel="0" collapsed="false">
      <c r="A1095" s="1" t="n">
        <v>2023</v>
      </c>
      <c r="B1095" s="1" t="n">
        <v>4</v>
      </c>
      <c r="C1095" s="1" t="inlineStr">
        <is>
          <t xml:space="preserve">TCSREOL20211</t>
        </is>
      </c>
      <c r="D1095" s="1" t="inlineStr">
        <is>
          <t xml:space="preserve">VIGENTE</t>
        </is>
      </c>
      <c r="E1095" s="1" t="n">
        <v>1</v>
      </c>
      <c r="F1095" s="1" t="n">
        <v>1</v>
      </c>
      <c r="G1095" s="1" t="n">
        <f aca="false">IF(E1095=0,"",IF(D1095="VIGENTE",1,0))</f>
        <v>1</v>
      </c>
      <c r="H1095" s="1" t="inlineStr">
        <is>
          <t xml:space="preserve">B observado / C cálculo</t>
        </is>
      </c>
    </row>
    <row r="1096" customFormat="false" ht="15" hidden="false" customHeight="true" outlineLevel="0" collapsed="false">
      <c r="A1096" s="1" t="n">
        <v>2023</v>
      </c>
      <c r="B1096" s="1" t="n">
        <v>4</v>
      </c>
      <c r="C1096" s="1" t="inlineStr">
        <is>
          <t xml:space="preserve">TCSREOL20231</t>
        </is>
      </c>
      <c r="D1096" s="1" t="inlineStr">
        <is>
          <t xml:space="preserve">ELIMINADO</t>
        </is>
      </c>
      <c r="E1096" s="1" t="n">
        <v>14</v>
      </c>
      <c r="F1096" s="1" t="n">
        <v>15</v>
      </c>
      <c r="G1096" s="1" t="n">
        <f aca="false">IF(E1096=0,"",IF(D1096="VIGENTE",1,0))</f>
        <v>0</v>
      </c>
      <c r="H1096" s="1" t="inlineStr">
        <is>
          <t xml:space="preserve">B observado / C cálculo</t>
        </is>
      </c>
    </row>
    <row r="1097" customFormat="false" ht="15" hidden="false" customHeight="true" outlineLevel="0" collapsed="false">
      <c r="A1097" s="1" t="n">
        <v>2023</v>
      </c>
      <c r="B1097" s="1" t="n">
        <v>4</v>
      </c>
      <c r="C1097" s="1" t="inlineStr">
        <is>
          <t xml:space="preserve">TPAREOL2020</t>
        </is>
      </c>
      <c r="D1097" s="1" t="inlineStr">
        <is>
          <t xml:space="preserve">TITULADO</t>
        </is>
      </c>
      <c r="E1097" s="1" t="n">
        <v>1</v>
      </c>
      <c r="F1097" s="1" t="n">
        <v>1</v>
      </c>
      <c r="G1097" s="1" t="n">
        <f aca="false">IF(E1097=0,"",IF(D1097="VIGENTE",1,0))</f>
        <v>0</v>
      </c>
      <c r="H1097" s="1" t="inlineStr">
        <is>
          <t xml:space="preserve">B observado / C cálculo</t>
        </is>
      </c>
    </row>
    <row r="1098" customFormat="false" ht="15" hidden="false" customHeight="true" outlineLevel="0" collapsed="false">
      <c r="A1098" s="1" t="n">
        <v>2023</v>
      </c>
      <c r="B1098" s="1" t="n">
        <v>4</v>
      </c>
      <c r="C1098" s="1" t="inlineStr">
        <is>
          <t xml:space="preserve">TPAREOL20211</t>
        </is>
      </c>
      <c r="D1098" s="1" t="inlineStr">
        <is>
          <t xml:space="preserve">ELIMINADO</t>
        </is>
      </c>
      <c r="E1098" s="1" t="n">
        <v>12</v>
      </c>
      <c r="F1098" s="1" t="n">
        <v>13</v>
      </c>
      <c r="G1098" s="1" t="n">
        <f aca="false">IF(E1098=0,"",IF(D1098="VIGENTE",1,0))</f>
        <v>0</v>
      </c>
      <c r="H1098" s="1" t="inlineStr">
        <is>
          <t xml:space="preserve">B observado / C cálculo</t>
        </is>
      </c>
    </row>
    <row r="1099" customFormat="false" ht="15" hidden="false" customHeight="true" outlineLevel="0" collapsed="false">
      <c r="A1099" s="1" t="n">
        <v>2023</v>
      </c>
      <c r="B1099" s="1" t="n">
        <v>4</v>
      </c>
      <c r="C1099" s="1" t="inlineStr">
        <is>
          <t xml:space="preserve">TPAREOL20211</t>
        </is>
      </c>
      <c r="D1099" s="1" t="inlineStr">
        <is>
          <t xml:space="preserve">SUSPENDIDO</t>
        </is>
      </c>
      <c r="E1099" s="1" t="n">
        <v>1</v>
      </c>
      <c r="F1099" s="1" t="n">
        <v>1</v>
      </c>
      <c r="G1099" s="1" t="n">
        <f aca="false">IF(E1099=0,"",IF(D1099="VIGENTE",1,0))</f>
        <v>0</v>
      </c>
      <c r="H1099" s="1" t="inlineStr">
        <is>
          <t xml:space="preserve">B observado / C cálculo</t>
        </is>
      </c>
    </row>
    <row r="1100" customFormat="false" ht="15" hidden="false" customHeight="true" outlineLevel="0" collapsed="false">
      <c r="A1100" s="1" t="n">
        <v>2023</v>
      </c>
      <c r="B1100" s="1" t="n">
        <v>4</v>
      </c>
      <c r="C1100" s="1" t="inlineStr">
        <is>
          <t xml:space="preserve">TPAREOL20211</t>
        </is>
      </c>
      <c r="D1100" s="1" t="inlineStr">
        <is>
          <t xml:space="preserve">TITULADO</t>
        </is>
      </c>
      <c r="E1100" s="1" t="n">
        <v>42</v>
      </c>
      <c r="F1100" s="1" t="n">
        <v>57</v>
      </c>
      <c r="G1100" s="1" t="n">
        <f aca="false">IF(E1100=0,"",IF(D1100="VIGENTE",1,0))</f>
        <v>0</v>
      </c>
      <c r="H1100" s="1" t="inlineStr">
        <is>
          <t xml:space="preserve">B observado / C cálculo</t>
        </is>
      </c>
    </row>
    <row r="1101" customFormat="false" ht="15" hidden="false" customHeight="true" outlineLevel="0" collapsed="false">
      <c r="A1101" s="1" t="n">
        <v>2023</v>
      </c>
      <c r="B1101" s="1" t="n">
        <v>4</v>
      </c>
      <c r="C1101" s="1" t="inlineStr">
        <is>
          <t xml:space="preserve">TPAREOL20231</t>
        </is>
      </c>
      <c r="D1101" s="1" t="inlineStr">
        <is>
          <t xml:space="preserve">ELIMINADO</t>
        </is>
      </c>
      <c r="E1101" s="1" t="n">
        <v>37</v>
      </c>
      <c r="F1101" s="1" t="n">
        <v>42</v>
      </c>
      <c r="G1101" s="1" t="n">
        <f aca="false">IF(E1101=0,"",IF(D1101="VIGENTE",1,0))</f>
        <v>0</v>
      </c>
      <c r="H1101" s="1" t="inlineStr">
        <is>
          <t xml:space="preserve">B observado / C cálculo</t>
        </is>
      </c>
    </row>
    <row r="1102" customFormat="false" ht="15" hidden="false" customHeight="true" outlineLevel="0" collapsed="false">
      <c r="A1102" s="1" t="n">
        <v>2023</v>
      </c>
      <c r="B1102" s="1" t="n">
        <v>4</v>
      </c>
      <c r="C1102" s="1" t="inlineStr">
        <is>
          <t xml:space="preserve">TPAREOL20231</t>
        </is>
      </c>
      <c r="D1102" s="1" t="inlineStr">
        <is>
          <t xml:space="preserve">SUSPENDIDO</t>
        </is>
      </c>
      <c r="E1102" s="1" t="n">
        <v>3</v>
      </c>
      <c r="F1102" s="1" t="n">
        <v>3</v>
      </c>
      <c r="G1102" s="1" t="n">
        <f aca="false">IF(E1102=0,"",IF(D1102="VIGENTE",1,0))</f>
        <v>0</v>
      </c>
      <c r="H1102" s="1" t="inlineStr">
        <is>
          <t xml:space="preserve">B observado / C cálculo</t>
        </is>
      </c>
    </row>
    <row r="1103" customFormat="false" ht="15" hidden="false" customHeight="true" outlineLevel="0" collapsed="false">
      <c r="A1103" s="1" t="n">
        <v>2023</v>
      </c>
      <c r="B1103" s="1" t="n">
        <v>4</v>
      </c>
      <c r="C1103" s="1" t="inlineStr">
        <is>
          <t xml:space="preserve">TTMREOL20211</t>
        </is>
      </c>
      <c r="D1103" s="1" t="inlineStr">
        <is>
          <t xml:space="preserve">ELIMINADO</t>
        </is>
      </c>
      <c r="E1103" s="1" t="n">
        <v>7</v>
      </c>
      <c r="F1103" s="1" t="n">
        <v>7</v>
      </c>
      <c r="G1103" s="1" t="n">
        <f aca="false">IF(E1103=0,"",IF(D1103="VIGENTE",1,0))</f>
        <v>0</v>
      </c>
      <c r="H1103" s="1" t="inlineStr">
        <is>
          <t xml:space="preserve">B observado / C cálculo</t>
        </is>
      </c>
    </row>
    <row r="1104" customFormat="false" ht="15" hidden="false" customHeight="true" outlineLevel="0" collapsed="false">
      <c r="A1104" s="1" t="n">
        <v>2023</v>
      </c>
      <c r="B1104" s="1" t="n">
        <v>4</v>
      </c>
      <c r="C1104" s="1" t="inlineStr">
        <is>
          <t xml:space="preserve">TTMREOL20211</t>
        </is>
      </c>
      <c r="D1104" s="1" t="inlineStr">
        <is>
          <t xml:space="preserve">TITULADO</t>
        </is>
      </c>
      <c r="E1104" s="1" t="n">
        <v>17</v>
      </c>
      <c r="F1104" s="1" t="n">
        <v>23</v>
      </c>
      <c r="G1104" s="1" t="n">
        <f aca="false">IF(E1104=0,"",IF(D1104="VIGENTE",1,0))</f>
        <v>0</v>
      </c>
      <c r="H1104" s="1" t="inlineStr">
        <is>
          <t xml:space="preserve">B observado / C cálculo</t>
        </is>
      </c>
    </row>
    <row r="1105" customFormat="false" ht="15" hidden="false" customHeight="true" outlineLevel="0" collapsed="false">
      <c r="A1105" s="1" t="n">
        <v>2023</v>
      </c>
      <c r="B1105" s="1" t="n">
        <v>4</v>
      </c>
      <c r="C1105" s="1" t="inlineStr">
        <is>
          <t xml:space="preserve">TTMREOL20231</t>
        </is>
      </c>
      <c r="D1105" s="1" t="inlineStr">
        <is>
          <t xml:space="preserve">ELIMINADO</t>
        </is>
      </c>
      <c r="E1105" s="1" t="n">
        <v>6</v>
      </c>
      <c r="F1105" s="1" t="n">
        <v>6</v>
      </c>
      <c r="G1105" s="1" t="n">
        <f aca="false">IF(E1105=0,"",IF(D1105="VIGENTE",1,0))</f>
        <v>0</v>
      </c>
      <c r="H1105" s="1" t="inlineStr">
        <is>
          <t xml:space="preserve">B observado / C cálculo</t>
        </is>
      </c>
    </row>
    <row r="1106" customFormat="false" ht="15" hidden="false" customHeight="true" outlineLevel="0" collapsed="false">
      <c r="A1106" s="1" t="n">
        <v>2023</v>
      </c>
      <c r="B1106" s="1" t="n">
        <v>4</v>
      </c>
      <c r="C1106" s="1" t="inlineStr">
        <is>
          <t xml:space="preserve">TTMREOL20231</t>
        </is>
      </c>
      <c r="D1106" s="1" t="inlineStr">
        <is>
          <t xml:space="preserve">TITULADO</t>
        </is>
      </c>
      <c r="E1106" s="1" t="n">
        <v>1</v>
      </c>
      <c r="F1106" s="1" t="n">
        <v>1</v>
      </c>
      <c r="G1106" s="1" t="n">
        <f aca="false">IF(E1106=0,"",IF(D1106="VIGENTE",1,0))</f>
        <v>0</v>
      </c>
      <c r="H1106" s="1" t="inlineStr">
        <is>
          <t xml:space="preserve">B observado / C cálculo</t>
        </is>
      </c>
    </row>
    <row r="1107" customFormat="false" ht="15" hidden="false" customHeight="true" outlineLevel="0" collapsed="false">
      <c r="A1107" s="1" t="n">
        <v>2023</v>
      </c>
      <c r="B1107" s="1" t="n">
        <v>5</v>
      </c>
      <c r="C1107" s="1" t="inlineStr">
        <is>
          <t xml:space="preserve">IECIREOL20201</t>
        </is>
      </c>
      <c r="D1107" s="1" t="inlineStr">
        <is>
          <t xml:space="preserve">TITULADO</t>
        </is>
      </c>
      <c r="E1107" s="1" t="n">
        <v>4</v>
      </c>
      <c r="F1107" s="1" t="n">
        <v>16</v>
      </c>
      <c r="G1107" s="1" t="n">
        <f aca="false">IF(E1107=0,"",IF(D1107="VIGENTE",1,0))</f>
        <v>0</v>
      </c>
      <c r="H1107" s="1" t="inlineStr">
        <is>
          <t xml:space="preserve">B observado / C cálculo</t>
        </is>
      </c>
    </row>
    <row r="1108" customFormat="false" ht="15" hidden="false" customHeight="true" outlineLevel="0" collapsed="false">
      <c r="A1108" s="1" t="n">
        <v>2023</v>
      </c>
      <c r="B1108" s="1" t="n">
        <v>5</v>
      </c>
      <c r="C1108" s="1" t="inlineStr">
        <is>
          <t xml:space="preserve">IECIREOL20211</t>
        </is>
      </c>
      <c r="D1108" s="1" t="inlineStr">
        <is>
          <t xml:space="preserve">ELIMINADO</t>
        </is>
      </c>
      <c r="E1108" s="1" t="n">
        <v>60</v>
      </c>
      <c r="F1108" s="1" t="n">
        <v>66</v>
      </c>
      <c r="G1108" s="1" t="n">
        <f aca="false">IF(E1108=0,"",IF(D1108="VIGENTE",1,0))</f>
        <v>0</v>
      </c>
      <c r="H1108" s="1" t="inlineStr">
        <is>
          <t xml:space="preserve">B observado / C cálculo</t>
        </is>
      </c>
    </row>
    <row r="1109" customFormat="false" ht="15" hidden="false" customHeight="true" outlineLevel="0" collapsed="false">
      <c r="A1109" s="1" t="n">
        <v>2023</v>
      </c>
      <c r="B1109" s="1" t="n">
        <v>5</v>
      </c>
      <c r="C1109" s="1" t="inlineStr">
        <is>
          <t xml:space="preserve">IECIREOL20211</t>
        </is>
      </c>
      <c r="D1109" s="1" t="inlineStr">
        <is>
          <t xml:space="preserve">SUSPENDIDO</t>
        </is>
      </c>
      <c r="E1109" s="1" t="n">
        <v>3</v>
      </c>
      <c r="F1109" s="1" t="n">
        <v>3</v>
      </c>
      <c r="G1109" s="1" t="n">
        <f aca="false">IF(E1109=0,"",IF(D1109="VIGENTE",1,0))</f>
        <v>0</v>
      </c>
      <c r="H1109" s="1" t="inlineStr">
        <is>
          <t xml:space="preserve">B observado / C cálculo</t>
        </is>
      </c>
    </row>
    <row r="1110" customFormat="false" ht="15" hidden="false" customHeight="true" outlineLevel="0" collapsed="false">
      <c r="A1110" s="1" t="n">
        <v>2023</v>
      </c>
      <c r="B1110" s="1" t="n">
        <v>5</v>
      </c>
      <c r="C1110" s="1" t="inlineStr">
        <is>
          <t xml:space="preserve">IECIREOL20211</t>
        </is>
      </c>
      <c r="D1110" s="1" t="inlineStr">
        <is>
          <t xml:space="preserve">TITULADO</t>
        </is>
      </c>
      <c r="E1110" s="1" t="n">
        <v>66</v>
      </c>
      <c r="F1110" s="1" t="n">
        <v>112</v>
      </c>
      <c r="G1110" s="1" t="n">
        <f aca="false">IF(E1110=0,"",IF(D1110="VIGENTE",1,0))</f>
        <v>0</v>
      </c>
      <c r="H1110" s="1" t="inlineStr">
        <is>
          <t xml:space="preserve">B observado / C cálculo</t>
        </is>
      </c>
    </row>
    <row r="1111" customFormat="false" ht="15" hidden="false" customHeight="true" outlineLevel="0" collapsed="false">
      <c r="A1111" s="1" t="n">
        <v>2023</v>
      </c>
      <c r="B1111" s="1" t="n">
        <v>5</v>
      </c>
      <c r="C1111" s="1" t="inlineStr">
        <is>
          <t xml:space="preserve">IECSREOL20211</t>
        </is>
      </c>
      <c r="D1111" s="1" t="inlineStr">
        <is>
          <t xml:space="preserve">ELIMINADO</t>
        </is>
      </c>
      <c r="E1111" s="1" t="n">
        <v>56</v>
      </c>
      <c r="F1111" s="1" t="n">
        <v>66</v>
      </c>
      <c r="G1111" s="1" t="n">
        <f aca="false">IF(E1111=0,"",IF(D1111="VIGENTE",1,0))</f>
        <v>0</v>
      </c>
      <c r="H1111" s="1" t="inlineStr">
        <is>
          <t xml:space="preserve">B observado / C cálculo</t>
        </is>
      </c>
    </row>
    <row r="1112" customFormat="false" ht="15" hidden="false" customHeight="true" outlineLevel="0" collapsed="false">
      <c r="A1112" s="1" t="n">
        <v>2023</v>
      </c>
      <c r="B1112" s="1" t="n">
        <v>5</v>
      </c>
      <c r="C1112" s="1" t="inlineStr">
        <is>
          <t xml:space="preserve">IECSREOL20211</t>
        </is>
      </c>
      <c r="D1112" s="1" t="inlineStr">
        <is>
          <t xml:space="preserve">SUSPENDIDO</t>
        </is>
      </c>
      <c r="E1112" s="1" t="n">
        <v>1</v>
      </c>
      <c r="F1112" s="1" t="n">
        <v>1</v>
      </c>
      <c r="G1112" s="1" t="n">
        <f aca="false">IF(E1112=0,"",IF(D1112="VIGENTE",1,0))</f>
        <v>0</v>
      </c>
      <c r="H1112" s="1" t="inlineStr">
        <is>
          <t xml:space="preserve">B observado / C cálculo</t>
        </is>
      </c>
    </row>
    <row r="1113" customFormat="false" ht="15" hidden="false" customHeight="true" outlineLevel="0" collapsed="false">
      <c r="A1113" s="1" t="n">
        <v>2023</v>
      </c>
      <c r="B1113" s="1" t="n">
        <v>5</v>
      </c>
      <c r="C1113" s="1" t="inlineStr">
        <is>
          <t xml:space="preserve">IECSREOL20211</t>
        </is>
      </c>
      <c r="D1113" s="1" t="inlineStr">
        <is>
          <t xml:space="preserve">TITULADO</t>
        </is>
      </c>
      <c r="E1113" s="1" t="n">
        <v>52</v>
      </c>
      <c r="F1113" s="1" t="n">
        <v>98</v>
      </c>
      <c r="G1113" s="1" t="n">
        <f aca="false">IF(E1113=0,"",IF(D1113="VIGENTE",1,0))</f>
        <v>0</v>
      </c>
      <c r="H1113" s="1" t="inlineStr">
        <is>
          <t xml:space="preserve">B observado / C cálculo</t>
        </is>
      </c>
    </row>
    <row r="1114" customFormat="false" ht="15" hidden="false" customHeight="true" outlineLevel="0" collapsed="false">
      <c r="A1114" s="1" t="n">
        <v>2023</v>
      </c>
      <c r="B1114" s="1" t="n">
        <v>5</v>
      </c>
      <c r="C1114" s="1" t="inlineStr">
        <is>
          <t xml:space="preserve">IECSREOL20211</t>
        </is>
      </c>
      <c r="D1114" s="1" t="inlineStr">
        <is>
          <t xml:space="preserve">VIGENTE</t>
        </is>
      </c>
      <c r="E1114" s="1" t="n">
        <v>2</v>
      </c>
      <c r="F1114" s="1" t="n">
        <v>2</v>
      </c>
      <c r="G1114" s="1" t="n">
        <f aca="false">IF(E1114=0,"",IF(D1114="VIGENTE",1,0))</f>
        <v>1</v>
      </c>
      <c r="H1114" s="1" t="inlineStr">
        <is>
          <t xml:space="preserve">B observado / C cálculo</t>
        </is>
      </c>
    </row>
    <row r="1115" customFormat="false" ht="15" hidden="false" customHeight="true" outlineLevel="0" collapsed="false">
      <c r="A1115" s="1" t="n">
        <v>2023</v>
      </c>
      <c r="B1115" s="1" t="n">
        <v>5</v>
      </c>
      <c r="C1115" s="1" t="inlineStr">
        <is>
          <t xml:space="preserve">IETMREOL20191</t>
        </is>
      </c>
      <c r="D1115" s="1" t="inlineStr">
        <is>
          <t xml:space="preserve">TITULADO</t>
        </is>
      </c>
      <c r="E1115" s="1" t="n">
        <v>7</v>
      </c>
      <c r="F1115" s="1" t="n">
        <v>17</v>
      </c>
      <c r="G1115" s="1" t="n">
        <f aca="false">IF(E1115=0,"",IF(D1115="VIGENTE",1,0))</f>
        <v>0</v>
      </c>
      <c r="H1115" s="1" t="inlineStr">
        <is>
          <t xml:space="preserve">B observado / C cálculo</t>
        </is>
      </c>
    </row>
    <row r="1116" customFormat="false" ht="15" hidden="false" customHeight="true" outlineLevel="0" collapsed="false">
      <c r="A1116" s="1" t="n">
        <v>2023</v>
      </c>
      <c r="B1116" s="1" t="n">
        <v>5</v>
      </c>
      <c r="C1116" s="1" t="inlineStr">
        <is>
          <t xml:space="preserve">IETMREOL20191</t>
        </is>
      </c>
      <c r="D1116" s="1" t="inlineStr">
        <is>
          <t xml:space="preserve">VIGENTE</t>
        </is>
      </c>
      <c r="E1116" s="1" t="n">
        <v>1</v>
      </c>
      <c r="F1116" s="1" t="n">
        <v>1</v>
      </c>
      <c r="G1116" s="1" t="n">
        <f aca="false">IF(E1116=0,"",IF(D1116="VIGENTE",1,0))</f>
        <v>1</v>
      </c>
      <c r="H1116" s="1" t="inlineStr">
        <is>
          <t xml:space="preserve">B observado / C cálculo</t>
        </is>
      </c>
    </row>
    <row r="1117" customFormat="false" ht="15" hidden="false" customHeight="true" outlineLevel="0" collapsed="false">
      <c r="A1117" s="1" t="n">
        <v>2023</v>
      </c>
      <c r="B1117" s="1" t="n">
        <v>5</v>
      </c>
      <c r="C1117" s="1" t="inlineStr">
        <is>
          <t xml:space="preserve">IETMREOL20211</t>
        </is>
      </c>
      <c r="D1117" s="1" t="inlineStr">
        <is>
          <t xml:space="preserve">ELIMINADO</t>
        </is>
      </c>
      <c r="E1117" s="1" t="n">
        <v>50</v>
      </c>
      <c r="F1117" s="1" t="n">
        <v>56</v>
      </c>
      <c r="G1117" s="1" t="n">
        <f aca="false">IF(E1117=0,"",IF(D1117="VIGENTE",1,0))</f>
        <v>0</v>
      </c>
      <c r="H1117" s="1" t="inlineStr">
        <is>
          <t xml:space="preserve">B observado / C cálculo</t>
        </is>
      </c>
    </row>
    <row r="1118" customFormat="false" ht="15" hidden="false" customHeight="true" outlineLevel="0" collapsed="false">
      <c r="A1118" s="1" t="n">
        <v>2023</v>
      </c>
      <c r="B1118" s="1" t="n">
        <v>5</v>
      </c>
      <c r="C1118" s="1" t="inlineStr">
        <is>
          <t xml:space="preserve">IETMREOL20211</t>
        </is>
      </c>
      <c r="D1118" s="1" t="inlineStr">
        <is>
          <t xml:space="preserve">SUSPENDIDO</t>
        </is>
      </c>
      <c r="E1118" s="1" t="n">
        <v>1</v>
      </c>
      <c r="F1118" s="1" t="n">
        <v>1</v>
      </c>
      <c r="G1118" s="1" t="n">
        <f aca="false">IF(E1118=0,"",IF(D1118="VIGENTE",1,0))</f>
        <v>0</v>
      </c>
      <c r="H1118" s="1" t="inlineStr">
        <is>
          <t xml:space="preserve">B observado / C cálculo</t>
        </is>
      </c>
    </row>
    <row r="1119" customFormat="false" ht="15" hidden="false" customHeight="true" outlineLevel="0" collapsed="false">
      <c r="A1119" s="1" t="n">
        <v>2023</v>
      </c>
      <c r="B1119" s="1" t="n">
        <v>5</v>
      </c>
      <c r="C1119" s="1" t="inlineStr">
        <is>
          <t xml:space="preserve">IETMREOL20211</t>
        </is>
      </c>
      <c r="D1119" s="1" t="inlineStr">
        <is>
          <t xml:space="preserve">TITULADO</t>
        </is>
      </c>
      <c r="E1119" s="1" t="n">
        <v>95</v>
      </c>
      <c r="F1119" s="1" t="n">
        <v>152</v>
      </c>
      <c r="G1119" s="1" t="n">
        <f aca="false">IF(E1119=0,"",IF(D1119="VIGENTE",1,0))</f>
        <v>0</v>
      </c>
      <c r="H1119" s="1" t="inlineStr">
        <is>
          <t xml:space="preserve">B observado / C cálculo</t>
        </is>
      </c>
    </row>
    <row r="1120" customFormat="false" ht="15" hidden="false" customHeight="true" outlineLevel="0" collapsed="false">
      <c r="A1120" s="1" t="n">
        <v>2023</v>
      </c>
      <c r="B1120" s="1" t="n">
        <v>5</v>
      </c>
      <c r="C1120" s="1" t="inlineStr">
        <is>
          <t xml:space="preserve">IETMREOL20211</t>
        </is>
      </c>
      <c r="D1120" s="1" t="inlineStr">
        <is>
          <t xml:space="preserve">VIGENTE</t>
        </is>
      </c>
      <c r="E1120" s="1" t="n">
        <v>3</v>
      </c>
      <c r="F1120" s="1" t="n">
        <v>3</v>
      </c>
      <c r="G1120" s="1" t="n">
        <f aca="false">IF(E1120=0,"",IF(D1120="VIGENTE",1,0))</f>
        <v>1</v>
      </c>
      <c r="H1120" s="1" t="inlineStr">
        <is>
          <t xml:space="preserve">B observado / C cálculo</t>
        </is>
      </c>
    </row>
    <row r="1121" customFormat="false" ht="15" hidden="false" customHeight="true" outlineLevel="0" collapsed="false">
      <c r="A1121" s="1" t="n">
        <v>2023</v>
      </c>
      <c r="B1121" s="1" t="n">
        <v>5</v>
      </c>
      <c r="C1121" s="1" t="inlineStr">
        <is>
          <t xml:space="preserve">IINF20241</t>
        </is>
      </c>
      <c r="D1121" s="1" t="inlineStr">
        <is>
          <t xml:space="preserve">VIGENTE</t>
        </is>
      </c>
      <c r="E1121" s="1" t="n">
        <v>1</v>
      </c>
      <c r="F1121" s="1" t="n">
        <v>1</v>
      </c>
      <c r="G1121" s="1" t="n">
        <f aca="false">IF(E1121=0,"",IF(D1121="VIGENTE",1,0))</f>
        <v>1</v>
      </c>
      <c r="H1121" s="1" t="inlineStr">
        <is>
          <t xml:space="preserve">B observado / C cálculo</t>
        </is>
      </c>
    </row>
    <row r="1122" customFormat="false" ht="15" hidden="false" customHeight="true" outlineLevel="0" collapsed="false">
      <c r="A1122" s="1" t="n">
        <v>2023</v>
      </c>
      <c r="B1122" s="1" t="n">
        <v>5</v>
      </c>
      <c r="C1122" s="1" t="inlineStr">
        <is>
          <t xml:space="preserve">TCSREOL20211</t>
        </is>
      </c>
      <c r="D1122" s="1" t="inlineStr">
        <is>
          <t xml:space="preserve">ELIMINADO</t>
        </is>
      </c>
      <c r="E1122" s="1" t="n">
        <v>2</v>
      </c>
      <c r="F1122" s="1" t="n">
        <v>2</v>
      </c>
      <c r="G1122" s="1" t="n">
        <f aca="false">IF(E1122=0,"",IF(D1122="VIGENTE",1,0))</f>
        <v>0</v>
      </c>
      <c r="H1122" s="1" t="inlineStr">
        <is>
          <t xml:space="preserve">B observado / C cálculo</t>
        </is>
      </c>
    </row>
    <row r="1123" customFormat="false" ht="15" hidden="false" customHeight="true" outlineLevel="0" collapsed="false">
      <c r="A1123" s="1" t="n">
        <v>2023</v>
      </c>
      <c r="B1123" s="1" t="n">
        <v>5</v>
      </c>
      <c r="C1123" s="1" t="inlineStr">
        <is>
          <t xml:space="preserve">TCSREOL20211</t>
        </is>
      </c>
      <c r="D1123" s="1" t="inlineStr">
        <is>
          <t xml:space="preserve">TITULADO</t>
        </is>
      </c>
      <c r="E1123" s="1" t="n">
        <v>14</v>
      </c>
      <c r="F1123" s="1" t="n">
        <v>21</v>
      </c>
      <c r="G1123" s="1" t="n">
        <f aca="false">IF(E1123=0,"",IF(D1123="VIGENTE",1,0))</f>
        <v>0</v>
      </c>
      <c r="H1123" s="1" t="inlineStr">
        <is>
          <t xml:space="preserve">B observado / C cálculo</t>
        </is>
      </c>
    </row>
    <row r="1124" customFormat="false" ht="15" hidden="false" customHeight="true" outlineLevel="0" collapsed="false">
      <c r="A1124" s="1" t="n">
        <v>2023</v>
      </c>
      <c r="B1124" s="1" t="n">
        <v>5</v>
      </c>
      <c r="C1124" s="1" t="inlineStr">
        <is>
          <t xml:space="preserve">TCSREOL20211</t>
        </is>
      </c>
      <c r="D1124" s="1" t="inlineStr">
        <is>
          <t xml:space="preserve">VIGENTE</t>
        </is>
      </c>
      <c r="E1124" s="1" t="n">
        <v>1</v>
      </c>
      <c r="F1124" s="1" t="n">
        <v>1</v>
      </c>
      <c r="G1124" s="1" t="n">
        <f aca="false">IF(E1124=0,"",IF(D1124="VIGENTE",1,0))</f>
        <v>1</v>
      </c>
      <c r="H1124" s="1" t="inlineStr">
        <is>
          <t xml:space="preserve">B observado / C cálculo</t>
        </is>
      </c>
    </row>
    <row r="1125" customFormat="false" ht="15" hidden="false" customHeight="true" outlineLevel="0" collapsed="false">
      <c r="A1125" s="1" t="n">
        <v>2023</v>
      </c>
      <c r="B1125" s="1" t="n">
        <v>5</v>
      </c>
      <c r="C1125" s="1" t="inlineStr">
        <is>
          <t xml:space="preserve">TCSREOL20231</t>
        </is>
      </c>
      <c r="D1125" s="1" t="inlineStr">
        <is>
          <t xml:space="preserve">ELIMINADO</t>
        </is>
      </c>
      <c r="E1125" s="1" t="n">
        <v>44</v>
      </c>
      <c r="F1125" s="1" t="n">
        <v>44</v>
      </c>
      <c r="G1125" s="1" t="n">
        <f aca="false">IF(E1125=0,"",IF(D1125="VIGENTE",1,0))</f>
        <v>0</v>
      </c>
      <c r="H1125" s="1" t="inlineStr">
        <is>
          <t xml:space="preserve">B observado / C cálculo</t>
        </is>
      </c>
    </row>
    <row r="1126" customFormat="false" ht="15" hidden="false" customHeight="true" outlineLevel="0" collapsed="false">
      <c r="A1126" s="1" t="n">
        <v>2023</v>
      </c>
      <c r="B1126" s="1" t="n">
        <v>5</v>
      </c>
      <c r="C1126" s="1" t="inlineStr">
        <is>
          <t xml:space="preserve">TCSREOL20231</t>
        </is>
      </c>
      <c r="D1126" s="1" t="inlineStr">
        <is>
          <t xml:space="preserve">TITULADO</t>
        </is>
      </c>
      <c r="E1126" s="1" t="n">
        <v>4</v>
      </c>
      <c r="F1126" s="1" t="n">
        <v>4</v>
      </c>
      <c r="G1126" s="1" t="n">
        <f aca="false">IF(E1126=0,"",IF(D1126="VIGENTE",1,0))</f>
        <v>0</v>
      </c>
      <c r="H1126" s="1" t="inlineStr">
        <is>
          <t xml:space="preserve">B observado / C cálculo</t>
        </is>
      </c>
    </row>
    <row r="1127" customFormat="false" ht="15" hidden="false" customHeight="true" outlineLevel="0" collapsed="false">
      <c r="A1127" s="1" t="n">
        <v>2023</v>
      </c>
      <c r="B1127" s="1" t="n">
        <v>5</v>
      </c>
      <c r="C1127" s="1" t="inlineStr">
        <is>
          <t xml:space="preserve">TPAREOL2020</t>
        </is>
      </c>
      <c r="D1127" s="1" t="inlineStr">
        <is>
          <t xml:space="preserve">TITULADO</t>
        </is>
      </c>
      <c r="E1127" s="1" t="n">
        <v>1</v>
      </c>
      <c r="F1127" s="1" t="n">
        <v>1</v>
      </c>
      <c r="G1127" s="1" t="n">
        <f aca="false">IF(E1127=0,"",IF(D1127="VIGENTE",1,0))</f>
        <v>0</v>
      </c>
      <c r="H1127" s="1" t="inlineStr">
        <is>
          <t xml:space="preserve">B observado / C cálculo</t>
        </is>
      </c>
    </row>
    <row r="1128" customFormat="false" ht="15" hidden="false" customHeight="true" outlineLevel="0" collapsed="false">
      <c r="A1128" s="1" t="n">
        <v>2023</v>
      </c>
      <c r="B1128" s="1" t="n">
        <v>5</v>
      </c>
      <c r="C1128" s="1" t="inlineStr">
        <is>
          <t xml:space="preserve">TPAREOL20211</t>
        </is>
      </c>
      <c r="D1128" s="1" t="inlineStr">
        <is>
          <t xml:space="preserve">ELIMINADO</t>
        </is>
      </c>
      <c r="E1128" s="1" t="n">
        <v>11</v>
      </c>
      <c r="F1128" s="1" t="n">
        <v>13</v>
      </c>
      <c r="G1128" s="1" t="n">
        <f aca="false">IF(E1128=0,"",IF(D1128="VIGENTE",1,0))</f>
        <v>0</v>
      </c>
      <c r="H1128" s="1" t="inlineStr">
        <is>
          <t xml:space="preserve">B observado / C cálculo</t>
        </is>
      </c>
    </row>
    <row r="1129" customFormat="false" ht="15" hidden="false" customHeight="true" outlineLevel="0" collapsed="false">
      <c r="A1129" s="1" t="n">
        <v>2023</v>
      </c>
      <c r="B1129" s="1" t="n">
        <v>5</v>
      </c>
      <c r="C1129" s="1" t="inlineStr">
        <is>
          <t xml:space="preserve">TPAREOL20211</t>
        </is>
      </c>
      <c r="D1129" s="1" t="inlineStr">
        <is>
          <t xml:space="preserve">TITULADO</t>
        </is>
      </c>
      <c r="E1129" s="1" t="n">
        <v>15</v>
      </c>
      <c r="F1129" s="1" t="n">
        <v>18</v>
      </c>
      <c r="G1129" s="1" t="n">
        <f aca="false">IF(E1129=0,"",IF(D1129="VIGENTE",1,0))</f>
        <v>0</v>
      </c>
      <c r="H1129" s="1" t="inlineStr">
        <is>
          <t xml:space="preserve">B observado / C cálculo</t>
        </is>
      </c>
    </row>
    <row r="1130" customFormat="false" ht="15" hidden="false" customHeight="true" outlineLevel="0" collapsed="false">
      <c r="A1130" s="1" t="n">
        <v>2023</v>
      </c>
      <c r="B1130" s="1" t="n">
        <v>5</v>
      </c>
      <c r="C1130" s="1" t="inlineStr">
        <is>
          <t xml:space="preserve">TPAREOL20231</t>
        </is>
      </c>
      <c r="D1130" s="1" t="inlineStr">
        <is>
          <t xml:space="preserve">ELIMINADO</t>
        </is>
      </c>
      <c r="E1130" s="1" t="n">
        <v>106</v>
      </c>
      <c r="F1130" s="1" t="n">
        <v>123</v>
      </c>
      <c r="G1130" s="1" t="n">
        <f aca="false">IF(E1130=0,"",IF(D1130="VIGENTE",1,0))</f>
        <v>0</v>
      </c>
      <c r="H1130" s="1" t="inlineStr">
        <is>
          <t xml:space="preserve">B observado / C cálculo</t>
        </is>
      </c>
    </row>
    <row r="1131" customFormat="false" ht="15" hidden="false" customHeight="true" outlineLevel="0" collapsed="false">
      <c r="A1131" s="1" t="n">
        <v>2023</v>
      </c>
      <c r="B1131" s="1" t="n">
        <v>5</v>
      </c>
      <c r="C1131" s="1" t="inlineStr">
        <is>
          <t xml:space="preserve">TPAREOL20231</t>
        </is>
      </c>
      <c r="D1131" s="1" t="inlineStr">
        <is>
          <t xml:space="preserve">SUSPENDIDO</t>
        </is>
      </c>
      <c r="E1131" s="1" t="n">
        <v>5</v>
      </c>
      <c r="F1131" s="1" t="n">
        <v>6</v>
      </c>
      <c r="G1131" s="1" t="n">
        <f aca="false">IF(E1131=0,"",IF(D1131="VIGENTE",1,0))</f>
        <v>0</v>
      </c>
      <c r="H1131" s="1" t="inlineStr">
        <is>
          <t xml:space="preserve">B observado / C cálculo</t>
        </is>
      </c>
    </row>
    <row r="1132" customFormat="false" ht="15" hidden="false" customHeight="true" outlineLevel="0" collapsed="false">
      <c r="A1132" s="1" t="n">
        <v>2023</v>
      </c>
      <c r="B1132" s="1" t="n">
        <v>5</v>
      </c>
      <c r="C1132" s="1" t="inlineStr">
        <is>
          <t xml:space="preserve">TPAREOL20231</t>
        </is>
      </c>
      <c r="D1132" s="1" t="inlineStr">
        <is>
          <t xml:space="preserve">TITULADO</t>
        </is>
      </c>
      <c r="E1132" s="1" t="n">
        <v>8</v>
      </c>
      <c r="F1132" s="1" t="n">
        <v>8</v>
      </c>
      <c r="G1132" s="1" t="n">
        <f aca="false">IF(E1132=0,"",IF(D1132="VIGENTE",1,0))</f>
        <v>0</v>
      </c>
      <c r="H1132" s="1" t="inlineStr">
        <is>
          <t xml:space="preserve">B observado / C cálculo</t>
        </is>
      </c>
    </row>
    <row r="1133" customFormat="false" ht="15" hidden="false" customHeight="true" outlineLevel="0" collapsed="false">
      <c r="A1133" s="1" t="n">
        <v>2023</v>
      </c>
      <c r="B1133" s="1" t="n">
        <v>5</v>
      </c>
      <c r="C1133" s="1" t="inlineStr">
        <is>
          <t xml:space="preserve">TPAREOL20231</t>
        </is>
      </c>
      <c r="D1133" s="1" t="inlineStr">
        <is>
          <t xml:space="preserve">VIGENTE</t>
        </is>
      </c>
      <c r="E1133" s="1" t="n">
        <v>1</v>
      </c>
      <c r="F1133" s="1" t="n">
        <v>1</v>
      </c>
      <c r="G1133" s="1" t="n">
        <f aca="false">IF(E1133=0,"",IF(D1133="VIGENTE",1,0))</f>
        <v>1</v>
      </c>
      <c r="H1133" s="1" t="inlineStr">
        <is>
          <t xml:space="preserve">B observado / C cálculo</t>
        </is>
      </c>
    </row>
    <row r="1134" customFormat="false" ht="15" hidden="false" customHeight="true" outlineLevel="0" collapsed="false">
      <c r="A1134" s="1" t="n">
        <v>2023</v>
      </c>
      <c r="B1134" s="1" t="n">
        <v>5</v>
      </c>
      <c r="C1134" s="1" t="inlineStr">
        <is>
          <t xml:space="preserve">TPAS20241</t>
        </is>
      </c>
      <c r="D1134" s="1" t="inlineStr">
        <is>
          <t xml:space="preserve">VIGENTE</t>
        </is>
      </c>
      <c r="E1134" s="1" t="n">
        <v>1</v>
      </c>
      <c r="F1134" s="1" t="n">
        <v>1</v>
      </c>
      <c r="G1134" s="1" t="n">
        <f aca="false">IF(E1134=0,"",IF(D1134="VIGENTE",1,0))</f>
        <v>1</v>
      </c>
      <c r="H1134" s="1" t="inlineStr">
        <is>
          <t xml:space="preserve">B observado / C cálculo</t>
        </is>
      </c>
    </row>
    <row r="1135" customFormat="false" ht="15" hidden="false" customHeight="true" outlineLevel="0" collapsed="false">
      <c r="A1135" s="1" t="n">
        <v>2023</v>
      </c>
      <c r="B1135" s="1" t="n">
        <v>5</v>
      </c>
      <c r="C1135" s="1" t="inlineStr">
        <is>
          <t xml:space="preserve">TTMRE20211</t>
        </is>
      </c>
      <c r="D1135" s="1" t="inlineStr">
        <is>
          <t xml:space="preserve">TITULADO</t>
        </is>
      </c>
      <c r="E1135" s="1" t="n">
        <v>1</v>
      </c>
      <c r="F1135" s="1" t="n">
        <v>1</v>
      </c>
      <c r="G1135" s="1" t="n">
        <f aca="false">IF(E1135=0,"",IF(D1135="VIGENTE",1,0))</f>
        <v>0</v>
      </c>
      <c r="H1135" s="1" t="inlineStr">
        <is>
          <t xml:space="preserve">B observado / C cálculo</t>
        </is>
      </c>
    </row>
    <row r="1136" customFormat="false" ht="15" hidden="false" customHeight="true" outlineLevel="0" collapsed="false">
      <c r="A1136" s="1" t="n">
        <v>2023</v>
      </c>
      <c r="B1136" s="1" t="n">
        <v>5</v>
      </c>
      <c r="C1136" s="1" t="inlineStr">
        <is>
          <t xml:space="preserve">TTMREOL20211</t>
        </is>
      </c>
      <c r="D1136" s="1" t="inlineStr">
        <is>
          <t xml:space="preserve">ELIMINADO</t>
        </is>
      </c>
      <c r="E1136" s="1" t="n">
        <v>4</v>
      </c>
      <c r="F1136" s="1" t="n">
        <v>6</v>
      </c>
      <c r="G1136" s="1" t="n">
        <f aca="false">IF(E1136=0,"",IF(D1136="VIGENTE",1,0))</f>
        <v>0</v>
      </c>
      <c r="H1136" s="1" t="inlineStr">
        <is>
          <t xml:space="preserve">B observado / C cálculo</t>
        </is>
      </c>
    </row>
    <row r="1137" customFormat="false" ht="15" hidden="false" customHeight="true" outlineLevel="0" collapsed="false">
      <c r="A1137" s="1" t="n">
        <v>2023</v>
      </c>
      <c r="B1137" s="1" t="n">
        <v>5</v>
      </c>
      <c r="C1137" s="1" t="inlineStr">
        <is>
          <t xml:space="preserve">TTMREOL20211</t>
        </is>
      </c>
      <c r="D1137" s="1" t="inlineStr">
        <is>
          <t xml:space="preserve">TITULADO</t>
        </is>
      </c>
      <c r="E1137" s="1" t="n">
        <v>14</v>
      </c>
      <c r="F1137" s="1" t="n">
        <v>15</v>
      </c>
      <c r="G1137" s="1" t="n">
        <f aca="false">IF(E1137=0,"",IF(D1137="VIGENTE",1,0))</f>
        <v>0</v>
      </c>
      <c r="H1137" s="1" t="inlineStr">
        <is>
          <t xml:space="preserve">B observado / C cálculo</t>
        </is>
      </c>
    </row>
    <row r="1138" customFormat="false" ht="15" hidden="false" customHeight="true" outlineLevel="0" collapsed="false">
      <c r="A1138" s="1" t="n">
        <v>2023</v>
      </c>
      <c r="B1138" s="1" t="n">
        <v>5</v>
      </c>
      <c r="C1138" s="1" t="inlineStr">
        <is>
          <t xml:space="preserve">TTMREOL20231</t>
        </is>
      </c>
      <c r="D1138" s="1" t="inlineStr">
        <is>
          <t xml:space="preserve">ELIMINADO</t>
        </is>
      </c>
      <c r="E1138" s="1" t="n">
        <v>19</v>
      </c>
      <c r="F1138" s="1" t="n">
        <v>20</v>
      </c>
      <c r="G1138" s="1" t="n">
        <f aca="false">IF(E1138=0,"",IF(D1138="VIGENTE",1,0))</f>
        <v>0</v>
      </c>
      <c r="H1138" s="1" t="inlineStr">
        <is>
          <t xml:space="preserve">B observado / C cálculo</t>
        </is>
      </c>
    </row>
    <row r="1139" customFormat="false" ht="15" hidden="false" customHeight="true" outlineLevel="0" collapsed="false">
      <c r="A1139" s="1" t="n">
        <v>2023</v>
      </c>
      <c r="B1139" s="1" t="n">
        <v>5</v>
      </c>
      <c r="C1139" s="1" t="inlineStr">
        <is>
          <t xml:space="preserve">TTMREOL20231</t>
        </is>
      </c>
      <c r="D1139" s="1" t="inlineStr">
        <is>
          <t xml:space="preserve">TITULADO</t>
        </is>
      </c>
      <c r="E1139" s="1" t="n">
        <v>2</v>
      </c>
      <c r="F1139" s="1" t="n">
        <v>2</v>
      </c>
      <c r="G1139" s="1" t="n">
        <f aca="false">IF(E1139=0,"",IF(D1139="VIGENTE",1,0))</f>
        <v>0</v>
      </c>
      <c r="H1139" s="1" t="inlineStr">
        <is>
          <t xml:space="preserve">B observado / C cálculo</t>
        </is>
      </c>
    </row>
    <row r="1140" customFormat="false" ht="15" hidden="false" customHeight="true" outlineLevel="0" collapsed="false">
      <c r="A1140" s="1" t="n">
        <v>2024</v>
      </c>
      <c r="B1140" s="1" t="n">
        <v>1</v>
      </c>
      <c r="C1140" s="1" t="inlineStr">
        <is>
          <t xml:space="preserve">CICIB20241</t>
        </is>
      </c>
      <c r="D1140" s="1" t="inlineStr">
        <is>
          <t xml:space="preserve">ELIMINADO</t>
        </is>
      </c>
      <c r="E1140" s="1" t="n">
        <v>3</v>
      </c>
      <c r="F1140" s="1" t="n">
        <v>3</v>
      </c>
      <c r="G1140" s="1" t="n">
        <f aca="false">IF(E1140=0,"",IF(D1140="VIGENTE",1,0))</f>
        <v>0</v>
      </c>
      <c r="H1140" s="1" t="inlineStr">
        <is>
          <t xml:space="preserve">B observado / C cálculo</t>
        </is>
      </c>
    </row>
    <row r="1141" customFormat="false" ht="15" hidden="false" customHeight="true" outlineLevel="0" collapsed="false">
      <c r="A1141" s="1" t="n">
        <v>2024</v>
      </c>
      <c r="B1141" s="1" t="n">
        <v>1</v>
      </c>
      <c r="C1141" s="1" t="inlineStr">
        <is>
          <t xml:space="preserve">CICIB20241</t>
        </is>
      </c>
      <c r="D1141" s="1" t="inlineStr">
        <is>
          <t xml:space="preserve">TITULADO</t>
        </is>
      </c>
      <c r="E1141" s="1" t="n">
        <v>39</v>
      </c>
      <c r="F1141" s="1" t="n">
        <v>39</v>
      </c>
      <c r="G1141" s="1" t="n">
        <f aca="false">IF(E1141=0,"",IF(D1141="VIGENTE",1,0))</f>
        <v>0</v>
      </c>
      <c r="H1141" s="1" t="inlineStr">
        <is>
          <t xml:space="preserve">B observado / C cálculo</t>
        </is>
      </c>
    </row>
    <row r="1142" customFormat="false" ht="15" hidden="false" customHeight="true" outlineLevel="0" collapsed="false">
      <c r="A1142" s="1" t="n">
        <v>2024</v>
      </c>
      <c r="B1142" s="1" t="n">
        <v>1</v>
      </c>
      <c r="C1142" s="1" t="inlineStr">
        <is>
          <t xml:space="preserve">CICIB20241</t>
        </is>
      </c>
      <c r="D1142" s="1" t="inlineStr">
        <is>
          <t xml:space="preserve">VIGENTE</t>
        </is>
      </c>
      <c r="E1142" s="1" t="n">
        <v>2</v>
      </c>
      <c r="F1142" s="1" t="n">
        <v>2</v>
      </c>
      <c r="G1142" s="1" t="n">
        <f aca="false">IF(E1142=0,"",IF(D1142="VIGENTE",1,0))</f>
        <v>1</v>
      </c>
      <c r="H1142" s="1" t="inlineStr">
        <is>
          <t xml:space="preserve">B observado / C cálculo</t>
        </is>
      </c>
    </row>
    <row r="1143" customFormat="false" ht="15" hidden="false" customHeight="true" outlineLevel="0" collapsed="false">
      <c r="A1143" s="1" t="n">
        <v>2024</v>
      </c>
      <c r="B1143" s="1" t="n">
        <v>1</v>
      </c>
      <c r="C1143" s="1" t="inlineStr">
        <is>
          <t xml:space="preserve">CICRE20241</t>
        </is>
      </c>
      <c r="D1143" s="1" t="inlineStr">
        <is>
          <t xml:space="preserve">ELIMINADO</t>
        </is>
      </c>
      <c r="E1143" s="1" t="n">
        <v>14</v>
      </c>
      <c r="F1143" s="1" t="n">
        <v>14</v>
      </c>
      <c r="G1143" s="1" t="n">
        <f aca="false">IF(E1143=0,"",IF(D1143="VIGENTE",1,0))</f>
        <v>0</v>
      </c>
      <c r="H1143" s="1" t="inlineStr">
        <is>
          <t xml:space="preserve">B observado / C cálculo</t>
        </is>
      </c>
    </row>
    <row r="1144" customFormat="false" ht="15" hidden="false" customHeight="true" outlineLevel="0" collapsed="false">
      <c r="A1144" s="1" t="n">
        <v>2024</v>
      </c>
      <c r="B1144" s="1" t="n">
        <v>1</v>
      </c>
      <c r="C1144" s="1" t="inlineStr">
        <is>
          <t xml:space="preserve">CICRE20241</t>
        </is>
      </c>
      <c r="D1144" s="1" t="inlineStr">
        <is>
          <t xml:space="preserve">SUSPENDIDO</t>
        </is>
      </c>
      <c r="E1144" s="1" t="n">
        <v>2</v>
      </c>
      <c r="F1144" s="1" t="n">
        <v>2</v>
      </c>
      <c r="G1144" s="1" t="n">
        <f aca="false">IF(E1144=0,"",IF(D1144="VIGENTE",1,0))</f>
        <v>0</v>
      </c>
      <c r="H1144" s="1" t="inlineStr">
        <is>
          <t xml:space="preserve">B observado / C cálculo</t>
        </is>
      </c>
    </row>
    <row r="1145" customFormat="false" ht="15" hidden="false" customHeight="true" outlineLevel="0" collapsed="false">
      <c r="A1145" s="1" t="n">
        <v>2024</v>
      </c>
      <c r="B1145" s="1" t="n">
        <v>1</v>
      </c>
      <c r="C1145" s="1" t="inlineStr">
        <is>
          <t xml:space="preserve">CICRE20241</t>
        </is>
      </c>
      <c r="D1145" s="1" t="inlineStr">
        <is>
          <t xml:space="preserve">TITULADO</t>
        </is>
      </c>
      <c r="E1145" s="1" t="n">
        <v>43</v>
      </c>
      <c r="F1145" s="1" t="n">
        <v>44</v>
      </c>
      <c r="G1145" s="1" t="n">
        <f aca="false">IF(E1145=0,"",IF(D1145="VIGENTE",1,0))</f>
        <v>0</v>
      </c>
      <c r="H1145" s="1" t="inlineStr">
        <is>
          <t xml:space="preserve">B observado / C cálculo</t>
        </is>
      </c>
    </row>
    <row r="1146" customFormat="false" ht="15" hidden="false" customHeight="true" outlineLevel="0" collapsed="false">
      <c r="A1146" s="1" t="n">
        <v>2024</v>
      </c>
      <c r="B1146" s="1" t="n">
        <v>1</v>
      </c>
      <c r="C1146" s="1" t="inlineStr">
        <is>
          <t xml:space="preserve">CIINF20241</t>
        </is>
      </c>
      <c r="D1146" s="1" t="inlineStr">
        <is>
          <t xml:space="preserve">ELIMINADO</t>
        </is>
      </c>
      <c r="E1146" s="1" t="n">
        <v>2</v>
      </c>
      <c r="F1146" s="1" t="n">
        <v>2</v>
      </c>
      <c r="G1146" s="1" t="n">
        <f aca="false">IF(E1146=0,"",IF(D1146="VIGENTE",1,0))</f>
        <v>0</v>
      </c>
      <c r="H1146" s="1" t="inlineStr">
        <is>
          <t xml:space="preserve">B observado / C cálculo</t>
        </is>
      </c>
    </row>
    <row r="1147" customFormat="false" ht="15" hidden="false" customHeight="true" outlineLevel="0" collapsed="false">
      <c r="A1147" s="1" t="n">
        <v>2024</v>
      </c>
      <c r="B1147" s="1" t="n">
        <v>1</v>
      </c>
      <c r="C1147" s="1" t="inlineStr">
        <is>
          <t xml:space="preserve">CIINF20241</t>
        </is>
      </c>
      <c r="D1147" s="1" t="inlineStr">
        <is>
          <t xml:space="preserve">TITULADO</t>
        </is>
      </c>
      <c r="E1147" s="1" t="n">
        <v>25</v>
      </c>
      <c r="F1147" s="1" t="n">
        <v>30</v>
      </c>
      <c r="G1147" s="1" t="n">
        <f aca="false">IF(E1147=0,"",IF(D1147="VIGENTE",1,0))</f>
        <v>0</v>
      </c>
      <c r="H1147" s="1" t="inlineStr">
        <is>
          <t xml:space="preserve">B observado / C cálculo</t>
        </is>
      </c>
    </row>
    <row r="1148" customFormat="false" ht="15" hidden="false" customHeight="true" outlineLevel="0" collapsed="false">
      <c r="A1148" s="1" t="n">
        <v>2024</v>
      </c>
      <c r="B1148" s="1" t="n">
        <v>1</v>
      </c>
      <c r="C1148" s="1" t="inlineStr">
        <is>
          <t xml:space="preserve">CIINF20241</t>
        </is>
      </c>
      <c r="D1148" s="1" t="inlineStr">
        <is>
          <t xml:space="preserve">VIGENTE</t>
        </is>
      </c>
      <c r="E1148" s="1" t="n">
        <v>1</v>
      </c>
      <c r="F1148" s="1" t="n">
        <v>1</v>
      </c>
      <c r="G1148" s="1" t="n">
        <f aca="false">IF(E1148=0,"",IF(D1148="VIGENTE",1,0))</f>
        <v>1</v>
      </c>
      <c r="H1148" s="1" t="inlineStr">
        <is>
          <t xml:space="preserve">B observado / C cálculo</t>
        </is>
      </c>
    </row>
    <row r="1149" customFormat="false" ht="15" hidden="false" customHeight="true" outlineLevel="0" collapsed="false">
      <c r="A1149" s="1" t="n">
        <v>2024</v>
      </c>
      <c r="B1149" s="1" t="n">
        <v>1</v>
      </c>
      <c r="C1149" s="1" t="inlineStr">
        <is>
          <t xml:space="preserve">IADM20241</t>
        </is>
      </c>
      <c r="D1149" s="1" t="inlineStr">
        <is>
          <t xml:space="preserve">ELIMINADO</t>
        </is>
      </c>
      <c r="E1149" s="1" t="n">
        <v>6</v>
      </c>
      <c r="F1149" s="1" t="n">
        <v>25</v>
      </c>
      <c r="G1149" s="1" t="n">
        <f aca="false">IF(E1149=0,"",IF(D1149="VIGENTE",1,0))</f>
        <v>0</v>
      </c>
      <c r="H1149" s="1" t="inlineStr">
        <is>
          <t xml:space="preserve">B observado / C cálculo</t>
        </is>
      </c>
    </row>
    <row r="1150" customFormat="false" ht="15" hidden="false" customHeight="true" outlineLevel="0" collapsed="false">
      <c r="A1150" s="1" t="n">
        <v>2024</v>
      </c>
      <c r="B1150" s="1" t="n">
        <v>1</v>
      </c>
      <c r="C1150" s="1" t="inlineStr">
        <is>
          <t xml:space="preserve">IADM20241</t>
        </is>
      </c>
      <c r="D1150" s="1" t="inlineStr">
        <is>
          <t xml:space="preserve">VIGENTE</t>
        </is>
      </c>
      <c r="E1150" s="1" t="n">
        <v>3</v>
      </c>
      <c r="F1150" s="1" t="n">
        <v>14</v>
      </c>
      <c r="G1150" s="1" t="n">
        <f aca="false">IF(E1150=0,"",IF(D1150="VIGENTE",1,0))</f>
        <v>1</v>
      </c>
      <c r="H1150" s="1" t="inlineStr">
        <is>
          <t xml:space="preserve">B observado / C cálculo</t>
        </is>
      </c>
    </row>
    <row r="1151" customFormat="false" ht="15" hidden="false" customHeight="true" outlineLevel="0" collapsed="false">
      <c r="A1151" s="1" t="n">
        <v>2024</v>
      </c>
      <c r="B1151" s="1" t="n">
        <v>1</v>
      </c>
      <c r="C1151" s="1" t="inlineStr">
        <is>
          <t xml:space="preserve">ICIB20241</t>
        </is>
      </c>
      <c r="D1151" s="1" t="inlineStr">
        <is>
          <t xml:space="preserve">ELIMINADO</t>
        </is>
      </c>
      <c r="E1151" s="1" t="n">
        <v>55</v>
      </c>
      <c r="F1151" s="1" t="n">
        <v>337</v>
      </c>
      <c r="G1151" s="1" t="n">
        <f aca="false">IF(E1151=0,"",IF(D1151="VIGENTE",1,0))</f>
        <v>0</v>
      </c>
      <c r="H1151" s="1" t="inlineStr">
        <is>
          <t xml:space="preserve">B observado / C cálculo</t>
        </is>
      </c>
    </row>
    <row r="1152" customFormat="false" ht="15" hidden="false" customHeight="true" outlineLevel="0" collapsed="false">
      <c r="A1152" s="1" t="n">
        <v>2024</v>
      </c>
      <c r="B1152" s="1" t="n">
        <v>1</v>
      </c>
      <c r="C1152" s="1" t="inlineStr">
        <is>
          <t xml:space="preserve">ICIB20241</t>
        </is>
      </c>
      <c r="D1152" s="1" t="inlineStr">
        <is>
          <t xml:space="preserve">SUSPENDIDO</t>
        </is>
      </c>
      <c r="E1152" s="1" t="n">
        <v>9</v>
      </c>
      <c r="F1152" s="1" t="n">
        <v>84</v>
      </c>
      <c r="G1152" s="1" t="n">
        <f aca="false">IF(E1152=0,"",IF(D1152="VIGENTE",1,0))</f>
        <v>0</v>
      </c>
      <c r="H1152" s="1" t="inlineStr">
        <is>
          <t xml:space="preserve">B observado / C cálculo</t>
        </is>
      </c>
    </row>
    <row r="1153" customFormat="false" ht="15" hidden="false" customHeight="true" outlineLevel="0" collapsed="false">
      <c r="A1153" s="1" t="n">
        <v>2024</v>
      </c>
      <c r="B1153" s="1" t="n">
        <v>1</v>
      </c>
      <c r="C1153" s="1" t="inlineStr">
        <is>
          <t xml:space="preserve">ICIB20241</t>
        </is>
      </c>
      <c r="D1153" s="1" t="inlineStr">
        <is>
          <t xml:space="preserve">TITULADO</t>
        </is>
      </c>
      <c r="E1153" s="1" t="n">
        <v>28</v>
      </c>
      <c r="F1153" s="1" t="n">
        <v>559</v>
      </c>
      <c r="G1153" s="1" t="n">
        <f aca="false">IF(E1153=0,"",IF(D1153="VIGENTE",1,0))</f>
        <v>0</v>
      </c>
      <c r="H1153" s="1" t="inlineStr">
        <is>
          <t xml:space="preserve">B observado / C cálculo</t>
        </is>
      </c>
    </row>
    <row r="1154" customFormat="false" ht="15" hidden="false" customHeight="true" outlineLevel="0" collapsed="false">
      <c r="A1154" s="1" t="n">
        <v>2024</v>
      </c>
      <c r="B1154" s="1" t="n">
        <v>1</v>
      </c>
      <c r="C1154" s="1" t="inlineStr">
        <is>
          <t xml:space="preserve">ICIB20241</t>
        </is>
      </c>
      <c r="D1154" s="1" t="inlineStr">
        <is>
          <t xml:space="preserve">VIGENTE</t>
        </is>
      </c>
      <c r="E1154" s="1" t="n">
        <v>87</v>
      </c>
      <c r="F1154" s="1" t="n">
        <v>768</v>
      </c>
      <c r="G1154" s="1" t="n">
        <f aca="false">IF(E1154=0,"",IF(D1154="VIGENTE",1,0))</f>
        <v>1</v>
      </c>
      <c r="H1154" s="1" t="inlineStr">
        <is>
          <t xml:space="preserve">B observado / C cálculo</t>
        </is>
      </c>
    </row>
    <row r="1155" customFormat="false" ht="15" hidden="false" customHeight="true" outlineLevel="0" collapsed="false">
      <c r="A1155" s="1" t="n">
        <v>2024</v>
      </c>
      <c r="B1155" s="1" t="n">
        <v>1</v>
      </c>
      <c r="C1155" s="1" t="inlineStr">
        <is>
          <t xml:space="preserve">ICRE20241</t>
        </is>
      </c>
      <c r="D1155" s="1" t="inlineStr">
        <is>
          <t xml:space="preserve">ELIMINADO</t>
        </is>
      </c>
      <c r="E1155" s="1" t="n">
        <v>45</v>
      </c>
      <c r="F1155" s="1" t="n">
        <v>152</v>
      </c>
      <c r="G1155" s="1" t="n">
        <f aca="false">IF(E1155=0,"",IF(D1155="VIGENTE",1,0))</f>
        <v>0</v>
      </c>
      <c r="H1155" s="1" t="inlineStr">
        <is>
          <t xml:space="preserve">B observado / C cálculo</t>
        </is>
      </c>
    </row>
    <row r="1156" customFormat="false" ht="15" hidden="false" customHeight="true" outlineLevel="0" collapsed="false">
      <c r="A1156" s="1" t="n">
        <v>2024</v>
      </c>
      <c r="B1156" s="1" t="n">
        <v>1</v>
      </c>
      <c r="C1156" s="1" t="inlineStr">
        <is>
          <t xml:space="preserve">ICRE20241</t>
        </is>
      </c>
      <c r="D1156" s="1" t="inlineStr">
        <is>
          <t xml:space="preserve">SUSPENDIDO</t>
        </is>
      </c>
      <c r="E1156" s="1" t="n">
        <v>3</v>
      </c>
      <c r="F1156" s="1" t="n">
        <v>23</v>
      </c>
      <c r="G1156" s="1" t="n">
        <f aca="false">IF(E1156=0,"",IF(D1156="VIGENTE",1,0))</f>
        <v>0</v>
      </c>
      <c r="H1156" s="1" t="inlineStr">
        <is>
          <t xml:space="preserve">B observado / C cálculo</t>
        </is>
      </c>
    </row>
    <row r="1157" customFormat="false" ht="15" hidden="false" customHeight="true" outlineLevel="0" collapsed="false">
      <c r="A1157" s="1" t="n">
        <v>2024</v>
      </c>
      <c r="B1157" s="1" t="n">
        <v>1</v>
      </c>
      <c r="C1157" s="1" t="inlineStr">
        <is>
          <t xml:space="preserve">ICRE20241</t>
        </is>
      </c>
      <c r="D1157" s="1" t="inlineStr">
        <is>
          <t xml:space="preserve">TITULADO</t>
        </is>
      </c>
      <c r="E1157" s="1" t="n">
        <v>28</v>
      </c>
      <c r="F1157" s="1" t="n">
        <v>320</v>
      </c>
      <c r="G1157" s="1" t="n">
        <f aca="false">IF(E1157=0,"",IF(D1157="VIGENTE",1,0))</f>
        <v>0</v>
      </c>
      <c r="H1157" s="1" t="inlineStr">
        <is>
          <t xml:space="preserve">B observado / C cálculo</t>
        </is>
      </c>
    </row>
    <row r="1158" customFormat="false" ht="15" hidden="false" customHeight="true" outlineLevel="0" collapsed="false">
      <c r="A1158" s="1" t="n">
        <v>2024</v>
      </c>
      <c r="B1158" s="1" t="n">
        <v>1</v>
      </c>
      <c r="C1158" s="1" t="inlineStr">
        <is>
          <t xml:space="preserve">ICRE20241</t>
        </is>
      </c>
      <c r="D1158" s="1" t="inlineStr">
        <is>
          <t xml:space="preserve">VIGENTE</t>
        </is>
      </c>
      <c r="E1158" s="1" t="n">
        <v>60</v>
      </c>
      <c r="F1158" s="1" t="n">
        <v>189</v>
      </c>
      <c r="G1158" s="1" t="n">
        <f aca="false">IF(E1158=0,"",IF(D1158="VIGENTE",1,0))</f>
        <v>1</v>
      </c>
      <c r="H1158" s="1" t="inlineStr">
        <is>
          <t xml:space="preserve">B observado / C cálculo</t>
        </is>
      </c>
    </row>
    <row r="1159" customFormat="false" ht="15" hidden="false" customHeight="true" outlineLevel="0" collapsed="false">
      <c r="A1159" s="1" t="n">
        <v>2024</v>
      </c>
      <c r="B1159" s="1" t="n">
        <v>1</v>
      </c>
      <c r="C1159" s="1" t="inlineStr">
        <is>
          <t xml:space="preserve">IECIRE2020</t>
        </is>
      </c>
      <c r="D1159" s="1" t="inlineStr">
        <is>
          <t xml:space="preserve">TITULADO</t>
        </is>
      </c>
      <c r="E1159" s="1" t="n">
        <v>1</v>
      </c>
      <c r="F1159" s="1" t="n">
        <v>4</v>
      </c>
      <c r="G1159" s="1" t="n">
        <f aca="false">IF(E1159=0,"",IF(D1159="VIGENTE",1,0))</f>
        <v>0</v>
      </c>
      <c r="H1159" s="1" t="inlineStr">
        <is>
          <t xml:space="preserve">B observado / C cálculo</t>
        </is>
      </c>
    </row>
    <row r="1160" customFormat="false" ht="15" hidden="false" customHeight="true" outlineLevel="0" collapsed="false">
      <c r="A1160" s="1" t="n">
        <v>2024</v>
      </c>
      <c r="B1160" s="1" t="n">
        <v>1</v>
      </c>
      <c r="C1160" s="1" t="inlineStr">
        <is>
          <t xml:space="preserve">IECIRE20211</t>
        </is>
      </c>
      <c r="D1160" s="1" t="inlineStr">
        <is>
          <t xml:space="preserve">TITULADO</t>
        </is>
      </c>
      <c r="E1160" s="1" t="n">
        <v>6</v>
      </c>
      <c r="F1160" s="1" t="n">
        <v>24</v>
      </c>
      <c r="G1160" s="1" t="n">
        <f aca="false">IF(E1160=0,"",IF(D1160="VIGENTE",1,0))</f>
        <v>0</v>
      </c>
      <c r="H1160" s="1" t="inlineStr">
        <is>
          <t xml:space="preserve">B observado / C cálculo</t>
        </is>
      </c>
    </row>
    <row r="1161" customFormat="false" ht="15" hidden="false" customHeight="true" outlineLevel="0" collapsed="false">
      <c r="A1161" s="1" t="n">
        <v>2024</v>
      </c>
      <c r="B1161" s="1" t="n">
        <v>1</v>
      </c>
      <c r="C1161" s="1" t="inlineStr">
        <is>
          <t xml:space="preserve">IECIREOL20191</t>
        </is>
      </c>
      <c r="D1161" s="1" t="inlineStr">
        <is>
          <t xml:space="preserve">TITULADO</t>
        </is>
      </c>
      <c r="E1161" s="1" t="n">
        <v>1</v>
      </c>
      <c r="F1161" s="1" t="n">
        <v>4</v>
      </c>
      <c r="G1161" s="1" t="n">
        <f aca="false">IF(E1161=0,"",IF(D1161="VIGENTE",1,0))</f>
        <v>0</v>
      </c>
      <c r="H1161" s="1" t="inlineStr">
        <is>
          <t xml:space="preserve">B observado / C cálculo</t>
        </is>
      </c>
    </row>
    <row r="1162" customFormat="false" ht="15" hidden="false" customHeight="true" outlineLevel="0" collapsed="false">
      <c r="A1162" s="1" t="n">
        <v>2024</v>
      </c>
      <c r="B1162" s="1" t="n">
        <v>1</v>
      </c>
      <c r="C1162" s="1" t="inlineStr">
        <is>
          <t xml:space="preserve">IECIREOL20201</t>
        </is>
      </c>
      <c r="D1162" s="1" t="inlineStr">
        <is>
          <t xml:space="preserve">TITULADO</t>
        </is>
      </c>
      <c r="E1162" s="1" t="n">
        <v>4</v>
      </c>
      <c r="F1162" s="1" t="n">
        <v>6</v>
      </c>
      <c r="G1162" s="1" t="n">
        <f aca="false">IF(E1162=0,"",IF(D1162="VIGENTE",1,0))</f>
        <v>0</v>
      </c>
      <c r="H1162" s="1" t="inlineStr">
        <is>
          <t xml:space="preserve">B observado / C cálculo</t>
        </is>
      </c>
    </row>
    <row r="1163" customFormat="false" ht="15" hidden="false" customHeight="true" outlineLevel="0" collapsed="false">
      <c r="A1163" s="1" t="n">
        <v>2024</v>
      </c>
      <c r="B1163" s="1" t="n">
        <v>1</v>
      </c>
      <c r="C1163" s="1" t="inlineStr">
        <is>
          <t xml:space="preserve">IECIREOL20211</t>
        </is>
      </c>
      <c r="D1163" s="1" t="inlineStr">
        <is>
          <t xml:space="preserve">ELIMINADO</t>
        </is>
      </c>
      <c r="E1163" s="1" t="n">
        <v>2</v>
      </c>
      <c r="F1163" s="1" t="n">
        <v>2</v>
      </c>
      <c r="G1163" s="1" t="n">
        <f aca="false">IF(E1163=0,"",IF(D1163="VIGENTE",1,0))</f>
        <v>0</v>
      </c>
      <c r="H1163" s="1" t="inlineStr">
        <is>
          <t xml:space="preserve">B observado / C cálculo</t>
        </is>
      </c>
    </row>
    <row r="1164" customFormat="false" ht="15" hidden="false" customHeight="true" outlineLevel="0" collapsed="false">
      <c r="A1164" s="1" t="n">
        <v>2024</v>
      </c>
      <c r="B1164" s="1" t="n">
        <v>1</v>
      </c>
      <c r="C1164" s="1" t="inlineStr">
        <is>
          <t xml:space="preserve">IECIREOL20211</t>
        </is>
      </c>
      <c r="D1164" s="1" t="inlineStr">
        <is>
          <t xml:space="preserve">TITULADO</t>
        </is>
      </c>
      <c r="E1164" s="1" t="n">
        <v>58</v>
      </c>
      <c r="F1164" s="1" t="n">
        <v>75</v>
      </c>
      <c r="G1164" s="1" t="n">
        <f aca="false">IF(E1164=0,"",IF(D1164="VIGENTE",1,0))</f>
        <v>0</v>
      </c>
      <c r="H1164" s="1" t="inlineStr">
        <is>
          <t xml:space="preserve">B observado / C cálculo</t>
        </is>
      </c>
    </row>
    <row r="1165" customFormat="false" ht="15" hidden="false" customHeight="true" outlineLevel="0" collapsed="false">
      <c r="A1165" s="1" t="n">
        <v>2024</v>
      </c>
      <c r="B1165" s="1" t="n">
        <v>1</v>
      </c>
      <c r="C1165" s="1" t="inlineStr">
        <is>
          <t xml:space="preserve">IECIREOL20211</t>
        </is>
      </c>
      <c r="D1165" s="1" t="inlineStr">
        <is>
          <t xml:space="preserve">VIGENTE</t>
        </is>
      </c>
      <c r="E1165" s="1" t="n">
        <v>1</v>
      </c>
      <c r="F1165" s="1" t="n">
        <v>3</v>
      </c>
      <c r="G1165" s="1" t="n">
        <f aca="false">IF(E1165=0,"",IF(D1165="VIGENTE",1,0))</f>
        <v>1</v>
      </c>
      <c r="H1165" s="1" t="inlineStr">
        <is>
          <t xml:space="preserve">B observado / C cálculo</t>
        </is>
      </c>
    </row>
    <row r="1166" customFormat="false" ht="15" hidden="false" customHeight="true" outlineLevel="0" collapsed="false">
      <c r="A1166" s="1" t="n">
        <v>2024</v>
      </c>
      <c r="B1166" s="1" t="n">
        <v>1</v>
      </c>
      <c r="C1166" s="1" t="inlineStr">
        <is>
          <t xml:space="preserve">IECSRE20211</t>
        </is>
      </c>
      <c r="D1166" s="1" t="inlineStr">
        <is>
          <t xml:space="preserve">ELIMINADO</t>
        </is>
      </c>
      <c r="E1166" s="1" t="n">
        <v>1</v>
      </c>
      <c r="F1166" s="1" t="n">
        <v>2</v>
      </c>
      <c r="G1166" s="1" t="n">
        <f aca="false">IF(E1166=0,"",IF(D1166="VIGENTE",1,0))</f>
        <v>0</v>
      </c>
      <c r="H1166" s="1" t="inlineStr">
        <is>
          <t xml:space="preserve">B observado / C cálculo</t>
        </is>
      </c>
    </row>
    <row r="1167" customFormat="false" ht="15" hidden="false" customHeight="true" outlineLevel="0" collapsed="false">
      <c r="A1167" s="1" t="n">
        <v>2024</v>
      </c>
      <c r="B1167" s="1" t="n">
        <v>1</v>
      </c>
      <c r="C1167" s="1" t="inlineStr">
        <is>
          <t xml:space="preserve">IECSRE20211</t>
        </is>
      </c>
      <c r="D1167" s="1" t="inlineStr">
        <is>
          <t xml:space="preserve">TITULADO</t>
        </is>
      </c>
      <c r="E1167" s="1" t="n">
        <v>12</v>
      </c>
      <c r="F1167" s="1" t="n">
        <v>41</v>
      </c>
      <c r="G1167" s="1" t="n">
        <f aca="false">IF(E1167=0,"",IF(D1167="VIGENTE",1,0))</f>
        <v>0</v>
      </c>
      <c r="H1167" s="1" t="inlineStr">
        <is>
          <t xml:space="preserve">B observado / C cálculo</t>
        </is>
      </c>
    </row>
    <row r="1168" customFormat="false" ht="15" hidden="false" customHeight="true" outlineLevel="0" collapsed="false">
      <c r="A1168" s="1" t="n">
        <v>2024</v>
      </c>
      <c r="B1168" s="1" t="n">
        <v>1</v>
      </c>
      <c r="C1168" s="1" t="inlineStr">
        <is>
          <t xml:space="preserve">IECSREOL20211</t>
        </is>
      </c>
      <c r="D1168" s="1" t="inlineStr">
        <is>
          <t xml:space="preserve">SUSPENDIDO</t>
        </is>
      </c>
      <c r="E1168" s="1" t="n">
        <v>1</v>
      </c>
      <c r="F1168" s="1" t="n">
        <v>1</v>
      </c>
      <c r="G1168" s="1" t="n">
        <f aca="false">IF(E1168=0,"",IF(D1168="VIGENTE",1,0))</f>
        <v>0</v>
      </c>
      <c r="H1168" s="1" t="inlineStr">
        <is>
          <t xml:space="preserve">B observado / C cálculo</t>
        </is>
      </c>
    </row>
    <row r="1169" customFormat="false" ht="15" hidden="false" customHeight="true" outlineLevel="0" collapsed="false">
      <c r="A1169" s="1" t="n">
        <v>2024</v>
      </c>
      <c r="B1169" s="1" t="n">
        <v>1</v>
      </c>
      <c r="C1169" s="1" t="inlineStr">
        <is>
          <t xml:space="preserve">IECSREOL20211</t>
        </is>
      </c>
      <c r="D1169" s="1" t="inlineStr">
        <is>
          <t xml:space="preserve">TITULADO</t>
        </is>
      </c>
      <c r="E1169" s="1" t="n">
        <v>47</v>
      </c>
      <c r="F1169" s="1" t="n">
        <v>65</v>
      </c>
      <c r="G1169" s="1" t="n">
        <f aca="false">IF(E1169=0,"",IF(D1169="VIGENTE",1,0))</f>
        <v>0</v>
      </c>
      <c r="H1169" s="1" t="inlineStr">
        <is>
          <t xml:space="preserve">B observado / C cálculo</t>
        </is>
      </c>
    </row>
    <row r="1170" customFormat="false" ht="15" hidden="false" customHeight="true" outlineLevel="0" collapsed="false">
      <c r="A1170" s="1" t="n">
        <v>2024</v>
      </c>
      <c r="B1170" s="1" t="n">
        <v>1</v>
      </c>
      <c r="C1170" s="1" t="inlineStr">
        <is>
          <t xml:space="preserve">IECSREOL20211</t>
        </is>
      </c>
      <c r="D1170" s="1" t="inlineStr">
        <is>
          <t xml:space="preserve">VIGENTE</t>
        </is>
      </c>
      <c r="E1170" s="1" t="n">
        <v>2</v>
      </c>
      <c r="F1170" s="1" t="n">
        <v>2</v>
      </c>
      <c r="G1170" s="1" t="n">
        <f aca="false">IF(E1170=0,"",IF(D1170="VIGENTE",1,0))</f>
        <v>1</v>
      </c>
      <c r="H1170" s="1" t="inlineStr">
        <is>
          <t xml:space="preserve">B observado / C cálculo</t>
        </is>
      </c>
    </row>
    <row r="1171" customFormat="false" ht="15" hidden="false" customHeight="true" outlineLevel="0" collapsed="false">
      <c r="A1171" s="1" t="n">
        <v>2024</v>
      </c>
      <c r="B1171" s="1" t="n">
        <v>1</v>
      </c>
      <c r="C1171" s="1" t="inlineStr">
        <is>
          <t xml:space="preserve">IETMRE20211</t>
        </is>
      </c>
      <c r="D1171" s="1" t="inlineStr">
        <is>
          <t xml:space="preserve">ELIMINADO</t>
        </is>
      </c>
      <c r="E1171" s="1" t="n">
        <v>1</v>
      </c>
      <c r="F1171" s="1" t="n">
        <v>4</v>
      </c>
      <c r="G1171" s="1" t="n">
        <f aca="false">IF(E1171=0,"",IF(D1171="VIGENTE",1,0))</f>
        <v>0</v>
      </c>
      <c r="H1171" s="1" t="inlineStr">
        <is>
          <t xml:space="preserve">B observado / C cálculo</t>
        </is>
      </c>
    </row>
    <row r="1172" customFormat="false" ht="15" hidden="false" customHeight="true" outlineLevel="0" collapsed="false">
      <c r="A1172" s="1" t="n">
        <v>2024</v>
      </c>
      <c r="B1172" s="1" t="n">
        <v>1</v>
      </c>
      <c r="C1172" s="1" t="inlineStr">
        <is>
          <t xml:space="preserve">IETMRE20211</t>
        </is>
      </c>
      <c r="D1172" s="1" t="inlineStr">
        <is>
          <t xml:space="preserve">TITULADO</t>
        </is>
      </c>
      <c r="E1172" s="1" t="n">
        <v>13</v>
      </c>
      <c r="F1172" s="1" t="n">
        <v>50</v>
      </c>
      <c r="G1172" s="1" t="n">
        <f aca="false">IF(E1172=0,"",IF(D1172="VIGENTE",1,0))</f>
        <v>0</v>
      </c>
      <c r="H1172" s="1" t="inlineStr">
        <is>
          <t xml:space="preserve">B observado / C cálculo</t>
        </is>
      </c>
    </row>
    <row r="1173" customFormat="false" ht="15" hidden="false" customHeight="true" outlineLevel="0" collapsed="false">
      <c r="A1173" s="1" t="n">
        <v>2024</v>
      </c>
      <c r="B1173" s="1" t="n">
        <v>1</v>
      </c>
      <c r="C1173" s="1" t="inlineStr">
        <is>
          <t xml:space="preserve">IETMREOL20191</t>
        </is>
      </c>
      <c r="D1173" s="1" t="inlineStr">
        <is>
          <t xml:space="preserve">ELIMINADO</t>
        </is>
      </c>
      <c r="E1173" s="1" t="n">
        <v>1</v>
      </c>
      <c r="F1173" s="1" t="n">
        <v>1</v>
      </c>
      <c r="G1173" s="1" t="n">
        <f aca="false">IF(E1173=0,"",IF(D1173="VIGENTE",1,0))</f>
        <v>0</v>
      </c>
      <c r="H1173" s="1" t="inlineStr">
        <is>
          <t xml:space="preserve">B observado / C cálculo</t>
        </is>
      </c>
    </row>
    <row r="1174" customFormat="false" ht="15" hidden="false" customHeight="true" outlineLevel="0" collapsed="false">
      <c r="A1174" s="1" t="n">
        <v>2024</v>
      </c>
      <c r="B1174" s="1" t="n">
        <v>1</v>
      </c>
      <c r="C1174" s="1" t="inlineStr">
        <is>
          <t xml:space="preserve">IETMREOL20211</t>
        </is>
      </c>
      <c r="D1174" s="1" t="inlineStr">
        <is>
          <t xml:space="preserve">TITULADO</t>
        </is>
      </c>
      <c r="E1174" s="1" t="n">
        <v>81</v>
      </c>
      <c r="F1174" s="1" t="n">
        <v>103</v>
      </c>
      <c r="G1174" s="1" t="n">
        <f aca="false">IF(E1174=0,"",IF(D1174="VIGENTE",1,0))</f>
        <v>0</v>
      </c>
      <c r="H1174" s="1" t="inlineStr">
        <is>
          <t xml:space="preserve">B observado / C cálculo</t>
        </is>
      </c>
    </row>
    <row r="1175" customFormat="false" ht="15" hidden="false" customHeight="true" outlineLevel="0" collapsed="false">
      <c r="A1175" s="1" t="n">
        <v>2024</v>
      </c>
      <c r="B1175" s="1" t="n">
        <v>1</v>
      </c>
      <c r="C1175" s="1" t="inlineStr">
        <is>
          <t xml:space="preserve">IETMREOL20211</t>
        </is>
      </c>
      <c r="D1175" s="1" t="inlineStr">
        <is>
          <t xml:space="preserve">VIGENTE</t>
        </is>
      </c>
      <c r="E1175" s="1" t="n">
        <v>2</v>
      </c>
      <c r="F1175" s="1" t="n">
        <v>2</v>
      </c>
      <c r="G1175" s="1" t="n">
        <f aca="false">IF(E1175=0,"",IF(D1175="VIGENTE",1,0))</f>
        <v>1</v>
      </c>
      <c r="H1175" s="1" t="inlineStr">
        <is>
          <t xml:space="preserve">B observado / C cálculo</t>
        </is>
      </c>
    </row>
    <row r="1176" customFormat="false" ht="15" hidden="false" customHeight="true" outlineLevel="0" collapsed="false">
      <c r="A1176" s="1" t="n">
        <v>2024</v>
      </c>
      <c r="B1176" s="1" t="n">
        <v>1</v>
      </c>
      <c r="C1176" s="1" t="inlineStr">
        <is>
          <t xml:space="preserve">IINF20241</t>
        </is>
      </c>
      <c r="D1176" s="1" t="inlineStr">
        <is>
          <t xml:space="preserve">ELIMINADO</t>
        </is>
      </c>
      <c r="E1176" s="1" t="n">
        <v>75</v>
      </c>
      <c r="F1176" s="1" t="n">
        <v>263</v>
      </c>
      <c r="G1176" s="1" t="n">
        <f aca="false">IF(E1176=0,"",IF(D1176="VIGENTE",1,0))</f>
        <v>0</v>
      </c>
      <c r="H1176" s="1" t="inlineStr">
        <is>
          <t xml:space="preserve">B observado / C cálculo</t>
        </is>
      </c>
    </row>
    <row r="1177" customFormat="false" ht="15" hidden="false" customHeight="true" outlineLevel="0" collapsed="false">
      <c r="A1177" s="1" t="n">
        <v>2024</v>
      </c>
      <c r="B1177" s="1" t="n">
        <v>1</v>
      </c>
      <c r="C1177" s="1" t="inlineStr">
        <is>
          <t xml:space="preserve">IINF20241</t>
        </is>
      </c>
      <c r="D1177" s="1" t="inlineStr">
        <is>
          <t xml:space="preserve">SUSPENDIDO</t>
        </is>
      </c>
      <c r="E1177" s="1" t="n">
        <v>11</v>
      </c>
      <c r="F1177" s="1" t="n">
        <v>61</v>
      </c>
      <c r="G1177" s="1" t="n">
        <f aca="false">IF(E1177=0,"",IF(D1177="VIGENTE",1,0))</f>
        <v>0</v>
      </c>
      <c r="H1177" s="1" t="inlineStr">
        <is>
          <t xml:space="preserve">B observado / C cálculo</t>
        </is>
      </c>
    </row>
    <row r="1178" customFormat="false" ht="15" hidden="false" customHeight="true" outlineLevel="0" collapsed="false">
      <c r="A1178" s="1" t="n">
        <v>2024</v>
      </c>
      <c r="B1178" s="1" t="n">
        <v>1</v>
      </c>
      <c r="C1178" s="1" t="inlineStr">
        <is>
          <t xml:space="preserve">IINF20241</t>
        </is>
      </c>
      <c r="D1178" s="1" t="inlineStr">
        <is>
          <t xml:space="preserve">TITULADO</t>
        </is>
      </c>
      <c r="E1178" s="1" t="n">
        <v>11</v>
      </c>
      <c r="F1178" s="1" t="n">
        <v>116</v>
      </c>
      <c r="G1178" s="1" t="n">
        <f aca="false">IF(E1178=0,"",IF(D1178="VIGENTE",1,0))</f>
        <v>0</v>
      </c>
      <c r="H1178" s="1" t="inlineStr">
        <is>
          <t xml:space="preserve">B observado / C cálculo</t>
        </is>
      </c>
    </row>
    <row r="1179" customFormat="false" ht="15" hidden="false" customHeight="true" outlineLevel="0" collapsed="false">
      <c r="A1179" s="1" t="n">
        <v>2024</v>
      </c>
      <c r="B1179" s="1" t="n">
        <v>1</v>
      </c>
      <c r="C1179" s="1" t="inlineStr">
        <is>
          <t xml:space="preserve">IINF20241</t>
        </is>
      </c>
      <c r="D1179" s="1" t="inlineStr">
        <is>
          <t xml:space="preserve">VIGENTE</t>
        </is>
      </c>
      <c r="E1179" s="1" t="n">
        <v>84</v>
      </c>
      <c r="F1179" s="1" t="n">
        <v>213</v>
      </c>
      <c r="G1179" s="1" t="n">
        <f aca="false">IF(E1179=0,"",IF(D1179="VIGENTE",1,0))</f>
        <v>1</v>
      </c>
      <c r="H1179" s="1" t="inlineStr">
        <is>
          <t xml:space="preserve">B observado / C cálculo</t>
        </is>
      </c>
    </row>
    <row r="1180" customFormat="false" ht="15" hidden="false" customHeight="true" outlineLevel="0" collapsed="false">
      <c r="A1180" s="1" t="n">
        <v>2024</v>
      </c>
      <c r="B1180" s="1" t="n">
        <v>1</v>
      </c>
      <c r="C1180" s="1" t="inlineStr">
        <is>
          <t xml:space="preserve">ILOG20241</t>
        </is>
      </c>
      <c r="D1180" s="1" t="inlineStr">
        <is>
          <t xml:space="preserve">ELIMINADO</t>
        </is>
      </c>
      <c r="E1180" s="1" t="n">
        <v>9</v>
      </c>
      <c r="F1180" s="1" t="n">
        <v>10</v>
      </c>
      <c r="G1180" s="1" t="n">
        <f aca="false">IF(E1180=0,"",IF(D1180="VIGENTE",1,0))</f>
        <v>0</v>
      </c>
      <c r="H1180" s="1" t="inlineStr">
        <is>
          <t xml:space="preserve">B observado / C cálculo</t>
        </is>
      </c>
    </row>
    <row r="1181" customFormat="false" ht="15" hidden="false" customHeight="true" outlineLevel="0" collapsed="false">
      <c r="A1181" s="1" t="n">
        <v>2024</v>
      </c>
      <c r="B1181" s="1" t="n">
        <v>1</v>
      </c>
      <c r="C1181" s="1" t="inlineStr">
        <is>
          <t xml:space="preserve">ILOG20241</t>
        </is>
      </c>
      <c r="D1181" s="1" t="inlineStr">
        <is>
          <t xml:space="preserve">SUSPENDIDO</t>
        </is>
      </c>
      <c r="E1181" s="1" t="n">
        <v>1</v>
      </c>
      <c r="F1181" s="1" t="n">
        <v>1</v>
      </c>
      <c r="G1181" s="1" t="n">
        <f aca="false">IF(E1181=0,"",IF(D1181="VIGENTE",1,0))</f>
        <v>0</v>
      </c>
      <c r="H1181" s="1" t="inlineStr">
        <is>
          <t xml:space="preserve">B observado / C cálculo</t>
        </is>
      </c>
    </row>
    <row r="1182" customFormat="false" ht="15" hidden="false" customHeight="true" outlineLevel="0" collapsed="false">
      <c r="A1182" s="1" t="n">
        <v>2024</v>
      </c>
      <c r="B1182" s="1" t="n">
        <v>1</v>
      </c>
      <c r="C1182" s="1" t="inlineStr">
        <is>
          <t xml:space="preserve">ILOG20241</t>
        </is>
      </c>
      <c r="D1182" s="1" t="inlineStr">
        <is>
          <t xml:space="preserve">VIGENTE</t>
        </is>
      </c>
      <c r="E1182" s="1" t="n">
        <v>7</v>
      </c>
      <c r="F1182" s="1" t="n">
        <v>10</v>
      </c>
      <c r="G1182" s="1" t="n">
        <f aca="false">IF(E1182=0,"",IF(D1182="VIGENTE",1,0))</f>
        <v>1</v>
      </c>
      <c r="H1182" s="1" t="inlineStr">
        <is>
          <t xml:space="preserve">B observado / C cálculo</t>
        </is>
      </c>
    </row>
    <row r="1183" customFormat="false" ht="15" hidden="false" customHeight="true" outlineLevel="0" collapsed="false">
      <c r="A1183" s="1" t="n">
        <v>2024</v>
      </c>
      <c r="B1183" s="1" t="n">
        <v>1</v>
      </c>
      <c r="C1183" s="1" t="inlineStr">
        <is>
          <t xml:space="preserve">TAMD20241</t>
        </is>
      </c>
      <c r="D1183" s="1" t="inlineStr">
        <is>
          <t xml:space="preserve">ELIMINADO</t>
        </is>
      </c>
      <c r="E1183" s="1" t="n">
        <v>5</v>
      </c>
      <c r="F1183" s="1" t="n">
        <v>22</v>
      </c>
      <c r="G1183" s="1" t="n">
        <f aca="false">IF(E1183=0,"",IF(D1183="VIGENTE",1,0))</f>
        <v>0</v>
      </c>
      <c r="H1183" s="1" t="inlineStr">
        <is>
          <t xml:space="preserve">B observado / C cálculo</t>
        </is>
      </c>
    </row>
    <row r="1184" customFormat="false" ht="15" hidden="false" customHeight="true" outlineLevel="0" collapsed="false">
      <c r="A1184" s="1" t="n">
        <v>2024</v>
      </c>
      <c r="B1184" s="1" t="n">
        <v>1</v>
      </c>
      <c r="C1184" s="1" t="inlineStr">
        <is>
          <t xml:space="preserve">TAMD20241</t>
        </is>
      </c>
      <c r="D1184" s="1" t="inlineStr">
        <is>
          <t xml:space="preserve">SUSPENDIDO</t>
        </is>
      </c>
      <c r="E1184" s="1" t="n">
        <v>1</v>
      </c>
      <c r="F1184" s="1" t="n">
        <v>4</v>
      </c>
      <c r="G1184" s="1" t="n">
        <f aca="false">IF(E1184=0,"",IF(D1184="VIGENTE",1,0))</f>
        <v>0</v>
      </c>
      <c r="H1184" s="1" t="inlineStr">
        <is>
          <t xml:space="preserve">B observado / C cálculo</t>
        </is>
      </c>
    </row>
    <row r="1185" customFormat="false" ht="15" hidden="false" customHeight="true" outlineLevel="0" collapsed="false">
      <c r="A1185" s="1" t="n">
        <v>2024</v>
      </c>
      <c r="B1185" s="1" t="n">
        <v>1</v>
      </c>
      <c r="C1185" s="1" t="inlineStr">
        <is>
          <t xml:space="preserve">TAMD20241</t>
        </is>
      </c>
      <c r="D1185" s="1" t="inlineStr">
        <is>
          <t xml:space="preserve">TITULADO</t>
        </is>
      </c>
      <c r="E1185" s="1" t="n">
        <v>6</v>
      </c>
      <c r="F1185" s="1" t="n">
        <v>25</v>
      </c>
      <c r="G1185" s="1" t="n">
        <f aca="false">IF(E1185=0,"",IF(D1185="VIGENTE",1,0))</f>
        <v>0</v>
      </c>
      <c r="H1185" s="1" t="inlineStr">
        <is>
          <t xml:space="preserve">B observado / C cálculo</t>
        </is>
      </c>
    </row>
    <row r="1186" customFormat="false" ht="15" hidden="false" customHeight="true" outlineLevel="0" collapsed="false">
      <c r="A1186" s="1" t="n">
        <v>2024</v>
      </c>
      <c r="B1186" s="1" t="n">
        <v>1</v>
      </c>
      <c r="C1186" s="1" t="inlineStr">
        <is>
          <t xml:space="preserve">TAMD20241</t>
        </is>
      </c>
      <c r="D1186" s="1" t="inlineStr">
        <is>
          <t xml:space="preserve">VIGENTE</t>
        </is>
      </c>
      <c r="E1186" s="1" t="n">
        <v>1</v>
      </c>
      <c r="F1186" s="1" t="n">
        <v>4</v>
      </c>
      <c r="G1186" s="1" t="n">
        <f aca="false">IF(E1186=0,"",IF(D1186="VIGENTE",1,0))</f>
        <v>1</v>
      </c>
      <c r="H1186" s="1" t="inlineStr">
        <is>
          <t xml:space="preserve">B observado / C cálculo</t>
        </is>
      </c>
    </row>
    <row r="1187" customFormat="false" ht="15" hidden="false" customHeight="true" outlineLevel="0" collapsed="false">
      <c r="A1187" s="1" t="n">
        <v>2024</v>
      </c>
      <c r="B1187" s="1" t="n">
        <v>1</v>
      </c>
      <c r="C1187" s="1" t="inlineStr">
        <is>
          <t xml:space="preserve">TCIB20241</t>
        </is>
      </c>
      <c r="D1187" s="1" t="inlineStr">
        <is>
          <t xml:space="preserve">ELIMINADO</t>
        </is>
      </c>
      <c r="E1187" s="1" t="n">
        <v>64</v>
      </c>
      <c r="F1187" s="1" t="n">
        <v>389</v>
      </c>
      <c r="G1187" s="1" t="n">
        <f aca="false">IF(E1187=0,"",IF(D1187="VIGENTE",1,0))</f>
        <v>0</v>
      </c>
      <c r="H1187" s="1" t="inlineStr">
        <is>
          <t xml:space="preserve">B observado / C cálculo</t>
        </is>
      </c>
    </row>
    <row r="1188" customFormat="false" ht="15" hidden="false" customHeight="true" outlineLevel="0" collapsed="false">
      <c r="A1188" s="1" t="n">
        <v>2024</v>
      </c>
      <c r="B1188" s="1" t="n">
        <v>1</v>
      </c>
      <c r="C1188" s="1" t="inlineStr">
        <is>
          <t xml:space="preserve">TCIB20241</t>
        </is>
      </c>
      <c r="D1188" s="1" t="inlineStr">
        <is>
          <t xml:space="preserve">SUSPENDIDO</t>
        </is>
      </c>
      <c r="E1188" s="1" t="n">
        <v>6</v>
      </c>
      <c r="F1188" s="1" t="n">
        <v>50</v>
      </c>
      <c r="G1188" s="1" t="n">
        <f aca="false">IF(E1188=0,"",IF(D1188="VIGENTE",1,0))</f>
        <v>0</v>
      </c>
      <c r="H1188" s="1" t="inlineStr">
        <is>
          <t xml:space="preserve">B observado / C cálculo</t>
        </is>
      </c>
    </row>
    <row r="1189" customFormat="false" ht="15" hidden="false" customHeight="true" outlineLevel="0" collapsed="false">
      <c r="A1189" s="1" t="n">
        <v>2024</v>
      </c>
      <c r="B1189" s="1" t="n">
        <v>1</v>
      </c>
      <c r="C1189" s="1" t="inlineStr">
        <is>
          <t xml:space="preserve">TCIB20241</t>
        </is>
      </c>
      <c r="D1189" s="1" t="inlineStr">
        <is>
          <t xml:space="preserve">TITULADO</t>
        </is>
      </c>
      <c r="E1189" s="1" t="n">
        <v>45</v>
      </c>
      <c r="F1189" s="1" t="n">
        <v>440</v>
      </c>
      <c r="G1189" s="1" t="n">
        <f aca="false">IF(E1189=0,"",IF(D1189="VIGENTE",1,0))</f>
        <v>0</v>
      </c>
      <c r="H1189" s="1" t="inlineStr">
        <is>
          <t xml:space="preserve">B observado / C cálculo</t>
        </is>
      </c>
    </row>
    <row r="1190" customFormat="false" ht="15" hidden="false" customHeight="true" outlineLevel="0" collapsed="false">
      <c r="A1190" s="1" t="n">
        <v>2024</v>
      </c>
      <c r="B1190" s="1" t="n">
        <v>1</v>
      </c>
      <c r="C1190" s="1" t="inlineStr">
        <is>
          <t xml:space="preserve">TCIB20241</t>
        </is>
      </c>
      <c r="D1190" s="1" t="inlineStr">
        <is>
          <t xml:space="preserve">VIGENTE</t>
        </is>
      </c>
      <c r="E1190" s="1" t="n">
        <v>4</v>
      </c>
      <c r="F1190" s="1" t="n">
        <v>16</v>
      </c>
      <c r="G1190" s="1" t="n">
        <f aca="false">IF(E1190=0,"",IF(D1190="VIGENTE",1,0))</f>
        <v>1</v>
      </c>
      <c r="H1190" s="1" t="inlineStr">
        <is>
          <t xml:space="preserve">B observado / C cálculo</t>
        </is>
      </c>
    </row>
    <row r="1191" customFormat="false" ht="15" hidden="false" customHeight="true" outlineLevel="0" collapsed="false">
      <c r="A1191" s="1" t="n">
        <v>2024</v>
      </c>
      <c r="B1191" s="1" t="n">
        <v>1</v>
      </c>
      <c r="C1191" s="1" t="inlineStr">
        <is>
          <t xml:space="preserve">TCRE20241</t>
        </is>
      </c>
      <c r="D1191" s="1" t="inlineStr">
        <is>
          <t xml:space="preserve">ELIMINADO</t>
        </is>
      </c>
      <c r="E1191" s="1" t="n">
        <v>24</v>
      </c>
      <c r="F1191" s="1" t="n">
        <v>54</v>
      </c>
      <c r="G1191" s="1" t="n">
        <f aca="false">IF(E1191=0,"",IF(D1191="VIGENTE",1,0))</f>
        <v>0</v>
      </c>
      <c r="H1191" s="1" t="inlineStr">
        <is>
          <t xml:space="preserve">B observado / C cálculo</t>
        </is>
      </c>
    </row>
    <row r="1192" customFormat="false" ht="15" hidden="false" customHeight="true" outlineLevel="0" collapsed="false">
      <c r="A1192" s="1" t="n">
        <v>2024</v>
      </c>
      <c r="B1192" s="1" t="n">
        <v>1</v>
      </c>
      <c r="C1192" s="1" t="inlineStr">
        <is>
          <t xml:space="preserve">TCRE20241</t>
        </is>
      </c>
      <c r="D1192" s="1" t="inlineStr">
        <is>
          <t xml:space="preserve">SUSPENDIDO</t>
        </is>
      </c>
      <c r="E1192" s="1" t="n">
        <v>1</v>
      </c>
      <c r="F1192" s="1" t="n">
        <v>8</v>
      </c>
      <c r="G1192" s="1" t="n">
        <f aca="false">IF(E1192=0,"",IF(D1192="VIGENTE",1,0))</f>
        <v>0</v>
      </c>
      <c r="H1192" s="1" t="inlineStr">
        <is>
          <t xml:space="preserve">B observado / C cálculo</t>
        </is>
      </c>
    </row>
    <row r="1193" customFormat="false" ht="15" hidden="false" customHeight="true" outlineLevel="0" collapsed="false">
      <c r="A1193" s="1" t="n">
        <v>2024</v>
      </c>
      <c r="B1193" s="1" t="n">
        <v>1</v>
      </c>
      <c r="C1193" s="1" t="inlineStr">
        <is>
          <t xml:space="preserve">TCRE20241</t>
        </is>
      </c>
      <c r="D1193" s="1" t="inlineStr">
        <is>
          <t xml:space="preserve">TITULADO</t>
        </is>
      </c>
      <c r="E1193" s="1" t="n">
        <v>19</v>
      </c>
      <c r="F1193" s="1" t="n">
        <v>104</v>
      </c>
      <c r="G1193" s="1" t="n">
        <f aca="false">IF(E1193=0,"",IF(D1193="VIGENTE",1,0))</f>
        <v>0</v>
      </c>
      <c r="H1193" s="1" t="inlineStr">
        <is>
          <t xml:space="preserve">B observado / C cálculo</t>
        </is>
      </c>
    </row>
    <row r="1194" customFormat="false" ht="15" hidden="false" customHeight="true" outlineLevel="0" collapsed="false">
      <c r="A1194" s="1" t="n">
        <v>2024</v>
      </c>
      <c r="B1194" s="1" t="n">
        <v>1</v>
      </c>
      <c r="C1194" s="1" t="inlineStr">
        <is>
          <t xml:space="preserve">TCRE20241</t>
        </is>
      </c>
      <c r="D1194" s="1" t="inlineStr">
        <is>
          <t xml:space="preserve">VIGENTE</t>
        </is>
      </c>
      <c r="E1194" s="1" t="n">
        <v>6</v>
      </c>
      <c r="F1194" s="1" t="n">
        <v>27</v>
      </c>
      <c r="G1194" s="1" t="n">
        <f aca="false">IF(E1194=0,"",IF(D1194="VIGENTE",1,0))</f>
        <v>1</v>
      </c>
      <c r="H1194" s="1" t="inlineStr">
        <is>
          <t xml:space="preserve">B observado / C cálculo</t>
        </is>
      </c>
    </row>
    <row r="1195" customFormat="false" ht="15" hidden="false" customHeight="true" outlineLevel="0" collapsed="false">
      <c r="A1195" s="1" t="n">
        <v>2024</v>
      </c>
      <c r="B1195" s="1" t="n">
        <v>1</v>
      </c>
      <c r="C1195" s="1" t="inlineStr">
        <is>
          <t xml:space="preserve">TCSRE20211</t>
        </is>
      </c>
      <c r="D1195" s="1" t="inlineStr">
        <is>
          <t xml:space="preserve">ELIMINADO</t>
        </is>
      </c>
      <c r="E1195" s="1" t="n">
        <v>3</v>
      </c>
      <c r="F1195" s="1" t="n">
        <v>5</v>
      </c>
      <c r="G1195" s="1" t="n">
        <f aca="false">IF(E1195=0,"",IF(D1195="VIGENTE",1,0))</f>
        <v>0</v>
      </c>
      <c r="H1195" s="1" t="inlineStr">
        <is>
          <t xml:space="preserve">B observado / C cálculo</t>
        </is>
      </c>
    </row>
    <row r="1196" customFormat="false" ht="15" hidden="false" customHeight="true" outlineLevel="0" collapsed="false">
      <c r="A1196" s="1" t="n">
        <v>2024</v>
      </c>
      <c r="B1196" s="1" t="n">
        <v>1</v>
      </c>
      <c r="C1196" s="1" t="inlineStr">
        <is>
          <t xml:space="preserve">TCSRE20211</t>
        </is>
      </c>
      <c r="D1196" s="1" t="inlineStr">
        <is>
          <t xml:space="preserve">TITULADO</t>
        </is>
      </c>
      <c r="E1196" s="1" t="n">
        <v>5</v>
      </c>
      <c r="F1196" s="1" t="n">
        <v>15</v>
      </c>
      <c r="G1196" s="1" t="n">
        <f aca="false">IF(E1196=0,"",IF(D1196="VIGENTE",1,0))</f>
        <v>0</v>
      </c>
      <c r="H1196" s="1" t="inlineStr">
        <is>
          <t xml:space="preserve">B observado / C cálculo</t>
        </is>
      </c>
    </row>
    <row r="1197" customFormat="false" ht="15" hidden="false" customHeight="true" outlineLevel="0" collapsed="false">
      <c r="A1197" s="1" t="n">
        <v>2024</v>
      </c>
      <c r="B1197" s="1" t="n">
        <v>1</v>
      </c>
      <c r="C1197" s="1" t="inlineStr">
        <is>
          <t xml:space="preserve">TCSREOL20211</t>
        </is>
      </c>
      <c r="D1197" s="1" t="inlineStr">
        <is>
          <t xml:space="preserve">TITULADO</t>
        </is>
      </c>
      <c r="E1197" s="1" t="n">
        <v>11</v>
      </c>
      <c r="F1197" s="1" t="n">
        <v>29</v>
      </c>
      <c r="G1197" s="1" t="n">
        <f aca="false">IF(E1197=0,"",IF(D1197="VIGENTE",1,0))</f>
        <v>0</v>
      </c>
      <c r="H1197" s="1" t="inlineStr">
        <is>
          <t xml:space="preserve">B observado / C cálculo</t>
        </is>
      </c>
    </row>
    <row r="1198" customFormat="false" ht="15" hidden="false" customHeight="true" outlineLevel="0" collapsed="false">
      <c r="A1198" s="1" t="n">
        <v>2024</v>
      </c>
      <c r="B1198" s="1" t="n">
        <v>1</v>
      </c>
      <c r="C1198" s="1" t="inlineStr">
        <is>
          <t xml:space="preserve">TLOG20241</t>
        </is>
      </c>
      <c r="D1198" s="1" t="inlineStr">
        <is>
          <t xml:space="preserve">ELIMINADO</t>
        </is>
      </c>
      <c r="E1198" s="1" t="n">
        <v>14</v>
      </c>
      <c r="F1198" s="1" t="n">
        <v>15</v>
      </c>
      <c r="G1198" s="1" t="n">
        <f aca="false">IF(E1198=0,"",IF(D1198="VIGENTE",1,0))</f>
        <v>0</v>
      </c>
      <c r="H1198" s="1" t="inlineStr">
        <is>
          <t xml:space="preserve">B observado / C cálculo</t>
        </is>
      </c>
    </row>
    <row r="1199" customFormat="false" ht="15" hidden="false" customHeight="true" outlineLevel="0" collapsed="false">
      <c r="A1199" s="1" t="n">
        <v>2024</v>
      </c>
      <c r="B1199" s="1" t="n">
        <v>1</v>
      </c>
      <c r="C1199" s="1" t="inlineStr">
        <is>
          <t xml:space="preserve">TLOG20241</t>
        </is>
      </c>
      <c r="D1199" s="1" t="inlineStr">
        <is>
          <t xml:space="preserve">TITULADO</t>
        </is>
      </c>
      <c r="E1199" s="1" t="n">
        <v>7</v>
      </c>
      <c r="F1199" s="1" t="n">
        <v>8</v>
      </c>
      <c r="G1199" s="1" t="n">
        <f aca="false">IF(E1199=0,"",IF(D1199="VIGENTE",1,0))</f>
        <v>0</v>
      </c>
      <c r="H1199" s="1" t="inlineStr">
        <is>
          <t xml:space="preserve">B observado / C cálculo</t>
        </is>
      </c>
    </row>
    <row r="1200" customFormat="false" ht="15" hidden="false" customHeight="true" outlineLevel="0" collapsed="false">
      <c r="A1200" s="1" t="n">
        <v>2024</v>
      </c>
      <c r="B1200" s="1" t="n">
        <v>1</v>
      </c>
      <c r="C1200" s="1" t="inlineStr">
        <is>
          <t xml:space="preserve">TLOG20241</t>
        </is>
      </c>
      <c r="D1200" s="1" t="inlineStr">
        <is>
          <t xml:space="preserve">VIGENTE</t>
        </is>
      </c>
      <c r="E1200" s="1" t="n">
        <v>2</v>
      </c>
      <c r="F1200" s="1" t="n">
        <v>3</v>
      </c>
      <c r="G1200" s="1" t="n">
        <f aca="false">IF(E1200=0,"",IF(D1200="VIGENTE",1,0))</f>
        <v>1</v>
      </c>
      <c r="H1200" s="1" t="inlineStr">
        <is>
          <t xml:space="preserve">B observado / C cálculo</t>
        </is>
      </c>
    </row>
    <row r="1201" customFormat="false" ht="15" hidden="false" customHeight="true" outlineLevel="0" collapsed="false">
      <c r="A1201" s="1" t="n">
        <v>2024</v>
      </c>
      <c r="B1201" s="1" t="n">
        <v>1</v>
      </c>
      <c r="C1201" s="1" t="inlineStr">
        <is>
          <t xml:space="preserve">TPARE2020</t>
        </is>
      </c>
      <c r="D1201" s="1" t="inlineStr">
        <is>
          <t xml:space="preserve">ELIMINADO</t>
        </is>
      </c>
      <c r="E1201" s="1" t="n">
        <v>1</v>
      </c>
      <c r="F1201" s="1" t="n">
        <v>1</v>
      </c>
      <c r="G1201" s="1" t="n">
        <f aca="false">IF(E1201=0,"",IF(D1201="VIGENTE",1,0))</f>
        <v>0</v>
      </c>
      <c r="H1201" s="1" t="inlineStr">
        <is>
          <t xml:space="preserve">B observado / C cálculo</t>
        </is>
      </c>
    </row>
    <row r="1202" customFormat="false" ht="15" hidden="false" customHeight="true" outlineLevel="0" collapsed="false">
      <c r="A1202" s="1" t="n">
        <v>2024</v>
      </c>
      <c r="B1202" s="1" t="n">
        <v>1</v>
      </c>
      <c r="C1202" s="1" t="inlineStr">
        <is>
          <t xml:space="preserve">TPARE20211</t>
        </is>
      </c>
      <c r="D1202" s="1" t="inlineStr">
        <is>
          <t xml:space="preserve">TITULADO</t>
        </is>
      </c>
      <c r="E1202" s="1" t="n">
        <v>13</v>
      </c>
      <c r="F1202" s="1" t="n">
        <v>39</v>
      </c>
      <c r="G1202" s="1" t="n">
        <f aca="false">IF(E1202=0,"",IF(D1202="VIGENTE",1,0))</f>
        <v>0</v>
      </c>
      <c r="H1202" s="1" t="inlineStr">
        <is>
          <t xml:space="preserve">B observado / C cálculo</t>
        </is>
      </c>
    </row>
    <row r="1203" customFormat="false" ht="15" hidden="false" customHeight="true" outlineLevel="0" collapsed="false">
      <c r="A1203" s="1" t="n">
        <v>2024</v>
      </c>
      <c r="B1203" s="1" t="n">
        <v>1</v>
      </c>
      <c r="C1203" s="1" t="inlineStr">
        <is>
          <t xml:space="preserve">TPAREOL20211</t>
        </is>
      </c>
      <c r="D1203" s="1" t="inlineStr">
        <is>
          <t xml:space="preserve">TITULADO</t>
        </is>
      </c>
      <c r="E1203" s="1" t="n">
        <v>41</v>
      </c>
      <c r="F1203" s="1" t="n">
        <v>110</v>
      </c>
      <c r="G1203" s="1" t="n">
        <f aca="false">IF(E1203=0,"",IF(D1203="VIGENTE",1,0))</f>
        <v>0</v>
      </c>
      <c r="H1203" s="1" t="inlineStr">
        <is>
          <t xml:space="preserve">B observado / C cálculo</t>
        </is>
      </c>
    </row>
    <row r="1204" customFormat="false" ht="15" hidden="false" customHeight="true" outlineLevel="0" collapsed="false">
      <c r="A1204" s="1" t="n">
        <v>2024</v>
      </c>
      <c r="B1204" s="1" t="n">
        <v>1</v>
      </c>
      <c r="C1204" s="1" t="inlineStr">
        <is>
          <t xml:space="preserve">TPAS20241</t>
        </is>
      </c>
      <c r="D1204" s="1" t="inlineStr">
        <is>
          <t xml:space="preserve">ELIMINADO</t>
        </is>
      </c>
      <c r="E1204" s="1" t="n">
        <v>82</v>
      </c>
      <c r="F1204" s="1" t="n">
        <v>272</v>
      </c>
      <c r="G1204" s="1" t="n">
        <f aca="false">IF(E1204=0,"",IF(D1204="VIGENTE",1,0))</f>
        <v>0</v>
      </c>
      <c r="H1204" s="1" t="inlineStr">
        <is>
          <t xml:space="preserve">B observado / C cálculo</t>
        </is>
      </c>
    </row>
    <row r="1205" customFormat="false" ht="15" hidden="false" customHeight="true" outlineLevel="0" collapsed="false">
      <c r="A1205" s="1" t="n">
        <v>2024</v>
      </c>
      <c r="B1205" s="1" t="n">
        <v>1</v>
      </c>
      <c r="C1205" s="1" t="inlineStr">
        <is>
          <t xml:space="preserve">TPAS20241</t>
        </is>
      </c>
      <c r="D1205" s="1" t="inlineStr">
        <is>
          <t xml:space="preserve">SUSPENDIDO</t>
        </is>
      </c>
      <c r="E1205" s="1" t="n">
        <v>11</v>
      </c>
      <c r="F1205" s="1" t="n">
        <v>32</v>
      </c>
      <c r="G1205" s="1" t="n">
        <f aca="false">IF(E1205=0,"",IF(D1205="VIGENTE",1,0))</f>
        <v>0</v>
      </c>
      <c r="H1205" s="1" t="inlineStr">
        <is>
          <t xml:space="preserve">B observado / C cálculo</t>
        </is>
      </c>
    </row>
    <row r="1206" customFormat="false" ht="15" hidden="false" customHeight="true" outlineLevel="0" collapsed="false">
      <c r="A1206" s="1" t="n">
        <v>2024</v>
      </c>
      <c r="B1206" s="1" t="n">
        <v>1</v>
      </c>
      <c r="C1206" s="1" t="inlineStr">
        <is>
          <t xml:space="preserve">TPAS20241</t>
        </is>
      </c>
      <c r="D1206" s="1" t="inlineStr">
        <is>
          <t xml:space="preserve">TITULADO</t>
        </is>
      </c>
      <c r="E1206" s="1" t="n">
        <v>129</v>
      </c>
      <c r="F1206" s="1" t="n">
        <v>519</v>
      </c>
      <c r="G1206" s="1" t="n">
        <f aca="false">IF(E1206=0,"",IF(D1206="VIGENTE",1,0))</f>
        <v>0</v>
      </c>
      <c r="H1206" s="1" t="inlineStr">
        <is>
          <t xml:space="preserve">B observado / C cálculo</t>
        </is>
      </c>
    </row>
    <row r="1207" customFormat="false" ht="15" hidden="false" customHeight="true" outlineLevel="0" collapsed="false">
      <c r="A1207" s="1" t="n">
        <v>2024</v>
      </c>
      <c r="B1207" s="1" t="n">
        <v>1</v>
      </c>
      <c r="C1207" s="1" t="inlineStr">
        <is>
          <t xml:space="preserve">TPAS20241</t>
        </is>
      </c>
      <c r="D1207" s="1" t="inlineStr">
        <is>
          <t xml:space="preserve">VIGENTE</t>
        </is>
      </c>
      <c r="E1207" s="1" t="n">
        <v>19</v>
      </c>
      <c r="F1207" s="1" t="n">
        <v>65</v>
      </c>
      <c r="G1207" s="1" t="n">
        <f aca="false">IF(E1207=0,"",IF(D1207="VIGENTE",1,0))</f>
        <v>1</v>
      </c>
      <c r="H1207" s="1" t="inlineStr">
        <is>
          <t xml:space="preserve">B observado / C cálculo</t>
        </is>
      </c>
    </row>
    <row r="1208" customFormat="false" ht="15" hidden="false" customHeight="true" outlineLevel="0" collapsed="false">
      <c r="A1208" s="1" t="n">
        <v>2024</v>
      </c>
      <c r="B1208" s="1" t="n">
        <v>1</v>
      </c>
      <c r="C1208" s="1" t="inlineStr">
        <is>
          <t xml:space="preserve">TTMRE20191</t>
        </is>
      </c>
      <c r="D1208" s="1" t="inlineStr">
        <is>
          <t xml:space="preserve">ELIMINADO</t>
        </is>
      </c>
      <c r="E1208" s="1" t="n">
        <v>2</v>
      </c>
      <c r="F1208" s="1" t="n">
        <v>4</v>
      </c>
      <c r="G1208" s="1" t="n">
        <f aca="false">IF(E1208=0,"",IF(D1208="VIGENTE",1,0))</f>
        <v>0</v>
      </c>
      <c r="H1208" s="1" t="inlineStr">
        <is>
          <t xml:space="preserve">B observado / C cálculo</t>
        </is>
      </c>
    </row>
    <row r="1209" customFormat="false" ht="15" hidden="false" customHeight="true" outlineLevel="0" collapsed="false">
      <c r="A1209" s="1" t="n">
        <v>2024</v>
      </c>
      <c r="B1209" s="1" t="n">
        <v>1</v>
      </c>
      <c r="C1209" s="1" t="inlineStr">
        <is>
          <t xml:space="preserve">TTMRE20211</t>
        </is>
      </c>
      <c r="D1209" s="1" t="inlineStr">
        <is>
          <t xml:space="preserve">TITULADO</t>
        </is>
      </c>
      <c r="E1209" s="1" t="n">
        <v>3</v>
      </c>
      <c r="F1209" s="1" t="n">
        <v>7</v>
      </c>
      <c r="G1209" s="1" t="n">
        <f aca="false">IF(E1209=0,"",IF(D1209="VIGENTE",1,0))</f>
        <v>0</v>
      </c>
      <c r="H1209" s="1" t="inlineStr">
        <is>
          <t xml:space="preserve">B observado / C cálculo</t>
        </is>
      </c>
    </row>
    <row r="1210" customFormat="false" ht="15" hidden="false" customHeight="true" outlineLevel="0" collapsed="false">
      <c r="A1210" s="1" t="n">
        <v>2024</v>
      </c>
      <c r="B1210" s="1" t="n">
        <v>1</v>
      </c>
      <c r="C1210" s="1" t="inlineStr">
        <is>
          <t xml:space="preserve">TTMREOL20191</t>
        </is>
      </c>
      <c r="D1210" s="1" t="inlineStr">
        <is>
          <t xml:space="preserve">TITULADO</t>
        </is>
      </c>
      <c r="E1210" s="1" t="n">
        <v>1</v>
      </c>
      <c r="F1210" s="1" t="n">
        <v>1</v>
      </c>
      <c r="G1210" s="1" t="n">
        <f aca="false">IF(E1210=0,"",IF(D1210="VIGENTE",1,0))</f>
        <v>0</v>
      </c>
      <c r="H1210" s="1" t="inlineStr">
        <is>
          <t xml:space="preserve">B observado / C cálculo</t>
        </is>
      </c>
    </row>
    <row r="1211" customFormat="false" ht="15" hidden="false" customHeight="true" outlineLevel="0" collapsed="false">
      <c r="A1211" s="1" t="n">
        <v>2024</v>
      </c>
      <c r="B1211" s="1" t="n">
        <v>1</v>
      </c>
      <c r="C1211" s="1" t="inlineStr">
        <is>
          <t xml:space="preserve">TTMREOL20211</t>
        </is>
      </c>
      <c r="D1211" s="1" t="inlineStr">
        <is>
          <t xml:space="preserve">ELIMINADO</t>
        </is>
      </c>
      <c r="E1211" s="1" t="n">
        <v>2</v>
      </c>
      <c r="F1211" s="1" t="n">
        <v>11</v>
      </c>
      <c r="G1211" s="1" t="n">
        <f aca="false">IF(E1211=0,"",IF(D1211="VIGENTE",1,0))</f>
        <v>0</v>
      </c>
      <c r="H1211" s="1" t="inlineStr">
        <is>
          <t xml:space="preserve">B observado / C cálculo</t>
        </is>
      </c>
    </row>
    <row r="1212" customFormat="false" ht="15" hidden="false" customHeight="true" outlineLevel="0" collapsed="false">
      <c r="A1212" s="1" t="n">
        <v>2024</v>
      </c>
      <c r="B1212" s="1" t="n">
        <v>1</v>
      </c>
      <c r="C1212" s="1" t="inlineStr">
        <is>
          <t xml:space="preserve">TTMREOL20211</t>
        </is>
      </c>
      <c r="D1212" s="1" t="inlineStr">
        <is>
          <t xml:space="preserve">TITULADO</t>
        </is>
      </c>
      <c r="E1212" s="1" t="n">
        <v>15</v>
      </c>
      <c r="F1212" s="1" t="n">
        <v>39</v>
      </c>
      <c r="G1212" s="1" t="n">
        <f aca="false">IF(E1212=0,"",IF(D1212="VIGENTE",1,0))</f>
        <v>0</v>
      </c>
      <c r="H1212" s="1" t="inlineStr">
        <is>
          <t xml:space="preserve">B observado / C cálculo</t>
        </is>
      </c>
    </row>
    <row r="1213" customFormat="false" ht="15" hidden="false" customHeight="true" outlineLevel="0" collapsed="false">
      <c r="A1213" s="1" t="n">
        <v>2024</v>
      </c>
      <c r="B1213" s="1" t="n">
        <v>2</v>
      </c>
      <c r="C1213" s="1" t="inlineStr">
        <is>
          <t xml:space="preserve">CICIB20241</t>
        </is>
      </c>
      <c r="D1213" s="1" t="inlineStr">
        <is>
          <t xml:space="preserve">TITULADO</t>
        </is>
      </c>
      <c r="E1213" s="1" t="n">
        <v>39</v>
      </c>
      <c r="F1213" s="1" t="n">
        <v>78</v>
      </c>
      <c r="G1213" s="1" t="n">
        <f aca="false">IF(E1213=0,"",IF(D1213="VIGENTE",1,0))</f>
        <v>0</v>
      </c>
      <c r="H1213" s="1" t="inlineStr">
        <is>
          <t xml:space="preserve">B observado / C cálculo</t>
        </is>
      </c>
    </row>
    <row r="1214" customFormat="false" ht="15" hidden="false" customHeight="true" outlineLevel="0" collapsed="false">
      <c r="A1214" s="1" t="n">
        <v>2024</v>
      </c>
      <c r="B1214" s="1" t="n">
        <v>2</v>
      </c>
      <c r="C1214" s="1" t="inlineStr">
        <is>
          <t xml:space="preserve">CICIB20241</t>
        </is>
      </c>
      <c r="D1214" s="1" t="inlineStr">
        <is>
          <t xml:space="preserve">VIGENTE</t>
        </is>
      </c>
      <c r="E1214" s="1" t="n">
        <v>1</v>
      </c>
      <c r="F1214" s="1" t="n">
        <v>1</v>
      </c>
      <c r="G1214" s="1" t="n">
        <f aca="false">IF(E1214=0,"",IF(D1214="VIGENTE",1,0))</f>
        <v>1</v>
      </c>
      <c r="H1214" s="1" t="inlineStr">
        <is>
          <t xml:space="preserve">B observado / C cálculo</t>
        </is>
      </c>
    </row>
    <row r="1215" customFormat="false" ht="15" hidden="false" customHeight="true" outlineLevel="0" collapsed="false">
      <c r="A1215" s="1" t="n">
        <v>2024</v>
      </c>
      <c r="B1215" s="1" t="n">
        <v>2</v>
      </c>
      <c r="C1215" s="1" t="inlineStr">
        <is>
          <t xml:space="preserve">CICRE20241</t>
        </is>
      </c>
      <c r="D1215" s="1" t="inlineStr">
        <is>
          <t xml:space="preserve">ELIMINADO</t>
        </is>
      </c>
      <c r="E1215" s="1" t="n">
        <v>8</v>
      </c>
      <c r="F1215" s="1" t="n">
        <v>12</v>
      </c>
      <c r="G1215" s="1" t="n">
        <f aca="false">IF(E1215=0,"",IF(D1215="VIGENTE",1,0))</f>
        <v>0</v>
      </c>
      <c r="H1215" s="1" t="inlineStr">
        <is>
          <t xml:space="preserve">B observado / C cálculo</t>
        </is>
      </c>
    </row>
    <row r="1216" customFormat="false" ht="15" hidden="false" customHeight="true" outlineLevel="0" collapsed="false">
      <c r="A1216" s="1" t="n">
        <v>2024</v>
      </c>
      <c r="B1216" s="1" t="n">
        <v>2</v>
      </c>
      <c r="C1216" s="1" t="inlineStr">
        <is>
          <t xml:space="preserve">CICRE20241</t>
        </is>
      </c>
      <c r="D1216" s="1" t="inlineStr">
        <is>
          <t xml:space="preserve">SUSPENDIDO</t>
        </is>
      </c>
      <c r="E1216" s="1" t="n">
        <v>1</v>
      </c>
      <c r="F1216" s="1" t="n">
        <v>2</v>
      </c>
      <c r="G1216" s="1" t="n">
        <f aca="false">IF(E1216=0,"",IF(D1216="VIGENTE",1,0))</f>
        <v>0</v>
      </c>
      <c r="H1216" s="1" t="inlineStr">
        <is>
          <t xml:space="preserve">B observado / C cálculo</t>
        </is>
      </c>
    </row>
    <row r="1217" customFormat="false" ht="15" hidden="false" customHeight="true" outlineLevel="0" collapsed="false">
      <c r="A1217" s="1" t="n">
        <v>2024</v>
      </c>
      <c r="B1217" s="1" t="n">
        <v>2</v>
      </c>
      <c r="C1217" s="1" t="inlineStr">
        <is>
          <t xml:space="preserve">CICRE20241</t>
        </is>
      </c>
      <c r="D1217" s="1" t="inlineStr">
        <is>
          <t xml:space="preserve">TITULADO</t>
        </is>
      </c>
      <c r="E1217" s="1" t="n">
        <v>43</v>
      </c>
      <c r="F1217" s="1" t="n">
        <v>86</v>
      </c>
      <c r="G1217" s="1" t="n">
        <f aca="false">IF(E1217=0,"",IF(D1217="VIGENTE",1,0))</f>
        <v>0</v>
      </c>
      <c r="H1217" s="1" t="inlineStr">
        <is>
          <t xml:space="preserve">B observado / C cálculo</t>
        </is>
      </c>
    </row>
    <row r="1218" customFormat="false" ht="15" hidden="false" customHeight="true" outlineLevel="0" collapsed="false">
      <c r="A1218" s="1" t="n">
        <v>2024</v>
      </c>
      <c r="B1218" s="1" t="n">
        <v>2</v>
      </c>
      <c r="C1218" s="1" t="inlineStr">
        <is>
          <t xml:space="preserve">CIINF20241</t>
        </is>
      </c>
      <c r="D1218" s="1" t="inlineStr">
        <is>
          <t xml:space="preserve">ELIMINADO</t>
        </is>
      </c>
      <c r="E1218" s="1" t="n">
        <v>2</v>
      </c>
      <c r="F1218" s="1" t="n">
        <v>5</v>
      </c>
      <c r="G1218" s="1" t="n">
        <f aca="false">IF(E1218=0,"",IF(D1218="VIGENTE",1,0))</f>
        <v>0</v>
      </c>
      <c r="H1218" s="1" t="inlineStr">
        <is>
          <t xml:space="preserve">B observado / C cálculo</t>
        </is>
      </c>
    </row>
    <row r="1219" customFormat="false" ht="15" hidden="false" customHeight="true" outlineLevel="0" collapsed="false">
      <c r="A1219" s="1" t="n">
        <v>2024</v>
      </c>
      <c r="B1219" s="1" t="n">
        <v>2</v>
      </c>
      <c r="C1219" s="1" t="inlineStr">
        <is>
          <t xml:space="preserve">CIINF20241</t>
        </is>
      </c>
      <c r="D1219" s="1" t="inlineStr">
        <is>
          <t xml:space="preserve">TITULADO</t>
        </is>
      </c>
      <c r="E1219" s="1" t="n">
        <v>25</v>
      </c>
      <c r="F1219" s="1" t="n">
        <v>51</v>
      </c>
      <c r="G1219" s="1" t="n">
        <f aca="false">IF(E1219=0,"",IF(D1219="VIGENTE",1,0))</f>
        <v>0</v>
      </c>
      <c r="H1219" s="1" t="inlineStr">
        <is>
          <t xml:space="preserve">B observado / C cálculo</t>
        </is>
      </c>
    </row>
    <row r="1220" customFormat="false" ht="15" hidden="false" customHeight="true" outlineLevel="0" collapsed="false">
      <c r="A1220" s="1" t="n">
        <v>2024</v>
      </c>
      <c r="B1220" s="1" t="n">
        <v>2</v>
      </c>
      <c r="C1220" s="1" t="inlineStr">
        <is>
          <t xml:space="preserve">CIINF20241</t>
        </is>
      </c>
      <c r="D1220" s="1" t="inlineStr">
        <is>
          <t xml:space="preserve">VIGENTE</t>
        </is>
      </c>
      <c r="E1220" s="1" t="n">
        <v>1</v>
      </c>
      <c r="F1220" s="1" t="n">
        <v>2</v>
      </c>
      <c r="G1220" s="1" t="n">
        <f aca="false">IF(E1220=0,"",IF(D1220="VIGENTE",1,0))</f>
        <v>1</v>
      </c>
      <c r="H1220" s="1" t="inlineStr">
        <is>
          <t xml:space="preserve">B observado / C cálculo</t>
        </is>
      </c>
    </row>
    <row r="1221" customFormat="false" ht="15" hidden="false" customHeight="true" outlineLevel="0" collapsed="false">
      <c r="A1221" s="1" t="n">
        <v>2024</v>
      </c>
      <c r="B1221" s="1" t="n">
        <v>2</v>
      </c>
      <c r="C1221" s="1" t="inlineStr">
        <is>
          <t xml:space="preserve">IADM20241</t>
        </is>
      </c>
      <c r="D1221" s="1" t="inlineStr">
        <is>
          <t xml:space="preserve">ELIMINADO</t>
        </is>
      </c>
      <c r="E1221" s="1" t="n">
        <v>9</v>
      </c>
      <c r="F1221" s="1" t="n">
        <v>35</v>
      </c>
      <c r="G1221" s="1" t="n">
        <f aca="false">IF(E1221=0,"",IF(D1221="VIGENTE",1,0))</f>
        <v>0</v>
      </c>
      <c r="H1221" s="1" t="inlineStr">
        <is>
          <t xml:space="preserve">B observado / C cálculo</t>
        </is>
      </c>
    </row>
    <row r="1222" customFormat="false" ht="15" hidden="false" customHeight="true" outlineLevel="0" collapsed="false">
      <c r="A1222" s="1" t="n">
        <v>2024</v>
      </c>
      <c r="B1222" s="1" t="n">
        <v>2</v>
      </c>
      <c r="C1222" s="1" t="inlineStr">
        <is>
          <t xml:space="preserve">IADM20241</t>
        </is>
      </c>
      <c r="D1222" s="1" t="inlineStr">
        <is>
          <t xml:space="preserve">VIGENTE</t>
        </is>
      </c>
      <c r="E1222" s="1" t="n">
        <v>5</v>
      </c>
      <c r="F1222" s="1" t="n">
        <v>18</v>
      </c>
      <c r="G1222" s="1" t="n">
        <f aca="false">IF(E1222=0,"",IF(D1222="VIGENTE",1,0))</f>
        <v>1</v>
      </c>
      <c r="H1222" s="1" t="inlineStr">
        <is>
          <t xml:space="preserve">B observado / C cálculo</t>
        </is>
      </c>
    </row>
    <row r="1223" customFormat="false" ht="15" hidden="false" customHeight="true" outlineLevel="0" collapsed="false">
      <c r="A1223" s="1" t="n">
        <v>2024</v>
      </c>
      <c r="B1223" s="1" t="n">
        <v>2</v>
      </c>
      <c r="C1223" s="1" t="inlineStr">
        <is>
          <t xml:space="preserve">ICIB20241</t>
        </is>
      </c>
      <c r="D1223" s="1" t="inlineStr">
        <is>
          <t xml:space="preserve">ELIMINADO</t>
        </is>
      </c>
      <c r="E1223" s="1" t="n">
        <v>45</v>
      </c>
      <c r="F1223" s="1" t="n">
        <v>166</v>
      </c>
      <c r="G1223" s="1" t="n">
        <f aca="false">IF(E1223=0,"",IF(D1223="VIGENTE",1,0))</f>
        <v>0</v>
      </c>
      <c r="H1223" s="1" t="inlineStr">
        <is>
          <t xml:space="preserve">B observado / C cálculo</t>
        </is>
      </c>
    </row>
    <row r="1224" customFormat="false" ht="15" hidden="false" customHeight="true" outlineLevel="0" collapsed="false">
      <c r="A1224" s="1" t="n">
        <v>2024</v>
      </c>
      <c r="B1224" s="1" t="n">
        <v>2</v>
      </c>
      <c r="C1224" s="1" t="inlineStr">
        <is>
          <t xml:space="preserve">ICIB20241</t>
        </is>
      </c>
      <c r="D1224" s="1" t="inlineStr">
        <is>
          <t xml:space="preserve">SUSPENDIDO</t>
        </is>
      </c>
      <c r="E1224" s="1" t="n">
        <v>8</v>
      </c>
      <c r="F1224" s="1" t="n">
        <v>24</v>
      </c>
      <c r="G1224" s="1" t="n">
        <f aca="false">IF(E1224=0,"",IF(D1224="VIGENTE",1,0))</f>
        <v>0</v>
      </c>
      <c r="H1224" s="1" t="inlineStr">
        <is>
          <t xml:space="preserve">B observado / C cálculo</t>
        </is>
      </c>
    </row>
    <row r="1225" customFormat="false" ht="15" hidden="false" customHeight="true" outlineLevel="0" collapsed="false">
      <c r="A1225" s="1" t="n">
        <v>2024</v>
      </c>
      <c r="B1225" s="1" t="n">
        <v>2</v>
      </c>
      <c r="C1225" s="1" t="inlineStr">
        <is>
          <t xml:space="preserve">ICIB20241</t>
        </is>
      </c>
      <c r="D1225" s="1" t="inlineStr">
        <is>
          <t xml:space="preserve">TITULADO</t>
        </is>
      </c>
      <c r="E1225" s="1" t="n">
        <v>28</v>
      </c>
      <c r="F1225" s="1" t="n">
        <v>53</v>
      </c>
      <c r="G1225" s="1" t="n">
        <f aca="false">IF(E1225=0,"",IF(D1225="VIGENTE",1,0))</f>
        <v>0</v>
      </c>
      <c r="H1225" s="1" t="inlineStr">
        <is>
          <t xml:space="preserve">B observado / C cálculo</t>
        </is>
      </c>
    </row>
    <row r="1226" customFormat="false" ht="15" hidden="false" customHeight="true" outlineLevel="0" collapsed="false">
      <c r="A1226" s="1" t="n">
        <v>2024</v>
      </c>
      <c r="B1226" s="1" t="n">
        <v>2</v>
      </c>
      <c r="C1226" s="1" t="inlineStr">
        <is>
          <t xml:space="preserve">ICIB20241</t>
        </is>
      </c>
      <c r="D1226" s="1" t="inlineStr">
        <is>
          <t xml:space="preserve">VIGENTE</t>
        </is>
      </c>
      <c r="E1226" s="1" t="n">
        <v>95</v>
      </c>
      <c r="F1226" s="1" t="n">
        <v>350</v>
      </c>
      <c r="G1226" s="1" t="n">
        <f aca="false">IF(E1226=0,"",IF(D1226="VIGENTE",1,0))</f>
        <v>1</v>
      </c>
      <c r="H1226" s="1" t="inlineStr">
        <is>
          <t xml:space="preserve">B observado / C cálculo</t>
        </is>
      </c>
    </row>
    <row r="1227" customFormat="false" ht="15" hidden="false" customHeight="true" outlineLevel="0" collapsed="false">
      <c r="A1227" s="1" t="n">
        <v>2024</v>
      </c>
      <c r="B1227" s="1" t="n">
        <v>2</v>
      </c>
      <c r="C1227" s="1" t="inlineStr">
        <is>
          <t xml:space="preserve">ICRE20241</t>
        </is>
      </c>
      <c r="D1227" s="1" t="inlineStr">
        <is>
          <t xml:space="preserve">ELIMINADO</t>
        </is>
      </c>
      <c r="E1227" s="1" t="n">
        <v>28</v>
      </c>
      <c r="F1227" s="1" t="n">
        <v>41</v>
      </c>
      <c r="G1227" s="1" t="n">
        <f aca="false">IF(E1227=0,"",IF(D1227="VIGENTE",1,0))</f>
        <v>0</v>
      </c>
      <c r="H1227" s="1" t="inlineStr">
        <is>
          <t xml:space="preserve">B observado / C cálculo</t>
        </is>
      </c>
    </row>
    <row r="1228" customFormat="false" ht="15" hidden="false" customHeight="true" outlineLevel="0" collapsed="false">
      <c r="A1228" s="1" t="n">
        <v>2024</v>
      </c>
      <c r="B1228" s="1" t="n">
        <v>2</v>
      </c>
      <c r="C1228" s="1" t="inlineStr">
        <is>
          <t xml:space="preserve">ICRE20241</t>
        </is>
      </c>
      <c r="D1228" s="1" t="inlineStr">
        <is>
          <t xml:space="preserve">SUSPENDIDO</t>
        </is>
      </c>
      <c r="E1228" s="1" t="n">
        <v>2</v>
      </c>
      <c r="F1228" s="1" t="n">
        <v>3</v>
      </c>
      <c r="G1228" s="1" t="n">
        <f aca="false">IF(E1228=0,"",IF(D1228="VIGENTE",1,0))</f>
        <v>0</v>
      </c>
      <c r="H1228" s="1" t="inlineStr">
        <is>
          <t xml:space="preserve">B observado / C cálculo</t>
        </is>
      </c>
    </row>
    <row r="1229" customFormat="false" ht="15" hidden="false" customHeight="true" outlineLevel="0" collapsed="false">
      <c r="A1229" s="1" t="n">
        <v>2024</v>
      </c>
      <c r="B1229" s="1" t="n">
        <v>2</v>
      </c>
      <c r="C1229" s="1" t="inlineStr">
        <is>
          <t xml:space="preserve">ICRE20241</t>
        </is>
      </c>
      <c r="D1229" s="1" t="inlineStr">
        <is>
          <t xml:space="preserve">TITULADO</t>
        </is>
      </c>
      <c r="E1229" s="1" t="n">
        <v>27</v>
      </c>
      <c r="F1229" s="1" t="n">
        <v>49</v>
      </c>
      <c r="G1229" s="1" t="n">
        <f aca="false">IF(E1229=0,"",IF(D1229="VIGENTE",1,0))</f>
        <v>0</v>
      </c>
      <c r="H1229" s="1" t="inlineStr">
        <is>
          <t xml:space="preserve">B observado / C cálculo</t>
        </is>
      </c>
    </row>
    <row r="1230" customFormat="false" ht="15" hidden="false" customHeight="true" outlineLevel="0" collapsed="false">
      <c r="A1230" s="1" t="n">
        <v>2024</v>
      </c>
      <c r="B1230" s="1" t="n">
        <v>2</v>
      </c>
      <c r="C1230" s="1" t="inlineStr">
        <is>
          <t xml:space="preserve">ICRE20241</t>
        </is>
      </c>
      <c r="D1230" s="1" t="inlineStr">
        <is>
          <t xml:space="preserve">VIGENTE</t>
        </is>
      </c>
      <c r="E1230" s="1" t="n">
        <v>60</v>
      </c>
      <c r="F1230" s="1" t="n">
        <v>90</v>
      </c>
      <c r="G1230" s="1" t="n">
        <f aca="false">IF(E1230=0,"",IF(D1230="VIGENTE",1,0))</f>
        <v>1</v>
      </c>
      <c r="H1230" s="1" t="inlineStr">
        <is>
          <t xml:space="preserve">B observado / C cálculo</t>
        </is>
      </c>
    </row>
    <row r="1231" customFormat="false" ht="15" hidden="false" customHeight="true" outlineLevel="0" collapsed="false">
      <c r="A1231" s="1" t="n">
        <v>2024</v>
      </c>
      <c r="B1231" s="1" t="n">
        <v>2</v>
      </c>
      <c r="C1231" s="1" t="inlineStr">
        <is>
          <t xml:space="preserve">IECIRE2020</t>
        </is>
      </c>
      <c r="D1231" s="1" t="inlineStr">
        <is>
          <t xml:space="preserve">TITULADO</t>
        </is>
      </c>
      <c r="E1231" s="1" t="n">
        <v>1</v>
      </c>
      <c r="F1231" s="1" t="n">
        <v>5</v>
      </c>
      <c r="G1231" s="1" t="n">
        <f aca="false">IF(E1231=0,"",IF(D1231="VIGENTE",1,0))</f>
        <v>0</v>
      </c>
      <c r="H1231" s="1" t="inlineStr">
        <is>
          <t xml:space="preserve">B observado / C cálculo</t>
        </is>
      </c>
    </row>
    <row r="1232" customFormat="false" ht="15" hidden="false" customHeight="true" outlineLevel="0" collapsed="false">
      <c r="A1232" s="1" t="n">
        <v>2024</v>
      </c>
      <c r="B1232" s="1" t="n">
        <v>2</v>
      </c>
      <c r="C1232" s="1" t="inlineStr">
        <is>
          <t xml:space="preserve">IECIRE20211</t>
        </is>
      </c>
      <c r="D1232" s="1" t="inlineStr">
        <is>
          <t xml:space="preserve">TITULADO</t>
        </is>
      </c>
      <c r="E1232" s="1" t="n">
        <v>6</v>
      </c>
      <c r="F1232" s="1" t="n">
        <v>24</v>
      </c>
      <c r="G1232" s="1" t="n">
        <f aca="false">IF(E1232=0,"",IF(D1232="VIGENTE",1,0))</f>
        <v>0</v>
      </c>
      <c r="H1232" s="1" t="inlineStr">
        <is>
          <t xml:space="preserve">B observado / C cálculo</t>
        </is>
      </c>
    </row>
    <row r="1233" customFormat="false" ht="15" hidden="false" customHeight="true" outlineLevel="0" collapsed="false">
      <c r="A1233" s="1" t="n">
        <v>2024</v>
      </c>
      <c r="B1233" s="1" t="n">
        <v>2</v>
      </c>
      <c r="C1233" s="1" t="inlineStr">
        <is>
          <t xml:space="preserve">IECIREOL20201</t>
        </is>
      </c>
      <c r="D1233" s="1" t="inlineStr">
        <is>
          <t xml:space="preserve">TITULADO</t>
        </is>
      </c>
      <c r="E1233" s="1" t="n">
        <v>2</v>
      </c>
      <c r="F1233" s="1" t="n">
        <v>4</v>
      </c>
      <c r="G1233" s="1" t="n">
        <f aca="false">IF(E1233=0,"",IF(D1233="VIGENTE",1,0))</f>
        <v>0</v>
      </c>
      <c r="H1233" s="1" t="inlineStr">
        <is>
          <t xml:space="preserve">B observado / C cálculo</t>
        </is>
      </c>
    </row>
    <row r="1234" customFormat="false" ht="15" hidden="false" customHeight="true" outlineLevel="0" collapsed="false">
      <c r="A1234" s="1" t="n">
        <v>2024</v>
      </c>
      <c r="B1234" s="1" t="n">
        <v>2</v>
      </c>
      <c r="C1234" s="1" t="inlineStr">
        <is>
          <t xml:space="preserve">IECIREOL20211</t>
        </is>
      </c>
      <c r="D1234" s="1" t="inlineStr">
        <is>
          <t xml:space="preserve">ELIMINADO</t>
        </is>
      </c>
      <c r="E1234" s="1" t="n">
        <v>2</v>
      </c>
      <c r="F1234" s="1" t="n">
        <v>3</v>
      </c>
      <c r="G1234" s="1" t="n">
        <f aca="false">IF(E1234=0,"",IF(D1234="VIGENTE",1,0))</f>
        <v>0</v>
      </c>
      <c r="H1234" s="1" t="inlineStr">
        <is>
          <t xml:space="preserve">B observado / C cálculo</t>
        </is>
      </c>
    </row>
    <row r="1235" customFormat="false" ht="15" hidden="false" customHeight="true" outlineLevel="0" collapsed="false">
      <c r="A1235" s="1" t="n">
        <v>2024</v>
      </c>
      <c r="B1235" s="1" t="n">
        <v>2</v>
      </c>
      <c r="C1235" s="1" t="inlineStr">
        <is>
          <t xml:space="preserve">IECIREOL20211</t>
        </is>
      </c>
      <c r="D1235" s="1" t="inlineStr">
        <is>
          <t xml:space="preserve">TITULADO</t>
        </is>
      </c>
      <c r="E1235" s="1" t="n">
        <v>15</v>
      </c>
      <c r="F1235" s="1" t="n">
        <v>26</v>
      </c>
      <c r="G1235" s="1" t="n">
        <f aca="false">IF(E1235=0,"",IF(D1235="VIGENTE",1,0))</f>
        <v>0</v>
      </c>
      <c r="H1235" s="1" t="inlineStr">
        <is>
          <t xml:space="preserve">B observado / C cálculo</t>
        </is>
      </c>
    </row>
    <row r="1236" customFormat="false" ht="15" hidden="false" customHeight="true" outlineLevel="0" collapsed="false">
      <c r="A1236" s="1" t="n">
        <v>2024</v>
      </c>
      <c r="B1236" s="1" t="n">
        <v>2</v>
      </c>
      <c r="C1236" s="1" t="inlineStr">
        <is>
          <t xml:space="preserve">IECIREOL20211</t>
        </is>
      </c>
      <c r="D1236" s="1" t="inlineStr">
        <is>
          <t xml:space="preserve">VIGENTE</t>
        </is>
      </c>
      <c r="E1236" s="1" t="n">
        <v>1</v>
      </c>
      <c r="F1236" s="1" t="n">
        <v>2</v>
      </c>
      <c r="G1236" s="1" t="n">
        <f aca="false">IF(E1236=0,"",IF(D1236="VIGENTE",1,0))</f>
        <v>1</v>
      </c>
      <c r="H1236" s="1" t="inlineStr">
        <is>
          <t xml:space="preserve">B observado / C cálculo</t>
        </is>
      </c>
    </row>
    <row r="1237" customFormat="false" ht="15" hidden="false" customHeight="true" outlineLevel="0" collapsed="false">
      <c r="A1237" s="1" t="n">
        <v>2024</v>
      </c>
      <c r="B1237" s="1" t="n">
        <v>2</v>
      </c>
      <c r="C1237" s="1" t="inlineStr">
        <is>
          <t xml:space="preserve">IECSRE20211</t>
        </is>
      </c>
      <c r="D1237" s="1" t="inlineStr">
        <is>
          <t xml:space="preserve">TITULADO</t>
        </is>
      </c>
      <c r="E1237" s="1" t="n">
        <v>8</v>
      </c>
      <c r="F1237" s="1" t="n">
        <v>35</v>
      </c>
      <c r="G1237" s="1" t="n">
        <f aca="false">IF(E1237=0,"",IF(D1237="VIGENTE",1,0))</f>
        <v>0</v>
      </c>
      <c r="H1237" s="1" t="inlineStr">
        <is>
          <t xml:space="preserve">B observado / C cálculo</t>
        </is>
      </c>
    </row>
    <row r="1238" customFormat="false" ht="15" hidden="false" customHeight="true" outlineLevel="0" collapsed="false">
      <c r="A1238" s="1" t="n">
        <v>2024</v>
      </c>
      <c r="B1238" s="1" t="n">
        <v>2</v>
      </c>
      <c r="C1238" s="1" t="inlineStr">
        <is>
          <t xml:space="preserve">IECSREOL20211</t>
        </is>
      </c>
      <c r="D1238" s="1" t="inlineStr">
        <is>
          <t xml:space="preserve">SUSPENDIDO</t>
        </is>
      </c>
      <c r="E1238" s="1" t="n">
        <v>1</v>
      </c>
      <c r="F1238" s="1" t="n">
        <v>1</v>
      </c>
      <c r="G1238" s="1" t="n">
        <f aca="false">IF(E1238=0,"",IF(D1238="VIGENTE",1,0))</f>
        <v>0</v>
      </c>
      <c r="H1238" s="1" t="inlineStr">
        <is>
          <t xml:space="preserve">B observado / C cálculo</t>
        </is>
      </c>
    </row>
    <row r="1239" customFormat="false" ht="15" hidden="false" customHeight="true" outlineLevel="0" collapsed="false">
      <c r="A1239" s="1" t="n">
        <v>2024</v>
      </c>
      <c r="B1239" s="1" t="n">
        <v>2</v>
      </c>
      <c r="C1239" s="1" t="inlineStr">
        <is>
          <t xml:space="preserve">IECSREOL20211</t>
        </is>
      </c>
      <c r="D1239" s="1" t="inlineStr">
        <is>
          <t xml:space="preserve">TITULADO</t>
        </is>
      </c>
      <c r="E1239" s="1" t="n">
        <v>50</v>
      </c>
      <c r="F1239" s="1" t="n">
        <v>65</v>
      </c>
      <c r="G1239" s="1" t="n">
        <f aca="false">IF(E1239=0,"",IF(D1239="VIGENTE",1,0))</f>
        <v>0</v>
      </c>
      <c r="H1239" s="1" t="inlineStr">
        <is>
          <t xml:space="preserve">B observado / C cálculo</t>
        </is>
      </c>
    </row>
    <row r="1240" customFormat="false" ht="15" hidden="false" customHeight="true" outlineLevel="0" collapsed="false">
      <c r="A1240" s="1" t="n">
        <v>2024</v>
      </c>
      <c r="B1240" s="1" t="n">
        <v>2</v>
      </c>
      <c r="C1240" s="1" t="inlineStr">
        <is>
          <t xml:space="preserve">IECSREOL20211</t>
        </is>
      </c>
      <c r="D1240" s="1" t="inlineStr">
        <is>
          <t xml:space="preserve">VIGENTE</t>
        </is>
      </c>
      <c r="E1240" s="1" t="n">
        <v>2</v>
      </c>
      <c r="F1240" s="1" t="n">
        <v>2</v>
      </c>
      <c r="G1240" s="1" t="n">
        <f aca="false">IF(E1240=0,"",IF(D1240="VIGENTE",1,0))</f>
        <v>1</v>
      </c>
      <c r="H1240" s="1" t="inlineStr">
        <is>
          <t xml:space="preserve">B observado / C cálculo</t>
        </is>
      </c>
    </row>
    <row r="1241" customFormat="false" ht="15" hidden="false" customHeight="true" outlineLevel="0" collapsed="false">
      <c r="A1241" s="1" t="n">
        <v>2024</v>
      </c>
      <c r="B1241" s="1" t="n">
        <v>2</v>
      </c>
      <c r="C1241" s="1" t="inlineStr">
        <is>
          <t xml:space="preserve">IETMRE20211</t>
        </is>
      </c>
      <c r="D1241" s="1" t="inlineStr">
        <is>
          <t xml:space="preserve">ELIMINADO</t>
        </is>
      </c>
      <c r="E1241" s="1" t="n">
        <v>1</v>
      </c>
      <c r="F1241" s="1" t="n">
        <v>3</v>
      </c>
      <c r="G1241" s="1" t="n">
        <f aca="false">IF(E1241=0,"",IF(D1241="VIGENTE",1,0))</f>
        <v>0</v>
      </c>
      <c r="H1241" s="1" t="inlineStr">
        <is>
          <t xml:space="preserve">B observado / C cálculo</t>
        </is>
      </c>
    </row>
    <row r="1242" customFormat="false" ht="15" hidden="false" customHeight="true" outlineLevel="0" collapsed="false">
      <c r="A1242" s="1" t="n">
        <v>2024</v>
      </c>
      <c r="B1242" s="1" t="n">
        <v>2</v>
      </c>
      <c r="C1242" s="1" t="inlineStr">
        <is>
          <t xml:space="preserve">IETMRE20211</t>
        </is>
      </c>
      <c r="D1242" s="1" t="inlineStr">
        <is>
          <t xml:space="preserve">TITULADO</t>
        </is>
      </c>
      <c r="E1242" s="1" t="n">
        <v>13</v>
      </c>
      <c r="F1242" s="1" t="n">
        <v>58</v>
      </c>
      <c r="G1242" s="1" t="n">
        <f aca="false">IF(E1242=0,"",IF(D1242="VIGENTE",1,0))</f>
        <v>0</v>
      </c>
      <c r="H1242" s="1" t="inlineStr">
        <is>
          <t xml:space="preserve">B observado / C cálculo</t>
        </is>
      </c>
    </row>
    <row r="1243" customFormat="false" ht="15" hidden="false" customHeight="true" outlineLevel="0" collapsed="false">
      <c r="A1243" s="1" t="n">
        <v>2024</v>
      </c>
      <c r="B1243" s="1" t="n">
        <v>2</v>
      </c>
      <c r="C1243" s="1" t="inlineStr">
        <is>
          <t xml:space="preserve">IETMREOL20191</t>
        </is>
      </c>
      <c r="D1243" s="1" t="inlineStr">
        <is>
          <t xml:space="preserve">ELIMINADO</t>
        </is>
      </c>
      <c r="E1243" s="1" t="n">
        <v>1</v>
      </c>
      <c r="F1243" s="1" t="n">
        <v>1</v>
      </c>
      <c r="G1243" s="1" t="n">
        <f aca="false">IF(E1243=0,"",IF(D1243="VIGENTE",1,0))</f>
        <v>0</v>
      </c>
      <c r="H1243" s="1" t="inlineStr">
        <is>
          <t xml:space="preserve">B observado / C cálculo</t>
        </is>
      </c>
    </row>
    <row r="1244" customFormat="false" ht="15" hidden="false" customHeight="true" outlineLevel="0" collapsed="false">
      <c r="A1244" s="1" t="n">
        <v>2024</v>
      </c>
      <c r="B1244" s="1" t="n">
        <v>2</v>
      </c>
      <c r="C1244" s="1" t="inlineStr">
        <is>
          <t xml:space="preserve">IETMREOL20211</t>
        </is>
      </c>
      <c r="D1244" s="1" t="inlineStr">
        <is>
          <t xml:space="preserve">TITULADO</t>
        </is>
      </c>
      <c r="E1244" s="1" t="n">
        <v>73</v>
      </c>
      <c r="F1244" s="1" t="n">
        <v>81</v>
      </c>
      <c r="G1244" s="1" t="n">
        <f aca="false">IF(E1244=0,"",IF(D1244="VIGENTE",1,0))</f>
        <v>0</v>
      </c>
      <c r="H1244" s="1" t="inlineStr">
        <is>
          <t xml:space="preserve">B observado / C cálculo</t>
        </is>
      </c>
    </row>
    <row r="1245" customFormat="false" ht="15" hidden="false" customHeight="true" outlineLevel="0" collapsed="false">
      <c r="A1245" s="1" t="n">
        <v>2024</v>
      </c>
      <c r="B1245" s="1" t="n">
        <v>2</v>
      </c>
      <c r="C1245" s="1" t="inlineStr">
        <is>
          <t xml:space="preserve">IETMREOL20211</t>
        </is>
      </c>
      <c r="D1245" s="1" t="inlineStr">
        <is>
          <t xml:space="preserve">VIGENTE</t>
        </is>
      </c>
      <c r="E1245" s="1" t="n">
        <v>2</v>
      </c>
      <c r="F1245" s="1" t="n">
        <v>2</v>
      </c>
      <c r="G1245" s="1" t="n">
        <f aca="false">IF(E1245=0,"",IF(D1245="VIGENTE",1,0))</f>
        <v>1</v>
      </c>
      <c r="H1245" s="1" t="inlineStr">
        <is>
          <t xml:space="preserve">B observado / C cálculo</t>
        </is>
      </c>
    </row>
    <row r="1246" customFormat="false" ht="15" hidden="false" customHeight="true" outlineLevel="0" collapsed="false">
      <c r="A1246" s="1" t="n">
        <v>2024</v>
      </c>
      <c r="B1246" s="1" t="n">
        <v>2</v>
      </c>
      <c r="C1246" s="1" t="inlineStr">
        <is>
          <t xml:space="preserve">IINF20241</t>
        </is>
      </c>
      <c r="D1246" s="1" t="inlineStr">
        <is>
          <t xml:space="preserve">ELIMINADO</t>
        </is>
      </c>
      <c r="E1246" s="1" t="n">
        <v>61</v>
      </c>
      <c r="F1246" s="1" t="n">
        <v>92</v>
      </c>
      <c r="G1246" s="1" t="n">
        <f aca="false">IF(E1246=0,"",IF(D1246="VIGENTE",1,0))</f>
        <v>0</v>
      </c>
      <c r="H1246" s="1" t="inlineStr">
        <is>
          <t xml:space="preserve">B observado / C cálculo</t>
        </is>
      </c>
    </row>
    <row r="1247" customFormat="false" ht="15" hidden="false" customHeight="true" outlineLevel="0" collapsed="false">
      <c r="A1247" s="1" t="n">
        <v>2024</v>
      </c>
      <c r="B1247" s="1" t="n">
        <v>2</v>
      </c>
      <c r="C1247" s="1" t="inlineStr">
        <is>
          <t xml:space="preserve">IINF20241</t>
        </is>
      </c>
      <c r="D1247" s="1" t="inlineStr">
        <is>
          <t xml:space="preserve">SUSPENDIDO</t>
        </is>
      </c>
      <c r="E1247" s="1" t="n">
        <v>9</v>
      </c>
      <c r="F1247" s="1" t="n">
        <v>16</v>
      </c>
      <c r="G1247" s="1" t="n">
        <f aca="false">IF(E1247=0,"",IF(D1247="VIGENTE",1,0))</f>
        <v>0</v>
      </c>
      <c r="H1247" s="1" t="inlineStr">
        <is>
          <t xml:space="preserve">B observado / C cálculo</t>
        </is>
      </c>
    </row>
    <row r="1248" customFormat="false" ht="15" hidden="false" customHeight="true" outlineLevel="0" collapsed="false">
      <c r="A1248" s="1" t="n">
        <v>2024</v>
      </c>
      <c r="B1248" s="1" t="n">
        <v>2</v>
      </c>
      <c r="C1248" s="1" t="inlineStr">
        <is>
          <t xml:space="preserve">IINF20241</t>
        </is>
      </c>
      <c r="D1248" s="1" t="inlineStr">
        <is>
          <t xml:space="preserve">TITULADO</t>
        </is>
      </c>
      <c r="E1248" s="1" t="n">
        <v>11</v>
      </c>
      <c r="F1248" s="1" t="n">
        <v>22</v>
      </c>
      <c r="G1248" s="1" t="n">
        <f aca="false">IF(E1248=0,"",IF(D1248="VIGENTE",1,0))</f>
        <v>0</v>
      </c>
      <c r="H1248" s="1" t="inlineStr">
        <is>
          <t xml:space="preserve">B observado / C cálculo</t>
        </is>
      </c>
    </row>
    <row r="1249" customFormat="false" ht="15" hidden="false" customHeight="true" outlineLevel="0" collapsed="false">
      <c r="A1249" s="1" t="n">
        <v>2024</v>
      </c>
      <c r="B1249" s="1" t="n">
        <v>2</v>
      </c>
      <c r="C1249" s="1" t="inlineStr">
        <is>
          <t xml:space="preserve">IINF20241</t>
        </is>
      </c>
      <c r="D1249" s="1" t="inlineStr">
        <is>
          <t xml:space="preserve">VIGENTE</t>
        </is>
      </c>
      <c r="E1249" s="1" t="n">
        <v>82</v>
      </c>
      <c r="F1249" s="1" t="n">
        <v>134</v>
      </c>
      <c r="G1249" s="1" t="n">
        <f aca="false">IF(E1249=0,"",IF(D1249="VIGENTE",1,0))</f>
        <v>1</v>
      </c>
      <c r="H1249" s="1" t="inlineStr">
        <is>
          <t xml:space="preserve">B observado / C cálculo</t>
        </is>
      </c>
    </row>
    <row r="1250" customFormat="false" ht="15" hidden="false" customHeight="true" outlineLevel="0" collapsed="false">
      <c r="A1250" s="1" t="n">
        <v>2024</v>
      </c>
      <c r="B1250" s="1" t="n">
        <v>2</v>
      </c>
      <c r="C1250" s="1" t="inlineStr">
        <is>
          <t xml:space="preserve">ILOG20241</t>
        </is>
      </c>
      <c r="D1250" s="1" t="inlineStr">
        <is>
          <t xml:space="preserve">ELIMINADO</t>
        </is>
      </c>
      <c r="E1250" s="1" t="n">
        <v>4</v>
      </c>
      <c r="F1250" s="1" t="n">
        <v>6</v>
      </c>
      <c r="G1250" s="1" t="n">
        <f aca="false">IF(E1250=0,"",IF(D1250="VIGENTE",1,0))</f>
        <v>0</v>
      </c>
      <c r="H1250" s="1" t="inlineStr">
        <is>
          <t xml:space="preserve">B observado / C cálculo</t>
        </is>
      </c>
    </row>
    <row r="1251" customFormat="false" ht="15" hidden="false" customHeight="true" outlineLevel="0" collapsed="false">
      <c r="A1251" s="1" t="n">
        <v>2024</v>
      </c>
      <c r="B1251" s="1" t="n">
        <v>2</v>
      </c>
      <c r="C1251" s="1" t="inlineStr">
        <is>
          <t xml:space="preserve">ILOG20241</t>
        </is>
      </c>
      <c r="D1251" s="1" t="inlineStr">
        <is>
          <t xml:space="preserve">SUSPENDIDO</t>
        </is>
      </c>
      <c r="E1251" s="1" t="n">
        <v>1</v>
      </c>
      <c r="F1251" s="1" t="n">
        <v>2</v>
      </c>
      <c r="G1251" s="1" t="n">
        <f aca="false">IF(E1251=0,"",IF(D1251="VIGENTE",1,0))</f>
        <v>0</v>
      </c>
      <c r="H1251" s="1" t="inlineStr">
        <is>
          <t xml:space="preserve">B observado / C cálculo</t>
        </is>
      </c>
    </row>
    <row r="1252" customFormat="false" ht="15" hidden="false" customHeight="true" outlineLevel="0" collapsed="false">
      <c r="A1252" s="1" t="n">
        <v>2024</v>
      </c>
      <c r="B1252" s="1" t="n">
        <v>2</v>
      </c>
      <c r="C1252" s="1" t="inlineStr">
        <is>
          <t xml:space="preserve">ILOG20241</t>
        </is>
      </c>
      <c r="D1252" s="1" t="inlineStr">
        <is>
          <t xml:space="preserve">VIGENTE</t>
        </is>
      </c>
      <c r="E1252" s="1" t="n">
        <v>7</v>
      </c>
      <c r="F1252" s="1" t="n">
        <v>11</v>
      </c>
      <c r="G1252" s="1" t="n">
        <f aca="false">IF(E1252=0,"",IF(D1252="VIGENTE",1,0))</f>
        <v>1</v>
      </c>
      <c r="H1252" s="1" t="inlineStr">
        <is>
          <t xml:space="preserve">B observado / C cálculo</t>
        </is>
      </c>
    </row>
    <row r="1253" customFormat="false" ht="15" hidden="false" customHeight="true" outlineLevel="0" collapsed="false">
      <c r="A1253" s="1" t="n">
        <v>2024</v>
      </c>
      <c r="B1253" s="1" t="n">
        <v>2</v>
      </c>
      <c r="C1253" s="1" t="inlineStr">
        <is>
          <t xml:space="preserve">TAMD20241</t>
        </is>
      </c>
      <c r="D1253" s="1" t="inlineStr">
        <is>
          <t xml:space="preserve">ELIMINADO</t>
        </is>
      </c>
      <c r="E1253" s="1" t="n">
        <v>6</v>
      </c>
      <c r="F1253" s="1" t="n">
        <v>23</v>
      </c>
      <c r="G1253" s="1" t="n">
        <f aca="false">IF(E1253=0,"",IF(D1253="VIGENTE",1,0))</f>
        <v>0</v>
      </c>
      <c r="H1253" s="1" t="inlineStr">
        <is>
          <t xml:space="preserve">B observado / C cálculo</t>
        </is>
      </c>
    </row>
    <row r="1254" customFormat="false" ht="15" hidden="false" customHeight="true" outlineLevel="0" collapsed="false">
      <c r="A1254" s="1" t="n">
        <v>2024</v>
      </c>
      <c r="B1254" s="1" t="n">
        <v>2</v>
      </c>
      <c r="C1254" s="1" t="inlineStr">
        <is>
          <t xml:space="preserve">TAMD20241</t>
        </is>
      </c>
      <c r="D1254" s="1" t="inlineStr">
        <is>
          <t xml:space="preserve">SUSPENDIDO</t>
        </is>
      </c>
      <c r="E1254" s="1" t="n">
        <v>1</v>
      </c>
      <c r="F1254" s="1" t="n">
        <v>4</v>
      </c>
      <c r="G1254" s="1" t="n">
        <f aca="false">IF(E1254=0,"",IF(D1254="VIGENTE",1,0))</f>
        <v>0</v>
      </c>
      <c r="H1254" s="1" t="inlineStr">
        <is>
          <t xml:space="preserve">B observado / C cálculo</t>
        </is>
      </c>
    </row>
    <row r="1255" customFormat="false" ht="15" hidden="false" customHeight="true" outlineLevel="0" collapsed="false">
      <c r="A1255" s="1" t="n">
        <v>2024</v>
      </c>
      <c r="B1255" s="1" t="n">
        <v>2</v>
      </c>
      <c r="C1255" s="1" t="inlineStr">
        <is>
          <t xml:space="preserve">TAMD20241</t>
        </is>
      </c>
      <c r="D1255" s="1" t="inlineStr">
        <is>
          <t xml:space="preserve">TITULADO</t>
        </is>
      </c>
      <c r="E1255" s="1" t="n">
        <v>6</v>
      </c>
      <c r="F1255" s="1" t="n">
        <v>23</v>
      </c>
      <c r="G1255" s="1" t="n">
        <f aca="false">IF(E1255=0,"",IF(D1255="VIGENTE",1,0))</f>
        <v>0</v>
      </c>
      <c r="H1255" s="1" t="inlineStr">
        <is>
          <t xml:space="preserve">B observado / C cálculo</t>
        </is>
      </c>
    </row>
    <row r="1256" customFormat="false" ht="15" hidden="false" customHeight="true" outlineLevel="0" collapsed="false">
      <c r="A1256" s="1" t="n">
        <v>2024</v>
      </c>
      <c r="B1256" s="1" t="n">
        <v>2</v>
      </c>
      <c r="C1256" s="1" t="inlineStr">
        <is>
          <t xml:space="preserve">TAMD20241</t>
        </is>
      </c>
      <c r="D1256" s="1" t="inlineStr">
        <is>
          <t xml:space="preserve">VIGENTE</t>
        </is>
      </c>
      <c r="E1256" s="1" t="n">
        <v>1</v>
      </c>
      <c r="F1256" s="1" t="n">
        <v>4</v>
      </c>
      <c r="G1256" s="1" t="n">
        <f aca="false">IF(E1256=0,"",IF(D1256="VIGENTE",1,0))</f>
        <v>1</v>
      </c>
      <c r="H1256" s="1" t="inlineStr">
        <is>
          <t xml:space="preserve">B observado / C cálculo</t>
        </is>
      </c>
    </row>
    <row r="1257" customFormat="false" ht="15" hidden="false" customHeight="true" outlineLevel="0" collapsed="false">
      <c r="A1257" s="1" t="n">
        <v>2024</v>
      </c>
      <c r="B1257" s="1" t="n">
        <v>2</v>
      </c>
      <c r="C1257" s="1" t="inlineStr">
        <is>
          <t xml:space="preserve">TCIB20241</t>
        </is>
      </c>
      <c r="D1257" s="1" t="inlineStr">
        <is>
          <t xml:space="preserve">ELIMINADO</t>
        </is>
      </c>
      <c r="E1257" s="1" t="n">
        <v>45</v>
      </c>
      <c r="F1257" s="1" t="n">
        <v>155</v>
      </c>
      <c r="G1257" s="1" t="n">
        <f aca="false">IF(E1257=0,"",IF(D1257="VIGENTE",1,0))</f>
        <v>0</v>
      </c>
      <c r="H1257" s="1" t="inlineStr">
        <is>
          <t xml:space="preserve">B observado / C cálculo</t>
        </is>
      </c>
    </row>
    <row r="1258" customFormat="false" ht="15" hidden="false" customHeight="true" outlineLevel="0" collapsed="false">
      <c r="A1258" s="1" t="n">
        <v>2024</v>
      </c>
      <c r="B1258" s="1" t="n">
        <v>2</v>
      </c>
      <c r="C1258" s="1" t="inlineStr">
        <is>
          <t xml:space="preserve">TCIB20241</t>
        </is>
      </c>
      <c r="D1258" s="1" t="inlineStr">
        <is>
          <t xml:space="preserve">SUSPENDIDO</t>
        </is>
      </c>
      <c r="E1258" s="1" t="n">
        <v>5</v>
      </c>
      <c r="F1258" s="1" t="n">
        <v>14</v>
      </c>
      <c r="G1258" s="1" t="n">
        <f aca="false">IF(E1258=0,"",IF(D1258="VIGENTE",1,0))</f>
        <v>0</v>
      </c>
      <c r="H1258" s="1" t="inlineStr">
        <is>
          <t xml:space="preserve">B observado / C cálculo</t>
        </is>
      </c>
    </row>
    <row r="1259" customFormat="false" ht="15" hidden="false" customHeight="true" outlineLevel="0" collapsed="false">
      <c r="A1259" s="1" t="n">
        <v>2024</v>
      </c>
      <c r="B1259" s="1" t="n">
        <v>2</v>
      </c>
      <c r="C1259" s="1" t="inlineStr">
        <is>
          <t xml:space="preserve">TCIB20241</t>
        </is>
      </c>
      <c r="D1259" s="1" t="inlineStr">
        <is>
          <t xml:space="preserve">TITULADO</t>
        </is>
      </c>
      <c r="E1259" s="1" t="n">
        <v>47</v>
      </c>
      <c r="F1259" s="1" t="n">
        <v>147</v>
      </c>
      <c r="G1259" s="1" t="n">
        <f aca="false">IF(E1259=0,"",IF(D1259="VIGENTE",1,0))</f>
        <v>0</v>
      </c>
      <c r="H1259" s="1" t="inlineStr">
        <is>
          <t xml:space="preserve">B observado / C cálculo</t>
        </is>
      </c>
    </row>
    <row r="1260" customFormat="false" ht="15" hidden="false" customHeight="true" outlineLevel="0" collapsed="false">
      <c r="A1260" s="1" t="n">
        <v>2024</v>
      </c>
      <c r="B1260" s="1" t="n">
        <v>2</v>
      </c>
      <c r="C1260" s="1" t="inlineStr">
        <is>
          <t xml:space="preserve">TCIB20241</t>
        </is>
      </c>
      <c r="D1260" s="1" t="inlineStr">
        <is>
          <t xml:space="preserve">VIGENTE</t>
        </is>
      </c>
      <c r="E1260" s="1" t="n">
        <v>4</v>
      </c>
      <c r="F1260" s="1" t="n">
        <v>14</v>
      </c>
      <c r="G1260" s="1" t="n">
        <f aca="false">IF(E1260=0,"",IF(D1260="VIGENTE",1,0))</f>
        <v>1</v>
      </c>
      <c r="H1260" s="1" t="inlineStr">
        <is>
          <t xml:space="preserve">B observado / C cálculo</t>
        </is>
      </c>
    </row>
    <row r="1261" customFormat="false" ht="15" hidden="false" customHeight="true" outlineLevel="0" collapsed="false">
      <c r="A1261" s="1" t="n">
        <v>2024</v>
      </c>
      <c r="B1261" s="1" t="n">
        <v>2</v>
      </c>
      <c r="C1261" s="1" t="inlineStr">
        <is>
          <t xml:space="preserve">TCRE20241</t>
        </is>
      </c>
      <c r="D1261" s="1" t="inlineStr">
        <is>
          <t xml:space="preserve">ELIMINADO</t>
        </is>
      </c>
      <c r="E1261" s="1" t="n">
        <v>10</v>
      </c>
      <c r="F1261" s="1" t="n">
        <v>14</v>
      </c>
      <c r="G1261" s="1" t="n">
        <f aca="false">IF(E1261=0,"",IF(D1261="VIGENTE",1,0))</f>
        <v>0</v>
      </c>
      <c r="H1261" s="1" t="inlineStr">
        <is>
          <t xml:space="preserve">B observado / C cálculo</t>
        </is>
      </c>
    </row>
    <row r="1262" customFormat="false" ht="15" hidden="false" customHeight="true" outlineLevel="0" collapsed="false">
      <c r="A1262" s="1" t="n">
        <v>2024</v>
      </c>
      <c r="B1262" s="1" t="n">
        <v>2</v>
      </c>
      <c r="C1262" s="1" t="inlineStr">
        <is>
          <t xml:space="preserve">TCRE20241</t>
        </is>
      </c>
      <c r="D1262" s="1" t="inlineStr">
        <is>
          <t xml:space="preserve">TITULADO</t>
        </is>
      </c>
      <c r="E1262" s="1" t="n">
        <v>20</v>
      </c>
      <c r="F1262" s="1" t="n">
        <v>26</v>
      </c>
      <c r="G1262" s="1" t="n">
        <f aca="false">IF(E1262=0,"",IF(D1262="VIGENTE",1,0))</f>
        <v>0</v>
      </c>
      <c r="H1262" s="1" t="inlineStr">
        <is>
          <t xml:space="preserve">B observado / C cálculo</t>
        </is>
      </c>
    </row>
    <row r="1263" customFormat="false" ht="15" hidden="false" customHeight="true" outlineLevel="0" collapsed="false">
      <c r="A1263" s="1" t="n">
        <v>2024</v>
      </c>
      <c r="B1263" s="1" t="n">
        <v>2</v>
      </c>
      <c r="C1263" s="1" t="inlineStr">
        <is>
          <t xml:space="preserve">TCRE20241</t>
        </is>
      </c>
      <c r="D1263" s="1" t="inlineStr">
        <is>
          <t xml:space="preserve">VIGENTE</t>
        </is>
      </c>
      <c r="E1263" s="1" t="n">
        <v>6</v>
      </c>
      <c r="F1263" s="1" t="n">
        <v>9</v>
      </c>
      <c r="G1263" s="1" t="n">
        <f aca="false">IF(E1263=0,"",IF(D1263="VIGENTE",1,0))</f>
        <v>1</v>
      </c>
      <c r="H1263" s="1" t="inlineStr">
        <is>
          <t xml:space="preserve">B observado / C cálculo</t>
        </is>
      </c>
    </row>
    <row r="1264" customFormat="false" ht="15" hidden="false" customHeight="true" outlineLevel="0" collapsed="false">
      <c r="A1264" s="1" t="n">
        <v>2024</v>
      </c>
      <c r="B1264" s="1" t="n">
        <v>2</v>
      </c>
      <c r="C1264" s="1" t="inlineStr">
        <is>
          <t xml:space="preserve">TCSRE20211</t>
        </is>
      </c>
      <c r="D1264" s="1" t="inlineStr">
        <is>
          <t xml:space="preserve">TITULADO</t>
        </is>
      </c>
      <c r="E1264" s="1" t="n">
        <v>1</v>
      </c>
      <c r="F1264" s="1" t="n">
        <v>1</v>
      </c>
      <c r="G1264" s="1" t="n">
        <f aca="false">IF(E1264=0,"",IF(D1264="VIGENTE",1,0))</f>
        <v>0</v>
      </c>
      <c r="H1264" s="1" t="inlineStr">
        <is>
          <t xml:space="preserve">B observado / C cálculo</t>
        </is>
      </c>
    </row>
    <row r="1265" customFormat="false" ht="15" hidden="false" customHeight="true" outlineLevel="0" collapsed="false">
      <c r="A1265" s="1" t="n">
        <v>2024</v>
      </c>
      <c r="B1265" s="1" t="n">
        <v>2</v>
      </c>
      <c r="C1265" s="1" t="inlineStr">
        <is>
          <t xml:space="preserve">TCSREOL20211</t>
        </is>
      </c>
      <c r="D1265" s="1" t="inlineStr">
        <is>
          <t xml:space="preserve">TITULADO</t>
        </is>
      </c>
      <c r="E1265" s="1" t="n">
        <v>2</v>
      </c>
      <c r="F1265" s="1" t="n">
        <v>2</v>
      </c>
      <c r="G1265" s="1" t="n">
        <f aca="false">IF(E1265=0,"",IF(D1265="VIGENTE",1,0))</f>
        <v>0</v>
      </c>
      <c r="H1265" s="1" t="inlineStr">
        <is>
          <t xml:space="preserve">B observado / C cálculo</t>
        </is>
      </c>
    </row>
    <row r="1266" customFormat="false" ht="15" hidden="false" customHeight="true" outlineLevel="0" collapsed="false">
      <c r="A1266" s="1" t="n">
        <v>2024</v>
      </c>
      <c r="B1266" s="1" t="n">
        <v>2</v>
      </c>
      <c r="C1266" s="1" t="inlineStr">
        <is>
          <t xml:space="preserve">TCSREOL20211</t>
        </is>
      </c>
      <c r="D1266" s="1" t="inlineStr">
        <is>
          <t xml:space="preserve">VIGENTE</t>
        </is>
      </c>
      <c r="E1266" s="1" t="n">
        <v>1</v>
      </c>
      <c r="F1266" s="1" t="n">
        <v>1</v>
      </c>
      <c r="G1266" s="1" t="n">
        <f aca="false">IF(E1266=0,"",IF(D1266="VIGENTE",1,0))</f>
        <v>1</v>
      </c>
      <c r="H1266" s="1" t="inlineStr">
        <is>
          <t xml:space="preserve">B observado / C cálculo</t>
        </is>
      </c>
    </row>
    <row r="1267" customFormat="false" ht="15" hidden="false" customHeight="true" outlineLevel="0" collapsed="false">
      <c r="A1267" s="1" t="n">
        <v>2024</v>
      </c>
      <c r="B1267" s="1" t="n">
        <v>2</v>
      </c>
      <c r="C1267" s="1" t="inlineStr">
        <is>
          <t xml:space="preserve">TLOG20241</t>
        </is>
      </c>
      <c r="D1267" s="1" t="inlineStr">
        <is>
          <t xml:space="preserve">ELIMINADO</t>
        </is>
      </c>
      <c r="E1267" s="1" t="n">
        <v>5</v>
      </c>
      <c r="F1267" s="1" t="n">
        <v>5</v>
      </c>
      <c r="G1267" s="1" t="n">
        <f aca="false">IF(E1267=0,"",IF(D1267="VIGENTE",1,0))</f>
        <v>0</v>
      </c>
      <c r="H1267" s="1" t="inlineStr">
        <is>
          <t xml:space="preserve">B observado / C cálculo</t>
        </is>
      </c>
    </row>
    <row r="1268" customFormat="false" ht="15" hidden="false" customHeight="true" outlineLevel="0" collapsed="false">
      <c r="A1268" s="1" t="n">
        <v>2024</v>
      </c>
      <c r="B1268" s="1" t="n">
        <v>2</v>
      </c>
      <c r="C1268" s="1" t="inlineStr">
        <is>
          <t xml:space="preserve">TLOG20241</t>
        </is>
      </c>
      <c r="D1268" s="1" t="inlineStr">
        <is>
          <t xml:space="preserve">TITULADO</t>
        </is>
      </c>
      <c r="E1268" s="1" t="n">
        <v>7</v>
      </c>
      <c r="F1268" s="1" t="n">
        <v>13</v>
      </c>
      <c r="G1268" s="1" t="n">
        <f aca="false">IF(E1268=0,"",IF(D1268="VIGENTE",1,0))</f>
        <v>0</v>
      </c>
      <c r="H1268" s="1" t="inlineStr">
        <is>
          <t xml:space="preserve">B observado / C cálculo</t>
        </is>
      </c>
    </row>
    <row r="1269" customFormat="false" ht="15" hidden="false" customHeight="true" outlineLevel="0" collapsed="false">
      <c r="A1269" s="1" t="n">
        <v>2024</v>
      </c>
      <c r="B1269" s="1" t="n">
        <v>2</v>
      </c>
      <c r="C1269" s="1" t="inlineStr">
        <is>
          <t xml:space="preserve">TLOG20241</t>
        </is>
      </c>
      <c r="D1269" s="1" t="inlineStr">
        <is>
          <t xml:space="preserve">VIGENTE</t>
        </is>
      </c>
      <c r="E1269" s="1" t="n">
        <v>2</v>
      </c>
      <c r="F1269" s="1" t="n">
        <v>2</v>
      </c>
      <c r="G1269" s="1" t="n">
        <f aca="false">IF(E1269=0,"",IF(D1269="VIGENTE",1,0))</f>
        <v>1</v>
      </c>
      <c r="H1269" s="1" t="inlineStr">
        <is>
          <t xml:space="preserve">B observado / C cálculo</t>
        </is>
      </c>
    </row>
    <row r="1270" customFormat="false" ht="15" hidden="false" customHeight="true" outlineLevel="0" collapsed="false">
      <c r="A1270" s="1" t="n">
        <v>2024</v>
      </c>
      <c r="B1270" s="1" t="n">
        <v>2</v>
      </c>
      <c r="C1270" s="1" t="inlineStr">
        <is>
          <t xml:space="preserve">TPARE20211</t>
        </is>
      </c>
      <c r="D1270" s="1" t="inlineStr">
        <is>
          <t xml:space="preserve">TITULADO</t>
        </is>
      </c>
      <c r="E1270" s="1" t="n">
        <v>1</v>
      </c>
      <c r="F1270" s="1" t="n">
        <v>1</v>
      </c>
      <c r="G1270" s="1" t="n">
        <f aca="false">IF(E1270=0,"",IF(D1270="VIGENTE",1,0))</f>
        <v>0</v>
      </c>
      <c r="H1270" s="1" t="inlineStr">
        <is>
          <t xml:space="preserve">B observado / C cálculo</t>
        </is>
      </c>
    </row>
    <row r="1271" customFormat="false" ht="15" hidden="false" customHeight="true" outlineLevel="0" collapsed="false">
      <c r="A1271" s="1" t="n">
        <v>2024</v>
      </c>
      <c r="B1271" s="1" t="n">
        <v>2</v>
      </c>
      <c r="C1271" s="1" t="inlineStr">
        <is>
          <t xml:space="preserve">TPARE20211</t>
        </is>
      </c>
      <c r="D1271" s="1" t="inlineStr">
        <is>
          <t xml:space="preserve">VIGENTE</t>
        </is>
      </c>
      <c r="E1271" s="1" t="n">
        <v>1</v>
      </c>
      <c r="F1271" s="1" t="n">
        <v>2</v>
      </c>
      <c r="G1271" s="1" t="n">
        <f aca="false">IF(E1271=0,"",IF(D1271="VIGENTE",1,0))</f>
        <v>1</v>
      </c>
      <c r="H1271" s="1" t="inlineStr">
        <is>
          <t xml:space="preserve">B observado / C cálculo</t>
        </is>
      </c>
    </row>
    <row r="1272" customFormat="false" ht="15" hidden="false" customHeight="true" outlineLevel="0" collapsed="false">
      <c r="A1272" s="1" t="n">
        <v>2024</v>
      </c>
      <c r="B1272" s="1" t="n">
        <v>2</v>
      </c>
      <c r="C1272" s="1" t="inlineStr">
        <is>
          <t xml:space="preserve">TPAREOL20211</t>
        </is>
      </c>
      <c r="D1272" s="1" t="inlineStr">
        <is>
          <t xml:space="preserve">TITULADO</t>
        </is>
      </c>
      <c r="E1272" s="1" t="n">
        <v>9</v>
      </c>
      <c r="F1272" s="1" t="n">
        <v>17</v>
      </c>
      <c r="G1272" s="1" t="n">
        <f aca="false">IF(E1272=0,"",IF(D1272="VIGENTE",1,0))</f>
        <v>0</v>
      </c>
      <c r="H1272" s="1" t="inlineStr">
        <is>
          <t xml:space="preserve">B observado / C cálculo</t>
        </is>
      </c>
    </row>
    <row r="1273" customFormat="false" ht="15" hidden="false" customHeight="true" outlineLevel="0" collapsed="false">
      <c r="A1273" s="1" t="n">
        <v>2024</v>
      </c>
      <c r="B1273" s="1" t="n">
        <v>2</v>
      </c>
      <c r="C1273" s="1" t="inlineStr">
        <is>
          <t xml:space="preserve">TPAREOL20231</t>
        </is>
      </c>
      <c r="D1273" s="1" t="inlineStr">
        <is>
          <t xml:space="preserve">ELIMINADO</t>
        </is>
      </c>
      <c r="E1273" s="1" t="n">
        <v>3</v>
      </c>
      <c r="F1273" s="1" t="n">
        <v>5</v>
      </c>
      <c r="G1273" s="1" t="n">
        <f aca="false">IF(E1273=0,"",IF(D1273="VIGENTE",1,0))</f>
        <v>0</v>
      </c>
      <c r="H1273" s="1" t="inlineStr">
        <is>
          <t xml:space="preserve">B observado / C cálculo</t>
        </is>
      </c>
    </row>
    <row r="1274" customFormat="false" ht="15" hidden="false" customHeight="true" outlineLevel="0" collapsed="false">
      <c r="A1274" s="1" t="n">
        <v>2024</v>
      </c>
      <c r="B1274" s="1" t="n">
        <v>2</v>
      </c>
      <c r="C1274" s="1" t="inlineStr">
        <is>
          <t xml:space="preserve">TPAREOL20231</t>
        </is>
      </c>
      <c r="D1274" s="1" t="inlineStr">
        <is>
          <t xml:space="preserve">SUSPENDIDO</t>
        </is>
      </c>
      <c r="E1274" s="1" t="n">
        <v>1</v>
      </c>
      <c r="F1274" s="1" t="n">
        <v>1</v>
      </c>
      <c r="G1274" s="1" t="n">
        <f aca="false">IF(E1274=0,"",IF(D1274="VIGENTE",1,0))</f>
        <v>0</v>
      </c>
      <c r="H1274" s="1" t="inlineStr">
        <is>
          <t xml:space="preserve">B observado / C cálculo</t>
        </is>
      </c>
    </row>
    <row r="1275" customFormat="false" ht="15" hidden="false" customHeight="true" outlineLevel="0" collapsed="false">
      <c r="A1275" s="1" t="n">
        <v>2024</v>
      </c>
      <c r="B1275" s="1" t="n">
        <v>2</v>
      </c>
      <c r="C1275" s="1" t="inlineStr">
        <is>
          <t xml:space="preserve">TPAREOL20231</t>
        </is>
      </c>
      <c r="D1275" s="1" t="inlineStr">
        <is>
          <t xml:space="preserve">TITULADO</t>
        </is>
      </c>
      <c r="E1275" s="1" t="n">
        <v>7</v>
      </c>
      <c r="F1275" s="1" t="n">
        <v>7</v>
      </c>
      <c r="G1275" s="1" t="n">
        <f aca="false">IF(E1275=0,"",IF(D1275="VIGENTE",1,0))</f>
        <v>0</v>
      </c>
      <c r="H1275" s="1" t="inlineStr">
        <is>
          <t xml:space="preserve">B observado / C cálculo</t>
        </is>
      </c>
    </row>
    <row r="1276" customFormat="false" ht="15" hidden="false" customHeight="true" outlineLevel="0" collapsed="false">
      <c r="A1276" s="1" t="n">
        <v>2024</v>
      </c>
      <c r="B1276" s="1" t="n">
        <v>2</v>
      </c>
      <c r="C1276" s="1" t="inlineStr">
        <is>
          <t xml:space="preserve">TPAREOL20231</t>
        </is>
      </c>
      <c r="D1276" s="1" t="inlineStr">
        <is>
          <t xml:space="preserve">VIGENTE</t>
        </is>
      </c>
      <c r="E1276" s="1" t="n">
        <v>1</v>
      </c>
      <c r="F1276" s="1" t="n">
        <v>1</v>
      </c>
      <c r="G1276" s="1" t="n">
        <f aca="false">IF(E1276=0,"",IF(D1276="VIGENTE",1,0))</f>
        <v>1</v>
      </c>
      <c r="H1276" s="1" t="inlineStr">
        <is>
          <t xml:space="preserve">B observado / C cálculo</t>
        </is>
      </c>
    </row>
    <row r="1277" customFormat="false" ht="15" hidden="false" customHeight="true" outlineLevel="0" collapsed="false">
      <c r="A1277" s="1" t="n">
        <v>2024</v>
      </c>
      <c r="B1277" s="1" t="n">
        <v>2</v>
      </c>
      <c r="C1277" s="1" t="inlineStr">
        <is>
          <t xml:space="preserve">TPAS20241</t>
        </is>
      </c>
      <c r="D1277" s="1" t="inlineStr">
        <is>
          <t xml:space="preserve">ELIMINADO</t>
        </is>
      </c>
      <c r="E1277" s="1" t="n">
        <v>59</v>
      </c>
      <c r="F1277" s="1" t="n">
        <v>80</v>
      </c>
      <c r="G1277" s="1" t="n">
        <f aca="false">IF(E1277=0,"",IF(D1277="VIGENTE",1,0))</f>
        <v>0</v>
      </c>
      <c r="H1277" s="1" t="inlineStr">
        <is>
          <t xml:space="preserve">B observado / C cálculo</t>
        </is>
      </c>
    </row>
    <row r="1278" customFormat="false" ht="15" hidden="false" customHeight="true" outlineLevel="0" collapsed="false">
      <c r="A1278" s="1" t="n">
        <v>2024</v>
      </c>
      <c r="B1278" s="1" t="n">
        <v>2</v>
      </c>
      <c r="C1278" s="1" t="inlineStr">
        <is>
          <t xml:space="preserve">TPAS20241</t>
        </is>
      </c>
      <c r="D1278" s="1" t="inlineStr">
        <is>
          <t xml:space="preserve">SUSPENDIDO</t>
        </is>
      </c>
      <c r="E1278" s="1" t="n">
        <v>9</v>
      </c>
      <c r="F1278" s="1" t="n">
        <v>11</v>
      </c>
      <c r="G1278" s="1" t="n">
        <f aca="false">IF(E1278=0,"",IF(D1278="VIGENTE",1,0))</f>
        <v>0</v>
      </c>
      <c r="H1278" s="1" t="inlineStr">
        <is>
          <t xml:space="preserve">B observado / C cálculo</t>
        </is>
      </c>
    </row>
    <row r="1279" customFormat="false" ht="15" hidden="false" customHeight="true" outlineLevel="0" collapsed="false">
      <c r="A1279" s="1" t="n">
        <v>2024</v>
      </c>
      <c r="B1279" s="1" t="n">
        <v>2</v>
      </c>
      <c r="C1279" s="1" t="inlineStr">
        <is>
          <t xml:space="preserve">TPAS20241</t>
        </is>
      </c>
      <c r="D1279" s="1" t="inlineStr">
        <is>
          <t xml:space="preserve">TITULADO</t>
        </is>
      </c>
      <c r="E1279" s="1" t="n">
        <v>132</v>
      </c>
      <c r="F1279" s="1" t="n">
        <v>191</v>
      </c>
      <c r="G1279" s="1" t="n">
        <f aca="false">IF(E1279=0,"",IF(D1279="VIGENTE",1,0))</f>
        <v>0</v>
      </c>
      <c r="H1279" s="1" t="inlineStr">
        <is>
          <t xml:space="preserve">B observado / C cálculo</t>
        </is>
      </c>
    </row>
    <row r="1280" customFormat="false" ht="15" hidden="false" customHeight="true" outlineLevel="0" collapsed="false">
      <c r="A1280" s="1" t="n">
        <v>2024</v>
      </c>
      <c r="B1280" s="1" t="n">
        <v>2</v>
      </c>
      <c r="C1280" s="1" t="inlineStr">
        <is>
          <t xml:space="preserve">TPAS20241</t>
        </is>
      </c>
      <c r="D1280" s="1" t="inlineStr">
        <is>
          <t xml:space="preserve">VIGENTE</t>
        </is>
      </c>
      <c r="E1280" s="1" t="n">
        <v>19</v>
      </c>
      <c r="F1280" s="1" t="n">
        <v>26</v>
      </c>
      <c r="G1280" s="1" t="n">
        <f aca="false">IF(E1280=0,"",IF(D1280="VIGENTE",1,0))</f>
        <v>1</v>
      </c>
      <c r="H1280" s="1" t="inlineStr">
        <is>
          <t xml:space="preserve">B observado / C cálculo</t>
        </is>
      </c>
    </row>
    <row r="1281" customFormat="false" ht="15" hidden="false" customHeight="true" outlineLevel="0" collapsed="false">
      <c r="A1281" s="1" t="n">
        <v>2024</v>
      </c>
      <c r="B1281" s="1" t="n">
        <v>2</v>
      </c>
      <c r="C1281" s="1" t="inlineStr">
        <is>
          <t xml:space="preserve">TTMRE20211</t>
        </is>
      </c>
      <c r="D1281" s="1" t="inlineStr">
        <is>
          <t xml:space="preserve">TITULADO</t>
        </is>
      </c>
      <c r="E1281" s="1" t="n">
        <v>1</v>
      </c>
      <c r="F1281" s="1" t="n">
        <v>3</v>
      </c>
      <c r="G1281" s="1" t="n">
        <f aca="false">IF(E1281=0,"",IF(D1281="VIGENTE",1,0))</f>
        <v>0</v>
      </c>
      <c r="H1281" s="1" t="inlineStr">
        <is>
          <t xml:space="preserve">B observado / C cálculo</t>
        </is>
      </c>
    </row>
    <row r="1282" customFormat="false" ht="15" hidden="false" customHeight="true" outlineLevel="0" collapsed="false">
      <c r="A1282" s="1" t="n">
        <v>2024</v>
      </c>
      <c r="B1282" s="1" t="n">
        <v>2</v>
      </c>
      <c r="C1282" s="1" t="inlineStr">
        <is>
          <t xml:space="preserve">TTMREOL20191</t>
        </is>
      </c>
      <c r="D1282" s="1" t="inlineStr">
        <is>
          <t xml:space="preserve">TITULADO</t>
        </is>
      </c>
      <c r="E1282" s="1" t="n">
        <v>1</v>
      </c>
      <c r="F1282" s="1" t="n">
        <v>1</v>
      </c>
      <c r="G1282" s="1" t="n">
        <f aca="false">IF(E1282=0,"",IF(D1282="VIGENTE",1,0))</f>
        <v>0</v>
      </c>
      <c r="H1282" s="1" t="inlineStr">
        <is>
          <t xml:space="preserve">B observado / C cálculo</t>
        </is>
      </c>
    </row>
    <row r="1283" customFormat="false" ht="15" hidden="false" customHeight="true" outlineLevel="0" collapsed="false">
      <c r="A1283" s="1" t="n">
        <v>2024</v>
      </c>
      <c r="B1283" s="1" t="n">
        <v>2</v>
      </c>
      <c r="C1283" s="1" t="inlineStr">
        <is>
          <t xml:space="preserve">TTMREOL20211</t>
        </is>
      </c>
      <c r="D1283" s="1" t="inlineStr">
        <is>
          <t xml:space="preserve">TITULADO</t>
        </is>
      </c>
      <c r="E1283" s="1" t="n">
        <v>1</v>
      </c>
      <c r="F1283" s="1" t="n">
        <v>1</v>
      </c>
      <c r="G1283" s="1" t="n">
        <f aca="false">IF(E1283=0,"",IF(D1283="VIGENTE",1,0))</f>
        <v>0</v>
      </c>
      <c r="H1283" s="1" t="inlineStr">
        <is>
          <t xml:space="preserve">B observado / C cálculo</t>
        </is>
      </c>
    </row>
    <row r="1284" customFormat="false" ht="15" hidden="false" customHeight="true" outlineLevel="0" collapsed="false">
      <c r="A1284" s="1" t="n">
        <v>2024</v>
      </c>
      <c r="B1284" s="1" t="n">
        <v>2</v>
      </c>
      <c r="C1284" s="1" t="inlineStr">
        <is>
          <t xml:space="preserve">TTMREOL20231</t>
        </is>
      </c>
      <c r="D1284" s="1" t="inlineStr">
        <is>
          <t xml:space="preserve">TITULADO</t>
        </is>
      </c>
      <c r="E1284" s="1" t="n">
        <v>1</v>
      </c>
      <c r="F1284" s="1" t="n">
        <v>1</v>
      </c>
      <c r="G1284" s="1" t="n">
        <f aca="false">IF(E1284=0,"",IF(D1284="VIGENTE",1,0))</f>
        <v>0</v>
      </c>
      <c r="H1284" s="1" t="inlineStr">
        <is>
          <t xml:space="preserve">B observado / C cálculo</t>
        </is>
      </c>
    </row>
    <row r="1285" customFormat="false" ht="15" hidden="false" customHeight="true" outlineLevel="0" collapsed="false">
      <c r="A1285" s="1" t="n">
        <v>2024</v>
      </c>
      <c r="B1285" s="1" t="n">
        <v>3</v>
      </c>
      <c r="C1285" s="1" t="inlineStr">
        <is>
          <t xml:space="preserve">CICIB20241</t>
        </is>
      </c>
      <c r="D1285" s="1" t="inlineStr">
        <is>
          <t xml:space="preserve">ELIMINADO</t>
        </is>
      </c>
      <c r="E1285" s="1" t="n">
        <v>1</v>
      </c>
      <c r="F1285" s="1" t="n">
        <v>1</v>
      </c>
      <c r="G1285" s="1" t="n">
        <f aca="false">IF(E1285=0,"",IF(D1285="VIGENTE",1,0))</f>
        <v>0</v>
      </c>
      <c r="H1285" s="1" t="inlineStr">
        <is>
          <t xml:space="preserve">B observado / C cálculo</t>
        </is>
      </c>
    </row>
    <row r="1286" customFormat="false" ht="15" hidden="false" customHeight="true" outlineLevel="0" collapsed="false">
      <c r="A1286" s="1" t="n">
        <v>2024</v>
      </c>
      <c r="B1286" s="1" t="n">
        <v>3</v>
      </c>
      <c r="C1286" s="1" t="inlineStr">
        <is>
          <t xml:space="preserve">CICIB20241</t>
        </is>
      </c>
      <c r="D1286" s="1" t="inlineStr">
        <is>
          <t xml:space="preserve">TITULADO</t>
        </is>
      </c>
      <c r="E1286" s="1" t="n">
        <v>38</v>
      </c>
      <c r="F1286" s="1" t="n">
        <v>40</v>
      </c>
      <c r="G1286" s="1" t="n">
        <f aca="false">IF(E1286=0,"",IF(D1286="VIGENTE",1,0))</f>
        <v>0</v>
      </c>
      <c r="H1286" s="1" t="inlineStr">
        <is>
          <t xml:space="preserve">B observado / C cálculo</t>
        </is>
      </c>
    </row>
    <row r="1287" customFormat="false" ht="15" hidden="false" customHeight="true" outlineLevel="0" collapsed="false">
      <c r="A1287" s="1" t="n">
        <v>2024</v>
      </c>
      <c r="B1287" s="1" t="n">
        <v>3</v>
      </c>
      <c r="C1287" s="1" t="inlineStr">
        <is>
          <t xml:space="preserve">CICIB20241</t>
        </is>
      </c>
      <c r="D1287" s="1" t="inlineStr">
        <is>
          <t xml:space="preserve">VIGENTE</t>
        </is>
      </c>
      <c r="E1287" s="1" t="n">
        <v>1</v>
      </c>
      <c r="F1287" s="1" t="n">
        <v>2</v>
      </c>
      <c r="G1287" s="1" t="n">
        <f aca="false">IF(E1287=0,"",IF(D1287="VIGENTE",1,0))</f>
        <v>1</v>
      </c>
      <c r="H1287" s="1" t="inlineStr">
        <is>
          <t xml:space="preserve">B observado / C cálculo</t>
        </is>
      </c>
    </row>
    <row r="1288" customFormat="false" ht="15" hidden="false" customHeight="true" outlineLevel="0" collapsed="false">
      <c r="A1288" s="1" t="n">
        <v>2024</v>
      </c>
      <c r="B1288" s="1" t="n">
        <v>3</v>
      </c>
      <c r="C1288" s="1" t="inlineStr">
        <is>
          <t xml:space="preserve">CICRE20241</t>
        </is>
      </c>
      <c r="D1288" s="1" t="inlineStr">
        <is>
          <t xml:space="preserve">ELIMINADO</t>
        </is>
      </c>
      <c r="E1288" s="1" t="n">
        <v>5</v>
      </c>
      <c r="F1288" s="1" t="n">
        <v>8</v>
      </c>
      <c r="G1288" s="1" t="n">
        <f aca="false">IF(E1288=0,"",IF(D1288="VIGENTE",1,0))</f>
        <v>0</v>
      </c>
      <c r="H1288" s="1" t="inlineStr">
        <is>
          <t xml:space="preserve">B observado / C cálculo</t>
        </is>
      </c>
    </row>
    <row r="1289" customFormat="false" ht="15" hidden="false" customHeight="true" outlineLevel="0" collapsed="false">
      <c r="A1289" s="1" t="n">
        <v>2024</v>
      </c>
      <c r="B1289" s="1" t="n">
        <v>3</v>
      </c>
      <c r="C1289" s="1" t="inlineStr">
        <is>
          <t xml:space="preserve">CICRE20241</t>
        </is>
      </c>
      <c r="D1289" s="1" t="inlineStr">
        <is>
          <t xml:space="preserve">SUSPENDIDO</t>
        </is>
      </c>
      <c r="E1289" s="1" t="n">
        <v>1</v>
      </c>
      <c r="F1289" s="1" t="n">
        <v>1</v>
      </c>
      <c r="G1289" s="1" t="n">
        <f aca="false">IF(E1289=0,"",IF(D1289="VIGENTE",1,0))</f>
        <v>0</v>
      </c>
      <c r="H1289" s="1" t="inlineStr">
        <is>
          <t xml:space="preserve">B observado / C cálculo</t>
        </is>
      </c>
    </row>
    <row r="1290" customFormat="false" ht="15" hidden="false" customHeight="true" outlineLevel="0" collapsed="false">
      <c r="A1290" s="1" t="n">
        <v>2024</v>
      </c>
      <c r="B1290" s="1" t="n">
        <v>3</v>
      </c>
      <c r="C1290" s="1" t="inlineStr">
        <is>
          <t xml:space="preserve">CICRE20241</t>
        </is>
      </c>
      <c r="D1290" s="1" t="inlineStr">
        <is>
          <t xml:space="preserve">TITULADO</t>
        </is>
      </c>
      <c r="E1290" s="1" t="n">
        <v>42</v>
      </c>
      <c r="F1290" s="1" t="n">
        <v>44</v>
      </c>
      <c r="G1290" s="1" t="n">
        <f aca="false">IF(E1290=0,"",IF(D1290="VIGENTE",1,0))</f>
        <v>0</v>
      </c>
      <c r="H1290" s="1" t="inlineStr">
        <is>
          <t xml:space="preserve">B observado / C cálculo</t>
        </is>
      </c>
    </row>
    <row r="1291" customFormat="false" ht="15" hidden="false" customHeight="true" outlineLevel="0" collapsed="false">
      <c r="A1291" s="1" t="n">
        <v>2024</v>
      </c>
      <c r="B1291" s="1" t="n">
        <v>3</v>
      </c>
      <c r="C1291" s="1" t="inlineStr">
        <is>
          <t xml:space="preserve">CIINF20241</t>
        </is>
      </c>
      <c r="D1291" s="1" t="inlineStr">
        <is>
          <t xml:space="preserve">TITULADO</t>
        </is>
      </c>
      <c r="E1291" s="1" t="n">
        <v>22</v>
      </c>
      <c r="F1291" s="1" t="n">
        <v>22</v>
      </c>
      <c r="G1291" s="1" t="n">
        <f aca="false">IF(E1291=0,"",IF(D1291="VIGENTE",1,0))</f>
        <v>0</v>
      </c>
      <c r="H1291" s="1" t="inlineStr">
        <is>
          <t xml:space="preserve">B observado / C cálculo</t>
        </is>
      </c>
    </row>
    <row r="1292" customFormat="false" ht="15" hidden="false" customHeight="true" outlineLevel="0" collapsed="false">
      <c r="A1292" s="1" t="n">
        <v>2024</v>
      </c>
      <c r="B1292" s="1" t="n">
        <v>3</v>
      </c>
      <c r="C1292" s="1" t="inlineStr">
        <is>
          <t xml:space="preserve">CIINF20241</t>
        </is>
      </c>
      <c r="D1292" s="1" t="inlineStr">
        <is>
          <t xml:space="preserve">VIGENTE</t>
        </is>
      </c>
      <c r="E1292" s="1" t="n">
        <v>1</v>
      </c>
      <c r="F1292" s="1" t="n">
        <v>1</v>
      </c>
      <c r="G1292" s="1" t="n">
        <f aca="false">IF(E1292=0,"",IF(D1292="VIGENTE",1,0))</f>
        <v>1</v>
      </c>
      <c r="H1292" s="1" t="inlineStr">
        <is>
          <t xml:space="preserve">B observado / C cálculo</t>
        </is>
      </c>
    </row>
    <row r="1293" customFormat="false" ht="15" hidden="false" customHeight="true" outlineLevel="0" collapsed="false">
      <c r="A1293" s="1" t="n">
        <v>2024</v>
      </c>
      <c r="B1293" s="1" t="n">
        <v>3</v>
      </c>
      <c r="C1293" s="1" t="inlineStr">
        <is>
          <t xml:space="preserve">IADM20241</t>
        </is>
      </c>
      <c r="D1293" s="1" t="inlineStr">
        <is>
          <t xml:space="preserve">ELIMINADO</t>
        </is>
      </c>
      <c r="E1293" s="1" t="n">
        <v>21</v>
      </c>
      <c r="F1293" s="1" t="n">
        <v>89</v>
      </c>
      <c r="G1293" s="1" t="n">
        <f aca="false">IF(E1293=0,"",IF(D1293="VIGENTE",1,0))</f>
        <v>0</v>
      </c>
      <c r="H1293" s="1" t="inlineStr">
        <is>
          <t xml:space="preserve">B observado / C cálculo</t>
        </is>
      </c>
    </row>
    <row r="1294" customFormat="false" ht="15" hidden="false" customHeight="true" outlineLevel="0" collapsed="false">
      <c r="A1294" s="1" t="n">
        <v>2024</v>
      </c>
      <c r="B1294" s="1" t="n">
        <v>3</v>
      </c>
      <c r="C1294" s="1" t="inlineStr">
        <is>
          <t xml:space="preserve">IADM20241</t>
        </is>
      </c>
      <c r="D1294" s="1" t="inlineStr">
        <is>
          <t xml:space="preserve">VIGENTE</t>
        </is>
      </c>
      <c r="E1294" s="1" t="n">
        <v>7</v>
      </c>
      <c r="F1294" s="1" t="n">
        <v>31</v>
      </c>
      <c r="G1294" s="1" t="n">
        <f aca="false">IF(E1294=0,"",IF(D1294="VIGENTE",1,0))</f>
        <v>1</v>
      </c>
      <c r="H1294" s="1" t="inlineStr">
        <is>
          <t xml:space="preserve">B observado / C cálculo</t>
        </is>
      </c>
    </row>
    <row r="1295" customFormat="false" ht="15" hidden="false" customHeight="true" outlineLevel="0" collapsed="false">
      <c r="A1295" s="1" t="n">
        <v>2024</v>
      </c>
      <c r="B1295" s="1" t="n">
        <v>3</v>
      </c>
      <c r="C1295" s="1" t="inlineStr">
        <is>
          <t xml:space="preserve">ICIB20241</t>
        </is>
      </c>
      <c r="D1295" s="1" t="inlineStr">
        <is>
          <t xml:space="preserve">ELIMINADO</t>
        </is>
      </c>
      <c r="E1295" s="1" t="n">
        <v>36</v>
      </c>
      <c r="F1295" s="1" t="n">
        <v>165</v>
      </c>
      <c r="G1295" s="1" t="n">
        <f aca="false">IF(E1295=0,"",IF(D1295="VIGENTE",1,0))</f>
        <v>0</v>
      </c>
      <c r="H1295" s="1" t="inlineStr">
        <is>
          <t xml:space="preserve">B observado / C cálculo</t>
        </is>
      </c>
    </row>
    <row r="1296" customFormat="false" ht="15" hidden="false" customHeight="true" outlineLevel="0" collapsed="false">
      <c r="A1296" s="1" t="n">
        <v>2024</v>
      </c>
      <c r="B1296" s="1" t="n">
        <v>3</v>
      </c>
      <c r="C1296" s="1" t="inlineStr">
        <is>
          <t xml:space="preserve">ICIB20241</t>
        </is>
      </c>
      <c r="D1296" s="1" t="inlineStr">
        <is>
          <t xml:space="preserve">SUSPENDIDO</t>
        </is>
      </c>
      <c r="E1296" s="1" t="n">
        <v>4</v>
      </c>
      <c r="F1296" s="1" t="n">
        <v>17</v>
      </c>
      <c r="G1296" s="1" t="n">
        <f aca="false">IF(E1296=0,"",IF(D1296="VIGENTE",1,0))</f>
        <v>0</v>
      </c>
      <c r="H1296" s="1" t="inlineStr">
        <is>
          <t xml:space="preserve">B observado / C cálculo</t>
        </is>
      </c>
    </row>
    <row r="1297" customFormat="false" ht="15" hidden="false" customHeight="true" outlineLevel="0" collapsed="false">
      <c r="A1297" s="1" t="n">
        <v>2024</v>
      </c>
      <c r="B1297" s="1" t="n">
        <v>3</v>
      </c>
      <c r="C1297" s="1" t="inlineStr">
        <is>
          <t xml:space="preserve">ICIB20241</t>
        </is>
      </c>
      <c r="D1297" s="1" t="inlineStr">
        <is>
          <t xml:space="preserve">TITULADO</t>
        </is>
      </c>
      <c r="E1297" s="1" t="n">
        <v>17</v>
      </c>
      <c r="F1297" s="1" t="n">
        <v>22</v>
      </c>
      <c r="G1297" s="1" t="n">
        <f aca="false">IF(E1297=0,"",IF(D1297="VIGENTE",1,0))</f>
        <v>0</v>
      </c>
      <c r="H1297" s="1" t="inlineStr">
        <is>
          <t xml:space="preserve">B observado / C cálculo</t>
        </is>
      </c>
    </row>
    <row r="1298" customFormat="false" ht="15" hidden="false" customHeight="true" outlineLevel="0" collapsed="false">
      <c r="A1298" s="1" t="n">
        <v>2024</v>
      </c>
      <c r="B1298" s="1" t="n">
        <v>3</v>
      </c>
      <c r="C1298" s="1" t="inlineStr">
        <is>
          <t xml:space="preserve">ICIB20241</t>
        </is>
      </c>
      <c r="D1298" s="1" t="inlineStr">
        <is>
          <t xml:space="preserve">VIGENTE</t>
        </is>
      </c>
      <c r="E1298" s="1" t="n">
        <v>98</v>
      </c>
      <c r="F1298" s="1" t="n">
        <v>332</v>
      </c>
      <c r="G1298" s="1" t="n">
        <f aca="false">IF(E1298=0,"",IF(D1298="VIGENTE",1,0))</f>
        <v>1</v>
      </c>
      <c r="H1298" s="1" t="inlineStr">
        <is>
          <t xml:space="preserve">B observado / C cálculo</t>
        </is>
      </c>
    </row>
    <row r="1299" customFormat="false" ht="15" hidden="false" customHeight="true" outlineLevel="0" collapsed="false">
      <c r="A1299" s="1" t="n">
        <v>2024</v>
      </c>
      <c r="B1299" s="1" t="n">
        <v>3</v>
      </c>
      <c r="C1299" s="1" t="inlineStr">
        <is>
          <t xml:space="preserve">ICRE20241</t>
        </is>
      </c>
      <c r="D1299" s="1" t="inlineStr">
        <is>
          <t xml:space="preserve">ELIMINADO</t>
        </is>
      </c>
      <c r="E1299" s="1" t="n">
        <v>16</v>
      </c>
      <c r="F1299" s="1" t="n">
        <v>27</v>
      </c>
      <c r="G1299" s="1" t="n">
        <f aca="false">IF(E1299=0,"",IF(D1299="VIGENTE",1,0))</f>
        <v>0</v>
      </c>
      <c r="H1299" s="1" t="inlineStr">
        <is>
          <t xml:space="preserve">B observado / C cálculo</t>
        </is>
      </c>
    </row>
    <row r="1300" customFormat="false" ht="15" hidden="false" customHeight="true" outlineLevel="0" collapsed="false">
      <c r="A1300" s="1" t="n">
        <v>2024</v>
      </c>
      <c r="B1300" s="1" t="n">
        <v>3</v>
      </c>
      <c r="C1300" s="1" t="inlineStr">
        <is>
          <t xml:space="preserve">ICRE20241</t>
        </is>
      </c>
      <c r="D1300" s="1" t="inlineStr">
        <is>
          <t xml:space="preserve">SUSPENDIDO</t>
        </is>
      </c>
      <c r="E1300" s="1" t="n">
        <v>1</v>
      </c>
      <c r="F1300" s="1" t="n">
        <v>2</v>
      </c>
      <c r="G1300" s="1" t="n">
        <f aca="false">IF(E1300=0,"",IF(D1300="VIGENTE",1,0))</f>
        <v>0</v>
      </c>
      <c r="H1300" s="1" t="inlineStr">
        <is>
          <t xml:space="preserve">B observado / C cálculo</t>
        </is>
      </c>
    </row>
    <row r="1301" customFormat="false" ht="15" hidden="false" customHeight="true" outlineLevel="0" collapsed="false">
      <c r="A1301" s="1" t="n">
        <v>2024</v>
      </c>
      <c r="B1301" s="1" t="n">
        <v>3</v>
      </c>
      <c r="C1301" s="1" t="inlineStr">
        <is>
          <t xml:space="preserve">ICRE20241</t>
        </is>
      </c>
      <c r="D1301" s="1" t="inlineStr">
        <is>
          <t xml:space="preserve">TITULADO</t>
        </is>
      </c>
      <c r="E1301" s="1" t="n">
        <v>8</v>
      </c>
      <c r="F1301" s="1" t="n">
        <v>12</v>
      </c>
      <c r="G1301" s="1" t="n">
        <f aca="false">IF(E1301=0,"",IF(D1301="VIGENTE",1,0))</f>
        <v>0</v>
      </c>
      <c r="H1301" s="1" t="inlineStr">
        <is>
          <t xml:space="preserve">B observado / C cálculo</t>
        </is>
      </c>
    </row>
    <row r="1302" customFormat="false" ht="15" hidden="false" customHeight="true" outlineLevel="0" collapsed="false">
      <c r="A1302" s="1" t="n">
        <v>2024</v>
      </c>
      <c r="B1302" s="1" t="n">
        <v>3</v>
      </c>
      <c r="C1302" s="1" t="inlineStr">
        <is>
          <t xml:space="preserve">ICRE20241</t>
        </is>
      </c>
      <c r="D1302" s="1" t="inlineStr">
        <is>
          <t xml:space="preserve">VIGENTE</t>
        </is>
      </c>
      <c r="E1302" s="1" t="n">
        <v>59</v>
      </c>
      <c r="F1302" s="1" t="n">
        <v>118</v>
      </c>
      <c r="G1302" s="1" t="n">
        <f aca="false">IF(E1302=0,"",IF(D1302="VIGENTE",1,0))</f>
        <v>1</v>
      </c>
      <c r="H1302" s="1" t="inlineStr">
        <is>
          <t xml:space="preserve">B observado / C cálculo</t>
        </is>
      </c>
    </row>
    <row r="1303" customFormat="false" ht="15" hidden="false" customHeight="true" outlineLevel="0" collapsed="false">
      <c r="A1303" s="1" t="n">
        <v>2024</v>
      </c>
      <c r="B1303" s="1" t="n">
        <v>3</v>
      </c>
      <c r="C1303" s="1" t="inlineStr">
        <is>
          <t xml:space="preserve">IECIRE20211</t>
        </is>
      </c>
      <c r="D1303" s="1" t="inlineStr">
        <is>
          <t xml:space="preserve">TITULADO</t>
        </is>
      </c>
      <c r="E1303" s="1" t="n">
        <v>2</v>
      </c>
      <c r="F1303" s="1" t="n">
        <v>2</v>
      </c>
      <c r="G1303" s="1" t="n">
        <f aca="false">IF(E1303=0,"",IF(D1303="VIGENTE",1,0))</f>
        <v>0</v>
      </c>
      <c r="H1303" s="1" t="inlineStr">
        <is>
          <t xml:space="preserve">B observado / C cálculo</t>
        </is>
      </c>
    </row>
    <row r="1304" customFormat="false" ht="15" hidden="false" customHeight="true" outlineLevel="0" collapsed="false">
      <c r="A1304" s="1" t="n">
        <v>2024</v>
      </c>
      <c r="B1304" s="1" t="n">
        <v>3</v>
      </c>
      <c r="C1304" s="1" t="inlineStr">
        <is>
          <t xml:space="preserve">IECIREOL20201</t>
        </is>
      </c>
      <c r="D1304" s="1" t="inlineStr">
        <is>
          <t xml:space="preserve">TITULADO</t>
        </is>
      </c>
      <c r="E1304" s="1" t="n">
        <v>4</v>
      </c>
      <c r="F1304" s="1" t="n">
        <v>11</v>
      </c>
      <c r="G1304" s="1" t="n">
        <f aca="false">IF(E1304=0,"",IF(D1304="VIGENTE",1,0))</f>
        <v>0</v>
      </c>
      <c r="H1304" s="1" t="inlineStr">
        <is>
          <t xml:space="preserve">B observado / C cálculo</t>
        </is>
      </c>
    </row>
    <row r="1305" customFormat="false" ht="15" hidden="false" customHeight="true" outlineLevel="0" collapsed="false">
      <c r="A1305" s="1" t="n">
        <v>2024</v>
      </c>
      <c r="B1305" s="1" t="n">
        <v>3</v>
      </c>
      <c r="C1305" s="1" t="inlineStr">
        <is>
          <t xml:space="preserve">IECIREOL20211</t>
        </is>
      </c>
      <c r="D1305" s="1" t="inlineStr">
        <is>
          <t xml:space="preserve">ELIMINADO</t>
        </is>
      </c>
      <c r="E1305" s="1" t="n">
        <v>1</v>
      </c>
      <c r="F1305" s="1" t="n">
        <v>2</v>
      </c>
      <c r="G1305" s="1" t="n">
        <f aca="false">IF(E1305=0,"",IF(D1305="VIGENTE",1,0))</f>
        <v>0</v>
      </c>
      <c r="H1305" s="1" t="inlineStr">
        <is>
          <t xml:space="preserve">B observado / C cálculo</t>
        </is>
      </c>
    </row>
    <row r="1306" customFormat="false" ht="15" hidden="false" customHeight="true" outlineLevel="0" collapsed="false">
      <c r="A1306" s="1" t="n">
        <v>2024</v>
      </c>
      <c r="B1306" s="1" t="n">
        <v>3</v>
      </c>
      <c r="C1306" s="1" t="inlineStr">
        <is>
          <t xml:space="preserve">IECIREOL20211</t>
        </is>
      </c>
      <c r="D1306" s="1" t="inlineStr">
        <is>
          <t xml:space="preserve">TITULADO</t>
        </is>
      </c>
      <c r="E1306" s="1" t="n">
        <v>63</v>
      </c>
      <c r="F1306" s="1" t="n">
        <v>163</v>
      </c>
      <c r="G1306" s="1" t="n">
        <f aca="false">IF(E1306=0,"",IF(D1306="VIGENTE",1,0))</f>
        <v>0</v>
      </c>
      <c r="H1306" s="1" t="inlineStr">
        <is>
          <t xml:space="preserve">B observado / C cálculo</t>
        </is>
      </c>
    </row>
    <row r="1307" customFormat="false" ht="15" hidden="false" customHeight="true" outlineLevel="0" collapsed="false">
      <c r="A1307" s="1" t="n">
        <v>2024</v>
      </c>
      <c r="B1307" s="1" t="n">
        <v>3</v>
      </c>
      <c r="C1307" s="1" t="inlineStr">
        <is>
          <t xml:space="preserve">IECIREOL20211</t>
        </is>
      </c>
      <c r="D1307" s="1" t="inlineStr">
        <is>
          <t xml:space="preserve">VIGENTE</t>
        </is>
      </c>
      <c r="E1307" s="1" t="n">
        <v>1</v>
      </c>
      <c r="F1307" s="1" t="n">
        <v>3</v>
      </c>
      <c r="G1307" s="1" t="n">
        <f aca="false">IF(E1307=0,"",IF(D1307="VIGENTE",1,0))</f>
        <v>1</v>
      </c>
      <c r="H1307" s="1" t="inlineStr">
        <is>
          <t xml:space="preserve">B observado / C cálculo</t>
        </is>
      </c>
    </row>
    <row r="1308" customFormat="false" ht="15" hidden="false" customHeight="true" outlineLevel="0" collapsed="false">
      <c r="A1308" s="1" t="n">
        <v>2024</v>
      </c>
      <c r="B1308" s="1" t="n">
        <v>3</v>
      </c>
      <c r="C1308" s="1" t="inlineStr">
        <is>
          <t xml:space="preserve">IECSREOL20211</t>
        </is>
      </c>
      <c r="D1308" s="1" t="inlineStr">
        <is>
          <t xml:space="preserve">TITULADO</t>
        </is>
      </c>
      <c r="E1308" s="1" t="n">
        <v>52</v>
      </c>
      <c r="F1308" s="1" t="n">
        <v>89</v>
      </c>
      <c r="G1308" s="1" t="n">
        <f aca="false">IF(E1308=0,"",IF(D1308="VIGENTE",1,0))</f>
        <v>0</v>
      </c>
      <c r="H1308" s="1" t="inlineStr">
        <is>
          <t xml:space="preserve">B observado / C cálculo</t>
        </is>
      </c>
    </row>
    <row r="1309" customFormat="false" ht="15" hidden="false" customHeight="true" outlineLevel="0" collapsed="false">
      <c r="A1309" s="1" t="n">
        <v>2024</v>
      </c>
      <c r="B1309" s="1" t="n">
        <v>3</v>
      </c>
      <c r="C1309" s="1" t="inlineStr">
        <is>
          <t xml:space="preserve">IECSREOL20211</t>
        </is>
      </c>
      <c r="D1309" s="1" t="inlineStr">
        <is>
          <t xml:space="preserve">VIGENTE</t>
        </is>
      </c>
      <c r="E1309" s="1" t="n">
        <v>2</v>
      </c>
      <c r="F1309" s="1" t="n">
        <v>4</v>
      </c>
      <c r="G1309" s="1" t="n">
        <f aca="false">IF(E1309=0,"",IF(D1309="VIGENTE",1,0))</f>
        <v>1</v>
      </c>
      <c r="H1309" s="1" t="inlineStr">
        <is>
          <t xml:space="preserve">B observado / C cálculo</t>
        </is>
      </c>
    </row>
    <row r="1310" customFormat="false" ht="15" hidden="false" customHeight="true" outlineLevel="0" collapsed="false">
      <c r="A1310" s="1" t="n">
        <v>2024</v>
      </c>
      <c r="B1310" s="1" t="n">
        <v>3</v>
      </c>
      <c r="C1310" s="1" t="inlineStr">
        <is>
          <t xml:space="preserve">IETMREOL20211</t>
        </is>
      </c>
      <c r="D1310" s="1" t="inlineStr">
        <is>
          <t xml:space="preserve">TITULADO</t>
        </is>
      </c>
      <c r="E1310" s="1" t="n">
        <v>77</v>
      </c>
      <c r="F1310" s="1" t="n">
        <v>151</v>
      </c>
      <c r="G1310" s="1" t="n">
        <f aca="false">IF(E1310=0,"",IF(D1310="VIGENTE",1,0))</f>
        <v>0</v>
      </c>
      <c r="H1310" s="1" t="inlineStr">
        <is>
          <t xml:space="preserve">B observado / C cálculo</t>
        </is>
      </c>
    </row>
    <row r="1311" customFormat="false" ht="15" hidden="false" customHeight="true" outlineLevel="0" collapsed="false">
      <c r="A1311" s="1" t="n">
        <v>2024</v>
      </c>
      <c r="B1311" s="1" t="n">
        <v>3</v>
      </c>
      <c r="C1311" s="1" t="inlineStr">
        <is>
          <t xml:space="preserve">IETMREOL20211</t>
        </is>
      </c>
      <c r="D1311" s="1" t="inlineStr">
        <is>
          <t xml:space="preserve">VIGENTE</t>
        </is>
      </c>
      <c r="E1311" s="1" t="n">
        <v>2</v>
      </c>
      <c r="F1311" s="1" t="n">
        <v>4</v>
      </c>
      <c r="G1311" s="1" t="n">
        <f aca="false">IF(E1311=0,"",IF(D1311="VIGENTE",1,0))</f>
        <v>1</v>
      </c>
      <c r="H1311" s="1" t="inlineStr">
        <is>
          <t xml:space="preserve">B observado / C cálculo</t>
        </is>
      </c>
    </row>
    <row r="1312" customFormat="false" ht="15" hidden="false" customHeight="true" outlineLevel="0" collapsed="false">
      <c r="A1312" s="1" t="n">
        <v>2024</v>
      </c>
      <c r="B1312" s="1" t="n">
        <v>3</v>
      </c>
      <c r="C1312" s="1" t="inlineStr">
        <is>
          <t xml:space="preserve">IINF20241</t>
        </is>
      </c>
      <c r="D1312" s="1" t="inlineStr">
        <is>
          <t xml:space="preserve">ELIMINADO</t>
        </is>
      </c>
      <c r="E1312" s="1" t="n">
        <v>52</v>
      </c>
      <c r="F1312" s="1" t="n">
        <v>94</v>
      </c>
      <c r="G1312" s="1" t="n">
        <f aca="false">IF(E1312=0,"",IF(D1312="VIGENTE",1,0))</f>
        <v>0</v>
      </c>
      <c r="H1312" s="1" t="inlineStr">
        <is>
          <t xml:space="preserve">B observado / C cálculo</t>
        </is>
      </c>
    </row>
    <row r="1313" customFormat="false" ht="15" hidden="false" customHeight="true" outlineLevel="0" collapsed="false">
      <c r="A1313" s="1" t="n">
        <v>2024</v>
      </c>
      <c r="B1313" s="1" t="n">
        <v>3</v>
      </c>
      <c r="C1313" s="1" t="inlineStr">
        <is>
          <t xml:space="preserve">IINF20241</t>
        </is>
      </c>
      <c r="D1313" s="1" t="inlineStr">
        <is>
          <t xml:space="preserve">SUSPENDIDO</t>
        </is>
      </c>
      <c r="E1313" s="1" t="n">
        <v>7</v>
      </c>
      <c r="F1313" s="1" t="n">
        <v>11</v>
      </c>
      <c r="G1313" s="1" t="n">
        <f aca="false">IF(E1313=0,"",IF(D1313="VIGENTE",1,0))</f>
        <v>0</v>
      </c>
      <c r="H1313" s="1" t="inlineStr">
        <is>
          <t xml:space="preserve">B observado / C cálculo</t>
        </is>
      </c>
    </row>
    <row r="1314" customFormat="false" ht="15" hidden="false" customHeight="true" outlineLevel="0" collapsed="false">
      <c r="A1314" s="1" t="n">
        <v>2024</v>
      </c>
      <c r="B1314" s="1" t="n">
        <v>3</v>
      </c>
      <c r="C1314" s="1" t="inlineStr">
        <is>
          <t xml:space="preserve">IINF20241</t>
        </is>
      </c>
      <c r="D1314" s="1" t="inlineStr">
        <is>
          <t xml:space="preserve">TITULADO</t>
        </is>
      </c>
      <c r="E1314" s="1" t="n">
        <v>4</v>
      </c>
      <c r="F1314" s="1" t="n">
        <v>5</v>
      </c>
      <c r="G1314" s="1" t="n">
        <f aca="false">IF(E1314=0,"",IF(D1314="VIGENTE",1,0))</f>
        <v>0</v>
      </c>
      <c r="H1314" s="1" t="inlineStr">
        <is>
          <t xml:space="preserve">B observado / C cálculo</t>
        </is>
      </c>
    </row>
    <row r="1315" customFormat="false" ht="15" hidden="false" customHeight="true" outlineLevel="0" collapsed="false">
      <c r="A1315" s="1" t="n">
        <v>2024</v>
      </c>
      <c r="B1315" s="1" t="n">
        <v>3</v>
      </c>
      <c r="C1315" s="1" t="inlineStr">
        <is>
          <t xml:space="preserve">IINF20241</t>
        </is>
      </c>
      <c r="D1315" s="1" t="inlineStr">
        <is>
          <t xml:space="preserve">VIGENTE</t>
        </is>
      </c>
      <c r="E1315" s="1" t="n">
        <v>87</v>
      </c>
      <c r="F1315" s="1" t="n">
        <v>183</v>
      </c>
      <c r="G1315" s="1" t="n">
        <f aca="false">IF(E1315=0,"",IF(D1315="VIGENTE",1,0))</f>
        <v>1</v>
      </c>
      <c r="H1315" s="1" t="inlineStr">
        <is>
          <t xml:space="preserve">B observado / C cálculo</t>
        </is>
      </c>
    </row>
    <row r="1316" customFormat="false" ht="15" hidden="false" customHeight="true" outlineLevel="0" collapsed="false">
      <c r="A1316" s="1" t="n">
        <v>2024</v>
      </c>
      <c r="B1316" s="1" t="n">
        <v>3</v>
      </c>
      <c r="C1316" s="1" t="inlineStr">
        <is>
          <t xml:space="preserve">ILOG20241</t>
        </is>
      </c>
      <c r="D1316" s="1" t="inlineStr">
        <is>
          <t xml:space="preserve">ELIMINADO</t>
        </is>
      </c>
      <c r="E1316" s="1" t="n">
        <v>2</v>
      </c>
      <c r="F1316" s="1" t="n">
        <v>5</v>
      </c>
      <c r="G1316" s="1" t="n">
        <f aca="false">IF(E1316=0,"",IF(D1316="VIGENTE",1,0))</f>
        <v>0</v>
      </c>
      <c r="H1316" s="1" t="inlineStr">
        <is>
          <t xml:space="preserve">B observado / C cálculo</t>
        </is>
      </c>
    </row>
    <row r="1317" customFormat="false" ht="15" hidden="false" customHeight="true" outlineLevel="0" collapsed="false">
      <c r="A1317" s="1" t="n">
        <v>2024</v>
      </c>
      <c r="B1317" s="1" t="n">
        <v>3</v>
      </c>
      <c r="C1317" s="1" t="inlineStr">
        <is>
          <t xml:space="preserve">ILOG20241</t>
        </is>
      </c>
      <c r="D1317" s="1" t="inlineStr">
        <is>
          <t xml:space="preserve">SUSPENDIDO</t>
        </is>
      </c>
      <c r="E1317" s="1" t="n">
        <v>1</v>
      </c>
      <c r="F1317" s="1" t="n">
        <v>2</v>
      </c>
      <c r="G1317" s="1" t="n">
        <f aca="false">IF(E1317=0,"",IF(D1317="VIGENTE",1,0))</f>
        <v>0</v>
      </c>
      <c r="H1317" s="1" t="inlineStr">
        <is>
          <t xml:space="preserve">B observado / C cálculo</t>
        </is>
      </c>
    </row>
    <row r="1318" customFormat="false" ht="15" hidden="false" customHeight="true" outlineLevel="0" collapsed="false">
      <c r="A1318" s="1" t="n">
        <v>2024</v>
      </c>
      <c r="B1318" s="1" t="n">
        <v>3</v>
      </c>
      <c r="C1318" s="1" t="inlineStr">
        <is>
          <t xml:space="preserve">ILOG20241</t>
        </is>
      </c>
      <c r="D1318" s="1" t="inlineStr">
        <is>
          <t xml:space="preserve">VIGENTE</t>
        </is>
      </c>
      <c r="E1318" s="1" t="n">
        <v>6</v>
      </c>
      <c r="F1318" s="1" t="n">
        <v>12</v>
      </c>
      <c r="G1318" s="1" t="n">
        <f aca="false">IF(E1318=0,"",IF(D1318="VIGENTE",1,0))</f>
        <v>1</v>
      </c>
      <c r="H1318" s="1" t="inlineStr">
        <is>
          <t xml:space="preserve">B observado / C cálculo</t>
        </is>
      </c>
    </row>
    <row r="1319" customFormat="false" ht="15" hidden="false" customHeight="true" outlineLevel="0" collapsed="false">
      <c r="A1319" s="1" t="n">
        <v>2024</v>
      </c>
      <c r="B1319" s="1" t="n">
        <v>3</v>
      </c>
      <c r="C1319" s="1" t="inlineStr">
        <is>
          <t xml:space="preserve">TAMD20241</t>
        </is>
      </c>
      <c r="D1319" s="1" t="inlineStr">
        <is>
          <t xml:space="preserve">ELIMINADO</t>
        </is>
      </c>
      <c r="E1319" s="1" t="n">
        <v>2</v>
      </c>
      <c r="F1319" s="1" t="n">
        <v>9</v>
      </c>
      <c r="G1319" s="1" t="n">
        <f aca="false">IF(E1319=0,"",IF(D1319="VIGENTE",1,0))</f>
        <v>0</v>
      </c>
      <c r="H1319" s="1" t="inlineStr">
        <is>
          <t xml:space="preserve">B observado / C cálculo</t>
        </is>
      </c>
    </row>
    <row r="1320" customFormat="false" ht="15" hidden="false" customHeight="true" outlineLevel="0" collapsed="false">
      <c r="A1320" s="1" t="n">
        <v>2024</v>
      </c>
      <c r="B1320" s="1" t="n">
        <v>3</v>
      </c>
      <c r="C1320" s="1" t="inlineStr">
        <is>
          <t xml:space="preserve">TAMD20241</t>
        </is>
      </c>
      <c r="D1320" s="1" t="inlineStr">
        <is>
          <t xml:space="preserve">SUSPENDIDO</t>
        </is>
      </c>
      <c r="E1320" s="1" t="n">
        <v>1</v>
      </c>
      <c r="F1320" s="1" t="n">
        <v>5</v>
      </c>
      <c r="G1320" s="1" t="n">
        <f aca="false">IF(E1320=0,"",IF(D1320="VIGENTE",1,0))</f>
        <v>0</v>
      </c>
      <c r="H1320" s="1" t="inlineStr">
        <is>
          <t xml:space="preserve">B observado / C cálculo</t>
        </is>
      </c>
    </row>
    <row r="1321" customFormat="false" ht="15" hidden="false" customHeight="true" outlineLevel="0" collapsed="false">
      <c r="A1321" s="1" t="n">
        <v>2024</v>
      </c>
      <c r="B1321" s="1" t="n">
        <v>3</v>
      </c>
      <c r="C1321" s="1" t="inlineStr">
        <is>
          <t xml:space="preserve">TAMD20241</t>
        </is>
      </c>
      <c r="D1321" s="1" t="inlineStr">
        <is>
          <t xml:space="preserve">TITULADO</t>
        </is>
      </c>
      <c r="E1321" s="1" t="n">
        <v>5</v>
      </c>
      <c r="F1321" s="1" t="n">
        <v>25</v>
      </c>
      <c r="G1321" s="1" t="n">
        <f aca="false">IF(E1321=0,"",IF(D1321="VIGENTE",1,0))</f>
        <v>0</v>
      </c>
      <c r="H1321" s="1" t="inlineStr">
        <is>
          <t xml:space="preserve">B observado / C cálculo</t>
        </is>
      </c>
    </row>
    <row r="1322" customFormat="false" ht="15" hidden="false" customHeight="true" outlineLevel="0" collapsed="false">
      <c r="A1322" s="1" t="n">
        <v>2024</v>
      </c>
      <c r="B1322" s="1" t="n">
        <v>3</v>
      </c>
      <c r="C1322" s="1" t="inlineStr">
        <is>
          <t xml:space="preserve">TAMD20241</t>
        </is>
      </c>
      <c r="D1322" s="1" t="inlineStr">
        <is>
          <t xml:space="preserve">VIGENTE</t>
        </is>
      </c>
      <c r="E1322" s="1" t="n">
        <v>1</v>
      </c>
      <c r="F1322" s="1" t="n">
        <v>5</v>
      </c>
      <c r="G1322" s="1" t="n">
        <f aca="false">IF(E1322=0,"",IF(D1322="VIGENTE",1,0))</f>
        <v>1</v>
      </c>
      <c r="H1322" s="1" t="inlineStr">
        <is>
          <t xml:space="preserve">B observado / C cálculo</t>
        </is>
      </c>
    </row>
    <row r="1323" customFormat="false" ht="15" hidden="false" customHeight="true" outlineLevel="0" collapsed="false">
      <c r="A1323" s="1" t="n">
        <v>2024</v>
      </c>
      <c r="B1323" s="1" t="n">
        <v>3</v>
      </c>
      <c r="C1323" s="1" t="inlineStr">
        <is>
          <t xml:space="preserve">TCIB20241</t>
        </is>
      </c>
      <c r="D1323" s="1" t="inlineStr">
        <is>
          <t xml:space="preserve">ELIMINADO</t>
        </is>
      </c>
      <c r="E1323" s="1" t="n">
        <v>38</v>
      </c>
      <c r="F1323" s="1" t="n">
        <v>129</v>
      </c>
      <c r="G1323" s="1" t="n">
        <f aca="false">IF(E1323=0,"",IF(D1323="VIGENTE",1,0))</f>
        <v>0</v>
      </c>
      <c r="H1323" s="1" t="inlineStr">
        <is>
          <t xml:space="preserve">B observado / C cálculo</t>
        </is>
      </c>
    </row>
    <row r="1324" customFormat="false" ht="15" hidden="false" customHeight="true" outlineLevel="0" collapsed="false">
      <c r="A1324" s="1" t="n">
        <v>2024</v>
      </c>
      <c r="B1324" s="1" t="n">
        <v>3</v>
      </c>
      <c r="C1324" s="1" t="inlineStr">
        <is>
          <t xml:space="preserve">TCIB20241</t>
        </is>
      </c>
      <c r="D1324" s="1" t="inlineStr">
        <is>
          <t xml:space="preserve">SUSPENDIDO</t>
        </is>
      </c>
      <c r="E1324" s="1" t="n">
        <v>1</v>
      </c>
      <c r="F1324" s="1" t="n">
        <v>3</v>
      </c>
      <c r="G1324" s="1" t="n">
        <f aca="false">IF(E1324=0,"",IF(D1324="VIGENTE",1,0))</f>
        <v>0</v>
      </c>
      <c r="H1324" s="1" t="inlineStr">
        <is>
          <t xml:space="preserve">B observado / C cálculo</t>
        </is>
      </c>
    </row>
    <row r="1325" customFormat="false" ht="15" hidden="false" customHeight="true" outlineLevel="0" collapsed="false">
      <c r="A1325" s="1" t="n">
        <v>2024</v>
      </c>
      <c r="B1325" s="1" t="n">
        <v>3</v>
      </c>
      <c r="C1325" s="1" t="inlineStr">
        <is>
          <t xml:space="preserve">TCIB20241</t>
        </is>
      </c>
      <c r="D1325" s="1" t="inlineStr">
        <is>
          <t xml:space="preserve">TITULADO</t>
        </is>
      </c>
      <c r="E1325" s="1" t="n">
        <v>46</v>
      </c>
      <c r="F1325" s="1" t="n">
        <v>127</v>
      </c>
      <c r="G1325" s="1" t="n">
        <f aca="false">IF(E1325=0,"",IF(D1325="VIGENTE",1,0))</f>
        <v>0</v>
      </c>
      <c r="H1325" s="1" t="inlineStr">
        <is>
          <t xml:space="preserve">B observado / C cálculo</t>
        </is>
      </c>
    </row>
    <row r="1326" customFormat="false" ht="15" hidden="false" customHeight="true" outlineLevel="0" collapsed="false">
      <c r="A1326" s="1" t="n">
        <v>2024</v>
      </c>
      <c r="B1326" s="1" t="n">
        <v>3</v>
      </c>
      <c r="C1326" s="1" t="inlineStr">
        <is>
          <t xml:space="preserve">TCIB20241</t>
        </is>
      </c>
      <c r="D1326" s="1" t="inlineStr">
        <is>
          <t xml:space="preserve">VIGENTE</t>
        </is>
      </c>
      <c r="E1326" s="1" t="n">
        <v>5</v>
      </c>
      <c r="F1326" s="1" t="n">
        <v>18</v>
      </c>
      <c r="G1326" s="1" t="n">
        <f aca="false">IF(E1326=0,"",IF(D1326="VIGENTE",1,0))</f>
        <v>1</v>
      </c>
      <c r="H1326" s="1" t="inlineStr">
        <is>
          <t xml:space="preserve">B observado / C cálculo</t>
        </is>
      </c>
    </row>
    <row r="1327" customFormat="false" ht="15" hidden="false" customHeight="true" outlineLevel="0" collapsed="false">
      <c r="A1327" s="1" t="n">
        <v>2024</v>
      </c>
      <c r="B1327" s="1" t="n">
        <v>3</v>
      </c>
      <c r="C1327" s="1" t="inlineStr">
        <is>
          <t xml:space="preserve">TCRE20241</t>
        </is>
      </c>
      <c r="D1327" s="1" t="inlineStr">
        <is>
          <t xml:space="preserve">ELIMINADO</t>
        </is>
      </c>
      <c r="E1327" s="1" t="n">
        <v>9</v>
      </c>
      <c r="F1327" s="1" t="n">
        <v>16</v>
      </c>
      <c r="G1327" s="1" t="n">
        <f aca="false">IF(E1327=0,"",IF(D1327="VIGENTE",1,0))</f>
        <v>0</v>
      </c>
      <c r="H1327" s="1" t="inlineStr">
        <is>
          <t xml:space="preserve">B observado / C cálculo</t>
        </is>
      </c>
    </row>
    <row r="1328" customFormat="false" ht="15" hidden="false" customHeight="true" outlineLevel="0" collapsed="false">
      <c r="A1328" s="1" t="n">
        <v>2024</v>
      </c>
      <c r="B1328" s="1" t="n">
        <v>3</v>
      </c>
      <c r="C1328" s="1" t="inlineStr">
        <is>
          <t xml:space="preserve">TCRE20241</t>
        </is>
      </c>
      <c r="D1328" s="1" t="inlineStr">
        <is>
          <t xml:space="preserve">TITULADO</t>
        </is>
      </c>
      <c r="E1328" s="1" t="n">
        <v>21</v>
      </c>
      <c r="F1328" s="1" t="n">
        <v>40</v>
      </c>
      <c r="G1328" s="1" t="n">
        <f aca="false">IF(E1328=0,"",IF(D1328="VIGENTE",1,0))</f>
        <v>0</v>
      </c>
      <c r="H1328" s="1" t="inlineStr">
        <is>
          <t xml:space="preserve">B observado / C cálculo</t>
        </is>
      </c>
    </row>
    <row r="1329" customFormat="false" ht="15" hidden="false" customHeight="true" outlineLevel="0" collapsed="false">
      <c r="A1329" s="1" t="n">
        <v>2024</v>
      </c>
      <c r="B1329" s="1" t="n">
        <v>3</v>
      </c>
      <c r="C1329" s="1" t="inlineStr">
        <is>
          <t xml:space="preserve">TCRE20241</t>
        </is>
      </c>
      <c r="D1329" s="1" t="inlineStr">
        <is>
          <t xml:space="preserve">VIGENTE</t>
        </is>
      </c>
      <c r="E1329" s="1" t="n">
        <v>6</v>
      </c>
      <c r="F1329" s="1" t="n">
        <v>8</v>
      </c>
      <c r="G1329" s="1" t="n">
        <f aca="false">IF(E1329=0,"",IF(D1329="VIGENTE",1,0))</f>
        <v>1</v>
      </c>
      <c r="H1329" s="1" t="inlineStr">
        <is>
          <t xml:space="preserve">B observado / C cálculo</t>
        </is>
      </c>
    </row>
    <row r="1330" customFormat="false" ht="15" hidden="false" customHeight="true" outlineLevel="0" collapsed="false">
      <c r="A1330" s="1" t="n">
        <v>2024</v>
      </c>
      <c r="B1330" s="1" t="n">
        <v>3</v>
      </c>
      <c r="C1330" s="1" t="inlineStr">
        <is>
          <t xml:space="preserve">TCSREOL20211</t>
        </is>
      </c>
      <c r="D1330" s="1" t="inlineStr">
        <is>
          <t xml:space="preserve">TITULADO</t>
        </is>
      </c>
      <c r="E1330" s="1" t="n">
        <v>3</v>
      </c>
      <c r="F1330" s="1" t="n">
        <v>4</v>
      </c>
      <c r="G1330" s="1" t="n">
        <f aca="false">IF(E1330=0,"",IF(D1330="VIGENTE",1,0))</f>
        <v>0</v>
      </c>
      <c r="H1330" s="1" t="inlineStr">
        <is>
          <t xml:space="preserve">B observado / C cálculo</t>
        </is>
      </c>
    </row>
    <row r="1331" customFormat="false" ht="15" hidden="false" customHeight="true" outlineLevel="0" collapsed="false">
      <c r="A1331" s="1" t="n">
        <v>2024</v>
      </c>
      <c r="B1331" s="1" t="n">
        <v>3</v>
      </c>
      <c r="C1331" s="1" t="inlineStr">
        <is>
          <t xml:space="preserve">TCSREOL20231</t>
        </is>
      </c>
      <c r="D1331" s="1" t="inlineStr">
        <is>
          <t xml:space="preserve">TITULADO</t>
        </is>
      </c>
      <c r="E1331" s="1" t="n">
        <v>3</v>
      </c>
      <c r="F1331" s="1" t="n">
        <v>3</v>
      </c>
      <c r="G1331" s="1" t="n">
        <f aca="false">IF(E1331=0,"",IF(D1331="VIGENTE",1,0))</f>
        <v>0</v>
      </c>
      <c r="H1331" s="1" t="inlineStr">
        <is>
          <t xml:space="preserve">B observado / C cálculo</t>
        </is>
      </c>
    </row>
    <row r="1332" customFormat="false" ht="15" hidden="false" customHeight="true" outlineLevel="0" collapsed="false">
      <c r="A1332" s="1" t="n">
        <v>2024</v>
      </c>
      <c r="B1332" s="1" t="n">
        <v>3</v>
      </c>
      <c r="C1332" s="1" t="inlineStr">
        <is>
          <t xml:space="preserve">TLOG20241</t>
        </is>
      </c>
      <c r="D1332" s="1" t="inlineStr">
        <is>
          <t xml:space="preserve">ELIMINADO</t>
        </is>
      </c>
      <c r="E1332" s="1" t="n">
        <v>1</v>
      </c>
      <c r="F1332" s="1" t="n">
        <v>2</v>
      </c>
      <c r="G1332" s="1" t="n">
        <f aca="false">IF(E1332=0,"",IF(D1332="VIGENTE",1,0))</f>
        <v>0</v>
      </c>
      <c r="H1332" s="1" t="inlineStr">
        <is>
          <t xml:space="preserve">B observado / C cálculo</t>
        </is>
      </c>
    </row>
    <row r="1333" customFormat="false" ht="15" hidden="false" customHeight="true" outlineLevel="0" collapsed="false">
      <c r="A1333" s="1" t="n">
        <v>2024</v>
      </c>
      <c r="B1333" s="1" t="n">
        <v>3</v>
      </c>
      <c r="C1333" s="1" t="inlineStr">
        <is>
          <t xml:space="preserve">TLOG20241</t>
        </is>
      </c>
      <c r="D1333" s="1" t="inlineStr">
        <is>
          <t xml:space="preserve">TITULADO</t>
        </is>
      </c>
      <c r="E1333" s="1" t="n">
        <v>7</v>
      </c>
      <c r="F1333" s="1" t="n">
        <v>15</v>
      </c>
      <c r="G1333" s="1" t="n">
        <f aca="false">IF(E1333=0,"",IF(D1333="VIGENTE",1,0))</f>
        <v>0</v>
      </c>
      <c r="H1333" s="1" t="inlineStr">
        <is>
          <t xml:space="preserve">B observado / C cálculo</t>
        </is>
      </c>
    </row>
    <row r="1334" customFormat="false" ht="15" hidden="false" customHeight="true" outlineLevel="0" collapsed="false">
      <c r="A1334" s="1" t="n">
        <v>2024</v>
      </c>
      <c r="B1334" s="1" t="n">
        <v>3</v>
      </c>
      <c r="C1334" s="1" t="inlineStr">
        <is>
          <t xml:space="preserve">TLOG20241</t>
        </is>
      </c>
      <c r="D1334" s="1" t="inlineStr">
        <is>
          <t xml:space="preserve">VIGENTE</t>
        </is>
      </c>
      <c r="E1334" s="1" t="n">
        <v>2</v>
      </c>
      <c r="F1334" s="1" t="n">
        <v>5</v>
      </c>
      <c r="G1334" s="1" t="n">
        <f aca="false">IF(E1334=0,"",IF(D1334="VIGENTE",1,0))</f>
        <v>1</v>
      </c>
      <c r="H1334" s="1" t="inlineStr">
        <is>
          <t xml:space="preserve">B observado / C cálculo</t>
        </is>
      </c>
    </row>
    <row r="1335" customFormat="false" ht="15" hidden="false" customHeight="true" outlineLevel="0" collapsed="false">
      <c r="A1335" s="1" t="n">
        <v>2024</v>
      </c>
      <c r="B1335" s="1" t="n">
        <v>3</v>
      </c>
      <c r="C1335" s="1" t="inlineStr">
        <is>
          <t xml:space="preserve">TPAREOL2020</t>
        </is>
      </c>
      <c r="D1335" s="1" t="inlineStr">
        <is>
          <t xml:space="preserve">TITULADO</t>
        </is>
      </c>
      <c r="E1335" s="1" t="n">
        <v>1</v>
      </c>
      <c r="F1335" s="1" t="n">
        <v>1</v>
      </c>
      <c r="G1335" s="1" t="n">
        <f aca="false">IF(E1335=0,"",IF(D1335="VIGENTE",1,0))</f>
        <v>0</v>
      </c>
      <c r="H1335" s="1" t="inlineStr">
        <is>
          <t xml:space="preserve">B observado / C cálculo</t>
        </is>
      </c>
    </row>
    <row r="1336" customFormat="false" ht="15" hidden="false" customHeight="true" outlineLevel="0" collapsed="false">
      <c r="A1336" s="1" t="n">
        <v>2024</v>
      </c>
      <c r="B1336" s="1" t="n">
        <v>3</v>
      </c>
      <c r="C1336" s="1" t="inlineStr">
        <is>
          <t xml:space="preserve">TPAREOL20211</t>
        </is>
      </c>
      <c r="D1336" s="1" t="inlineStr">
        <is>
          <t xml:space="preserve">TITULADO</t>
        </is>
      </c>
      <c r="E1336" s="1" t="n">
        <v>12</v>
      </c>
      <c r="F1336" s="1" t="n">
        <v>21</v>
      </c>
      <c r="G1336" s="1" t="n">
        <f aca="false">IF(E1336=0,"",IF(D1336="VIGENTE",1,0))</f>
        <v>0</v>
      </c>
      <c r="H1336" s="1" t="inlineStr">
        <is>
          <t xml:space="preserve">B observado / C cálculo</t>
        </is>
      </c>
    </row>
    <row r="1337" customFormat="false" ht="15" hidden="false" customHeight="true" outlineLevel="0" collapsed="false">
      <c r="A1337" s="1" t="n">
        <v>2024</v>
      </c>
      <c r="B1337" s="1" t="n">
        <v>3</v>
      </c>
      <c r="C1337" s="1" t="inlineStr">
        <is>
          <t xml:space="preserve">TPAS20241</t>
        </is>
      </c>
      <c r="D1337" s="1" t="inlineStr">
        <is>
          <t xml:space="preserve">ELIMINADO</t>
        </is>
      </c>
      <c r="E1337" s="1" t="n">
        <v>45</v>
      </c>
      <c r="F1337" s="1" t="n">
        <v>75</v>
      </c>
      <c r="G1337" s="1" t="n">
        <f aca="false">IF(E1337=0,"",IF(D1337="VIGENTE",1,0))</f>
        <v>0</v>
      </c>
      <c r="H1337" s="1" t="inlineStr">
        <is>
          <t xml:space="preserve">B observado / C cálculo</t>
        </is>
      </c>
    </row>
    <row r="1338" customFormat="false" ht="15" hidden="false" customHeight="true" outlineLevel="0" collapsed="false">
      <c r="A1338" s="1" t="n">
        <v>2024</v>
      </c>
      <c r="B1338" s="1" t="n">
        <v>3</v>
      </c>
      <c r="C1338" s="1" t="inlineStr">
        <is>
          <t xml:space="preserve">TPAS20241</t>
        </is>
      </c>
      <c r="D1338" s="1" t="inlineStr">
        <is>
          <t xml:space="preserve">SUSPENDIDO</t>
        </is>
      </c>
      <c r="E1338" s="1" t="n">
        <v>10</v>
      </c>
      <c r="F1338" s="1" t="n">
        <v>17</v>
      </c>
      <c r="G1338" s="1" t="n">
        <f aca="false">IF(E1338=0,"",IF(D1338="VIGENTE",1,0))</f>
        <v>0</v>
      </c>
      <c r="H1338" s="1" t="inlineStr">
        <is>
          <t xml:space="preserve">B observado / C cálculo</t>
        </is>
      </c>
    </row>
    <row r="1339" customFormat="false" ht="15" hidden="false" customHeight="true" outlineLevel="0" collapsed="false">
      <c r="A1339" s="1" t="n">
        <v>2024</v>
      </c>
      <c r="B1339" s="1" t="n">
        <v>3</v>
      </c>
      <c r="C1339" s="1" t="inlineStr">
        <is>
          <t xml:space="preserve">TPAS20241</t>
        </is>
      </c>
      <c r="D1339" s="1" t="inlineStr">
        <is>
          <t xml:space="preserve">TITULADO</t>
        </is>
      </c>
      <c r="E1339" s="1" t="n">
        <v>132</v>
      </c>
      <c r="F1339" s="1" t="n">
        <v>249</v>
      </c>
      <c r="G1339" s="1" t="n">
        <f aca="false">IF(E1339=0,"",IF(D1339="VIGENTE",1,0))</f>
        <v>0</v>
      </c>
      <c r="H1339" s="1" t="inlineStr">
        <is>
          <t xml:space="preserve">B observado / C cálculo</t>
        </is>
      </c>
    </row>
    <row r="1340" customFormat="false" ht="15" hidden="false" customHeight="true" outlineLevel="0" collapsed="false">
      <c r="A1340" s="1" t="n">
        <v>2024</v>
      </c>
      <c r="B1340" s="1" t="n">
        <v>3</v>
      </c>
      <c r="C1340" s="1" t="inlineStr">
        <is>
          <t xml:space="preserve">TPAS20241</t>
        </is>
      </c>
      <c r="D1340" s="1" t="inlineStr">
        <is>
          <t xml:space="preserve">VIGENTE</t>
        </is>
      </c>
      <c r="E1340" s="1" t="n">
        <v>30</v>
      </c>
      <c r="F1340" s="1" t="n">
        <v>53</v>
      </c>
      <c r="G1340" s="1" t="n">
        <f aca="false">IF(E1340=0,"",IF(D1340="VIGENTE",1,0))</f>
        <v>1</v>
      </c>
      <c r="H1340" s="1" t="inlineStr">
        <is>
          <t xml:space="preserve">B observado / C cálculo</t>
        </is>
      </c>
    </row>
    <row r="1341" customFormat="false" ht="15" hidden="false" customHeight="true" outlineLevel="0" collapsed="false">
      <c r="A1341" s="1" t="n">
        <v>2024</v>
      </c>
      <c r="B1341" s="1" t="n">
        <v>3</v>
      </c>
      <c r="C1341" s="1" t="inlineStr">
        <is>
          <t xml:space="preserve">TTMREOL20191</t>
        </is>
      </c>
      <c r="D1341" s="1" t="inlineStr">
        <is>
          <t xml:space="preserve">TITULADO</t>
        </is>
      </c>
      <c r="E1341" s="1" t="n">
        <v>1</v>
      </c>
      <c r="F1341" s="1" t="n">
        <v>1</v>
      </c>
      <c r="G1341" s="1" t="n">
        <f aca="false">IF(E1341=0,"",IF(D1341="VIGENTE",1,0))</f>
        <v>0</v>
      </c>
      <c r="H1341" s="1" t="inlineStr">
        <is>
          <t xml:space="preserve">B observado / C cálculo</t>
        </is>
      </c>
    </row>
    <row r="1342" customFormat="false" ht="15" hidden="false" customHeight="true" outlineLevel="0" collapsed="false">
      <c r="A1342" s="1" t="n">
        <v>2024</v>
      </c>
      <c r="B1342" s="1" t="n">
        <v>3</v>
      </c>
      <c r="C1342" s="1" t="inlineStr">
        <is>
          <t xml:space="preserve">TTMREOL20211</t>
        </is>
      </c>
      <c r="D1342" s="1" t="inlineStr">
        <is>
          <t xml:space="preserve">TITULADO</t>
        </is>
      </c>
      <c r="E1342" s="1" t="n">
        <v>4</v>
      </c>
      <c r="F1342" s="1" t="n">
        <v>7</v>
      </c>
      <c r="G1342" s="1" t="n">
        <f aca="false">IF(E1342=0,"",IF(D1342="VIGENTE",1,0))</f>
        <v>0</v>
      </c>
      <c r="H1342" s="1" t="inlineStr">
        <is>
          <t xml:space="preserve">B observado / C cálculo</t>
        </is>
      </c>
    </row>
    <row r="1343" customFormat="false" ht="15" hidden="false" customHeight="true" outlineLevel="0" collapsed="false">
      <c r="A1343" s="1" t="n">
        <v>2024</v>
      </c>
      <c r="B1343" s="1" t="n">
        <v>3</v>
      </c>
      <c r="C1343" s="1" t="inlineStr">
        <is>
          <t xml:space="preserve">TTMREOL20231</t>
        </is>
      </c>
      <c r="D1343" s="1" t="inlineStr">
        <is>
          <t xml:space="preserve">TITULADO</t>
        </is>
      </c>
      <c r="E1343" s="1" t="n">
        <v>1</v>
      </c>
      <c r="F1343" s="1" t="n">
        <v>1</v>
      </c>
      <c r="G1343" s="1" t="n">
        <f aca="false">IF(E1343=0,"",IF(D1343="VIGENTE",1,0))</f>
        <v>0</v>
      </c>
      <c r="H1343" s="1" t="inlineStr">
        <is>
          <t xml:space="preserve">B observado / C cálculo</t>
        </is>
      </c>
    </row>
    <row r="1344" customFormat="false" ht="15" hidden="false" customHeight="true" outlineLevel="0" collapsed="false">
      <c r="A1344" s="1" t="n">
        <v>2024</v>
      </c>
      <c r="B1344" s="1" t="n">
        <v>4</v>
      </c>
      <c r="C1344" s="1" t="inlineStr">
        <is>
          <t xml:space="preserve">IECIREOL20201</t>
        </is>
      </c>
      <c r="D1344" s="1" t="inlineStr">
        <is>
          <t xml:space="preserve">TITULADO</t>
        </is>
      </c>
      <c r="E1344" s="1" t="n">
        <v>3</v>
      </c>
      <c r="F1344" s="1" t="n">
        <v>8</v>
      </c>
      <c r="G1344" s="1" t="n">
        <f aca="false">IF(E1344=0,"",IF(D1344="VIGENTE",1,0))</f>
        <v>0</v>
      </c>
      <c r="H1344" s="1" t="inlineStr">
        <is>
          <t xml:space="preserve">B observado / C cálculo</t>
        </is>
      </c>
    </row>
    <row r="1345" customFormat="false" ht="15" hidden="false" customHeight="true" outlineLevel="0" collapsed="false">
      <c r="A1345" s="1" t="n">
        <v>2024</v>
      </c>
      <c r="B1345" s="1" t="n">
        <v>4</v>
      </c>
      <c r="C1345" s="1" t="inlineStr">
        <is>
          <t xml:space="preserve">IECIREOL20211</t>
        </is>
      </c>
      <c r="D1345" s="1" t="inlineStr">
        <is>
          <t xml:space="preserve">TITULADO</t>
        </is>
      </c>
      <c r="E1345" s="1" t="n">
        <v>48</v>
      </c>
      <c r="F1345" s="1" t="n">
        <v>92</v>
      </c>
      <c r="G1345" s="1" t="n">
        <f aca="false">IF(E1345=0,"",IF(D1345="VIGENTE",1,0))</f>
        <v>0</v>
      </c>
      <c r="H1345" s="1" t="inlineStr">
        <is>
          <t xml:space="preserve">B observado / C cálculo</t>
        </is>
      </c>
    </row>
    <row r="1346" customFormat="false" ht="15" hidden="false" customHeight="true" outlineLevel="0" collapsed="false">
      <c r="A1346" s="1" t="n">
        <v>2024</v>
      </c>
      <c r="B1346" s="1" t="n">
        <v>4</v>
      </c>
      <c r="C1346" s="1" t="inlineStr">
        <is>
          <t xml:space="preserve">IECSRE20211</t>
        </is>
      </c>
      <c r="D1346" s="1" t="inlineStr">
        <is>
          <t xml:space="preserve">TITULADO</t>
        </is>
      </c>
      <c r="E1346" s="1" t="n">
        <v>1</v>
      </c>
      <c r="F1346" s="1" t="n">
        <v>1</v>
      </c>
      <c r="G1346" s="1" t="n">
        <f aca="false">IF(E1346=0,"",IF(D1346="VIGENTE",1,0))</f>
        <v>0</v>
      </c>
      <c r="H1346" s="1" t="inlineStr">
        <is>
          <t xml:space="preserve">B observado / C cálculo</t>
        </is>
      </c>
    </row>
    <row r="1347" customFormat="false" ht="15" hidden="false" customHeight="true" outlineLevel="0" collapsed="false">
      <c r="A1347" s="1" t="n">
        <v>2024</v>
      </c>
      <c r="B1347" s="1" t="n">
        <v>4</v>
      </c>
      <c r="C1347" s="1" t="inlineStr">
        <is>
          <t xml:space="preserve">IECSREOL20211</t>
        </is>
      </c>
      <c r="D1347" s="1" t="inlineStr">
        <is>
          <t xml:space="preserve">TITULADO</t>
        </is>
      </c>
      <c r="E1347" s="1" t="n">
        <v>48</v>
      </c>
      <c r="F1347" s="1" t="n">
        <v>77</v>
      </c>
      <c r="G1347" s="1" t="n">
        <f aca="false">IF(E1347=0,"",IF(D1347="VIGENTE",1,0))</f>
        <v>0</v>
      </c>
      <c r="H1347" s="1" t="inlineStr">
        <is>
          <t xml:space="preserve">B observado / C cálculo</t>
        </is>
      </c>
    </row>
    <row r="1348" customFormat="false" ht="15" hidden="false" customHeight="true" outlineLevel="0" collapsed="false">
      <c r="A1348" s="1" t="n">
        <v>2024</v>
      </c>
      <c r="B1348" s="1" t="n">
        <v>4</v>
      </c>
      <c r="C1348" s="1" t="inlineStr">
        <is>
          <t xml:space="preserve">IECSREOL20211</t>
        </is>
      </c>
      <c r="D1348" s="1" t="inlineStr">
        <is>
          <t xml:space="preserve">VIGENTE</t>
        </is>
      </c>
      <c r="E1348" s="1" t="n">
        <v>2</v>
      </c>
      <c r="F1348" s="1" t="n">
        <v>4</v>
      </c>
      <c r="G1348" s="1" t="n">
        <f aca="false">IF(E1348=0,"",IF(D1348="VIGENTE",1,0))</f>
        <v>1</v>
      </c>
      <c r="H1348" s="1" t="inlineStr">
        <is>
          <t xml:space="preserve">B observado / C cálculo</t>
        </is>
      </c>
    </row>
    <row r="1349" customFormat="false" ht="15" hidden="false" customHeight="true" outlineLevel="0" collapsed="false">
      <c r="A1349" s="1" t="n">
        <v>2024</v>
      </c>
      <c r="B1349" s="1" t="n">
        <v>4</v>
      </c>
      <c r="C1349" s="1" t="inlineStr">
        <is>
          <t xml:space="preserve">IETMRE20211</t>
        </is>
      </c>
      <c r="D1349" s="1" t="inlineStr">
        <is>
          <t xml:space="preserve">ELIMINADO</t>
        </is>
      </c>
      <c r="E1349" s="1" t="n">
        <v>1</v>
      </c>
      <c r="F1349" s="1" t="n">
        <v>1</v>
      </c>
      <c r="G1349" s="1" t="n">
        <f aca="false">IF(E1349=0,"",IF(D1349="VIGENTE",1,0))</f>
        <v>0</v>
      </c>
      <c r="H1349" s="1" t="inlineStr">
        <is>
          <t xml:space="preserve">B observado / C cálculo</t>
        </is>
      </c>
    </row>
    <row r="1350" customFormat="false" ht="15" hidden="false" customHeight="true" outlineLevel="0" collapsed="false">
      <c r="A1350" s="1" t="n">
        <v>2024</v>
      </c>
      <c r="B1350" s="1" t="n">
        <v>4</v>
      </c>
      <c r="C1350" s="1" t="inlineStr">
        <is>
          <t xml:space="preserve">IETMREOL20211</t>
        </is>
      </c>
      <c r="D1350" s="1" t="inlineStr">
        <is>
          <t xml:space="preserve">TITULADO</t>
        </is>
      </c>
      <c r="E1350" s="1" t="n">
        <v>67</v>
      </c>
      <c r="F1350" s="1" t="n">
        <v>122</v>
      </c>
      <c r="G1350" s="1" t="n">
        <f aca="false">IF(E1350=0,"",IF(D1350="VIGENTE",1,0))</f>
        <v>0</v>
      </c>
      <c r="H1350" s="1" t="inlineStr">
        <is>
          <t xml:space="preserve">B observado / C cálculo</t>
        </is>
      </c>
    </row>
    <row r="1351" customFormat="false" ht="15" hidden="false" customHeight="true" outlineLevel="0" collapsed="false">
      <c r="A1351" s="1" t="n">
        <v>2024</v>
      </c>
      <c r="B1351" s="1" t="n">
        <v>4</v>
      </c>
      <c r="C1351" s="1" t="inlineStr">
        <is>
          <t xml:space="preserve">IETMREOL20211</t>
        </is>
      </c>
      <c r="D1351" s="1" t="inlineStr">
        <is>
          <t xml:space="preserve">VIGENTE</t>
        </is>
      </c>
      <c r="E1351" s="1" t="n">
        <v>2</v>
      </c>
      <c r="F1351" s="1" t="n">
        <v>4</v>
      </c>
      <c r="G1351" s="1" t="n">
        <f aca="false">IF(E1351=0,"",IF(D1351="VIGENTE",1,0))</f>
        <v>1</v>
      </c>
      <c r="H1351" s="1" t="inlineStr">
        <is>
          <t xml:space="preserve">B observado / C cálculo</t>
        </is>
      </c>
    </row>
    <row r="1352" customFormat="false" ht="15" hidden="false" customHeight="true" outlineLevel="0" collapsed="false">
      <c r="A1352" s="1" t="n">
        <v>2024</v>
      </c>
      <c r="B1352" s="1" t="n">
        <v>4</v>
      </c>
      <c r="C1352" s="1" t="inlineStr">
        <is>
          <t xml:space="preserve">TPARE20211</t>
        </is>
      </c>
      <c r="D1352" s="1" t="inlineStr">
        <is>
          <t xml:space="preserve">TITULADO</t>
        </is>
      </c>
      <c r="E1352" s="1" t="n">
        <v>2</v>
      </c>
      <c r="F1352" s="1" t="n">
        <v>2</v>
      </c>
      <c r="G1352" s="1" t="n">
        <f aca="false">IF(E1352=0,"",IF(D1352="VIGENTE",1,0))</f>
        <v>0</v>
      </c>
      <c r="H1352" s="1" t="inlineStr">
        <is>
          <t xml:space="preserve">B observado / C cálculo</t>
        </is>
      </c>
    </row>
    <row r="1353" customFormat="false" ht="15" hidden="false" customHeight="true" outlineLevel="0" collapsed="false">
      <c r="A1353" s="1" t="n">
        <v>2024</v>
      </c>
      <c r="B1353" s="1" t="n">
        <v>4</v>
      </c>
      <c r="C1353" s="1" t="inlineStr">
        <is>
          <t xml:space="preserve">TPAREOL20211</t>
        </is>
      </c>
      <c r="D1353" s="1" t="inlineStr">
        <is>
          <t xml:space="preserve">TITULADO</t>
        </is>
      </c>
      <c r="E1353" s="1" t="n">
        <v>10</v>
      </c>
      <c r="F1353" s="1" t="n">
        <v>12</v>
      </c>
      <c r="G1353" s="1" t="n">
        <f aca="false">IF(E1353=0,"",IF(D1353="VIGENTE",1,0))</f>
        <v>0</v>
      </c>
      <c r="H1353" s="1" t="inlineStr">
        <is>
          <t xml:space="preserve">B observado / C cálculo</t>
        </is>
      </c>
    </row>
    <row r="1354" customFormat="false" ht="15" hidden="false" customHeight="true" outlineLevel="0" collapsed="false">
      <c r="A1354" s="1" t="n">
        <v>2024</v>
      </c>
      <c r="B1354" s="1" t="n">
        <v>4</v>
      </c>
      <c r="C1354" s="1" t="inlineStr">
        <is>
          <t xml:space="preserve">TPAREOL20231</t>
        </is>
      </c>
      <c r="D1354" s="1" t="inlineStr">
        <is>
          <t xml:space="preserve">ELIMINADO</t>
        </is>
      </c>
      <c r="E1354" s="1" t="n">
        <v>1</v>
      </c>
      <c r="F1354" s="1" t="n">
        <v>1</v>
      </c>
      <c r="G1354" s="1" t="n">
        <f aca="false">IF(E1354=0,"",IF(D1354="VIGENTE",1,0))</f>
        <v>0</v>
      </c>
      <c r="H1354" s="1" t="inlineStr">
        <is>
          <t xml:space="preserve">B observado / C cálculo</t>
        </is>
      </c>
    </row>
    <row r="1355" customFormat="false" ht="15" hidden="false" customHeight="true" outlineLevel="0" collapsed="false">
      <c r="A1355" s="1" t="n">
        <v>2024</v>
      </c>
      <c r="B1355" s="1" t="n">
        <v>4</v>
      </c>
      <c r="C1355" s="1" t="inlineStr">
        <is>
          <t xml:space="preserve">TTMREOL20191</t>
        </is>
      </c>
      <c r="D1355" s="1" t="inlineStr">
        <is>
          <t xml:space="preserve">TITULADO</t>
        </is>
      </c>
      <c r="E1355" s="1" t="n">
        <v>1</v>
      </c>
      <c r="F1355" s="1" t="n">
        <v>1</v>
      </c>
      <c r="G1355" s="1" t="n">
        <f aca="false">IF(E1355=0,"",IF(D1355="VIGENTE",1,0))</f>
        <v>0</v>
      </c>
      <c r="H1355" s="1" t="inlineStr">
        <is>
          <t xml:space="preserve">B observado / C cálculo</t>
        </is>
      </c>
    </row>
    <row r="1356" customFormat="false" ht="15" hidden="false" customHeight="true" outlineLevel="0" collapsed="false">
      <c r="A1356" s="1" t="n">
        <v>2024</v>
      </c>
      <c r="B1356" s="1" t="n">
        <v>4</v>
      </c>
      <c r="C1356" s="1" t="inlineStr">
        <is>
          <t xml:space="preserve">TTMREOL20211</t>
        </is>
      </c>
      <c r="D1356" s="1" t="inlineStr">
        <is>
          <t xml:space="preserve">TITULADO</t>
        </is>
      </c>
      <c r="E1356" s="1" t="n">
        <v>1</v>
      </c>
      <c r="F1356" s="1" t="n">
        <v>1</v>
      </c>
      <c r="G1356" s="1" t="n">
        <f aca="false">IF(E1356=0,"",IF(D1356="VIGENTE",1,0))</f>
        <v>0</v>
      </c>
      <c r="H1356" s="1" t="inlineStr">
        <is>
          <t xml:space="preserve">B observado / C cálculo</t>
        </is>
      </c>
    </row>
    <row r="1357" customFormat="false" ht="15" hidden="false" customHeight="true" outlineLevel="0" collapsed="false">
      <c r="A1357" s="1" t="n">
        <v>2024</v>
      </c>
      <c r="B1357" s="1" t="n">
        <v>5</v>
      </c>
      <c r="C1357" s="1" t="inlineStr">
        <is>
          <t xml:space="preserve">IECIRE20211</t>
        </is>
      </c>
      <c r="D1357" s="1" t="inlineStr">
        <is>
          <t xml:space="preserve">TITULADO</t>
        </is>
      </c>
      <c r="E1357" s="1" t="n">
        <v>2</v>
      </c>
      <c r="F1357" s="1" t="n">
        <v>4</v>
      </c>
      <c r="G1357" s="1" t="n">
        <f aca="false">IF(E1357=0,"",IF(D1357="VIGENTE",1,0))</f>
        <v>0</v>
      </c>
      <c r="H1357" s="1" t="inlineStr">
        <is>
          <t xml:space="preserve">B observado / C cálculo</t>
        </is>
      </c>
    </row>
    <row r="1358" customFormat="false" ht="15" hidden="false" customHeight="true" outlineLevel="0" collapsed="false">
      <c r="A1358" s="1" t="n">
        <v>2024</v>
      </c>
      <c r="B1358" s="1" t="n">
        <v>5</v>
      </c>
      <c r="C1358" s="1" t="inlineStr">
        <is>
          <t xml:space="preserve">IECIREOL20201</t>
        </is>
      </c>
      <c r="D1358" s="1" t="inlineStr">
        <is>
          <t xml:space="preserve">TITULADO</t>
        </is>
      </c>
      <c r="E1358" s="1" t="n">
        <v>3</v>
      </c>
      <c r="F1358" s="1" t="n">
        <v>12</v>
      </c>
      <c r="G1358" s="1" t="n">
        <f aca="false">IF(E1358=0,"",IF(D1358="VIGENTE",1,0))</f>
        <v>0</v>
      </c>
      <c r="H1358" s="1" t="inlineStr">
        <is>
          <t xml:space="preserve">B observado / C cálculo</t>
        </is>
      </c>
    </row>
    <row r="1359" customFormat="false" ht="15" hidden="false" customHeight="true" outlineLevel="0" collapsed="false">
      <c r="A1359" s="1" t="n">
        <v>2024</v>
      </c>
      <c r="B1359" s="1" t="n">
        <v>5</v>
      </c>
      <c r="C1359" s="1" t="inlineStr">
        <is>
          <t xml:space="preserve">IECIREOL20211</t>
        </is>
      </c>
      <c r="D1359" s="1" t="inlineStr">
        <is>
          <t xml:space="preserve">TITULADO</t>
        </is>
      </c>
      <c r="E1359" s="1" t="n">
        <v>48</v>
      </c>
      <c r="F1359" s="1" t="n">
        <v>171</v>
      </c>
      <c r="G1359" s="1" t="n">
        <f aca="false">IF(E1359=0,"",IF(D1359="VIGENTE",1,0))</f>
        <v>0</v>
      </c>
      <c r="H1359" s="1" t="inlineStr">
        <is>
          <t xml:space="preserve">B observado / C cálculo</t>
        </is>
      </c>
    </row>
    <row r="1360" customFormat="false" ht="15" hidden="false" customHeight="true" outlineLevel="0" collapsed="false">
      <c r="A1360" s="1" t="n">
        <v>2024</v>
      </c>
      <c r="B1360" s="1" t="n">
        <v>5</v>
      </c>
      <c r="C1360" s="1" t="inlineStr">
        <is>
          <t xml:space="preserve">IECSREOL20211</t>
        </is>
      </c>
      <c r="D1360" s="1" t="inlineStr">
        <is>
          <t xml:space="preserve">TITULADO</t>
        </is>
      </c>
      <c r="E1360" s="1" t="n">
        <v>48</v>
      </c>
      <c r="F1360" s="1" t="n">
        <v>105</v>
      </c>
      <c r="G1360" s="1" t="n">
        <f aca="false">IF(E1360=0,"",IF(D1360="VIGENTE",1,0))</f>
        <v>0</v>
      </c>
      <c r="H1360" s="1" t="inlineStr">
        <is>
          <t xml:space="preserve">B observado / C cálculo</t>
        </is>
      </c>
    </row>
    <row r="1361" customFormat="false" ht="15" hidden="false" customHeight="true" outlineLevel="0" collapsed="false">
      <c r="A1361" s="1" t="n">
        <v>2024</v>
      </c>
      <c r="B1361" s="1" t="n">
        <v>5</v>
      </c>
      <c r="C1361" s="1" t="inlineStr">
        <is>
          <t xml:space="preserve">IECSREOL20211</t>
        </is>
      </c>
      <c r="D1361" s="1" t="inlineStr">
        <is>
          <t xml:space="preserve">VIGENTE</t>
        </is>
      </c>
      <c r="E1361" s="1" t="n">
        <v>2</v>
      </c>
      <c r="F1361" s="1" t="n">
        <v>4</v>
      </c>
      <c r="G1361" s="1" t="n">
        <f aca="false">IF(E1361=0,"",IF(D1361="VIGENTE",1,0))</f>
        <v>1</v>
      </c>
      <c r="H1361" s="1" t="inlineStr">
        <is>
          <t xml:space="preserve">B observado / C cálculo</t>
        </is>
      </c>
    </row>
    <row r="1362" customFormat="false" ht="15" hidden="false" customHeight="true" outlineLevel="0" collapsed="false">
      <c r="A1362" s="1" t="n">
        <v>2024</v>
      </c>
      <c r="B1362" s="1" t="n">
        <v>5</v>
      </c>
      <c r="C1362" s="1" t="inlineStr">
        <is>
          <t xml:space="preserve">IETMREOL20211</t>
        </is>
      </c>
      <c r="D1362" s="1" t="inlineStr">
        <is>
          <t xml:space="preserve">TITULADO</t>
        </is>
      </c>
      <c r="E1362" s="1" t="n">
        <v>75</v>
      </c>
      <c r="F1362" s="1" t="n">
        <v>192</v>
      </c>
      <c r="G1362" s="1" t="n">
        <f aca="false">IF(E1362=0,"",IF(D1362="VIGENTE",1,0))</f>
        <v>0</v>
      </c>
      <c r="H1362" s="1" t="inlineStr">
        <is>
          <t xml:space="preserve">B observado / C cálculo</t>
        </is>
      </c>
    </row>
    <row r="1363" customFormat="false" ht="15" hidden="false" customHeight="true" outlineLevel="0" collapsed="false">
      <c r="A1363" s="1" t="n">
        <v>2024</v>
      </c>
      <c r="B1363" s="1" t="n">
        <v>5</v>
      </c>
      <c r="C1363" s="1" t="inlineStr">
        <is>
          <t xml:space="preserve">IETMREOL20211</t>
        </is>
      </c>
      <c r="D1363" s="1" t="inlineStr">
        <is>
          <t xml:space="preserve">VIGENTE</t>
        </is>
      </c>
      <c r="E1363" s="1" t="n">
        <v>2</v>
      </c>
      <c r="F1363" s="1" t="n">
        <v>2</v>
      </c>
      <c r="G1363" s="1" t="n">
        <f aca="false">IF(E1363=0,"",IF(D1363="VIGENTE",1,0))</f>
        <v>1</v>
      </c>
      <c r="H1363" s="1" t="inlineStr">
        <is>
          <t xml:space="preserve">B observado / C cálculo</t>
        </is>
      </c>
    </row>
    <row r="1364" customFormat="false" ht="15" hidden="false" customHeight="true" outlineLevel="0" collapsed="false">
      <c r="A1364" s="1" t="n">
        <v>2024</v>
      </c>
      <c r="B1364" s="1" t="n">
        <v>5</v>
      </c>
      <c r="C1364" s="1" t="inlineStr">
        <is>
          <t xml:space="preserve">TCSREOL20211</t>
        </is>
      </c>
      <c r="D1364" s="1" t="inlineStr">
        <is>
          <t xml:space="preserve">TITULADO</t>
        </is>
      </c>
      <c r="E1364" s="1" t="n">
        <v>2</v>
      </c>
      <c r="F1364" s="1" t="n">
        <v>4</v>
      </c>
      <c r="G1364" s="1" t="n">
        <f aca="false">IF(E1364=0,"",IF(D1364="VIGENTE",1,0))</f>
        <v>0</v>
      </c>
      <c r="H1364" s="1" t="inlineStr">
        <is>
          <t xml:space="preserve">B observado / C cálculo</t>
        </is>
      </c>
    </row>
    <row r="1365" customFormat="false" ht="15" hidden="false" customHeight="true" outlineLevel="0" collapsed="false">
      <c r="A1365" s="1" t="n">
        <v>2024</v>
      </c>
      <c r="B1365" s="1" t="n">
        <v>5</v>
      </c>
      <c r="C1365" s="1" t="inlineStr">
        <is>
          <t xml:space="preserve">TCSREOL20231</t>
        </is>
      </c>
      <c r="D1365" s="1" t="inlineStr">
        <is>
          <t xml:space="preserve">TITULADO</t>
        </is>
      </c>
      <c r="E1365" s="1" t="n">
        <v>4</v>
      </c>
      <c r="F1365" s="1" t="n">
        <v>4</v>
      </c>
      <c r="G1365" s="1" t="n">
        <f aca="false">IF(E1365=0,"",IF(D1365="VIGENTE",1,0))</f>
        <v>0</v>
      </c>
      <c r="H1365" s="1" t="inlineStr">
        <is>
          <t xml:space="preserve">B observado / C cálculo</t>
        </is>
      </c>
    </row>
    <row r="1366" customFormat="false" ht="15" hidden="false" customHeight="true" outlineLevel="0" collapsed="false">
      <c r="A1366" s="1" t="n">
        <v>2024</v>
      </c>
      <c r="B1366" s="1" t="n">
        <v>5</v>
      </c>
      <c r="C1366" s="1" t="inlineStr">
        <is>
          <t xml:space="preserve">TPARE20211</t>
        </is>
      </c>
      <c r="D1366" s="1" t="inlineStr">
        <is>
          <t xml:space="preserve">TITULADO</t>
        </is>
      </c>
      <c r="E1366" s="1" t="n">
        <v>2</v>
      </c>
      <c r="F1366" s="1" t="n">
        <v>4</v>
      </c>
      <c r="G1366" s="1" t="n">
        <f aca="false">IF(E1366=0,"",IF(D1366="VIGENTE",1,0))</f>
        <v>0</v>
      </c>
      <c r="H1366" s="1" t="inlineStr">
        <is>
          <t xml:space="preserve">B observado / C cálculo</t>
        </is>
      </c>
    </row>
    <row r="1367" customFormat="false" ht="15" hidden="false" customHeight="true" outlineLevel="0" collapsed="false">
      <c r="A1367" s="1" t="n">
        <v>2024</v>
      </c>
      <c r="B1367" s="1" t="n">
        <v>5</v>
      </c>
      <c r="C1367" s="1" t="inlineStr">
        <is>
          <t xml:space="preserve">TPAREOL2020</t>
        </is>
      </c>
      <c r="D1367" s="1" t="inlineStr">
        <is>
          <t xml:space="preserve">TITULADO</t>
        </is>
      </c>
      <c r="E1367" s="1" t="n">
        <v>1</v>
      </c>
      <c r="F1367" s="1" t="n">
        <v>2</v>
      </c>
      <c r="G1367" s="1" t="n">
        <f aca="false">IF(E1367=0,"",IF(D1367="VIGENTE",1,0))</f>
        <v>0</v>
      </c>
      <c r="H1367" s="1" t="inlineStr">
        <is>
          <t xml:space="preserve">B observado / C cálculo</t>
        </is>
      </c>
    </row>
    <row r="1368" customFormat="false" ht="15" hidden="false" customHeight="true" outlineLevel="0" collapsed="false">
      <c r="A1368" s="1" t="n">
        <v>2024</v>
      </c>
      <c r="B1368" s="1" t="n">
        <v>5</v>
      </c>
      <c r="C1368" s="1" t="inlineStr">
        <is>
          <t xml:space="preserve">TPAREOL20211</t>
        </is>
      </c>
      <c r="D1368" s="1" t="inlineStr">
        <is>
          <t xml:space="preserve">TITULADO</t>
        </is>
      </c>
      <c r="E1368" s="1" t="n">
        <v>12</v>
      </c>
      <c r="F1368" s="1" t="n">
        <v>24</v>
      </c>
      <c r="G1368" s="1" t="n">
        <f aca="false">IF(E1368=0,"",IF(D1368="VIGENTE",1,0))</f>
        <v>0</v>
      </c>
      <c r="H1368" s="1" t="inlineStr">
        <is>
          <t xml:space="preserve">B observado / C cálculo</t>
        </is>
      </c>
    </row>
    <row r="1369" customFormat="false" ht="15" hidden="false" customHeight="true" outlineLevel="0" collapsed="false">
      <c r="A1369" s="1" t="n">
        <v>2024</v>
      </c>
      <c r="B1369" s="1" t="n">
        <v>5</v>
      </c>
      <c r="C1369" s="1" t="inlineStr">
        <is>
          <t xml:space="preserve">TPAREOL20231</t>
        </is>
      </c>
      <c r="D1369" s="1" t="inlineStr">
        <is>
          <t xml:space="preserve">ELIMINADO</t>
        </is>
      </c>
      <c r="E1369" s="1" t="n">
        <v>1</v>
      </c>
      <c r="F1369" s="1" t="n">
        <v>1</v>
      </c>
      <c r="G1369" s="1" t="n">
        <f aca="false">IF(E1369=0,"",IF(D1369="VIGENTE",1,0))</f>
        <v>0</v>
      </c>
      <c r="H1369" s="1" t="inlineStr">
        <is>
          <t xml:space="preserve">B observado / C cálculo</t>
        </is>
      </c>
    </row>
    <row r="1370" customFormat="false" ht="15" hidden="false" customHeight="true" outlineLevel="0" collapsed="false">
      <c r="A1370" s="1" t="n">
        <v>2024</v>
      </c>
      <c r="B1370" s="1" t="n">
        <v>5</v>
      </c>
      <c r="C1370" s="1" t="inlineStr">
        <is>
          <t xml:space="preserve">TPAREOL20231</t>
        </is>
      </c>
      <c r="D1370" s="1" t="inlineStr">
        <is>
          <t xml:space="preserve">TITULADO</t>
        </is>
      </c>
      <c r="E1370" s="1" t="n">
        <v>8</v>
      </c>
      <c r="F1370" s="1" t="n">
        <v>8</v>
      </c>
      <c r="G1370" s="1" t="n">
        <f aca="false">IF(E1370=0,"",IF(D1370="VIGENTE",1,0))</f>
        <v>0</v>
      </c>
      <c r="H1370" s="1" t="inlineStr">
        <is>
          <t xml:space="preserve">B observado / C cálculo</t>
        </is>
      </c>
    </row>
    <row r="1371" customFormat="false" ht="15" hidden="false" customHeight="true" outlineLevel="0" collapsed="false">
      <c r="A1371" s="1" t="n">
        <v>2024</v>
      </c>
      <c r="B1371" s="1" t="n">
        <v>5</v>
      </c>
      <c r="C1371" s="1" t="inlineStr">
        <is>
          <t xml:space="preserve">TPAREOL20231</t>
        </is>
      </c>
      <c r="D1371" s="1" t="inlineStr">
        <is>
          <t xml:space="preserve">VIGENTE</t>
        </is>
      </c>
      <c r="E1371" s="1" t="n">
        <v>1</v>
      </c>
      <c r="F1371" s="1" t="n">
        <v>1</v>
      </c>
      <c r="G1371" s="1" t="n">
        <f aca="false">IF(E1371=0,"",IF(D1371="VIGENTE",1,0))</f>
        <v>1</v>
      </c>
      <c r="H1371" s="1" t="inlineStr">
        <is>
          <t xml:space="preserve">B observado / C cálculo</t>
        </is>
      </c>
    </row>
    <row r="1372" customFormat="false" ht="15" hidden="false" customHeight="true" outlineLevel="0" collapsed="false">
      <c r="A1372" s="1" t="n">
        <v>2024</v>
      </c>
      <c r="B1372" s="1" t="n">
        <v>5</v>
      </c>
      <c r="C1372" s="1" t="inlineStr">
        <is>
          <t xml:space="preserve">TTMREOL20211</t>
        </is>
      </c>
      <c r="D1372" s="1" t="inlineStr">
        <is>
          <t xml:space="preserve">TITULADO</t>
        </is>
      </c>
      <c r="E1372" s="1" t="n">
        <v>1</v>
      </c>
      <c r="F1372" s="1" t="n">
        <v>2</v>
      </c>
      <c r="G1372" s="1" t="n">
        <f aca="false">IF(E1372=0,"",IF(D1372="VIGENTE",1,0))</f>
        <v>0</v>
      </c>
      <c r="H1372" s="1" t="inlineStr">
        <is>
          <t xml:space="preserve">B observado / C cálculo</t>
        </is>
      </c>
    </row>
    <row r="1373" customFormat="false" ht="15" hidden="false" customHeight="true" outlineLevel="0" collapsed="false">
      <c r="A1373" s="1" t="n">
        <v>2024</v>
      </c>
      <c r="B1373" s="1" t="n">
        <v>5</v>
      </c>
      <c r="C1373" s="1" t="inlineStr">
        <is>
          <t xml:space="preserve">TTMREOL20231</t>
        </is>
      </c>
      <c r="D1373" s="1" t="inlineStr">
        <is>
          <t xml:space="preserve">TITULADO</t>
        </is>
      </c>
      <c r="E1373" s="1" t="n">
        <v>2</v>
      </c>
      <c r="F1373" s="1" t="n">
        <v>2</v>
      </c>
      <c r="G1373" s="1" t="n">
        <f aca="false">IF(E1373=0,"",IF(D1373="VIGENTE",1,0))</f>
        <v>0</v>
      </c>
      <c r="H1373" s="1" t="inlineStr">
        <is>
          <t xml:space="preserve">B observado / C cálculo</t>
        </is>
      </c>
    </row>
    <row r="1374" customFormat="false" ht="15" hidden="false" customHeight="true" outlineLevel="0" collapsed="false">
      <c r="A1374" s="1" t="n">
        <v>2025</v>
      </c>
      <c r="B1374" s="1" t="n">
        <v>1</v>
      </c>
      <c r="C1374" s="1" t="inlineStr">
        <is>
          <t xml:space="preserve">ADMP20251</t>
        </is>
      </c>
      <c r="D1374" s="1" t="inlineStr">
        <is>
          <t xml:space="preserve">ELIMINADO</t>
        </is>
      </c>
      <c r="E1374" s="1" t="n">
        <v>15</v>
      </c>
      <c r="F1374" s="1" t="n">
        <v>61</v>
      </c>
      <c r="G1374" s="1" t="n">
        <f aca="false">IF(E1374=0,"",IF(D1374="VIGENTE",1,0))</f>
        <v>0</v>
      </c>
      <c r="H1374" s="1" t="inlineStr">
        <is>
          <t xml:space="preserve">B observado / C cálculo</t>
        </is>
      </c>
    </row>
    <row r="1375" customFormat="false" ht="15" hidden="false" customHeight="true" outlineLevel="0" collapsed="false">
      <c r="A1375" s="1" t="n">
        <v>2025</v>
      </c>
      <c r="B1375" s="1" t="n">
        <v>1</v>
      </c>
      <c r="C1375" s="1" t="inlineStr">
        <is>
          <t xml:space="preserve">ADMP20251</t>
        </is>
      </c>
      <c r="D1375" s="1" t="inlineStr">
        <is>
          <t xml:space="preserve">SUSPENDIDO</t>
        </is>
      </c>
      <c r="E1375" s="1" t="n">
        <v>3</v>
      </c>
      <c r="F1375" s="1" t="n">
        <v>13</v>
      </c>
      <c r="G1375" s="1" t="n">
        <f aca="false">IF(E1375=0,"",IF(D1375="VIGENTE",1,0))</f>
        <v>0</v>
      </c>
      <c r="H1375" s="1" t="inlineStr">
        <is>
          <t xml:space="preserve">B observado / C cálculo</t>
        </is>
      </c>
    </row>
    <row r="1376" customFormat="false" ht="15" hidden="false" customHeight="true" outlineLevel="0" collapsed="false">
      <c r="A1376" s="1" t="n">
        <v>2025</v>
      </c>
      <c r="B1376" s="1" t="n">
        <v>1</v>
      </c>
      <c r="C1376" s="1" t="inlineStr">
        <is>
          <t xml:space="preserve">ADMP20251</t>
        </is>
      </c>
      <c r="D1376" s="1" t="inlineStr">
        <is>
          <t xml:space="preserve">VIGENTE</t>
        </is>
      </c>
      <c r="E1376" s="1" t="n">
        <v>52</v>
      </c>
      <c r="F1376" s="1" t="n">
        <v>219</v>
      </c>
      <c r="G1376" s="1" t="n">
        <f aca="false">IF(E1376=0,"",IF(D1376="VIGENTE",1,0))</f>
        <v>1</v>
      </c>
      <c r="H1376" s="1" t="inlineStr">
        <is>
          <t xml:space="preserve">B observado / C cálculo</t>
        </is>
      </c>
    </row>
    <row r="1377" customFormat="false" ht="15" hidden="false" customHeight="true" outlineLevel="0" collapsed="false">
      <c r="A1377" s="1" t="n">
        <v>2025</v>
      </c>
      <c r="B1377" s="1" t="n">
        <v>1</v>
      </c>
      <c r="C1377" s="1" t="inlineStr">
        <is>
          <t xml:space="preserve">AUDT20251</t>
        </is>
      </c>
      <c r="D1377" s="1" t="inlineStr">
        <is>
          <t xml:space="preserve">ELIMINADO</t>
        </is>
      </c>
      <c r="E1377" s="1" t="n">
        <v>5</v>
      </c>
      <c r="F1377" s="1" t="n">
        <v>12</v>
      </c>
      <c r="G1377" s="1" t="n">
        <f aca="false">IF(E1377=0,"",IF(D1377="VIGENTE",1,0))</f>
        <v>0</v>
      </c>
      <c r="H1377" s="1" t="inlineStr">
        <is>
          <t xml:space="preserve">B observado / C cálculo</t>
        </is>
      </c>
    </row>
    <row r="1378" customFormat="false" ht="15" hidden="false" customHeight="true" outlineLevel="0" collapsed="false">
      <c r="A1378" s="1" t="n">
        <v>2025</v>
      </c>
      <c r="B1378" s="1" t="n">
        <v>1</v>
      </c>
      <c r="C1378" s="1" t="inlineStr">
        <is>
          <t xml:space="preserve">AUDT20251</t>
        </is>
      </c>
      <c r="D1378" s="1" t="inlineStr">
        <is>
          <t xml:space="preserve">SUSPENDIDO</t>
        </is>
      </c>
      <c r="E1378" s="1" t="n">
        <v>3</v>
      </c>
      <c r="F1378" s="1" t="n">
        <v>13</v>
      </c>
      <c r="G1378" s="1" t="n">
        <f aca="false">IF(E1378=0,"",IF(D1378="VIGENTE",1,0))</f>
        <v>0</v>
      </c>
      <c r="H1378" s="1" t="inlineStr">
        <is>
          <t xml:space="preserve">B observado / C cálculo</t>
        </is>
      </c>
    </row>
    <row r="1379" customFormat="false" ht="15" hidden="false" customHeight="true" outlineLevel="0" collapsed="false">
      <c r="A1379" s="1" t="n">
        <v>2025</v>
      </c>
      <c r="B1379" s="1" t="n">
        <v>1</v>
      </c>
      <c r="C1379" s="1" t="inlineStr">
        <is>
          <t xml:space="preserve">AUDT20251</t>
        </is>
      </c>
      <c r="D1379" s="1" t="inlineStr">
        <is>
          <t xml:space="preserve">VIGENTE</t>
        </is>
      </c>
      <c r="E1379" s="1" t="n">
        <v>38</v>
      </c>
      <c r="F1379" s="1" t="n">
        <v>164</v>
      </c>
      <c r="G1379" s="1" t="n">
        <f aca="false">IF(E1379=0,"",IF(D1379="VIGENTE",1,0))</f>
        <v>1</v>
      </c>
      <c r="H1379" s="1" t="inlineStr">
        <is>
          <t xml:space="preserve">B observado / C cálculo</t>
        </is>
      </c>
    </row>
    <row r="1380" customFormat="false" ht="15" hidden="false" customHeight="true" outlineLevel="0" collapsed="false">
      <c r="A1380" s="1" t="n">
        <v>2025</v>
      </c>
      <c r="B1380" s="1" t="n">
        <v>1</v>
      </c>
      <c r="C1380" s="1" t="inlineStr">
        <is>
          <t xml:space="preserve">CIADM20241</t>
        </is>
      </c>
      <c r="D1380" s="1" t="inlineStr">
        <is>
          <t xml:space="preserve">ELIMINADO</t>
        </is>
      </c>
      <c r="E1380" s="1" t="n">
        <v>2</v>
      </c>
      <c r="F1380" s="1" t="n">
        <v>10</v>
      </c>
      <c r="G1380" s="1" t="n">
        <f aca="false">IF(E1380=0,"",IF(D1380="VIGENTE",1,0))</f>
        <v>0</v>
      </c>
      <c r="H1380" s="1" t="inlineStr">
        <is>
          <t xml:space="preserve">B observado / C cálculo</t>
        </is>
      </c>
    </row>
    <row r="1381" customFormat="false" ht="15" hidden="false" customHeight="true" outlineLevel="0" collapsed="false">
      <c r="A1381" s="1" t="n">
        <v>2025</v>
      </c>
      <c r="B1381" s="1" t="n">
        <v>1</v>
      </c>
      <c r="C1381" s="1" t="inlineStr">
        <is>
          <t xml:space="preserve">CIADM20241</t>
        </is>
      </c>
      <c r="D1381" s="1" t="inlineStr">
        <is>
          <t xml:space="preserve">VIGENTE</t>
        </is>
      </c>
      <c r="E1381" s="1" t="n">
        <v>14</v>
      </c>
      <c r="F1381" s="1" t="n">
        <v>70</v>
      </c>
      <c r="G1381" s="1" t="n">
        <f aca="false">IF(E1381=0,"",IF(D1381="VIGENTE",1,0))</f>
        <v>1</v>
      </c>
      <c r="H1381" s="1" t="inlineStr">
        <is>
          <t xml:space="preserve">B observado / C cálculo</t>
        </is>
      </c>
    </row>
    <row r="1382" customFormat="false" ht="15" hidden="false" customHeight="true" outlineLevel="0" collapsed="false">
      <c r="A1382" s="1" t="n">
        <v>2025</v>
      </c>
      <c r="B1382" s="1" t="n">
        <v>1</v>
      </c>
      <c r="C1382" s="1" t="inlineStr">
        <is>
          <t xml:space="preserve">CICIB20241</t>
        </is>
      </c>
      <c r="D1382" s="1" t="inlineStr">
        <is>
          <t xml:space="preserve">ELIMINADO</t>
        </is>
      </c>
      <c r="E1382" s="1" t="n">
        <v>5</v>
      </c>
      <c r="F1382" s="1" t="n">
        <v>6</v>
      </c>
      <c r="G1382" s="1" t="n">
        <f aca="false">IF(E1382=0,"",IF(D1382="VIGENTE",1,0))</f>
        <v>0</v>
      </c>
      <c r="H1382" s="1" t="inlineStr">
        <is>
          <t xml:space="preserve">B observado / C cálculo</t>
        </is>
      </c>
    </row>
    <row r="1383" customFormat="false" ht="15" hidden="false" customHeight="true" outlineLevel="0" collapsed="false">
      <c r="A1383" s="1" t="n">
        <v>2025</v>
      </c>
      <c r="B1383" s="1" t="n">
        <v>1</v>
      </c>
      <c r="C1383" s="1" t="inlineStr">
        <is>
          <t xml:space="preserve">CICIB20241</t>
        </is>
      </c>
      <c r="D1383" s="1" t="inlineStr">
        <is>
          <t xml:space="preserve">SUSPENDIDO</t>
        </is>
      </c>
      <c r="E1383" s="1" t="n">
        <v>1</v>
      </c>
      <c r="F1383" s="1" t="n">
        <v>1</v>
      </c>
      <c r="G1383" s="1" t="n">
        <f aca="false">IF(E1383=0,"",IF(D1383="VIGENTE",1,0))</f>
        <v>0</v>
      </c>
      <c r="H1383" s="1" t="inlineStr">
        <is>
          <t xml:space="preserve">B observado / C cálculo</t>
        </is>
      </c>
    </row>
    <row r="1384" customFormat="false" ht="15" hidden="false" customHeight="true" outlineLevel="0" collapsed="false">
      <c r="A1384" s="1" t="n">
        <v>2025</v>
      </c>
      <c r="B1384" s="1" t="n">
        <v>1</v>
      </c>
      <c r="C1384" s="1" t="inlineStr">
        <is>
          <t xml:space="preserve">CICIB20241</t>
        </is>
      </c>
      <c r="D1384" s="1" t="inlineStr">
        <is>
          <t xml:space="preserve">TITULADO</t>
        </is>
      </c>
      <c r="E1384" s="1" t="n">
        <v>39</v>
      </c>
      <c r="F1384" s="1" t="n">
        <v>39</v>
      </c>
      <c r="G1384" s="1" t="n">
        <f aca="false">IF(E1384=0,"",IF(D1384="VIGENTE",1,0))</f>
        <v>0</v>
      </c>
      <c r="H1384" s="1" t="inlineStr">
        <is>
          <t xml:space="preserve">B observado / C cálculo</t>
        </is>
      </c>
    </row>
    <row r="1385" customFormat="false" ht="15" hidden="false" customHeight="true" outlineLevel="0" collapsed="false">
      <c r="A1385" s="1" t="n">
        <v>2025</v>
      </c>
      <c r="B1385" s="1" t="n">
        <v>1</v>
      </c>
      <c r="C1385" s="1" t="inlineStr">
        <is>
          <t xml:space="preserve">CICIB20241</t>
        </is>
      </c>
      <c r="D1385" s="1" t="inlineStr">
        <is>
          <t xml:space="preserve">VIGENTE</t>
        </is>
      </c>
      <c r="E1385" s="1" t="n">
        <v>50</v>
      </c>
      <c r="F1385" s="1" t="n">
        <v>53</v>
      </c>
      <c r="G1385" s="1" t="n">
        <f aca="false">IF(E1385=0,"",IF(D1385="VIGENTE",1,0))</f>
        <v>1</v>
      </c>
      <c r="H1385" s="1" t="inlineStr">
        <is>
          <t xml:space="preserve">B observado / C cálculo</t>
        </is>
      </c>
    </row>
    <row r="1386" customFormat="false" ht="15" hidden="false" customHeight="true" outlineLevel="0" collapsed="false">
      <c r="A1386" s="1" t="n">
        <v>2025</v>
      </c>
      <c r="B1386" s="1" t="n">
        <v>1</v>
      </c>
      <c r="C1386" s="1" t="inlineStr">
        <is>
          <t xml:space="preserve">CICRE20241</t>
        </is>
      </c>
      <c r="D1386" s="1" t="inlineStr">
        <is>
          <t xml:space="preserve">ELIMINADO</t>
        </is>
      </c>
      <c r="E1386" s="1" t="n">
        <v>9</v>
      </c>
      <c r="F1386" s="1" t="n">
        <v>10</v>
      </c>
      <c r="G1386" s="1" t="n">
        <f aca="false">IF(E1386=0,"",IF(D1386="VIGENTE",1,0))</f>
        <v>0</v>
      </c>
      <c r="H1386" s="1" t="inlineStr">
        <is>
          <t xml:space="preserve">B observado / C cálculo</t>
        </is>
      </c>
    </row>
    <row r="1387" customFormat="false" ht="15" hidden="false" customHeight="true" outlineLevel="0" collapsed="false">
      <c r="A1387" s="1" t="n">
        <v>2025</v>
      </c>
      <c r="B1387" s="1" t="n">
        <v>1</v>
      </c>
      <c r="C1387" s="1" t="inlineStr">
        <is>
          <t xml:space="preserve">CICRE20241</t>
        </is>
      </c>
      <c r="D1387" s="1" t="inlineStr">
        <is>
          <t xml:space="preserve">SUSPENDIDO</t>
        </is>
      </c>
      <c r="E1387" s="1" t="n">
        <v>2</v>
      </c>
      <c r="F1387" s="1" t="n">
        <v>2</v>
      </c>
      <c r="G1387" s="1" t="n">
        <f aca="false">IF(E1387=0,"",IF(D1387="VIGENTE",1,0))</f>
        <v>0</v>
      </c>
      <c r="H1387" s="1" t="inlineStr">
        <is>
          <t xml:space="preserve">B observado / C cálculo</t>
        </is>
      </c>
    </row>
    <row r="1388" customFormat="false" ht="15" hidden="false" customHeight="true" outlineLevel="0" collapsed="false">
      <c r="A1388" s="1" t="n">
        <v>2025</v>
      </c>
      <c r="B1388" s="1" t="n">
        <v>1</v>
      </c>
      <c r="C1388" s="1" t="inlineStr">
        <is>
          <t xml:space="preserve">CICRE20241</t>
        </is>
      </c>
      <c r="D1388" s="1" t="inlineStr">
        <is>
          <t xml:space="preserve">TITULADO</t>
        </is>
      </c>
      <c r="E1388" s="1" t="n">
        <v>43</v>
      </c>
      <c r="F1388" s="1" t="n">
        <v>43</v>
      </c>
      <c r="G1388" s="1" t="n">
        <f aca="false">IF(E1388=0,"",IF(D1388="VIGENTE",1,0))</f>
        <v>0</v>
      </c>
      <c r="H1388" s="1" t="inlineStr">
        <is>
          <t xml:space="preserve">B observado / C cálculo</t>
        </is>
      </c>
    </row>
    <row r="1389" customFormat="false" ht="15" hidden="false" customHeight="true" outlineLevel="0" collapsed="false">
      <c r="A1389" s="1" t="n">
        <v>2025</v>
      </c>
      <c r="B1389" s="1" t="n">
        <v>1</v>
      </c>
      <c r="C1389" s="1" t="inlineStr">
        <is>
          <t xml:space="preserve">CICRE20241</t>
        </is>
      </c>
      <c r="D1389" s="1" t="inlineStr">
        <is>
          <t xml:space="preserve">VIGENTE</t>
        </is>
      </c>
      <c r="E1389" s="1" t="n">
        <v>62</v>
      </c>
      <c r="F1389" s="1" t="n">
        <v>64</v>
      </c>
      <c r="G1389" s="1" t="n">
        <f aca="false">IF(E1389=0,"",IF(D1389="VIGENTE",1,0))</f>
        <v>1</v>
      </c>
      <c r="H1389" s="1" t="inlineStr">
        <is>
          <t xml:space="preserve">B observado / C cálculo</t>
        </is>
      </c>
    </row>
    <row r="1390" customFormat="false" ht="15" hidden="false" customHeight="true" outlineLevel="0" collapsed="false">
      <c r="A1390" s="1" t="n">
        <v>2025</v>
      </c>
      <c r="B1390" s="1" t="n">
        <v>1</v>
      </c>
      <c r="C1390" s="1" t="inlineStr">
        <is>
          <t xml:space="preserve">CIIND20251</t>
        </is>
      </c>
      <c r="D1390" s="1" t="inlineStr">
        <is>
          <t xml:space="preserve">VIGENTE</t>
        </is>
      </c>
      <c r="E1390" s="1" t="n">
        <v>38</v>
      </c>
      <c r="F1390" s="1" t="n">
        <v>38</v>
      </c>
      <c r="G1390" s="1" t="n">
        <f aca="false">IF(E1390=0,"",IF(D1390="VIGENTE",1,0))</f>
        <v>1</v>
      </c>
      <c r="H1390" s="1" t="inlineStr">
        <is>
          <t xml:space="preserve">B observado / C cálculo</t>
        </is>
      </c>
    </row>
    <row r="1391" customFormat="false" ht="15" hidden="false" customHeight="true" outlineLevel="0" collapsed="false">
      <c r="A1391" s="1" t="n">
        <v>2025</v>
      </c>
      <c r="B1391" s="1" t="n">
        <v>1</v>
      </c>
      <c r="C1391" s="1" t="inlineStr">
        <is>
          <t xml:space="preserve">CIINF20241</t>
        </is>
      </c>
      <c r="D1391" s="1" t="inlineStr">
        <is>
          <t xml:space="preserve">SUSPENDIDO</t>
        </is>
      </c>
      <c r="E1391" s="1" t="n">
        <v>2</v>
      </c>
      <c r="F1391" s="1" t="n">
        <v>2</v>
      </c>
      <c r="G1391" s="1" t="n">
        <f aca="false">IF(E1391=0,"",IF(D1391="VIGENTE",1,0))</f>
        <v>0</v>
      </c>
      <c r="H1391" s="1" t="inlineStr">
        <is>
          <t xml:space="preserve">B observado / C cálculo</t>
        </is>
      </c>
    </row>
    <row r="1392" customFormat="false" ht="15" hidden="false" customHeight="true" outlineLevel="0" collapsed="false">
      <c r="A1392" s="1" t="n">
        <v>2025</v>
      </c>
      <c r="B1392" s="1" t="n">
        <v>1</v>
      </c>
      <c r="C1392" s="1" t="inlineStr">
        <is>
          <t xml:space="preserve">CIINF20241</t>
        </is>
      </c>
      <c r="D1392" s="1" t="inlineStr">
        <is>
          <t xml:space="preserve">TITULADO</t>
        </is>
      </c>
      <c r="E1392" s="1" t="n">
        <v>22</v>
      </c>
      <c r="F1392" s="1" t="n">
        <v>22</v>
      </c>
      <c r="G1392" s="1" t="n">
        <f aca="false">IF(E1392=0,"",IF(D1392="VIGENTE",1,0))</f>
        <v>0</v>
      </c>
      <c r="H1392" s="1" t="inlineStr">
        <is>
          <t xml:space="preserve">B observado / C cálculo</t>
        </is>
      </c>
    </row>
    <row r="1393" customFormat="false" ht="15" hidden="false" customHeight="true" outlineLevel="0" collapsed="false">
      <c r="A1393" s="1" t="n">
        <v>2025</v>
      </c>
      <c r="B1393" s="1" t="n">
        <v>1</v>
      </c>
      <c r="C1393" s="1" t="inlineStr">
        <is>
          <t xml:space="preserve">CIINF20241</t>
        </is>
      </c>
      <c r="D1393" s="1" t="inlineStr">
        <is>
          <t xml:space="preserve">VIGENTE</t>
        </is>
      </c>
      <c r="E1393" s="1" t="n">
        <v>50</v>
      </c>
      <c r="F1393" s="1" t="n">
        <v>54</v>
      </c>
      <c r="G1393" s="1" t="n">
        <f aca="false">IF(E1393=0,"",IF(D1393="VIGENTE",1,0))</f>
        <v>1</v>
      </c>
      <c r="H1393" s="1" t="inlineStr">
        <is>
          <t xml:space="preserve">B observado / C cálculo</t>
        </is>
      </c>
    </row>
    <row r="1394" customFormat="false" ht="15" hidden="false" customHeight="true" outlineLevel="0" collapsed="false">
      <c r="A1394" s="1" t="n">
        <v>2025</v>
      </c>
      <c r="B1394" s="1" t="n">
        <v>1</v>
      </c>
      <c r="C1394" s="1" t="inlineStr">
        <is>
          <t xml:space="preserve">CILOG20241</t>
        </is>
      </c>
      <c r="D1394" s="1" t="inlineStr">
        <is>
          <t xml:space="preserve">SUSPENDIDO</t>
        </is>
      </c>
      <c r="E1394" s="1" t="n">
        <v>1</v>
      </c>
      <c r="F1394" s="1" t="n">
        <v>1</v>
      </c>
      <c r="G1394" s="1" t="n">
        <f aca="false">IF(E1394=0,"",IF(D1394="VIGENTE",1,0))</f>
        <v>0</v>
      </c>
      <c r="H1394" s="1" t="inlineStr">
        <is>
          <t xml:space="preserve">B observado / C cálculo</t>
        </is>
      </c>
    </row>
    <row r="1395" customFormat="false" ht="15" hidden="false" customHeight="true" outlineLevel="0" collapsed="false">
      <c r="A1395" s="1" t="n">
        <v>2025</v>
      </c>
      <c r="B1395" s="1" t="n">
        <v>1</v>
      </c>
      <c r="C1395" s="1" t="inlineStr">
        <is>
          <t xml:space="preserve">CILOG20241</t>
        </is>
      </c>
      <c r="D1395" s="1" t="inlineStr">
        <is>
          <t xml:space="preserve">VIGENTE</t>
        </is>
      </c>
      <c r="E1395" s="1" t="n">
        <v>16</v>
      </c>
      <c r="F1395" s="1" t="n">
        <v>16</v>
      </c>
      <c r="G1395" s="1" t="n">
        <f aca="false">IF(E1395=0,"",IF(D1395="VIGENTE",1,0))</f>
        <v>1</v>
      </c>
      <c r="H1395" s="1" t="inlineStr">
        <is>
          <t xml:space="preserve">B observado / C cálculo</t>
        </is>
      </c>
    </row>
    <row r="1396" customFormat="false" ht="15" hidden="false" customHeight="true" outlineLevel="0" collapsed="false">
      <c r="A1396" s="1" t="n">
        <v>2025</v>
      </c>
      <c r="B1396" s="1" t="n">
        <v>1</v>
      </c>
      <c r="C1396" s="1" t="inlineStr">
        <is>
          <t xml:space="preserve">CONG20251</t>
        </is>
      </c>
      <c r="D1396" s="1" t="inlineStr">
        <is>
          <t xml:space="preserve">ELIMINADO</t>
        </is>
      </c>
      <c r="E1396" s="1" t="n">
        <v>5</v>
      </c>
      <c r="F1396" s="1" t="n">
        <v>16</v>
      </c>
      <c r="G1396" s="1" t="n">
        <f aca="false">IF(E1396=0,"",IF(D1396="VIGENTE",1,0))</f>
        <v>0</v>
      </c>
      <c r="H1396" s="1" t="inlineStr">
        <is>
          <t xml:space="preserve">B observado / C cálculo</t>
        </is>
      </c>
    </row>
    <row r="1397" customFormat="false" ht="15" hidden="false" customHeight="true" outlineLevel="0" collapsed="false">
      <c r="A1397" s="1" t="n">
        <v>2025</v>
      </c>
      <c r="B1397" s="1" t="n">
        <v>1</v>
      </c>
      <c r="C1397" s="1" t="inlineStr">
        <is>
          <t xml:space="preserve">CONG20251</t>
        </is>
      </c>
      <c r="D1397" s="1" t="inlineStr">
        <is>
          <t xml:space="preserve">SUSPENDIDO</t>
        </is>
      </c>
      <c r="E1397" s="1" t="n">
        <v>1</v>
      </c>
      <c r="F1397" s="1" t="n">
        <v>5</v>
      </c>
      <c r="G1397" s="1" t="n">
        <f aca="false">IF(E1397=0,"",IF(D1397="VIGENTE",1,0))</f>
        <v>0</v>
      </c>
      <c r="H1397" s="1" t="inlineStr">
        <is>
          <t xml:space="preserve">B observado / C cálculo</t>
        </is>
      </c>
    </row>
    <row r="1398" customFormat="false" ht="15" hidden="false" customHeight="true" outlineLevel="0" collapsed="false">
      <c r="A1398" s="1" t="n">
        <v>2025</v>
      </c>
      <c r="B1398" s="1" t="n">
        <v>1</v>
      </c>
      <c r="C1398" s="1" t="inlineStr">
        <is>
          <t xml:space="preserve">CONG20251</t>
        </is>
      </c>
      <c r="D1398" s="1" t="inlineStr">
        <is>
          <t xml:space="preserve">VIGENTE</t>
        </is>
      </c>
      <c r="E1398" s="1" t="n">
        <v>33</v>
      </c>
      <c r="F1398" s="1" t="n">
        <v>139</v>
      </c>
      <c r="G1398" s="1" t="n">
        <f aca="false">IF(E1398=0,"",IF(D1398="VIGENTE",1,0))</f>
        <v>1</v>
      </c>
      <c r="H1398" s="1" t="inlineStr">
        <is>
          <t xml:space="preserve">B observado / C cálculo</t>
        </is>
      </c>
    </row>
    <row r="1399" customFormat="false" ht="15" hidden="false" customHeight="true" outlineLevel="0" collapsed="false">
      <c r="A1399" s="1" t="n">
        <v>2025</v>
      </c>
      <c r="B1399" s="1" t="n">
        <v>1</v>
      </c>
      <c r="C1399" s="1" t="inlineStr">
        <is>
          <t xml:space="preserve">DACD20251</t>
        </is>
      </c>
      <c r="D1399" s="1" t="inlineStr">
        <is>
          <t xml:space="preserve">EGRESADO</t>
        </is>
      </c>
      <c r="E1399" s="1" t="n">
        <v>13</v>
      </c>
      <c r="F1399" s="1" t="n">
        <v>104</v>
      </c>
      <c r="G1399" s="1" t="n">
        <f aca="false">IF(E1399=0,"",IF(D1399="VIGENTE",1,0))</f>
        <v>0</v>
      </c>
      <c r="H1399" s="1" t="inlineStr">
        <is>
          <t xml:space="preserve">B observado / C cálculo</t>
        </is>
      </c>
    </row>
    <row r="1400" customFormat="false" ht="15" hidden="false" customHeight="true" outlineLevel="0" collapsed="false">
      <c r="A1400" s="1" t="n">
        <v>2025</v>
      </c>
      <c r="B1400" s="1" t="n">
        <v>1</v>
      </c>
      <c r="C1400" s="1" t="inlineStr">
        <is>
          <t xml:space="preserve">DACD20251</t>
        </is>
      </c>
      <c r="D1400" s="1" t="inlineStr">
        <is>
          <t xml:space="preserve">ELIMINADO</t>
        </is>
      </c>
      <c r="E1400" s="1" t="n">
        <v>6</v>
      </c>
      <c r="F1400" s="1" t="n">
        <v>46</v>
      </c>
      <c r="G1400" s="1" t="n">
        <f aca="false">IF(E1400=0,"",IF(D1400="VIGENTE",1,0))</f>
        <v>0</v>
      </c>
      <c r="H1400" s="1" t="inlineStr">
        <is>
          <t xml:space="preserve">B observado / C cálculo</t>
        </is>
      </c>
    </row>
    <row r="1401" customFormat="false" ht="15" hidden="false" customHeight="true" outlineLevel="0" collapsed="false">
      <c r="A1401" s="1" t="n">
        <v>2025</v>
      </c>
      <c r="B1401" s="1" t="n">
        <v>1</v>
      </c>
      <c r="C1401" s="1" t="inlineStr">
        <is>
          <t xml:space="preserve">DCBS20251</t>
        </is>
      </c>
      <c r="D1401" s="1" t="inlineStr">
        <is>
          <t xml:space="preserve">EGRESADO</t>
        </is>
      </c>
      <c r="E1401" s="1" t="n">
        <v>31</v>
      </c>
      <c r="F1401" s="1" t="n">
        <v>173</v>
      </c>
      <c r="G1401" s="1" t="n">
        <f aca="false">IF(E1401=0,"",IF(D1401="VIGENTE",1,0))</f>
        <v>0</v>
      </c>
      <c r="H1401" s="1" t="inlineStr">
        <is>
          <t xml:space="preserve">B observado / C cálculo</t>
        </is>
      </c>
    </row>
    <row r="1402" customFormat="false" ht="15" hidden="false" customHeight="true" outlineLevel="0" collapsed="false">
      <c r="A1402" s="1" t="n">
        <v>2025</v>
      </c>
      <c r="B1402" s="1" t="n">
        <v>1</v>
      </c>
      <c r="C1402" s="1" t="inlineStr">
        <is>
          <t xml:space="preserve">DCBS20251</t>
        </is>
      </c>
      <c r="D1402" s="1" t="inlineStr">
        <is>
          <t xml:space="preserve">ELIMINADO</t>
        </is>
      </c>
      <c r="E1402" s="1" t="n">
        <v>2</v>
      </c>
      <c r="F1402" s="1" t="n">
        <v>10</v>
      </c>
      <c r="G1402" s="1" t="n">
        <f aca="false">IF(E1402=0,"",IF(D1402="VIGENTE",1,0))</f>
        <v>0</v>
      </c>
      <c r="H1402" s="1" t="inlineStr">
        <is>
          <t xml:space="preserve">B observado / C cálculo</t>
        </is>
      </c>
    </row>
    <row r="1403" customFormat="false" ht="15" hidden="false" customHeight="true" outlineLevel="0" collapsed="false">
      <c r="A1403" s="1" t="n">
        <v>2025</v>
      </c>
      <c r="B1403" s="1" t="n">
        <v>1</v>
      </c>
      <c r="C1403" s="1" t="inlineStr">
        <is>
          <t xml:space="preserve">IADM20241</t>
        </is>
      </c>
      <c r="D1403" s="1" t="inlineStr">
        <is>
          <t xml:space="preserve">ELIMINADO</t>
        </is>
      </c>
      <c r="E1403" s="1" t="n">
        <v>13</v>
      </c>
      <c r="F1403" s="1" t="n">
        <v>45</v>
      </c>
      <c r="G1403" s="1" t="n">
        <f aca="false">IF(E1403=0,"",IF(D1403="VIGENTE",1,0))</f>
        <v>0</v>
      </c>
      <c r="H1403" s="1" t="inlineStr">
        <is>
          <t xml:space="preserve">B observado / C cálculo</t>
        </is>
      </c>
    </row>
    <row r="1404" customFormat="false" ht="15" hidden="false" customHeight="true" outlineLevel="0" collapsed="false">
      <c r="A1404" s="1" t="n">
        <v>2025</v>
      </c>
      <c r="B1404" s="1" t="n">
        <v>1</v>
      </c>
      <c r="C1404" s="1" t="inlineStr">
        <is>
          <t xml:space="preserve">IADM20241</t>
        </is>
      </c>
      <c r="D1404" s="1" t="inlineStr">
        <is>
          <t xml:space="preserve">SUSPENDIDO</t>
        </is>
      </c>
      <c r="E1404" s="1" t="n">
        <v>4</v>
      </c>
      <c r="F1404" s="1" t="n">
        <v>25</v>
      </c>
      <c r="G1404" s="1" t="n">
        <f aca="false">IF(E1404=0,"",IF(D1404="VIGENTE",1,0))</f>
        <v>0</v>
      </c>
      <c r="H1404" s="1" t="inlineStr">
        <is>
          <t xml:space="preserve">B observado / C cálculo</t>
        </is>
      </c>
    </row>
    <row r="1405" customFormat="false" ht="15" hidden="false" customHeight="true" outlineLevel="0" collapsed="false">
      <c r="A1405" s="1" t="n">
        <v>2025</v>
      </c>
      <c r="B1405" s="1" t="n">
        <v>1</v>
      </c>
      <c r="C1405" s="1" t="inlineStr">
        <is>
          <t xml:space="preserve">IADM20241</t>
        </is>
      </c>
      <c r="D1405" s="1" t="inlineStr">
        <is>
          <t xml:space="preserve">VIGENTE</t>
        </is>
      </c>
      <c r="E1405" s="1" t="n">
        <v>90</v>
      </c>
      <c r="F1405" s="1" t="n">
        <v>389</v>
      </c>
      <c r="G1405" s="1" t="n">
        <f aca="false">IF(E1405=0,"",IF(D1405="VIGENTE",1,0))</f>
        <v>1</v>
      </c>
      <c r="H1405" s="1" t="inlineStr">
        <is>
          <t xml:space="preserve">B observado / C cálculo</t>
        </is>
      </c>
    </row>
    <row r="1406" customFormat="false" ht="15" hidden="false" customHeight="true" outlineLevel="0" collapsed="false">
      <c r="A1406" s="1" t="n">
        <v>2025</v>
      </c>
      <c r="B1406" s="1" t="n">
        <v>1</v>
      </c>
      <c r="C1406" s="1" t="inlineStr">
        <is>
          <t xml:space="preserve">ICDA20251</t>
        </is>
      </c>
      <c r="D1406" s="1" t="inlineStr">
        <is>
          <t xml:space="preserve">ELIMINADO</t>
        </is>
      </c>
      <c r="E1406" s="1" t="n">
        <v>5</v>
      </c>
      <c r="F1406" s="1" t="n">
        <v>8</v>
      </c>
      <c r="G1406" s="1" t="n">
        <f aca="false">IF(E1406=0,"",IF(D1406="VIGENTE",1,0))</f>
        <v>0</v>
      </c>
      <c r="H1406" s="1" t="inlineStr">
        <is>
          <t xml:space="preserve">B observado / C cálculo</t>
        </is>
      </c>
    </row>
    <row r="1407" customFormat="false" ht="15" hidden="false" customHeight="true" outlineLevel="0" collapsed="false">
      <c r="A1407" s="1" t="n">
        <v>2025</v>
      </c>
      <c r="B1407" s="1" t="n">
        <v>1</v>
      </c>
      <c r="C1407" s="1" t="inlineStr">
        <is>
          <t xml:space="preserve">ICDA20251</t>
        </is>
      </c>
      <c r="D1407" s="1" t="inlineStr">
        <is>
          <t xml:space="preserve">SUSPENDIDO</t>
        </is>
      </c>
      <c r="E1407" s="1" t="n">
        <v>4</v>
      </c>
      <c r="F1407" s="1" t="n">
        <v>11</v>
      </c>
      <c r="G1407" s="1" t="n">
        <f aca="false">IF(E1407=0,"",IF(D1407="VIGENTE",1,0))</f>
        <v>0</v>
      </c>
      <c r="H1407" s="1" t="inlineStr">
        <is>
          <t xml:space="preserve">B observado / C cálculo</t>
        </is>
      </c>
    </row>
    <row r="1408" customFormat="false" ht="15" hidden="false" customHeight="true" outlineLevel="0" collapsed="false">
      <c r="A1408" s="1" t="n">
        <v>2025</v>
      </c>
      <c r="B1408" s="1" t="n">
        <v>1</v>
      </c>
      <c r="C1408" s="1" t="inlineStr">
        <is>
          <t xml:space="preserve">ICDA20251</t>
        </is>
      </c>
      <c r="D1408" s="1" t="inlineStr">
        <is>
          <t xml:space="preserve">VIGENTE</t>
        </is>
      </c>
      <c r="E1408" s="1" t="n">
        <v>36</v>
      </c>
      <c r="F1408" s="1" t="n">
        <v>51</v>
      </c>
      <c r="G1408" s="1" t="n">
        <f aca="false">IF(E1408=0,"",IF(D1408="VIGENTE",1,0))</f>
        <v>1</v>
      </c>
      <c r="H1408" s="1" t="inlineStr">
        <is>
          <t xml:space="preserve">B observado / C cálculo</t>
        </is>
      </c>
    </row>
    <row r="1409" customFormat="false" ht="15" hidden="false" customHeight="true" outlineLevel="0" collapsed="false">
      <c r="A1409" s="1" t="n">
        <v>2025</v>
      </c>
      <c r="B1409" s="1" t="n">
        <v>1</v>
      </c>
      <c r="C1409" s="1" t="inlineStr">
        <is>
          <t xml:space="preserve">ICIB20241</t>
        </is>
      </c>
      <c r="D1409" s="1" t="inlineStr">
        <is>
          <t xml:space="preserve">ELIMINADO</t>
        </is>
      </c>
      <c r="E1409" s="1" t="n">
        <v>23</v>
      </c>
      <c r="F1409" s="1" t="n">
        <v>68</v>
      </c>
      <c r="G1409" s="1" t="n">
        <f aca="false">IF(E1409=0,"",IF(D1409="VIGENTE",1,0))</f>
        <v>0</v>
      </c>
      <c r="H1409" s="1" t="inlineStr">
        <is>
          <t xml:space="preserve">B observado / C cálculo</t>
        </is>
      </c>
    </row>
    <row r="1410" customFormat="false" ht="15" hidden="false" customHeight="true" outlineLevel="0" collapsed="false">
      <c r="A1410" s="1" t="n">
        <v>2025</v>
      </c>
      <c r="B1410" s="1" t="n">
        <v>1</v>
      </c>
      <c r="C1410" s="1" t="inlineStr">
        <is>
          <t xml:space="preserve">ICIB20241</t>
        </is>
      </c>
      <c r="D1410" s="1" t="inlineStr">
        <is>
          <t xml:space="preserve">SUSPENDIDO</t>
        </is>
      </c>
      <c r="E1410" s="1" t="n">
        <v>8</v>
      </c>
      <c r="F1410" s="1" t="n">
        <v>34</v>
      </c>
      <c r="G1410" s="1" t="n">
        <f aca="false">IF(E1410=0,"",IF(D1410="VIGENTE",1,0))</f>
        <v>0</v>
      </c>
      <c r="H1410" s="1" t="inlineStr">
        <is>
          <t xml:space="preserve">B observado / C cálculo</t>
        </is>
      </c>
    </row>
    <row r="1411" customFormat="false" ht="15" hidden="false" customHeight="true" outlineLevel="0" collapsed="false">
      <c r="A1411" s="1" t="n">
        <v>2025</v>
      </c>
      <c r="B1411" s="1" t="n">
        <v>1</v>
      </c>
      <c r="C1411" s="1" t="inlineStr">
        <is>
          <t xml:space="preserve">ICIB20241</t>
        </is>
      </c>
      <c r="D1411" s="1" t="inlineStr">
        <is>
          <t xml:space="preserve">TITULADO</t>
        </is>
      </c>
      <c r="E1411" s="1" t="n">
        <v>26</v>
      </c>
      <c r="F1411" s="1" t="n">
        <v>31</v>
      </c>
      <c r="G1411" s="1" t="n">
        <f aca="false">IF(E1411=0,"",IF(D1411="VIGENTE",1,0))</f>
        <v>0</v>
      </c>
      <c r="H1411" s="1" t="inlineStr">
        <is>
          <t xml:space="preserve">B observado / C cálculo</t>
        </is>
      </c>
    </row>
    <row r="1412" customFormat="false" ht="15" hidden="false" customHeight="true" outlineLevel="0" collapsed="false">
      <c r="A1412" s="1" t="n">
        <v>2025</v>
      </c>
      <c r="B1412" s="1" t="n">
        <v>1</v>
      </c>
      <c r="C1412" s="1" t="inlineStr">
        <is>
          <t xml:space="preserve">ICIB20241</t>
        </is>
      </c>
      <c r="D1412" s="1" t="inlineStr">
        <is>
          <t xml:space="preserve">VIGENTE</t>
        </is>
      </c>
      <c r="E1412" s="1" t="n">
        <v>185</v>
      </c>
      <c r="F1412" s="1" t="n">
        <v>686</v>
      </c>
      <c r="G1412" s="1" t="n">
        <f aca="false">IF(E1412=0,"",IF(D1412="VIGENTE",1,0))</f>
        <v>1</v>
      </c>
      <c r="H1412" s="1" t="inlineStr">
        <is>
          <t xml:space="preserve">B observado / C cálculo</t>
        </is>
      </c>
    </row>
    <row r="1413" customFormat="false" ht="15" hidden="false" customHeight="true" outlineLevel="0" collapsed="false">
      <c r="A1413" s="1" t="n">
        <v>2025</v>
      </c>
      <c r="B1413" s="1" t="n">
        <v>1</v>
      </c>
      <c r="C1413" s="1" t="inlineStr">
        <is>
          <t xml:space="preserve">ICRE20241</t>
        </is>
      </c>
      <c r="D1413" s="1" t="inlineStr">
        <is>
          <t xml:space="preserve">ELIMINADO</t>
        </is>
      </c>
      <c r="E1413" s="1" t="n">
        <v>17</v>
      </c>
      <c r="F1413" s="1" t="n">
        <v>29</v>
      </c>
      <c r="G1413" s="1" t="n">
        <f aca="false">IF(E1413=0,"",IF(D1413="VIGENTE",1,0))</f>
        <v>0</v>
      </c>
      <c r="H1413" s="1" t="inlineStr">
        <is>
          <t xml:space="preserve">B observado / C cálculo</t>
        </is>
      </c>
    </row>
    <row r="1414" customFormat="false" ht="15" hidden="false" customHeight="true" outlineLevel="0" collapsed="false">
      <c r="A1414" s="1" t="n">
        <v>2025</v>
      </c>
      <c r="B1414" s="1" t="n">
        <v>1</v>
      </c>
      <c r="C1414" s="1" t="inlineStr">
        <is>
          <t xml:space="preserve">ICRE20241</t>
        </is>
      </c>
      <c r="D1414" s="1" t="inlineStr">
        <is>
          <t xml:space="preserve">SUSPENDIDO</t>
        </is>
      </c>
      <c r="E1414" s="1" t="n">
        <v>4</v>
      </c>
      <c r="F1414" s="1" t="n">
        <v>5</v>
      </c>
      <c r="G1414" s="1" t="n">
        <f aca="false">IF(E1414=0,"",IF(D1414="VIGENTE",1,0))</f>
        <v>0</v>
      </c>
      <c r="H1414" s="1" t="inlineStr">
        <is>
          <t xml:space="preserve">B observado / C cálculo</t>
        </is>
      </c>
    </row>
    <row r="1415" customFormat="false" ht="15" hidden="false" customHeight="true" outlineLevel="0" collapsed="false">
      <c r="A1415" s="1" t="n">
        <v>2025</v>
      </c>
      <c r="B1415" s="1" t="n">
        <v>1</v>
      </c>
      <c r="C1415" s="1" t="inlineStr">
        <is>
          <t xml:space="preserve">ICRE20241</t>
        </is>
      </c>
      <c r="D1415" s="1" t="inlineStr">
        <is>
          <t xml:space="preserve">TITULADO</t>
        </is>
      </c>
      <c r="E1415" s="1" t="n">
        <v>27</v>
      </c>
      <c r="F1415" s="1" t="n">
        <v>32</v>
      </c>
      <c r="G1415" s="1" t="n">
        <f aca="false">IF(E1415=0,"",IF(D1415="VIGENTE",1,0))</f>
        <v>0</v>
      </c>
      <c r="H1415" s="1" t="inlineStr">
        <is>
          <t xml:space="preserve">B observado / C cálculo</t>
        </is>
      </c>
    </row>
    <row r="1416" customFormat="false" ht="15" hidden="false" customHeight="true" outlineLevel="0" collapsed="false">
      <c r="A1416" s="1" t="n">
        <v>2025</v>
      </c>
      <c r="B1416" s="1" t="n">
        <v>1</v>
      </c>
      <c r="C1416" s="1" t="inlineStr">
        <is>
          <t xml:space="preserve">ICRE20241</t>
        </is>
      </c>
      <c r="D1416" s="1" t="inlineStr">
        <is>
          <t xml:space="preserve">VIGENTE</t>
        </is>
      </c>
      <c r="E1416" s="1" t="n">
        <v>112</v>
      </c>
      <c r="F1416" s="1" t="n">
        <v>199</v>
      </c>
      <c r="G1416" s="1" t="n">
        <f aca="false">IF(E1416=0,"",IF(D1416="VIGENTE",1,0))</f>
        <v>1</v>
      </c>
      <c r="H1416" s="1" t="inlineStr">
        <is>
          <t xml:space="preserve">B observado / C cálculo</t>
        </is>
      </c>
    </row>
    <row r="1417" customFormat="false" ht="15" hidden="false" customHeight="true" outlineLevel="0" collapsed="false">
      <c r="A1417" s="1" t="n">
        <v>2025</v>
      </c>
      <c r="B1417" s="1" t="n">
        <v>1</v>
      </c>
      <c r="C1417" s="1" t="inlineStr">
        <is>
          <t xml:space="preserve">IECIREOL20211</t>
        </is>
      </c>
      <c r="D1417" s="1" t="inlineStr">
        <is>
          <t xml:space="preserve">TITULADO</t>
        </is>
      </c>
      <c r="E1417" s="1" t="n">
        <v>14</v>
      </c>
      <c r="F1417" s="1" t="n">
        <v>31</v>
      </c>
      <c r="G1417" s="1" t="n">
        <f aca="false">IF(E1417=0,"",IF(D1417="VIGENTE",1,0))</f>
        <v>0</v>
      </c>
      <c r="H1417" s="1" t="inlineStr">
        <is>
          <t xml:space="preserve">B observado / C cálculo</t>
        </is>
      </c>
    </row>
    <row r="1418" customFormat="false" ht="15" hidden="false" customHeight="true" outlineLevel="0" collapsed="false">
      <c r="A1418" s="1" t="n">
        <v>2025</v>
      </c>
      <c r="B1418" s="1" t="n">
        <v>1</v>
      </c>
      <c r="C1418" s="1" t="inlineStr">
        <is>
          <t xml:space="preserve">IECSRE20211</t>
        </is>
      </c>
      <c r="D1418" s="1" t="inlineStr">
        <is>
          <t xml:space="preserve">TITULADO</t>
        </is>
      </c>
      <c r="E1418" s="1" t="n">
        <v>4</v>
      </c>
      <c r="F1418" s="1" t="n">
        <v>12</v>
      </c>
      <c r="G1418" s="1" t="n">
        <f aca="false">IF(E1418=0,"",IF(D1418="VIGENTE",1,0))</f>
        <v>0</v>
      </c>
      <c r="H1418" s="1" t="inlineStr">
        <is>
          <t xml:space="preserve">B observado / C cálculo</t>
        </is>
      </c>
    </row>
    <row r="1419" customFormat="false" ht="15" hidden="false" customHeight="true" outlineLevel="0" collapsed="false">
      <c r="A1419" s="1" t="n">
        <v>2025</v>
      </c>
      <c r="B1419" s="1" t="n">
        <v>1</v>
      </c>
      <c r="C1419" s="1" t="inlineStr">
        <is>
          <t xml:space="preserve">IECSREOL20211</t>
        </is>
      </c>
      <c r="D1419" s="1" t="inlineStr">
        <is>
          <t xml:space="preserve">TITULADO</t>
        </is>
      </c>
      <c r="E1419" s="1" t="n">
        <v>19</v>
      </c>
      <c r="F1419" s="1" t="n">
        <v>56</v>
      </c>
      <c r="G1419" s="1" t="n">
        <f aca="false">IF(E1419=0,"",IF(D1419="VIGENTE",1,0))</f>
        <v>0</v>
      </c>
      <c r="H1419" s="1" t="inlineStr">
        <is>
          <t xml:space="preserve">B observado / C cálculo</t>
        </is>
      </c>
    </row>
    <row r="1420" customFormat="false" ht="15" hidden="false" customHeight="true" outlineLevel="0" collapsed="false">
      <c r="A1420" s="1" t="n">
        <v>2025</v>
      </c>
      <c r="B1420" s="1" t="n">
        <v>1</v>
      </c>
      <c r="C1420" s="1" t="inlineStr">
        <is>
          <t xml:space="preserve">IETMRE20211</t>
        </is>
      </c>
      <c r="D1420" s="1" t="inlineStr">
        <is>
          <t xml:space="preserve">TITULADO</t>
        </is>
      </c>
      <c r="E1420" s="1" t="n">
        <v>3</v>
      </c>
      <c r="F1420" s="1" t="n">
        <v>5</v>
      </c>
      <c r="G1420" s="1" t="n">
        <f aca="false">IF(E1420=0,"",IF(D1420="VIGENTE",1,0))</f>
        <v>0</v>
      </c>
      <c r="H1420" s="1" t="inlineStr">
        <is>
          <t xml:space="preserve">B observado / C cálculo</t>
        </is>
      </c>
    </row>
    <row r="1421" customFormat="false" ht="15" hidden="false" customHeight="true" outlineLevel="0" collapsed="false">
      <c r="A1421" s="1" t="n">
        <v>2025</v>
      </c>
      <c r="B1421" s="1" t="n">
        <v>1</v>
      </c>
      <c r="C1421" s="1" t="inlineStr">
        <is>
          <t xml:space="preserve">IETMREOL20191</t>
        </is>
      </c>
      <c r="D1421" s="1" t="inlineStr">
        <is>
          <t xml:space="preserve">VIGENTE</t>
        </is>
      </c>
      <c r="E1421" s="1" t="n">
        <v>1</v>
      </c>
      <c r="F1421" s="1" t="n">
        <v>2</v>
      </c>
      <c r="G1421" s="1" t="n">
        <f aca="false">IF(E1421=0,"",IF(D1421="VIGENTE",1,0))</f>
        <v>1</v>
      </c>
      <c r="H1421" s="1" t="inlineStr">
        <is>
          <t xml:space="preserve">B observado / C cálculo</t>
        </is>
      </c>
    </row>
    <row r="1422" customFormat="false" ht="15" hidden="false" customHeight="true" outlineLevel="0" collapsed="false">
      <c r="A1422" s="1" t="n">
        <v>2025</v>
      </c>
      <c r="B1422" s="1" t="n">
        <v>1</v>
      </c>
      <c r="C1422" s="1" t="inlineStr">
        <is>
          <t xml:space="preserve">IETMREOL20211</t>
        </is>
      </c>
      <c r="D1422" s="1" t="inlineStr">
        <is>
          <t xml:space="preserve">TITULADO</t>
        </is>
      </c>
      <c r="E1422" s="1" t="n">
        <v>17</v>
      </c>
      <c r="F1422" s="1" t="n">
        <v>40</v>
      </c>
      <c r="G1422" s="1" t="n">
        <f aca="false">IF(E1422=0,"",IF(D1422="VIGENTE",1,0))</f>
        <v>0</v>
      </c>
      <c r="H1422" s="1" t="inlineStr">
        <is>
          <t xml:space="preserve">B observado / C cálculo</t>
        </is>
      </c>
    </row>
    <row r="1423" customFormat="false" ht="15" hidden="false" customHeight="true" outlineLevel="0" collapsed="false">
      <c r="A1423" s="1" t="n">
        <v>2025</v>
      </c>
      <c r="B1423" s="1" t="n">
        <v>1</v>
      </c>
      <c r="C1423" s="1" t="inlineStr">
        <is>
          <t xml:space="preserve">IINF20241</t>
        </is>
      </c>
      <c r="D1423" s="1" t="inlineStr">
        <is>
          <t xml:space="preserve">ELIMINADO</t>
        </is>
      </c>
      <c r="E1423" s="1" t="n">
        <v>30</v>
      </c>
      <c r="F1423" s="1" t="n">
        <v>44</v>
      </c>
      <c r="G1423" s="1" t="n">
        <f aca="false">IF(E1423=0,"",IF(D1423="VIGENTE",1,0))</f>
        <v>0</v>
      </c>
      <c r="H1423" s="1" t="inlineStr">
        <is>
          <t xml:space="preserve">B observado / C cálculo</t>
        </is>
      </c>
    </row>
    <row r="1424" customFormat="false" ht="15" hidden="false" customHeight="true" outlineLevel="0" collapsed="false">
      <c r="A1424" s="1" t="n">
        <v>2025</v>
      </c>
      <c r="B1424" s="1" t="n">
        <v>1</v>
      </c>
      <c r="C1424" s="1" t="inlineStr">
        <is>
          <t xml:space="preserve">IINF20241</t>
        </is>
      </c>
      <c r="D1424" s="1" t="inlineStr">
        <is>
          <t xml:space="preserve">SUSPENDIDO</t>
        </is>
      </c>
      <c r="E1424" s="1" t="n">
        <v>8</v>
      </c>
      <c r="F1424" s="1" t="n">
        <v>20</v>
      </c>
      <c r="G1424" s="1" t="n">
        <f aca="false">IF(E1424=0,"",IF(D1424="VIGENTE",1,0))</f>
        <v>0</v>
      </c>
      <c r="H1424" s="1" t="inlineStr">
        <is>
          <t xml:space="preserve">B observado / C cálculo</t>
        </is>
      </c>
    </row>
    <row r="1425" customFormat="false" ht="15" hidden="false" customHeight="true" outlineLevel="0" collapsed="false">
      <c r="A1425" s="1" t="n">
        <v>2025</v>
      </c>
      <c r="B1425" s="1" t="n">
        <v>1</v>
      </c>
      <c r="C1425" s="1" t="inlineStr">
        <is>
          <t xml:space="preserve">IINF20241</t>
        </is>
      </c>
      <c r="D1425" s="1" t="inlineStr">
        <is>
          <t xml:space="preserve">TITULADO</t>
        </is>
      </c>
      <c r="E1425" s="1" t="n">
        <v>8</v>
      </c>
      <c r="F1425" s="1" t="n">
        <v>8</v>
      </c>
      <c r="G1425" s="1" t="n">
        <f aca="false">IF(E1425=0,"",IF(D1425="VIGENTE",1,0))</f>
        <v>0</v>
      </c>
      <c r="H1425" s="1" t="inlineStr">
        <is>
          <t xml:space="preserve">B observado / C cálculo</t>
        </is>
      </c>
    </row>
    <row r="1426" customFormat="false" ht="15" hidden="false" customHeight="true" outlineLevel="0" collapsed="false">
      <c r="A1426" s="1" t="n">
        <v>2025</v>
      </c>
      <c r="B1426" s="1" t="n">
        <v>1</v>
      </c>
      <c r="C1426" s="1" t="inlineStr">
        <is>
          <t xml:space="preserve">IINF20241</t>
        </is>
      </c>
      <c r="D1426" s="1" t="inlineStr">
        <is>
          <t xml:space="preserve">VIGENTE</t>
        </is>
      </c>
      <c r="E1426" s="1" t="n">
        <v>195</v>
      </c>
      <c r="F1426" s="1" t="n">
        <v>369</v>
      </c>
      <c r="G1426" s="1" t="n">
        <f aca="false">IF(E1426=0,"",IF(D1426="VIGENTE",1,0))</f>
        <v>1</v>
      </c>
      <c r="H1426" s="1" t="inlineStr">
        <is>
          <t xml:space="preserve">B observado / C cálculo</t>
        </is>
      </c>
    </row>
    <row r="1427" customFormat="false" ht="15" hidden="false" customHeight="true" outlineLevel="0" collapsed="false">
      <c r="A1427" s="1" t="n">
        <v>2025</v>
      </c>
      <c r="B1427" s="1" t="n">
        <v>1</v>
      </c>
      <c r="C1427" s="1" t="inlineStr">
        <is>
          <t xml:space="preserve">ILOG20241</t>
        </is>
      </c>
      <c r="D1427" s="1" t="inlineStr">
        <is>
          <t xml:space="preserve">ELIMINADO</t>
        </is>
      </c>
      <c r="E1427" s="1" t="n">
        <v>5</v>
      </c>
      <c r="F1427" s="1" t="n">
        <v>6</v>
      </c>
      <c r="G1427" s="1" t="n">
        <f aca="false">IF(E1427=0,"",IF(D1427="VIGENTE",1,0))</f>
        <v>0</v>
      </c>
      <c r="H1427" s="1" t="inlineStr">
        <is>
          <t xml:space="preserve">B observado / C cálculo</t>
        </is>
      </c>
    </row>
    <row r="1428" customFormat="false" ht="15" hidden="false" customHeight="true" outlineLevel="0" collapsed="false">
      <c r="A1428" s="1" t="n">
        <v>2025</v>
      </c>
      <c r="B1428" s="1" t="n">
        <v>1</v>
      </c>
      <c r="C1428" s="1" t="inlineStr">
        <is>
          <t xml:space="preserve">ILOG20241</t>
        </is>
      </c>
      <c r="D1428" s="1" t="inlineStr">
        <is>
          <t xml:space="preserve">SUSPENDIDO</t>
        </is>
      </c>
      <c r="E1428" s="1" t="n">
        <v>2</v>
      </c>
      <c r="F1428" s="1" t="n">
        <v>3</v>
      </c>
      <c r="G1428" s="1" t="n">
        <f aca="false">IF(E1428=0,"",IF(D1428="VIGENTE",1,0))</f>
        <v>0</v>
      </c>
      <c r="H1428" s="1" t="inlineStr">
        <is>
          <t xml:space="preserve">B observado / C cálculo</t>
        </is>
      </c>
    </row>
    <row r="1429" customFormat="false" ht="15" hidden="false" customHeight="true" outlineLevel="0" collapsed="false">
      <c r="A1429" s="1" t="n">
        <v>2025</v>
      </c>
      <c r="B1429" s="1" t="n">
        <v>1</v>
      </c>
      <c r="C1429" s="1" t="inlineStr">
        <is>
          <t xml:space="preserve">ILOG20241</t>
        </is>
      </c>
      <c r="D1429" s="1" t="inlineStr">
        <is>
          <t xml:space="preserve">VIGENTE</t>
        </is>
      </c>
      <c r="E1429" s="1" t="n">
        <v>73</v>
      </c>
      <c r="F1429" s="1" t="n">
        <v>103</v>
      </c>
      <c r="G1429" s="1" t="n">
        <f aca="false">IF(E1429=0,"",IF(D1429="VIGENTE",1,0))</f>
        <v>1</v>
      </c>
      <c r="H1429" s="1" t="inlineStr">
        <is>
          <t xml:space="preserve">B observado / C cálculo</t>
        </is>
      </c>
    </row>
    <row r="1430" customFormat="false" ht="15" hidden="false" customHeight="true" outlineLevel="0" collapsed="false">
      <c r="A1430" s="1" t="n">
        <v>2025</v>
      </c>
      <c r="B1430" s="1" t="n">
        <v>1</v>
      </c>
      <c r="C1430" s="1" t="inlineStr">
        <is>
          <t xml:space="preserve">TADP20251</t>
        </is>
      </c>
      <c r="D1430" s="1" t="inlineStr">
        <is>
          <t xml:space="preserve">ELIMINADO</t>
        </is>
      </c>
      <c r="E1430" s="1" t="n">
        <v>2</v>
      </c>
      <c r="F1430" s="1" t="n">
        <v>5</v>
      </c>
      <c r="G1430" s="1" t="n">
        <f aca="false">IF(E1430=0,"",IF(D1430="VIGENTE",1,0))</f>
        <v>0</v>
      </c>
      <c r="H1430" s="1" t="inlineStr">
        <is>
          <t xml:space="preserve">B observado / C cálculo</t>
        </is>
      </c>
    </row>
    <row r="1431" customFormat="false" ht="15" hidden="false" customHeight="true" outlineLevel="0" collapsed="false">
      <c r="A1431" s="1" t="n">
        <v>2025</v>
      </c>
      <c r="B1431" s="1" t="n">
        <v>1</v>
      </c>
      <c r="C1431" s="1" t="inlineStr">
        <is>
          <t xml:space="preserve">TADP20251</t>
        </is>
      </c>
      <c r="D1431" s="1" t="inlineStr">
        <is>
          <t xml:space="preserve">VIGENTE</t>
        </is>
      </c>
      <c r="E1431" s="1" t="n">
        <v>18</v>
      </c>
      <c r="F1431" s="1" t="n">
        <v>76</v>
      </c>
      <c r="G1431" s="1" t="n">
        <f aca="false">IF(E1431=0,"",IF(D1431="VIGENTE",1,0))</f>
        <v>1</v>
      </c>
      <c r="H1431" s="1" t="inlineStr">
        <is>
          <t xml:space="preserve">B observado / C cálculo</t>
        </is>
      </c>
    </row>
    <row r="1432" customFormat="false" ht="15" hidden="false" customHeight="true" outlineLevel="0" collapsed="false">
      <c r="A1432" s="1" t="n">
        <v>2025</v>
      </c>
      <c r="B1432" s="1" t="n">
        <v>1</v>
      </c>
      <c r="C1432" s="1" t="inlineStr">
        <is>
          <t xml:space="preserve">TAMD20241</t>
        </is>
      </c>
      <c r="D1432" s="1" t="inlineStr">
        <is>
          <t xml:space="preserve">ELIMINADO</t>
        </is>
      </c>
      <c r="E1432" s="1" t="n">
        <v>7</v>
      </c>
      <c r="F1432" s="1" t="n">
        <v>23</v>
      </c>
      <c r="G1432" s="1" t="n">
        <f aca="false">IF(E1432=0,"",IF(D1432="VIGENTE",1,0))</f>
        <v>0</v>
      </c>
      <c r="H1432" s="1" t="inlineStr">
        <is>
          <t xml:space="preserve">B observado / C cálculo</t>
        </is>
      </c>
    </row>
    <row r="1433" customFormat="false" ht="15" hidden="false" customHeight="true" outlineLevel="0" collapsed="false">
      <c r="A1433" s="1" t="n">
        <v>2025</v>
      </c>
      <c r="B1433" s="1" t="n">
        <v>1</v>
      </c>
      <c r="C1433" s="1" t="inlineStr">
        <is>
          <t xml:space="preserve">TAMD20241</t>
        </is>
      </c>
      <c r="D1433" s="1" t="inlineStr">
        <is>
          <t xml:space="preserve">SUSPENDIDO</t>
        </is>
      </c>
      <c r="E1433" s="1" t="n">
        <v>4</v>
      </c>
      <c r="F1433" s="1" t="n">
        <v>17</v>
      </c>
      <c r="G1433" s="1" t="n">
        <f aca="false">IF(E1433=0,"",IF(D1433="VIGENTE",1,0))</f>
        <v>0</v>
      </c>
      <c r="H1433" s="1" t="inlineStr">
        <is>
          <t xml:space="preserve">B observado / C cálculo</t>
        </is>
      </c>
    </row>
    <row r="1434" customFormat="false" ht="15" hidden="false" customHeight="true" outlineLevel="0" collapsed="false">
      <c r="A1434" s="1" t="n">
        <v>2025</v>
      </c>
      <c r="B1434" s="1" t="n">
        <v>1</v>
      </c>
      <c r="C1434" s="1" t="inlineStr">
        <is>
          <t xml:space="preserve">TAMD20241</t>
        </is>
      </c>
      <c r="D1434" s="1" t="inlineStr">
        <is>
          <t xml:space="preserve">TITULADO</t>
        </is>
      </c>
      <c r="E1434" s="1" t="n">
        <v>6</v>
      </c>
      <c r="F1434" s="1" t="n">
        <v>25</v>
      </c>
      <c r="G1434" s="1" t="n">
        <f aca="false">IF(E1434=0,"",IF(D1434="VIGENTE",1,0))</f>
        <v>0</v>
      </c>
      <c r="H1434" s="1" t="inlineStr">
        <is>
          <t xml:space="preserve">B observado / C cálculo</t>
        </is>
      </c>
    </row>
    <row r="1435" customFormat="false" ht="15" hidden="false" customHeight="true" outlineLevel="0" collapsed="false">
      <c r="A1435" s="1" t="n">
        <v>2025</v>
      </c>
      <c r="B1435" s="1" t="n">
        <v>1</v>
      </c>
      <c r="C1435" s="1" t="inlineStr">
        <is>
          <t xml:space="preserve">TAMD20241</t>
        </is>
      </c>
      <c r="D1435" s="1" t="inlineStr">
        <is>
          <t xml:space="preserve">VIGENTE</t>
        </is>
      </c>
      <c r="E1435" s="1" t="n">
        <v>68</v>
      </c>
      <c r="F1435" s="1" t="n">
        <v>284</v>
      </c>
      <c r="G1435" s="1" t="n">
        <f aca="false">IF(E1435=0,"",IF(D1435="VIGENTE",1,0))</f>
        <v>1</v>
      </c>
      <c r="H1435" s="1" t="inlineStr">
        <is>
          <t xml:space="preserve">B observado / C cálculo</t>
        </is>
      </c>
    </row>
    <row r="1436" customFormat="false" ht="15" hidden="false" customHeight="true" outlineLevel="0" collapsed="false">
      <c r="A1436" s="1" t="n">
        <v>2025</v>
      </c>
      <c r="B1436" s="1" t="n">
        <v>1</v>
      </c>
      <c r="C1436" s="1" t="inlineStr">
        <is>
          <t xml:space="preserve">TCDA20251</t>
        </is>
      </c>
      <c r="D1436" s="1" t="inlineStr">
        <is>
          <t xml:space="preserve">ELIMINADO</t>
        </is>
      </c>
      <c r="E1436" s="1" t="n">
        <v>4</v>
      </c>
      <c r="F1436" s="1" t="n">
        <v>6</v>
      </c>
      <c r="G1436" s="1" t="n">
        <f aca="false">IF(E1436=0,"",IF(D1436="VIGENTE",1,0))</f>
        <v>0</v>
      </c>
      <c r="H1436" s="1" t="inlineStr">
        <is>
          <t xml:space="preserve">B observado / C cálculo</t>
        </is>
      </c>
    </row>
    <row r="1437" customFormat="false" ht="15" hidden="false" customHeight="true" outlineLevel="0" collapsed="false">
      <c r="A1437" s="1" t="n">
        <v>2025</v>
      </c>
      <c r="B1437" s="1" t="n">
        <v>1</v>
      </c>
      <c r="C1437" s="1" t="inlineStr">
        <is>
          <t xml:space="preserve">TCDA20251</t>
        </is>
      </c>
      <c r="D1437" s="1" t="inlineStr">
        <is>
          <t xml:space="preserve">SUSPENDIDO</t>
        </is>
      </c>
      <c r="E1437" s="1" t="n">
        <v>3</v>
      </c>
      <c r="F1437" s="1" t="n">
        <v>4</v>
      </c>
      <c r="G1437" s="1" t="n">
        <f aca="false">IF(E1437=0,"",IF(D1437="VIGENTE",1,0))</f>
        <v>0</v>
      </c>
      <c r="H1437" s="1" t="inlineStr">
        <is>
          <t xml:space="preserve">B observado / C cálculo</t>
        </is>
      </c>
    </row>
    <row r="1438" customFormat="false" ht="15" hidden="false" customHeight="true" outlineLevel="0" collapsed="false">
      <c r="A1438" s="1" t="n">
        <v>2025</v>
      </c>
      <c r="B1438" s="1" t="n">
        <v>1</v>
      </c>
      <c r="C1438" s="1" t="inlineStr">
        <is>
          <t xml:space="preserve">TCDA20251</t>
        </is>
      </c>
      <c r="D1438" s="1" t="inlineStr">
        <is>
          <t xml:space="preserve">VIGENTE</t>
        </is>
      </c>
      <c r="E1438" s="1" t="n">
        <v>15</v>
      </c>
      <c r="F1438" s="1" t="n">
        <v>23</v>
      </c>
      <c r="G1438" s="1" t="n">
        <f aca="false">IF(E1438=0,"",IF(D1438="VIGENTE",1,0))</f>
        <v>1</v>
      </c>
      <c r="H1438" s="1" t="inlineStr">
        <is>
          <t xml:space="preserve">B observado / C cálculo</t>
        </is>
      </c>
    </row>
    <row r="1439" customFormat="false" ht="15" hidden="false" customHeight="true" outlineLevel="0" collapsed="false">
      <c r="A1439" s="1" t="n">
        <v>2025</v>
      </c>
      <c r="B1439" s="1" t="n">
        <v>1</v>
      </c>
      <c r="C1439" s="1" t="inlineStr">
        <is>
          <t xml:space="preserve">TCIB20241</t>
        </is>
      </c>
      <c r="D1439" s="1" t="inlineStr">
        <is>
          <t xml:space="preserve">ELIMINADO</t>
        </is>
      </c>
      <c r="E1439" s="1" t="n">
        <v>26</v>
      </c>
      <c r="F1439" s="1" t="n">
        <v>108</v>
      </c>
      <c r="G1439" s="1" t="n">
        <f aca="false">IF(E1439=0,"",IF(D1439="VIGENTE",1,0))</f>
        <v>0</v>
      </c>
      <c r="H1439" s="1" t="inlineStr">
        <is>
          <t xml:space="preserve">B observado / C cálculo</t>
        </is>
      </c>
    </row>
    <row r="1440" customFormat="false" ht="15" hidden="false" customHeight="true" outlineLevel="0" collapsed="false">
      <c r="A1440" s="1" t="n">
        <v>2025</v>
      </c>
      <c r="B1440" s="1" t="n">
        <v>1</v>
      </c>
      <c r="C1440" s="1" t="inlineStr">
        <is>
          <t xml:space="preserve">TCIB20241</t>
        </is>
      </c>
      <c r="D1440" s="1" t="inlineStr">
        <is>
          <t xml:space="preserve">SUSPENDIDO</t>
        </is>
      </c>
      <c r="E1440" s="1" t="n">
        <v>2</v>
      </c>
      <c r="F1440" s="1" t="n">
        <v>6</v>
      </c>
      <c r="G1440" s="1" t="n">
        <f aca="false">IF(E1440=0,"",IF(D1440="VIGENTE",1,0))</f>
        <v>0</v>
      </c>
      <c r="H1440" s="1" t="inlineStr">
        <is>
          <t xml:space="preserve">B observado / C cálculo</t>
        </is>
      </c>
    </row>
    <row r="1441" customFormat="false" ht="15" hidden="false" customHeight="true" outlineLevel="0" collapsed="false">
      <c r="A1441" s="1" t="n">
        <v>2025</v>
      </c>
      <c r="B1441" s="1" t="n">
        <v>1</v>
      </c>
      <c r="C1441" s="1" t="inlineStr">
        <is>
          <t xml:space="preserve">TCIB20241</t>
        </is>
      </c>
      <c r="D1441" s="1" t="inlineStr">
        <is>
          <t xml:space="preserve">TITULADO</t>
        </is>
      </c>
      <c r="E1441" s="1" t="n">
        <v>29</v>
      </c>
      <c r="F1441" s="1" t="n">
        <v>124</v>
      </c>
      <c r="G1441" s="1" t="n">
        <f aca="false">IF(E1441=0,"",IF(D1441="VIGENTE",1,0))</f>
        <v>0</v>
      </c>
      <c r="H1441" s="1" t="inlineStr">
        <is>
          <t xml:space="preserve">B observado / C cálculo</t>
        </is>
      </c>
    </row>
    <row r="1442" customFormat="false" ht="15" hidden="false" customHeight="true" outlineLevel="0" collapsed="false">
      <c r="A1442" s="1" t="n">
        <v>2025</v>
      </c>
      <c r="B1442" s="1" t="n">
        <v>1</v>
      </c>
      <c r="C1442" s="1" t="inlineStr">
        <is>
          <t xml:space="preserve">TCIB20241</t>
        </is>
      </c>
      <c r="D1442" s="1" t="inlineStr">
        <is>
          <t xml:space="preserve">VIGENTE</t>
        </is>
      </c>
      <c r="E1442" s="1" t="n">
        <v>75</v>
      </c>
      <c r="F1442" s="1" t="n">
        <v>335</v>
      </c>
      <c r="G1442" s="1" t="n">
        <f aca="false">IF(E1442=0,"",IF(D1442="VIGENTE",1,0))</f>
        <v>1</v>
      </c>
      <c r="H1442" s="1" t="inlineStr">
        <is>
          <t xml:space="preserve">B observado / C cálculo</t>
        </is>
      </c>
    </row>
    <row r="1443" customFormat="false" ht="15" hidden="false" customHeight="true" outlineLevel="0" collapsed="false">
      <c r="A1443" s="1" t="n">
        <v>2025</v>
      </c>
      <c r="B1443" s="1" t="n">
        <v>1</v>
      </c>
      <c r="C1443" s="1" t="inlineStr">
        <is>
          <t xml:space="preserve">TCRE20241</t>
        </is>
      </c>
      <c r="D1443" s="1" t="inlineStr">
        <is>
          <t xml:space="preserve">ELIMINADO</t>
        </is>
      </c>
      <c r="E1443" s="1" t="n">
        <v>6</v>
      </c>
      <c r="F1443" s="1" t="n">
        <v>9</v>
      </c>
      <c r="G1443" s="1" t="n">
        <f aca="false">IF(E1443=0,"",IF(D1443="VIGENTE",1,0))</f>
        <v>0</v>
      </c>
      <c r="H1443" s="1" t="inlineStr">
        <is>
          <t xml:space="preserve">B observado / C cálculo</t>
        </is>
      </c>
    </row>
    <row r="1444" customFormat="false" ht="15" hidden="false" customHeight="true" outlineLevel="0" collapsed="false">
      <c r="A1444" s="1" t="n">
        <v>2025</v>
      </c>
      <c r="B1444" s="1" t="n">
        <v>1</v>
      </c>
      <c r="C1444" s="1" t="inlineStr">
        <is>
          <t xml:space="preserve">TCRE20241</t>
        </is>
      </c>
      <c r="D1444" s="1" t="inlineStr">
        <is>
          <t xml:space="preserve">SUSPENDIDO</t>
        </is>
      </c>
      <c r="E1444" s="1" t="n">
        <v>3</v>
      </c>
      <c r="F1444" s="1" t="n">
        <v>4</v>
      </c>
      <c r="G1444" s="1" t="n">
        <f aca="false">IF(E1444=0,"",IF(D1444="VIGENTE",1,0))</f>
        <v>0</v>
      </c>
      <c r="H1444" s="1" t="inlineStr">
        <is>
          <t xml:space="preserve">B observado / C cálculo</t>
        </is>
      </c>
    </row>
    <row r="1445" customFormat="false" ht="15" hidden="false" customHeight="true" outlineLevel="0" collapsed="false">
      <c r="A1445" s="1" t="n">
        <v>2025</v>
      </c>
      <c r="B1445" s="1" t="n">
        <v>1</v>
      </c>
      <c r="C1445" s="1" t="inlineStr">
        <is>
          <t xml:space="preserve">TCRE20241</t>
        </is>
      </c>
      <c r="D1445" s="1" t="inlineStr">
        <is>
          <t xml:space="preserve">TITULADO</t>
        </is>
      </c>
      <c r="E1445" s="1" t="n">
        <v>9</v>
      </c>
      <c r="F1445" s="1" t="n">
        <v>15</v>
      </c>
      <c r="G1445" s="1" t="n">
        <f aca="false">IF(E1445=0,"",IF(D1445="VIGENTE",1,0))</f>
        <v>0</v>
      </c>
      <c r="H1445" s="1" t="inlineStr">
        <is>
          <t xml:space="preserve">B observado / C cálculo</t>
        </is>
      </c>
    </row>
    <row r="1446" customFormat="false" ht="15" hidden="false" customHeight="true" outlineLevel="0" collapsed="false">
      <c r="A1446" s="1" t="n">
        <v>2025</v>
      </c>
      <c r="B1446" s="1" t="n">
        <v>1</v>
      </c>
      <c r="C1446" s="1" t="inlineStr">
        <is>
          <t xml:space="preserve">TCRE20241</t>
        </is>
      </c>
      <c r="D1446" s="1" t="inlineStr">
        <is>
          <t xml:space="preserve">VIGENTE</t>
        </is>
      </c>
      <c r="E1446" s="1" t="n">
        <v>38</v>
      </c>
      <c r="F1446" s="1" t="n">
        <v>62</v>
      </c>
      <c r="G1446" s="1" t="n">
        <f aca="false">IF(E1446=0,"",IF(D1446="VIGENTE",1,0))</f>
        <v>1</v>
      </c>
      <c r="H1446" s="1" t="inlineStr">
        <is>
          <t xml:space="preserve">B observado / C cálculo</t>
        </is>
      </c>
    </row>
    <row r="1447" customFormat="false" ht="15" hidden="false" customHeight="true" outlineLevel="0" collapsed="false">
      <c r="A1447" s="1" t="n">
        <v>2025</v>
      </c>
      <c r="B1447" s="1" t="n">
        <v>1</v>
      </c>
      <c r="C1447" s="1" t="inlineStr">
        <is>
          <t xml:space="preserve">TCSRE20211</t>
        </is>
      </c>
      <c r="D1447" s="1" t="inlineStr">
        <is>
          <t xml:space="preserve">TITULADO</t>
        </is>
      </c>
      <c r="E1447" s="1" t="n">
        <v>1</v>
      </c>
      <c r="F1447" s="1" t="n">
        <v>3</v>
      </c>
      <c r="G1447" s="1" t="n">
        <f aca="false">IF(E1447=0,"",IF(D1447="VIGENTE",1,0))</f>
        <v>0</v>
      </c>
      <c r="H1447" s="1" t="inlineStr">
        <is>
          <t xml:space="preserve">B observado / C cálculo</t>
        </is>
      </c>
    </row>
    <row r="1448" customFormat="false" ht="15" hidden="false" customHeight="true" outlineLevel="0" collapsed="false">
      <c r="A1448" s="1" t="n">
        <v>2025</v>
      </c>
      <c r="B1448" s="1" t="n">
        <v>1</v>
      </c>
      <c r="C1448" s="1" t="inlineStr">
        <is>
          <t xml:space="preserve">TCSREOL20211</t>
        </is>
      </c>
      <c r="D1448" s="1" t="inlineStr">
        <is>
          <t xml:space="preserve">VIGENTE</t>
        </is>
      </c>
      <c r="E1448" s="1" t="n">
        <v>1</v>
      </c>
      <c r="F1448" s="1" t="n">
        <v>1</v>
      </c>
      <c r="G1448" s="1" t="n">
        <f aca="false">IF(E1448=0,"",IF(D1448="VIGENTE",1,0))</f>
        <v>1</v>
      </c>
      <c r="H1448" s="1" t="inlineStr">
        <is>
          <t xml:space="preserve">B observado / C cálculo</t>
        </is>
      </c>
    </row>
    <row r="1449" customFormat="false" ht="15" hidden="false" customHeight="true" outlineLevel="0" collapsed="false">
      <c r="A1449" s="1" t="n">
        <v>2025</v>
      </c>
      <c r="B1449" s="1" t="n">
        <v>1</v>
      </c>
      <c r="C1449" s="1" t="inlineStr">
        <is>
          <t xml:space="preserve">TCSREOL20231</t>
        </is>
      </c>
      <c r="D1449" s="1" t="inlineStr">
        <is>
          <t xml:space="preserve">TITULADO</t>
        </is>
      </c>
      <c r="E1449" s="1" t="n">
        <v>4</v>
      </c>
      <c r="F1449" s="1" t="n">
        <v>10</v>
      </c>
      <c r="G1449" s="1" t="n">
        <f aca="false">IF(E1449=0,"",IF(D1449="VIGENTE",1,0))</f>
        <v>0</v>
      </c>
      <c r="H1449" s="1" t="inlineStr">
        <is>
          <t xml:space="preserve">B observado / C cálculo</t>
        </is>
      </c>
    </row>
    <row r="1450" customFormat="false" ht="15" hidden="false" customHeight="true" outlineLevel="0" collapsed="false">
      <c r="A1450" s="1" t="n">
        <v>2025</v>
      </c>
      <c r="B1450" s="1" t="n">
        <v>1</v>
      </c>
      <c r="C1450" s="1" t="inlineStr">
        <is>
          <t xml:space="preserve">TENS20251</t>
        </is>
      </c>
      <c r="D1450" s="1" t="inlineStr">
        <is>
          <t xml:space="preserve">ELIMINADO</t>
        </is>
      </c>
      <c r="E1450" s="1" t="n">
        <v>16</v>
      </c>
      <c r="F1450" s="1" t="n">
        <v>18</v>
      </c>
      <c r="G1450" s="1" t="n">
        <f aca="false">IF(E1450=0,"",IF(D1450="VIGENTE",1,0))</f>
        <v>0</v>
      </c>
      <c r="H1450" s="1" t="inlineStr">
        <is>
          <t xml:space="preserve">B observado / C cálculo</t>
        </is>
      </c>
    </row>
    <row r="1451" customFormat="false" ht="15" hidden="false" customHeight="true" outlineLevel="0" collapsed="false">
      <c r="A1451" s="1" t="n">
        <v>2025</v>
      </c>
      <c r="B1451" s="1" t="n">
        <v>1</v>
      </c>
      <c r="C1451" s="1" t="inlineStr">
        <is>
          <t xml:space="preserve">TENS20251</t>
        </is>
      </c>
      <c r="D1451" s="1" t="inlineStr">
        <is>
          <t xml:space="preserve">SUSPENDIDO</t>
        </is>
      </c>
      <c r="E1451" s="1" t="n">
        <v>7</v>
      </c>
      <c r="F1451" s="1" t="n">
        <v>7</v>
      </c>
      <c r="G1451" s="1" t="n">
        <f aca="false">IF(E1451=0,"",IF(D1451="VIGENTE",1,0))</f>
        <v>0</v>
      </c>
      <c r="H1451" s="1" t="inlineStr">
        <is>
          <t xml:space="preserve">B observado / C cálculo</t>
        </is>
      </c>
    </row>
    <row r="1452" customFormat="false" ht="15" hidden="false" customHeight="true" outlineLevel="0" collapsed="false">
      <c r="A1452" s="1" t="n">
        <v>2025</v>
      </c>
      <c r="B1452" s="1" t="n">
        <v>1</v>
      </c>
      <c r="C1452" s="1" t="inlineStr">
        <is>
          <t xml:space="preserve">TENS20251</t>
        </is>
      </c>
      <c r="D1452" s="1" t="inlineStr">
        <is>
          <t xml:space="preserve">VIGENTE</t>
        </is>
      </c>
      <c r="E1452" s="1" t="n">
        <v>55</v>
      </c>
      <c r="F1452" s="1" t="n">
        <v>62</v>
      </c>
      <c r="G1452" s="1" t="n">
        <f aca="false">IF(E1452=0,"",IF(D1452="VIGENTE",1,0))</f>
        <v>1</v>
      </c>
      <c r="H1452" s="1" t="inlineStr">
        <is>
          <t xml:space="preserve">B observado / C cálculo</t>
        </is>
      </c>
    </row>
    <row r="1453" customFormat="false" ht="15" hidden="false" customHeight="true" outlineLevel="0" collapsed="false">
      <c r="A1453" s="1" t="n">
        <v>2025</v>
      </c>
      <c r="B1453" s="1" t="n">
        <v>1</v>
      </c>
      <c r="C1453" s="1" t="inlineStr">
        <is>
          <t xml:space="preserve">TLOG20241</t>
        </is>
      </c>
      <c r="D1453" s="1" t="inlineStr">
        <is>
          <t xml:space="preserve">ELIMINADO</t>
        </is>
      </c>
      <c r="E1453" s="1" t="n">
        <v>5</v>
      </c>
      <c r="F1453" s="1" t="n">
        <v>9</v>
      </c>
      <c r="G1453" s="1" t="n">
        <f aca="false">IF(E1453=0,"",IF(D1453="VIGENTE",1,0))</f>
        <v>0</v>
      </c>
      <c r="H1453" s="1" t="inlineStr">
        <is>
          <t xml:space="preserve">B observado / C cálculo</t>
        </is>
      </c>
    </row>
    <row r="1454" customFormat="false" ht="15" hidden="false" customHeight="true" outlineLevel="0" collapsed="false">
      <c r="A1454" s="1" t="n">
        <v>2025</v>
      </c>
      <c r="B1454" s="1" t="n">
        <v>1</v>
      </c>
      <c r="C1454" s="1" t="inlineStr">
        <is>
          <t xml:space="preserve">TLOG20241</t>
        </is>
      </c>
      <c r="D1454" s="1" t="inlineStr">
        <is>
          <t xml:space="preserve">SUSPENDIDO</t>
        </is>
      </c>
      <c r="E1454" s="1" t="n">
        <v>5</v>
      </c>
      <c r="F1454" s="1" t="n">
        <v>6</v>
      </c>
      <c r="G1454" s="1" t="n">
        <f aca="false">IF(E1454=0,"",IF(D1454="VIGENTE",1,0))</f>
        <v>0</v>
      </c>
      <c r="H1454" s="1" t="inlineStr">
        <is>
          <t xml:space="preserve">B observado / C cálculo</t>
        </is>
      </c>
    </row>
    <row r="1455" customFormat="false" ht="15" hidden="false" customHeight="true" outlineLevel="0" collapsed="false">
      <c r="A1455" s="1" t="n">
        <v>2025</v>
      </c>
      <c r="B1455" s="1" t="n">
        <v>1</v>
      </c>
      <c r="C1455" s="1" t="inlineStr">
        <is>
          <t xml:space="preserve">TLOG20241</t>
        </is>
      </c>
      <c r="D1455" s="1" t="inlineStr">
        <is>
          <t xml:space="preserve">TITULADO</t>
        </is>
      </c>
      <c r="E1455" s="1" t="n">
        <v>7</v>
      </c>
      <c r="F1455" s="1" t="n">
        <v>14</v>
      </c>
      <c r="G1455" s="1" t="n">
        <f aca="false">IF(E1455=0,"",IF(D1455="VIGENTE",1,0))</f>
        <v>0</v>
      </c>
      <c r="H1455" s="1" t="inlineStr">
        <is>
          <t xml:space="preserve">B observado / C cálculo</t>
        </is>
      </c>
    </row>
    <row r="1456" customFormat="false" ht="15" hidden="false" customHeight="true" outlineLevel="0" collapsed="false">
      <c r="A1456" s="1" t="n">
        <v>2025</v>
      </c>
      <c r="B1456" s="1" t="n">
        <v>1</v>
      </c>
      <c r="C1456" s="1" t="inlineStr">
        <is>
          <t xml:space="preserve">TLOG20241</t>
        </is>
      </c>
      <c r="D1456" s="1" t="inlineStr">
        <is>
          <t xml:space="preserve">VIGENTE</t>
        </is>
      </c>
      <c r="E1456" s="1" t="n">
        <v>79</v>
      </c>
      <c r="F1456" s="1" t="n">
        <v>103</v>
      </c>
      <c r="G1456" s="1" t="n">
        <f aca="false">IF(E1456=0,"",IF(D1456="VIGENTE",1,0))</f>
        <v>1</v>
      </c>
      <c r="H1456" s="1" t="inlineStr">
        <is>
          <t xml:space="preserve">B observado / C cálculo</t>
        </is>
      </c>
    </row>
    <row r="1457" customFormat="false" ht="15" hidden="false" customHeight="true" outlineLevel="0" collapsed="false">
      <c r="A1457" s="1" t="n">
        <v>2025</v>
      </c>
      <c r="B1457" s="1" t="n">
        <v>1</v>
      </c>
      <c r="C1457" s="1" t="inlineStr">
        <is>
          <t xml:space="preserve">TPARE20211</t>
        </is>
      </c>
      <c r="D1457" s="1" t="inlineStr">
        <is>
          <t xml:space="preserve">TITULADO</t>
        </is>
      </c>
      <c r="E1457" s="1" t="n">
        <v>1</v>
      </c>
      <c r="F1457" s="1" t="n">
        <v>3</v>
      </c>
      <c r="G1457" s="1" t="n">
        <f aca="false">IF(E1457=0,"",IF(D1457="VIGENTE",1,0))</f>
        <v>0</v>
      </c>
      <c r="H1457" s="1" t="inlineStr">
        <is>
          <t xml:space="preserve">B observado / C cálculo</t>
        </is>
      </c>
    </row>
    <row r="1458" customFormat="false" ht="15" hidden="false" customHeight="true" outlineLevel="0" collapsed="false">
      <c r="A1458" s="1" t="n">
        <v>2025</v>
      </c>
      <c r="B1458" s="1" t="n">
        <v>1</v>
      </c>
      <c r="C1458" s="1" t="inlineStr">
        <is>
          <t xml:space="preserve">TPAREOL20231</t>
        </is>
      </c>
      <c r="D1458" s="1" t="inlineStr">
        <is>
          <t xml:space="preserve">TITULADO</t>
        </is>
      </c>
      <c r="E1458" s="1" t="n">
        <v>8</v>
      </c>
      <c r="F1458" s="1" t="n">
        <v>24</v>
      </c>
      <c r="G1458" s="1" t="n">
        <f aca="false">IF(E1458=0,"",IF(D1458="VIGENTE",1,0))</f>
        <v>0</v>
      </c>
      <c r="H1458" s="1" t="inlineStr">
        <is>
          <t xml:space="preserve">B observado / C cálculo</t>
        </is>
      </c>
    </row>
    <row r="1459" customFormat="false" ht="15" hidden="false" customHeight="true" outlineLevel="0" collapsed="false">
      <c r="A1459" s="1" t="n">
        <v>2025</v>
      </c>
      <c r="B1459" s="1" t="n">
        <v>1</v>
      </c>
      <c r="C1459" s="1" t="inlineStr">
        <is>
          <t xml:space="preserve">TPAREOL20231</t>
        </is>
      </c>
      <c r="D1459" s="1" t="inlineStr">
        <is>
          <t xml:space="preserve">VIGENTE</t>
        </is>
      </c>
      <c r="E1459" s="1" t="n">
        <v>1</v>
      </c>
      <c r="F1459" s="1" t="n">
        <v>1</v>
      </c>
      <c r="G1459" s="1" t="n">
        <f aca="false">IF(E1459=0,"",IF(D1459="VIGENTE",1,0))</f>
        <v>1</v>
      </c>
      <c r="H1459" s="1" t="inlineStr">
        <is>
          <t xml:space="preserve">B observado / C cálculo</t>
        </is>
      </c>
    </row>
    <row r="1460" customFormat="false" ht="15" hidden="false" customHeight="true" outlineLevel="0" collapsed="false">
      <c r="A1460" s="1" t="n">
        <v>2025</v>
      </c>
      <c r="B1460" s="1" t="n">
        <v>1</v>
      </c>
      <c r="C1460" s="1" t="inlineStr">
        <is>
          <t xml:space="preserve">TPAS20241</t>
        </is>
      </c>
      <c r="D1460" s="1" t="inlineStr">
        <is>
          <t xml:space="preserve">ELIMINADO</t>
        </is>
      </c>
      <c r="E1460" s="1" t="n">
        <v>41</v>
      </c>
      <c r="F1460" s="1" t="n">
        <v>78</v>
      </c>
      <c r="G1460" s="1" t="n">
        <f aca="false">IF(E1460=0,"",IF(D1460="VIGENTE",1,0))</f>
        <v>0</v>
      </c>
      <c r="H1460" s="1" t="inlineStr">
        <is>
          <t xml:space="preserve">B observado / C cálculo</t>
        </is>
      </c>
    </row>
    <row r="1461" customFormat="false" ht="15" hidden="false" customHeight="true" outlineLevel="0" collapsed="false">
      <c r="A1461" s="1" t="n">
        <v>2025</v>
      </c>
      <c r="B1461" s="1" t="n">
        <v>1</v>
      </c>
      <c r="C1461" s="1" t="inlineStr">
        <is>
          <t xml:space="preserve">TPAS20241</t>
        </is>
      </c>
      <c r="D1461" s="1" t="inlineStr">
        <is>
          <t xml:space="preserve">SUSPENDIDO</t>
        </is>
      </c>
      <c r="E1461" s="1" t="n">
        <v>15</v>
      </c>
      <c r="F1461" s="1" t="n">
        <v>28</v>
      </c>
      <c r="G1461" s="1" t="n">
        <f aca="false">IF(E1461=0,"",IF(D1461="VIGENTE",1,0))</f>
        <v>0</v>
      </c>
      <c r="H1461" s="1" t="inlineStr">
        <is>
          <t xml:space="preserve">B observado / C cálculo</t>
        </is>
      </c>
    </row>
    <row r="1462" customFormat="false" ht="15" hidden="false" customHeight="true" outlineLevel="0" collapsed="false">
      <c r="A1462" s="1" t="n">
        <v>2025</v>
      </c>
      <c r="B1462" s="1" t="n">
        <v>1</v>
      </c>
      <c r="C1462" s="1" t="inlineStr">
        <is>
          <t xml:space="preserve">TPAS20241</t>
        </is>
      </c>
      <c r="D1462" s="1" t="inlineStr">
        <is>
          <t xml:space="preserve">TITULADO</t>
        </is>
      </c>
      <c r="E1462" s="1" t="n">
        <v>86</v>
      </c>
      <c r="F1462" s="1" t="n">
        <v>186</v>
      </c>
      <c r="G1462" s="1" t="n">
        <f aca="false">IF(E1462=0,"",IF(D1462="VIGENTE",1,0))</f>
        <v>0</v>
      </c>
      <c r="H1462" s="1" t="inlineStr">
        <is>
          <t xml:space="preserve">B observado / C cálculo</t>
        </is>
      </c>
    </row>
    <row r="1463" customFormat="false" ht="15" hidden="false" customHeight="true" outlineLevel="0" collapsed="false">
      <c r="A1463" s="1" t="n">
        <v>2025</v>
      </c>
      <c r="B1463" s="1" t="n">
        <v>1</v>
      </c>
      <c r="C1463" s="1" t="inlineStr">
        <is>
          <t xml:space="preserve">TPAS20241</t>
        </is>
      </c>
      <c r="D1463" s="1" t="inlineStr">
        <is>
          <t xml:space="preserve">VIGENTE</t>
        </is>
      </c>
      <c r="E1463" s="1" t="n">
        <v>136</v>
      </c>
      <c r="F1463" s="1" t="n">
        <v>219</v>
      </c>
      <c r="G1463" s="1" t="n">
        <f aca="false">IF(E1463=0,"",IF(D1463="VIGENTE",1,0))</f>
        <v>1</v>
      </c>
      <c r="H1463" s="1" t="inlineStr">
        <is>
          <t xml:space="preserve">B observado / C cálculo</t>
        </is>
      </c>
    </row>
    <row r="1464" customFormat="false" ht="15" hidden="false" customHeight="true" outlineLevel="0" collapsed="false">
      <c r="A1464" s="1" t="n">
        <v>2025</v>
      </c>
      <c r="B1464" s="1" t="n">
        <v>1</v>
      </c>
      <c r="C1464" s="1" t="inlineStr">
        <is>
          <t xml:space="preserve">TTMREOL20191</t>
        </is>
      </c>
      <c r="D1464" s="1" t="inlineStr">
        <is>
          <t xml:space="preserve">TITULADO</t>
        </is>
      </c>
      <c r="E1464" s="1" t="n">
        <v>1</v>
      </c>
      <c r="F1464" s="1" t="n">
        <v>3</v>
      </c>
      <c r="G1464" s="1" t="n">
        <f aca="false">IF(E1464=0,"",IF(D1464="VIGENTE",1,0))</f>
        <v>0</v>
      </c>
      <c r="H1464" s="1" t="inlineStr">
        <is>
          <t xml:space="preserve">B observado / C cálculo</t>
        </is>
      </c>
    </row>
    <row r="1465" customFormat="false" ht="15" hidden="false" customHeight="true" outlineLevel="0" collapsed="false">
      <c r="A1465" s="1" t="n">
        <v>2025</v>
      </c>
      <c r="B1465" s="1" t="n">
        <v>1</v>
      </c>
      <c r="C1465" s="1" t="inlineStr">
        <is>
          <t xml:space="preserve">TTMREOL20211</t>
        </is>
      </c>
      <c r="D1465" s="1" t="inlineStr">
        <is>
          <t xml:space="preserve">TITULADO</t>
        </is>
      </c>
      <c r="E1465" s="1" t="n">
        <v>1</v>
      </c>
      <c r="F1465" s="1" t="n">
        <v>3</v>
      </c>
      <c r="G1465" s="1" t="n">
        <f aca="false">IF(E1465=0,"",IF(D1465="VIGENTE",1,0))</f>
        <v>0</v>
      </c>
      <c r="H1465" s="1" t="inlineStr">
        <is>
          <t xml:space="preserve">B observado / C cálculo</t>
        </is>
      </c>
    </row>
    <row r="1466" customFormat="false" ht="15" hidden="false" customHeight="true" outlineLevel="0" collapsed="false">
      <c r="A1466" s="1" t="n">
        <v>2025</v>
      </c>
      <c r="B1466" s="1" t="n">
        <v>1</v>
      </c>
      <c r="C1466" s="1" t="inlineStr">
        <is>
          <t xml:space="preserve">TTMREOL20231</t>
        </is>
      </c>
      <c r="D1466" s="1" t="inlineStr">
        <is>
          <t xml:space="preserve">TITULADO</t>
        </is>
      </c>
      <c r="E1466" s="1" t="n">
        <v>1</v>
      </c>
      <c r="F1466" s="1" t="n">
        <v>3</v>
      </c>
      <c r="G1466" s="1" t="n">
        <f aca="false">IF(E1466=0,"",IF(D1466="VIGENTE",1,0))</f>
        <v>0</v>
      </c>
      <c r="H1466" s="1" t="inlineStr">
        <is>
          <t xml:space="preserve">B observado / C cálculo</t>
        </is>
      </c>
    </row>
    <row r="1467" customFormat="false" ht="15" hidden="false" customHeight="true" outlineLevel="0" collapsed="false">
      <c r="A1467" s="1" t="n">
        <v>2025</v>
      </c>
      <c r="B1467" s="1" t="n">
        <v>2</v>
      </c>
      <c r="C1467" s="1" t="inlineStr">
        <is>
          <t xml:space="preserve">ADMP20251</t>
        </is>
      </c>
      <c r="D1467" s="1" t="inlineStr">
        <is>
          <t xml:space="preserve">ELIMINADO</t>
        </is>
      </c>
      <c r="E1467" s="1" t="n">
        <v>6</v>
      </c>
      <c r="F1467" s="1" t="n">
        <v>23</v>
      </c>
      <c r="G1467" s="1" t="n">
        <f aca="false">IF(E1467=0,"",IF(D1467="VIGENTE",1,0))</f>
        <v>0</v>
      </c>
      <c r="H1467" s="1" t="inlineStr">
        <is>
          <t xml:space="preserve">B observado / C cálculo</t>
        </is>
      </c>
    </row>
    <row r="1468" customFormat="false" ht="15" hidden="false" customHeight="true" outlineLevel="0" collapsed="false">
      <c r="A1468" s="1" t="n">
        <v>2025</v>
      </c>
      <c r="B1468" s="1" t="n">
        <v>2</v>
      </c>
      <c r="C1468" s="1" t="inlineStr">
        <is>
          <t xml:space="preserve">ADMP20251</t>
        </is>
      </c>
      <c r="D1468" s="1" t="inlineStr">
        <is>
          <t xml:space="preserve">SUSPENDIDO</t>
        </is>
      </c>
      <c r="E1468" s="1" t="n">
        <v>3</v>
      </c>
      <c r="F1468" s="1" t="n">
        <v>14</v>
      </c>
      <c r="G1468" s="1" t="n">
        <f aca="false">IF(E1468=0,"",IF(D1468="VIGENTE",1,0))</f>
        <v>0</v>
      </c>
      <c r="H1468" s="1" t="inlineStr">
        <is>
          <t xml:space="preserve">B observado / C cálculo</t>
        </is>
      </c>
    </row>
    <row r="1469" customFormat="false" ht="15" hidden="false" customHeight="true" outlineLevel="0" collapsed="false">
      <c r="A1469" s="1" t="n">
        <v>2025</v>
      </c>
      <c r="B1469" s="1" t="n">
        <v>2</v>
      </c>
      <c r="C1469" s="1" t="inlineStr">
        <is>
          <t xml:space="preserve">ADMP20251</t>
        </is>
      </c>
      <c r="D1469" s="1" t="inlineStr">
        <is>
          <t xml:space="preserve">VIGENTE</t>
        </is>
      </c>
      <c r="E1469" s="1" t="n">
        <v>40</v>
      </c>
      <c r="F1469" s="1" t="n">
        <v>176</v>
      </c>
      <c r="G1469" s="1" t="n">
        <f aca="false">IF(E1469=0,"",IF(D1469="VIGENTE",1,0))</f>
        <v>1</v>
      </c>
      <c r="H1469" s="1" t="inlineStr">
        <is>
          <t xml:space="preserve">B observado / C cálculo</t>
        </is>
      </c>
    </row>
    <row r="1470" customFormat="false" ht="15" hidden="false" customHeight="true" outlineLevel="0" collapsed="false">
      <c r="A1470" s="1" t="n">
        <v>2025</v>
      </c>
      <c r="B1470" s="1" t="n">
        <v>2</v>
      </c>
      <c r="C1470" s="1" t="inlineStr">
        <is>
          <t xml:space="preserve">AUDT20251</t>
        </is>
      </c>
      <c r="D1470" s="1" t="inlineStr">
        <is>
          <t xml:space="preserve">ELIMINADO</t>
        </is>
      </c>
      <c r="E1470" s="1" t="n">
        <v>3</v>
      </c>
      <c r="F1470" s="1" t="n">
        <v>14</v>
      </c>
      <c r="G1470" s="1" t="n">
        <f aca="false">IF(E1470=0,"",IF(D1470="VIGENTE",1,0))</f>
        <v>0</v>
      </c>
      <c r="H1470" s="1" t="inlineStr">
        <is>
          <t xml:space="preserve">B observado / C cálculo</t>
        </is>
      </c>
    </row>
    <row r="1471" customFormat="false" ht="15" hidden="false" customHeight="true" outlineLevel="0" collapsed="false">
      <c r="A1471" s="1" t="n">
        <v>2025</v>
      </c>
      <c r="B1471" s="1" t="n">
        <v>2</v>
      </c>
      <c r="C1471" s="1" t="inlineStr">
        <is>
          <t xml:space="preserve">AUDT20251</t>
        </is>
      </c>
      <c r="D1471" s="1" t="inlineStr">
        <is>
          <t xml:space="preserve">VIGENTE</t>
        </is>
      </c>
      <c r="E1471" s="1" t="n">
        <v>40</v>
      </c>
      <c r="F1471" s="1" t="n">
        <v>152</v>
      </c>
      <c r="G1471" s="1" t="n">
        <f aca="false">IF(E1471=0,"",IF(D1471="VIGENTE",1,0))</f>
        <v>1</v>
      </c>
      <c r="H1471" s="1" t="inlineStr">
        <is>
          <t xml:space="preserve">B observado / C cálculo</t>
        </is>
      </c>
    </row>
    <row r="1472" customFormat="false" ht="15" hidden="false" customHeight="true" outlineLevel="0" collapsed="false">
      <c r="A1472" s="1" t="n">
        <v>2025</v>
      </c>
      <c r="B1472" s="1" t="n">
        <v>2</v>
      </c>
      <c r="C1472" s="1" t="inlineStr">
        <is>
          <t xml:space="preserve">CIADM20241</t>
        </is>
      </c>
      <c r="D1472" s="1" t="inlineStr">
        <is>
          <t xml:space="preserve">VIGENTE</t>
        </is>
      </c>
      <c r="E1472" s="1" t="n">
        <v>11</v>
      </c>
      <c r="F1472" s="1" t="n">
        <v>55</v>
      </c>
      <c r="G1472" s="1" t="n">
        <f aca="false">IF(E1472=0,"",IF(D1472="VIGENTE",1,0))</f>
        <v>1</v>
      </c>
      <c r="H1472" s="1" t="inlineStr">
        <is>
          <t xml:space="preserve">B observado / C cálculo</t>
        </is>
      </c>
    </row>
    <row r="1473" customFormat="false" ht="15" hidden="false" customHeight="true" outlineLevel="0" collapsed="false">
      <c r="A1473" s="1" t="n">
        <v>2025</v>
      </c>
      <c r="B1473" s="1" t="n">
        <v>2</v>
      </c>
      <c r="C1473" s="1" t="inlineStr">
        <is>
          <t xml:space="preserve">CICIB20241</t>
        </is>
      </c>
      <c r="D1473" s="1" t="inlineStr">
        <is>
          <t xml:space="preserve">ELIMINADO</t>
        </is>
      </c>
      <c r="E1473" s="1" t="n">
        <v>3</v>
      </c>
      <c r="F1473" s="1" t="n">
        <v>6</v>
      </c>
      <c r="G1473" s="1" t="n">
        <f aca="false">IF(E1473=0,"",IF(D1473="VIGENTE",1,0))</f>
        <v>0</v>
      </c>
      <c r="H1473" s="1" t="inlineStr">
        <is>
          <t xml:space="preserve">B observado / C cálculo</t>
        </is>
      </c>
    </row>
    <row r="1474" customFormat="false" ht="15" hidden="false" customHeight="true" outlineLevel="0" collapsed="false">
      <c r="A1474" s="1" t="n">
        <v>2025</v>
      </c>
      <c r="B1474" s="1" t="n">
        <v>2</v>
      </c>
      <c r="C1474" s="1" t="inlineStr">
        <is>
          <t xml:space="preserve">CICIB20241</t>
        </is>
      </c>
      <c r="D1474" s="1" t="inlineStr">
        <is>
          <t xml:space="preserve">SUSPENDIDO</t>
        </is>
      </c>
      <c r="E1474" s="1" t="n">
        <v>1</v>
      </c>
      <c r="F1474" s="1" t="n">
        <v>3</v>
      </c>
      <c r="G1474" s="1" t="n">
        <f aca="false">IF(E1474=0,"",IF(D1474="VIGENTE",1,0))</f>
        <v>0</v>
      </c>
      <c r="H1474" s="1" t="inlineStr">
        <is>
          <t xml:space="preserve">B observado / C cálculo</t>
        </is>
      </c>
    </row>
    <row r="1475" customFormat="false" ht="15" hidden="false" customHeight="true" outlineLevel="0" collapsed="false">
      <c r="A1475" s="1" t="n">
        <v>2025</v>
      </c>
      <c r="B1475" s="1" t="n">
        <v>2</v>
      </c>
      <c r="C1475" s="1" t="inlineStr">
        <is>
          <t xml:space="preserve">CICIB20241</t>
        </is>
      </c>
      <c r="D1475" s="1" t="inlineStr">
        <is>
          <t xml:space="preserve">TITULADO</t>
        </is>
      </c>
      <c r="E1475" s="1" t="n">
        <v>38</v>
      </c>
      <c r="F1475" s="1" t="n">
        <v>38</v>
      </c>
      <c r="G1475" s="1" t="n">
        <f aca="false">IF(E1475=0,"",IF(D1475="VIGENTE",1,0))</f>
        <v>0</v>
      </c>
      <c r="H1475" s="1" t="inlineStr">
        <is>
          <t xml:space="preserve">B observado / C cálculo</t>
        </is>
      </c>
    </row>
    <row r="1476" customFormat="false" ht="15" hidden="false" customHeight="true" outlineLevel="0" collapsed="false">
      <c r="A1476" s="1" t="n">
        <v>2025</v>
      </c>
      <c r="B1476" s="1" t="n">
        <v>2</v>
      </c>
      <c r="C1476" s="1" t="inlineStr">
        <is>
          <t xml:space="preserve">CICIB20241</t>
        </is>
      </c>
      <c r="D1476" s="1" t="inlineStr">
        <is>
          <t xml:space="preserve">VIGENTE</t>
        </is>
      </c>
      <c r="E1476" s="1" t="n">
        <v>48</v>
      </c>
      <c r="F1476" s="1" t="n">
        <v>96</v>
      </c>
      <c r="G1476" s="1" t="n">
        <f aca="false">IF(E1476=0,"",IF(D1476="VIGENTE",1,0))</f>
        <v>1</v>
      </c>
      <c r="H1476" s="1" t="inlineStr">
        <is>
          <t xml:space="preserve">B observado / C cálculo</t>
        </is>
      </c>
    </row>
    <row r="1477" customFormat="false" ht="15" hidden="false" customHeight="true" outlineLevel="0" collapsed="false">
      <c r="A1477" s="1" t="n">
        <v>2025</v>
      </c>
      <c r="B1477" s="1" t="n">
        <v>2</v>
      </c>
      <c r="C1477" s="1" t="inlineStr">
        <is>
          <t xml:space="preserve">CICRE20241</t>
        </is>
      </c>
      <c r="D1477" s="1" t="inlineStr">
        <is>
          <t xml:space="preserve">ELIMINADO</t>
        </is>
      </c>
      <c r="E1477" s="1" t="n">
        <v>5</v>
      </c>
      <c r="F1477" s="1" t="n">
        <v>8</v>
      </c>
      <c r="G1477" s="1" t="n">
        <f aca="false">IF(E1477=0,"",IF(D1477="VIGENTE",1,0))</f>
        <v>0</v>
      </c>
      <c r="H1477" s="1" t="inlineStr">
        <is>
          <t xml:space="preserve">B observado / C cálculo</t>
        </is>
      </c>
    </row>
    <row r="1478" customFormat="false" ht="15" hidden="false" customHeight="true" outlineLevel="0" collapsed="false">
      <c r="A1478" s="1" t="n">
        <v>2025</v>
      </c>
      <c r="B1478" s="1" t="n">
        <v>2</v>
      </c>
      <c r="C1478" s="1" t="inlineStr">
        <is>
          <t xml:space="preserve">CICRE20241</t>
        </is>
      </c>
      <c r="D1478" s="1" t="inlineStr">
        <is>
          <t xml:space="preserve">SUSPENDIDO</t>
        </is>
      </c>
      <c r="E1478" s="1" t="n">
        <v>1</v>
      </c>
      <c r="F1478" s="1" t="n">
        <v>2</v>
      </c>
      <c r="G1478" s="1" t="n">
        <f aca="false">IF(E1478=0,"",IF(D1478="VIGENTE",1,0))</f>
        <v>0</v>
      </c>
      <c r="H1478" s="1" t="inlineStr">
        <is>
          <t xml:space="preserve">B observado / C cálculo</t>
        </is>
      </c>
    </row>
    <row r="1479" customFormat="false" ht="15" hidden="false" customHeight="true" outlineLevel="0" collapsed="false">
      <c r="A1479" s="1" t="n">
        <v>2025</v>
      </c>
      <c r="B1479" s="1" t="n">
        <v>2</v>
      </c>
      <c r="C1479" s="1" t="inlineStr">
        <is>
          <t xml:space="preserve">CICRE20241</t>
        </is>
      </c>
      <c r="D1479" s="1" t="inlineStr">
        <is>
          <t xml:space="preserve">TITULADO</t>
        </is>
      </c>
      <c r="E1479" s="1" t="n">
        <v>42</v>
      </c>
      <c r="F1479" s="1" t="n">
        <v>43</v>
      </c>
      <c r="G1479" s="1" t="n">
        <f aca="false">IF(E1479=0,"",IF(D1479="VIGENTE",1,0))</f>
        <v>0</v>
      </c>
      <c r="H1479" s="1" t="inlineStr">
        <is>
          <t xml:space="preserve">B observado / C cálculo</t>
        </is>
      </c>
    </row>
    <row r="1480" customFormat="false" ht="15" hidden="false" customHeight="true" outlineLevel="0" collapsed="false">
      <c r="A1480" s="1" t="n">
        <v>2025</v>
      </c>
      <c r="B1480" s="1" t="n">
        <v>2</v>
      </c>
      <c r="C1480" s="1" t="inlineStr">
        <is>
          <t xml:space="preserve">CICRE20241</t>
        </is>
      </c>
      <c r="D1480" s="1" t="inlineStr">
        <is>
          <t xml:space="preserve">VIGENTE</t>
        </is>
      </c>
      <c r="E1480" s="1" t="n">
        <v>60</v>
      </c>
      <c r="F1480" s="1" t="n">
        <v>120</v>
      </c>
      <c r="G1480" s="1" t="n">
        <f aca="false">IF(E1480=0,"",IF(D1480="VIGENTE",1,0))</f>
        <v>1</v>
      </c>
      <c r="H1480" s="1" t="inlineStr">
        <is>
          <t xml:space="preserve">B observado / C cálculo</t>
        </is>
      </c>
    </row>
    <row r="1481" customFormat="false" ht="15" hidden="false" customHeight="true" outlineLevel="0" collapsed="false">
      <c r="A1481" s="1" t="n">
        <v>2025</v>
      </c>
      <c r="B1481" s="1" t="n">
        <v>2</v>
      </c>
      <c r="C1481" s="1" t="inlineStr">
        <is>
          <t xml:space="preserve">CIIND20251</t>
        </is>
      </c>
      <c r="D1481" s="1" t="inlineStr">
        <is>
          <t xml:space="preserve">VIGENTE</t>
        </is>
      </c>
      <c r="E1481" s="1" t="n">
        <v>24</v>
      </c>
      <c r="F1481" s="1" t="n">
        <v>26</v>
      </c>
      <c r="G1481" s="1" t="n">
        <f aca="false">IF(E1481=0,"",IF(D1481="VIGENTE",1,0))</f>
        <v>1</v>
      </c>
      <c r="H1481" s="1" t="inlineStr">
        <is>
          <t xml:space="preserve">B observado / C cálculo</t>
        </is>
      </c>
    </row>
    <row r="1482" customFormat="false" ht="15" hidden="false" customHeight="true" outlineLevel="0" collapsed="false">
      <c r="A1482" s="1" t="n">
        <v>2025</v>
      </c>
      <c r="B1482" s="1" t="n">
        <v>2</v>
      </c>
      <c r="C1482" s="1" t="inlineStr">
        <is>
          <t xml:space="preserve">CIINF20241</t>
        </is>
      </c>
      <c r="D1482" s="1" t="inlineStr">
        <is>
          <t xml:space="preserve">SUSPENDIDO</t>
        </is>
      </c>
      <c r="E1482" s="1" t="n">
        <v>1</v>
      </c>
      <c r="F1482" s="1" t="n">
        <v>2</v>
      </c>
      <c r="G1482" s="1" t="n">
        <f aca="false">IF(E1482=0,"",IF(D1482="VIGENTE",1,0))</f>
        <v>0</v>
      </c>
      <c r="H1482" s="1" t="inlineStr">
        <is>
          <t xml:space="preserve">B observado / C cálculo</t>
        </is>
      </c>
    </row>
    <row r="1483" customFormat="false" ht="15" hidden="false" customHeight="true" outlineLevel="0" collapsed="false">
      <c r="A1483" s="1" t="n">
        <v>2025</v>
      </c>
      <c r="B1483" s="1" t="n">
        <v>2</v>
      </c>
      <c r="C1483" s="1" t="inlineStr">
        <is>
          <t xml:space="preserve">CIINF20241</t>
        </is>
      </c>
      <c r="D1483" s="1" t="inlineStr">
        <is>
          <t xml:space="preserve">TITULADO</t>
        </is>
      </c>
      <c r="E1483" s="1" t="n">
        <v>24</v>
      </c>
      <c r="F1483" s="1" t="n">
        <v>26</v>
      </c>
      <c r="G1483" s="1" t="n">
        <f aca="false">IF(E1483=0,"",IF(D1483="VIGENTE",1,0))</f>
        <v>0</v>
      </c>
      <c r="H1483" s="1" t="inlineStr">
        <is>
          <t xml:space="preserve">B observado / C cálculo</t>
        </is>
      </c>
    </row>
    <row r="1484" customFormat="false" ht="15" hidden="false" customHeight="true" outlineLevel="0" collapsed="false">
      <c r="A1484" s="1" t="n">
        <v>2025</v>
      </c>
      <c r="B1484" s="1" t="n">
        <v>2</v>
      </c>
      <c r="C1484" s="1" t="inlineStr">
        <is>
          <t xml:space="preserve">CIINF20241</t>
        </is>
      </c>
      <c r="D1484" s="1" t="inlineStr">
        <is>
          <t xml:space="preserve">VIGENTE</t>
        </is>
      </c>
      <c r="E1484" s="1" t="n">
        <v>47</v>
      </c>
      <c r="F1484" s="1" t="n">
        <v>94</v>
      </c>
      <c r="G1484" s="1" t="n">
        <f aca="false">IF(E1484=0,"",IF(D1484="VIGENTE",1,0))</f>
        <v>1</v>
      </c>
      <c r="H1484" s="1" t="inlineStr">
        <is>
          <t xml:space="preserve">B observado / C cálculo</t>
        </is>
      </c>
    </row>
    <row r="1485" customFormat="false" ht="15" hidden="false" customHeight="true" outlineLevel="0" collapsed="false">
      <c r="A1485" s="1" t="n">
        <v>2025</v>
      </c>
      <c r="B1485" s="1" t="n">
        <v>2</v>
      </c>
      <c r="C1485" s="1" t="inlineStr">
        <is>
          <t xml:space="preserve">CILOG20241</t>
        </is>
      </c>
      <c r="D1485" s="1" t="inlineStr">
        <is>
          <t xml:space="preserve">VIGENTE</t>
        </is>
      </c>
      <c r="E1485" s="1" t="n">
        <v>12</v>
      </c>
      <c r="F1485" s="1" t="n">
        <v>25</v>
      </c>
      <c r="G1485" s="1" t="n">
        <f aca="false">IF(E1485=0,"",IF(D1485="VIGENTE",1,0))</f>
        <v>1</v>
      </c>
      <c r="H1485" s="1" t="inlineStr">
        <is>
          <t xml:space="preserve">B observado / C cálculo</t>
        </is>
      </c>
    </row>
    <row r="1486" customFormat="false" ht="15" hidden="false" customHeight="true" outlineLevel="0" collapsed="false">
      <c r="A1486" s="1" t="n">
        <v>2025</v>
      </c>
      <c r="B1486" s="1" t="n">
        <v>2</v>
      </c>
      <c r="C1486" s="1" t="inlineStr">
        <is>
          <t xml:space="preserve">CONG20251</t>
        </is>
      </c>
      <c r="D1486" s="1" t="inlineStr">
        <is>
          <t xml:space="preserve">ELIMINADO</t>
        </is>
      </c>
      <c r="E1486" s="1" t="n">
        <v>1</v>
      </c>
      <c r="F1486" s="1" t="n">
        <v>3</v>
      </c>
      <c r="G1486" s="1" t="n">
        <f aca="false">IF(E1486=0,"",IF(D1486="VIGENTE",1,0))</f>
        <v>0</v>
      </c>
      <c r="H1486" s="1" t="inlineStr">
        <is>
          <t xml:space="preserve">B observado / C cálculo</t>
        </is>
      </c>
    </row>
    <row r="1487" customFormat="false" ht="15" hidden="false" customHeight="true" outlineLevel="0" collapsed="false">
      <c r="A1487" s="1" t="n">
        <v>2025</v>
      </c>
      <c r="B1487" s="1" t="n">
        <v>2</v>
      </c>
      <c r="C1487" s="1" t="inlineStr">
        <is>
          <t xml:space="preserve">CONG20251</t>
        </is>
      </c>
      <c r="D1487" s="1" t="inlineStr">
        <is>
          <t xml:space="preserve">VIGENTE</t>
        </is>
      </c>
      <c r="E1487" s="1" t="n">
        <v>20</v>
      </c>
      <c r="F1487" s="1" t="n">
        <v>76</v>
      </c>
      <c r="G1487" s="1" t="n">
        <f aca="false">IF(E1487=0,"",IF(D1487="VIGENTE",1,0))</f>
        <v>1</v>
      </c>
      <c r="H1487" s="1" t="inlineStr">
        <is>
          <t xml:space="preserve">B observado / C cálculo</t>
        </is>
      </c>
    </row>
    <row r="1488" customFormat="false" ht="15" hidden="false" customHeight="true" outlineLevel="0" collapsed="false">
      <c r="A1488" s="1" t="n">
        <v>2025</v>
      </c>
      <c r="B1488" s="1" t="n">
        <v>2</v>
      </c>
      <c r="C1488" s="1" t="inlineStr">
        <is>
          <t xml:space="preserve">IADM20241</t>
        </is>
      </c>
      <c r="D1488" s="1" t="inlineStr">
        <is>
          <t xml:space="preserve">ELIMINADO</t>
        </is>
      </c>
      <c r="E1488" s="1" t="n">
        <v>9</v>
      </c>
      <c r="F1488" s="1" t="n">
        <v>35</v>
      </c>
      <c r="G1488" s="1" t="n">
        <f aca="false">IF(E1488=0,"",IF(D1488="VIGENTE",1,0))</f>
        <v>0</v>
      </c>
      <c r="H1488" s="1" t="inlineStr">
        <is>
          <t xml:space="preserve">B observado / C cálculo</t>
        </is>
      </c>
    </row>
    <row r="1489" customFormat="false" ht="15" hidden="false" customHeight="true" outlineLevel="0" collapsed="false">
      <c r="A1489" s="1" t="n">
        <v>2025</v>
      </c>
      <c r="B1489" s="1" t="n">
        <v>2</v>
      </c>
      <c r="C1489" s="1" t="inlineStr">
        <is>
          <t xml:space="preserve">IADM20241</t>
        </is>
      </c>
      <c r="D1489" s="1" t="inlineStr">
        <is>
          <t xml:space="preserve">SUSPENDIDO</t>
        </is>
      </c>
      <c r="E1489" s="1" t="n">
        <v>4</v>
      </c>
      <c r="F1489" s="1" t="n">
        <v>19</v>
      </c>
      <c r="G1489" s="1" t="n">
        <f aca="false">IF(E1489=0,"",IF(D1489="VIGENTE",1,0))</f>
        <v>0</v>
      </c>
      <c r="H1489" s="1" t="inlineStr">
        <is>
          <t xml:space="preserve">B observado / C cálculo</t>
        </is>
      </c>
    </row>
    <row r="1490" customFormat="false" ht="15" hidden="false" customHeight="true" outlineLevel="0" collapsed="false">
      <c r="A1490" s="1" t="n">
        <v>2025</v>
      </c>
      <c r="B1490" s="1" t="n">
        <v>2</v>
      </c>
      <c r="C1490" s="1" t="inlineStr">
        <is>
          <t xml:space="preserve">IADM20241</t>
        </is>
      </c>
      <c r="D1490" s="1" t="inlineStr">
        <is>
          <t xml:space="preserve">VIGENTE</t>
        </is>
      </c>
      <c r="E1490" s="1" t="n">
        <v>81</v>
      </c>
      <c r="F1490" s="1" t="n">
        <v>310</v>
      </c>
      <c r="G1490" s="1" t="n">
        <f aca="false">IF(E1490=0,"",IF(D1490="VIGENTE",1,0))</f>
        <v>1</v>
      </c>
      <c r="H1490" s="1" t="inlineStr">
        <is>
          <t xml:space="preserve">B observado / C cálculo</t>
        </is>
      </c>
    </row>
    <row r="1491" customFormat="false" ht="15" hidden="false" customHeight="true" outlineLevel="0" collapsed="false">
      <c r="A1491" s="1" t="n">
        <v>2025</v>
      </c>
      <c r="B1491" s="1" t="n">
        <v>2</v>
      </c>
      <c r="C1491" s="1" t="inlineStr">
        <is>
          <t xml:space="preserve">ICDA20251</t>
        </is>
      </c>
      <c r="D1491" s="1" t="inlineStr">
        <is>
          <t xml:space="preserve">ELIMINADO</t>
        </is>
      </c>
      <c r="E1491" s="1" t="n">
        <v>2</v>
      </c>
      <c r="F1491" s="1" t="n">
        <v>2</v>
      </c>
      <c r="G1491" s="1" t="n">
        <f aca="false">IF(E1491=0,"",IF(D1491="VIGENTE",1,0))</f>
        <v>0</v>
      </c>
      <c r="H1491" s="1" t="inlineStr">
        <is>
          <t xml:space="preserve">B observado / C cálculo</t>
        </is>
      </c>
    </row>
    <row r="1492" customFormat="false" ht="15" hidden="false" customHeight="true" outlineLevel="0" collapsed="false">
      <c r="A1492" s="1" t="n">
        <v>2025</v>
      </c>
      <c r="B1492" s="1" t="n">
        <v>2</v>
      </c>
      <c r="C1492" s="1" t="inlineStr">
        <is>
          <t xml:space="preserve">ICDA20251</t>
        </is>
      </c>
      <c r="D1492" s="1" t="inlineStr">
        <is>
          <t xml:space="preserve">SUSPENDIDO</t>
        </is>
      </c>
      <c r="E1492" s="1" t="n">
        <v>4</v>
      </c>
      <c r="F1492" s="1" t="n">
        <v>5</v>
      </c>
      <c r="G1492" s="1" t="n">
        <f aca="false">IF(E1492=0,"",IF(D1492="VIGENTE",1,0))</f>
        <v>0</v>
      </c>
      <c r="H1492" s="1" t="inlineStr">
        <is>
          <t xml:space="preserve">B observado / C cálculo</t>
        </is>
      </c>
    </row>
    <row r="1493" customFormat="false" ht="15" hidden="false" customHeight="true" outlineLevel="0" collapsed="false">
      <c r="A1493" s="1" t="n">
        <v>2025</v>
      </c>
      <c r="B1493" s="1" t="n">
        <v>2</v>
      </c>
      <c r="C1493" s="1" t="inlineStr">
        <is>
          <t xml:space="preserve">ICDA20251</t>
        </is>
      </c>
      <c r="D1493" s="1" t="inlineStr">
        <is>
          <t xml:space="preserve">VIGENTE</t>
        </is>
      </c>
      <c r="E1493" s="1" t="n">
        <v>21</v>
      </c>
      <c r="F1493" s="1" t="n">
        <v>30</v>
      </c>
      <c r="G1493" s="1" t="n">
        <f aca="false">IF(E1493=0,"",IF(D1493="VIGENTE",1,0))</f>
        <v>1</v>
      </c>
      <c r="H1493" s="1" t="inlineStr">
        <is>
          <t xml:space="preserve">B observado / C cálculo</t>
        </is>
      </c>
    </row>
    <row r="1494" customFormat="false" ht="15" hidden="false" customHeight="true" outlineLevel="0" collapsed="false">
      <c r="A1494" s="1" t="n">
        <v>2025</v>
      </c>
      <c r="B1494" s="1" t="n">
        <v>2</v>
      </c>
      <c r="C1494" s="1" t="inlineStr">
        <is>
          <t xml:space="preserve">ICIB20241</t>
        </is>
      </c>
      <c r="D1494" s="1" t="inlineStr">
        <is>
          <t xml:space="preserve">ELIMINADO</t>
        </is>
      </c>
      <c r="E1494" s="1" t="n">
        <v>12</v>
      </c>
      <c r="F1494" s="1" t="n">
        <v>42</v>
      </c>
      <c r="G1494" s="1" t="n">
        <f aca="false">IF(E1494=0,"",IF(D1494="VIGENTE",1,0))</f>
        <v>0</v>
      </c>
      <c r="H1494" s="1" t="inlineStr">
        <is>
          <t xml:space="preserve">B observado / C cálculo</t>
        </is>
      </c>
    </row>
    <row r="1495" customFormat="false" ht="15" hidden="false" customHeight="true" outlineLevel="0" collapsed="false">
      <c r="A1495" s="1" t="n">
        <v>2025</v>
      </c>
      <c r="B1495" s="1" t="n">
        <v>2</v>
      </c>
      <c r="C1495" s="1" t="inlineStr">
        <is>
          <t xml:space="preserve">ICIB20241</t>
        </is>
      </c>
      <c r="D1495" s="1" t="inlineStr">
        <is>
          <t xml:space="preserve">SUSPENDIDO</t>
        </is>
      </c>
      <c r="E1495" s="1" t="n">
        <v>8</v>
      </c>
      <c r="F1495" s="1" t="n">
        <v>24</v>
      </c>
      <c r="G1495" s="1" t="n">
        <f aca="false">IF(E1495=0,"",IF(D1495="VIGENTE",1,0))</f>
        <v>0</v>
      </c>
      <c r="H1495" s="1" t="inlineStr">
        <is>
          <t xml:space="preserve">B observado / C cálculo</t>
        </is>
      </c>
    </row>
    <row r="1496" customFormat="false" ht="15" hidden="false" customHeight="true" outlineLevel="0" collapsed="false">
      <c r="A1496" s="1" t="n">
        <v>2025</v>
      </c>
      <c r="B1496" s="1" t="n">
        <v>2</v>
      </c>
      <c r="C1496" s="1" t="inlineStr">
        <is>
          <t xml:space="preserve">ICIB20241</t>
        </is>
      </c>
      <c r="D1496" s="1" t="inlineStr">
        <is>
          <t xml:space="preserve">TITULADO</t>
        </is>
      </c>
      <c r="E1496" s="1" t="n">
        <v>27</v>
      </c>
      <c r="F1496" s="1" t="n">
        <v>29</v>
      </c>
      <c r="G1496" s="1" t="n">
        <f aca="false">IF(E1496=0,"",IF(D1496="VIGENTE",1,0))</f>
        <v>0</v>
      </c>
      <c r="H1496" s="1" t="inlineStr">
        <is>
          <t xml:space="preserve">B observado / C cálculo</t>
        </is>
      </c>
    </row>
    <row r="1497" customFormat="false" ht="15" hidden="false" customHeight="true" outlineLevel="0" collapsed="false">
      <c r="A1497" s="1" t="n">
        <v>2025</v>
      </c>
      <c r="B1497" s="1" t="n">
        <v>2</v>
      </c>
      <c r="C1497" s="1" t="inlineStr">
        <is>
          <t xml:space="preserve">ICIB20241</t>
        </is>
      </c>
      <c r="D1497" s="1" t="inlineStr">
        <is>
          <t xml:space="preserve">VIGENTE</t>
        </is>
      </c>
      <c r="E1497" s="1" t="n">
        <v>185</v>
      </c>
      <c r="F1497" s="1" t="n">
        <v>548</v>
      </c>
      <c r="G1497" s="1" t="n">
        <f aca="false">IF(E1497=0,"",IF(D1497="VIGENTE",1,0))</f>
        <v>1</v>
      </c>
      <c r="H1497" s="1" t="inlineStr">
        <is>
          <t xml:space="preserve">B observado / C cálculo</t>
        </is>
      </c>
    </row>
    <row r="1498" customFormat="false" ht="15" hidden="false" customHeight="true" outlineLevel="0" collapsed="false">
      <c r="A1498" s="1" t="n">
        <v>2025</v>
      </c>
      <c r="B1498" s="1" t="n">
        <v>2</v>
      </c>
      <c r="C1498" s="1" t="inlineStr">
        <is>
          <t xml:space="preserve">ICRE20241</t>
        </is>
      </c>
      <c r="D1498" s="1" t="inlineStr">
        <is>
          <t xml:space="preserve">ELIMINADO</t>
        </is>
      </c>
      <c r="E1498" s="1" t="n">
        <v>8</v>
      </c>
      <c r="F1498" s="1" t="n">
        <v>12</v>
      </c>
      <c r="G1498" s="1" t="n">
        <f aca="false">IF(E1498=0,"",IF(D1498="VIGENTE",1,0))</f>
        <v>0</v>
      </c>
      <c r="H1498" s="1" t="inlineStr">
        <is>
          <t xml:space="preserve">B observado / C cálculo</t>
        </is>
      </c>
    </row>
    <row r="1499" customFormat="false" ht="15" hidden="false" customHeight="true" outlineLevel="0" collapsed="false">
      <c r="A1499" s="1" t="n">
        <v>2025</v>
      </c>
      <c r="B1499" s="1" t="n">
        <v>2</v>
      </c>
      <c r="C1499" s="1" t="inlineStr">
        <is>
          <t xml:space="preserve">ICRE20241</t>
        </is>
      </c>
      <c r="D1499" s="1" t="inlineStr">
        <is>
          <t xml:space="preserve">SUSPENDIDO</t>
        </is>
      </c>
      <c r="E1499" s="1" t="n">
        <v>4</v>
      </c>
      <c r="F1499" s="1" t="n">
        <v>7</v>
      </c>
      <c r="G1499" s="1" t="n">
        <f aca="false">IF(E1499=0,"",IF(D1499="VIGENTE",1,0))</f>
        <v>0</v>
      </c>
      <c r="H1499" s="1" t="inlineStr">
        <is>
          <t xml:space="preserve">B observado / C cálculo</t>
        </is>
      </c>
    </row>
    <row r="1500" customFormat="false" ht="15" hidden="false" customHeight="true" outlineLevel="0" collapsed="false">
      <c r="A1500" s="1" t="n">
        <v>2025</v>
      </c>
      <c r="B1500" s="1" t="n">
        <v>2</v>
      </c>
      <c r="C1500" s="1" t="inlineStr">
        <is>
          <t xml:space="preserve">ICRE20241</t>
        </is>
      </c>
      <c r="D1500" s="1" t="inlineStr">
        <is>
          <t xml:space="preserve">TITULADO</t>
        </is>
      </c>
      <c r="E1500" s="1" t="n">
        <v>26</v>
      </c>
      <c r="F1500" s="1" t="n">
        <v>26</v>
      </c>
      <c r="G1500" s="1" t="n">
        <f aca="false">IF(E1500=0,"",IF(D1500="VIGENTE",1,0))</f>
        <v>0</v>
      </c>
      <c r="H1500" s="1" t="inlineStr">
        <is>
          <t xml:space="preserve">B observado / C cálculo</t>
        </is>
      </c>
    </row>
    <row r="1501" customFormat="false" ht="15" hidden="false" customHeight="true" outlineLevel="0" collapsed="false">
      <c r="A1501" s="1" t="n">
        <v>2025</v>
      </c>
      <c r="B1501" s="1" t="n">
        <v>2</v>
      </c>
      <c r="C1501" s="1" t="inlineStr">
        <is>
          <t xml:space="preserve">ICRE20241</t>
        </is>
      </c>
      <c r="D1501" s="1" t="inlineStr">
        <is>
          <t xml:space="preserve">VIGENTE</t>
        </is>
      </c>
      <c r="E1501" s="1" t="n">
        <v>102</v>
      </c>
      <c r="F1501" s="1" t="n">
        <v>151</v>
      </c>
      <c r="G1501" s="1" t="n">
        <f aca="false">IF(E1501=0,"",IF(D1501="VIGENTE",1,0))</f>
        <v>1</v>
      </c>
      <c r="H1501" s="1" t="inlineStr">
        <is>
          <t xml:space="preserve">B observado / C cálculo</t>
        </is>
      </c>
    </row>
    <row r="1502" customFormat="false" ht="15" hidden="false" customHeight="true" outlineLevel="0" collapsed="false">
      <c r="A1502" s="1" t="n">
        <v>2025</v>
      </c>
      <c r="B1502" s="1" t="n">
        <v>2</v>
      </c>
      <c r="C1502" s="1" t="inlineStr">
        <is>
          <t xml:space="preserve">IECIREOL20211</t>
        </is>
      </c>
      <c r="D1502" s="1" t="inlineStr">
        <is>
          <t xml:space="preserve">TITULADO</t>
        </is>
      </c>
      <c r="E1502" s="1" t="n">
        <v>10</v>
      </c>
      <c r="F1502" s="1" t="n">
        <v>30</v>
      </c>
      <c r="G1502" s="1" t="n">
        <f aca="false">IF(E1502=0,"",IF(D1502="VIGENTE",1,0))</f>
        <v>0</v>
      </c>
      <c r="H1502" s="1" t="inlineStr">
        <is>
          <t xml:space="preserve">B observado / C cálculo</t>
        </is>
      </c>
    </row>
    <row r="1503" customFormat="false" ht="15" hidden="false" customHeight="true" outlineLevel="0" collapsed="false">
      <c r="A1503" s="1" t="n">
        <v>2025</v>
      </c>
      <c r="B1503" s="1" t="n">
        <v>2</v>
      </c>
      <c r="C1503" s="1" t="inlineStr">
        <is>
          <t xml:space="preserve">IECSRE20211</t>
        </is>
      </c>
      <c r="D1503" s="1" t="inlineStr">
        <is>
          <t xml:space="preserve">TITULADO</t>
        </is>
      </c>
      <c r="E1503" s="1" t="n">
        <v>5</v>
      </c>
      <c r="F1503" s="1" t="n">
        <v>10</v>
      </c>
      <c r="G1503" s="1" t="n">
        <f aca="false">IF(E1503=0,"",IF(D1503="VIGENTE",1,0))</f>
        <v>0</v>
      </c>
      <c r="H1503" s="1" t="inlineStr">
        <is>
          <t xml:space="preserve">B observado / C cálculo</t>
        </is>
      </c>
    </row>
    <row r="1504" customFormat="false" ht="15" hidden="false" customHeight="true" outlineLevel="0" collapsed="false">
      <c r="A1504" s="1" t="n">
        <v>2025</v>
      </c>
      <c r="B1504" s="1" t="n">
        <v>2</v>
      </c>
      <c r="C1504" s="1" t="inlineStr">
        <is>
          <t xml:space="preserve">IECSREOL20211</t>
        </is>
      </c>
      <c r="D1504" s="1" t="inlineStr">
        <is>
          <t xml:space="preserve">TITULADO</t>
        </is>
      </c>
      <c r="E1504" s="1" t="n">
        <v>19</v>
      </c>
      <c r="F1504" s="1" t="n">
        <v>37</v>
      </c>
      <c r="G1504" s="1" t="n">
        <f aca="false">IF(E1504=0,"",IF(D1504="VIGENTE",1,0))</f>
        <v>0</v>
      </c>
      <c r="H1504" s="1" t="inlineStr">
        <is>
          <t xml:space="preserve">B observado / C cálculo</t>
        </is>
      </c>
    </row>
    <row r="1505" customFormat="false" ht="15" hidden="false" customHeight="true" outlineLevel="0" collapsed="false">
      <c r="A1505" s="1" t="n">
        <v>2025</v>
      </c>
      <c r="B1505" s="1" t="n">
        <v>2</v>
      </c>
      <c r="C1505" s="1" t="inlineStr">
        <is>
          <t xml:space="preserve">IETMREOL20211</t>
        </is>
      </c>
      <c r="D1505" s="1" t="inlineStr">
        <is>
          <t xml:space="preserve">TITULADO</t>
        </is>
      </c>
      <c r="E1505" s="1" t="n">
        <v>13</v>
      </c>
      <c r="F1505" s="1" t="n">
        <v>26</v>
      </c>
      <c r="G1505" s="1" t="n">
        <f aca="false">IF(E1505=0,"",IF(D1505="VIGENTE",1,0))</f>
        <v>0</v>
      </c>
      <c r="H1505" s="1" t="inlineStr">
        <is>
          <t xml:space="preserve">B observado / C cálculo</t>
        </is>
      </c>
    </row>
    <row r="1506" customFormat="false" ht="15" hidden="false" customHeight="true" outlineLevel="0" collapsed="false">
      <c r="A1506" s="1" t="n">
        <v>2025</v>
      </c>
      <c r="B1506" s="1" t="n">
        <v>2</v>
      </c>
      <c r="C1506" s="1" t="inlineStr">
        <is>
          <t xml:space="preserve">IIND20251</t>
        </is>
      </c>
      <c r="D1506" s="1" t="inlineStr">
        <is>
          <t xml:space="preserve">VIGENTE</t>
        </is>
      </c>
      <c r="E1506" s="1" t="n">
        <v>28</v>
      </c>
      <c r="F1506" s="1" t="n">
        <v>36</v>
      </c>
      <c r="G1506" s="1" t="n">
        <f aca="false">IF(E1506=0,"",IF(D1506="VIGENTE",1,0))</f>
        <v>1</v>
      </c>
      <c r="H1506" s="1" t="inlineStr">
        <is>
          <t xml:space="preserve">B observado / C cálculo</t>
        </is>
      </c>
    </row>
    <row r="1507" customFormat="false" ht="15" hidden="false" customHeight="true" outlineLevel="0" collapsed="false">
      <c r="A1507" s="1" t="n">
        <v>2025</v>
      </c>
      <c r="B1507" s="1" t="n">
        <v>2</v>
      </c>
      <c r="C1507" s="1" t="inlineStr">
        <is>
          <t xml:space="preserve">IINF20241</t>
        </is>
      </c>
      <c r="D1507" s="1" t="inlineStr">
        <is>
          <t xml:space="preserve">ELIMINADO</t>
        </is>
      </c>
      <c r="E1507" s="1" t="n">
        <v>21</v>
      </c>
      <c r="F1507" s="1" t="n">
        <v>26</v>
      </c>
      <c r="G1507" s="1" t="n">
        <f aca="false">IF(E1507=0,"",IF(D1507="VIGENTE",1,0))</f>
        <v>0</v>
      </c>
      <c r="H1507" s="1" t="inlineStr">
        <is>
          <t xml:space="preserve">B observado / C cálculo</t>
        </is>
      </c>
    </row>
    <row r="1508" customFormat="false" ht="15" hidden="false" customHeight="true" outlineLevel="0" collapsed="false">
      <c r="A1508" s="1" t="n">
        <v>2025</v>
      </c>
      <c r="B1508" s="1" t="n">
        <v>2</v>
      </c>
      <c r="C1508" s="1" t="inlineStr">
        <is>
          <t xml:space="preserve">IINF20241</t>
        </is>
      </c>
      <c r="D1508" s="1" t="inlineStr">
        <is>
          <t xml:space="preserve">SUSPENDIDO</t>
        </is>
      </c>
      <c r="E1508" s="1" t="n">
        <v>7</v>
      </c>
      <c r="F1508" s="1" t="n">
        <v>10</v>
      </c>
      <c r="G1508" s="1" t="n">
        <f aca="false">IF(E1508=0,"",IF(D1508="VIGENTE",1,0))</f>
        <v>0</v>
      </c>
      <c r="H1508" s="1" t="inlineStr">
        <is>
          <t xml:space="preserve">B observado / C cálculo</t>
        </is>
      </c>
    </row>
    <row r="1509" customFormat="false" ht="15" hidden="false" customHeight="true" outlineLevel="0" collapsed="false">
      <c r="A1509" s="1" t="n">
        <v>2025</v>
      </c>
      <c r="B1509" s="1" t="n">
        <v>2</v>
      </c>
      <c r="C1509" s="1" t="inlineStr">
        <is>
          <t xml:space="preserve">IINF20241</t>
        </is>
      </c>
      <c r="D1509" s="1" t="inlineStr">
        <is>
          <t xml:space="preserve">TITULADO</t>
        </is>
      </c>
      <c r="E1509" s="1" t="n">
        <v>10</v>
      </c>
      <c r="F1509" s="1" t="n">
        <v>11</v>
      </c>
      <c r="G1509" s="1" t="n">
        <f aca="false">IF(E1509=0,"",IF(D1509="VIGENTE",1,0))</f>
        <v>0</v>
      </c>
      <c r="H1509" s="1" t="inlineStr">
        <is>
          <t xml:space="preserve">B observado / C cálculo</t>
        </is>
      </c>
    </row>
    <row r="1510" customFormat="false" ht="15" hidden="false" customHeight="true" outlineLevel="0" collapsed="false">
      <c r="A1510" s="1" t="n">
        <v>2025</v>
      </c>
      <c r="B1510" s="1" t="n">
        <v>2</v>
      </c>
      <c r="C1510" s="1" t="inlineStr">
        <is>
          <t xml:space="preserve">IINF20241</t>
        </is>
      </c>
      <c r="D1510" s="1" t="inlineStr">
        <is>
          <t xml:space="preserve">VIGENTE</t>
        </is>
      </c>
      <c r="E1510" s="1" t="n">
        <v>183</v>
      </c>
      <c r="F1510" s="1" t="n">
        <v>255</v>
      </c>
      <c r="G1510" s="1" t="n">
        <f aca="false">IF(E1510=0,"",IF(D1510="VIGENTE",1,0))</f>
        <v>1</v>
      </c>
      <c r="H1510" s="1" t="inlineStr">
        <is>
          <t xml:space="preserve">B observado / C cálculo</t>
        </is>
      </c>
    </row>
    <row r="1511" customFormat="false" ht="15" hidden="false" customHeight="true" outlineLevel="0" collapsed="false">
      <c r="A1511" s="1" t="n">
        <v>2025</v>
      </c>
      <c r="B1511" s="1" t="n">
        <v>2</v>
      </c>
      <c r="C1511" s="1" t="inlineStr">
        <is>
          <t xml:space="preserve">ILOG20241</t>
        </is>
      </c>
      <c r="D1511" s="1" t="inlineStr">
        <is>
          <t xml:space="preserve">ELIMINADO</t>
        </is>
      </c>
      <c r="E1511" s="1" t="n">
        <v>3</v>
      </c>
      <c r="F1511" s="1" t="n">
        <v>5</v>
      </c>
      <c r="G1511" s="1" t="n">
        <f aca="false">IF(E1511=0,"",IF(D1511="VIGENTE",1,0))</f>
        <v>0</v>
      </c>
      <c r="H1511" s="1" t="inlineStr">
        <is>
          <t xml:space="preserve">B observado / C cálculo</t>
        </is>
      </c>
    </row>
    <row r="1512" customFormat="false" ht="15" hidden="false" customHeight="true" outlineLevel="0" collapsed="false">
      <c r="A1512" s="1" t="n">
        <v>2025</v>
      </c>
      <c r="B1512" s="1" t="n">
        <v>2</v>
      </c>
      <c r="C1512" s="1" t="inlineStr">
        <is>
          <t xml:space="preserve">ILOG20241</t>
        </is>
      </c>
      <c r="D1512" s="1" t="inlineStr">
        <is>
          <t xml:space="preserve">SUSPENDIDO</t>
        </is>
      </c>
      <c r="E1512" s="1" t="n">
        <v>2</v>
      </c>
      <c r="F1512" s="1" t="n">
        <v>4</v>
      </c>
      <c r="G1512" s="1" t="n">
        <f aca="false">IF(E1512=0,"",IF(D1512="VIGENTE",1,0))</f>
        <v>0</v>
      </c>
      <c r="H1512" s="1" t="inlineStr">
        <is>
          <t xml:space="preserve">B observado / C cálculo</t>
        </is>
      </c>
    </row>
    <row r="1513" customFormat="false" ht="15" hidden="false" customHeight="true" outlineLevel="0" collapsed="false">
      <c r="A1513" s="1" t="n">
        <v>2025</v>
      </c>
      <c r="B1513" s="1" t="n">
        <v>2</v>
      </c>
      <c r="C1513" s="1" t="inlineStr">
        <is>
          <t xml:space="preserve">ILOG20241</t>
        </is>
      </c>
      <c r="D1513" s="1" t="inlineStr">
        <is>
          <t xml:space="preserve">VIGENTE</t>
        </is>
      </c>
      <c r="E1513" s="1" t="n">
        <v>62</v>
      </c>
      <c r="F1513" s="1" t="n">
        <v>88</v>
      </c>
      <c r="G1513" s="1" t="n">
        <f aca="false">IF(E1513=0,"",IF(D1513="VIGENTE",1,0))</f>
        <v>1</v>
      </c>
      <c r="H1513" s="1" t="inlineStr">
        <is>
          <t xml:space="preserve">B observado / C cálculo</t>
        </is>
      </c>
    </row>
    <row r="1514" customFormat="false" ht="15" hidden="false" customHeight="true" outlineLevel="0" collapsed="false">
      <c r="A1514" s="1" t="n">
        <v>2025</v>
      </c>
      <c r="B1514" s="1" t="n">
        <v>2</v>
      </c>
      <c r="C1514" s="1" t="inlineStr">
        <is>
          <t xml:space="preserve">TADP20251</t>
        </is>
      </c>
      <c r="D1514" s="1" t="inlineStr">
        <is>
          <t xml:space="preserve">VIGENTE</t>
        </is>
      </c>
      <c r="E1514" s="1" t="n">
        <v>9</v>
      </c>
      <c r="F1514" s="1" t="n">
        <v>44</v>
      </c>
      <c r="G1514" s="1" t="n">
        <f aca="false">IF(E1514=0,"",IF(D1514="VIGENTE",1,0))</f>
        <v>1</v>
      </c>
      <c r="H1514" s="1" t="inlineStr">
        <is>
          <t xml:space="preserve">B observado / C cálculo</t>
        </is>
      </c>
    </row>
    <row r="1515" customFormat="false" ht="15" hidden="false" customHeight="true" outlineLevel="0" collapsed="false">
      <c r="A1515" s="1" t="n">
        <v>2025</v>
      </c>
      <c r="B1515" s="1" t="n">
        <v>2</v>
      </c>
      <c r="C1515" s="1" t="inlineStr">
        <is>
          <t xml:space="preserve">TAMD20241</t>
        </is>
      </c>
      <c r="D1515" s="1" t="inlineStr">
        <is>
          <t xml:space="preserve">SUSPENDIDO</t>
        </is>
      </c>
      <c r="E1515" s="1" t="n">
        <v>2</v>
      </c>
      <c r="F1515" s="1" t="n">
        <v>8</v>
      </c>
      <c r="G1515" s="1" t="n">
        <f aca="false">IF(E1515=0,"",IF(D1515="VIGENTE",1,0))</f>
        <v>0</v>
      </c>
      <c r="H1515" s="1" t="inlineStr">
        <is>
          <t xml:space="preserve">B observado / C cálculo</t>
        </is>
      </c>
    </row>
    <row r="1516" customFormat="false" ht="15" hidden="false" customHeight="true" outlineLevel="0" collapsed="false">
      <c r="A1516" s="1" t="n">
        <v>2025</v>
      </c>
      <c r="B1516" s="1" t="n">
        <v>2</v>
      </c>
      <c r="C1516" s="1" t="inlineStr">
        <is>
          <t xml:space="preserve">TAMD20241</t>
        </is>
      </c>
      <c r="D1516" s="1" t="inlineStr">
        <is>
          <t xml:space="preserve">TITULADO</t>
        </is>
      </c>
      <c r="E1516" s="1" t="n">
        <v>6</v>
      </c>
      <c r="F1516" s="1" t="n">
        <v>24</v>
      </c>
      <c r="G1516" s="1" t="n">
        <f aca="false">IF(E1516=0,"",IF(D1516="VIGENTE",1,0))</f>
        <v>0</v>
      </c>
      <c r="H1516" s="1" t="inlineStr">
        <is>
          <t xml:space="preserve">B observado / C cálculo</t>
        </is>
      </c>
    </row>
    <row r="1517" customFormat="false" ht="15" hidden="false" customHeight="true" outlineLevel="0" collapsed="false">
      <c r="A1517" s="1" t="n">
        <v>2025</v>
      </c>
      <c r="B1517" s="1" t="n">
        <v>2</v>
      </c>
      <c r="C1517" s="1" t="inlineStr">
        <is>
          <t xml:space="preserve">TAMD20241</t>
        </is>
      </c>
      <c r="D1517" s="1" t="inlineStr">
        <is>
          <t xml:space="preserve">VIGENTE</t>
        </is>
      </c>
      <c r="E1517" s="1" t="n">
        <v>35</v>
      </c>
      <c r="F1517" s="1" t="n">
        <v>131</v>
      </c>
      <c r="G1517" s="1" t="n">
        <f aca="false">IF(E1517=0,"",IF(D1517="VIGENTE",1,0))</f>
        <v>1</v>
      </c>
      <c r="H1517" s="1" t="inlineStr">
        <is>
          <t xml:space="preserve">B observado / C cálculo</t>
        </is>
      </c>
    </row>
    <row r="1518" customFormat="false" ht="15" hidden="false" customHeight="true" outlineLevel="0" collapsed="false">
      <c r="A1518" s="1" t="n">
        <v>2025</v>
      </c>
      <c r="B1518" s="1" t="n">
        <v>2</v>
      </c>
      <c r="C1518" s="1" t="inlineStr">
        <is>
          <t xml:space="preserve">TCDA20251</t>
        </is>
      </c>
      <c r="D1518" s="1" t="inlineStr">
        <is>
          <t xml:space="preserve">ELIMINADO</t>
        </is>
      </c>
      <c r="E1518" s="1" t="n">
        <v>1</v>
      </c>
      <c r="F1518" s="1" t="n">
        <v>2</v>
      </c>
      <c r="G1518" s="1" t="n">
        <f aca="false">IF(E1518=0,"",IF(D1518="VIGENTE",1,0))</f>
        <v>0</v>
      </c>
      <c r="H1518" s="1" t="inlineStr">
        <is>
          <t xml:space="preserve">B observado / C cálculo</t>
        </is>
      </c>
    </row>
    <row r="1519" customFormat="false" ht="15" hidden="false" customHeight="true" outlineLevel="0" collapsed="false">
      <c r="A1519" s="1" t="n">
        <v>2025</v>
      </c>
      <c r="B1519" s="1" t="n">
        <v>2</v>
      </c>
      <c r="C1519" s="1" t="inlineStr">
        <is>
          <t xml:space="preserve">TCDA20251</t>
        </is>
      </c>
      <c r="D1519" s="1" t="inlineStr">
        <is>
          <t xml:space="preserve">SUSPENDIDO</t>
        </is>
      </c>
      <c r="E1519" s="1" t="n">
        <v>2</v>
      </c>
      <c r="F1519" s="1" t="n">
        <v>3</v>
      </c>
      <c r="G1519" s="1" t="n">
        <f aca="false">IF(E1519=0,"",IF(D1519="VIGENTE",1,0))</f>
        <v>0</v>
      </c>
      <c r="H1519" s="1" t="inlineStr">
        <is>
          <t xml:space="preserve">B observado / C cálculo</t>
        </is>
      </c>
    </row>
    <row r="1520" customFormat="false" ht="15" hidden="false" customHeight="true" outlineLevel="0" collapsed="false">
      <c r="A1520" s="1" t="n">
        <v>2025</v>
      </c>
      <c r="B1520" s="1" t="n">
        <v>2</v>
      </c>
      <c r="C1520" s="1" t="inlineStr">
        <is>
          <t xml:space="preserve">TCDA20251</t>
        </is>
      </c>
      <c r="D1520" s="1" t="inlineStr">
        <is>
          <t xml:space="preserve">VIGENTE</t>
        </is>
      </c>
      <c r="E1520" s="1" t="n">
        <v>11</v>
      </c>
      <c r="F1520" s="1" t="n">
        <v>15</v>
      </c>
      <c r="G1520" s="1" t="n">
        <f aca="false">IF(E1520=0,"",IF(D1520="VIGENTE",1,0))</f>
        <v>1</v>
      </c>
      <c r="H1520" s="1" t="inlineStr">
        <is>
          <t xml:space="preserve">B observado / C cálculo</t>
        </is>
      </c>
    </row>
    <row r="1521" customFormat="false" ht="15" hidden="false" customHeight="true" outlineLevel="0" collapsed="false">
      <c r="A1521" s="1" t="n">
        <v>2025</v>
      </c>
      <c r="B1521" s="1" t="n">
        <v>2</v>
      </c>
      <c r="C1521" s="1" t="inlineStr">
        <is>
          <t xml:space="preserve">TCIB20241</t>
        </is>
      </c>
      <c r="D1521" s="1" t="inlineStr">
        <is>
          <t xml:space="preserve">ELIMINADO</t>
        </is>
      </c>
      <c r="E1521" s="1" t="n">
        <v>22</v>
      </c>
      <c r="F1521" s="1" t="n">
        <v>46</v>
      </c>
      <c r="G1521" s="1" t="n">
        <f aca="false">IF(E1521=0,"",IF(D1521="VIGENTE",1,0))</f>
        <v>0</v>
      </c>
      <c r="H1521" s="1" t="inlineStr">
        <is>
          <t xml:space="preserve">B observado / C cálculo</t>
        </is>
      </c>
    </row>
    <row r="1522" customFormat="false" ht="15" hidden="false" customHeight="true" outlineLevel="0" collapsed="false">
      <c r="A1522" s="1" t="n">
        <v>2025</v>
      </c>
      <c r="B1522" s="1" t="n">
        <v>2</v>
      </c>
      <c r="C1522" s="1" t="inlineStr">
        <is>
          <t xml:space="preserve">TCIB20241</t>
        </is>
      </c>
      <c r="D1522" s="1" t="inlineStr">
        <is>
          <t xml:space="preserve">SUSPENDIDO</t>
        </is>
      </c>
      <c r="E1522" s="1" t="n">
        <v>1</v>
      </c>
      <c r="F1522" s="1" t="n">
        <v>3</v>
      </c>
      <c r="G1522" s="1" t="n">
        <f aca="false">IF(E1522=0,"",IF(D1522="VIGENTE",1,0))</f>
        <v>0</v>
      </c>
      <c r="H1522" s="1" t="inlineStr">
        <is>
          <t xml:space="preserve">B observado / C cálculo</t>
        </is>
      </c>
    </row>
    <row r="1523" customFormat="false" ht="15" hidden="false" customHeight="true" outlineLevel="0" collapsed="false">
      <c r="A1523" s="1" t="n">
        <v>2025</v>
      </c>
      <c r="B1523" s="1" t="n">
        <v>2</v>
      </c>
      <c r="C1523" s="1" t="inlineStr">
        <is>
          <t xml:space="preserve">TCIB20241</t>
        </is>
      </c>
      <c r="D1523" s="1" t="inlineStr">
        <is>
          <t xml:space="preserve">TITULADO</t>
        </is>
      </c>
      <c r="E1523" s="1" t="n">
        <v>24</v>
      </c>
      <c r="F1523" s="1" t="n">
        <v>38</v>
      </c>
      <c r="G1523" s="1" t="n">
        <f aca="false">IF(E1523=0,"",IF(D1523="VIGENTE",1,0))</f>
        <v>0</v>
      </c>
      <c r="H1523" s="1" t="inlineStr">
        <is>
          <t xml:space="preserve">B observado / C cálculo</t>
        </is>
      </c>
    </row>
    <row r="1524" customFormat="false" ht="15" hidden="false" customHeight="true" outlineLevel="0" collapsed="false">
      <c r="A1524" s="1" t="n">
        <v>2025</v>
      </c>
      <c r="B1524" s="1" t="n">
        <v>2</v>
      </c>
      <c r="C1524" s="1" t="inlineStr">
        <is>
          <t xml:space="preserve">TCIB20241</t>
        </is>
      </c>
      <c r="D1524" s="1" t="inlineStr">
        <is>
          <t xml:space="preserve">VIGENTE</t>
        </is>
      </c>
      <c r="E1524" s="1" t="n">
        <v>55</v>
      </c>
      <c r="F1524" s="1" t="n">
        <v>168</v>
      </c>
      <c r="G1524" s="1" t="n">
        <f aca="false">IF(E1524=0,"",IF(D1524="VIGENTE",1,0))</f>
        <v>1</v>
      </c>
      <c r="H1524" s="1" t="inlineStr">
        <is>
          <t xml:space="preserve">B observado / C cálculo</t>
        </is>
      </c>
    </row>
    <row r="1525" customFormat="false" ht="15" hidden="false" customHeight="true" outlineLevel="0" collapsed="false">
      <c r="A1525" s="1" t="n">
        <v>2025</v>
      </c>
      <c r="B1525" s="1" t="n">
        <v>2</v>
      </c>
      <c r="C1525" s="1" t="inlineStr">
        <is>
          <t xml:space="preserve">TCRE20241</t>
        </is>
      </c>
      <c r="D1525" s="1" t="inlineStr">
        <is>
          <t xml:space="preserve">ELIMINADO</t>
        </is>
      </c>
      <c r="E1525" s="1" t="n">
        <v>2</v>
      </c>
      <c r="F1525" s="1" t="n">
        <v>4</v>
      </c>
      <c r="G1525" s="1" t="n">
        <f aca="false">IF(E1525=0,"",IF(D1525="VIGENTE",1,0))</f>
        <v>0</v>
      </c>
      <c r="H1525" s="1" t="inlineStr">
        <is>
          <t xml:space="preserve">B observado / C cálculo</t>
        </is>
      </c>
    </row>
    <row r="1526" customFormat="false" ht="15" hidden="false" customHeight="true" outlineLevel="0" collapsed="false">
      <c r="A1526" s="1" t="n">
        <v>2025</v>
      </c>
      <c r="B1526" s="1" t="n">
        <v>2</v>
      </c>
      <c r="C1526" s="1" t="inlineStr">
        <is>
          <t xml:space="preserve">TCRE20241</t>
        </is>
      </c>
      <c r="D1526" s="1" t="inlineStr">
        <is>
          <t xml:space="preserve">SUSPENDIDO</t>
        </is>
      </c>
      <c r="E1526" s="1" t="n">
        <v>1</v>
      </c>
      <c r="F1526" s="1" t="n">
        <v>1</v>
      </c>
      <c r="G1526" s="1" t="n">
        <f aca="false">IF(E1526=0,"",IF(D1526="VIGENTE",1,0))</f>
        <v>0</v>
      </c>
      <c r="H1526" s="1" t="inlineStr">
        <is>
          <t xml:space="preserve">B observado / C cálculo</t>
        </is>
      </c>
    </row>
    <row r="1527" customFormat="false" ht="15" hidden="false" customHeight="true" outlineLevel="0" collapsed="false">
      <c r="A1527" s="1" t="n">
        <v>2025</v>
      </c>
      <c r="B1527" s="1" t="n">
        <v>2</v>
      </c>
      <c r="C1527" s="1" t="inlineStr">
        <is>
          <t xml:space="preserve">TCRE20241</t>
        </is>
      </c>
      <c r="D1527" s="1" t="inlineStr">
        <is>
          <t xml:space="preserve">TITULADO</t>
        </is>
      </c>
      <c r="E1527" s="1" t="n">
        <v>11</v>
      </c>
      <c r="F1527" s="1" t="n">
        <v>25</v>
      </c>
      <c r="G1527" s="1" t="n">
        <f aca="false">IF(E1527=0,"",IF(D1527="VIGENTE",1,0))</f>
        <v>0</v>
      </c>
      <c r="H1527" s="1" t="inlineStr">
        <is>
          <t xml:space="preserve">B observado / C cálculo</t>
        </is>
      </c>
    </row>
    <row r="1528" customFormat="false" ht="15" hidden="false" customHeight="true" outlineLevel="0" collapsed="false">
      <c r="A1528" s="1" t="n">
        <v>2025</v>
      </c>
      <c r="B1528" s="1" t="n">
        <v>2</v>
      </c>
      <c r="C1528" s="1" t="inlineStr">
        <is>
          <t xml:space="preserve">TCRE20241</t>
        </is>
      </c>
      <c r="D1528" s="1" t="inlineStr">
        <is>
          <t xml:space="preserve">VIGENTE</t>
        </is>
      </c>
      <c r="E1528" s="1" t="n">
        <v>26</v>
      </c>
      <c r="F1528" s="1" t="n">
        <v>39</v>
      </c>
      <c r="G1528" s="1" t="n">
        <f aca="false">IF(E1528=0,"",IF(D1528="VIGENTE",1,0))</f>
        <v>1</v>
      </c>
      <c r="H1528" s="1" t="inlineStr">
        <is>
          <t xml:space="preserve">B observado / C cálculo</t>
        </is>
      </c>
    </row>
    <row r="1529" customFormat="false" ht="15" hidden="false" customHeight="true" outlineLevel="0" collapsed="false">
      <c r="A1529" s="1" t="n">
        <v>2025</v>
      </c>
      <c r="B1529" s="1" t="n">
        <v>2</v>
      </c>
      <c r="C1529" s="1" t="inlineStr">
        <is>
          <t xml:space="preserve">TENS20251</t>
        </is>
      </c>
      <c r="D1529" s="1" t="inlineStr">
        <is>
          <t xml:space="preserve">ELIMINADO</t>
        </is>
      </c>
      <c r="E1529" s="1" t="n">
        <v>6</v>
      </c>
      <c r="F1529" s="1" t="n">
        <v>9</v>
      </c>
      <c r="G1529" s="1" t="n">
        <f aca="false">IF(E1529=0,"",IF(D1529="VIGENTE",1,0))</f>
        <v>0</v>
      </c>
      <c r="H1529" s="1" t="inlineStr">
        <is>
          <t xml:space="preserve">B observado / C cálculo</t>
        </is>
      </c>
    </row>
    <row r="1530" customFormat="false" ht="15" hidden="false" customHeight="true" outlineLevel="0" collapsed="false">
      <c r="A1530" s="1" t="n">
        <v>2025</v>
      </c>
      <c r="B1530" s="1" t="n">
        <v>2</v>
      </c>
      <c r="C1530" s="1" t="inlineStr">
        <is>
          <t xml:space="preserve">TENS20251</t>
        </is>
      </c>
      <c r="D1530" s="1" t="inlineStr">
        <is>
          <t xml:space="preserve">SUSPENDIDO</t>
        </is>
      </c>
      <c r="E1530" s="1" t="n">
        <v>10</v>
      </c>
      <c r="F1530" s="1" t="n">
        <v>14</v>
      </c>
      <c r="G1530" s="1" t="n">
        <f aca="false">IF(E1530=0,"",IF(D1530="VIGENTE",1,0))</f>
        <v>0</v>
      </c>
      <c r="H1530" s="1" t="inlineStr">
        <is>
          <t xml:space="preserve">B observado / C cálculo</t>
        </is>
      </c>
    </row>
    <row r="1531" customFormat="false" ht="15" hidden="false" customHeight="true" outlineLevel="0" collapsed="false">
      <c r="A1531" s="1" t="n">
        <v>2025</v>
      </c>
      <c r="B1531" s="1" t="n">
        <v>2</v>
      </c>
      <c r="C1531" s="1" t="inlineStr">
        <is>
          <t xml:space="preserve">TENS20251</t>
        </is>
      </c>
      <c r="D1531" s="1" t="inlineStr">
        <is>
          <t xml:space="preserve">VIGENTE</t>
        </is>
      </c>
      <c r="E1531" s="1" t="n">
        <v>53</v>
      </c>
      <c r="F1531" s="1" t="n">
        <v>69</v>
      </c>
      <c r="G1531" s="1" t="n">
        <f aca="false">IF(E1531=0,"",IF(D1531="VIGENTE",1,0))</f>
        <v>1</v>
      </c>
      <c r="H1531" s="1" t="inlineStr">
        <is>
          <t xml:space="preserve">B observado / C cálculo</t>
        </is>
      </c>
    </row>
    <row r="1532" customFormat="false" ht="15" hidden="false" customHeight="true" outlineLevel="0" collapsed="false">
      <c r="A1532" s="1" t="n">
        <v>2025</v>
      </c>
      <c r="B1532" s="1" t="n">
        <v>2</v>
      </c>
      <c r="C1532" s="1" t="inlineStr">
        <is>
          <t xml:space="preserve">TLOG20241</t>
        </is>
      </c>
      <c r="D1532" s="1" t="inlineStr">
        <is>
          <t xml:space="preserve">ELIMINADO</t>
        </is>
      </c>
      <c r="E1532" s="1" t="n">
        <v>3</v>
      </c>
      <c r="F1532" s="1" t="n">
        <v>5</v>
      </c>
      <c r="G1532" s="1" t="n">
        <f aca="false">IF(E1532=0,"",IF(D1532="VIGENTE",1,0))</f>
        <v>0</v>
      </c>
      <c r="H1532" s="1" t="inlineStr">
        <is>
          <t xml:space="preserve">B observado / C cálculo</t>
        </is>
      </c>
    </row>
    <row r="1533" customFormat="false" ht="15" hidden="false" customHeight="true" outlineLevel="0" collapsed="false">
      <c r="A1533" s="1" t="n">
        <v>2025</v>
      </c>
      <c r="B1533" s="1" t="n">
        <v>2</v>
      </c>
      <c r="C1533" s="1" t="inlineStr">
        <is>
          <t xml:space="preserve">TLOG20241</t>
        </is>
      </c>
      <c r="D1533" s="1" t="inlineStr">
        <is>
          <t xml:space="preserve">SUSPENDIDO</t>
        </is>
      </c>
      <c r="E1533" s="1" t="n">
        <v>3</v>
      </c>
      <c r="F1533" s="1" t="n">
        <v>5</v>
      </c>
      <c r="G1533" s="1" t="n">
        <f aca="false">IF(E1533=0,"",IF(D1533="VIGENTE",1,0))</f>
        <v>0</v>
      </c>
      <c r="H1533" s="1" t="inlineStr">
        <is>
          <t xml:space="preserve">B observado / C cálculo</t>
        </is>
      </c>
    </row>
    <row r="1534" customFormat="false" ht="15" hidden="false" customHeight="true" outlineLevel="0" collapsed="false">
      <c r="A1534" s="1" t="n">
        <v>2025</v>
      </c>
      <c r="B1534" s="1" t="n">
        <v>2</v>
      </c>
      <c r="C1534" s="1" t="inlineStr">
        <is>
          <t xml:space="preserve">TLOG20241</t>
        </is>
      </c>
      <c r="D1534" s="1" t="inlineStr">
        <is>
          <t xml:space="preserve">TITULADO</t>
        </is>
      </c>
      <c r="E1534" s="1" t="n">
        <v>7</v>
      </c>
      <c r="F1534" s="1" t="n">
        <v>8</v>
      </c>
      <c r="G1534" s="1" t="n">
        <f aca="false">IF(E1534=0,"",IF(D1534="VIGENTE",1,0))</f>
        <v>0</v>
      </c>
      <c r="H1534" s="1" t="inlineStr">
        <is>
          <t xml:space="preserve">B observado / C cálculo</t>
        </is>
      </c>
    </row>
    <row r="1535" customFormat="false" ht="15" hidden="false" customHeight="true" outlineLevel="0" collapsed="false">
      <c r="A1535" s="1" t="n">
        <v>2025</v>
      </c>
      <c r="B1535" s="1" t="n">
        <v>2</v>
      </c>
      <c r="C1535" s="1" t="inlineStr">
        <is>
          <t xml:space="preserve">TLOG20241</t>
        </is>
      </c>
      <c r="D1535" s="1" t="inlineStr">
        <is>
          <t xml:space="preserve">VIGENTE</t>
        </is>
      </c>
      <c r="E1535" s="1" t="n">
        <v>48</v>
      </c>
      <c r="F1535" s="1" t="n">
        <v>79</v>
      </c>
      <c r="G1535" s="1" t="n">
        <f aca="false">IF(E1535=0,"",IF(D1535="VIGENTE",1,0))</f>
        <v>1</v>
      </c>
      <c r="H1535" s="1" t="inlineStr">
        <is>
          <t xml:space="preserve">B observado / C cálculo</t>
        </is>
      </c>
    </row>
    <row r="1536" customFormat="false" ht="15" hidden="false" customHeight="true" outlineLevel="0" collapsed="false">
      <c r="A1536" s="1" t="n">
        <v>2025</v>
      </c>
      <c r="B1536" s="1" t="n">
        <v>2</v>
      </c>
      <c r="C1536" s="1" t="inlineStr">
        <is>
          <t xml:space="preserve">TPAS20241</t>
        </is>
      </c>
      <c r="D1536" s="1" t="inlineStr">
        <is>
          <t xml:space="preserve">ELIMINADO</t>
        </is>
      </c>
      <c r="E1536" s="1" t="n">
        <v>23</v>
      </c>
      <c r="F1536" s="1" t="n">
        <v>34</v>
      </c>
      <c r="G1536" s="1" t="n">
        <f aca="false">IF(E1536=0,"",IF(D1536="VIGENTE",1,0))</f>
        <v>0</v>
      </c>
      <c r="H1536" s="1" t="inlineStr">
        <is>
          <t xml:space="preserve">B observado / C cálculo</t>
        </is>
      </c>
    </row>
    <row r="1537" customFormat="false" ht="15" hidden="false" customHeight="true" outlineLevel="0" collapsed="false">
      <c r="A1537" s="1" t="n">
        <v>2025</v>
      </c>
      <c r="B1537" s="1" t="n">
        <v>2</v>
      </c>
      <c r="C1537" s="1" t="inlineStr">
        <is>
          <t xml:space="preserve">TPAS20241</t>
        </is>
      </c>
      <c r="D1537" s="1" t="inlineStr">
        <is>
          <t xml:space="preserve">SUSPENDIDO</t>
        </is>
      </c>
      <c r="E1537" s="1" t="n">
        <v>9</v>
      </c>
      <c r="F1537" s="1" t="n">
        <v>13</v>
      </c>
      <c r="G1537" s="1" t="n">
        <f aca="false">IF(E1537=0,"",IF(D1537="VIGENTE",1,0))</f>
        <v>0</v>
      </c>
      <c r="H1537" s="1" t="inlineStr">
        <is>
          <t xml:space="preserve">B observado / C cálculo</t>
        </is>
      </c>
    </row>
    <row r="1538" customFormat="false" ht="15" hidden="false" customHeight="true" outlineLevel="0" collapsed="false">
      <c r="A1538" s="1" t="n">
        <v>2025</v>
      </c>
      <c r="B1538" s="1" t="n">
        <v>2</v>
      </c>
      <c r="C1538" s="1" t="inlineStr">
        <is>
          <t xml:space="preserve">TPAS20241</t>
        </is>
      </c>
      <c r="D1538" s="1" t="inlineStr">
        <is>
          <t xml:space="preserve">TITULADO</t>
        </is>
      </c>
      <c r="E1538" s="1" t="n">
        <v>73</v>
      </c>
      <c r="F1538" s="1" t="n">
        <v>97</v>
      </c>
      <c r="G1538" s="1" t="n">
        <f aca="false">IF(E1538=0,"",IF(D1538="VIGENTE",1,0))</f>
        <v>0</v>
      </c>
      <c r="H1538" s="1" t="inlineStr">
        <is>
          <t xml:space="preserve">B observado / C cálculo</t>
        </is>
      </c>
    </row>
    <row r="1539" customFormat="false" ht="15" hidden="false" customHeight="true" outlineLevel="0" collapsed="false">
      <c r="A1539" s="1" t="n">
        <v>2025</v>
      </c>
      <c r="B1539" s="1" t="n">
        <v>2</v>
      </c>
      <c r="C1539" s="1" t="inlineStr">
        <is>
          <t xml:space="preserve">TPAS20241</t>
        </is>
      </c>
      <c r="D1539" s="1" t="inlineStr">
        <is>
          <t xml:space="preserve">VIGENTE</t>
        </is>
      </c>
      <c r="E1539" s="1" t="n">
        <v>115</v>
      </c>
      <c r="F1539" s="1" t="n">
        <v>179</v>
      </c>
      <c r="G1539" s="1" t="n">
        <f aca="false">IF(E1539=0,"",IF(D1539="VIGENTE",1,0))</f>
        <v>1</v>
      </c>
      <c r="H1539" s="1" t="inlineStr">
        <is>
          <t xml:space="preserve">B observado / C cálculo</t>
        </is>
      </c>
    </row>
    <row r="1540" customFormat="false" ht="15" hidden="false" customHeight="true" outlineLevel="0" collapsed="false">
      <c r="A1540" s="1" t="n">
        <v>2025</v>
      </c>
      <c r="B1540" s="1" t="n">
        <v>2</v>
      </c>
      <c r="C1540" s="1" t="inlineStr">
        <is>
          <t xml:space="preserve">TTMREOL20231</t>
        </is>
      </c>
      <c r="D1540" s="1" t="inlineStr">
        <is>
          <t xml:space="preserve">TITULADO</t>
        </is>
      </c>
      <c r="E1540" s="1" t="n">
        <v>1</v>
      </c>
      <c r="F1540" s="1" t="n">
        <v>1</v>
      </c>
      <c r="G1540" s="1" t="n">
        <f aca="false">IF(E1540=0,"",IF(D1540="VIGENTE",1,0))</f>
        <v>0</v>
      </c>
      <c r="H1540" s="1" t="inlineStr">
        <is>
          <t xml:space="preserve">B observado / C cálculo</t>
        </is>
      </c>
    </row>
    <row r="1541" customFormat="false" ht="15" hidden="false" customHeight="true" outlineLevel="0" collapsed="false">
      <c r="A1541" s="1" t="n">
        <v>2025</v>
      </c>
      <c r="B1541" s="1" t="n">
        <v>3</v>
      </c>
      <c r="C1541" s="1" t="inlineStr">
        <is>
          <t xml:space="preserve">ADMP20251</t>
        </is>
      </c>
      <c r="D1541" s="1" t="inlineStr">
        <is>
          <t xml:space="preserve">ELIMINADO</t>
        </is>
      </c>
      <c r="E1541" s="1" t="n">
        <v>4</v>
      </c>
      <c r="F1541" s="1" t="n">
        <v>20</v>
      </c>
      <c r="G1541" s="1" t="n">
        <f aca="false">IF(E1541=0,"",IF(D1541="VIGENTE",1,0))</f>
        <v>0</v>
      </c>
      <c r="H1541" s="1" t="inlineStr">
        <is>
          <t xml:space="preserve">B observado / C cálculo</t>
        </is>
      </c>
    </row>
    <row r="1542" customFormat="false" ht="15" hidden="false" customHeight="true" outlineLevel="0" collapsed="false">
      <c r="A1542" s="1" t="n">
        <v>2025</v>
      </c>
      <c r="B1542" s="1" t="n">
        <v>3</v>
      </c>
      <c r="C1542" s="1" t="inlineStr">
        <is>
          <t xml:space="preserve">ADMP20251</t>
        </is>
      </c>
      <c r="D1542" s="1" t="inlineStr">
        <is>
          <t xml:space="preserve">SUSPENDIDO</t>
        </is>
      </c>
      <c r="E1542" s="1" t="n">
        <v>2</v>
      </c>
      <c r="F1542" s="1" t="n">
        <v>9</v>
      </c>
      <c r="G1542" s="1" t="n">
        <f aca="false">IF(E1542=0,"",IF(D1542="VIGENTE",1,0))</f>
        <v>0</v>
      </c>
      <c r="H1542" s="1" t="inlineStr">
        <is>
          <t xml:space="preserve">B observado / C cálculo</t>
        </is>
      </c>
    </row>
    <row r="1543" customFormat="false" ht="15" hidden="false" customHeight="true" outlineLevel="0" collapsed="false">
      <c r="A1543" s="1" t="n">
        <v>2025</v>
      </c>
      <c r="B1543" s="1" t="n">
        <v>3</v>
      </c>
      <c r="C1543" s="1" t="inlineStr">
        <is>
          <t xml:space="preserve">ADMP20251</t>
        </is>
      </c>
      <c r="D1543" s="1" t="inlineStr">
        <is>
          <t xml:space="preserve">VIGENTE</t>
        </is>
      </c>
      <c r="E1543" s="1" t="n">
        <v>43</v>
      </c>
      <c r="F1543" s="1" t="n">
        <v>197</v>
      </c>
      <c r="G1543" s="1" t="n">
        <f aca="false">IF(E1543=0,"",IF(D1543="VIGENTE",1,0))</f>
        <v>1</v>
      </c>
      <c r="H1543" s="1" t="inlineStr">
        <is>
          <t xml:space="preserve">B observado / C cálculo</t>
        </is>
      </c>
    </row>
    <row r="1544" customFormat="false" ht="15" hidden="false" customHeight="true" outlineLevel="0" collapsed="false">
      <c r="A1544" s="1" t="n">
        <v>2025</v>
      </c>
      <c r="B1544" s="1" t="n">
        <v>3</v>
      </c>
      <c r="C1544" s="1" t="inlineStr">
        <is>
          <t xml:space="preserve">AUDT20251</t>
        </is>
      </c>
      <c r="D1544" s="1" t="inlineStr">
        <is>
          <t xml:space="preserve">ELIMINADO</t>
        </is>
      </c>
      <c r="E1544" s="1" t="n">
        <v>2</v>
      </c>
      <c r="F1544" s="1" t="n">
        <v>8</v>
      </c>
      <c r="G1544" s="1" t="n">
        <f aca="false">IF(E1544=0,"",IF(D1544="VIGENTE",1,0))</f>
        <v>0</v>
      </c>
      <c r="H1544" s="1" t="inlineStr">
        <is>
          <t xml:space="preserve">B observado / C cálculo</t>
        </is>
      </c>
    </row>
    <row r="1545" customFormat="false" ht="15" hidden="false" customHeight="true" outlineLevel="0" collapsed="false">
      <c r="A1545" s="1" t="n">
        <v>2025</v>
      </c>
      <c r="B1545" s="1" t="n">
        <v>3</v>
      </c>
      <c r="C1545" s="1" t="inlineStr">
        <is>
          <t xml:space="preserve">AUDT20251</t>
        </is>
      </c>
      <c r="D1545" s="1" t="inlineStr">
        <is>
          <t xml:space="preserve">VIGENTE</t>
        </is>
      </c>
      <c r="E1545" s="1" t="n">
        <v>30</v>
      </c>
      <c r="F1545" s="1" t="n">
        <v>110</v>
      </c>
      <c r="G1545" s="1" t="n">
        <f aca="false">IF(E1545=0,"",IF(D1545="VIGENTE",1,0))</f>
        <v>1</v>
      </c>
      <c r="H1545" s="1" t="inlineStr">
        <is>
          <t xml:space="preserve">B observado / C cálculo</t>
        </is>
      </c>
    </row>
    <row r="1546" customFormat="false" ht="15" hidden="false" customHeight="true" outlineLevel="0" collapsed="false">
      <c r="A1546" s="1" t="n">
        <v>2025</v>
      </c>
      <c r="B1546" s="1" t="n">
        <v>3</v>
      </c>
      <c r="C1546" s="1" t="inlineStr">
        <is>
          <t xml:space="preserve">CIADM20241</t>
        </is>
      </c>
      <c r="D1546" s="1" t="inlineStr">
        <is>
          <t xml:space="preserve">VIGENTE</t>
        </is>
      </c>
      <c r="E1546" s="1" t="n">
        <v>11</v>
      </c>
      <c r="F1546" s="1" t="n">
        <v>48</v>
      </c>
      <c r="G1546" s="1" t="n">
        <f aca="false">IF(E1546=0,"",IF(D1546="VIGENTE",1,0))</f>
        <v>1</v>
      </c>
      <c r="H1546" s="1" t="inlineStr">
        <is>
          <t xml:space="preserve">B observado / C cálculo</t>
        </is>
      </c>
    </row>
    <row r="1547" customFormat="false" ht="15" hidden="false" customHeight="true" outlineLevel="0" collapsed="false">
      <c r="A1547" s="1" t="n">
        <v>2025</v>
      </c>
      <c r="B1547" s="1" t="n">
        <v>3</v>
      </c>
      <c r="C1547" s="1" t="inlineStr">
        <is>
          <t xml:space="preserve">CICIB20241</t>
        </is>
      </c>
      <c r="D1547" s="1" t="inlineStr">
        <is>
          <t xml:space="preserve">TITULADO</t>
        </is>
      </c>
      <c r="E1547" s="1" t="n">
        <v>3</v>
      </c>
      <c r="F1547" s="1" t="n">
        <v>3</v>
      </c>
      <c r="G1547" s="1" t="n">
        <f aca="false">IF(E1547=0,"",IF(D1547="VIGENTE",1,0))</f>
        <v>0</v>
      </c>
      <c r="H1547" s="1" t="inlineStr">
        <is>
          <t xml:space="preserve">B observado / C cálculo</t>
        </is>
      </c>
    </row>
    <row r="1548" customFormat="false" ht="15" hidden="false" customHeight="true" outlineLevel="0" collapsed="false">
      <c r="A1548" s="1" t="n">
        <v>2025</v>
      </c>
      <c r="B1548" s="1" t="n">
        <v>3</v>
      </c>
      <c r="C1548" s="1" t="inlineStr">
        <is>
          <t xml:space="preserve">CICIB20241</t>
        </is>
      </c>
      <c r="D1548" s="1" t="inlineStr">
        <is>
          <t xml:space="preserve">VIGENTE</t>
        </is>
      </c>
      <c r="E1548" s="1" t="n">
        <v>45</v>
      </c>
      <c r="F1548" s="1" t="n">
        <v>49</v>
      </c>
      <c r="G1548" s="1" t="n">
        <f aca="false">IF(E1548=0,"",IF(D1548="VIGENTE",1,0))</f>
        <v>1</v>
      </c>
      <c r="H1548" s="1" t="inlineStr">
        <is>
          <t xml:space="preserve">B observado / C cálculo</t>
        </is>
      </c>
    </row>
    <row r="1549" customFormat="false" ht="15" hidden="false" customHeight="true" outlineLevel="0" collapsed="false">
      <c r="A1549" s="1" t="n">
        <v>2025</v>
      </c>
      <c r="B1549" s="1" t="n">
        <v>3</v>
      </c>
      <c r="C1549" s="1" t="inlineStr">
        <is>
          <t xml:space="preserve">CICRE20241</t>
        </is>
      </c>
      <c r="D1549" s="1" t="inlineStr">
        <is>
          <t xml:space="preserve">ELIMINADO</t>
        </is>
      </c>
      <c r="E1549" s="1" t="n">
        <v>4</v>
      </c>
      <c r="F1549" s="1" t="n">
        <v>9</v>
      </c>
      <c r="G1549" s="1" t="n">
        <f aca="false">IF(E1549=0,"",IF(D1549="VIGENTE",1,0))</f>
        <v>0</v>
      </c>
      <c r="H1549" s="1" t="inlineStr">
        <is>
          <t xml:space="preserve">B observado / C cálculo</t>
        </is>
      </c>
    </row>
    <row r="1550" customFormat="false" ht="15" hidden="false" customHeight="true" outlineLevel="0" collapsed="false">
      <c r="A1550" s="1" t="n">
        <v>2025</v>
      </c>
      <c r="B1550" s="1" t="n">
        <v>3</v>
      </c>
      <c r="C1550" s="1" t="inlineStr">
        <is>
          <t xml:space="preserve">CICRE20241</t>
        </is>
      </c>
      <c r="D1550" s="1" t="inlineStr">
        <is>
          <t xml:space="preserve">SUSPENDIDO</t>
        </is>
      </c>
      <c r="E1550" s="1" t="n">
        <v>1</v>
      </c>
      <c r="F1550" s="1" t="n">
        <v>1</v>
      </c>
      <c r="G1550" s="1" t="n">
        <f aca="false">IF(E1550=0,"",IF(D1550="VIGENTE",1,0))</f>
        <v>0</v>
      </c>
      <c r="H1550" s="1" t="inlineStr">
        <is>
          <t xml:space="preserve">B observado / C cálculo</t>
        </is>
      </c>
    </row>
    <row r="1551" customFormat="false" ht="15" hidden="false" customHeight="true" outlineLevel="0" collapsed="false">
      <c r="A1551" s="1" t="n">
        <v>2025</v>
      </c>
      <c r="B1551" s="1" t="n">
        <v>3</v>
      </c>
      <c r="C1551" s="1" t="inlineStr">
        <is>
          <t xml:space="preserve">CICRE20241</t>
        </is>
      </c>
      <c r="D1551" s="1" t="inlineStr">
        <is>
          <t xml:space="preserve">TITULADO</t>
        </is>
      </c>
      <c r="E1551" s="1" t="n">
        <v>2</v>
      </c>
      <c r="F1551" s="1" t="n">
        <v>2</v>
      </c>
      <c r="G1551" s="1" t="n">
        <f aca="false">IF(E1551=0,"",IF(D1551="VIGENTE",1,0))</f>
        <v>0</v>
      </c>
      <c r="H1551" s="1" t="inlineStr">
        <is>
          <t xml:space="preserve">B observado / C cálculo</t>
        </is>
      </c>
    </row>
    <row r="1552" customFormat="false" ht="15" hidden="false" customHeight="true" outlineLevel="0" collapsed="false">
      <c r="A1552" s="1" t="n">
        <v>2025</v>
      </c>
      <c r="B1552" s="1" t="n">
        <v>3</v>
      </c>
      <c r="C1552" s="1" t="inlineStr">
        <is>
          <t xml:space="preserve">CICRE20241</t>
        </is>
      </c>
      <c r="D1552" s="1" t="inlineStr">
        <is>
          <t xml:space="preserve">VIGENTE</t>
        </is>
      </c>
      <c r="E1552" s="1" t="n">
        <v>57</v>
      </c>
      <c r="F1552" s="1" t="n">
        <v>59</v>
      </c>
      <c r="G1552" s="1" t="n">
        <f aca="false">IF(E1552=0,"",IF(D1552="VIGENTE",1,0))</f>
        <v>1</v>
      </c>
      <c r="H1552" s="1" t="inlineStr">
        <is>
          <t xml:space="preserve">B observado / C cálculo</t>
        </is>
      </c>
    </row>
    <row r="1553" customFormat="false" ht="15" hidden="false" customHeight="true" outlineLevel="0" collapsed="false">
      <c r="A1553" s="1" t="n">
        <v>2025</v>
      </c>
      <c r="B1553" s="1" t="n">
        <v>3</v>
      </c>
      <c r="C1553" s="1" t="inlineStr">
        <is>
          <t xml:space="preserve">CIIND20251</t>
        </is>
      </c>
      <c r="D1553" s="1" t="inlineStr">
        <is>
          <t xml:space="preserve">VIGENTE</t>
        </is>
      </c>
      <c r="E1553" s="1" t="n">
        <v>22</v>
      </c>
      <c r="F1553" s="1" t="n">
        <v>27</v>
      </c>
      <c r="G1553" s="1" t="n">
        <f aca="false">IF(E1553=0,"",IF(D1553="VIGENTE",1,0))</f>
        <v>1</v>
      </c>
      <c r="H1553" s="1" t="inlineStr">
        <is>
          <t xml:space="preserve">B observado / C cálculo</t>
        </is>
      </c>
    </row>
    <row r="1554" customFormat="false" ht="15" hidden="false" customHeight="true" outlineLevel="0" collapsed="false">
      <c r="A1554" s="1" t="n">
        <v>2025</v>
      </c>
      <c r="B1554" s="1" t="n">
        <v>3</v>
      </c>
      <c r="C1554" s="1" t="inlineStr">
        <is>
          <t xml:space="preserve">CIINF20241</t>
        </is>
      </c>
      <c r="D1554" s="1" t="inlineStr">
        <is>
          <t xml:space="preserve">SUSPENDIDO</t>
        </is>
      </c>
      <c r="E1554" s="1" t="n">
        <v>1</v>
      </c>
      <c r="F1554" s="1" t="n">
        <v>1</v>
      </c>
      <c r="G1554" s="1" t="n">
        <f aca="false">IF(E1554=0,"",IF(D1554="VIGENTE",1,0))</f>
        <v>0</v>
      </c>
      <c r="H1554" s="1" t="inlineStr">
        <is>
          <t xml:space="preserve">B observado / C cálculo</t>
        </is>
      </c>
    </row>
    <row r="1555" customFormat="false" ht="15" hidden="false" customHeight="true" outlineLevel="0" collapsed="false">
      <c r="A1555" s="1" t="n">
        <v>2025</v>
      </c>
      <c r="B1555" s="1" t="n">
        <v>3</v>
      </c>
      <c r="C1555" s="1" t="inlineStr">
        <is>
          <t xml:space="preserve">CIINF20241</t>
        </is>
      </c>
      <c r="D1555" s="1" t="inlineStr">
        <is>
          <t xml:space="preserve">VIGENTE</t>
        </is>
      </c>
      <c r="E1555" s="1" t="n">
        <v>45</v>
      </c>
      <c r="F1555" s="1" t="n">
        <v>46</v>
      </c>
      <c r="G1555" s="1" t="n">
        <f aca="false">IF(E1555=0,"",IF(D1555="VIGENTE",1,0))</f>
        <v>1</v>
      </c>
      <c r="H1555" s="1" t="inlineStr">
        <is>
          <t xml:space="preserve">B observado / C cálculo</t>
        </is>
      </c>
    </row>
    <row r="1556" customFormat="false" ht="15" hidden="false" customHeight="true" outlineLevel="0" collapsed="false">
      <c r="A1556" s="1" t="n">
        <v>2025</v>
      </c>
      <c r="B1556" s="1" t="n">
        <v>3</v>
      </c>
      <c r="C1556" s="1" t="inlineStr">
        <is>
          <t xml:space="preserve">CILOG20241</t>
        </is>
      </c>
      <c r="D1556" s="1" t="inlineStr">
        <is>
          <t xml:space="preserve">VIGENTE</t>
        </is>
      </c>
      <c r="E1556" s="1" t="n">
        <v>12</v>
      </c>
      <c r="F1556" s="1" t="n">
        <v>12</v>
      </c>
      <c r="G1556" s="1" t="n">
        <f aca="false">IF(E1556=0,"",IF(D1556="VIGENTE",1,0))</f>
        <v>1</v>
      </c>
      <c r="H1556" s="1" t="inlineStr">
        <is>
          <t xml:space="preserve">B observado / C cálculo</t>
        </is>
      </c>
    </row>
    <row r="1557" customFormat="false" ht="15" hidden="false" customHeight="true" outlineLevel="0" collapsed="false">
      <c r="A1557" s="1" t="n">
        <v>2025</v>
      </c>
      <c r="B1557" s="1" t="n">
        <v>3</v>
      </c>
      <c r="C1557" s="1" t="inlineStr">
        <is>
          <t xml:space="preserve">CONG20251</t>
        </is>
      </c>
      <c r="D1557" s="1" t="inlineStr">
        <is>
          <t xml:space="preserve">ELIMINADO</t>
        </is>
      </c>
      <c r="E1557" s="1" t="n">
        <v>1</v>
      </c>
      <c r="F1557" s="1" t="n">
        <v>1</v>
      </c>
      <c r="G1557" s="1" t="n">
        <f aca="false">IF(E1557=0,"",IF(D1557="VIGENTE",1,0))</f>
        <v>0</v>
      </c>
      <c r="H1557" s="1" t="inlineStr">
        <is>
          <t xml:space="preserve">B observado / C cálculo</t>
        </is>
      </c>
    </row>
    <row r="1558" customFormat="false" ht="15" hidden="false" customHeight="true" outlineLevel="0" collapsed="false">
      <c r="A1558" s="1" t="n">
        <v>2025</v>
      </c>
      <c r="B1558" s="1" t="n">
        <v>3</v>
      </c>
      <c r="C1558" s="1" t="inlineStr">
        <is>
          <t xml:space="preserve">CONG20251</t>
        </is>
      </c>
      <c r="D1558" s="1" t="inlineStr">
        <is>
          <t xml:space="preserve">VIGENTE</t>
        </is>
      </c>
      <c r="E1558" s="1" t="n">
        <v>17</v>
      </c>
      <c r="F1558" s="1" t="n">
        <v>67</v>
      </c>
      <c r="G1558" s="1" t="n">
        <f aca="false">IF(E1558=0,"",IF(D1558="VIGENTE",1,0))</f>
        <v>1</v>
      </c>
      <c r="H1558" s="1" t="inlineStr">
        <is>
          <t xml:space="preserve">B observado / C cálculo</t>
        </is>
      </c>
    </row>
    <row r="1559" customFormat="false" ht="15" hidden="false" customHeight="true" outlineLevel="0" collapsed="false">
      <c r="A1559" s="1" t="n">
        <v>2025</v>
      </c>
      <c r="B1559" s="1" t="n">
        <v>3</v>
      </c>
      <c r="C1559" s="1" t="inlineStr">
        <is>
          <t xml:space="preserve">IADM20241</t>
        </is>
      </c>
      <c r="D1559" s="1" t="inlineStr">
        <is>
          <t xml:space="preserve">ELIMINADO</t>
        </is>
      </c>
      <c r="E1559" s="1" t="n">
        <v>7</v>
      </c>
      <c r="F1559" s="1" t="n">
        <v>23</v>
      </c>
      <c r="G1559" s="1" t="n">
        <f aca="false">IF(E1559=0,"",IF(D1559="VIGENTE",1,0))</f>
        <v>0</v>
      </c>
      <c r="H1559" s="1" t="inlineStr">
        <is>
          <t xml:space="preserve">B observado / C cálculo</t>
        </is>
      </c>
    </row>
    <row r="1560" customFormat="false" ht="15" hidden="false" customHeight="true" outlineLevel="0" collapsed="false">
      <c r="A1560" s="1" t="n">
        <v>2025</v>
      </c>
      <c r="B1560" s="1" t="n">
        <v>3</v>
      </c>
      <c r="C1560" s="1" t="inlineStr">
        <is>
          <t xml:space="preserve">IADM20241</t>
        </is>
      </c>
      <c r="D1560" s="1" t="inlineStr">
        <is>
          <t xml:space="preserve">SUSPENDIDO</t>
        </is>
      </c>
      <c r="E1560" s="1" t="n">
        <v>2</v>
      </c>
      <c r="F1560" s="1" t="n">
        <v>10</v>
      </c>
      <c r="G1560" s="1" t="n">
        <f aca="false">IF(E1560=0,"",IF(D1560="VIGENTE",1,0))</f>
        <v>0</v>
      </c>
      <c r="H1560" s="1" t="inlineStr">
        <is>
          <t xml:space="preserve">B observado / C cálculo</t>
        </is>
      </c>
    </row>
    <row r="1561" customFormat="false" ht="15" hidden="false" customHeight="true" outlineLevel="0" collapsed="false">
      <c r="A1561" s="1" t="n">
        <v>2025</v>
      </c>
      <c r="B1561" s="1" t="n">
        <v>3</v>
      </c>
      <c r="C1561" s="1" t="inlineStr">
        <is>
          <t xml:space="preserve">IADM20241</t>
        </is>
      </c>
      <c r="D1561" s="1" t="inlineStr">
        <is>
          <t xml:space="preserve">VIGENTE</t>
        </is>
      </c>
      <c r="E1561" s="1" t="n">
        <v>71</v>
      </c>
      <c r="F1561" s="1" t="n">
        <v>316</v>
      </c>
      <c r="G1561" s="1" t="n">
        <f aca="false">IF(E1561=0,"",IF(D1561="VIGENTE",1,0))</f>
        <v>1</v>
      </c>
      <c r="H1561" s="1" t="inlineStr">
        <is>
          <t xml:space="preserve">B observado / C cálculo</t>
        </is>
      </c>
    </row>
    <row r="1562" customFormat="false" ht="15" hidden="false" customHeight="true" outlineLevel="0" collapsed="false">
      <c r="A1562" s="1" t="n">
        <v>2025</v>
      </c>
      <c r="B1562" s="1" t="n">
        <v>3</v>
      </c>
      <c r="C1562" s="1" t="inlineStr">
        <is>
          <t xml:space="preserve">ICDA20251</t>
        </is>
      </c>
      <c r="D1562" s="1" t="inlineStr">
        <is>
          <t xml:space="preserve">ELIMINADO</t>
        </is>
      </c>
      <c r="E1562" s="1" t="n">
        <v>1</v>
      </c>
      <c r="F1562" s="1" t="n">
        <v>2</v>
      </c>
      <c r="G1562" s="1" t="n">
        <f aca="false">IF(E1562=0,"",IF(D1562="VIGENTE",1,0))</f>
        <v>0</v>
      </c>
      <c r="H1562" s="1" t="inlineStr">
        <is>
          <t xml:space="preserve">B observado / C cálculo</t>
        </is>
      </c>
    </row>
    <row r="1563" customFormat="false" ht="15" hidden="false" customHeight="true" outlineLevel="0" collapsed="false">
      <c r="A1563" s="1" t="n">
        <v>2025</v>
      </c>
      <c r="B1563" s="1" t="n">
        <v>3</v>
      </c>
      <c r="C1563" s="1" t="inlineStr">
        <is>
          <t xml:space="preserve">ICDA20251</t>
        </is>
      </c>
      <c r="D1563" s="1" t="inlineStr">
        <is>
          <t xml:space="preserve">SUSPENDIDO</t>
        </is>
      </c>
      <c r="E1563" s="1" t="n">
        <v>3</v>
      </c>
      <c r="F1563" s="1" t="n">
        <v>5</v>
      </c>
      <c r="G1563" s="1" t="n">
        <f aca="false">IF(E1563=0,"",IF(D1563="VIGENTE",1,0))</f>
        <v>0</v>
      </c>
      <c r="H1563" s="1" t="inlineStr">
        <is>
          <t xml:space="preserve">B observado / C cálculo</t>
        </is>
      </c>
    </row>
    <row r="1564" customFormat="false" ht="15" hidden="false" customHeight="true" outlineLevel="0" collapsed="false">
      <c r="A1564" s="1" t="n">
        <v>2025</v>
      </c>
      <c r="B1564" s="1" t="n">
        <v>3</v>
      </c>
      <c r="C1564" s="1" t="inlineStr">
        <is>
          <t xml:space="preserve">ICDA20251</t>
        </is>
      </c>
      <c r="D1564" s="1" t="inlineStr">
        <is>
          <t xml:space="preserve">VIGENTE</t>
        </is>
      </c>
      <c r="E1564" s="1" t="n">
        <v>19</v>
      </c>
      <c r="F1564" s="1" t="n">
        <v>40</v>
      </c>
      <c r="G1564" s="1" t="n">
        <f aca="false">IF(E1564=0,"",IF(D1564="VIGENTE",1,0))</f>
        <v>1</v>
      </c>
      <c r="H1564" s="1" t="inlineStr">
        <is>
          <t xml:space="preserve">B observado / C cálculo</t>
        </is>
      </c>
    </row>
    <row r="1565" customFormat="false" ht="15" hidden="false" customHeight="true" outlineLevel="0" collapsed="false">
      <c r="A1565" s="1" t="n">
        <v>2025</v>
      </c>
      <c r="B1565" s="1" t="n">
        <v>3</v>
      </c>
      <c r="C1565" s="1" t="inlineStr">
        <is>
          <t xml:space="preserve">ICIB20241</t>
        </is>
      </c>
      <c r="D1565" s="1" t="inlineStr">
        <is>
          <t xml:space="preserve">ELIMINADO</t>
        </is>
      </c>
      <c r="E1565" s="1" t="n">
        <v>9</v>
      </c>
      <c r="F1565" s="1" t="n">
        <v>31</v>
      </c>
      <c r="G1565" s="1" t="n">
        <f aca="false">IF(E1565=0,"",IF(D1565="VIGENTE",1,0))</f>
        <v>0</v>
      </c>
      <c r="H1565" s="1" t="inlineStr">
        <is>
          <t xml:space="preserve">B observado / C cálculo</t>
        </is>
      </c>
    </row>
    <row r="1566" customFormat="false" ht="15" hidden="false" customHeight="true" outlineLevel="0" collapsed="false">
      <c r="A1566" s="1" t="n">
        <v>2025</v>
      </c>
      <c r="B1566" s="1" t="n">
        <v>3</v>
      </c>
      <c r="C1566" s="1" t="inlineStr">
        <is>
          <t xml:space="preserve">ICIB20241</t>
        </is>
      </c>
      <c r="D1566" s="1" t="inlineStr">
        <is>
          <t xml:space="preserve">SUSPENDIDO</t>
        </is>
      </c>
      <c r="E1566" s="1" t="n">
        <v>8</v>
      </c>
      <c r="F1566" s="1" t="n">
        <v>23</v>
      </c>
      <c r="G1566" s="1" t="n">
        <f aca="false">IF(E1566=0,"",IF(D1566="VIGENTE",1,0))</f>
        <v>0</v>
      </c>
      <c r="H1566" s="1" t="inlineStr">
        <is>
          <t xml:space="preserve">B observado / C cálculo</t>
        </is>
      </c>
    </row>
    <row r="1567" customFormat="false" ht="15" hidden="false" customHeight="true" outlineLevel="0" collapsed="false">
      <c r="A1567" s="1" t="n">
        <v>2025</v>
      </c>
      <c r="B1567" s="1" t="n">
        <v>3</v>
      </c>
      <c r="C1567" s="1" t="inlineStr">
        <is>
          <t xml:space="preserve">ICIB20241</t>
        </is>
      </c>
      <c r="D1567" s="1" t="inlineStr">
        <is>
          <t xml:space="preserve">TITULADO</t>
        </is>
      </c>
      <c r="E1567" s="1" t="n">
        <v>6</v>
      </c>
      <c r="F1567" s="1" t="n">
        <v>7</v>
      </c>
      <c r="G1567" s="1" t="n">
        <f aca="false">IF(E1567=0,"",IF(D1567="VIGENTE",1,0))</f>
        <v>0</v>
      </c>
      <c r="H1567" s="1" t="inlineStr">
        <is>
          <t xml:space="preserve">B observado / C cálculo</t>
        </is>
      </c>
    </row>
    <row r="1568" customFormat="false" ht="15" hidden="false" customHeight="true" outlineLevel="0" collapsed="false">
      <c r="A1568" s="1" t="n">
        <v>2025</v>
      </c>
      <c r="B1568" s="1" t="n">
        <v>3</v>
      </c>
      <c r="C1568" s="1" t="inlineStr">
        <is>
          <t xml:space="preserve">ICIB20241</t>
        </is>
      </c>
      <c r="D1568" s="1" t="inlineStr">
        <is>
          <t xml:space="preserve">VIGENTE</t>
        </is>
      </c>
      <c r="E1568" s="1" t="n">
        <v>181</v>
      </c>
      <c r="F1568" s="1" t="n">
        <v>501</v>
      </c>
      <c r="G1568" s="1" t="n">
        <f aca="false">IF(E1568=0,"",IF(D1568="VIGENTE",1,0))</f>
        <v>1</v>
      </c>
      <c r="H1568" s="1" t="inlineStr">
        <is>
          <t xml:space="preserve">B observado / C cálculo</t>
        </is>
      </c>
    </row>
    <row r="1569" customFormat="false" ht="15" hidden="false" customHeight="true" outlineLevel="0" collapsed="false">
      <c r="A1569" s="1" t="n">
        <v>2025</v>
      </c>
      <c r="B1569" s="1" t="n">
        <v>3</v>
      </c>
      <c r="C1569" s="1" t="inlineStr">
        <is>
          <t xml:space="preserve">ICRE20241</t>
        </is>
      </c>
      <c r="D1569" s="1" t="inlineStr">
        <is>
          <t xml:space="preserve">ELIMINADO</t>
        </is>
      </c>
      <c r="E1569" s="1" t="n">
        <v>5</v>
      </c>
      <c r="F1569" s="1" t="n">
        <v>9</v>
      </c>
      <c r="G1569" s="1" t="n">
        <f aca="false">IF(E1569=0,"",IF(D1569="VIGENTE",1,0))</f>
        <v>0</v>
      </c>
      <c r="H1569" s="1" t="inlineStr">
        <is>
          <t xml:space="preserve">B observado / C cálculo</t>
        </is>
      </c>
    </row>
    <row r="1570" customFormat="false" ht="15" hidden="false" customHeight="true" outlineLevel="0" collapsed="false">
      <c r="A1570" s="1" t="n">
        <v>2025</v>
      </c>
      <c r="B1570" s="1" t="n">
        <v>3</v>
      </c>
      <c r="C1570" s="1" t="inlineStr">
        <is>
          <t xml:space="preserve">ICRE20241</t>
        </is>
      </c>
      <c r="D1570" s="1" t="inlineStr">
        <is>
          <t xml:space="preserve">SUSPENDIDO</t>
        </is>
      </c>
      <c r="E1570" s="1" t="n">
        <v>3</v>
      </c>
      <c r="F1570" s="1" t="n">
        <v>6</v>
      </c>
      <c r="G1570" s="1" t="n">
        <f aca="false">IF(E1570=0,"",IF(D1570="VIGENTE",1,0))</f>
        <v>0</v>
      </c>
      <c r="H1570" s="1" t="inlineStr">
        <is>
          <t xml:space="preserve">B observado / C cálculo</t>
        </is>
      </c>
    </row>
    <row r="1571" customFormat="false" ht="15" hidden="false" customHeight="true" outlineLevel="0" collapsed="false">
      <c r="A1571" s="1" t="n">
        <v>2025</v>
      </c>
      <c r="B1571" s="1" t="n">
        <v>3</v>
      </c>
      <c r="C1571" s="1" t="inlineStr">
        <is>
          <t xml:space="preserve">ICRE20241</t>
        </is>
      </c>
      <c r="D1571" s="1" t="inlineStr">
        <is>
          <t xml:space="preserve">TITULADO</t>
        </is>
      </c>
      <c r="E1571" s="1" t="n">
        <v>6</v>
      </c>
      <c r="F1571" s="1" t="n">
        <v>8</v>
      </c>
      <c r="G1571" s="1" t="n">
        <f aca="false">IF(E1571=0,"",IF(D1571="VIGENTE",1,0))</f>
        <v>0</v>
      </c>
      <c r="H1571" s="1" t="inlineStr">
        <is>
          <t xml:space="preserve">B observado / C cálculo</t>
        </is>
      </c>
    </row>
    <row r="1572" customFormat="false" ht="15" hidden="false" customHeight="true" outlineLevel="0" collapsed="false">
      <c r="A1572" s="1" t="n">
        <v>2025</v>
      </c>
      <c r="B1572" s="1" t="n">
        <v>3</v>
      </c>
      <c r="C1572" s="1" t="inlineStr">
        <is>
          <t xml:space="preserve">ICRE20241</t>
        </is>
      </c>
      <c r="D1572" s="1" t="inlineStr">
        <is>
          <t xml:space="preserve">VIGENTE</t>
        </is>
      </c>
      <c r="E1572" s="1" t="n">
        <v>98</v>
      </c>
      <c r="F1572" s="1" t="n">
        <v>173</v>
      </c>
      <c r="G1572" s="1" t="n">
        <f aca="false">IF(E1572=0,"",IF(D1572="VIGENTE",1,0))</f>
        <v>1</v>
      </c>
      <c r="H1572" s="1" t="inlineStr">
        <is>
          <t xml:space="preserve">B observado / C cálculo</t>
        </is>
      </c>
    </row>
    <row r="1573" customFormat="false" ht="15" hidden="false" customHeight="true" outlineLevel="0" collapsed="false">
      <c r="A1573" s="1" t="n">
        <v>2025</v>
      </c>
      <c r="B1573" s="1" t="n">
        <v>3</v>
      </c>
      <c r="C1573" s="1" t="inlineStr">
        <is>
          <t xml:space="preserve">IECIREOL20211</t>
        </is>
      </c>
      <c r="D1573" s="1" t="inlineStr">
        <is>
          <t xml:space="preserve">TITULADO</t>
        </is>
      </c>
      <c r="E1573" s="1" t="n">
        <v>9</v>
      </c>
      <c r="F1573" s="1" t="n">
        <v>32</v>
      </c>
      <c r="G1573" s="1" t="n">
        <f aca="false">IF(E1573=0,"",IF(D1573="VIGENTE",1,0))</f>
        <v>0</v>
      </c>
      <c r="H1573" s="1" t="inlineStr">
        <is>
          <t xml:space="preserve">B observado / C cálculo</t>
        </is>
      </c>
    </row>
    <row r="1574" customFormat="false" ht="15" hidden="false" customHeight="true" outlineLevel="0" collapsed="false">
      <c r="A1574" s="1" t="n">
        <v>2025</v>
      </c>
      <c r="B1574" s="1" t="n">
        <v>3</v>
      </c>
      <c r="C1574" s="1" t="inlineStr">
        <is>
          <t xml:space="preserve">IECSREOL20211</t>
        </is>
      </c>
      <c r="D1574" s="1" t="inlineStr">
        <is>
          <t xml:space="preserve">TITULADO</t>
        </is>
      </c>
      <c r="E1574" s="1" t="n">
        <v>10</v>
      </c>
      <c r="F1574" s="1" t="n">
        <v>21</v>
      </c>
      <c r="G1574" s="1" t="n">
        <f aca="false">IF(E1574=0,"",IF(D1574="VIGENTE",1,0))</f>
        <v>0</v>
      </c>
      <c r="H1574" s="1" t="inlineStr">
        <is>
          <t xml:space="preserve">B observado / C cálculo</t>
        </is>
      </c>
    </row>
    <row r="1575" customFormat="false" ht="15" hidden="false" customHeight="true" outlineLevel="0" collapsed="false">
      <c r="A1575" s="1" t="n">
        <v>2025</v>
      </c>
      <c r="B1575" s="1" t="n">
        <v>3</v>
      </c>
      <c r="C1575" s="1" t="inlineStr">
        <is>
          <t xml:space="preserve">IETMREOL20211</t>
        </is>
      </c>
      <c r="D1575" s="1" t="inlineStr">
        <is>
          <t xml:space="preserve">TITULADO</t>
        </is>
      </c>
      <c r="E1575" s="1" t="n">
        <v>9</v>
      </c>
      <c r="F1575" s="1" t="n">
        <v>19</v>
      </c>
      <c r="G1575" s="1" t="n">
        <f aca="false">IF(E1575=0,"",IF(D1575="VIGENTE",1,0))</f>
        <v>0</v>
      </c>
      <c r="H1575" s="1" t="inlineStr">
        <is>
          <t xml:space="preserve">B observado / C cálculo</t>
        </is>
      </c>
    </row>
    <row r="1576" customFormat="false" ht="15" hidden="false" customHeight="true" outlineLevel="0" collapsed="false">
      <c r="A1576" s="1" t="n">
        <v>2025</v>
      </c>
      <c r="B1576" s="1" t="n">
        <v>3</v>
      </c>
      <c r="C1576" s="1" t="inlineStr">
        <is>
          <t xml:space="preserve">IIND20251</t>
        </is>
      </c>
      <c r="D1576" s="1" t="inlineStr">
        <is>
          <t xml:space="preserve">SUSPENDIDO</t>
        </is>
      </c>
      <c r="E1576" s="1" t="n">
        <v>1</v>
      </c>
      <c r="F1576" s="1" t="n">
        <v>1</v>
      </c>
      <c r="G1576" s="1" t="n">
        <f aca="false">IF(E1576=0,"",IF(D1576="VIGENTE",1,0))</f>
        <v>0</v>
      </c>
      <c r="H1576" s="1" t="inlineStr">
        <is>
          <t xml:space="preserve">B observado / C cálculo</t>
        </is>
      </c>
    </row>
    <row r="1577" customFormat="false" ht="15" hidden="false" customHeight="true" outlineLevel="0" collapsed="false">
      <c r="A1577" s="1" t="n">
        <v>2025</v>
      </c>
      <c r="B1577" s="1" t="n">
        <v>3</v>
      </c>
      <c r="C1577" s="1" t="inlineStr">
        <is>
          <t xml:space="preserve">IIND20251</t>
        </is>
      </c>
      <c r="D1577" s="1" t="inlineStr">
        <is>
          <t xml:space="preserve">VIGENTE</t>
        </is>
      </c>
      <c r="E1577" s="1" t="n">
        <v>23</v>
      </c>
      <c r="F1577" s="1" t="n">
        <v>35</v>
      </c>
      <c r="G1577" s="1" t="n">
        <f aca="false">IF(E1577=0,"",IF(D1577="VIGENTE",1,0))</f>
        <v>1</v>
      </c>
      <c r="H1577" s="1" t="inlineStr">
        <is>
          <t xml:space="preserve">B observado / C cálculo</t>
        </is>
      </c>
    </row>
    <row r="1578" customFormat="false" ht="15" hidden="false" customHeight="true" outlineLevel="0" collapsed="false">
      <c r="A1578" s="1" t="n">
        <v>2025</v>
      </c>
      <c r="B1578" s="1" t="n">
        <v>3</v>
      </c>
      <c r="C1578" s="1" t="inlineStr">
        <is>
          <t xml:space="preserve">IINF20241</t>
        </is>
      </c>
      <c r="D1578" s="1" t="inlineStr">
        <is>
          <t xml:space="preserve">ELIMINADO</t>
        </is>
      </c>
      <c r="E1578" s="1" t="n">
        <v>11</v>
      </c>
      <c r="F1578" s="1" t="n">
        <v>19</v>
      </c>
      <c r="G1578" s="1" t="n">
        <f aca="false">IF(E1578=0,"",IF(D1578="VIGENTE",1,0))</f>
        <v>0</v>
      </c>
      <c r="H1578" s="1" t="inlineStr">
        <is>
          <t xml:space="preserve">B observado / C cálculo</t>
        </is>
      </c>
    </row>
    <row r="1579" customFormat="false" ht="15" hidden="false" customHeight="true" outlineLevel="0" collapsed="false">
      <c r="A1579" s="1" t="n">
        <v>2025</v>
      </c>
      <c r="B1579" s="1" t="n">
        <v>3</v>
      </c>
      <c r="C1579" s="1" t="inlineStr">
        <is>
          <t xml:space="preserve">IINF20241</t>
        </is>
      </c>
      <c r="D1579" s="1" t="inlineStr">
        <is>
          <t xml:space="preserve">SUSPENDIDO</t>
        </is>
      </c>
      <c r="E1579" s="1" t="n">
        <v>7</v>
      </c>
      <c r="F1579" s="1" t="n">
        <v>13</v>
      </c>
      <c r="G1579" s="1" t="n">
        <f aca="false">IF(E1579=0,"",IF(D1579="VIGENTE",1,0))</f>
        <v>0</v>
      </c>
      <c r="H1579" s="1" t="inlineStr">
        <is>
          <t xml:space="preserve">B observado / C cálculo</t>
        </is>
      </c>
    </row>
    <row r="1580" customFormat="false" ht="15" hidden="false" customHeight="true" outlineLevel="0" collapsed="false">
      <c r="A1580" s="1" t="n">
        <v>2025</v>
      </c>
      <c r="B1580" s="1" t="n">
        <v>3</v>
      </c>
      <c r="C1580" s="1" t="inlineStr">
        <is>
          <t xml:space="preserve">IINF20241</t>
        </is>
      </c>
      <c r="D1580" s="1" t="inlineStr">
        <is>
          <t xml:space="preserve">TITULADO</t>
        </is>
      </c>
      <c r="E1580" s="1" t="n">
        <v>3</v>
      </c>
      <c r="F1580" s="1" t="n">
        <v>3</v>
      </c>
      <c r="G1580" s="1" t="n">
        <f aca="false">IF(E1580=0,"",IF(D1580="VIGENTE",1,0))</f>
        <v>0</v>
      </c>
      <c r="H1580" s="1" t="inlineStr">
        <is>
          <t xml:space="preserve">B observado / C cálculo</t>
        </is>
      </c>
    </row>
    <row r="1581" customFormat="false" ht="15" hidden="false" customHeight="true" outlineLevel="0" collapsed="false">
      <c r="A1581" s="1" t="n">
        <v>2025</v>
      </c>
      <c r="B1581" s="1" t="n">
        <v>3</v>
      </c>
      <c r="C1581" s="1" t="inlineStr">
        <is>
          <t xml:space="preserve">IINF20241</t>
        </is>
      </c>
      <c r="D1581" s="1" t="inlineStr">
        <is>
          <t xml:space="preserve">VIGENTE</t>
        </is>
      </c>
      <c r="E1581" s="1" t="n">
        <v>190</v>
      </c>
      <c r="F1581" s="1" t="n">
        <v>350</v>
      </c>
      <c r="G1581" s="1" t="n">
        <f aca="false">IF(E1581=0,"",IF(D1581="VIGENTE",1,0))</f>
        <v>1</v>
      </c>
      <c r="H1581" s="1" t="inlineStr">
        <is>
          <t xml:space="preserve">B observado / C cálculo</t>
        </is>
      </c>
    </row>
    <row r="1582" customFormat="false" ht="15" hidden="false" customHeight="true" outlineLevel="0" collapsed="false">
      <c r="A1582" s="1" t="n">
        <v>2025</v>
      </c>
      <c r="B1582" s="1" t="n">
        <v>3</v>
      </c>
      <c r="C1582" s="1" t="inlineStr">
        <is>
          <t xml:space="preserve">ILOG20241</t>
        </is>
      </c>
      <c r="D1582" s="1" t="inlineStr">
        <is>
          <t xml:space="preserve">ELIMINADO</t>
        </is>
      </c>
      <c r="E1582" s="1" t="n">
        <v>2</v>
      </c>
      <c r="F1582" s="1" t="n">
        <v>4</v>
      </c>
      <c r="G1582" s="1" t="n">
        <f aca="false">IF(E1582=0,"",IF(D1582="VIGENTE",1,0))</f>
        <v>0</v>
      </c>
      <c r="H1582" s="1" t="inlineStr">
        <is>
          <t xml:space="preserve">B observado / C cálculo</t>
        </is>
      </c>
    </row>
    <row r="1583" customFormat="false" ht="15" hidden="false" customHeight="true" outlineLevel="0" collapsed="false">
      <c r="A1583" s="1" t="n">
        <v>2025</v>
      </c>
      <c r="B1583" s="1" t="n">
        <v>3</v>
      </c>
      <c r="C1583" s="1" t="inlineStr">
        <is>
          <t xml:space="preserve">ILOG20241</t>
        </is>
      </c>
      <c r="D1583" s="1" t="inlineStr">
        <is>
          <t xml:space="preserve">SUSPENDIDO</t>
        </is>
      </c>
      <c r="E1583" s="1" t="n">
        <v>1</v>
      </c>
      <c r="F1583" s="1" t="n">
        <v>2</v>
      </c>
      <c r="G1583" s="1" t="n">
        <f aca="false">IF(E1583=0,"",IF(D1583="VIGENTE",1,0))</f>
        <v>0</v>
      </c>
      <c r="H1583" s="1" t="inlineStr">
        <is>
          <t xml:space="preserve">B observado / C cálculo</t>
        </is>
      </c>
    </row>
    <row r="1584" customFormat="false" ht="15" hidden="false" customHeight="true" outlineLevel="0" collapsed="false">
      <c r="A1584" s="1" t="n">
        <v>2025</v>
      </c>
      <c r="B1584" s="1" t="n">
        <v>3</v>
      </c>
      <c r="C1584" s="1" t="inlineStr">
        <is>
          <t xml:space="preserve">ILOG20241</t>
        </is>
      </c>
      <c r="D1584" s="1" t="inlineStr">
        <is>
          <t xml:space="preserve">VIGENTE</t>
        </is>
      </c>
      <c r="E1584" s="1" t="n">
        <v>62</v>
      </c>
      <c r="F1584" s="1" t="n">
        <v>116</v>
      </c>
      <c r="G1584" s="1" t="n">
        <f aca="false">IF(E1584=0,"",IF(D1584="VIGENTE",1,0))</f>
        <v>1</v>
      </c>
      <c r="H1584" s="1" t="inlineStr">
        <is>
          <t xml:space="preserve">B observado / C cálculo</t>
        </is>
      </c>
    </row>
    <row r="1585" customFormat="false" ht="15" hidden="false" customHeight="true" outlineLevel="0" collapsed="false">
      <c r="A1585" s="1" t="n">
        <v>2025</v>
      </c>
      <c r="B1585" s="1" t="n">
        <v>3</v>
      </c>
      <c r="C1585" s="1" t="inlineStr">
        <is>
          <t xml:space="preserve">IMDI20261</t>
        </is>
      </c>
      <c r="D1585" s="1" t="inlineStr">
        <is>
          <t xml:space="preserve">VIGENTE</t>
        </is>
      </c>
      <c r="E1585" s="1" t="n">
        <v>1</v>
      </c>
      <c r="F1585" s="1" t="n">
        <v>4</v>
      </c>
      <c r="G1585" s="1" t="n">
        <f aca="false">IF(E1585=0,"",IF(D1585="VIGENTE",1,0))</f>
        <v>1</v>
      </c>
      <c r="H1585" s="1" t="inlineStr">
        <is>
          <t xml:space="preserve">B observado / C cálculo</t>
        </is>
      </c>
    </row>
    <row r="1586" customFormat="false" ht="15" hidden="false" customHeight="true" outlineLevel="0" collapsed="false">
      <c r="A1586" s="1" t="n">
        <v>2025</v>
      </c>
      <c r="B1586" s="1" t="n">
        <v>3</v>
      </c>
      <c r="C1586" s="1" t="inlineStr">
        <is>
          <t xml:space="preserve">TADP20251</t>
        </is>
      </c>
      <c r="D1586" s="1" t="inlineStr">
        <is>
          <t xml:space="preserve">VIGENTE</t>
        </is>
      </c>
      <c r="E1586" s="1" t="n">
        <v>8</v>
      </c>
      <c r="F1586" s="1" t="n">
        <v>38</v>
      </c>
      <c r="G1586" s="1" t="n">
        <f aca="false">IF(E1586=0,"",IF(D1586="VIGENTE",1,0))</f>
        <v>1</v>
      </c>
      <c r="H1586" s="1" t="inlineStr">
        <is>
          <t xml:space="preserve">B observado / C cálculo</t>
        </is>
      </c>
    </row>
    <row r="1587" customFormat="false" ht="15" hidden="false" customHeight="true" outlineLevel="0" collapsed="false">
      <c r="A1587" s="1" t="n">
        <v>2025</v>
      </c>
      <c r="B1587" s="1" t="n">
        <v>3</v>
      </c>
      <c r="C1587" s="1" t="inlineStr">
        <is>
          <t xml:space="preserve">TAMD20241</t>
        </is>
      </c>
      <c r="D1587" s="1" t="inlineStr">
        <is>
          <t xml:space="preserve">ELIMINADO</t>
        </is>
      </c>
      <c r="E1587" s="1" t="n">
        <v>1</v>
      </c>
      <c r="F1587" s="1" t="n">
        <v>10</v>
      </c>
      <c r="G1587" s="1" t="n">
        <f aca="false">IF(E1587=0,"",IF(D1587="VIGENTE",1,0))</f>
        <v>0</v>
      </c>
      <c r="H1587" s="1" t="inlineStr">
        <is>
          <t xml:space="preserve">B observado / C cálculo</t>
        </is>
      </c>
    </row>
    <row r="1588" customFormat="false" ht="15" hidden="false" customHeight="true" outlineLevel="0" collapsed="false">
      <c r="A1588" s="1" t="n">
        <v>2025</v>
      </c>
      <c r="B1588" s="1" t="n">
        <v>3</v>
      </c>
      <c r="C1588" s="1" t="inlineStr">
        <is>
          <t xml:space="preserve">TAMD20241</t>
        </is>
      </c>
      <c r="D1588" s="1" t="inlineStr">
        <is>
          <t xml:space="preserve">SUSPENDIDO</t>
        </is>
      </c>
      <c r="E1588" s="1" t="n">
        <v>1</v>
      </c>
      <c r="F1588" s="1" t="n">
        <v>4</v>
      </c>
      <c r="G1588" s="1" t="n">
        <f aca="false">IF(E1588=0,"",IF(D1588="VIGENTE",1,0))</f>
        <v>0</v>
      </c>
      <c r="H1588" s="1" t="inlineStr">
        <is>
          <t xml:space="preserve">B observado / C cálculo</t>
        </is>
      </c>
    </row>
    <row r="1589" customFormat="false" ht="15" hidden="false" customHeight="true" outlineLevel="0" collapsed="false">
      <c r="A1589" s="1" t="n">
        <v>2025</v>
      </c>
      <c r="B1589" s="1" t="n">
        <v>3</v>
      </c>
      <c r="C1589" s="1" t="inlineStr">
        <is>
          <t xml:space="preserve">TAMD20241</t>
        </is>
      </c>
      <c r="D1589" s="1" t="inlineStr">
        <is>
          <t xml:space="preserve">TITULADO</t>
        </is>
      </c>
      <c r="E1589" s="1" t="n">
        <v>6</v>
      </c>
      <c r="F1589" s="1" t="n">
        <v>25</v>
      </c>
      <c r="G1589" s="1" t="n">
        <f aca="false">IF(E1589=0,"",IF(D1589="VIGENTE",1,0))</f>
        <v>0</v>
      </c>
      <c r="H1589" s="1" t="inlineStr">
        <is>
          <t xml:space="preserve">B observado / C cálculo</t>
        </is>
      </c>
    </row>
    <row r="1590" customFormat="false" ht="15" hidden="false" customHeight="true" outlineLevel="0" collapsed="false">
      <c r="A1590" s="1" t="n">
        <v>2025</v>
      </c>
      <c r="B1590" s="1" t="n">
        <v>3</v>
      </c>
      <c r="C1590" s="1" t="inlineStr">
        <is>
          <t xml:space="preserve">TAMD20241</t>
        </is>
      </c>
      <c r="D1590" s="1" t="inlineStr">
        <is>
          <t xml:space="preserve">VIGENTE</t>
        </is>
      </c>
      <c r="E1590" s="1" t="n">
        <v>28</v>
      </c>
      <c r="F1590" s="1" t="n">
        <v>139</v>
      </c>
      <c r="G1590" s="1" t="n">
        <f aca="false">IF(E1590=0,"",IF(D1590="VIGENTE",1,0))</f>
        <v>1</v>
      </c>
      <c r="H1590" s="1" t="inlineStr">
        <is>
          <t xml:space="preserve">B observado / C cálculo</t>
        </is>
      </c>
    </row>
    <row r="1591" customFormat="false" ht="15" hidden="false" customHeight="true" outlineLevel="0" collapsed="false">
      <c r="A1591" s="1" t="n">
        <v>2025</v>
      </c>
      <c r="B1591" s="1" t="n">
        <v>3</v>
      </c>
      <c r="C1591" s="1" t="inlineStr">
        <is>
          <t xml:space="preserve">TCDA20251</t>
        </is>
      </c>
      <c r="D1591" s="1" t="inlineStr">
        <is>
          <t xml:space="preserve">ELIMINADO</t>
        </is>
      </c>
      <c r="E1591" s="1" t="n">
        <v>1</v>
      </c>
      <c r="F1591" s="1" t="n">
        <v>2</v>
      </c>
      <c r="G1591" s="1" t="n">
        <f aca="false">IF(E1591=0,"",IF(D1591="VIGENTE",1,0))</f>
        <v>0</v>
      </c>
      <c r="H1591" s="1" t="inlineStr">
        <is>
          <t xml:space="preserve">B observado / C cálculo</t>
        </is>
      </c>
    </row>
    <row r="1592" customFormat="false" ht="15" hidden="false" customHeight="true" outlineLevel="0" collapsed="false">
      <c r="A1592" s="1" t="n">
        <v>2025</v>
      </c>
      <c r="B1592" s="1" t="n">
        <v>3</v>
      </c>
      <c r="C1592" s="1" t="inlineStr">
        <is>
          <t xml:space="preserve">TCDA20251</t>
        </is>
      </c>
      <c r="D1592" s="1" t="inlineStr">
        <is>
          <t xml:space="preserve">SUSPENDIDO</t>
        </is>
      </c>
      <c r="E1592" s="1" t="n">
        <v>2</v>
      </c>
      <c r="F1592" s="1" t="n">
        <v>4</v>
      </c>
      <c r="G1592" s="1" t="n">
        <f aca="false">IF(E1592=0,"",IF(D1592="VIGENTE",1,0))</f>
        <v>0</v>
      </c>
      <c r="H1592" s="1" t="inlineStr">
        <is>
          <t xml:space="preserve">B observado / C cálculo</t>
        </is>
      </c>
    </row>
    <row r="1593" customFormat="false" ht="15" hidden="false" customHeight="true" outlineLevel="0" collapsed="false">
      <c r="A1593" s="1" t="n">
        <v>2025</v>
      </c>
      <c r="B1593" s="1" t="n">
        <v>3</v>
      </c>
      <c r="C1593" s="1" t="inlineStr">
        <is>
          <t xml:space="preserve">TCDA20251</t>
        </is>
      </c>
      <c r="D1593" s="1" t="inlineStr">
        <is>
          <t xml:space="preserve">VIGENTE</t>
        </is>
      </c>
      <c r="E1593" s="1" t="n">
        <v>10</v>
      </c>
      <c r="F1593" s="1" t="n">
        <v>20</v>
      </c>
      <c r="G1593" s="1" t="n">
        <f aca="false">IF(E1593=0,"",IF(D1593="VIGENTE",1,0))</f>
        <v>1</v>
      </c>
      <c r="H1593" s="1" t="inlineStr">
        <is>
          <t xml:space="preserve">B observado / C cálculo</t>
        </is>
      </c>
    </row>
    <row r="1594" customFormat="false" ht="15" hidden="false" customHeight="true" outlineLevel="0" collapsed="false">
      <c r="A1594" s="1" t="n">
        <v>2025</v>
      </c>
      <c r="B1594" s="1" t="n">
        <v>3</v>
      </c>
      <c r="C1594" s="1" t="inlineStr">
        <is>
          <t xml:space="preserve">TCIB20241</t>
        </is>
      </c>
      <c r="D1594" s="1" t="inlineStr">
        <is>
          <t xml:space="preserve">ELIMINADO</t>
        </is>
      </c>
      <c r="E1594" s="1" t="n">
        <v>18</v>
      </c>
      <c r="F1594" s="1" t="n">
        <v>49</v>
      </c>
      <c r="G1594" s="1" t="n">
        <f aca="false">IF(E1594=0,"",IF(D1594="VIGENTE",1,0))</f>
        <v>0</v>
      </c>
      <c r="H1594" s="1" t="inlineStr">
        <is>
          <t xml:space="preserve">B observado / C cálculo</t>
        </is>
      </c>
    </row>
    <row r="1595" customFormat="false" ht="15" hidden="false" customHeight="true" outlineLevel="0" collapsed="false">
      <c r="A1595" s="1" t="n">
        <v>2025</v>
      </c>
      <c r="B1595" s="1" t="n">
        <v>3</v>
      </c>
      <c r="C1595" s="1" t="inlineStr">
        <is>
          <t xml:space="preserve">TCIB20241</t>
        </is>
      </c>
      <c r="D1595" s="1" t="inlineStr">
        <is>
          <t xml:space="preserve">SUSPENDIDO</t>
        </is>
      </c>
      <c r="E1595" s="1" t="n">
        <v>1</v>
      </c>
      <c r="F1595" s="1" t="n">
        <v>1</v>
      </c>
      <c r="G1595" s="1" t="n">
        <f aca="false">IF(E1595=0,"",IF(D1595="VIGENTE",1,0))</f>
        <v>0</v>
      </c>
      <c r="H1595" s="1" t="inlineStr">
        <is>
          <t xml:space="preserve">B observado / C cálculo</t>
        </is>
      </c>
    </row>
    <row r="1596" customFormat="false" ht="15" hidden="false" customHeight="true" outlineLevel="0" collapsed="false">
      <c r="A1596" s="1" t="n">
        <v>2025</v>
      </c>
      <c r="B1596" s="1" t="n">
        <v>3</v>
      </c>
      <c r="C1596" s="1" t="inlineStr">
        <is>
          <t xml:space="preserve">TCIB20241</t>
        </is>
      </c>
      <c r="D1596" s="1" t="inlineStr">
        <is>
          <t xml:space="preserve">TITULADO</t>
        </is>
      </c>
      <c r="E1596" s="1" t="n">
        <v>22</v>
      </c>
      <c r="F1596" s="1" t="n">
        <v>45</v>
      </c>
      <c r="G1596" s="1" t="n">
        <f aca="false">IF(E1596=0,"",IF(D1596="VIGENTE",1,0))</f>
        <v>0</v>
      </c>
      <c r="H1596" s="1" t="inlineStr">
        <is>
          <t xml:space="preserve">B observado / C cálculo</t>
        </is>
      </c>
    </row>
    <row r="1597" customFormat="false" ht="15" hidden="false" customHeight="true" outlineLevel="0" collapsed="false">
      <c r="A1597" s="1" t="n">
        <v>2025</v>
      </c>
      <c r="B1597" s="1" t="n">
        <v>3</v>
      </c>
      <c r="C1597" s="1" t="inlineStr">
        <is>
          <t xml:space="preserve">TCIB20241</t>
        </is>
      </c>
      <c r="D1597" s="1" t="inlineStr">
        <is>
          <t xml:space="preserve">VIGENTE</t>
        </is>
      </c>
      <c r="E1597" s="1" t="n">
        <v>52</v>
      </c>
      <c r="F1597" s="1" t="n">
        <v>186</v>
      </c>
      <c r="G1597" s="1" t="n">
        <f aca="false">IF(E1597=0,"",IF(D1597="VIGENTE",1,0))</f>
        <v>1</v>
      </c>
      <c r="H1597" s="1" t="inlineStr">
        <is>
          <t xml:space="preserve">B observado / C cálculo</t>
        </is>
      </c>
    </row>
    <row r="1598" customFormat="false" ht="15" hidden="false" customHeight="true" outlineLevel="0" collapsed="false">
      <c r="A1598" s="1" t="n">
        <v>2025</v>
      </c>
      <c r="B1598" s="1" t="n">
        <v>3</v>
      </c>
      <c r="C1598" s="1" t="inlineStr">
        <is>
          <t xml:space="preserve">TCRE20241</t>
        </is>
      </c>
      <c r="D1598" s="1" t="inlineStr">
        <is>
          <t xml:space="preserve">SUSPENDIDO</t>
        </is>
      </c>
      <c r="E1598" s="1" t="n">
        <v>1</v>
      </c>
      <c r="F1598" s="1" t="n">
        <v>2</v>
      </c>
      <c r="G1598" s="1" t="n">
        <f aca="false">IF(E1598=0,"",IF(D1598="VIGENTE",1,0))</f>
        <v>0</v>
      </c>
      <c r="H1598" s="1" t="inlineStr">
        <is>
          <t xml:space="preserve">B observado / C cálculo</t>
        </is>
      </c>
    </row>
    <row r="1599" customFormat="false" ht="15" hidden="false" customHeight="true" outlineLevel="0" collapsed="false">
      <c r="A1599" s="1" t="n">
        <v>2025</v>
      </c>
      <c r="B1599" s="1" t="n">
        <v>3</v>
      </c>
      <c r="C1599" s="1" t="inlineStr">
        <is>
          <t xml:space="preserve">TCRE20241</t>
        </is>
      </c>
      <c r="D1599" s="1" t="inlineStr">
        <is>
          <t xml:space="preserve">TITULADO</t>
        </is>
      </c>
      <c r="E1599" s="1" t="n">
        <v>10</v>
      </c>
      <c r="F1599" s="1" t="n">
        <v>16</v>
      </c>
      <c r="G1599" s="1" t="n">
        <f aca="false">IF(E1599=0,"",IF(D1599="VIGENTE",1,0))</f>
        <v>0</v>
      </c>
      <c r="H1599" s="1" t="inlineStr">
        <is>
          <t xml:space="preserve">B observado / C cálculo</t>
        </is>
      </c>
    </row>
    <row r="1600" customFormat="false" ht="15" hidden="false" customHeight="true" outlineLevel="0" collapsed="false">
      <c r="A1600" s="1" t="n">
        <v>2025</v>
      </c>
      <c r="B1600" s="1" t="n">
        <v>3</v>
      </c>
      <c r="C1600" s="1" t="inlineStr">
        <is>
          <t xml:space="preserve">TCRE20241</t>
        </is>
      </c>
      <c r="D1600" s="1" t="inlineStr">
        <is>
          <t xml:space="preserve">VIGENTE</t>
        </is>
      </c>
      <c r="E1600" s="1" t="n">
        <v>22</v>
      </c>
      <c r="F1600" s="1" t="n">
        <v>44</v>
      </c>
      <c r="G1600" s="1" t="n">
        <f aca="false">IF(E1600=0,"",IF(D1600="VIGENTE",1,0))</f>
        <v>1</v>
      </c>
      <c r="H1600" s="1" t="inlineStr">
        <is>
          <t xml:space="preserve">B observado / C cálculo</t>
        </is>
      </c>
    </row>
    <row r="1601" customFormat="false" ht="15" hidden="false" customHeight="true" outlineLevel="0" collapsed="false">
      <c r="A1601" s="1" t="n">
        <v>2025</v>
      </c>
      <c r="B1601" s="1" t="n">
        <v>3</v>
      </c>
      <c r="C1601" s="1" t="inlineStr">
        <is>
          <t xml:space="preserve">TCSREOL20231</t>
        </is>
      </c>
      <c r="D1601" s="1" t="inlineStr">
        <is>
          <t xml:space="preserve">TITULADO</t>
        </is>
      </c>
      <c r="E1601" s="1" t="n">
        <v>1</v>
      </c>
      <c r="F1601" s="1" t="n">
        <v>2</v>
      </c>
      <c r="G1601" s="1" t="n">
        <f aca="false">IF(E1601=0,"",IF(D1601="VIGENTE",1,0))</f>
        <v>0</v>
      </c>
      <c r="H1601" s="1" t="inlineStr">
        <is>
          <t xml:space="preserve">B observado / C cálculo</t>
        </is>
      </c>
    </row>
    <row r="1602" customFormat="false" ht="15" hidden="false" customHeight="true" outlineLevel="0" collapsed="false">
      <c r="A1602" s="1" t="n">
        <v>2025</v>
      </c>
      <c r="B1602" s="1" t="n">
        <v>3</v>
      </c>
      <c r="C1602" s="1" t="inlineStr">
        <is>
          <t xml:space="preserve">TENS20251</t>
        </is>
      </c>
      <c r="D1602" s="1" t="inlineStr">
        <is>
          <t xml:space="preserve">ELIMINADO</t>
        </is>
      </c>
      <c r="E1602" s="1" t="n">
        <v>4</v>
      </c>
      <c r="F1602" s="1" t="n">
        <v>6</v>
      </c>
      <c r="G1602" s="1" t="n">
        <f aca="false">IF(E1602=0,"",IF(D1602="VIGENTE",1,0))</f>
        <v>0</v>
      </c>
      <c r="H1602" s="1" t="inlineStr">
        <is>
          <t xml:space="preserve">B observado / C cálculo</t>
        </is>
      </c>
    </row>
    <row r="1603" customFormat="false" ht="15" hidden="false" customHeight="true" outlineLevel="0" collapsed="false">
      <c r="A1603" s="1" t="n">
        <v>2025</v>
      </c>
      <c r="B1603" s="1" t="n">
        <v>3</v>
      </c>
      <c r="C1603" s="1" t="inlineStr">
        <is>
          <t xml:space="preserve">TENS20251</t>
        </is>
      </c>
      <c r="D1603" s="1" t="inlineStr">
        <is>
          <t xml:space="preserve">SUSPENDIDO</t>
        </is>
      </c>
      <c r="E1603" s="1" t="n">
        <v>6</v>
      </c>
      <c r="F1603" s="1" t="n">
        <v>9</v>
      </c>
      <c r="G1603" s="1" t="n">
        <f aca="false">IF(E1603=0,"",IF(D1603="VIGENTE",1,0))</f>
        <v>0</v>
      </c>
      <c r="H1603" s="1" t="inlineStr">
        <is>
          <t xml:space="preserve">B observado / C cálculo</t>
        </is>
      </c>
    </row>
    <row r="1604" customFormat="false" ht="15" hidden="false" customHeight="true" outlineLevel="0" collapsed="false">
      <c r="A1604" s="1" t="n">
        <v>2025</v>
      </c>
      <c r="B1604" s="1" t="n">
        <v>3</v>
      </c>
      <c r="C1604" s="1" t="inlineStr">
        <is>
          <t xml:space="preserve">TENS20251</t>
        </is>
      </c>
      <c r="D1604" s="1" t="inlineStr">
        <is>
          <t xml:space="preserve">VIGENTE</t>
        </is>
      </c>
      <c r="E1604" s="1" t="n">
        <v>55</v>
      </c>
      <c r="F1604" s="1" t="n">
        <v>89</v>
      </c>
      <c r="G1604" s="1" t="n">
        <f aca="false">IF(E1604=0,"",IF(D1604="VIGENTE",1,0))</f>
        <v>1</v>
      </c>
      <c r="H1604" s="1" t="inlineStr">
        <is>
          <t xml:space="preserve">B observado / C cálculo</t>
        </is>
      </c>
    </row>
    <row r="1605" customFormat="false" ht="15" hidden="false" customHeight="true" outlineLevel="0" collapsed="false">
      <c r="A1605" s="1" t="n">
        <v>2025</v>
      </c>
      <c r="B1605" s="1" t="n">
        <v>3</v>
      </c>
      <c r="C1605" s="1" t="inlineStr">
        <is>
          <t xml:space="preserve">TLOG20241</t>
        </is>
      </c>
      <c r="D1605" s="1" t="inlineStr">
        <is>
          <t xml:space="preserve">ELIMINADO</t>
        </is>
      </c>
      <c r="E1605" s="1" t="n">
        <v>1</v>
      </c>
      <c r="F1605" s="1" t="n">
        <v>2</v>
      </c>
      <c r="G1605" s="1" t="n">
        <f aca="false">IF(E1605=0,"",IF(D1605="VIGENTE",1,0))</f>
        <v>0</v>
      </c>
      <c r="H1605" s="1" t="inlineStr">
        <is>
          <t xml:space="preserve">B observado / C cálculo</t>
        </is>
      </c>
    </row>
    <row r="1606" customFormat="false" ht="15" hidden="false" customHeight="true" outlineLevel="0" collapsed="false">
      <c r="A1606" s="1" t="n">
        <v>2025</v>
      </c>
      <c r="B1606" s="1" t="n">
        <v>3</v>
      </c>
      <c r="C1606" s="1" t="inlineStr">
        <is>
          <t xml:space="preserve">TLOG20241</t>
        </is>
      </c>
      <c r="D1606" s="1" t="inlineStr">
        <is>
          <t xml:space="preserve">SUSPENDIDO</t>
        </is>
      </c>
      <c r="E1606" s="1" t="n">
        <v>1</v>
      </c>
      <c r="F1606" s="1" t="n">
        <v>2</v>
      </c>
      <c r="G1606" s="1" t="n">
        <f aca="false">IF(E1606=0,"",IF(D1606="VIGENTE",1,0))</f>
        <v>0</v>
      </c>
      <c r="H1606" s="1" t="inlineStr">
        <is>
          <t xml:space="preserve">B observado / C cálculo</t>
        </is>
      </c>
    </row>
    <row r="1607" customFormat="false" ht="15" hidden="false" customHeight="true" outlineLevel="0" collapsed="false">
      <c r="A1607" s="1" t="n">
        <v>2025</v>
      </c>
      <c r="B1607" s="1" t="n">
        <v>3</v>
      </c>
      <c r="C1607" s="1" t="inlineStr">
        <is>
          <t xml:space="preserve">TLOG20241</t>
        </is>
      </c>
      <c r="D1607" s="1" t="inlineStr">
        <is>
          <t xml:space="preserve">TITULADO</t>
        </is>
      </c>
      <c r="E1607" s="1" t="n">
        <v>7</v>
      </c>
      <c r="F1607" s="1" t="n">
        <v>14</v>
      </c>
      <c r="G1607" s="1" t="n">
        <f aca="false">IF(E1607=0,"",IF(D1607="VIGENTE",1,0))</f>
        <v>0</v>
      </c>
      <c r="H1607" s="1" t="inlineStr">
        <is>
          <t xml:space="preserve">B observado / C cálculo</t>
        </is>
      </c>
    </row>
    <row r="1608" customFormat="false" ht="15" hidden="false" customHeight="true" outlineLevel="0" collapsed="false">
      <c r="A1608" s="1" t="n">
        <v>2025</v>
      </c>
      <c r="B1608" s="1" t="n">
        <v>3</v>
      </c>
      <c r="C1608" s="1" t="inlineStr">
        <is>
          <t xml:space="preserve">TLOG20241</t>
        </is>
      </c>
      <c r="D1608" s="1" t="inlineStr">
        <is>
          <t xml:space="preserve">VIGENTE</t>
        </is>
      </c>
      <c r="E1608" s="1" t="n">
        <v>42</v>
      </c>
      <c r="F1608" s="1" t="n">
        <v>82</v>
      </c>
      <c r="G1608" s="1" t="n">
        <f aca="false">IF(E1608=0,"",IF(D1608="VIGENTE",1,0))</f>
        <v>1</v>
      </c>
      <c r="H1608" s="1" t="inlineStr">
        <is>
          <t xml:space="preserve">B observado / C cálculo</t>
        </is>
      </c>
    </row>
    <row r="1609" customFormat="false" ht="15" hidden="false" customHeight="true" outlineLevel="0" collapsed="false">
      <c r="A1609" s="1" t="n">
        <v>2025</v>
      </c>
      <c r="B1609" s="1" t="n">
        <v>3</v>
      </c>
      <c r="C1609" s="1" t="inlineStr">
        <is>
          <t xml:space="preserve">TPAS20241</t>
        </is>
      </c>
      <c r="D1609" s="1" t="inlineStr">
        <is>
          <t xml:space="preserve">ELIMINADO</t>
        </is>
      </c>
      <c r="E1609" s="1" t="n">
        <v>10</v>
      </c>
      <c r="F1609" s="1" t="n">
        <v>19</v>
      </c>
      <c r="G1609" s="1" t="n">
        <f aca="false">IF(E1609=0,"",IF(D1609="VIGENTE",1,0))</f>
        <v>0</v>
      </c>
      <c r="H1609" s="1" t="inlineStr">
        <is>
          <t xml:space="preserve">B observado / C cálculo</t>
        </is>
      </c>
    </row>
    <row r="1610" customFormat="false" ht="15" hidden="false" customHeight="true" outlineLevel="0" collapsed="false">
      <c r="A1610" s="1" t="n">
        <v>2025</v>
      </c>
      <c r="B1610" s="1" t="n">
        <v>3</v>
      </c>
      <c r="C1610" s="1" t="inlineStr">
        <is>
          <t xml:space="preserve">TPAS20241</t>
        </is>
      </c>
      <c r="D1610" s="1" t="inlineStr">
        <is>
          <t xml:space="preserve">SUSPENDIDO</t>
        </is>
      </c>
      <c r="E1610" s="1" t="n">
        <v>7</v>
      </c>
      <c r="F1610" s="1" t="n">
        <v>15</v>
      </c>
      <c r="G1610" s="1" t="n">
        <f aca="false">IF(E1610=0,"",IF(D1610="VIGENTE",1,0))</f>
        <v>0</v>
      </c>
      <c r="H1610" s="1" t="inlineStr">
        <is>
          <t xml:space="preserve">B observado / C cálculo</t>
        </is>
      </c>
    </row>
    <row r="1611" customFormat="false" ht="15" hidden="false" customHeight="true" outlineLevel="0" collapsed="false">
      <c r="A1611" s="1" t="n">
        <v>2025</v>
      </c>
      <c r="B1611" s="1" t="n">
        <v>3</v>
      </c>
      <c r="C1611" s="1" t="inlineStr">
        <is>
          <t xml:space="preserve">TPAS20241</t>
        </is>
      </c>
      <c r="D1611" s="1" t="inlineStr">
        <is>
          <t xml:space="preserve">TITULADO</t>
        </is>
      </c>
      <c r="E1611" s="1" t="n">
        <v>77</v>
      </c>
      <c r="F1611" s="1" t="n">
        <v>144</v>
      </c>
      <c r="G1611" s="1" t="n">
        <f aca="false">IF(E1611=0,"",IF(D1611="VIGENTE",1,0))</f>
        <v>0</v>
      </c>
      <c r="H1611" s="1" t="inlineStr">
        <is>
          <t xml:space="preserve">B observado / C cálculo</t>
        </is>
      </c>
    </row>
    <row r="1612" customFormat="false" ht="15" hidden="false" customHeight="true" outlineLevel="0" collapsed="false">
      <c r="A1612" s="1" t="n">
        <v>2025</v>
      </c>
      <c r="B1612" s="1" t="n">
        <v>3</v>
      </c>
      <c r="C1612" s="1" t="inlineStr">
        <is>
          <t xml:space="preserve">TPAS20241</t>
        </is>
      </c>
      <c r="D1612" s="1" t="inlineStr">
        <is>
          <t xml:space="preserve">VIGENTE</t>
        </is>
      </c>
      <c r="E1612" s="1" t="n">
        <v>115</v>
      </c>
      <c r="F1612" s="1" t="n">
        <v>207</v>
      </c>
      <c r="G1612" s="1" t="n">
        <f aca="false">IF(E1612=0,"",IF(D1612="VIGENTE",1,0))</f>
        <v>1</v>
      </c>
      <c r="H1612" s="1" t="inlineStr">
        <is>
          <t xml:space="preserve">B observado / C cálculo</t>
        </is>
      </c>
    </row>
    <row r="1613" customFormat="false" ht="15" hidden="false" customHeight="true" outlineLevel="0" collapsed="false">
      <c r="A1613" s="1" t="n">
        <v>2025</v>
      </c>
      <c r="B1613" s="1" t="n">
        <v>3</v>
      </c>
      <c r="C1613" s="1" t="inlineStr">
        <is>
          <t xml:space="preserve">TTMREOL20191</t>
        </is>
      </c>
      <c r="D1613" s="1" t="inlineStr">
        <is>
          <t xml:space="preserve">TITULADO</t>
        </is>
      </c>
      <c r="E1613" s="1" t="n">
        <v>1</v>
      </c>
      <c r="F1613" s="1" t="n">
        <v>3</v>
      </c>
      <c r="G1613" s="1" t="n">
        <f aca="false">IF(E1613=0,"",IF(D1613="VIGENTE",1,0))</f>
        <v>0</v>
      </c>
      <c r="H1613" s="1" t="inlineStr">
        <is>
          <t xml:space="preserve">B observado / C cálculo</t>
        </is>
      </c>
    </row>
    <row r="1614" customFormat="false" ht="15" hidden="false" customHeight="true" outlineLevel="0" collapsed="false">
      <c r="A1614" s="1" t="n">
        <v>2025</v>
      </c>
      <c r="B1614" s="1" t="n">
        <v>3</v>
      </c>
      <c r="C1614" s="1" t="inlineStr">
        <is>
          <t xml:space="preserve">TTMREOL20231</t>
        </is>
      </c>
      <c r="D1614" s="1" t="inlineStr">
        <is>
          <t xml:space="preserve">TITULADO</t>
        </is>
      </c>
      <c r="E1614" s="1" t="n">
        <v>1</v>
      </c>
      <c r="F1614" s="1" t="n">
        <v>3</v>
      </c>
      <c r="G1614" s="1" t="n">
        <f aca="false">IF(E1614=0,"",IF(D1614="VIGENTE",1,0))</f>
        <v>0</v>
      </c>
      <c r="H1614" s="1" t="inlineStr">
        <is>
          <t xml:space="preserve">B observado / C cálculo</t>
        </is>
      </c>
    </row>
    <row r="1615" customFormat="false" ht="15" hidden="false" customHeight="true" outlineLevel="0" collapsed="false">
      <c r="A1615" s="1" t="n">
        <v>2025</v>
      </c>
      <c r="B1615" s="1" t="n">
        <v>4</v>
      </c>
      <c r="C1615" s="1" t="inlineStr">
        <is>
          <t xml:space="preserve">IECIREOL20211</t>
        </is>
      </c>
      <c r="D1615" s="1" t="inlineStr">
        <is>
          <t xml:space="preserve">TITULADO</t>
        </is>
      </c>
      <c r="E1615" s="1" t="n">
        <v>4</v>
      </c>
      <c r="F1615" s="1" t="n">
        <v>10</v>
      </c>
      <c r="G1615" s="1" t="n">
        <f aca="false">IF(E1615=0,"",IF(D1615="VIGENTE",1,0))</f>
        <v>0</v>
      </c>
      <c r="H1615" s="1" t="inlineStr">
        <is>
          <t xml:space="preserve">B observado / C cálculo</t>
        </is>
      </c>
    </row>
    <row r="1616" customFormat="false" ht="15" hidden="false" customHeight="true" outlineLevel="0" collapsed="false">
      <c r="A1616" s="1" t="n">
        <v>2025</v>
      </c>
      <c r="B1616" s="1" t="n">
        <v>4</v>
      </c>
      <c r="C1616" s="1" t="inlineStr">
        <is>
          <t xml:space="preserve">TPAREOL20211</t>
        </is>
      </c>
      <c r="D1616" s="1" t="inlineStr">
        <is>
          <t xml:space="preserve">TITULADO</t>
        </is>
      </c>
      <c r="E1616" s="1" t="n">
        <v>1</v>
      </c>
      <c r="F1616" s="1" t="n">
        <v>1</v>
      </c>
      <c r="G1616" s="1" t="n">
        <f aca="false">IF(E1616=0,"",IF(D1616="VIGENTE",1,0))</f>
        <v>0</v>
      </c>
      <c r="H1616" s="1" t="inlineStr">
        <is>
          <t xml:space="preserve">B observado / C cálculo</t>
        </is>
      </c>
    </row>
    <row r="1617" customFormat="false" ht="15" hidden="false" customHeight="true" outlineLevel="0" collapsed="false">
      <c r="A1617" s="1" t="n">
        <v>2025</v>
      </c>
      <c r="B1617" s="1" t="n">
        <v>5</v>
      </c>
      <c r="C1617" s="1" t="inlineStr">
        <is>
          <t xml:space="preserve">IECIREOL20211</t>
        </is>
      </c>
      <c r="D1617" s="1" t="inlineStr">
        <is>
          <t xml:space="preserve">TITULADO</t>
        </is>
      </c>
      <c r="E1617" s="1" t="n">
        <v>4</v>
      </c>
      <c r="F1617" s="1" t="n">
        <v>12</v>
      </c>
      <c r="G1617" s="1" t="n">
        <f aca="false">IF(E1617=0,"",IF(D1617="VIGENTE",1,0))</f>
        <v>0</v>
      </c>
      <c r="H1617" s="1" t="inlineStr">
        <is>
          <t xml:space="preserve">B observado / C cálculo</t>
        </is>
      </c>
    </row>
    <row r="1618" customFormat="false" ht="15" hidden="false" customHeight="true" outlineLevel="0" collapsed="false">
      <c r="A1618" s="1" t="n">
        <v>2025</v>
      </c>
      <c r="B1618" s="1" t="n">
        <v>5</v>
      </c>
      <c r="C1618" s="1" t="inlineStr">
        <is>
          <t xml:space="preserve">IECSREOL20211</t>
        </is>
      </c>
      <c r="D1618" s="1" t="inlineStr">
        <is>
          <t xml:space="preserve">TITULADO</t>
        </is>
      </c>
      <c r="E1618" s="1" t="n">
        <v>3</v>
      </c>
      <c r="F1618" s="1" t="n">
        <v>6</v>
      </c>
      <c r="G1618" s="1" t="n">
        <f aca="false">IF(E1618=0,"",IF(D1618="VIGENTE",1,0))</f>
        <v>0</v>
      </c>
      <c r="H1618" s="1" t="inlineStr">
        <is>
          <t xml:space="preserve">B observado / C cálculo</t>
        </is>
      </c>
    </row>
    <row r="1619" customFormat="false" ht="15" hidden="false" customHeight="true" outlineLevel="0" collapsed="false">
      <c r="A1619" s="1" t="n">
        <v>2025</v>
      </c>
      <c r="B1619" s="1" t="n">
        <v>5</v>
      </c>
      <c r="C1619" s="1" t="inlineStr">
        <is>
          <t xml:space="preserve">IETMREOL20191</t>
        </is>
      </c>
      <c r="D1619" s="1" t="inlineStr">
        <is>
          <t xml:space="preserve">TITULADO</t>
        </is>
      </c>
      <c r="E1619" s="1" t="n">
        <v>2</v>
      </c>
      <c r="F1619" s="1" t="n">
        <v>4</v>
      </c>
      <c r="G1619" s="1" t="n">
        <f aca="false">IF(E1619=0,"",IF(D1619="VIGENTE",1,0))</f>
        <v>0</v>
      </c>
      <c r="H1619" s="1" t="inlineStr">
        <is>
          <t xml:space="preserve">B observado / C cálculo</t>
        </is>
      </c>
    </row>
    <row r="1620" customFormat="false" ht="15" hidden="false" customHeight="true" outlineLevel="0" collapsed="false">
      <c r="A1620" s="1" t="n">
        <v>2025</v>
      </c>
      <c r="B1620" s="1" t="n">
        <v>5</v>
      </c>
      <c r="C1620" s="1" t="inlineStr">
        <is>
          <t xml:space="preserve">IETMREOL20211</t>
        </is>
      </c>
      <c r="D1620" s="1" t="inlineStr">
        <is>
          <t xml:space="preserve">TITULADO</t>
        </is>
      </c>
      <c r="E1620" s="1" t="n">
        <v>7</v>
      </c>
      <c r="F1620" s="1" t="n">
        <v>11</v>
      </c>
      <c r="G1620" s="1" t="n">
        <f aca="false">IF(E1620=0,"",IF(D1620="VIGENTE",1,0))</f>
        <v>0</v>
      </c>
      <c r="H1620" s="1" t="inlineStr">
        <is>
          <t xml:space="preserve">B observado / C cálculo</t>
        </is>
      </c>
    </row>
    <row r="1621" customFormat="false" ht="15" hidden="false" customHeight="true" outlineLevel="0" collapsed="false">
      <c r="A1621" s="1" t="n">
        <v>2025</v>
      </c>
      <c r="B1621" s="1" t="n">
        <v>5</v>
      </c>
      <c r="C1621" s="1" t="inlineStr">
        <is>
          <t xml:space="preserve">TPAREOL20211</t>
        </is>
      </c>
      <c r="D1621" s="1" t="inlineStr">
        <is>
          <t xml:space="preserve">TITULADO</t>
        </is>
      </c>
      <c r="E1621" s="1" t="n">
        <v>1</v>
      </c>
      <c r="F1621" s="1" t="n">
        <v>2</v>
      </c>
      <c r="G1621" s="1" t="n">
        <f aca="false">IF(E1621=0,"",IF(D1621="VIGENTE",1,0))</f>
        <v>0</v>
      </c>
      <c r="H1621" s="1" t="inlineStr">
        <is>
          <t xml:space="preserve">B observado / C cálculo</t>
        </is>
      </c>
    </row>
    <row r="1622" customFormat="false" ht="15" hidden="false" customHeight="true" outlineLevel="0" collapsed="false">
      <c r="A1622" s="1" t="n">
        <v>2026</v>
      </c>
      <c r="B1622" s="1" t="n">
        <v>1</v>
      </c>
      <c r="C1622" s="1" t="inlineStr">
        <is>
          <t xml:space="preserve">ADMP20251</t>
        </is>
      </c>
      <c r="D1622" s="1" t="inlineStr">
        <is>
          <t xml:space="preserve">ELIMINADO</t>
        </is>
      </c>
      <c r="E1622" s="1" t="n">
        <v>6</v>
      </c>
      <c r="F1622" s="1" t="n">
        <v>24</v>
      </c>
      <c r="G1622" s="1" t="n">
        <f aca="false">IF(E1622=0,"",IF(D1622="VIGENTE",1,0))</f>
        <v>0</v>
      </c>
      <c r="H1622" s="1" t="inlineStr">
        <is>
          <t xml:space="preserve">B observado / C cálculo</t>
        </is>
      </c>
    </row>
    <row r="1623" customFormat="false" ht="15" hidden="false" customHeight="true" outlineLevel="0" collapsed="false">
      <c r="A1623" s="1" t="n">
        <v>2026</v>
      </c>
      <c r="B1623" s="1" t="n">
        <v>1</v>
      </c>
      <c r="C1623" s="1" t="inlineStr">
        <is>
          <t xml:space="preserve">ADMP20251</t>
        </is>
      </c>
      <c r="D1623" s="1" t="inlineStr">
        <is>
          <t xml:space="preserve">VIGENTE</t>
        </is>
      </c>
      <c r="E1623" s="1" t="n">
        <v>70</v>
      </c>
      <c r="F1623" s="1" t="n">
        <v>307</v>
      </c>
      <c r="G1623" s="1" t="n">
        <f aca="false">IF(E1623=0,"",IF(D1623="VIGENTE",1,0))</f>
        <v>1</v>
      </c>
      <c r="H1623" s="1" t="inlineStr">
        <is>
          <t xml:space="preserve">B observado / C cálculo</t>
        </is>
      </c>
    </row>
    <row r="1624" customFormat="false" ht="15" hidden="false" customHeight="true" outlineLevel="0" collapsed="false">
      <c r="A1624" s="1" t="n">
        <v>2026</v>
      </c>
      <c r="B1624" s="1" t="n">
        <v>1</v>
      </c>
      <c r="C1624" s="1" t="inlineStr">
        <is>
          <t xml:space="preserve">AUDT20251</t>
        </is>
      </c>
      <c r="D1624" s="1" t="inlineStr">
        <is>
          <t xml:space="preserve">ELIMINADO</t>
        </is>
      </c>
      <c r="E1624" s="1" t="n">
        <v>5</v>
      </c>
      <c r="F1624" s="1" t="n">
        <v>13</v>
      </c>
      <c r="G1624" s="1" t="n">
        <f aca="false">IF(E1624=0,"",IF(D1624="VIGENTE",1,0))</f>
        <v>0</v>
      </c>
      <c r="H1624" s="1" t="inlineStr">
        <is>
          <t xml:space="preserve">B observado / C cálculo</t>
        </is>
      </c>
    </row>
    <row r="1625" customFormat="false" ht="15" hidden="false" customHeight="true" outlineLevel="0" collapsed="false">
      <c r="A1625" s="1" t="n">
        <v>2026</v>
      </c>
      <c r="B1625" s="1" t="n">
        <v>1</v>
      </c>
      <c r="C1625" s="1" t="inlineStr">
        <is>
          <t xml:space="preserve">AUDT20251</t>
        </is>
      </c>
      <c r="D1625" s="1" t="inlineStr">
        <is>
          <t xml:space="preserve">VIGENTE</t>
        </is>
      </c>
      <c r="E1625" s="1" t="n">
        <v>44</v>
      </c>
      <c r="F1625" s="1" t="n">
        <v>192</v>
      </c>
      <c r="G1625" s="1" t="n">
        <f aca="false">IF(E1625=0,"",IF(D1625="VIGENTE",1,0))</f>
        <v>1</v>
      </c>
      <c r="H1625" s="1" t="inlineStr">
        <is>
          <t xml:space="preserve">B observado / C cálculo</t>
        </is>
      </c>
    </row>
    <row r="1626" customFormat="false" ht="15" hidden="false" customHeight="true" outlineLevel="0" collapsed="false">
      <c r="A1626" s="1" t="n">
        <v>2026</v>
      </c>
      <c r="B1626" s="1" t="n">
        <v>1</v>
      </c>
      <c r="C1626" s="1" t="inlineStr">
        <is>
          <t xml:space="preserve">CADMP20251</t>
        </is>
      </c>
      <c r="D1626" s="1" t="inlineStr">
        <is>
          <t xml:space="preserve">VIGENTE</t>
        </is>
      </c>
      <c r="E1626" s="1" t="n">
        <v>7</v>
      </c>
      <c r="F1626" s="1" t="n">
        <v>28</v>
      </c>
      <c r="G1626" s="1" t="n">
        <f aca="false">IF(E1626=0,"",IF(D1626="VIGENTE",1,0))</f>
        <v>1</v>
      </c>
      <c r="H1626" s="1" t="inlineStr">
        <is>
          <t xml:space="preserve">B observado / C cálculo</t>
        </is>
      </c>
    </row>
    <row r="1627" customFormat="false" ht="15" hidden="false" customHeight="true" outlineLevel="0" collapsed="false">
      <c r="A1627" s="1" t="n">
        <v>2026</v>
      </c>
      <c r="B1627" s="1" t="n">
        <v>1</v>
      </c>
      <c r="C1627" s="1" t="inlineStr">
        <is>
          <t xml:space="preserve">CIADM20241</t>
        </is>
      </c>
      <c r="D1627" s="1" t="inlineStr">
        <is>
          <t xml:space="preserve">ELIMINADO</t>
        </is>
      </c>
      <c r="E1627" s="1" t="n">
        <v>1</v>
      </c>
      <c r="F1627" s="1" t="n">
        <v>5</v>
      </c>
      <c r="G1627" s="1" t="n">
        <f aca="false">IF(E1627=0,"",IF(D1627="VIGENTE",1,0))</f>
        <v>0</v>
      </c>
      <c r="H1627" s="1" t="inlineStr">
        <is>
          <t xml:space="preserve">B observado / C cálculo</t>
        </is>
      </c>
    </row>
    <row r="1628" customFormat="false" ht="15" hidden="false" customHeight="true" outlineLevel="0" collapsed="false">
      <c r="A1628" s="1" t="n">
        <v>2026</v>
      </c>
      <c r="B1628" s="1" t="n">
        <v>1</v>
      </c>
      <c r="C1628" s="1" t="inlineStr">
        <is>
          <t xml:space="preserve">CIADM20241</t>
        </is>
      </c>
      <c r="D1628" s="1" t="inlineStr">
        <is>
          <t xml:space="preserve">SUSPENDIDO</t>
        </is>
      </c>
      <c r="E1628" s="1" t="n">
        <v>1</v>
      </c>
      <c r="F1628" s="1" t="n">
        <v>5</v>
      </c>
      <c r="G1628" s="1" t="n">
        <f aca="false">IF(E1628=0,"",IF(D1628="VIGENTE",1,0))</f>
        <v>0</v>
      </c>
      <c r="H1628" s="1" t="inlineStr">
        <is>
          <t xml:space="preserve">B observado / C cálculo</t>
        </is>
      </c>
    </row>
    <row r="1629" customFormat="false" ht="15" hidden="false" customHeight="true" outlineLevel="0" collapsed="false">
      <c r="A1629" s="1" t="n">
        <v>2026</v>
      </c>
      <c r="B1629" s="1" t="n">
        <v>1</v>
      </c>
      <c r="C1629" s="1" t="inlineStr">
        <is>
          <t xml:space="preserve">CIADM20241</t>
        </is>
      </c>
      <c r="D1629" s="1" t="inlineStr">
        <is>
          <t xml:space="preserve">VIGENTE</t>
        </is>
      </c>
      <c r="E1629" s="1" t="n">
        <v>19</v>
      </c>
      <c r="F1629" s="1" t="n">
        <v>85</v>
      </c>
      <c r="G1629" s="1" t="n">
        <f aca="false">IF(E1629=0,"",IF(D1629="VIGENTE",1,0))</f>
        <v>1</v>
      </c>
      <c r="H1629" s="1" t="inlineStr">
        <is>
          <t xml:space="preserve">B observado / C cálculo</t>
        </is>
      </c>
    </row>
    <row r="1630" customFormat="false" ht="15" hidden="false" customHeight="true" outlineLevel="0" collapsed="false">
      <c r="A1630" s="1" t="n">
        <v>2026</v>
      </c>
      <c r="B1630" s="1" t="n">
        <v>1</v>
      </c>
      <c r="C1630" s="1" t="inlineStr">
        <is>
          <t xml:space="preserve">CICIB20241</t>
        </is>
      </c>
      <c r="D1630" s="1" t="inlineStr">
        <is>
          <t xml:space="preserve">ELIMINADO</t>
        </is>
      </c>
      <c r="E1630" s="1" t="n">
        <v>2</v>
      </c>
      <c r="F1630" s="1" t="n">
        <v>2</v>
      </c>
      <c r="G1630" s="1" t="n">
        <f aca="false">IF(E1630=0,"",IF(D1630="VIGENTE",1,0))</f>
        <v>0</v>
      </c>
      <c r="H1630" s="1" t="inlineStr">
        <is>
          <t xml:space="preserve">B observado / C cálculo</t>
        </is>
      </c>
    </row>
    <row r="1631" customFormat="false" ht="15" hidden="false" customHeight="true" outlineLevel="0" collapsed="false">
      <c r="A1631" s="1" t="n">
        <v>2026</v>
      </c>
      <c r="B1631" s="1" t="n">
        <v>1</v>
      </c>
      <c r="C1631" s="1" t="inlineStr">
        <is>
          <t xml:space="preserve">CICIB20241</t>
        </is>
      </c>
      <c r="D1631" s="1" t="inlineStr">
        <is>
          <t xml:space="preserve">VIGENTE</t>
        </is>
      </c>
      <c r="E1631" s="1" t="n">
        <v>76</v>
      </c>
      <c r="F1631" s="1" t="n">
        <v>79</v>
      </c>
      <c r="G1631" s="1" t="n">
        <f aca="false">IF(E1631=0,"",IF(D1631="VIGENTE",1,0))</f>
        <v>1</v>
      </c>
      <c r="H1631" s="1" t="inlineStr">
        <is>
          <t xml:space="preserve">B observado / C cálculo</t>
        </is>
      </c>
    </row>
    <row r="1632" customFormat="false" ht="15" hidden="false" customHeight="true" outlineLevel="0" collapsed="false">
      <c r="A1632" s="1" t="n">
        <v>2026</v>
      </c>
      <c r="B1632" s="1" t="n">
        <v>1</v>
      </c>
      <c r="C1632" s="1" t="inlineStr">
        <is>
          <t xml:space="preserve">CICRE20241</t>
        </is>
      </c>
      <c r="D1632" s="1" t="inlineStr">
        <is>
          <t xml:space="preserve">ELIMINADO</t>
        </is>
      </c>
      <c r="E1632" s="1" t="n">
        <v>1</v>
      </c>
      <c r="F1632" s="1" t="n">
        <v>1</v>
      </c>
      <c r="G1632" s="1" t="n">
        <f aca="false">IF(E1632=0,"",IF(D1632="VIGENTE",1,0))</f>
        <v>0</v>
      </c>
      <c r="H1632" s="1" t="inlineStr">
        <is>
          <t xml:space="preserve">B observado / C cálculo</t>
        </is>
      </c>
    </row>
    <row r="1633" customFormat="false" ht="15" hidden="false" customHeight="true" outlineLevel="0" collapsed="false">
      <c r="A1633" s="1" t="n">
        <v>2026</v>
      </c>
      <c r="B1633" s="1" t="n">
        <v>1</v>
      </c>
      <c r="C1633" s="1" t="inlineStr">
        <is>
          <t xml:space="preserve">CICRE20241</t>
        </is>
      </c>
      <c r="D1633" s="1" t="inlineStr">
        <is>
          <t xml:space="preserve">SUSPENDIDO</t>
        </is>
      </c>
      <c r="E1633" s="1" t="n">
        <v>1</v>
      </c>
      <c r="F1633" s="1" t="n">
        <v>1</v>
      </c>
      <c r="G1633" s="1" t="n">
        <f aca="false">IF(E1633=0,"",IF(D1633="VIGENTE",1,0))</f>
        <v>0</v>
      </c>
      <c r="H1633" s="1" t="inlineStr">
        <is>
          <t xml:space="preserve">B observado / C cálculo</t>
        </is>
      </c>
    </row>
    <row r="1634" customFormat="false" ht="15" hidden="false" customHeight="true" outlineLevel="0" collapsed="false">
      <c r="A1634" s="1" t="n">
        <v>2026</v>
      </c>
      <c r="B1634" s="1" t="n">
        <v>1</v>
      </c>
      <c r="C1634" s="1" t="inlineStr">
        <is>
          <t xml:space="preserve">CICRE20241</t>
        </is>
      </c>
      <c r="D1634" s="1" t="inlineStr">
        <is>
          <t xml:space="preserve">VIGENTE</t>
        </is>
      </c>
      <c r="E1634" s="1" t="n">
        <v>106</v>
      </c>
      <c r="F1634" s="1" t="n">
        <v>112</v>
      </c>
      <c r="G1634" s="1" t="n">
        <f aca="false">IF(E1634=0,"",IF(D1634="VIGENTE",1,0))</f>
        <v>1</v>
      </c>
      <c r="H1634" s="1" t="inlineStr">
        <is>
          <t xml:space="preserve">B observado / C cálculo</t>
        </is>
      </c>
    </row>
    <row r="1635" customFormat="false" ht="15" hidden="false" customHeight="true" outlineLevel="0" collapsed="false">
      <c r="A1635" s="1" t="n">
        <v>2026</v>
      </c>
      <c r="B1635" s="1" t="n">
        <v>1</v>
      </c>
      <c r="C1635" s="1" t="inlineStr">
        <is>
          <t xml:space="preserve">CIIND20251</t>
        </is>
      </c>
      <c r="D1635" s="1" t="inlineStr">
        <is>
          <t xml:space="preserve">VIGENTE</t>
        </is>
      </c>
      <c r="E1635" s="1" t="n">
        <v>35</v>
      </c>
      <c r="F1635" s="1" t="n">
        <v>39</v>
      </c>
      <c r="G1635" s="1" t="n">
        <f aca="false">IF(E1635=0,"",IF(D1635="VIGENTE",1,0))</f>
        <v>1</v>
      </c>
      <c r="H1635" s="1" t="inlineStr">
        <is>
          <t xml:space="preserve">B observado / C cálculo</t>
        </is>
      </c>
    </row>
    <row r="1636" customFormat="false" ht="15" hidden="false" customHeight="true" outlineLevel="0" collapsed="false">
      <c r="A1636" s="1" t="n">
        <v>2026</v>
      </c>
      <c r="B1636" s="1" t="n">
        <v>1</v>
      </c>
      <c r="C1636" s="1" t="inlineStr">
        <is>
          <t xml:space="preserve">CIINF20241</t>
        </is>
      </c>
      <c r="D1636" s="1" t="inlineStr">
        <is>
          <t xml:space="preserve">TITULADO</t>
        </is>
      </c>
      <c r="E1636" s="1" t="n">
        <v>1</v>
      </c>
      <c r="F1636" s="1" t="n">
        <v>1</v>
      </c>
      <c r="G1636" s="1" t="n">
        <f aca="false">IF(E1636=0,"",IF(D1636="VIGENTE",1,0))</f>
        <v>0</v>
      </c>
      <c r="H1636" s="1" t="inlineStr">
        <is>
          <t xml:space="preserve">B observado / C cálculo</t>
        </is>
      </c>
    </row>
    <row r="1637" customFormat="false" ht="15" hidden="false" customHeight="true" outlineLevel="0" collapsed="false">
      <c r="A1637" s="1" t="n">
        <v>2026</v>
      </c>
      <c r="B1637" s="1" t="n">
        <v>1</v>
      </c>
      <c r="C1637" s="1" t="inlineStr">
        <is>
          <t xml:space="preserve">CIINF20241</t>
        </is>
      </c>
      <c r="D1637" s="1" t="inlineStr">
        <is>
          <t xml:space="preserve">VIGENTE</t>
        </is>
      </c>
      <c r="E1637" s="1" t="n">
        <v>84</v>
      </c>
      <c r="F1637" s="1" t="n">
        <v>85</v>
      </c>
      <c r="G1637" s="1" t="n">
        <f aca="false">IF(E1637=0,"",IF(D1637="VIGENTE",1,0))</f>
        <v>1</v>
      </c>
      <c r="H1637" s="1" t="inlineStr">
        <is>
          <t xml:space="preserve">B observado / C cálculo</t>
        </is>
      </c>
    </row>
    <row r="1638" customFormat="false" ht="15" hidden="false" customHeight="true" outlineLevel="0" collapsed="false">
      <c r="A1638" s="1" t="n">
        <v>2026</v>
      </c>
      <c r="B1638" s="1" t="n">
        <v>1</v>
      </c>
      <c r="C1638" s="1" t="inlineStr">
        <is>
          <t xml:space="preserve">CILOG20241</t>
        </is>
      </c>
      <c r="D1638" s="1" t="inlineStr">
        <is>
          <t xml:space="preserve">VIGENTE</t>
        </is>
      </c>
      <c r="E1638" s="1" t="n">
        <v>32</v>
      </c>
      <c r="F1638" s="1" t="n">
        <v>32</v>
      </c>
      <c r="G1638" s="1" t="n">
        <f aca="false">IF(E1638=0,"",IF(D1638="VIGENTE",1,0))</f>
        <v>1</v>
      </c>
      <c r="H1638" s="1" t="inlineStr">
        <is>
          <t xml:space="preserve">B observado / C cálculo</t>
        </is>
      </c>
    </row>
    <row r="1639" customFormat="false" ht="15" hidden="false" customHeight="true" outlineLevel="0" collapsed="false">
      <c r="A1639" s="1" t="n">
        <v>2026</v>
      </c>
      <c r="B1639" s="1" t="n">
        <v>1</v>
      </c>
      <c r="C1639" s="1" t="inlineStr">
        <is>
          <t xml:space="preserve">CONG20251</t>
        </is>
      </c>
      <c r="D1639" s="1" t="inlineStr">
        <is>
          <t xml:space="preserve">ELIMINADO</t>
        </is>
      </c>
      <c r="E1639" s="1" t="n">
        <v>1</v>
      </c>
      <c r="F1639" s="1" t="n">
        <v>1</v>
      </c>
      <c r="G1639" s="1" t="n">
        <f aca="false">IF(E1639=0,"",IF(D1639="VIGENTE",1,0))</f>
        <v>0</v>
      </c>
      <c r="H1639" s="1" t="inlineStr">
        <is>
          <t xml:space="preserve">B observado / C cálculo</t>
        </is>
      </c>
    </row>
    <row r="1640" customFormat="false" ht="15" hidden="false" customHeight="true" outlineLevel="0" collapsed="false">
      <c r="A1640" s="1" t="n">
        <v>2026</v>
      </c>
      <c r="B1640" s="1" t="n">
        <v>1</v>
      </c>
      <c r="C1640" s="1" t="inlineStr">
        <is>
          <t xml:space="preserve">CONG20251</t>
        </is>
      </c>
      <c r="D1640" s="1" t="inlineStr">
        <is>
          <t xml:space="preserve">VIGENTE</t>
        </is>
      </c>
      <c r="E1640" s="1" t="n">
        <v>46</v>
      </c>
      <c r="F1640" s="1" t="n">
        <v>199</v>
      </c>
      <c r="G1640" s="1" t="n">
        <f aca="false">IF(E1640=0,"",IF(D1640="VIGENTE",1,0))</f>
        <v>1</v>
      </c>
      <c r="H1640" s="1" t="inlineStr">
        <is>
          <t xml:space="preserve">B observado / C cálculo</t>
        </is>
      </c>
    </row>
    <row r="1641" customFormat="false" ht="15" hidden="false" customHeight="true" outlineLevel="0" collapsed="false">
      <c r="A1641" s="1" t="n">
        <v>2026</v>
      </c>
      <c r="B1641" s="1" t="n">
        <v>1</v>
      </c>
      <c r="C1641" s="1" t="inlineStr">
        <is>
          <t xml:space="preserve">COTEIQ20261</t>
        </is>
      </c>
      <c r="D1641" s="1" t="inlineStr">
        <is>
          <t xml:space="preserve">ELIMINADO</t>
        </is>
      </c>
      <c r="E1641" s="1" t="n">
        <v>4</v>
      </c>
      <c r="F1641" s="1" t="n">
        <v>8</v>
      </c>
      <c r="G1641" s="1" t="n">
        <f aca="false">IF(E1641=0,"",IF(D1641="VIGENTE",1,0))</f>
        <v>0</v>
      </c>
      <c r="H1641" s="1" t="inlineStr">
        <is>
          <t xml:space="preserve">B observado / C cálculo</t>
        </is>
      </c>
    </row>
    <row r="1642" customFormat="false" ht="15" hidden="false" customHeight="true" outlineLevel="0" collapsed="false">
      <c r="A1642" s="1" t="n">
        <v>2026</v>
      </c>
      <c r="B1642" s="1" t="n">
        <v>1</v>
      </c>
      <c r="C1642" s="1" t="inlineStr">
        <is>
          <t xml:space="preserve">COTEIQ20261</t>
        </is>
      </c>
      <c r="D1642" s="1" t="inlineStr">
        <is>
          <t xml:space="preserve">VIGENTE</t>
        </is>
      </c>
      <c r="E1642" s="1" t="n">
        <v>34</v>
      </c>
      <c r="F1642" s="1" t="n">
        <v>110</v>
      </c>
      <c r="G1642" s="1" t="n">
        <f aca="false">IF(E1642=0,"",IF(D1642="VIGENTE",1,0))</f>
        <v>1</v>
      </c>
      <c r="H1642" s="1" t="inlineStr">
        <is>
          <t xml:space="preserve">B observado / C cálculo</t>
        </is>
      </c>
    </row>
    <row r="1643" customFormat="false" ht="15" hidden="false" customHeight="true" outlineLevel="0" collapsed="false">
      <c r="A1643" s="1" t="n">
        <v>2026</v>
      </c>
      <c r="B1643" s="1" t="n">
        <v>1</v>
      </c>
      <c r="C1643" s="1" t="inlineStr">
        <is>
          <t xml:space="preserve">COTENS20261</t>
        </is>
      </c>
      <c r="D1643" s="1" t="inlineStr">
        <is>
          <t xml:space="preserve">ELIMINADO</t>
        </is>
      </c>
      <c r="E1643" s="1" t="n">
        <v>5</v>
      </c>
      <c r="F1643" s="1" t="n">
        <v>6</v>
      </c>
      <c r="G1643" s="1" t="n">
        <f aca="false">IF(E1643=0,"",IF(D1643="VIGENTE",1,0))</f>
        <v>0</v>
      </c>
      <c r="H1643" s="1" t="inlineStr">
        <is>
          <t xml:space="preserve">B observado / C cálculo</t>
        </is>
      </c>
    </row>
    <row r="1644" customFormat="false" ht="15" hidden="false" customHeight="true" outlineLevel="0" collapsed="false">
      <c r="A1644" s="1" t="n">
        <v>2026</v>
      </c>
      <c r="B1644" s="1" t="n">
        <v>1</v>
      </c>
      <c r="C1644" s="1" t="inlineStr">
        <is>
          <t xml:space="preserve">COTENS20261</t>
        </is>
      </c>
      <c r="D1644" s="1" t="inlineStr">
        <is>
          <t xml:space="preserve">VIGENTE</t>
        </is>
      </c>
      <c r="E1644" s="1" t="n">
        <v>11</v>
      </c>
      <c r="F1644" s="1" t="n">
        <v>17</v>
      </c>
      <c r="G1644" s="1" t="n">
        <f aca="false">IF(E1644=0,"",IF(D1644="VIGENTE",1,0))</f>
        <v>1</v>
      </c>
      <c r="H1644" s="1" t="inlineStr">
        <is>
          <t xml:space="preserve">B observado / C cálculo</t>
        </is>
      </c>
    </row>
    <row r="1645" customFormat="false" ht="15" hidden="false" customHeight="true" outlineLevel="0" collapsed="false">
      <c r="A1645" s="1" t="n">
        <v>2026</v>
      </c>
      <c r="B1645" s="1" t="n">
        <v>1</v>
      </c>
      <c r="C1645" s="1" t="inlineStr">
        <is>
          <t xml:space="preserve">COTFAR20261</t>
        </is>
      </c>
      <c r="D1645" s="1" t="inlineStr">
        <is>
          <t xml:space="preserve">ELIMINADO</t>
        </is>
      </c>
      <c r="E1645" s="1" t="n">
        <v>2</v>
      </c>
      <c r="F1645" s="1" t="n">
        <v>2</v>
      </c>
      <c r="G1645" s="1" t="n">
        <f aca="false">IF(E1645=0,"",IF(D1645="VIGENTE",1,0))</f>
        <v>0</v>
      </c>
      <c r="H1645" s="1" t="inlineStr">
        <is>
          <t xml:space="preserve">B observado / C cálculo</t>
        </is>
      </c>
    </row>
    <row r="1646" customFormat="false" ht="15" hidden="false" customHeight="true" outlineLevel="0" collapsed="false">
      <c r="A1646" s="1" t="n">
        <v>2026</v>
      </c>
      <c r="B1646" s="1" t="n">
        <v>1</v>
      </c>
      <c r="C1646" s="1" t="inlineStr">
        <is>
          <t xml:space="preserve">COTFAR20261</t>
        </is>
      </c>
      <c r="D1646" s="1" t="inlineStr">
        <is>
          <t xml:space="preserve">VIGENTE</t>
        </is>
      </c>
      <c r="E1646" s="1" t="n">
        <v>17</v>
      </c>
      <c r="F1646" s="1" t="n">
        <v>32</v>
      </c>
      <c r="G1646" s="1" t="n">
        <f aca="false">IF(E1646=0,"",IF(D1646="VIGENTE",1,0))</f>
        <v>1</v>
      </c>
      <c r="H1646" s="1" t="inlineStr">
        <is>
          <t xml:space="preserve">B observado / C cálculo</t>
        </is>
      </c>
    </row>
    <row r="1647" customFormat="false" ht="15" hidden="false" customHeight="true" outlineLevel="0" collapsed="false">
      <c r="A1647" s="1" t="n">
        <v>2026</v>
      </c>
      <c r="B1647" s="1" t="n">
        <v>1</v>
      </c>
      <c r="C1647" s="1" t="inlineStr">
        <is>
          <t xml:space="preserve">DACD20251</t>
        </is>
      </c>
      <c r="D1647" s="1" t="inlineStr">
        <is>
          <t xml:space="preserve">VIGENTE</t>
        </is>
      </c>
      <c r="E1647" s="1" t="n">
        <v>11</v>
      </c>
      <c r="F1647" s="1" t="n">
        <v>88</v>
      </c>
      <c r="G1647" s="1" t="n">
        <f aca="false">IF(E1647=0,"",IF(D1647="VIGENTE",1,0))</f>
        <v>1</v>
      </c>
      <c r="H1647" s="1" t="inlineStr">
        <is>
          <t xml:space="preserve">B observado / C cálculo</t>
        </is>
      </c>
    </row>
    <row r="1648" customFormat="false" ht="15" hidden="false" customHeight="true" outlineLevel="0" collapsed="false">
      <c r="A1648" s="1" t="n">
        <v>2026</v>
      </c>
      <c r="B1648" s="1" t="n">
        <v>1</v>
      </c>
      <c r="C1648" s="1" t="inlineStr">
        <is>
          <t xml:space="preserve">DCBS20251</t>
        </is>
      </c>
      <c r="D1648" s="1" t="inlineStr">
        <is>
          <t xml:space="preserve">EGRESADO</t>
        </is>
      </c>
      <c r="E1648" s="1" t="n">
        <v>17</v>
      </c>
      <c r="F1648" s="1" t="n">
        <v>89</v>
      </c>
      <c r="G1648" s="1" t="n">
        <f aca="false">IF(E1648=0,"",IF(D1648="VIGENTE",1,0))</f>
        <v>0</v>
      </c>
      <c r="H1648" s="1" t="inlineStr">
        <is>
          <t xml:space="preserve">B observado / C cálculo</t>
        </is>
      </c>
    </row>
    <row r="1649" customFormat="false" ht="15" hidden="false" customHeight="true" outlineLevel="0" collapsed="false">
      <c r="A1649" s="1" t="n">
        <v>2026</v>
      </c>
      <c r="B1649" s="1" t="n">
        <v>1</v>
      </c>
      <c r="C1649" s="1" t="inlineStr">
        <is>
          <t xml:space="preserve">DCBS20251</t>
        </is>
      </c>
      <c r="D1649" s="1" t="inlineStr">
        <is>
          <t xml:space="preserve">VIGENTE</t>
        </is>
      </c>
      <c r="E1649" s="1" t="n">
        <v>9</v>
      </c>
      <c r="F1649" s="1" t="n">
        <v>40</v>
      </c>
      <c r="G1649" s="1" t="n">
        <f aca="false">IF(E1649=0,"",IF(D1649="VIGENTE",1,0))</f>
        <v>1</v>
      </c>
      <c r="H1649" s="1" t="inlineStr">
        <is>
          <t xml:space="preserve">B observado / C cálculo</t>
        </is>
      </c>
    </row>
    <row r="1650" customFormat="false" ht="15" hidden="false" customHeight="true" outlineLevel="0" collapsed="false">
      <c r="A1650" s="1" t="n">
        <v>2026</v>
      </c>
      <c r="B1650" s="1" t="n">
        <v>1</v>
      </c>
      <c r="C1650" s="1" t="inlineStr">
        <is>
          <t xml:space="preserve">IADM20241</t>
        </is>
      </c>
      <c r="D1650" s="1" t="inlineStr">
        <is>
          <t xml:space="preserve">ELIMINADO</t>
        </is>
      </c>
      <c r="E1650" s="1" t="n">
        <v>20</v>
      </c>
      <c r="F1650" s="1" t="n">
        <v>51</v>
      </c>
      <c r="G1650" s="1" t="n">
        <f aca="false">IF(E1650=0,"",IF(D1650="VIGENTE",1,0))</f>
        <v>0</v>
      </c>
      <c r="H1650" s="1" t="inlineStr">
        <is>
          <t xml:space="preserve">B observado / C cálculo</t>
        </is>
      </c>
    </row>
    <row r="1651" customFormat="false" ht="15" hidden="false" customHeight="true" outlineLevel="0" collapsed="false">
      <c r="A1651" s="1" t="n">
        <v>2026</v>
      </c>
      <c r="B1651" s="1" t="n">
        <v>1</v>
      </c>
      <c r="C1651" s="1" t="inlineStr">
        <is>
          <t xml:space="preserve">IADM20241</t>
        </is>
      </c>
      <c r="D1651" s="1" t="inlineStr">
        <is>
          <t xml:space="preserve">SUSPENDIDO</t>
        </is>
      </c>
      <c r="E1651" s="1" t="n">
        <v>1</v>
      </c>
      <c r="F1651" s="1" t="n">
        <v>4</v>
      </c>
      <c r="G1651" s="1" t="n">
        <f aca="false">IF(E1651=0,"",IF(D1651="VIGENTE",1,0))</f>
        <v>0</v>
      </c>
      <c r="H1651" s="1" t="inlineStr">
        <is>
          <t xml:space="preserve">B observado / C cálculo</t>
        </is>
      </c>
    </row>
    <row r="1652" customFormat="false" ht="15" hidden="false" customHeight="true" outlineLevel="0" collapsed="false">
      <c r="A1652" s="1" t="n">
        <v>2026</v>
      </c>
      <c r="B1652" s="1" t="n">
        <v>1</v>
      </c>
      <c r="C1652" s="1" t="inlineStr">
        <is>
          <t xml:space="preserve">IADM20241</t>
        </is>
      </c>
      <c r="D1652" s="1" t="inlineStr">
        <is>
          <t xml:space="preserve">VIGENTE</t>
        </is>
      </c>
      <c r="E1652" s="1" t="n">
        <v>122</v>
      </c>
      <c r="F1652" s="1" t="n">
        <v>561</v>
      </c>
      <c r="G1652" s="1" t="n">
        <f aca="false">IF(E1652=0,"",IF(D1652="VIGENTE",1,0))</f>
        <v>1</v>
      </c>
      <c r="H1652" s="1" t="inlineStr">
        <is>
          <t xml:space="preserve">B observado / C cálculo</t>
        </is>
      </c>
    </row>
    <row r="1653" customFormat="false" ht="15" hidden="false" customHeight="true" outlineLevel="0" collapsed="false">
      <c r="A1653" s="1" t="n">
        <v>2026</v>
      </c>
      <c r="B1653" s="1" t="n">
        <v>1</v>
      </c>
      <c r="C1653" s="1" t="inlineStr">
        <is>
          <t xml:space="preserve">ICDA20251</t>
        </is>
      </c>
      <c r="D1653" s="1" t="inlineStr">
        <is>
          <t xml:space="preserve">ELIMINADO</t>
        </is>
      </c>
      <c r="E1653" s="1" t="n">
        <v>2</v>
      </c>
      <c r="F1653" s="1" t="n">
        <v>4</v>
      </c>
      <c r="G1653" s="1" t="n">
        <f aca="false">IF(E1653=0,"",IF(D1653="VIGENTE",1,0))</f>
        <v>0</v>
      </c>
      <c r="H1653" s="1" t="inlineStr">
        <is>
          <t xml:space="preserve">B observado / C cálculo</t>
        </is>
      </c>
    </row>
    <row r="1654" customFormat="false" ht="15" hidden="false" customHeight="true" outlineLevel="0" collapsed="false">
      <c r="A1654" s="1" t="n">
        <v>2026</v>
      </c>
      <c r="B1654" s="1" t="n">
        <v>1</v>
      </c>
      <c r="C1654" s="1" t="inlineStr">
        <is>
          <t xml:space="preserve">ICDA20251</t>
        </is>
      </c>
      <c r="D1654" s="1" t="inlineStr">
        <is>
          <t xml:space="preserve">SUSPENDIDO</t>
        </is>
      </c>
      <c r="E1654" s="1" t="n">
        <v>2</v>
      </c>
      <c r="F1654" s="1" t="n">
        <v>3</v>
      </c>
      <c r="G1654" s="1" t="n">
        <f aca="false">IF(E1654=0,"",IF(D1654="VIGENTE",1,0))</f>
        <v>0</v>
      </c>
      <c r="H1654" s="1" t="inlineStr">
        <is>
          <t xml:space="preserve">B observado / C cálculo</t>
        </is>
      </c>
    </row>
    <row r="1655" customFormat="false" ht="15" hidden="false" customHeight="true" outlineLevel="0" collapsed="false">
      <c r="A1655" s="1" t="n">
        <v>2026</v>
      </c>
      <c r="B1655" s="1" t="n">
        <v>1</v>
      </c>
      <c r="C1655" s="1" t="inlineStr">
        <is>
          <t xml:space="preserve">ICDA20251</t>
        </is>
      </c>
      <c r="D1655" s="1" t="inlineStr">
        <is>
          <t xml:space="preserve">VIGENTE</t>
        </is>
      </c>
      <c r="E1655" s="1" t="n">
        <v>42</v>
      </c>
      <c r="F1655" s="1" t="n">
        <v>77</v>
      </c>
      <c r="G1655" s="1" t="n">
        <f aca="false">IF(E1655=0,"",IF(D1655="VIGENTE",1,0))</f>
        <v>1</v>
      </c>
      <c r="H1655" s="1" t="inlineStr">
        <is>
          <t xml:space="preserve">B observado / C cálculo</t>
        </is>
      </c>
    </row>
    <row r="1656" customFormat="false" ht="15" hidden="false" customHeight="true" outlineLevel="0" collapsed="false">
      <c r="A1656" s="1" t="n">
        <v>2026</v>
      </c>
      <c r="B1656" s="1" t="n">
        <v>1</v>
      </c>
      <c r="C1656" s="1" t="inlineStr">
        <is>
          <t xml:space="preserve">ICIB20241</t>
        </is>
      </c>
      <c r="D1656" s="1" t="inlineStr">
        <is>
          <t xml:space="preserve">ELIMINADO</t>
        </is>
      </c>
      <c r="E1656" s="1" t="n">
        <v>11</v>
      </c>
      <c r="F1656" s="1" t="n">
        <v>30</v>
      </c>
      <c r="G1656" s="1" t="n">
        <f aca="false">IF(E1656=0,"",IF(D1656="VIGENTE",1,0))</f>
        <v>0</v>
      </c>
      <c r="H1656" s="1" t="inlineStr">
        <is>
          <t xml:space="preserve">B observado / C cálculo</t>
        </is>
      </c>
    </row>
    <row r="1657" customFormat="false" ht="15" hidden="false" customHeight="true" outlineLevel="0" collapsed="false">
      <c r="A1657" s="1" t="n">
        <v>2026</v>
      </c>
      <c r="B1657" s="1" t="n">
        <v>1</v>
      </c>
      <c r="C1657" s="1" t="inlineStr">
        <is>
          <t xml:space="preserve">ICIB20241</t>
        </is>
      </c>
      <c r="D1657" s="1" t="inlineStr">
        <is>
          <t xml:space="preserve">SUSPENDIDO</t>
        </is>
      </c>
      <c r="E1657" s="1" t="n">
        <v>4</v>
      </c>
      <c r="F1657" s="1" t="n">
        <v>17</v>
      </c>
      <c r="G1657" s="1" t="n">
        <f aca="false">IF(E1657=0,"",IF(D1657="VIGENTE",1,0))</f>
        <v>0</v>
      </c>
      <c r="H1657" s="1" t="inlineStr">
        <is>
          <t xml:space="preserve">B observado / C cálculo</t>
        </is>
      </c>
    </row>
    <row r="1658" customFormat="false" ht="15" hidden="false" customHeight="true" outlineLevel="0" collapsed="false">
      <c r="A1658" s="1" t="n">
        <v>2026</v>
      </c>
      <c r="B1658" s="1" t="n">
        <v>1</v>
      </c>
      <c r="C1658" s="1" t="inlineStr">
        <is>
          <t xml:space="preserve">ICIB20241</t>
        </is>
      </c>
      <c r="D1658" s="1" t="inlineStr">
        <is>
          <t xml:space="preserve">TITULADO</t>
        </is>
      </c>
      <c r="E1658" s="1" t="n">
        <v>5</v>
      </c>
      <c r="F1658" s="1" t="n">
        <v>5</v>
      </c>
      <c r="G1658" s="1" t="n">
        <f aca="false">IF(E1658=0,"",IF(D1658="VIGENTE",1,0))</f>
        <v>0</v>
      </c>
      <c r="H1658" s="1" t="inlineStr">
        <is>
          <t xml:space="preserve">B observado / C cálculo</t>
        </is>
      </c>
    </row>
    <row r="1659" customFormat="false" ht="15" hidden="false" customHeight="true" outlineLevel="0" collapsed="false">
      <c r="A1659" s="1" t="n">
        <v>2026</v>
      </c>
      <c r="B1659" s="1" t="n">
        <v>1</v>
      </c>
      <c r="C1659" s="1" t="inlineStr">
        <is>
          <t xml:space="preserve">ICIB20241</t>
        </is>
      </c>
      <c r="D1659" s="1" t="inlineStr">
        <is>
          <t xml:space="preserve">VIGENTE</t>
        </is>
      </c>
      <c r="E1659" s="1" t="n">
        <v>284</v>
      </c>
      <c r="F1659" s="1" t="n">
        <v>1250</v>
      </c>
      <c r="G1659" s="1" t="n">
        <f aca="false">IF(E1659=0,"",IF(D1659="VIGENTE",1,0))</f>
        <v>1</v>
      </c>
      <c r="H1659" s="1" t="inlineStr">
        <is>
          <t xml:space="preserve">B observado / C cálculo</t>
        </is>
      </c>
    </row>
    <row r="1660" customFormat="false" ht="15" hidden="false" customHeight="true" outlineLevel="0" collapsed="false">
      <c r="A1660" s="1" t="n">
        <v>2026</v>
      </c>
      <c r="B1660" s="1" t="n">
        <v>1</v>
      </c>
      <c r="C1660" s="1" t="inlineStr">
        <is>
          <t xml:space="preserve">ICRE20241</t>
        </is>
      </c>
      <c r="D1660" s="1" t="inlineStr">
        <is>
          <t xml:space="preserve">ELIMINADO</t>
        </is>
      </c>
      <c r="E1660" s="1" t="n">
        <v>8</v>
      </c>
      <c r="F1660" s="1" t="n">
        <v>11</v>
      </c>
      <c r="G1660" s="1" t="n">
        <f aca="false">IF(E1660=0,"",IF(D1660="VIGENTE",1,0))</f>
        <v>0</v>
      </c>
      <c r="H1660" s="1" t="inlineStr">
        <is>
          <t xml:space="preserve">B observado / C cálculo</t>
        </is>
      </c>
    </row>
    <row r="1661" customFormat="false" ht="15" hidden="false" customHeight="true" outlineLevel="0" collapsed="false">
      <c r="A1661" s="1" t="n">
        <v>2026</v>
      </c>
      <c r="B1661" s="1" t="n">
        <v>1</v>
      </c>
      <c r="C1661" s="1" t="inlineStr">
        <is>
          <t xml:space="preserve">ICRE20241</t>
        </is>
      </c>
      <c r="D1661" s="1" t="inlineStr">
        <is>
          <t xml:space="preserve">TITULADO</t>
        </is>
      </c>
      <c r="E1661" s="1" t="n">
        <v>6</v>
      </c>
      <c r="F1661" s="1" t="n">
        <v>21</v>
      </c>
      <c r="G1661" s="1" t="n">
        <f aca="false">IF(E1661=0,"",IF(D1661="VIGENTE",1,0))</f>
        <v>0</v>
      </c>
      <c r="H1661" s="1" t="inlineStr">
        <is>
          <t xml:space="preserve">B observado / C cálculo</t>
        </is>
      </c>
    </row>
    <row r="1662" customFormat="false" ht="15" hidden="false" customHeight="true" outlineLevel="0" collapsed="false">
      <c r="A1662" s="1" t="n">
        <v>2026</v>
      </c>
      <c r="B1662" s="1" t="n">
        <v>1</v>
      </c>
      <c r="C1662" s="1" t="inlineStr">
        <is>
          <t xml:space="preserve">ICRE20241</t>
        </is>
      </c>
      <c r="D1662" s="1" t="inlineStr">
        <is>
          <t xml:space="preserve">VIGENTE</t>
        </is>
      </c>
      <c r="E1662" s="1" t="n">
        <v>136</v>
      </c>
      <c r="F1662" s="1" t="n">
        <v>257</v>
      </c>
      <c r="G1662" s="1" t="n">
        <f aca="false">IF(E1662=0,"",IF(D1662="VIGENTE",1,0))</f>
        <v>1</v>
      </c>
      <c r="H1662" s="1" t="inlineStr">
        <is>
          <t xml:space="preserve">B observado / C cálculo</t>
        </is>
      </c>
    </row>
    <row r="1663" customFormat="false" ht="15" hidden="false" customHeight="true" outlineLevel="0" collapsed="false">
      <c r="A1663" s="1" t="n">
        <v>2026</v>
      </c>
      <c r="B1663" s="1" t="n">
        <v>1</v>
      </c>
      <c r="C1663" s="1" t="inlineStr">
        <is>
          <t xml:space="preserve">IFIN20261</t>
        </is>
      </c>
      <c r="D1663" s="1" t="inlineStr">
        <is>
          <t xml:space="preserve">ELIMINADO</t>
        </is>
      </c>
      <c r="E1663" s="1" t="n">
        <v>7</v>
      </c>
      <c r="F1663" s="1" t="n">
        <v>11</v>
      </c>
      <c r="G1663" s="1" t="n">
        <f aca="false">IF(E1663=0,"",IF(D1663="VIGENTE",1,0))</f>
        <v>0</v>
      </c>
      <c r="H1663" s="1" t="inlineStr">
        <is>
          <t xml:space="preserve">B observado / C cálculo</t>
        </is>
      </c>
    </row>
    <row r="1664" customFormat="false" ht="15" hidden="false" customHeight="true" outlineLevel="0" collapsed="false">
      <c r="A1664" s="1" t="n">
        <v>2026</v>
      </c>
      <c r="B1664" s="1" t="n">
        <v>1</v>
      </c>
      <c r="C1664" s="1" t="inlineStr">
        <is>
          <t xml:space="preserve">IFIN20261</t>
        </is>
      </c>
      <c r="D1664" s="1" t="inlineStr">
        <is>
          <t xml:space="preserve">VIGENTE</t>
        </is>
      </c>
      <c r="E1664" s="1" t="n">
        <v>19</v>
      </c>
      <c r="F1664" s="1" t="n">
        <v>32</v>
      </c>
      <c r="G1664" s="1" t="n">
        <f aca="false">IF(E1664=0,"",IF(D1664="VIGENTE",1,0))</f>
        <v>1</v>
      </c>
      <c r="H1664" s="1" t="inlineStr">
        <is>
          <t xml:space="preserve">B observado / C cálculo</t>
        </is>
      </c>
    </row>
    <row r="1665" customFormat="false" ht="15" hidden="false" customHeight="true" outlineLevel="0" collapsed="false">
      <c r="A1665" s="1" t="n">
        <v>2026</v>
      </c>
      <c r="B1665" s="1" t="n">
        <v>1</v>
      </c>
      <c r="C1665" s="1" t="inlineStr">
        <is>
          <t xml:space="preserve">IIND20251</t>
        </is>
      </c>
      <c r="D1665" s="1" t="inlineStr">
        <is>
          <t xml:space="preserve">ELIMINADO</t>
        </is>
      </c>
      <c r="E1665" s="1" t="n">
        <v>12</v>
      </c>
      <c r="F1665" s="1" t="n">
        <v>18</v>
      </c>
      <c r="G1665" s="1" t="n">
        <f aca="false">IF(E1665=0,"",IF(D1665="VIGENTE",1,0))</f>
        <v>0</v>
      </c>
      <c r="H1665" s="1" t="inlineStr">
        <is>
          <t xml:space="preserve">B observado / C cálculo</t>
        </is>
      </c>
    </row>
    <row r="1666" customFormat="false" ht="15" hidden="false" customHeight="true" outlineLevel="0" collapsed="false">
      <c r="A1666" s="1" t="n">
        <v>2026</v>
      </c>
      <c r="B1666" s="1" t="n">
        <v>1</v>
      </c>
      <c r="C1666" s="1" t="inlineStr">
        <is>
          <t xml:space="preserve">IIND20251</t>
        </is>
      </c>
      <c r="D1666" s="1" t="inlineStr">
        <is>
          <t xml:space="preserve">SUSPENDIDO</t>
        </is>
      </c>
      <c r="E1666" s="1" t="n">
        <v>1</v>
      </c>
      <c r="F1666" s="1" t="n">
        <v>2</v>
      </c>
      <c r="G1666" s="1" t="n">
        <f aca="false">IF(E1666=0,"",IF(D1666="VIGENTE",1,0))</f>
        <v>0</v>
      </c>
      <c r="H1666" s="1" t="inlineStr">
        <is>
          <t xml:space="preserve">B observado / C cálculo</t>
        </is>
      </c>
    </row>
    <row r="1667" customFormat="false" ht="15" hidden="false" customHeight="true" outlineLevel="0" collapsed="false">
      <c r="A1667" s="1" t="n">
        <v>2026</v>
      </c>
      <c r="B1667" s="1" t="n">
        <v>1</v>
      </c>
      <c r="C1667" s="1" t="inlineStr">
        <is>
          <t xml:space="preserve">IIND20251</t>
        </is>
      </c>
      <c r="D1667" s="1" t="inlineStr">
        <is>
          <t xml:space="preserve">VIGENTE</t>
        </is>
      </c>
      <c r="E1667" s="1" t="n">
        <v>70</v>
      </c>
      <c r="F1667" s="1" t="n">
        <v>133</v>
      </c>
      <c r="G1667" s="1" t="n">
        <f aca="false">IF(E1667=0,"",IF(D1667="VIGENTE",1,0))</f>
        <v>1</v>
      </c>
      <c r="H1667" s="1" t="inlineStr">
        <is>
          <t xml:space="preserve">B observado / C cálculo</t>
        </is>
      </c>
    </row>
    <row r="1668" customFormat="false" ht="15" hidden="false" customHeight="true" outlineLevel="0" collapsed="false">
      <c r="A1668" s="1" t="n">
        <v>2026</v>
      </c>
      <c r="B1668" s="1" t="n">
        <v>1</v>
      </c>
      <c r="C1668" s="1" t="inlineStr">
        <is>
          <t xml:space="preserve">IINF20241</t>
        </is>
      </c>
      <c r="D1668" s="1" t="inlineStr">
        <is>
          <t xml:space="preserve">ELIMINADO</t>
        </is>
      </c>
      <c r="E1668" s="1" t="n">
        <v>8</v>
      </c>
      <c r="F1668" s="1" t="n">
        <v>13</v>
      </c>
      <c r="G1668" s="1" t="n">
        <f aca="false">IF(E1668=0,"",IF(D1668="VIGENTE",1,0))</f>
        <v>0</v>
      </c>
      <c r="H1668" s="1" t="inlineStr">
        <is>
          <t xml:space="preserve">B observado / C cálculo</t>
        </is>
      </c>
    </row>
    <row r="1669" customFormat="false" ht="15" hidden="false" customHeight="true" outlineLevel="0" collapsed="false">
      <c r="A1669" s="1" t="n">
        <v>2026</v>
      </c>
      <c r="B1669" s="1" t="n">
        <v>1</v>
      </c>
      <c r="C1669" s="1" t="inlineStr">
        <is>
          <t xml:space="preserve">IINF20241</t>
        </is>
      </c>
      <c r="D1669" s="1" t="inlineStr">
        <is>
          <t xml:space="preserve">SUSPENDIDO</t>
        </is>
      </c>
      <c r="E1669" s="1" t="n">
        <v>4</v>
      </c>
      <c r="F1669" s="1" t="n">
        <v>7</v>
      </c>
      <c r="G1669" s="1" t="n">
        <f aca="false">IF(E1669=0,"",IF(D1669="VIGENTE",1,0))</f>
        <v>0</v>
      </c>
      <c r="H1669" s="1" t="inlineStr">
        <is>
          <t xml:space="preserve">B observado / C cálculo</t>
        </is>
      </c>
    </row>
    <row r="1670" customFormat="false" ht="15" hidden="false" customHeight="true" outlineLevel="0" collapsed="false">
      <c r="A1670" s="1" t="n">
        <v>2026</v>
      </c>
      <c r="B1670" s="1" t="n">
        <v>1</v>
      </c>
      <c r="C1670" s="1" t="inlineStr">
        <is>
          <t xml:space="preserve">IINF20241</t>
        </is>
      </c>
      <c r="D1670" s="1" t="inlineStr">
        <is>
          <t xml:space="preserve">VIGENTE</t>
        </is>
      </c>
      <c r="E1670" s="1" t="n">
        <v>267</v>
      </c>
      <c r="F1670" s="1" t="n">
        <v>474</v>
      </c>
      <c r="G1670" s="1" t="n">
        <f aca="false">IF(E1670=0,"",IF(D1670="VIGENTE",1,0))</f>
        <v>1</v>
      </c>
      <c r="H1670" s="1" t="inlineStr">
        <is>
          <t xml:space="preserve">B observado / C cálculo</t>
        </is>
      </c>
    </row>
    <row r="1671" customFormat="false" ht="15" hidden="false" customHeight="true" outlineLevel="0" collapsed="false">
      <c r="A1671" s="1" t="n">
        <v>2026</v>
      </c>
      <c r="B1671" s="1" t="n">
        <v>1</v>
      </c>
      <c r="C1671" s="1" t="inlineStr">
        <is>
          <t xml:space="preserve">ILOG20241</t>
        </is>
      </c>
      <c r="D1671" s="1" t="inlineStr">
        <is>
          <t xml:space="preserve">ELIMINADO</t>
        </is>
      </c>
      <c r="E1671" s="1" t="n">
        <v>14</v>
      </c>
      <c r="F1671" s="1" t="n">
        <v>22</v>
      </c>
      <c r="G1671" s="1" t="n">
        <f aca="false">IF(E1671=0,"",IF(D1671="VIGENTE",1,0))</f>
        <v>0</v>
      </c>
      <c r="H1671" s="1" t="inlineStr">
        <is>
          <t xml:space="preserve">B observado / C cálculo</t>
        </is>
      </c>
    </row>
    <row r="1672" customFormat="false" ht="15" hidden="false" customHeight="true" outlineLevel="0" collapsed="false">
      <c r="A1672" s="1" t="n">
        <v>2026</v>
      </c>
      <c r="B1672" s="1" t="n">
        <v>1</v>
      </c>
      <c r="C1672" s="1" t="inlineStr">
        <is>
          <t xml:space="preserve">ILOG20241</t>
        </is>
      </c>
      <c r="D1672" s="1" t="inlineStr">
        <is>
          <t xml:space="preserve">SUSPENDIDO</t>
        </is>
      </c>
      <c r="E1672" s="1" t="n">
        <v>1</v>
      </c>
      <c r="F1672" s="1" t="n">
        <v>2</v>
      </c>
      <c r="G1672" s="1" t="n">
        <f aca="false">IF(E1672=0,"",IF(D1672="VIGENTE",1,0))</f>
        <v>0</v>
      </c>
      <c r="H1672" s="1" t="inlineStr">
        <is>
          <t xml:space="preserve">B observado / C cálculo</t>
        </is>
      </c>
    </row>
    <row r="1673" customFormat="false" ht="15" hidden="false" customHeight="true" outlineLevel="0" collapsed="false">
      <c r="A1673" s="1" t="n">
        <v>2026</v>
      </c>
      <c r="B1673" s="1" t="n">
        <v>1</v>
      </c>
      <c r="C1673" s="1" t="inlineStr">
        <is>
          <t xml:space="preserve">ILOG20241</t>
        </is>
      </c>
      <c r="D1673" s="1" t="inlineStr">
        <is>
          <t xml:space="preserve">VIGENTE</t>
        </is>
      </c>
      <c r="E1673" s="1" t="n">
        <v>94</v>
      </c>
      <c r="F1673" s="1" t="n">
        <v>202</v>
      </c>
      <c r="G1673" s="1" t="n">
        <f aca="false">IF(E1673=0,"",IF(D1673="VIGENTE",1,0))</f>
        <v>1</v>
      </c>
      <c r="H1673" s="1" t="inlineStr">
        <is>
          <t xml:space="preserve">B observado / C cálculo</t>
        </is>
      </c>
    </row>
    <row r="1674" customFormat="false" ht="15" hidden="false" customHeight="true" outlineLevel="0" collapsed="false">
      <c r="A1674" s="1" t="n">
        <v>2026</v>
      </c>
      <c r="B1674" s="1" t="n">
        <v>1</v>
      </c>
      <c r="C1674" s="1" t="inlineStr">
        <is>
          <t xml:space="preserve">IMDI20261</t>
        </is>
      </c>
      <c r="D1674" s="1" t="inlineStr">
        <is>
          <t xml:space="preserve">ELIMINADO</t>
        </is>
      </c>
      <c r="E1674" s="1" t="n">
        <v>9</v>
      </c>
      <c r="F1674" s="1" t="n">
        <v>12</v>
      </c>
      <c r="G1674" s="1" t="n">
        <f aca="false">IF(E1674=0,"",IF(D1674="VIGENTE",1,0))</f>
        <v>0</v>
      </c>
      <c r="H1674" s="1" t="inlineStr">
        <is>
          <t xml:space="preserve">B observado / C cálculo</t>
        </is>
      </c>
    </row>
    <row r="1675" customFormat="false" ht="15" hidden="false" customHeight="true" outlineLevel="0" collapsed="false">
      <c r="A1675" s="1" t="n">
        <v>2026</v>
      </c>
      <c r="B1675" s="1" t="n">
        <v>1</v>
      </c>
      <c r="C1675" s="1" t="inlineStr">
        <is>
          <t xml:space="preserve">IMDI20261</t>
        </is>
      </c>
      <c r="D1675" s="1" t="inlineStr">
        <is>
          <t xml:space="preserve">SUSPENDIDO</t>
        </is>
      </c>
      <c r="E1675" s="1" t="n">
        <v>2</v>
      </c>
      <c r="F1675" s="1" t="n">
        <v>3</v>
      </c>
      <c r="G1675" s="1" t="n">
        <f aca="false">IF(E1675=0,"",IF(D1675="VIGENTE",1,0))</f>
        <v>0</v>
      </c>
      <c r="H1675" s="1" t="inlineStr">
        <is>
          <t xml:space="preserve">B observado / C cálculo</t>
        </is>
      </c>
    </row>
    <row r="1676" customFormat="false" ht="15" hidden="false" customHeight="true" outlineLevel="0" collapsed="false">
      <c r="A1676" s="1" t="n">
        <v>2026</v>
      </c>
      <c r="B1676" s="1" t="n">
        <v>1</v>
      </c>
      <c r="C1676" s="1" t="inlineStr">
        <is>
          <t xml:space="preserve">IMDI20261</t>
        </is>
      </c>
      <c r="D1676" s="1" t="inlineStr">
        <is>
          <t xml:space="preserve">VIGENTE</t>
        </is>
      </c>
      <c r="E1676" s="1" t="n">
        <v>53</v>
      </c>
      <c r="F1676" s="1" t="n">
        <v>90</v>
      </c>
      <c r="G1676" s="1" t="n">
        <f aca="false">IF(E1676=0,"",IF(D1676="VIGENTE",1,0))</f>
        <v>1</v>
      </c>
      <c r="H1676" s="1" t="inlineStr">
        <is>
          <t xml:space="preserve">B observado / C cálculo</t>
        </is>
      </c>
    </row>
    <row r="1677" customFormat="false" ht="15" hidden="false" customHeight="true" outlineLevel="0" collapsed="false">
      <c r="A1677" s="1" t="n">
        <v>2026</v>
      </c>
      <c r="B1677" s="1" t="n">
        <v>1</v>
      </c>
      <c r="C1677" s="1" t="inlineStr">
        <is>
          <t xml:space="preserve">IPRE20261</t>
        </is>
      </c>
      <c r="D1677" s="1" t="inlineStr">
        <is>
          <t xml:space="preserve">ELIMINADO</t>
        </is>
      </c>
      <c r="E1677" s="1" t="n">
        <v>1</v>
      </c>
      <c r="F1677" s="1" t="n">
        <v>2</v>
      </c>
      <c r="G1677" s="1" t="n">
        <f aca="false">IF(E1677=0,"",IF(D1677="VIGENTE",1,0))</f>
        <v>0</v>
      </c>
      <c r="H1677" s="1" t="inlineStr">
        <is>
          <t xml:space="preserve">B observado / C cálculo</t>
        </is>
      </c>
    </row>
    <row r="1678" customFormat="false" ht="15" hidden="false" customHeight="true" outlineLevel="0" collapsed="false">
      <c r="A1678" s="1" t="n">
        <v>2026</v>
      </c>
      <c r="B1678" s="1" t="n">
        <v>1</v>
      </c>
      <c r="C1678" s="1" t="inlineStr">
        <is>
          <t xml:space="preserve">IPRE20261</t>
        </is>
      </c>
      <c r="D1678" s="1" t="inlineStr">
        <is>
          <t xml:space="preserve">SUSPENDIDO</t>
        </is>
      </c>
      <c r="E1678" s="1" t="n">
        <v>1</v>
      </c>
      <c r="F1678" s="1" t="n">
        <v>2</v>
      </c>
      <c r="G1678" s="1" t="n">
        <f aca="false">IF(E1678=0,"",IF(D1678="VIGENTE",1,0))</f>
        <v>0</v>
      </c>
      <c r="H1678" s="1" t="inlineStr">
        <is>
          <t xml:space="preserve">B observado / C cálculo</t>
        </is>
      </c>
    </row>
    <row r="1679" customFormat="false" ht="15" hidden="false" customHeight="true" outlineLevel="0" collapsed="false">
      <c r="A1679" s="1" t="n">
        <v>2026</v>
      </c>
      <c r="B1679" s="1" t="n">
        <v>1</v>
      </c>
      <c r="C1679" s="1" t="inlineStr">
        <is>
          <t xml:space="preserve">IPRE20261</t>
        </is>
      </c>
      <c r="D1679" s="1" t="inlineStr">
        <is>
          <t xml:space="preserve">VIGENTE</t>
        </is>
      </c>
      <c r="E1679" s="1" t="n">
        <v>22</v>
      </c>
      <c r="F1679" s="1" t="n">
        <v>31</v>
      </c>
      <c r="G1679" s="1" t="n">
        <f aca="false">IF(E1679=0,"",IF(D1679="VIGENTE",1,0))</f>
        <v>1</v>
      </c>
      <c r="H1679" s="1" t="inlineStr">
        <is>
          <t xml:space="preserve">B observado / C cálculo</t>
        </is>
      </c>
    </row>
    <row r="1680" customFormat="false" ht="15" hidden="false" customHeight="true" outlineLevel="0" collapsed="false">
      <c r="A1680" s="1" t="n">
        <v>2026</v>
      </c>
      <c r="B1680" s="1" t="n">
        <v>1</v>
      </c>
      <c r="C1680" s="1" t="inlineStr">
        <is>
          <t xml:space="preserve">IRHU20261</t>
        </is>
      </c>
      <c r="D1680" s="1" t="inlineStr">
        <is>
          <t xml:space="preserve">ELIMINADO</t>
        </is>
      </c>
      <c r="E1680" s="1" t="n">
        <v>10</v>
      </c>
      <c r="F1680" s="1" t="n">
        <v>19</v>
      </c>
      <c r="G1680" s="1" t="n">
        <f aca="false">IF(E1680=0,"",IF(D1680="VIGENTE",1,0))</f>
        <v>0</v>
      </c>
      <c r="H1680" s="1" t="inlineStr">
        <is>
          <t xml:space="preserve">B observado / C cálculo</t>
        </is>
      </c>
    </row>
    <row r="1681" customFormat="false" ht="15" hidden="false" customHeight="true" outlineLevel="0" collapsed="false">
      <c r="A1681" s="1" t="n">
        <v>2026</v>
      </c>
      <c r="B1681" s="1" t="n">
        <v>1</v>
      </c>
      <c r="C1681" s="1" t="inlineStr">
        <is>
          <t xml:space="preserve">IRHU20261</t>
        </is>
      </c>
      <c r="D1681" s="1" t="inlineStr">
        <is>
          <t xml:space="preserve">VIGENTE</t>
        </is>
      </c>
      <c r="E1681" s="1" t="n">
        <v>22</v>
      </c>
      <c r="F1681" s="1" t="n">
        <v>33</v>
      </c>
      <c r="G1681" s="1" t="n">
        <f aca="false">IF(E1681=0,"",IF(D1681="VIGENTE",1,0))</f>
        <v>1</v>
      </c>
      <c r="H1681" s="1" t="inlineStr">
        <is>
          <t xml:space="preserve">B observado / C cálculo</t>
        </is>
      </c>
    </row>
    <row r="1682" customFormat="false" ht="15" hidden="false" customHeight="true" outlineLevel="0" collapsed="false">
      <c r="A1682" s="1" t="n">
        <v>2026</v>
      </c>
      <c r="B1682" s="1" t="n">
        <v>1</v>
      </c>
      <c r="C1682" s="1" t="inlineStr">
        <is>
          <t xml:space="preserve">ISEP20261</t>
        </is>
      </c>
      <c r="D1682" s="1" t="inlineStr">
        <is>
          <t xml:space="preserve">ELIMINADO</t>
        </is>
      </c>
      <c r="E1682" s="1" t="n">
        <v>8</v>
      </c>
      <c r="F1682" s="1" t="n">
        <v>13</v>
      </c>
      <c r="G1682" s="1" t="n">
        <f aca="false">IF(E1682=0,"",IF(D1682="VIGENTE",1,0))</f>
        <v>0</v>
      </c>
      <c r="H1682" s="1" t="inlineStr">
        <is>
          <t xml:space="preserve">B observado / C cálculo</t>
        </is>
      </c>
    </row>
    <row r="1683" customFormat="false" ht="15" hidden="false" customHeight="true" outlineLevel="0" collapsed="false">
      <c r="A1683" s="1" t="n">
        <v>2026</v>
      </c>
      <c r="B1683" s="1" t="n">
        <v>1</v>
      </c>
      <c r="C1683" s="1" t="inlineStr">
        <is>
          <t xml:space="preserve">ISEP20261</t>
        </is>
      </c>
      <c r="D1683" s="1" t="inlineStr">
        <is>
          <t xml:space="preserve">VIGENTE</t>
        </is>
      </c>
      <c r="E1683" s="1" t="n">
        <v>12</v>
      </c>
      <c r="F1683" s="1" t="n">
        <v>18</v>
      </c>
      <c r="G1683" s="1" t="n">
        <f aca="false">IF(E1683=0,"",IF(D1683="VIGENTE",1,0))</f>
        <v>1</v>
      </c>
      <c r="H1683" s="1" t="inlineStr">
        <is>
          <t xml:space="preserve">B observado / C cálculo</t>
        </is>
      </c>
    </row>
    <row r="1684" customFormat="false" ht="15" hidden="false" customHeight="true" outlineLevel="0" collapsed="false">
      <c r="A1684" s="1" t="n">
        <v>2026</v>
      </c>
      <c r="B1684" s="1" t="n">
        <v>1</v>
      </c>
      <c r="C1684" s="1" t="inlineStr">
        <is>
          <t xml:space="preserve">NATP20251</t>
        </is>
      </c>
      <c r="D1684" s="1" t="inlineStr">
        <is>
          <t xml:space="preserve">ELIMINADO</t>
        </is>
      </c>
      <c r="E1684" s="1" t="n">
        <v>5</v>
      </c>
      <c r="F1684" s="1" t="n">
        <v>5</v>
      </c>
      <c r="G1684" s="1" t="n">
        <f aca="false">IF(E1684=0,"",IF(D1684="VIGENTE",1,0))</f>
        <v>0</v>
      </c>
      <c r="H1684" s="1" t="inlineStr">
        <is>
          <t xml:space="preserve">B observado / C cálculo</t>
        </is>
      </c>
    </row>
    <row r="1685" customFormat="false" ht="15" hidden="false" customHeight="true" outlineLevel="0" collapsed="false">
      <c r="A1685" s="1" t="n">
        <v>2026</v>
      </c>
      <c r="B1685" s="1" t="n">
        <v>1</v>
      </c>
      <c r="C1685" s="1" t="inlineStr">
        <is>
          <t xml:space="preserve">NATP20251</t>
        </is>
      </c>
      <c r="D1685" s="1" t="inlineStr">
        <is>
          <t xml:space="preserve">VIGENTE</t>
        </is>
      </c>
      <c r="E1685" s="1" t="n">
        <v>17</v>
      </c>
      <c r="F1685" s="1" t="n">
        <v>30</v>
      </c>
      <c r="G1685" s="1" t="n">
        <f aca="false">IF(E1685=0,"",IF(D1685="VIGENTE",1,0))</f>
        <v>1</v>
      </c>
      <c r="H1685" s="1" t="inlineStr">
        <is>
          <t xml:space="preserve">B observado / C cálculo</t>
        </is>
      </c>
    </row>
    <row r="1686" customFormat="false" ht="15" hidden="false" customHeight="true" outlineLevel="0" collapsed="false">
      <c r="A1686" s="1" t="n">
        <v>2026</v>
      </c>
      <c r="B1686" s="1" t="n">
        <v>1</v>
      </c>
      <c r="C1686" s="1" t="inlineStr">
        <is>
          <t xml:space="preserve">TADP20251</t>
        </is>
      </c>
      <c r="D1686" s="1" t="inlineStr">
        <is>
          <t xml:space="preserve">ELIMINADO</t>
        </is>
      </c>
      <c r="E1686" s="1" t="n">
        <v>4</v>
      </c>
      <c r="F1686" s="1" t="n">
        <v>12</v>
      </c>
      <c r="G1686" s="1" t="n">
        <f aca="false">IF(E1686=0,"",IF(D1686="VIGENTE",1,0))</f>
        <v>0</v>
      </c>
      <c r="H1686" s="1" t="inlineStr">
        <is>
          <t xml:space="preserve">B observado / C cálculo</t>
        </is>
      </c>
    </row>
    <row r="1687" customFormat="false" ht="15" hidden="false" customHeight="true" outlineLevel="0" collapsed="false">
      <c r="A1687" s="1" t="n">
        <v>2026</v>
      </c>
      <c r="B1687" s="1" t="n">
        <v>1</v>
      </c>
      <c r="C1687" s="1" t="inlineStr">
        <is>
          <t xml:space="preserve">TADP20251</t>
        </is>
      </c>
      <c r="D1687" s="1" t="inlineStr">
        <is>
          <t xml:space="preserve">VIGENTE</t>
        </is>
      </c>
      <c r="E1687" s="1" t="n">
        <v>21</v>
      </c>
      <c r="F1687" s="1" t="n">
        <v>93</v>
      </c>
      <c r="G1687" s="1" t="n">
        <f aca="false">IF(E1687=0,"",IF(D1687="VIGENTE",1,0))</f>
        <v>1</v>
      </c>
      <c r="H1687" s="1" t="inlineStr">
        <is>
          <t xml:space="preserve">B observado / C cálculo</t>
        </is>
      </c>
    </row>
    <row r="1688" customFormat="false" ht="15" hidden="false" customHeight="true" outlineLevel="0" collapsed="false">
      <c r="A1688" s="1" t="n">
        <v>2026</v>
      </c>
      <c r="B1688" s="1" t="n">
        <v>1</v>
      </c>
      <c r="C1688" s="1" t="inlineStr">
        <is>
          <t xml:space="preserve">TAMD20241</t>
        </is>
      </c>
      <c r="D1688" s="1" t="inlineStr">
        <is>
          <t xml:space="preserve">ELIMINADO</t>
        </is>
      </c>
      <c r="E1688" s="1" t="n">
        <v>14</v>
      </c>
      <c r="F1688" s="1" t="n">
        <v>36</v>
      </c>
      <c r="G1688" s="1" t="n">
        <f aca="false">IF(E1688=0,"",IF(D1688="VIGENTE",1,0))</f>
        <v>0</v>
      </c>
      <c r="H1688" s="1" t="inlineStr">
        <is>
          <t xml:space="preserve">B observado / C cálculo</t>
        </is>
      </c>
    </row>
    <row r="1689" customFormat="false" ht="15" hidden="false" customHeight="true" outlineLevel="0" collapsed="false">
      <c r="A1689" s="1" t="n">
        <v>2026</v>
      </c>
      <c r="B1689" s="1" t="n">
        <v>1</v>
      </c>
      <c r="C1689" s="1" t="inlineStr">
        <is>
          <t xml:space="preserve">TAMD20241</t>
        </is>
      </c>
      <c r="D1689" s="1" t="inlineStr">
        <is>
          <t xml:space="preserve">SUSPENDIDO</t>
        </is>
      </c>
      <c r="E1689" s="1" t="n">
        <v>1</v>
      </c>
      <c r="F1689" s="1" t="n">
        <v>4</v>
      </c>
      <c r="G1689" s="1" t="n">
        <f aca="false">IF(E1689=0,"",IF(D1689="VIGENTE",1,0))</f>
        <v>0</v>
      </c>
      <c r="H1689" s="1" t="inlineStr">
        <is>
          <t xml:space="preserve">B observado / C cálculo</t>
        </is>
      </c>
    </row>
    <row r="1690" customFormat="false" ht="15" hidden="false" customHeight="true" outlineLevel="0" collapsed="false">
      <c r="A1690" s="1" t="n">
        <v>2026</v>
      </c>
      <c r="B1690" s="1" t="n">
        <v>1</v>
      </c>
      <c r="C1690" s="1" t="inlineStr">
        <is>
          <t xml:space="preserve">TAMD20241</t>
        </is>
      </c>
      <c r="D1690" s="1" t="inlineStr">
        <is>
          <t xml:space="preserve">TITULADO</t>
        </is>
      </c>
      <c r="E1690" s="1" t="n">
        <v>6</v>
      </c>
      <c r="F1690" s="1" t="n">
        <v>14</v>
      </c>
      <c r="G1690" s="1" t="n">
        <f aca="false">IF(E1690=0,"",IF(D1690="VIGENTE",1,0))</f>
        <v>0</v>
      </c>
      <c r="H1690" s="1" t="inlineStr">
        <is>
          <t xml:space="preserve">B observado / C cálculo</t>
        </is>
      </c>
    </row>
    <row r="1691" customFormat="false" ht="15" hidden="false" customHeight="true" outlineLevel="0" collapsed="false">
      <c r="A1691" s="1" t="n">
        <v>2026</v>
      </c>
      <c r="B1691" s="1" t="n">
        <v>1</v>
      </c>
      <c r="C1691" s="1" t="inlineStr">
        <is>
          <t xml:space="preserve">TAMD20241</t>
        </is>
      </c>
      <c r="D1691" s="1" t="inlineStr">
        <is>
          <t xml:space="preserve">VIGENTE</t>
        </is>
      </c>
      <c r="E1691" s="1" t="n">
        <v>106</v>
      </c>
      <c r="F1691" s="1" t="n">
        <v>488</v>
      </c>
      <c r="G1691" s="1" t="n">
        <f aca="false">IF(E1691=0,"",IF(D1691="VIGENTE",1,0))</f>
        <v>1</v>
      </c>
      <c r="H1691" s="1" t="inlineStr">
        <is>
          <t xml:space="preserve">B observado / C cálculo</t>
        </is>
      </c>
    </row>
    <row r="1692" customFormat="false" ht="15" hidden="false" customHeight="true" outlineLevel="0" collapsed="false">
      <c r="A1692" s="1" t="n">
        <v>2026</v>
      </c>
      <c r="B1692" s="1" t="n">
        <v>1</v>
      </c>
      <c r="C1692" s="1" t="inlineStr">
        <is>
          <t xml:space="preserve">TCDA20251</t>
        </is>
      </c>
      <c r="D1692" s="1" t="inlineStr">
        <is>
          <t xml:space="preserve">ELIMINADO</t>
        </is>
      </c>
      <c r="E1692" s="1" t="n">
        <v>7</v>
      </c>
      <c r="F1692" s="1" t="n">
        <v>15</v>
      </c>
      <c r="G1692" s="1" t="n">
        <f aca="false">IF(E1692=0,"",IF(D1692="VIGENTE",1,0))</f>
        <v>0</v>
      </c>
      <c r="H1692" s="1" t="inlineStr">
        <is>
          <t xml:space="preserve">B observado / C cálculo</t>
        </is>
      </c>
    </row>
    <row r="1693" customFormat="false" ht="15" hidden="false" customHeight="true" outlineLevel="0" collapsed="false">
      <c r="A1693" s="1" t="n">
        <v>2026</v>
      </c>
      <c r="B1693" s="1" t="n">
        <v>1</v>
      </c>
      <c r="C1693" s="1" t="inlineStr">
        <is>
          <t xml:space="preserve">TCDA20251</t>
        </is>
      </c>
      <c r="D1693" s="1" t="inlineStr">
        <is>
          <t xml:space="preserve">SUSPENDIDO</t>
        </is>
      </c>
      <c r="E1693" s="1" t="n">
        <v>2</v>
      </c>
      <c r="F1693" s="1" t="n">
        <v>2</v>
      </c>
      <c r="G1693" s="1" t="n">
        <f aca="false">IF(E1693=0,"",IF(D1693="VIGENTE",1,0))</f>
        <v>0</v>
      </c>
      <c r="H1693" s="1" t="inlineStr">
        <is>
          <t xml:space="preserve">B observado / C cálculo</t>
        </is>
      </c>
    </row>
    <row r="1694" customFormat="false" ht="15" hidden="false" customHeight="true" outlineLevel="0" collapsed="false">
      <c r="A1694" s="1" t="n">
        <v>2026</v>
      </c>
      <c r="B1694" s="1" t="n">
        <v>1</v>
      </c>
      <c r="C1694" s="1" t="inlineStr">
        <is>
          <t xml:space="preserve">TCDA20251</t>
        </is>
      </c>
      <c r="D1694" s="1" t="inlineStr">
        <is>
          <t xml:space="preserve">VIGENTE</t>
        </is>
      </c>
      <c r="E1694" s="1" t="n">
        <v>24</v>
      </c>
      <c r="F1694" s="1" t="n">
        <v>40</v>
      </c>
      <c r="G1694" s="1" t="n">
        <f aca="false">IF(E1694=0,"",IF(D1694="VIGENTE",1,0))</f>
        <v>1</v>
      </c>
      <c r="H1694" s="1" t="inlineStr">
        <is>
          <t xml:space="preserve">B observado / C cálculo</t>
        </is>
      </c>
    </row>
    <row r="1695" customFormat="false" ht="15" hidden="false" customHeight="true" outlineLevel="0" collapsed="false">
      <c r="A1695" s="1" t="n">
        <v>2026</v>
      </c>
      <c r="B1695" s="1" t="n">
        <v>1</v>
      </c>
      <c r="C1695" s="1" t="inlineStr">
        <is>
          <t xml:space="preserve">TCIB20241</t>
        </is>
      </c>
      <c r="D1695" s="1" t="inlineStr">
        <is>
          <t xml:space="preserve">ELIMINADO</t>
        </is>
      </c>
      <c r="E1695" s="1" t="n">
        <v>14</v>
      </c>
      <c r="F1695" s="1" t="n">
        <v>45</v>
      </c>
      <c r="G1695" s="1" t="n">
        <f aca="false">IF(E1695=0,"",IF(D1695="VIGENTE",1,0))</f>
        <v>0</v>
      </c>
      <c r="H1695" s="1" t="inlineStr">
        <is>
          <t xml:space="preserve">B observado / C cálculo</t>
        </is>
      </c>
    </row>
    <row r="1696" customFormat="false" ht="15" hidden="false" customHeight="true" outlineLevel="0" collapsed="false">
      <c r="A1696" s="1" t="n">
        <v>2026</v>
      </c>
      <c r="B1696" s="1" t="n">
        <v>1</v>
      </c>
      <c r="C1696" s="1" t="inlineStr">
        <is>
          <t xml:space="preserve">TCIB20241</t>
        </is>
      </c>
      <c r="D1696" s="1" t="inlineStr">
        <is>
          <t xml:space="preserve">SUSPENDIDO</t>
        </is>
      </c>
      <c r="E1696" s="1" t="n">
        <v>2</v>
      </c>
      <c r="F1696" s="1" t="n">
        <v>8</v>
      </c>
      <c r="G1696" s="1" t="n">
        <f aca="false">IF(E1696=0,"",IF(D1696="VIGENTE",1,0))</f>
        <v>0</v>
      </c>
      <c r="H1696" s="1" t="inlineStr">
        <is>
          <t xml:space="preserve">B observado / C cálculo</t>
        </is>
      </c>
    </row>
    <row r="1697" customFormat="false" ht="15" hidden="false" customHeight="true" outlineLevel="0" collapsed="false">
      <c r="A1697" s="1" t="n">
        <v>2026</v>
      </c>
      <c r="B1697" s="1" t="n">
        <v>1</v>
      </c>
      <c r="C1697" s="1" t="inlineStr">
        <is>
          <t xml:space="preserve">TCIB20241</t>
        </is>
      </c>
      <c r="D1697" s="1" t="inlineStr">
        <is>
          <t xml:space="preserve">TITULADO</t>
        </is>
      </c>
      <c r="E1697" s="1" t="n">
        <v>4</v>
      </c>
      <c r="F1697" s="1" t="n">
        <v>26</v>
      </c>
      <c r="G1697" s="1" t="n">
        <f aca="false">IF(E1697=0,"",IF(D1697="VIGENTE",1,0))</f>
        <v>0</v>
      </c>
      <c r="H1697" s="1" t="inlineStr">
        <is>
          <t xml:space="preserve">B observado / C cálculo</t>
        </is>
      </c>
    </row>
    <row r="1698" customFormat="false" ht="15" hidden="false" customHeight="true" outlineLevel="0" collapsed="false">
      <c r="A1698" s="1" t="n">
        <v>2026</v>
      </c>
      <c r="B1698" s="1" t="n">
        <v>1</v>
      </c>
      <c r="C1698" s="1" t="inlineStr">
        <is>
          <t xml:space="preserve">TCIB20241</t>
        </is>
      </c>
      <c r="D1698" s="1" t="inlineStr">
        <is>
          <t xml:space="preserve">VIGENTE</t>
        </is>
      </c>
      <c r="E1698" s="1" t="n">
        <v>114</v>
      </c>
      <c r="F1698" s="1" t="n">
        <v>460</v>
      </c>
      <c r="G1698" s="1" t="n">
        <f aca="false">IF(E1698=0,"",IF(D1698="VIGENTE",1,0))</f>
        <v>1</v>
      </c>
      <c r="H1698" s="1" t="inlineStr">
        <is>
          <t xml:space="preserve">B observado / C cálculo</t>
        </is>
      </c>
    </row>
    <row r="1699" customFormat="false" ht="15" hidden="false" customHeight="true" outlineLevel="0" collapsed="false">
      <c r="A1699" s="1" t="n">
        <v>2026</v>
      </c>
      <c r="B1699" s="1" t="n">
        <v>1</v>
      </c>
      <c r="C1699" s="1" t="inlineStr">
        <is>
          <t xml:space="preserve">TCRE20241</t>
        </is>
      </c>
      <c r="D1699" s="1" t="inlineStr">
        <is>
          <t xml:space="preserve">ELIMINADO</t>
        </is>
      </c>
      <c r="E1699" s="1" t="n">
        <v>6</v>
      </c>
      <c r="F1699" s="1" t="n">
        <v>9</v>
      </c>
      <c r="G1699" s="1" t="n">
        <f aca="false">IF(E1699=0,"",IF(D1699="VIGENTE",1,0))</f>
        <v>0</v>
      </c>
      <c r="H1699" s="1" t="inlineStr">
        <is>
          <t xml:space="preserve">B observado / C cálculo</t>
        </is>
      </c>
    </row>
    <row r="1700" customFormat="false" ht="15" hidden="false" customHeight="true" outlineLevel="0" collapsed="false">
      <c r="A1700" s="1" t="n">
        <v>2026</v>
      </c>
      <c r="B1700" s="1" t="n">
        <v>1</v>
      </c>
      <c r="C1700" s="1" t="inlineStr">
        <is>
          <t xml:space="preserve">TCRE20241</t>
        </is>
      </c>
      <c r="D1700" s="1" t="inlineStr">
        <is>
          <t xml:space="preserve">TITULADO</t>
        </is>
      </c>
      <c r="E1700" s="1" t="n">
        <v>5</v>
      </c>
      <c r="F1700" s="1" t="n">
        <v>17</v>
      </c>
      <c r="G1700" s="1" t="n">
        <f aca="false">IF(E1700=0,"",IF(D1700="VIGENTE",1,0))</f>
        <v>0</v>
      </c>
      <c r="H1700" s="1" t="inlineStr">
        <is>
          <t xml:space="preserve">B observado / C cálculo</t>
        </is>
      </c>
    </row>
    <row r="1701" customFormat="false" ht="15" hidden="false" customHeight="true" outlineLevel="0" collapsed="false">
      <c r="A1701" s="1" t="n">
        <v>2026</v>
      </c>
      <c r="B1701" s="1" t="n">
        <v>1</v>
      </c>
      <c r="C1701" s="1" t="inlineStr">
        <is>
          <t xml:space="preserve">TCRE20241</t>
        </is>
      </c>
      <c r="D1701" s="1" t="inlineStr">
        <is>
          <t xml:space="preserve">VIGENTE</t>
        </is>
      </c>
      <c r="E1701" s="1" t="n">
        <v>23</v>
      </c>
      <c r="F1701" s="1" t="n">
        <v>48</v>
      </c>
      <c r="G1701" s="1" t="n">
        <f aca="false">IF(E1701=0,"",IF(D1701="VIGENTE",1,0))</f>
        <v>1</v>
      </c>
      <c r="H1701" s="1" t="inlineStr">
        <is>
          <t xml:space="preserve">B observado / C cálculo</t>
        </is>
      </c>
    </row>
    <row r="1702" customFormat="false" ht="15" hidden="false" customHeight="true" outlineLevel="0" collapsed="false">
      <c r="A1702" s="1" t="n">
        <v>2026</v>
      </c>
      <c r="B1702" s="1" t="n">
        <v>1</v>
      </c>
      <c r="C1702" s="1" t="inlineStr">
        <is>
          <t xml:space="preserve">TEIQ20261</t>
        </is>
      </c>
      <c r="D1702" s="1" t="inlineStr">
        <is>
          <t xml:space="preserve">ELIMINADO</t>
        </is>
      </c>
      <c r="E1702" s="1" t="n">
        <v>12</v>
      </c>
      <c r="F1702" s="1" t="n">
        <v>18</v>
      </c>
      <c r="G1702" s="1" t="n">
        <f aca="false">IF(E1702=0,"",IF(D1702="VIGENTE",1,0))</f>
        <v>0</v>
      </c>
      <c r="H1702" s="1" t="inlineStr">
        <is>
          <t xml:space="preserve">B observado / C cálculo</t>
        </is>
      </c>
    </row>
    <row r="1703" customFormat="false" ht="15" hidden="false" customHeight="true" outlineLevel="0" collapsed="false">
      <c r="A1703" s="1" t="n">
        <v>2026</v>
      </c>
      <c r="B1703" s="1" t="n">
        <v>1</v>
      </c>
      <c r="C1703" s="1" t="inlineStr">
        <is>
          <t xml:space="preserve">TEIQ20261</t>
        </is>
      </c>
      <c r="D1703" s="1" t="inlineStr">
        <is>
          <t xml:space="preserve">VIGENTE</t>
        </is>
      </c>
      <c r="E1703" s="1" t="n">
        <v>73</v>
      </c>
      <c r="F1703" s="1" t="n">
        <v>99</v>
      </c>
      <c r="G1703" s="1" t="n">
        <f aca="false">IF(E1703=0,"",IF(D1703="VIGENTE",1,0))</f>
        <v>1</v>
      </c>
      <c r="H1703" s="1" t="inlineStr">
        <is>
          <t xml:space="preserve">B observado / C cálculo</t>
        </is>
      </c>
    </row>
    <row r="1704" customFormat="false" ht="15" hidden="false" customHeight="true" outlineLevel="0" collapsed="false">
      <c r="A1704" s="1" t="n">
        <v>2026</v>
      </c>
      <c r="B1704" s="1" t="n">
        <v>1</v>
      </c>
      <c r="C1704" s="1" t="inlineStr">
        <is>
          <t xml:space="preserve">TENS20251</t>
        </is>
      </c>
      <c r="D1704" s="1" t="inlineStr">
        <is>
          <t xml:space="preserve">ELIMINADO</t>
        </is>
      </c>
      <c r="E1704" s="1" t="n">
        <v>20</v>
      </c>
      <c r="F1704" s="1" t="n">
        <v>31</v>
      </c>
      <c r="G1704" s="1" t="n">
        <f aca="false">IF(E1704=0,"",IF(D1704="VIGENTE",1,0))</f>
        <v>0</v>
      </c>
      <c r="H1704" s="1" t="inlineStr">
        <is>
          <t xml:space="preserve">B observado / C cálculo</t>
        </is>
      </c>
    </row>
    <row r="1705" customFormat="false" ht="15" hidden="false" customHeight="true" outlineLevel="0" collapsed="false">
      <c r="A1705" s="1" t="n">
        <v>2026</v>
      </c>
      <c r="B1705" s="1" t="n">
        <v>1</v>
      </c>
      <c r="C1705" s="1" t="inlineStr">
        <is>
          <t xml:space="preserve">TENS20251</t>
        </is>
      </c>
      <c r="D1705" s="1" t="inlineStr">
        <is>
          <t xml:space="preserve">SUSPENDIDO</t>
        </is>
      </c>
      <c r="E1705" s="1" t="n">
        <v>8</v>
      </c>
      <c r="F1705" s="1" t="n">
        <v>14</v>
      </c>
      <c r="G1705" s="1" t="n">
        <f aca="false">IF(E1705=0,"",IF(D1705="VIGENTE",1,0))</f>
        <v>0</v>
      </c>
      <c r="H1705" s="1" t="inlineStr">
        <is>
          <t xml:space="preserve">B observado / C cálculo</t>
        </is>
      </c>
    </row>
    <row r="1706" customFormat="false" ht="15" hidden="false" customHeight="true" outlineLevel="0" collapsed="false">
      <c r="A1706" s="1" t="n">
        <v>2026</v>
      </c>
      <c r="B1706" s="1" t="n">
        <v>1</v>
      </c>
      <c r="C1706" s="1" t="inlineStr">
        <is>
          <t xml:space="preserve">TENS20251</t>
        </is>
      </c>
      <c r="D1706" s="1" t="inlineStr">
        <is>
          <t xml:space="preserve">VIGENTE</t>
        </is>
      </c>
      <c r="E1706" s="1" t="n">
        <v>156</v>
      </c>
      <c r="F1706" s="1" t="n">
        <v>242</v>
      </c>
      <c r="G1706" s="1" t="n">
        <f aca="false">IF(E1706=0,"",IF(D1706="VIGENTE",1,0))</f>
        <v>1</v>
      </c>
      <c r="H1706" s="1" t="inlineStr">
        <is>
          <t xml:space="preserve">B observado / C cálculo</t>
        </is>
      </c>
    </row>
    <row r="1707" customFormat="false" ht="15" hidden="false" customHeight="true" outlineLevel="0" collapsed="false">
      <c r="A1707" s="1" t="n">
        <v>2026</v>
      </c>
      <c r="B1707" s="1" t="n">
        <v>1</v>
      </c>
      <c r="C1707" s="1" t="inlineStr">
        <is>
          <t xml:space="preserve">TFAR20261</t>
        </is>
      </c>
      <c r="D1707" s="1" t="inlineStr">
        <is>
          <t xml:space="preserve">ELIMINADO</t>
        </is>
      </c>
      <c r="E1707" s="1" t="n">
        <v>4</v>
      </c>
      <c r="F1707" s="1" t="n">
        <v>6</v>
      </c>
      <c r="G1707" s="1" t="n">
        <f aca="false">IF(E1707=0,"",IF(D1707="VIGENTE",1,0))</f>
        <v>0</v>
      </c>
      <c r="H1707" s="1" t="inlineStr">
        <is>
          <t xml:space="preserve">B observado / C cálculo</t>
        </is>
      </c>
    </row>
    <row r="1708" customFormat="false" ht="15" hidden="false" customHeight="true" outlineLevel="0" collapsed="false">
      <c r="A1708" s="1" t="n">
        <v>2026</v>
      </c>
      <c r="B1708" s="1" t="n">
        <v>1</v>
      </c>
      <c r="C1708" s="1" t="inlineStr">
        <is>
          <t xml:space="preserve">TFAR20261</t>
        </is>
      </c>
      <c r="D1708" s="1" t="inlineStr">
        <is>
          <t xml:space="preserve">VIGENTE</t>
        </is>
      </c>
      <c r="E1708" s="1" t="n">
        <v>22</v>
      </c>
      <c r="F1708" s="1" t="n">
        <v>33</v>
      </c>
      <c r="G1708" s="1" t="n">
        <f aca="false">IF(E1708=0,"",IF(D1708="VIGENTE",1,0))</f>
        <v>1</v>
      </c>
      <c r="H1708" s="1" t="inlineStr">
        <is>
          <t xml:space="preserve">B observado / C cálculo</t>
        </is>
      </c>
    </row>
    <row r="1709" customFormat="false" ht="15" hidden="false" customHeight="true" outlineLevel="0" collapsed="false">
      <c r="A1709" s="1" t="n">
        <v>2026</v>
      </c>
      <c r="B1709" s="1" t="n">
        <v>1</v>
      </c>
      <c r="C1709" s="1" t="inlineStr">
        <is>
          <t xml:space="preserve">TFIN20261</t>
        </is>
      </c>
      <c r="D1709" s="1" t="inlineStr">
        <is>
          <t xml:space="preserve">ELIMINADO</t>
        </is>
      </c>
      <c r="E1709" s="1" t="n">
        <v>9</v>
      </c>
      <c r="F1709" s="1" t="n">
        <v>11</v>
      </c>
      <c r="G1709" s="1" t="n">
        <f aca="false">IF(E1709=0,"",IF(D1709="VIGENTE",1,0))</f>
        <v>0</v>
      </c>
      <c r="H1709" s="1" t="inlineStr">
        <is>
          <t xml:space="preserve">B observado / C cálculo</t>
        </is>
      </c>
    </row>
    <row r="1710" customFormat="false" ht="15" hidden="false" customHeight="true" outlineLevel="0" collapsed="false">
      <c r="A1710" s="1" t="n">
        <v>2026</v>
      </c>
      <c r="B1710" s="1" t="n">
        <v>1</v>
      </c>
      <c r="C1710" s="1" t="inlineStr">
        <is>
          <t xml:space="preserve">TFIN20261</t>
        </is>
      </c>
      <c r="D1710" s="1" t="inlineStr">
        <is>
          <t xml:space="preserve">VIGENTE</t>
        </is>
      </c>
      <c r="E1710" s="1" t="n">
        <v>20</v>
      </c>
      <c r="F1710" s="1" t="n">
        <v>30</v>
      </c>
      <c r="G1710" s="1" t="n">
        <f aca="false">IF(E1710=0,"",IF(D1710="VIGENTE",1,0))</f>
        <v>1</v>
      </c>
      <c r="H1710" s="1" t="inlineStr">
        <is>
          <t xml:space="preserve">B observado / C cálculo</t>
        </is>
      </c>
    </row>
    <row r="1711" customFormat="false" ht="15" hidden="false" customHeight="true" outlineLevel="0" collapsed="false">
      <c r="A1711" s="1" t="n">
        <v>2026</v>
      </c>
      <c r="B1711" s="1" t="n">
        <v>1</v>
      </c>
      <c r="C1711" s="1" t="inlineStr">
        <is>
          <t xml:space="preserve">TICL20261</t>
        </is>
      </c>
      <c r="D1711" s="1" t="inlineStr">
        <is>
          <t xml:space="preserve">ELIMINADO</t>
        </is>
      </c>
      <c r="E1711" s="1" t="n">
        <v>1</v>
      </c>
      <c r="F1711" s="1" t="n">
        <v>2</v>
      </c>
      <c r="G1711" s="1" t="n">
        <f aca="false">IF(E1711=0,"",IF(D1711="VIGENTE",1,0))</f>
        <v>0</v>
      </c>
      <c r="H1711" s="1" t="inlineStr">
        <is>
          <t xml:space="preserve">B observado / C cálculo</t>
        </is>
      </c>
    </row>
    <row r="1712" customFormat="false" ht="15" hidden="false" customHeight="true" outlineLevel="0" collapsed="false">
      <c r="A1712" s="1" t="n">
        <v>2026</v>
      </c>
      <c r="B1712" s="1" t="n">
        <v>1</v>
      </c>
      <c r="C1712" s="1" t="inlineStr">
        <is>
          <t xml:space="preserve">TICL20261</t>
        </is>
      </c>
      <c r="D1712" s="1" t="inlineStr">
        <is>
          <t xml:space="preserve">SUSPENDIDO</t>
        </is>
      </c>
      <c r="E1712" s="1" t="n">
        <v>1</v>
      </c>
      <c r="F1712" s="1" t="n">
        <v>2</v>
      </c>
      <c r="G1712" s="1" t="n">
        <f aca="false">IF(E1712=0,"",IF(D1712="VIGENTE",1,0))</f>
        <v>0</v>
      </c>
      <c r="H1712" s="1" t="inlineStr">
        <is>
          <t xml:space="preserve">B observado / C cálculo</t>
        </is>
      </c>
    </row>
    <row r="1713" customFormat="false" ht="15" hidden="false" customHeight="true" outlineLevel="0" collapsed="false">
      <c r="A1713" s="1" t="n">
        <v>2026</v>
      </c>
      <c r="B1713" s="1" t="n">
        <v>1</v>
      </c>
      <c r="C1713" s="1" t="inlineStr">
        <is>
          <t xml:space="preserve">TICL20261</t>
        </is>
      </c>
      <c r="D1713" s="1" t="inlineStr">
        <is>
          <t xml:space="preserve">VIGENTE</t>
        </is>
      </c>
      <c r="E1713" s="1" t="n">
        <v>11</v>
      </c>
      <c r="F1713" s="1" t="n">
        <v>20</v>
      </c>
      <c r="G1713" s="1" t="n">
        <f aca="false">IF(E1713=0,"",IF(D1713="VIGENTE",1,0))</f>
        <v>1</v>
      </c>
      <c r="H1713" s="1" t="inlineStr">
        <is>
          <t xml:space="preserve">B observado / C cálculo</t>
        </is>
      </c>
    </row>
    <row r="1714" customFormat="false" ht="15" hidden="false" customHeight="true" outlineLevel="0" collapsed="false">
      <c r="A1714" s="1" t="n">
        <v>2026</v>
      </c>
      <c r="B1714" s="1" t="n">
        <v>1</v>
      </c>
      <c r="C1714" s="1" t="inlineStr">
        <is>
          <t xml:space="preserve">TLOG20241</t>
        </is>
      </c>
      <c r="D1714" s="1" t="inlineStr">
        <is>
          <t xml:space="preserve">ELIMINADO</t>
        </is>
      </c>
      <c r="E1714" s="1" t="n">
        <v>4</v>
      </c>
      <c r="F1714" s="1" t="n">
        <v>5</v>
      </c>
      <c r="G1714" s="1" t="n">
        <f aca="false">IF(E1714=0,"",IF(D1714="VIGENTE",1,0))</f>
        <v>0</v>
      </c>
      <c r="H1714" s="1" t="inlineStr">
        <is>
          <t xml:space="preserve">B observado / C cálculo</t>
        </is>
      </c>
    </row>
    <row r="1715" customFormat="false" ht="15" hidden="false" customHeight="true" outlineLevel="0" collapsed="false">
      <c r="A1715" s="1" t="n">
        <v>2026</v>
      </c>
      <c r="B1715" s="1" t="n">
        <v>1</v>
      </c>
      <c r="C1715" s="1" t="inlineStr">
        <is>
          <t xml:space="preserve">TLOG20241</t>
        </is>
      </c>
      <c r="D1715" s="1" t="inlineStr">
        <is>
          <t xml:space="preserve">VIGENTE</t>
        </is>
      </c>
      <c r="E1715" s="1" t="n">
        <v>91</v>
      </c>
      <c r="F1715" s="1" t="n">
        <v>151</v>
      </c>
      <c r="G1715" s="1" t="n">
        <f aca="false">IF(E1715=0,"",IF(D1715="VIGENTE",1,0))</f>
        <v>1</v>
      </c>
      <c r="H1715" s="1" t="inlineStr">
        <is>
          <t xml:space="preserve">B observado / C cálculo</t>
        </is>
      </c>
    </row>
    <row r="1716" customFormat="false" ht="15" hidden="false" customHeight="true" outlineLevel="0" collapsed="false">
      <c r="A1716" s="1" t="n">
        <v>2026</v>
      </c>
      <c r="B1716" s="1" t="n">
        <v>1</v>
      </c>
      <c r="C1716" s="1" t="inlineStr">
        <is>
          <t xml:space="preserve">TMDI20261</t>
        </is>
      </c>
      <c r="D1716" s="1" t="inlineStr">
        <is>
          <t xml:space="preserve">ELIMINADO</t>
        </is>
      </c>
      <c r="E1716" s="1" t="n">
        <v>8</v>
      </c>
      <c r="F1716" s="1" t="n">
        <v>10</v>
      </c>
      <c r="G1716" s="1" t="n">
        <f aca="false">IF(E1716=0,"",IF(D1716="VIGENTE",1,0))</f>
        <v>0</v>
      </c>
      <c r="H1716" s="1" t="inlineStr">
        <is>
          <t xml:space="preserve">B observado / C cálculo</t>
        </is>
      </c>
    </row>
    <row r="1717" customFormat="false" ht="15" hidden="false" customHeight="true" outlineLevel="0" collapsed="false">
      <c r="A1717" s="1" t="n">
        <v>2026</v>
      </c>
      <c r="B1717" s="1" t="n">
        <v>1</v>
      </c>
      <c r="C1717" s="1" t="inlineStr">
        <is>
          <t xml:space="preserve">TMDI20261</t>
        </is>
      </c>
      <c r="D1717" s="1" t="inlineStr">
        <is>
          <t xml:space="preserve">SUSPENDIDO</t>
        </is>
      </c>
      <c r="E1717" s="1" t="n">
        <v>1</v>
      </c>
      <c r="F1717" s="1" t="n">
        <v>1</v>
      </c>
      <c r="G1717" s="1" t="n">
        <f aca="false">IF(E1717=0,"",IF(D1717="VIGENTE",1,0))</f>
        <v>0</v>
      </c>
      <c r="H1717" s="1" t="inlineStr">
        <is>
          <t xml:space="preserve">B observado / C cálculo</t>
        </is>
      </c>
    </row>
    <row r="1718" customFormat="false" ht="15" hidden="false" customHeight="true" outlineLevel="0" collapsed="false">
      <c r="A1718" s="1" t="n">
        <v>2026</v>
      </c>
      <c r="B1718" s="1" t="n">
        <v>1</v>
      </c>
      <c r="C1718" s="1" t="inlineStr">
        <is>
          <t xml:space="preserve">TMDI20261</t>
        </is>
      </c>
      <c r="D1718" s="1" t="inlineStr">
        <is>
          <t xml:space="preserve">VIGENTE</t>
        </is>
      </c>
      <c r="E1718" s="1" t="n">
        <v>59</v>
      </c>
      <c r="F1718" s="1" t="n">
        <v>85</v>
      </c>
      <c r="G1718" s="1" t="n">
        <f aca="false">IF(E1718=0,"",IF(D1718="VIGENTE",1,0))</f>
        <v>1</v>
      </c>
      <c r="H1718" s="1" t="inlineStr">
        <is>
          <t xml:space="preserve">B observado / C cálculo</t>
        </is>
      </c>
    </row>
    <row r="1719" customFormat="false" ht="15" hidden="false" customHeight="true" outlineLevel="0" collapsed="false">
      <c r="A1719" s="1" t="n">
        <v>2026</v>
      </c>
      <c r="B1719" s="1" t="n">
        <v>1</v>
      </c>
      <c r="C1719" s="1" t="inlineStr">
        <is>
          <t xml:space="preserve">TPAS20241</t>
        </is>
      </c>
      <c r="D1719" s="1" t="inlineStr">
        <is>
          <t xml:space="preserve">ELIMINADO</t>
        </is>
      </c>
      <c r="E1719" s="1" t="n">
        <v>11</v>
      </c>
      <c r="F1719" s="1" t="n">
        <v>18</v>
      </c>
      <c r="G1719" s="1" t="n">
        <f aca="false">IF(E1719=0,"",IF(D1719="VIGENTE",1,0))</f>
        <v>0</v>
      </c>
      <c r="H1719" s="1" t="inlineStr">
        <is>
          <t xml:space="preserve">B observado / C cálculo</t>
        </is>
      </c>
    </row>
    <row r="1720" customFormat="false" ht="15" hidden="false" customHeight="true" outlineLevel="0" collapsed="false">
      <c r="A1720" s="1" t="n">
        <v>2026</v>
      </c>
      <c r="B1720" s="1" t="n">
        <v>1</v>
      </c>
      <c r="C1720" s="1" t="inlineStr">
        <is>
          <t xml:space="preserve">TPAS20241</t>
        </is>
      </c>
      <c r="D1720" s="1" t="inlineStr">
        <is>
          <t xml:space="preserve">SUSPENDIDO</t>
        </is>
      </c>
      <c r="E1720" s="1" t="n">
        <v>8</v>
      </c>
      <c r="F1720" s="1" t="n">
        <v>23</v>
      </c>
      <c r="G1720" s="1" t="n">
        <f aca="false">IF(E1720=0,"",IF(D1720="VIGENTE",1,0))</f>
        <v>0</v>
      </c>
      <c r="H1720" s="1" t="inlineStr">
        <is>
          <t xml:space="preserve">B observado / C cálculo</t>
        </is>
      </c>
    </row>
    <row r="1721" customFormat="false" ht="15" hidden="false" customHeight="true" outlineLevel="0" collapsed="false">
      <c r="A1721" s="1" t="n">
        <v>2026</v>
      </c>
      <c r="B1721" s="1" t="n">
        <v>1</v>
      </c>
      <c r="C1721" s="1" t="inlineStr">
        <is>
          <t xml:space="preserve">TPAS20241</t>
        </is>
      </c>
      <c r="D1721" s="1" t="inlineStr">
        <is>
          <t xml:space="preserve">TITULADO</t>
        </is>
      </c>
      <c r="E1721" s="1" t="n">
        <v>11</v>
      </c>
      <c r="F1721" s="1" t="n">
        <v>29</v>
      </c>
      <c r="G1721" s="1" t="n">
        <f aca="false">IF(E1721=0,"",IF(D1721="VIGENTE",1,0))</f>
        <v>0</v>
      </c>
      <c r="H1721" s="1" t="inlineStr">
        <is>
          <t xml:space="preserve">B observado / C cálculo</t>
        </is>
      </c>
    </row>
    <row r="1722" customFormat="false" ht="15" hidden="false" customHeight="true" outlineLevel="0" collapsed="false">
      <c r="A1722" s="1" t="n">
        <v>2026</v>
      </c>
      <c r="B1722" s="1" t="n">
        <v>1</v>
      </c>
      <c r="C1722" s="1" t="inlineStr">
        <is>
          <t xml:space="preserve">TPAS20241</t>
        </is>
      </c>
      <c r="D1722" s="1" t="inlineStr">
        <is>
          <t xml:space="preserve">VIGENTE</t>
        </is>
      </c>
      <c r="E1722" s="1" t="n">
        <v>193</v>
      </c>
      <c r="F1722" s="1" t="n">
        <v>338</v>
      </c>
      <c r="G1722" s="1" t="n">
        <f aca="false">IF(E1722=0,"",IF(D1722="VIGENTE",1,0))</f>
        <v>1</v>
      </c>
      <c r="H1722" s="1" t="inlineStr">
        <is>
          <t xml:space="preserve">B observado / C cálculo</t>
        </is>
      </c>
    </row>
    <row r="1723" customFormat="false" ht="15" hidden="false" customHeight="true" outlineLevel="0" collapsed="false">
      <c r="A1723" s="1" t="n">
        <v>2026</v>
      </c>
      <c r="B1723" s="1" t="n">
        <v>1</v>
      </c>
      <c r="C1723" s="1" t="inlineStr">
        <is>
          <t xml:space="preserve">TPRE20261</t>
        </is>
      </c>
      <c r="D1723" s="1" t="inlineStr">
        <is>
          <t xml:space="preserve">ELIMINADO</t>
        </is>
      </c>
      <c r="E1723" s="1" t="n">
        <v>7</v>
      </c>
      <c r="F1723" s="1" t="n">
        <v>8</v>
      </c>
      <c r="G1723" s="1" t="n">
        <f aca="false">IF(E1723=0,"",IF(D1723="VIGENTE",1,0))</f>
        <v>0</v>
      </c>
      <c r="H1723" s="1" t="inlineStr">
        <is>
          <t xml:space="preserve">B observado / C cálculo</t>
        </is>
      </c>
    </row>
    <row r="1724" customFormat="false" ht="15" hidden="false" customHeight="true" outlineLevel="0" collapsed="false">
      <c r="A1724" s="1" t="n">
        <v>2026</v>
      </c>
      <c r="B1724" s="1" t="n">
        <v>1</v>
      </c>
      <c r="C1724" s="1" t="inlineStr">
        <is>
          <t xml:space="preserve">TPRE20261</t>
        </is>
      </c>
      <c r="D1724" s="1" t="inlineStr">
        <is>
          <t xml:space="preserve">VIGENTE</t>
        </is>
      </c>
      <c r="E1724" s="1" t="n">
        <v>15</v>
      </c>
      <c r="F1724" s="1" t="n">
        <v>22</v>
      </c>
      <c r="G1724" s="1" t="n">
        <f aca="false">IF(E1724=0,"",IF(D1724="VIGENTE",1,0))</f>
        <v>1</v>
      </c>
      <c r="H1724" s="1" t="inlineStr">
        <is>
          <t xml:space="preserve">B observado / C cálculo</t>
        </is>
      </c>
    </row>
    <row r="1725" customFormat="false" ht="15" hidden="false" customHeight="true" outlineLevel="0" collapsed="false">
      <c r="A1725" s="1" t="n">
        <v>2026</v>
      </c>
      <c r="B1725" s="1" t="n">
        <v>1</v>
      </c>
      <c r="C1725" s="1" t="inlineStr">
        <is>
          <t xml:space="preserve">TRHU20261</t>
        </is>
      </c>
      <c r="D1725" s="1" t="inlineStr">
        <is>
          <t xml:space="preserve">ELIMINADO</t>
        </is>
      </c>
      <c r="E1725" s="1" t="n">
        <v>6</v>
      </c>
      <c r="F1725" s="1" t="n">
        <v>11</v>
      </c>
      <c r="G1725" s="1" t="n">
        <f aca="false">IF(E1725=0,"",IF(D1725="VIGENTE",1,0))</f>
        <v>0</v>
      </c>
      <c r="H1725" s="1" t="inlineStr">
        <is>
          <t xml:space="preserve">B observado / C cálculo</t>
        </is>
      </c>
    </row>
    <row r="1726" customFormat="false" ht="15" hidden="false" customHeight="true" outlineLevel="0" collapsed="false">
      <c r="A1726" s="1" t="n">
        <v>2026</v>
      </c>
      <c r="B1726" s="1" t="n">
        <v>1</v>
      </c>
      <c r="C1726" s="1" t="inlineStr">
        <is>
          <t xml:space="preserve">TRHU20261</t>
        </is>
      </c>
      <c r="D1726" s="1" t="inlineStr">
        <is>
          <t xml:space="preserve">VIGENTE</t>
        </is>
      </c>
      <c r="E1726" s="1" t="n">
        <v>24</v>
      </c>
      <c r="F1726" s="1" t="n">
        <v>30</v>
      </c>
      <c r="G1726" s="1" t="n">
        <f aca="false">IF(E1726=0,"",IF(D1726="VIGENTE",1,0))</f>
        <v>1</v>
      </c>
      <c r="H1726" s="1" t="inlineStr">
        <is>
          <t xml:space="preserve">B observado / C cálculo</t>
        </is>
      </c>
    </row>
    <row r="1727" customFormat="false" ht="15" hidden="false" customHeight="true" outlineLevel="0" collapsed="false">
      <c r="A1727" s="1" t="n">
        <v>2026</v>
      </c>
      <c r="B1727" s="1" t="n">
        <v>1</v>
      </c>
      <c r="C1727" s="1" t="inlineStr">
        <is>
          <t xml:space="preserve">TTMRE20191</t>
        </is>
      </c>
      <c r="D1727" s="1" t="inlineStr">
        <is>
          <t xml:space="preserve">TITULADO</t>
        </is>
      </c>
      <c r="E1727" s="1" t="n">
        <v>1</v>
      </c>
      <c r="F1727" s="1" t="n">
        <v>3</v>
      </c>
      <c r="G1727" s="1" t="n">
        <f aca="false">IF(E1727=0,"",IF(D1727="VIGENTE",1,0))</f>
        <v>0</v>
      </c>
      <c r="H1727" s="1" t="inlineStr">
        <is>
          <t xml:space="preserve">B observado / C cálculo</t>
        </is>
      </c>
    </row>
    <row r="1728" customFormat="false" ht="15" hidden="false" customHeight="true" outlineLevel="0" collapsed="false">
      <c r="A1728" s="1" t="n">
        <v>2026</v>
      </c>
      <c r="B1728" s="1" t="n">
        <v>2</v>
      </c>
      <c r="C1728" s="1" t="inlineStr">
        <is>
          <t xml:space="preserve">ADMP20251</t>
        </is>
      </c>
      <c r="D1728" s="1" t="inlineStr">
        <is>
          <t xml:space="preserve">ELIMINADO</t>
        </is>
      </c>
      <c r="E1728" s="1" t="n">
        <v>1</v>
      </c>
      <c r="F1728" s="1" t="n">
        <v>3</v>
      </c>
      <c r="G1728" s="1" t="n">
        <f aca="false">IF(E1728=0,"",IF(D1728="VIGENTE",1,0))</f>
        <v>0</v>
      </c>
      <c r="H1728" s="1" t="inlineStr">
        <is>
          <t xml:space="preserve">B observado / C cálculo</t>
        </is>
      </c>
    </row>
    <row r="1729" customFormat="false" ht="15" hidden="false" customHeight="true" outlineLevel="0" collapsed="false">
      <c r="A1729" s="1" t="n">
        <v>2026</v>
      </c>
      <c r="B1729" s="1" t="n">
        <v>2</v>
      </c>
      <c r="C1729" s="1" t="inlineStr">
        <is>
          <t xml:space="preserve">ADMP20251</t>
        </is>
      </c>
      <c r="D1729" s="1" t="inlineStr">
        <is>
          <t xml:space="preserve">VIGENTE</t>
        </is>
      </c>
      <c r="E1729" s="1" t="n">
        <v>73</v>
      </c>
      <c r="F1729" s="1" t="n">
        <v>318</v>
      </c>
      <c r="G1729" s="1" t="n">
        <f aca="false">IF(E1729=0,"",IF(D1729="VIGENTE",1,0))</f>
        <v>1</v>
      </c>
      <c r="H1729" s="1" t="inlineStr">
        <is>
          <t xml:space="preserve">B observado / C cálculo</t>
        </is>
      </c>
    </row>
    <row r="1730" customFormat="false" ht="15" hidden="false" customHeight="true" outlineLevel="0" collapsed="false">
      <c r="A1730" s="1" t="n">
        <v>2026</v>
      </c>
      <c r="B1730" s="1" t="n">
        <v>2</v>
      </c>
      <c r="C1730" s="1" t="inlineStr">
        <is>
          <t xml:space="preserve">AUDT20251</t>
        </is>
      </c>
      <c r="D1730" s="1" t="inlineStr">
        <is>
          <t xml:space="preserve">VIGENTE</t>
        </is>
      </c>
      <c r="E1730" s="1" t="n">
        <v>52</v>
      </c>
      <c r="F1730" s="1" t="n">
        <v>213</v>
      </c>
      <c r="G1730" s="1" t="n">
        <f aca="false">IF(E1730=0,"",IF(D1730="VIGENTE",1,0))</f>
        <v>1</v>
      </c>
      <c r="H1730" s="1" t="inlineStr">
        <is>
          <t xml:space="preserve">B observado / C cálculo</t>
        </is>
      </c>
    </row>
    <row r="1731" customFormat="false" ht="15" hidden="false" customHeight="true" outlineLevel="0" collapsed="false">
      <c r="A1731" s="1" t="n">
        <v>2026</v>
      </c>
      <c r="B1731" s="1" t="n">
        <v>2</v>
      </c>
      <c r="C1731" s="1" t="inlineStr">
        <is>
          <t xml:space="preserve">CADMP20251</t>
        </is>
      </c>
      <c r="D1731" s="1" t="inlineStr">
        <is>
          <t xml:space="preserve">VIGENTE</t>
        </is>
      </c>
      <c r="E1731" s="1" t="n">
        <v>5</v>
      </c>
      <c r="F1731" s="1" t="n">
        <v>25</v>
      </c>
      <c r="G1731" s="1" t="n">
        <f aca="false">IF(E1731=0,"",IF(D1731="VIGENTE",1,0))</f>
        <v>1</v>
      </c>
      <c r="H1731" s="1" t="inlineStr">
        <is>
          <t xml:space="preserve">B observado / C cálculo</t>
        </is>
      </c>
    </row>
    <row r="1732" customFormat="false" ht="15" hidden="false" customHeight="true" outlineLevel="0" collapsed="false">
      <c r="A1732" s="1" t="n">
        <v>2026</v>
      </c>
      <c r="B1732" s="1" t="n">
        <v>2</v>
      </c>
      <c r="C1732" s="1" t="inlineStr">
        <is>
          <t xml:space="preserve">CIADM20241</t>
        </is>
      </c>
      <c r="D1732" s="1" t="inlineStr">
        <is>
          <t xml:space="preserve">VIGENTE</t>
        </is>
      </c>
      <c r="E1732" s="1" t="n">
        <v>18</v>
      </c>
      <c r="F1732" s="1" t="n">
        <v>90</v>
      </c>
      <c r="G1732" s="1" t="n">
        <f aca="false">IF(E1732=0,"",IF(D1732="VIGENTE",1,0))</f>
        <v>1</v>
      </c>
      <c r="H1732" s="1" t="inlineStr">
        <is>
          <t xml:space="preserve">B observado / C cálculo</t>
        </is>
      </c>
    </row>
    <row r="1733" customFormat="false" ht="15" hidden="false" customHeight="true" outlineLevel="0" collapsed="false">
      <c r="A1733" s="1" t="n">
        <v>2026</v>
      </c>
      <c r="B1733" s="1" t="n">
        <v>2</v>
      </c>
      <c r="C1733" s="1" t="inlineStr">
        <is>
          <t xml:space="preserve">CICIB20241</t>
        </is>
      </c>
      <c r="D1733" s="1" t="inlineStr">
        <is>
          <t xml:space="preserve">VIGENTE</t>
        </is>
      </c>
      <c r="E1733" s="1" t="n">
        <v>77</v>
      </c>
      <c r="F1733" s="1" t="n">
        <v>111</v>
      </c>
      <c r="G1733" s="1" t="n">
        <f aca="false">IF(E1733=0,"",IF(D1733="VIGENTE",1,0))</f>
        <v>1</v>
      </c>
      <c r="H1733" s="1" t="inlineStr">
        <is>
          <t xml:space="preserve">B observado / C cálculo</t>
        </is>
      </c>
    </row>
    <row r="1734" customFormat="false" ht="15" hidden="false" customHeight="true" outlineLevel="0" collapsed="false">
      <c r="A1734" s="1" t="n">
        <v>2026</v>
      </c>
      <c r="B1734" s="1" t="n">
        <v>2</v>
      </c>
      <c r="C1734" s="1" t="inlineStr">
        <is>
          <t xml:space="preserve">CICRE20241</t>
        </is>
      </c>
      <c r="D1734" s="1" t="inlineStr">
        <is>
          <t xml:space="preserve">VIGENTE</t>
        </is>
      </c>
      <c r="E1734" s="1" t="n">
        <v>106</v>
      </c>
      <c r="F1734" s="1" t="n">
        <v>155</v>
      </c>
      <c r="G1734" s="1" t="n">
        <f aca="false">IF(E1734=0,"",IF(D1734="VIGENTE",1,0))</f>
        <v>1</v>
      </c>
      <c r="H1734" s="1" t="inlineStr">
        <is>
          <t xml:space="preserve">B observado / C cálculo</t>
        </is>
      </c>
    </row>
    <row r="1735" customFormat="false" ht="15" hidden="false" customHeight="true" outlineLevel="0" collapsed="false">
      <c r="A1735" s="1" t="n">
        <v>2026</v>
      </c>
      <c r="B1735" s="1" t="n">
        <v>2</v>
      </c>
      <c r="C1735" s="1" t="inlineStr">
        <is>
          <t xml:space="preserve">CIIND20251</t>
        </is>
      </c>
      <c r="D1735" s="1" t="inlineStr">
        <is>
          <t xml:space="preserve">VIGENTE</t>
        </is>
      </c>
      <c r="E1735" s="1" t="n">
        <v>31</v>
      </c>
      <c r="F1735" s="1" t="n">
        <v>47</v>
      </c>
      <c r="G1735" s="1" t="n">
        <f aca="false">IF(E1735=0,"",IF(D1735="VIGENTE",1,0))</f>
        <v>1</v>
      </c>
      <c r="H1735" s="1" t="inlineStr">
        <is>
          <t xml:space="preserve">B observado / C cálculo</t>
        </is>
      </c>
    </row>
    <row r="1736" customFormat="false" ht="15" hidden="false" customHeight="true" outlineLevel="0" collapsed="false">
      <c r="A1736" s="1" t="n">
        <v>2026</v>
      </c>
      <c r="B1736" s="1" t="n">
        <v>2</v>
      </c>
      <c r="C1736" s="1" t="inlineStr">
        <is>
          <t xml:space="preserve">CIINF20241</t>
        </is>
      </c>
      <c r="D1736" s="1" t="inlineStr">
        <is>
          <t xml:space="preserve">VIGENTE</t>
        </is>
      </c>
      <c r="E1736" s="1" t="n">
        <v>84</v>
      </c>
      <c r="F1736" s="1" t="n">
        <v>121</v>
      </c>
      <c r="G1736" s="1" t="n">
        <f aca="false">IF(E1736=0,"",IF(D1736="VIGENTE",1,0))</f>
        <v>1</v>
      </c>
      <c r="H1736" s="1" t="inlineStr">
        <is>
          <t xml:space="preserve">B observado / C cálculo</t>
        </is>
      </c>
    </row>
    <row r="1737" customFormat="false" ht="15" hidden="false" customHeight="true" outlineLevel="0" collapsed="false">
      <c r="A1737" s="1" t="n">
        <v>2026</v>
      </c>
      <c r="B1737" s="1" t="n">
        <v>2</v>
      </c>
      <c r="C1737" s="1" t="inlineStr">
        <is>
          <t xml:space="preserve">CILOG20241</t>
        </is>
      </c>
      <c r="D1737" s="1" t="inlineStr">
        <is>
          <t xml:space="preserve">VIGENTE</t>
        </is>
      </c>
      <c r="E1737" s="1" t="n">
        <v>28</v>
      </c>
      <c r="F1737" s="1" t="n">
        <v>45</v>
      </c>
      <c r="G1737" s="1" t="n">
        <f aca="false">IF(E1737=0,"",IF(D1737="VIGENTE",1,0))</f>
        <v>1</v>
      </c>
      <c r="H1737" s="1" t="inlineStr">
        <is>
          <t xml:space="preserve">B observado / C cálculo</t>
        </is>
      </c>
    </row>
    <row r="1738" customFormat="false" ht="15" hidden="false" customHeight="true" outlineLevel="0" collapsed="false">
      <c r="A1738" s="1" t="n">
        <v>2026</v>
      </c>
      <c r="B1738" s="1" t="n">
        <v>2</v>
      </c>
      <c r="C1738" s="1" t="inlineStr">
        <is>
          <t xml:space="preserve">CONG20251</t>
        </is>
      </c>
      <c r="D1738" s="1" t="inlineStr">
        <is>
          <t xml:space="preserve">ELIMINADO</t>
        </is>
      </c>
      <c r="E1738" s="1" t="n">
        <v>3</v>
      </c>
      <c r="F1738" s="1" t="n">
        <v>5</v>
      </c>
      <c r="G1738" s="1" t="n">
        <f aca="false">IF(E1738=0,"",IF(D1738="VIGENTE",1,0))</f>
        <v>0</v>
      </c>
      <c r="H1738" s="1" t="inlineStr">
        <is>
          <t xml:space="preserve">B observado / C cálculo</t>
        </is>
      </c>
    </row>
    <row r="1739" customFormat="false" ht="15" hidden="false" customHeight="true" outlineLevel="0" collapsed="false">
      <c r="A1739" s="1" t="n">
        <v>2026</v>
      </c>
      <c r="B1739" s="1" t="n">
        <v>2</v>
      </c>
      <c r="C1739" s="1" t="inlineStr">
        <is>
          <t xml:space="preserve">CONG20251</t>
        </is>
      </c>
      <c r="D1739" s="1" t="inlineStr">
        <is>
          <t xml:space="preserve">VIGENTE</t>
        </is>
      </c>
      <c r="E1739" s="1" t="n">
        <v>58</v>
      </c>
      <c r="F1739" s="1" t="n">
        <v>246</v>
      </c>
      <c r="G1739" s="1" t="n">
        <f aca="false">IF(E1739=0,"",IF(D1739="VIGENTE",1,0))</f>
        <v>1</v>
      </c>
      <c r="H1739" s="1" t="inlineStr">
        <is>
          <t xml:space="preserve">B observado / C cálculo</t>
        </is>
      </c>
    </row>
    <row r="1740" customFormat="false" ht="15" hidden="false" customHeight="true" outlineLevel="0" collapsed="false">
      <c r="A1740" s="1" t="n">
        <v>2026</v>
      </c>
      <c r="B1740" s="1" t="n">
        <v>2</v>
      </c>
      <c r="C1740" s="1" t="inlineStr">
        <is>
          <t xml:space="preserve">COTEIQ20261</t>
        </is>
      </c>
      <c r="D1740" s="1" t="inlineStr">
        <is>
          <t xml:space="preserve">ELIMINADO</t>
        </is>
      </c>
      <c r="E1740" s="1" t="n">
        <v>2</v>
      </c>
      <c r="F1740" s="1" t="n">
        <v>3</v>
      </c>
      <c r="G1740" s="1" t="n">
        <f aca="false">IF(E1740=0,"",IF(D1740="VIGENTE",1,0))</f>
        <v>0</v>
      </c>
      <c r="H1740" s="1" t="inlineStr">
        <is>
          <t xml:space="preserve">B observado / C cálculo</t>
        </is>
      </c>
    </row>
    <row r="1741" customFormat="false" ht="15" hidden="false" customHeight="true" outlineLevel="0" collapsed="false">
      <c r="A1741" s="1" t="n">
        <v>2026</v>
      </c>
      <c r="B1741" s="1" t="n">
        <v>2</v>
      </c>
      <c r="C1741" s="1" t="inlineStr">
        <is>
          <t xml:space="preserve">COTEIQ20261</t>
        </is>
      </c>
      <c r="D1741" s="1" t="inlineStr">
        <is>
          <t xml:space="preserve">VIGENTE</t>
        </is>
      </c>
      <c r="E1741" s="1" t="n">
        <v>23</v>
      </c>
      <c r="F1741" s="1" t="n">
        <v>27</v>
      </c>
      <c r="G1741" s="1" t="n">
        <f aca="false">IF(E1741=0,"",IF(D1741="VIGENTE",1,0))</f>
        <v>1</v>
      </c>
      <c r="H1741" s="1" t="inlineStr">
        <is>
          <t xml:space="preserve">B observado / C cálculo</t>
        </is>
      </c>
    </row>
    <row r="1742" customFormat="false" ht="15" hidden="false" customHeight="true" outlineLevel="0" collapsed="false">
      <c r="A1742" s="1" t="n">
        <v>2026</v>
      </c>
      <c r="B1742" s="1" t="n">
        <v>2</v>
      </c>
      <c r="C1742" s="1" t="inlineStr">
        <is>
          <t xml:space="preserve">COTENS20261</t>
        </is>
      </c>
      <c r="D1742" s="1" t="inlineStr">
        <is>
          <t xml:space="preserve">VIGENTE</t>
        </is>
      </c>
      <c r="E1742" s="1" t="n">
        <v>5</v>
      </c>
      <c r="F1742" s="1" t="n">
        <v>7</v>
      </c>
      <c r="G1742" s="1" t="n">
        <f aca="false">IF(E1742=0,"",IF(D1742="VIGENTE",1,0))</f>
        <v>1</v>
      </c>
      <c r="H1742" s="1" t="inlineStr">
        <is>
          <t xml:space="preserve">B observado / C cálculo</t>
        </is>
      </c>
    </row>
    <row r="1743" customFormat="false" ht="15" hidden="false" customHeight="true" outlineLevel="0" collapsed="false">
      <c r="A1743" s="1" t="n">
        <v>2026</v>
      </c>
      <c r="B1743" s="1" t="n">
        <v>2</v>
      </c>
      <c r="C1743" s="1" t="inlineStr">
        <is>
          <t xml:space="preserve">COTFAR20261</t>
        </is>
      </c>
      <c r="D1743" s="1" t="inlineStr">
        <is>
          <t xml:space="preserve">ELIMINADO</t>
        </is>
      </c>
      <c r="E1743" s="1" t="n">
        <v>1</v>
      </c>
      <c r="F1743" s="1" t="n">
        <v>1</v>
      </c>
      <c r="G1743" s="1" t="n">
        <f aca="false">IF(E1743=0,"",IF(D1743="VIGENTE",1,0))</f>
        <v>0</v>
      </c>
      <c r="H1743" s="1" t="inlineStr">
        <is>
          <t xml:space="preserve">B observado / C cálculo</t>
        </is>
      </c>
    </row>
    <row r="1744" customFormat="false" ht="15" hidden="false" customHeight="true" outlineLevel="0" collapsed="false">
      <c r="A1744" s="1" t="n">
        <v>2026</v>
      </c>
      <c r="B1744" s="1" t="n">
        <v>2</v>
      </c>
      <c r="C1744" s="1" t="inlineStr">
        <is>
          <t xml:space="preserve">COTFAR20261</t>
        </is>
      </c>
      <c r="D1744" s="1" t="inlineStr">
        <is>
          <t xml:space="preserve">VIGENTE</t>
        </is>
      </c>
      <c r="E1744" s="1" t="n">
        <v>5</v>
      </c>
      <c r="F1744" s="1" t="n">
        <v>5</v>
      </c>
      <c r="G1744" s="1" t="n">
        <f aca="false">IF(E1744=0,"",IF(D1744="VIGENTE",1,0))</f>
        <v>1</v>
      </c>
      <c r="H1744" s="1" t="inlineStr">
        <is>
          <t xml:space="preserve">B observado / C cálculo</t>
        </is>
      </c>
    </row>
    <row r="1745" customFormat="false" ht="15" hidden="false" customHeight="true" outlineLevel="0" collapsed="false">
      <c r="A1745" s="1" t="n">
        <v>2026</v>
      </c>
      <c r="B1745" s="1" t="n">
        <v>2</v>
      </c>
      <c r="C1745" s="1" t="inlineStr">
        <is>
          <t xml:space="preserve">IADM20241</t>
        </is>
      </c>
      <c r="D1745" s="1" t="inlineStr">
        <is>
          <t xml:space="preserve">ELIMINADO</t>
        </is>
      </c>
      <c r="E1745" s="1" t="n">
        <v>4</v>
      </c>
      <c r="F1745" s="1" t="n">
        <v>8</v>
      </c>
      <c r="G1745" s="1" t="n">
        <f aca="false">IF(E1745=0,"",IF(D1745="VIGENTE",1,0))</f>
        <v>0</v>
      </c>
      <c r="H1745" s="1" t="inlineStr">
        <is>
          <t xml:space="preserve">B observado / C cálculo</t>
        </is>
      </c>
    </row>
    <row r="1746" customFormat="false" ht="15" hidden="false" customHeight="true" outlineLevel="0" collapsed="false">
      <c r="A1746" s="1" t="n">
        <v>2026</v>
      </c>
      <c r="B1746" s="1" t="n">
        <v>2</v>
      </c>
      <c r="C1746" s="1" t="inlineStr">
        <is>
          <t xml:space="preserve">IADM20241</t>
        </is>
      </c>
      <c r="D1746" s="1" t="inlineStr">
        <is>
          <t xml:space="preserve">VIGENTE</t>
        </is>
      </c>
      <c r="E1746" s="1" t="n">
        <v>138</v>
      </c>
      <c r="F1746" s="1" t="n">
        <v>579</v>
      </c>
      <c r="G1746" s="1" t="n">
        <f aca="false">IF(E1746=0,"",IF(D1746="VIGENTE",1,0))</f>
        <v>1</v>
      </c>
      <c r="H1746" s="1" t="inlineStr">
        <is>
          <t xml:space="preserve">B observado / C cálculo</t>
        </is>
      </c>
    </row>
    <row r="1747" customFormat="false" ht="15" hidden="false" customHeight="true" outlineLevel="0" collapsed="false">
      <c r="A1747" s="1" t="n">
        <v>2026</v>
      </c>
      <c r="B1747" s="1" t="n">
        <v>2</v>
      </c>
      <c r="C1747" s="1" t="inlineStr">
        <is>
          <t xml:space="preserve">ICDA20251</t>
        </is>
      </c>
      <c r="D1747" s="1" t="inlineStr">
        <is>
          <t xml:space="preserve">VIGENTE</t>
        </is>
      </c>
      <c r="E1747" s="1" t="n">
        <v>37</v>
      </c>
      <c r="F1747" s="1" t="n">
        <v>52</v>
      </c>
      <c r="G1747" s="1" t="n">
        <f aca="false">IF(E1747=0,"",IF(D1747="VIGENTE",1,0))</f>
        <v>1</v>
      </c>
      <c r="H1747" s="1" t="inlineStr">
        <is>
          <t xml:space="preserve">B observado / C cálculo</t>
        </is>
      </c>
    </row>
    <row r="1748" customFormat="false" ht="15" hidden="false" customHeight="true" outlineLevel="0" collapsed="false">
      <c r="A1748" s="1" t="n">
        <v>2026</v>
      </c>
      <c r="B1748" s="1" t="n">
        <v>2</v>
      </c>
      <c r="C1748" s="1" t="inlineStr">
        <is>
          <t xml:space="preserve">ICIB20241</t>
        </is>
      </c>
      <c r="D1748" s="1" t="inlineStr">
        <is>
          <t xml:space="preserve">SUSPENDIDO</t>
        </is>
      </c>
      <c r="E1748" s="1" t="n">
        <v>1</v>
      </c>
      <c r="F1748" s="1" t="n">
        <v>1</v>
      </c>
      <c r="G1748" s="1" t="n">
        <f aca="false">IF(E1748=0,"",IF(D1748="VIGENTE",1,0))</f>
        <v>0</v>
      </c>
      <c r="H1748" s="1" t="inlineStr">
        <is>
          <t xml:space="preserve">B observado / C cálculo</t>
        </is>
      </c>
    </row>
    <row r="1749" customFormat="false" ht="15" hidden="false" customHeight="true" outlineLevel="0" collapsed="false">
      <c r="A1749" s="1" t="n">
        <v>2026</v>
      </c>
      <c r="B1749" s="1" t="n">
        <v>2</v>
      </c>
      <c r="C1749" s="1" t="inlineStr">
        <is>
          <t xml:space="preserve">ICIB20241</t>
        </is>
      </c>
      <c r="D1749" s="1" t="inlineStr">
        <is>
          <t xml:space="preserve">VIGENTE</t>
        </is>
      </c>
      <c r="E1749" s="1" t="n">
        <v>298</v>
      </c>
      <c r="F1749" s="1" t="n">
        <v>799</v>
      </c>
      <c r="G1749" s="1" t="n">
        <f aca="false">IF(E1749=0,"",IF(D1749="VIGENTE",1,0))</f>
        <v>1</v>
      </c>
      <c r="H1749" s="1" t="inlineStr">
        <is>
          <t xml:space="preserve">B observado / C cálculo</t>
        </is>
      </c>
    </row>
    <row r="1750" customFormat="false" ht="15" hidden="false" customHeight="true" outlineLevel="0" collapsed="false">
      <c r="A1750" s="1" t="n">
        <v>2026</v>
      </c>
      <c r="B1750" s="1" t="n">
        <v>2</v>
      </c>
      <c r="C1750" s="1" t="inlineStr">
        <is>
          <t xml:space="preserve">ICRE20241</t>
        </is>
      </c>
      <c r="D1750" s="1" t="inlineStr">
        <is>
          <t xml:space="preserve">VIGENTE</t>
        </is>
      </c>
      <c r="E1750" s="1" t="n">
        <v>137</v>
      </c>
      <c r="F1750" s="1" t="n">
        <v>209</v>
      </c>
      <c r="G1750" s="1" t="n">
        <f aca="false">IF(E1750=0,"",IF(D1750="VIGENTE",1,0))</f>
        <v>1</v>
      </c>
      <c r="H1750" s="1" t="inlineStr">
        <is>
          <t xml:space="preserve">B observado / C cálculo</t>
        </is>
      </c>
    </row>
    <row r="1751" customFormat="false" ht="15" hidden="false" customHeight="true" outlineLevel="0" collapsed="false">
      <c r="A1751" s="1" t="n">
        <v>2026</v>
      </c>
      <c r="B1751" s="1" t="n">
        <v>2</v>
      </c>
      <c r="C1751" s="1" t="inlineStr">
        <is>
          <t xml:space="preserve">IECIREOL20211</t>
        </is>
      </c>
      <c r="D1751" s="1" t="inlineStr">
        <is>
          <t xml:space="preserve">TITULADO</t>
        </is>
      </c>
      <c r="E1751" s="1" t="n">
        <v>1</v>
      </c>
      <c r="F1751" s="1" t="n">
        <v>3</v>
      </c>
      <c r="G1751" s="1" t="n">
        <f aca="false">IF(E1751=0,"",IF(D1751="VIGENTE",1,0))</f>
        <v>0</v>
      </c>
      <c r="H1751" s="1" t="inlineStr">
        <is>
          <t xml:space="preserve">B observado / C cálculo</t>
        </is>
      </c>
    </row>
    <row r="1752" customFormat="false" ht="15" hidden="false" customHeight="true" outlineLevel="0" collapsed="false">
      <c r="A1752" s="1" t="n">
        <v>2026</v>
      </c>
      <c r="B1752" s="1" t="n">
        <v>2</v>
      </c>
      <c r="C1752" s="1" t="inlineStr">
        <is>
          <t xml:space="preserve">IFIN20261</t>
        </is>
      </c>
      <c r="D1752" s="1" t="inlineStr">
        <is>
          <t xml:space="preserve">ELIMINADO</t>
        </is>
      </c>
      <c r="E1752" s="1" t="n">
        <v>1</v>
      </c>
      <c r="F1752" s="1" t="n">
        <v>1</v>
      </c>
      <c r="G1752" s="1" t="n">
        <f aca="false">IF(E1752=0,"",IF(D1752="VIGENTE",1,0))</f>
        <v>0</v>
      </c>
      <c r="H1752" s="1" t="inlineStr">
        <is>
          <t xml:space="preserve">B observado / C cálculo</t>
        </is>
      </c>
    </row>
    <row r="1753" customFormat="false" ht="15" hidden="false" customHeight="true" outlineLevel="0" collapsed="false">
      <c r="A1753" s="1" t="n">
        <v>2026</v>
      </c>
      <c r="B1753" s="1" t="n">
        <v>2</v>
      </c>
      <c r="C1753" s="1" t="inlineStr">
        <is>
          <t xml:space="preserve">IFIN20261</t>
        </is>
      </c>
      <c r="D1753" s="1" t="inlineStr">
        <is>
          <t xml:space="preserve">VIGENTE</t>
        </is>
      </c>
      <c r="E1753" s="1" t="n">
        <v>18</v>
      </c>
      <c r="F1753" s="1" t="n">
        <v>30</v>
      </c>
      <c r="G1753" s="1" t="n">
        <f aca="false">IF(E1753=0,"",IF(D1753="VIGENTE",1,0))</f>
        <v>1</v>
      </c>
      <c r="H1753" s="1" t="inlineStr">
        <is>
          <t xml:space="preserve">B observado / C cálculo</t>
        </is>
      </c>
    </row>
    <row r="1754" customFormat="false" ht="15" hidden="false" customHeight="true" outlineLevel="0" collapsed="false">
      <c r="A1754" s="1" t="n">
        <v>2026</v>
      </c>
      <c r="B1754" s="1" t="n">
        <v>2</v>
      </c>
      <c r="C1754" s="1" t="inlineStr">
        <is>
          <t xml:space="preserve">IIND20251</t>
        </is>
      </c>
      <c r="D1754" s="1" t="inlineStr">
        <is>
          <t xml:space="preserve">ELIMINADO</t>
        </is>
      </c>
      <c r="E1754" s="1" t="n">
        <v>2</v>
      </c>
      <c r="F1754" s="1" t="n">
        <v>4</v>
      </c>
      <c r="G1754" s="1" t="n">
        <f aca="false">IF(E1754=0,"",IF(D1754="VIGENTE",1,0))</f>
        <v>0</v>
      </c>
      <c r="H1754" s="1" t="inlineStr">
        <is>
          <t xml:space="preserve">B observado / C cálculo</t>
        </is>
      </c>
    </row>
    <row r="1755" customFormat="false" ht="15" hidden="false" customHeight="true" outlineLevel="0" collapsed="false">
      <c r="A1755" s="1" t="n">
        <v>2026</v>
      </c>
      <c r="B1755" s="1" t="n">
        <v>2</v>
      </c>
      <c r="C1755" s="1" t="inlineStr">
        <is>
          <t xml:space="preserve">IIND20251</t>
        </is>
      </c>
      <c r="D1755" s="1" t="inlineStr">
        <is>
          <t xml:space="preserve">VIGENTE</t>
        </is>
      </c>
      <c r="E1755" s="1" t="n">
        <v>78</v>
      </c>
      <c r="F1755" s="1" t="n">
        <v>147</v>
      </c>
      <c r="G1755" s="1" t="n">
        <f aca="false">IF(E1755=0,"",IF(D1755="VIGENTE",1,0))</f>
        <v>1</v>
      </c>
      <c r="H1755" s="1" t="inlineStr">
        <is>
          <t xml:space="preserve">B observado / C cálculo</t>
        </is>
      </c>
    </row>
    <row r="1756" customFormat="false" ht="15" hidden="false" customHeight="true" outlineLevel="0" collapsed="false">
      <c r="A1756" s="1" t="n">
        <v>2026</v>
      </c>
      <c r="B1756" s="1" t="n">
        <v>2</v>
      </c>
      <c r="C1756" s="1" t="inlineStr">
        <is>
          <t xml:space="preserve">IINF20241</t>
        </is>
      </c>
      <c r="D1756" s="1" t="inlineStr">
        <is>
          <t xml:space="preserve">ELIMINADO</t>
        </is>
      </c>
      <c r="E1756" s="1" t="n">
        <v>2</v>
      </c>
      <c r="F1756" s="1" t="n">
        <v>2</v>
      </c>
      <c r="G1756" s="1" t="n">
        <f aca="false">IF(E1756=0,"",IF(D1756="VIGENTE",1,0))</f>
        <v>0</v>
      </c>
      <c r="H1756" s="1" t="inlineStr">
        <is>
          <t xml:space="preserve">B observado / C cálculo</t>
        </is>
      </c>
    </row>
    <row r="1757" customFormat="false" ht="15" hidden="false" customHeight="true" outlineLevel="0" collapsed="false">
      <c r="A1757" s="1" t="n">
        <v>2026</v>
      </c>
      <c r="B1757" s="1" t="n">
        <v>2</v>
      </c>
      <c r="C1757" s="1" t="inlineStr">
        <is>
          <t xml:space="preserve">IINF20241</t>
        </is>
      </c>
      <c r="D1757" s="1" t="inlineStr">
        <is>
          <t xml:space="preserve">TITULADO</t>
        </is>
      </c>
      <c r="E1757" s="1" t="n">
        <v>1</v>
      </c>
      <c r="F1757" s="1" t="n">
        <v>1</v>
      </c>
      <c r="G1757" s="1" t="n">
        <f aca="false">IF(E1757=0,"",IF(D1757="VIGENTE",1,0))</f>
        <v>0</v>
      </c>
      <c r="H1757" s="1" t="inlineStr">
        <is>
          <t xml:space="preserve">B observado / C cálculo</t>
        </is>
      </c>
    </row>
    <row r="1758" customFormat="false" ht="15" hidden="false" customHeight="true" outlineLevel="0" collapsed="false">
      <c r="A1758" s="1" t="n">
        <v>2026</v>
      </c>
      <c r="B1758" s="1" t="n">
        <v>2</v>
      </c>
      <c r="C1758" s="1" t="inlineStr">
        <is>
          <t xml:space="preserve">IINF20241</t>
        </is>
      </c>
      <c r="D1758" s="1" t="inlineStr">
        <is>
          <t xml:space="preserve">VIGENTE</t>
        </is>
      </c>
      <c r="E1758" s="1" t="n">
        <v>281</v>
      </c>
      <c r="F1758" s="1" t="n">
        <v>480</v>
      </c>
      <c r="G1758" s="1" t="n">
        <f aca="false">IF(E1758=0,"",IF(D1758="VIGENTE",1,0))</f>
        <v>1</v>
      </c>
      <c r="H1758" s="1" t="inlineStr">
        <is>
          <t xml:space="preserve">B observado / C cálculo</t>
        </is>
      </c>
    </row>
    <row r="1759" customFormat="false" ht="15" hidden="false" customHeight="true" outlineLevel="0" collapsed="false">
      <c r="A1759" s="1" t="n">
        <v>2026</v>
      </c>
      <c r="B1759" s="1" t="n">
        <v>2</v>
      </c>
      <c r="C1759" s="1" t="inlineStr">
        <is>
          <t xml:space="preserve">ILOG20241</t>
        </is>
      </c>
      <c r="D1759" s="1" t="inlineStr">
        <is>
          <t xml:space="preserve">ELIMINADO</t>
        </is>
      </c>
      <c r="E1759" s="1" t="n">
        <v>4</v>
      </c>
      <c r="F1759" s="1" t="n">
        <v>8</v>
      </c>
      <c r="G1759" s="1" t="n">
        <f aca="false">IF(E1759=0,"",IF(D1759="VIGENTE",1,0))</f>
        <v>0</v>
      </c>
      <c r="H1759" s="1" t="inlineStr">
        <is>
          <t xml:space="preserve">B observado / C cálculo</t>
        </is>
      </c>
    </row>
    <row r="1760" customFormat="false" ht="15" hidden="false" customHeight="true" outlineLevel="0" collapsed="false">
      <c r="A1760" s="1" t="n">
        <v>2026</v>
      </c>
      <c r="B1760" s="1" t="n">
        <v>2</v>
      </c>
      <c r="C1760" s="1" t="inlineStr">
        <is>
          <t xml:space="preserve">ILOG20241</t>
        </is>
      </c>
      <c r="D1760" s="1" t="inlineStr">
        <is>
          <t xml:space="preserve">SUSPENDIDO</t>
        </is>
      </c>
      <c r="E1760" s="1" t="n">
        <v>1</v>
      </c>
      <c r="F1760" s="1" t="n">
        <v>1</v>
      </c>
      <c r="G1760" s="1" t="n">
        <f aca="false">IF(E1760=0,"",IF(D1760="VIGENTE",1,0))</f>
        <v>0</v>
      </c>
      <c r="H1760" s="1" t="inlineStr">
        <is>
          <t xml:space="preserve">B observado / C cálculo</t>
        </is>
      </c>
    </row>
    <row r="1761" customFormat="false" ht="15" hidden="false" customHeight="true" outlineLevel="0" collapsed="false">
      <c r="A1761" s="1" t="n">
        <v>2026</v>
      </c>
      <c r="B1761" s="1" t="n">
        <v>2</v>
      </c>
      <c r="C1761" s="1" t="inlineStr">
        <is>
          <t xml:space="preserve">ILOG20241</t>
        </is>
      </c>
      <c r="D1761" s="1" t="inlineStr">
        <is>
          <t xml:space="preserve">VIGENTE</t>
        </is>
      </c>
      <c r="E1761" s="1" t="n">
        <v>111</v>
      </c>
      <c r="F1761" s="1" t="n">
        <v>187</v>
      </c>
      <c r="G1761" s="1" t="n">
        <f aca="false">IF(E1761=0,"",IF(D1761="VIGENTE",1,0))</f>
        <v>1</v>
      </c>
      <c r="H1761" s="1" t="inlineStr">
        <is>
          <t xml:space="preserve">B observado / C cálculo</t>
        </is>
      </c>
    </row>
    <row r="1762" customFormat="false" ht="15" hidden="false" customHeight="true" outlineLevel="0" collapsed="false">
      <c r="A1762" s="1" t="n">
        <v>2026</v>
      </c>
      <c r="B1762" s="1" t="n">
        <v>2</v>
      </c>
      <c r="C1762" s="1" t="inlineStr">
        <is>
          <t xml:space="preserve">IMDI20261</t>
        </is>
      </c>
      <c r="D1762" s="1" t="inlineStr">
        <is>
          <t xml:space="preserve">VIGENTE</t>
        </is>
      </c>
      <c r="E1762" s="1" t="n">
        <v>73</v>
      </c>
      <c r="F1762" s="1" t="n">
        <v>130</v>
      </c>
      <c r="G1762" s="1" t="n">
        <f aca="false">IF(E1762=0,"",IF(D1762="VIGENTE",1,0))</f>
        <v>1</v>
      </c>
      <c r="H1762" s="1" t="inlineStr">
        <is>
          <t xml:space="preserve">B observado / C cálculo</t>
        </is>
      </c>
    </row>
    <row r="1763" customFormat="false" ht="15" hidden="false" customHeight="true" outlineLevel="0" collapsed="false">
      <c r="A1763" s="1" t="n">
        <v>2026</v>
      </c>
      <c r="B1763" s="1" t="n">
        <v>2</v>
      </c>
      <c r="C1763" s="1" t="inlineStr">
        <is>
          <t xml:space="preserve">IPRE20261</t>
        </is>
      </c>
      <c r="D1763" s="1" t="inlineStr">
        <is>
          <t xml:space="preserve">VIGENTE</t>
        </is>
      </c>
      <c r="E1763" s="1" t="n">
        <v>17</v>
      </c>
      <c r="F1763" s="1" t="n">
        <v>27</v>
      </c>
      <c r="G1763" s="1" t="n">
        <f aca="false">IF(E1763=0,"",IF(D1763="VIGENTE",1,0))</f>
        <v>1</v>
      </c>
      <c r="H1763" s="1" t="inlineStr">
        <is>
          <t xml:space="preserve">B observado / C cálculo</t>
        </is>
      </c>
    </row>
    <row r="1764" customFormat="false" ht="15" hidden="false" customHeight="true" outlineLevel="0" collapsed="false">
      <c r="A1764" s="1" t="n">
        <v>2026</v>
      </c>
      <c r="B1764" s="1" t="n">
        <v>2</v>
      </c>
      <c r="C1764" s="1" t="inlineStr">
        <is>
          <t xml:space="preserve">IRHU20261</t>
        </is>
      </c>
      <c r="D1764" s="1" t="inlineStr">
        <is>
          <t xml:space="preserve">ELIMINADO</t>
        </is>
      </c>
      <c r="E1764" s="1" t="n">
        <v>1</v>
      </c>
      <c r="F1764" s="1" t="n">
        <v>2</v>
      </c>
      <c r="G1764" s="1" t="n">
        <f aca="false">IF(E1764=0,"",IF(D1764="VIGENTE",1,0))</f>
        <v>0</v>
      </c>
      <c r="H1764" s="1" t="inlineStr">
        <is>
          <t xml:space="preserve">B observado / C cálculo</t>
        </is>
      </c>
    </row>
    <row r="1765" customFormat="false" ht="15" hidden="false" customHeight="true" outlineLevel="0" collapsed="false">
      <c r="A1765" s="1" t="n">
        <v>2026</v>
      </c>
      <c r="B1765" s="1" t="n">
        <v>2</v>
      </c>
      <c r="C1765" s="1" t="inlineStr">
        <is>
          <t xml:space="preserve">IRHU20261</t>
        </is>
      </c>
      <c r="D1765" s="1" t="inlineStr">
        <is>
          <t xml:space="preserve">VIGENTE</t>
        </is>
      </c>
      <c r="E1765" s="1" t="n">
        <v>17</v>
      </c>
      <c r="F1765" s="1" t="n">
        <v>28</v>
      </c>
      <c r="G1765" s="1" t="n">
        <f aca="false">IF(E1765=0,"",IF(D1765="VIGENTE",1,0))</f>
        <v>1</v>
      </c>
      <c r="H1765" s="1" t="inlineStr">
        <is>
          <t xml:space="preserve">B observado / C cálculo</t>
        </is>
      </c>
    </row>
    <row r="1766" customFormat="false" ht="15" hidden="false" customHeight="true" outlineLevel="0" collapsed="false">
      <c r="A1766" s="1" t="n">
        <v>2026</v>
      </c>
      <c r="B1766" s="1" t="n">
        <v>2</v>
      </c>
      <c r="C1766" s="1" t="inlineStr">
        <is>
          <t xml:space="preserve">ISEP20261</t>
        </is>
      </c>
      <c r="D1766" s="1" t="inlineStr">
        <is>
          <t xml:space="preserve">VIGENTE</t>
        </is>
      </c>
      <c r="E1766" s="1" t="n">
        <v>9</v>
      </c>
      <c r="F1766" s="1" t="n">
        <v>15</v>
      </c>
      <c r="G1766" s="1" t="n">
        <f aca="false">IF(E1766=0,"",IF(D1766="VIGENTE",1,0))</f>
        <v>1</v>
      </c>
      <c r="H1766" s="1" t="inlineStr">
        <is>
          <t xml:space="preserve">B observado / C cálculo</t>
        </is>
      </c>
    </row>
    <row r="1767" customFormat="false" ht="15" hidden="false" customHeight="true" outlineLevel="0" collapsed="false">
      <c r="A1767" s="1" t="n">
        <v>2026</v>
      </c>
      <c r="B1767" s="1" t="n">
        <v>2</v>
      </c>
      <c r="C1767" s="1" t="inlineStr">
        <is>
          <t xml:space="preserve">NATP20251</t>
        </is>
      </c>
      <c r="D1767" s="1" t="inlineStr">
        <is>
          <t xml:space="preserve">VIGENTE</t>
        </is>
      </c>
      <c r="E1767" s="1" t="n">
        <v>8</v>
      </c>
      <c r="F1767" s="1" t="n">
        <v>9</v>
      </c>
      <c r="G1767" s="1" t="n">
        <f aca="false">IF(E1767=0,"",IF(D1767="VIGENTE",1,0))</f>
        <v>1</v>
      </c>
      <c r="H1767" s="1" t="inlineStr">
        <is>
          <t xml:space="preserve">B observado / C cálculo</t>
        </is>
      </c>
    </row>
    <row r="1768" customFormat="false" ht="15" hidden="false" customHeight="true" outlineLevel="0" collapsed="false">
      <c r="A1768" s="1" t="n">
        <v>2026</v>
      </c>
      <c r="B1768" s="1" t="n">
        <v>2</v>
      </c>
      <c r="C1768" s="1" t="inlineStr">
        <is>
          <t xml:space="preserve">TADP20251</t>
        </is>
      </c>
      <c r="D1768" s="1" t="inlineStr">
        <is>
          <t xml:space="preserve">VIGENTE</t>
        </is>
      </c>
      <c r="E1768" s="1" t="n">
        <v>17</v>
      </c>
      <c r="F1768" s="1" t="n">
        <v>76</v>
      </c>
      <c r="G1768" s="1" t="n">
        <f aca="false">IF(E1768=0,"",IF(D1768="VIGENTE",1,0))</f>
        <v>1</v>
      </c>
      <c r="H1768" s="1" t="inlineStr">
        <is>
          <t xml:space="preserve">B observado / C cálculo</t>
        </is>
      </c>
    </row>
    <row r="1769" customFormat="false" ht="15" hidden="false" customHeight="true" outlineLevel="0" collapsed="false">
      <c r="A1769" s="1" t="n">
        <v>2026</v>
      </c>
      <c r="B1769" s="1" t="n">
        <v>2</v>
      </c>
      <c r="C1769" s="1" t="inlineStr">
        <is>
          <t xml:space="preserve">TAMD20241</t>
        </is>
      </c>
      <c r="D1769" s="1" t="inlineStr">
        <is>
          <t xml:space="preserve">ELIMINADO</t>
        </is>
      </c>
      <c r="E1769" s="1" t="n">
        <v>3</v>
      </c>
      <c r="F1769" s="1" t="n">
        <v>11</v>
      </c>
      <c r="G1769" s="1" t="n">
        <f aca="false">IF(E1769=0,"",IF(D1769="VIGENTE",1,0))</f>
        <v>0</v>
      </c>
      <c r="H1769" s="1" t="inlineStr">
        <is>
          <t xml:space="preserve">B observado / C cálculo</t>
        </is>
      </c>
    </row>
    <row r="1770" customFormat="false" ht="15" hidden="false" customHeight="true" outlineLevel="0" collapsed="false">
      <c r="A1770" s="1" t="n">
        <v>2026</v>
      </c>
      <c r="B1770" s="1" t="n">
        <v>2</v>
      </c>
      <c r="C1770" s="1" t="inlineStr">
        <is>
          <t xml:space="preserve">TAMD20241</t>
        </is>
      </c>
      <c r="D1770" s="1" t="inlineStr">
        <is>
          <t xml:space="preserve">TITULADO</t>
        </is>
      </c>
      <c r="E1770" s="1" t="n">
        <v>2</v>
      </c>
      <c r="F1770" s="1" t="n">
        <v>4</v>
      </c>
      <c r="G1770" s="1" t="n">
        <f aca="false">IF(E1770=0,"",IF(D1770="VIGENTE",1,0))</f>
        <v>0</v>
      </c>
      <c r="H1770" s="1" t="inlineStr">
        <is>
          <t xml:space="preserve">B observado / C cálculo</t>
        </is>
      </c>
    </row>
    <row r="1771" customFormat="false" ht="15" hidden="false" customHeight="true" outlineLevel="0" collapsed="false">
      <c r="A1771" s="1" t="n">
        <v>2026</v>
      </c>
      <c r="B1771" s="1" t="n">
        <v>2</v>
      </c>
      <c r="C1771" s="1" t="inlineStr">
        <is>
          <t xml:space="preserve">TAMD20241</t>
        </is>
      </c>
      <c r="D1771" s="1" t="inlineStr">
        <is>
          <t xml:space="preserve">VIGENTE</t>
        </is>
      </c>
      <c r="E1771" s="1" t="n">
        <v>122</v>
      </c>
      <c r="F1771" s="1" t="n">
        <v>485</v>
      </c>
      <c r="G1771" s="1" t="n">
        <f aca="false">IF(E1771=0,"",IF(D1771="VIGENTE",1,0))</f>
        <v>1</v>
      </c>
      <c r="H1771" s="1" t="inlineStr">
        <is>
          <t xml:space="preserve">B observado / C cálculo</t>
        </is>
      </c>
    </row>
    <row r="1772" customFormat="false" ht="15" hidden="false" customHeight="true" outlineLevel="0" collapsed="false">
      <c r="A1772" s="1" t="n">
        <v>2026</v>
      </c>
      <c r="B1772" s="1" t="n">
        <v>2</v>
      </c>
      <c r="C1772" s="1" t="inlineStr">
        <is>
          <t xml:space="preserve">TCDA20251</t>
        </is>
      </c>
      <c r="D1772" s="1" t="inlineStr">
        <is>
          <t xml:space="preserve">VIGENTE</t>
        </is>
      </c>
      <c r="E1772" s="1" t="n">
        <v>23</v>
      </c>
      <c r="F1772" s="1" t="n">
        <v>33</v>
      </c>
      <c r="G1772" s="1" t="n">
        <f aca="false">IF(E1772=0,"",IF(D1772="VIGENTE",1,0))</f>
        <v>1</v>
      </c>
      <c r="H1772" s="1" t="inlineStr">
        <is>
          <t xml:space="preserve">B observado / C cálculo</t>
        </is>
      </c>
    </row>
    <row r="1773" customFormat="false" ht="15" hidden="false" customHeight="true" outlineLevel="0" collapsed="false">
      <c r="A1773" s="1" t="n">
        <v>2026</v>
      </c>
      <c r="B1773" s="1" t="n">
        <v>2</v>
      </c>
      <c r="C1773" s="1" t="inlineStr">
        <is>
          <t xml:space="preserve">TCIB20241</t>
        </is>
      </c>
      <c r="D1773" s="1" t="inlineStr">
        <is>
          <t xml:space="preserve">ELIMINADO</t>
        </is>
      </c>
      <c r="E1773" s="1" t="n">
        <v>2</v>
      </c>
      <c r="F1773" s="1" t="n">
        <v>5</v>
      </c>
      <c r="G1773" s="1" t="n">
        <f aca="false">IF(E1773=0,"",IF(D1773="VIGENTE",1,0))</f>
        <v>0</v>
      </c>
      <c r="H1773" s="1" t="inlineStr">
        <is>
          <t xml:space="preserve">B observado / C cálculo</t>
        </is>
      </c>
    </row>
    <row r="1774" customFormat="false" ht="15" hidden="false" customHeight="true" outlineLevel="0" collapsed="false">
      <c r="A1774" s="1" t="n">
        <v>2026</v>
      </c>
      <c r="B1774" s="1" t="n">
        <v>2</v>
      </c>
      <c r="C1774" s="1" t="inlineStr">
        <is>
          <t xml:space="preserve">TCIB20241</t>
        </is>
      </c>
      <c r="D1774" s="1" t="inlineStr">
        <is>
          <t xml:space="preserve">SUSPENDIDO</t>
        </is>
      </c>
      <c r="E1774" s="1" t="n">
        <v>1</v>
      </c>
      <c r="F1774" s="1" t="n">
        <v>4</v>
      </c>
      <c r="G1774" s="1" t="n">
        <f aca="false">IF(E1774=0,"",IF(D1774="VIGENTE",1,0))</f>
        <v>0</v>
      </c>
      <c r="H1774" s="1" t="inlineStr">
        <is>
          <t xml:space="preserve">B observado / C cálculo</t>
        </is>
      </c>
    </row>
    <row r="1775" customFormat="false" ht="15" hidden="false" customHeight="true" outlineLevel="0" collapsed="false">
      <c r="A1775" s="1" t="n">
        <v>2026</v>
      </c>
      <c r="B1775" s="1" t="n">
        <v>2</v>
      </c>
      <c r="C1775" s="1" t="inlineStr">
        <is>
          <t xml:space="preserve">TCIB20241</t>
        </is>
      </c>
      <c r="D1775" s="1" t="inlineStr">
        <is>
          <t xml:space="preserve">VIGENTE</t>
        </is>
      </c>
      <c r="E1775" s="1" t="n">
        <v>114</v>
      </c>
      <c r="F1775" s="1" t="n">
        <v>282</v>
      </c>
      <c r="G1775" s="1" t="n">
        <f aca="false">IF(E1775=0,"",IF(D1775="VIGENTE",1,0))</f>
        <v>1</v>
      </c>
      <c r="H1775" s="1" t="inlineStr">
        <is>
          <t xml:space="preserve">B observado / C cálculo</t>
        </is>
      </c>
    </row>
    <row r="1776" customFormat="false" ht="15" hidden="false" customHeight="true" outlineLevel="0" collapsed="false">
      <c r="A1776" s="1" t="n">
        <v>2026</v>
      </c>
      <c r="B1776" s="1" t="n">
        <v>2</v>
      </c>
      <c r="C1776" s="1" t="inlineStr">
        <is>
          <t xml:space="preserve">TCRE20241</t>
        </is>
      </c>
      <c r="D1776" s="1" t="inlineStr">
        <is>
          <t xml:space="preserve">VIGENTE</t>
        </is>
      </c>
      <c r="E1776" s="1" t="n">
        <v>22</v>
      </c>
      <c r="F1776" s="1" t="n">
        <v>28</v>
      </c>
      <c r="G1776" s="1" t="n">
        <f aca="false">IF(E1776=0,"",IF(D1776="VIGENTE",1,0))</f>
        <v>1</v>
      </c>
      <c r="H1776" s="1" t="inlineStr">
        <is>
          <t xml:space="preserve">B observado / C cálculo</t>
        </is>
      </c>
    </row>
    <row r="1777" customFormat="false" ht="15" hidden="false" customHeight="true" outlineLevel="0" collapsed="false">
      <c r="A1777" s="1" t="n">
        <v>2026</v>
      </c>
      <c r="B1777" s="1" t="n">
        <v>2</v>
      </c>
      <c r="C1777" s="1" t="inlineStr">
        <is>
          <t xml:space="preserve">TEIQ20261</t>
        </is>
      </c>
      <c r="D1777" s="1" t="inlineStr">
        <is>
          <t xml:space="preserve">ELIMINADO</t>
        </is>
      </c>
      <c r="E1777" s="1" t="n">
        <v>9</v>
      </c>
      <c r="F1777" s="1" t="n">
        <v>19</v>
      </c>
      <c r="G1777" s="1" t="n">
        <f aca="false">IF(E1777=0,"",IF(D1777="VIGENTE",1,0))</f>
        <v>0</v>
      </c>
      <c r="H1777" s="1" t="inlineStr">
        <is>
          <t xml:space="preserve">B observado / C cálculo</t>
        </is>
      </c>
    </row>
    <row r="1778" customFormat="false" ht="15" hidden="false" customHeight="true" outlineLevel="0" collapsed="false">
      <c r="A1778" s="1" t="n">
        <v>2026</v>
      </c>
      <c r="B1778" s="1" t="n">
        <v>2</v>
      </c>
      <c r="C1778" s="1" t="inlineStr">
        <is>
          <t xml:space="preserve">TEIQ20261</t>
        </is>
      </c>
      <c r="D1778" s="1" t="inlineStr">
        <is>
          <t xml:space="preserve">VIGENTE</t>
        </is>
      </c>
      <c r="E1778" s="1" t="n">
        <v>91</v>
      </c>
      <c r="F1778" s="1" t="n">
        <v>152</v>
      </c>
      <c r="G1778" s="1" t="n">
        <f aca="false">IF(E1778=0,"",IF(D1778="VIGENTE",1,0))</f>
        <v>1</v>
      </c>
      <c r="H1778" s="1" t="inlineStr">
        <is>
          <t xml:space="preserve">B observado / C cálculo</t>
        </is>
      </c>
    </row>
    <row r="1779" customFormat="false" ht="15" hidden="false" customHeight="true" outlineLevel="0" collapsed="false">
      <c r="A1779" s="1" t="n">
        <v>2026</v>
      </c>
      <c r="B1779" s="1" t="n">
        <v>2</v>
      </c>
      <c r="C1779" s="1" t="inlineStr">
        <is>
          <t xml:space="preserve">TENS20251</t>
        </is>
      </c>
      <c r="D1779" s="1" t="inlineStr">
        <is>
          <t xml:space="preserve">ELIMINADO</t>
        </is>
      </c>
      <c r="E1779" s="1" t="n">
        <v>1</v>
      </c>
      <c r="F1779" s="1" t="n">
        <v>3</v>
      </c>
      <c r="G1779" s="1" t="n">
        <f aca="false">IF(E1779=0,"",IF(D1779="VIGENTE",1,0))</f>
        <v>0</v>
      </c>
      <c r="H1779" s="1" t="inlineStr">
        <is>
          <t xml:space="preserve">B observado / C cálculo</t>
        </is>
      </c>
    </row>
    <row r="1780" customFormat="false" ht="15" hidden="false" customHeight="true" outlineLevel="0" collapsed="false">
      <c r="A1780" s="1" t="n">
        <v>2026</v>
      </c>
      <c r="B1780" s="1" t="n">
        <v>2</v>
      </c>
      <c r="C1780" s="1" t="inlineStr">
        <is>
          <t xml:space="preserve">TENS20251</t>
        </is>
      </c>
      <c r="D1780" s="1" t="inlineStr">
        <is>
          <t xml:space="preserve">SUSPENDIDO</t>
        </is>
      </c>
      <c r="E1780" s="1" t="n">
        <v>2</v>
      </c>
      <c r="F1780" s="1" t="n">
        <v>2</v>
      </c>
      <c r="G1780" s="1" t="n">
        <f aca="false">IF(E1780=0,"",IF(D1780="VIGENTE",1,0))</f>
        <v>0</v>
      </c>
      <c r="H1780" s="1" t="inlineStr">
        <is>
          <t xml:space="preserve">B observado / C cálculo</t>
        </is>
      </c>
    </row>
    <row r="1781" customFormat="false" ht="15" hidden="false" customHeight="true" outlineLevel="0" collapsed="false">
      <c r="A1781" s="1" t="n">
        <v>2026</v>
      </c>
      <c r="B1781" s="1" t="n">
        <v>2</v>
      </c>
      <c r="C1781" s="1" t="inlineStr">
        <is>
          <t xml:space="preserve">TENS20251</t>
        </is>
      </c>
      <c r="D1781" s="1" t="inlineStr">
        <is>
          <t xml:space="preserve">VIGENTE</t>
        </is>
      </c>
      <c r="E1781" s="1" t="n">
        <v>153</v>
      </c>
      <c r="F1781" s="1" t="n">
        <v>228</v>
      </c>
      <c r="G1781" s="1" t="n">
        <f aca="false">IF(E1781=0,"",IF(D1781="VIGENTE",1,0))</f>
        <v>1</v>
      </c>
      <c r="H1781" s="1" t="inlineStr">
        <is>
          <t xml:space="preserve">B observado / C cálculo</t>
        </is>
      </c>
    </row>
    <row r="1782" customFormat="false" ht="15" hidden="false" customHeight="true" outlineLevel="0" collapsed="false">
      <c r="A1782" s="1" t="n">
        <v>2026</v>
      </c>
      <c r="B1782" s="1" t="n">
        <v>2</v>
      </c>
      <c r="C1782" s="1" t="inlineStr">
        <is>
          <t xml:space="preserve">TFAR20261</t>
        </is>
      </c>
      <c r="D1782" s="1" t="inlineStr">
        <is>
          <t xml:space="preserve">VIGENTE</t>
        </is>
      </c>
      <c r="E1782" s="1" t="n">
        <v>12</v>
      </c>
      <c r="F1782" s="1" t="n">
        <v>13</v>
      </c>
      <c r="G1782" s="1" t="n">
        <f aca="false">IF(E1782=0,"",IF(D1782="VIGENTE",1,0))</f>
        <v>1</v>
      </c>
      <c r="H1782" s="1" t="inlineStr">
        <is>
          <t xml:space="preserve">B observado / C cálculo</t>
        </is>
      </c>
    </row>
    <row r="1783" customFormat="false" ht="15" hidden="false" customHeight="true" outlineLevel="0" collapsed="false">
      <c r="A1783" s="1" t="n">
        <v>2026</v>
      </c>
      <c r="B1783" s="1" t="n">
        <v>2</v>
      </c>
      <c r="C1783" s="1" t="inlineStr">
        <is>
          <t xml:space="preserve">TFIN20261</t>
        </is>
      </c>
      <c r="D1783" s="1" t="inlineStr">
        <is>
          <t xml:space="preserve">VIGENTE</t>
        </is>
      </c>
      <c r="E1783" s="1" t="n">
        <v>17</v>
      </c>
      <c r="F1783" s="1" t="n">
        <v>28</v>
      </c>
      <c r="G1783" s="1" t="n">
        <f aca="false">IF(E1783=0,"",IF(D1783="VIGENTE",1,0))</f>
        <v>1</v>
      </c>
      <c r="H1783" s="1" t="inlineStr">
        <is>
          <t xml:space="preserve">B observado / C cálculo</t>
        </is>
      </c>
    </row>
    <row r="1784" customFormat="false" ht="15" hidden="false" customHeight="true" outlineLevel="0" collapsed="false">
      <c r="A1784" s="1" t="n">
        <v>2026</v>
      </c>
      <c r="B1784" s="1" t="n">
        <v>2</v>
      </c>
      <c r="C1784" s="1" t="inlineStr">
        <is>
          <t xml:space="preserve">TICL20261</t>
        </is>
      </c>
      <c r="D1784" s="1" t="inlineStr">
        <is>
          <t xml:space="preserve">SUSPENDIDO</t>
        </is>
      </c>
      <c r="E1784" s="1" t="n">
        <v>1</v>
      </c>
      <c r="F1784" s="1" t="n">
        <v>2</v>
      </c>
      <c r="G1784" s="1" t="n">
        <f aca="false">IF(E1784=0,"",IF(D1784="VIGENTE",1,0))</f>
        <v>0</v>
      </c>
      <c r="H1784" s="1" t="inlineStr">
        <is>
          <t xml:space="preserve">B observado / C cálculo</t>
        </is>
      </c>
    </row>
    <row r="1785" customFormat="false" ht="15" hidden="false" customHeight="true" outlineLevel="0" collapsed="false">
      <c r="A1785" s="1" t="n">
        <v>2026</v>
      </c>
      <c r="B1785" s="1" t="n">
        <v>2</v>
      </c>
      <c r="C1785" s="1" t="inlineStr">
        <is>
          <t xml:space="preserve">TICL20261</t>
        </is>
      </c>
      <c r="D1785" s="1" t="inlineStr">
        <is>
          <t xml:space="preserve">VIGENTE</t>
        </is>
      </c>
      <c r="E1785" s="1" t="n">
        <v>10</v>
      </c>
      <c r="F1785" s="1" t="n">
        <v>13</v>
      </c>
      <c r="G1785" s="1" t="n">
        <f aca="false">IF(E1785=0,"",IF(D1785="VIGENTE",1,0))</f>
        <v>1</v>
      </c>
      <c r="H1785" s="1" t="inlineStr">
        <is>
          <t xml:space="preserve">B observado / C cálculo</t>
        </is>
      </c>
    </row>
    <row r="1786" customFormat="false" ht="15" hidden="false" customHeight="true" outlineLevel="0" collapsed="false">
      <c r="A1786" s="1" t="n">
        <v>2026</v>
      </c>
      <c r="B1786" s="1" t="n">
        <v>2</v>
      </c>
      <c r="C1786" s="1" t="inlineStr">
        <is>
          <t xml:space="preserve">TLOG20241</t>
        </is>
      </c>
      <c r="D1786" s="1" t="inlineStr">
        <is>
          <t xml:space="preserve">ELIMINADO</t>
        </is>
      </c>
      <c r="E1786" s="1" t="n">
        <v>1</v>
      </c>
      <c r="F1786" s="1" t="n">
        <v>1</v>
      </c>
      <c r="G1786" s="1" t="n">
        <f aca="false">IF(E1786=0,"",IF(D1786="VIGENTE",1,0))</f>
        <v>0</v>
      </c>
      <c r="H1786" s="1" t="inlineStr">
        <is>
          <t xml:space="preserve">B observado / C cálculo</t>
        </is>
      </c>
    </row>
    <row r="1787" customFormat="false" ht="15" hidden="false" customHeight="true" outlineLevel="0" collapsed="false">
      <c r="A1787" s="1" t="n">
        <v>2026</v>
      </c>
      <c r="B1787" s="1" t="n">
        <v>2</v>
      </c>
      <c r="C1787" s="1" t="inlineStr">
        <is>
          <t xml:space="preserve">TLOG20241</t>
        </is>
      </c>
      <c r="D1787" s="1" t="inlineStr">
        <is>
          <t xml:space="preserve">VIGENTE</t>
        </is>
      </c>
      <c r="E1787" s="1" t="n">
        <v>105</v>
      </c>
      <c r="F1787" s="1" t="n">
        <v>156</v>
      </c>
      <c r="G1787" s="1" t="n">
        <f aca="false">IF(E1787=0,"",IF(D1787="VIGENTE",1,0))</f>
        <v>1</v>
      </c>
      <c r="H1787" s="1" t="inlineStr">
        <is>
          <t xml:space="preserve">B observado / C cálculo</t>
        </is>
      </c>
    </row>
    <row r="1788" customFormat="false" ht="15" hidden="false" customHeight="true" outlineLevel="0" collapsed="false">
      <c r="A1788" s="1" t="n">
        <v>2026</v>
      </c>
      <c r="B1788" s="1" t="n">
        <v>2</v>
      </c>
      <c r="C1788" s="1" t="inlineStr">
        <is>
          <t xml:space="preserve">TMDI20261</t>
        </is>
      </c>
      <c r="D1788" s="1" t="inlineStr">
        <is>
          <t xml:space="preserve">ELIMINADO</t>
        </is>
      </c>
      <c r="E1788" s="1" t="n">
        <v>5</v>
      </c>
      <c r="F1788" s="1" t="n">
        <v>8</v>
      </c>
      <c r="G1788" s="1" t="n">
        <f aca="false">IF(E1788=0,"",IF(D1788="VIGENTE",1,0))</f>
        <v>0</v>
      </c>
      <c r="H1788" s="1" t="inlineStr">
        <is>
          <t xml:space="preserve">B observado / C cálculo</t>
        </is>
      </c>
    </row>
    <row r="1789" customFormat="false" ht="15" hidden="false" customHeight="true" outlineLevel="0" collapsed="false">
      <c r="A1789" s="1" t="n">
        <v>2026</v>
      </c>
      <c r="B1789" s="1" t="n">
        <v>2</v>
      </c>
      <c r="C1789" s="1" t="inlineStr">
        <is>
          <t xml:space="preserve">TMDI20261</t>
        </is>
      </c>
      <c r="D1789" s="1" t="inlineStr">
        <is>
          <t xml:space="preserve">VIGENTE</t>
        </is>
      </c>
      <c r="E1789" s="1" t="n">
        <v>68</v>
      </c>
      <c r="F1789" s="1" t="n">
        <v>122</v>
      </c>
      <c r="G1789" s="1" t="n">
        <f aca="false">IF(E1789=0,"",IF(D1789="VIGENTE",1,0))</f>
        <v>1</v>
      </c>
      <c r="H1789" s="1" t="inlineStr">
        <is>
          <t xml:space="preserve">B observado / C cálculo</t>
        </is>
      </c>
    </row>
    <row r="1790" customFormat="false" ht="15" hidden="false" customHeight="true" outlineLevel="0" collapsed="false">
      <c r="A1790" s="1" t="n">
        <v>2026</v>
      </c>
      <c r="B1790" s="1" t="n">
        <v>2</v>
      </c>
      <c r="C1790" s="1" t="inlineStr">
        <is>
          <t xml:space="preserve">TPAS20241</t>
        </is>
      </c>
      <c r="D1790" s="1" t="inlineStr">
        <is>
          <t xml:space="preserve">ELIMINADO</t>
        </is>
      </c>
      <c r="E1790" s="1" t="n">
        <v>2</v>
      </c>
      <c r="F1790" s="1" t="n">
        <v>5</v>
      </c>
      <c r="G1790" s="1" t="n">
        <f aca="false">IF(E1790=0,"",IF(D1790="VIGENTE",1,0))</f>
        <v>0</v>
      </c>
      <c r="H1790" s="1" t="inlineStr">
        <is>
          <t xml:space="preserve">B observado / C cálculo</t>
        </is>
      </c>
    </row>
    <row r="1791" customFormat="false" ht="15" hidden="false" customHeight="true" outlineLevel="0" collapsed="false">
      <c r="A1791" s="1" t="n">
        <v>2026</v>
      </c>
      <c r="B1791" s="1" t="n">
        <v>2</v>
      </c>
      <c r="C1791" s="1" t="inlineStr">
        <is>
          <t xml:space="preserve">TPAS20241</t>
        </is>
      </c>
      <c r="D1791" s="1" t="inlineStr">
        <is>
          <t xml:space="preserve">SUSPENDIDO</t>
        </is>
      </c>
      <c r="E1791" s="1" t="n">
        <v>1</v>
      </c>
      <c r="F1791" s="1" t="n">
        <v>2</v>
      </c>
      <c r="G1791" s="1" t="n">
        <f aca="false">IF(E1791=0,"",IF(D1791="VIGENTE",1,0))</f>
        <v>0</v>
      </c>
      <c r="H1791" s="1" t="inlineStr">
        <is>
          <t xml:space="preserve">B observado / C cálculo</t>
        </is>
      </c>
    </row>
    <row r="1792" customFormat="false" ht="15" hidden="false" customHeight="true" outlineLevel="0" collapsed="false">
      <c r="A1792" s="1" t="n">
        <v>2026</v>
      </c>
      <c r="B1792" s="1" t="n">
        <v>2</v>
      </c>
      <c r="C1792" s="1" t="inlineStr">
        <is>
          <t xml:space="preserve">TPAS20241</t>
        </is>
      </c>
      <c r="D1792" s="1" t="inlineStr">
        <is>
          <t xml:space="preserve">VIGENTE</t>
        </is>
      </c>
      <c r="E1792" s="1" t="n">
        <v>207</v>
      </c>
      <c r="F1792" s="1" t="n">
        <v>321</v>
      </c>
      <c r="G1792" s="1" t="n">
        <f aca="false">IF(E1792=0,"",IF(D1792="VIGENTE",1,0))</f>
        <v>1</v>
      </c>
      <c r="H1792" s="1" t="inlineStr">
        <is>
          <t xml:space="preserve">B observado / C cálculo</t>
        </is>
      </c>
    </row>
    <row r="1793" customFormat="false" ht="15" hidden="false" customHeight="true" outlineLevel="0" collapsed="false">
      <c r="A1793" s="1" t="n">
        <v>2026</v>
      </c>
      <c r="B1793" s="1" t="n">
        <v>2</v>
      </c>
      <c r="C1793" s="1" t="inlineStr">
        <is>
          <t xml:space="preserve">TPRE20261</t>
        </is>
      </c>
      <c r="D1793" s="1" t="inlineStr">
        <is>
          <t xml:space="preserve">VIGENTE</t>
        </is>
      </c>
      <c r="E1793" s="1" t="n">
        <v>12</v>
      </c>
      <c r="F1793" s="1" t="n">
        <v>17</v>
      </c>
      <c r="G1793" s="1" t="n">
        <f aca="false">IF(E1793=0,"",IF(D1793="VIGENTE",1,0))</f>
        <v>1</v>
      </c>
      <c r="H1793" s="1" t="inlineStr">
        <is>
          <t xml:space="preserve">B observado / C cálculo</t>
        </is>
      </c>
    </row>
    <row r="1794" customFormat="false" ht="15" hidden="false" customHeight="true" outlineLevel="0" collapsed="false">
      <c r="A1794" s="1" t="n">
        <v>2026</v>
      </c>
      <c r="B1794" s="1" t="n">
        <v>2</v>
      </c>
      <c r="C1794" s="1" t="inlineStr">
        <is>
          <t xml:space="preserve">TRHU20261</t>
        </is>
      </c>
      <c r="D1794" s="1" t="inlineStr">
        <is>
          <t xml:space="preserve">ELIMINADO</t>
        </is>
      </c>
      <c r="E1794" s="1" t="n">
        <v>5</v>
      </c>
      <c r="F1794" s="1" t="n">
        <v>9</v>
      </c>
      <c r="G1794" s="1" t="n">
        <f aca="false">IF(E1794=0,"",IF(D1794="VIGENTE",1,0))</f>
        <v>0</v>
      </c>
      <c r="H1794" s="1" t="inlineStr">
        <is>
          <t xml:space="preserve">B observado / C cálculo</t>
        </is>
      </c>
    </row>
    <row r="1795" customFormat="false" ht="15" hidden="false" customHeight="true" outlineLevel="0" collapsed="false">
      <c r="A1795" s="1" t="n">
        <v>2026</v>
      </c>
      <c r="B1795" s="1" t="n">
        <v>2</v>
      </c>
      <c r="C1795" s="1" t="inlineStr">
        <is>
          <t xml:space="preserve">TRHU20261</t>
        </is>
      </c>
      <c r="D1795" s="1" t="inlineStr">
        <is>
          <t xml:space="preserve">VIGENTE</t>
        </is>
      </c>
      <c r="E1795" s="1" t="n">
        <v>25</v>
      </c>
      <c r="F1795" s="1" t="n">
        <v>49</v>
      </c>
      <c r="G1795" s="1" t="n">
        <f aca="false">IF(E1795=0,"",IF(D1795="VIGENTE",1,0))</f>
        <v>1</v>
      </c>
      <c r="H1795" s="1" t="inlineStr">
        <is>
          <t xml:space="preserve">B observado / C cálculo</t>
        </is>
      </c>
    </row>
    <row r="1796" customFormat="false" ht="15" hidden="false" customHeight="true" outlineLevel="0" collapsed="false">
      <c r="A1796" s="1" t="n">
        <v>2026</v>
      </c>
      <c r="B1796" s="1" t="n">
        <v>3</v>
      </c>
      <c r="C1796" s="1" t="inlineStr">
        <is>
          <t xml:space="preserve">ADMP20251</t>
        </is>
      </c>
      <c r="D1796" s="1" t="inlineStr">
        <is>
          <t xml:space="preserve">VIGENTE</t>
        </is>
      </c>
      <c r="E1796" s="1" t="n">
        <v>57</v>
      </c>
      <c r="F1796" s="1" t="n">
        <v>256</v>
      </c>
      <c r="G1796" s="1" t="n">
        <f aca="false">IF(E1796=0,"",IF(D1796="VIGENTE",1,0))</f>
        <v>1</v>
      </c>
      <c r="H1796" s="1" t="inlineStr">
        <is>
          <t xml:space="preserve">B observado / C cálculo</t>
        </is>
      </c>
    </row>
    <row r="1797" customFormat="false" ht="15" hidden="false" customHeight="true" outlineLevel="0" collapsed="false">
      <c r="A1797" s="1" t="n">
        <v>2026</v>
      </c>
      <c r="B1797" s="1" t="n">
        <v>3</v>
      </c>
      <c r="C1797" s="1" t="inlineStr">
        <is>
          <t xml:space="preserve">AUDT20251</t>
        </is>
      </c>
      <c r="D1797" s="1" t="inlineStr">
        <is>
          <t xml:space="preserve">VIGENTE</t>
        </is>
      </c>
      <c r="E1797" s="1" t="n">
        <v>46</v>
      </c>
      <c r="F1797" s="1" t="n">
        <v>183</v>
      </c>
      <c r="G1797" s="1" t="n">
        <f aca="false">IF(E1797=0,"",IF(D1797="VIGENTE",1,0))</f>
        <v>1</v>
      </c>
      <c r="H1797" s="1" t="inlineStr">
        <is>
          <t xml:space="preserve">B observado / C cálculo</t>
        </is>
      </c>
    </row>
    <row r="1798" customFormat="false" ht="15" hidden="false" customHeight="true" outlineLevel="0" collapsed="false">
      <c r="A1798" s="1" t="n">
        <v>2026</v>
      </c>
      <c r="B1798" s="1" t="n">
        <v>3</v>
      </c>
      <c r="C1798" s="1" t="inlineStr">
        <is>
          <t xml:space="preserve">CADMP20251</t>
        </is>
      </c>
      <c r="D1798" s="1" t="inlineStr">
        <is>
          <t xml:space="preserve">VIGENTE</t>
        </is>
      </c>
      <c r="E1798" s="1" t="n">
        <v>4</v>
      </c>
      <c r="F1798" s="1" t="n">
        <v>16</v>
      </c>
      <c r="G1798" s="1" t="n">
        <f aca="false">IF(E1798=0,"",IF(D1798="VIGENTE",1,0))</f>
        <v>1</v>
      </c>
      <c r="H1798" s="1" t="inlineStr">
        <is>
          <t xml:space="preserve">B observado / C cálculo</t>
        </is>
      </c>
    </row>
    <row r="1799" customFormat="false" ht="15" hidden="false" customHeight="true" outlineLevel="0" collapsed="false">
      <c r="A1799" s="1" t="n">
        <v>2026</v>
      </c>
      <c r="B1799" s="1" t="n">
        <v>3</v>
      </c>
      <c r="C1799" s="1" t="inlineStr">
        <is>
          <t xml:space="preserve">CIADM20241</t>
        </is>
      </c>
      <c r="D1799" s="1" t="inlineStr">
        <is>
          <t xml:space="preserve">VIGENTE</t>
        </is>
      </c>
      <c r="E1799" s="1" t="n">
        <v>18</v>
      </c>
      <c r="F1799" s="1" t="n">
        <v>50</v>
      </c>
      <c r="G1799" s="1" t="n">
        <f aca="false">IF(E1799=0,"",IF(D1799="VIGENTE",1,0))</f>
        <v>1</v>
      </c>
      <c r="H1799" s="1" t="inlineStr">
        <is>
          <t xml:space="preserve">B observado / C cálculo</t>
        </is>
      </c>
    </row>
    <row r="1800" customFormat="false" ht="15" hidden="false" customHeight="true" outlineLevel="0" collapsed="false">
      <c r="A1800" s="1" t="n">
        <v>2026</v>
      </c>
      <c r="B1800" s="1" t="n">
        <v>3</v>
      </c>
      <c r="C1800" s="1" t="inlineStr">
        <is>
          <t xml:space="preserve">CICIB20241</t>
        </is>
      </c>
      <c r="D1800" s="1" t="inlineStr">
        <is>
          <t xml:space="preserve">VIGENTE</t>
        </is>
      </c>
      <c r="E1800" s="1" t="n">
        <v>40</v>
      </c>
      <c r="F1800" s="1" t="n">
        <v>40</v>
      </c>
      <c r="G1800" s="1" t="n">
        <f aca="false">IF(E1800=0,"",IF(D1800="VIGENTE",1,0))</f>
        <v>1</v>
      </c>
      <c r="H1800" s="1" t="inlineStr">
        <is>
          <t xml:space="preserve">B observado / C cálculo</t>
        </is>
      </c>
    </row>
    <row r="1801" customFormat="false" ht="15" hidden="false" customHeight="true" outlineLevel="0" collapsed="false">
      <c r="A1801" s="1" t="n">
        <v>2026</v>
      </c>
      <c r="B1801" s="1" t="n">
        <v>3</v>
      </c>
      <c r="C1801" s="1" t="inlineStr">
        <is>
          <t xml:space="preserve">CICRE20241</t>
        </is>
      </c>
      <c r="D1801" s="1" t="inlineStr">
        <is>
          <t xml:space="preserve">VIGENTE</t>
        </is>
      </c>
      <c r="E1801" s="1" t="n">
        <v>50</v>
      </c>
      <c r="F1801" s="1" t="n">
        <v>51</v>
      </c>
      <c r="G1801" s="1" t="n">
        <f aca="false">IF(E1801=0,"",IF(D1801="VIGENTE",1,0))</f>
        <v>1</v>
      </c>
      <c r="H1801" s="1" t="inlineStr">
        <is>
          <t xml:space="preserve">B observado / C cálculo</t>
        </is>
      </c>
    </row>
    <row r="1802" customFormat="false" ht="15" hidden="false" customHeight="true" outlineLevel="0" collapsed="false">
      <c r="A1802" s="1" t="n">
        <v>2026</v>
      </c>
      <c r="B1802" s="1" t="n">
        <v>3</v>
      </c>
      <c r="C1802" s="1" t="inlineStr">
        <is>
          <t xml:space="preserve">CIIND20251</t>
        </is>
      </c>
      <c r="D1802" s="1" t="inlineStr">
        <is>
          <t xml:space="preserve">VIGENTE</t>
        </is>
      </c>
      <c r="E1802" s="1" t="n">
        <v>26</v>
      </c>
      <c r="F1802" s="1" t="n">
        <v>34</v>
      </c>
      <c r="G1802" s="1" t="n">
        <f aca="false">IF(E1802=0,"",IF(D1802="VIGENTE",1,0))</f>
        <v>1</v>
      </c>
      <c r="H1802" s="1" t="inlineStr">
        <is>
          <t xml:space="preserve">B observado / C cálculo</t>
        </is>
      </c>
    </row>
    <row r="1803" customFormat="false" ht="15" hidden="false" customHeight="true" outlineLevel="0" collapsed="false">
      <c r="A1803" s="1" t="n">
        <v>2026</v>
      </c>
      <c r="B1803" s="1" t="n">
        <v>3</v>
      </c>
      <c r="C1803" s="1" t="inlineStr">
        <is>
          <t xml:space="preserve">CIINF20241</t>
        </is>
      </c>
      <c r="D1803" s="1" t="inlineStr">
        <is>
          <t xml:space="preserve">VIGENTE</t>
        </is>
      </c>
      <c r="E1803" s="1" t="n">
        <v>41</v>
      </c>
      <c r="F1803" s="1" t="n">
        <v>44</v>
      </c>
      <c r="G1803" s="1" t="n">
        <f aca="false">IF(E1803=0,"",IF(D1803="VIGENTE",1,0))</f>
        <v>1</v>
      </c>
      <c r="H1803" s="1" t="inlineStr">
        <is>
          <t xml:space="preserve">B observado / C cálculo</t>
        </is>
      </c>
    </row>
    <row r="1804" customFormat="false" ht="15" hidden="false" customHeight="true" outlineLevel="0" collapsed="false">
      <c r="A1804" s="1" t="n">
        <v>2026</v>
      </c>
      <c r="B1804" s="1" t="n">
        <v>3</v>
      </c>
      <c r="C1804" s="1" t="inlineStr">
        <is>
          <t xml:space="preserve">CILOG20241</t>
        </is>
      </c>
      <c r="D1804" s="1" t="inlineStr">
        <is>
          <t xml:space="preserve">VIGENTE</t>
        </is>
      </c>
      <c r="E1804" s="1" t="n">
        <v>18</v>
      </c>
      <c r="F1804" s="1" t="n">
        <v>19</v>
      </c>
      <c r="G1804" s="1" t="n">
        <f aca="false">IF(E1804=0,"",IF(D1804="VIGENTE",1,0))</f>
        <v>1</v>
      </c>
      <c r="H1804" s="1" t="inlineStr">
        <is>
          <t xml:space="preserve">B observado / C cálculo</t>
        </is>
      </c>
    </row>
    <row r="1805" customFormat="false" ht="15" hidden="false" customHeight="true" outlineLevel="0" collapsed="false">
      <c r="A1805" s="1" t="n">
        <v>2026</v>
      </c>
      <c r="B1805" s="1" t="n">
        <v>3</v>
      </c>
      <c r="C1805" s="1" t="inlineStr">
        <is>
          <t xml:space="preserve">CONG20251</t>
        </is>
      </c>
      <c r="D1805" s="1" t="inlineStr">
        <is>
          <t xml:space="preserve">VIGENTE</t>
        </is>
      </c>
      <c r="E1805" s="1" t="n">
        <v>45</v>
      </c>
      <c r="F1805" s="1" t="n">
        <v>168</v>
      </c>
      <c r="G1805" s="1" t="n">
        <f aca="false">IF(E1805=0,"",IF(D1805="VIGENTE",1,0))</f>
        <v>1</v>
      </c>
      <c r="H1805" s="1" t="inlineStr">
        <is>
          <t xml:space="preserve">B observado / C cálculo</t>
        </is>
      </c>
    </row>
    <row r="1806" customFormat="false" ht="15" hidden="false" customHeight="true" outlineLevel="0" collapsed="false">
      <c r="A1806" s="1" t="n">
        <v>2026</v>
      </c>
      <c r="B1806" s="1" t="n">
        <v>3</v>
      </c>
      <c r="C1806" s="1" t="inlineStr">
        <is>
          <t xml:space="preserve">COTEIQ20261</t>
        </is>
      </c>
      <c r="D1806" s="1" t="inlineStr">
        <is>
          <t xml:space="preserve">VIGENTE</t>
        </is>
      </c>
      <c r="E1806" s="1" t="n">
        <v>31</v>
      </c>
      <c r="F1806" s="1" t="n">
        <v>59</v>
      </c>
      <c r="G1806" s="1" t="n">
        <f aca="false">IF(E1806=0,"",IF(D1806="VIGENTE",1,0))</f>
        <v>1</v>
      </c>
      <c r="H1806" s="1" t="inlineStr">
        <is>
          <t xml:space="preserve">B observado / C cálculo</t>
        </is>
      </c>
    </row>
    <row r="1807" customFormat="false" ht="15" hidden="false" customHeight="true" outlineLevel="0" collapsed="false">
      <c r="A1807" s="1" t="n">
        <v>2026</v>
      </c>
      <c r="B1807" s="1" t="n">
        <v>3</v>
      </c>
      <c r="C1807" s="1" t="inlineStr">
        <is>
          <t xml:space="preserve">COTENS20261</t>
        </is>
      </c>
      <c r="D1807" s="1" t="inlineStr">
        <is>
          <t xml:space="preserve">VIGENTE</t>
        </is>
      </c>
      <c r="E1807" s="1" t="n">
        <v>9</v>
      </c>
      <c r="F1807" s="1" t="n">
        <v>16</v>
      </c>
      <c r="G1807" s="1" t="n">
        <f aca="false">IF(E1807=0,"",IF(D1807="VIGENTE",1,0))</f>
        <v>1</v>
      </c>
      <c r="H1807" s="1" t="inlineStr">
        <is>
          <t xml:space="preserve">B observado / C cálculo</t>
        </is>
      </c>
    </row>
    <row r="1808" customFormat="false" ht="15" hidden="false" customHeight="true" outlineLevel="0" collapsed="false">
      <c r="A1808" s="1" t="n">
        <v>2026</v>
      </c>
      <c r="B1808" s="1" t="n">
        <v>3</v>
      </c>
      <c r="C1808" s="1" t="inlineStr">
        <is>
          <t xml:space="preserve">COTFAR20261</t>
        </is>
      </c>
      <c r="D1808" s="1" t="inlineStr">
        <is>
          <t xml:space="preserve">VIGENTE</t>
        </is>
      </c>
      <c r="E1808" s="1" t="n">
        <v>17</v>
      </c>
      <c r="F1808" s="1" t="n">
        <v>34</v>
      </c>
      <c r="G1808" s="1" t="n">
        <f aca="false">IF(E1808=0,"",IF(D1808="VIGENTE",1,0))</f>
        <v>1</v>
      </c>
      <c r="H1808" s="1" t="inlineStr">
        <is>
          <t xml:space="preserve">B observado / C cálculo</t>
        </is>
      </c>
    </row>
    <row r="1809" customFormat="false" ht="15" hidden="false" customHeight="true" outlineLevel="0" collapsed="false">
      <c r="A1809" s="1" t="n">
        <v>2026</v>
      </c>
      <c r="B1809" s="1" t="n">
        <v>3</v>
      </c>
      <c r="C1809" s="1" t="inlineStr">
        <is>
          <t xml:space="preserve">IADM20241</t>
        </is>
      </c>
      <c r="D1809" s="1" t="inlineStr">
        <is>
          <t xml:space="preserve">ELIMINADO</t>
        </is>
      </c>
      <c r="E1809" s="1" t="n">
        <v>2</v>
      </c>
      <c r="F1809" s="1" t="n">
        <v>2</v>
      </c>
      <c r="G1809" s="1" t="n">
        <f aca="false">IF(E1809=0,"",IF(D1809="VIGENTE",1,0))</f>
        <v>0</v>
      </c>
      <c r="H1809" s="1" t="inlineStr">
        <is>
          <t xml:space="preserve">B observado / C cálculo</t>
        </is>
      </c>
    </row>
    <row r="1810" customFormat="false" ht="15" hidden="false" customHeight="true" outlineLevel="0" collapsed="false">
      <c r="A1810" s="1" t="n">
        <v>2026</v>
      </c>
      <c r="B1810" s="1" t="n">
        <v>3</v>
      </c>
      <c r="C1810" s="1" t="inlineStr">
        <is>
          <t xml:space="preserve">IADM20241</t>
        </is>
      </c>
      <c r="D1810" s="1" t="inlineStr">
        <is>
          <t xml:space="preserve">VIGENTE</t>
        </is>
      </c>
      <c r="E1810" s="1" t="n">
        <v>145</v>
      </c>
      <c r="F1810" s="1" t="n">
        <v>637</v>
      </c>
      <c r="G1810" s="1" t="n">
        <f aca="false">IF(E1810=0,"",IF(D1810="VIGENTE",1,0))</f>
        <v>1</v>
      </c>
      <c r="H1810" s="1" t="inlineStr">
        <is>
          <t xml:space="preserve">B observado / C cálculo</t>
        </is>
      </c>
    </row>
    <row r="1811" customFormat="false" ht="15" hidden="false" customHeight="true" outlineLevel="0" collapsed="false">
      <c r="A1811" s="1" t="n">
        <v>2026</v>
      </c>
      <c r="B1811" s="1" t="n">
        <v>3</v>
      </c>
      <c r="C1811" s="1" t="inlineStr">
        <is>
          <t xml:space="preserve">ICDA20251</t>
        </is>
      </c>
      <c r="D1811" s="1" t="inlineStr">
        <is>
          <t xml:space="preserve">VIGENTE</t>
        </is>
      </c>
      <c r="E1811" s="1" t="n">
        <v>34</v>
      </c>
      <c r="F1811" s="1" t="n">
        <v>62</v>
      </c>
      <c r="G1811" s="1" t="n">
        <f aca="false">IF(E1811=0,"",IF(D1811="VIGENTE",1,0))</f>
        <v>1</v>
      </c>
      <c r="H1811" s="1" t="inlineStr">
        <is>
          <t xml:space="preserve">B observado / C cálculo</t>
        </is>
      </c>
    </row>
    <row r="1812" customFormat="false" ht="15" hidden="false" customHeight="true" outlineLevel="0" collapsed="false">
      <c r="A1812" s="1" t="n">
        <v>2026</v>
      </c>
      <c r="B1812" s="1" t="n">
        <v>3</v>
      </c>
      <c r="C1812" s="1" t="inlineStr">
        <is>
          <t xml:space="preserve">ICIB20241</t>
        </is>
      </c>
      <c r="D1812" s="1" t="inlineStr">
        <is>
          <t xml:space="preserve">ELIMINADO</t>
        </is>
      </c>
      <c r="E1812" s="1" t="n">
        <v>2</v>
      </c>
      <c r="F1812" s="1" t="n">
        <v>4</v>
      </c>
      <c r="G1812" s="1" t="n">
        <f aca="false">IF(E1812=0,"",IF(D1812="VIGENTE",1,0))</f>
        <v>0</v>
      </c>
      <c r="H1812" s="1" t="inlineStr">
        <is>
          <t xml:space="preserve">B observado / C cálculo</t>
        </is>
      </c>
    </row>
    <row r="1813" customFormat="false" ht="15" hidden="false" customHeight="true" outlineLevel="0" collapsed="false">
      <c r="A1813" s="1" t="n">
        <v>2026</v>
      </c>
      <c r="B1813" s="1" t="n">
        <v>3</v>
      </c>
      <c r="C1813" s="1" t="inlineStr">
        <is>
          <t xml:space="preserve">ICIB20241</t>
        </is>
      </c>
      <c r="D1813" s="1" t="inlineStr">
        <is>
          <t xml:space="preserve">VIGENTE</t>
        </is>
      </c>
      <c r="E1813" s="1" t="n">
        <v>278</v>
      </c>
      <c r="F1813" s="1" t="n">
        <v>738</v>
      </c>
      <c r="G1813" s="1" t="n">
        <f aca="false">IF(E1813=0,"",IF(D1813="VIGENTE",1,0))</f>
        <v>1</v>
      </c>
      <c r="H1813" s="1" t="inlineStr">
        <is>
          <t xml:space="preserve">B observado / C cálculo</t>
        </is>
      </c>
    </row>
    <row r="1814" customFormat="false" ht="15" hidden="false" customHeight="true" outlineLevel="0" collapsed="false">
      <c r="A1814" s="1" t="n">
        <v>2026</v>
      </c>
      <c r="B1814" s="1" t="n">
        <v>3</v>
      </c>
      <c r="C1814" s="1" t="inlineStr">
        <is>
          <t xml:space="preserve">ICRE20241</t>
        </is>
      </c>
      <c r="D1814" s="1" t="inlineStr">
        <is>
          <t xml:space="preserve">VIGENTE</t>
        </is>
      </c>
      <c r="E1814" s="1" t="n">
        <v>113</v>
      </c>
      <c r="F1814" s="1" t="n">
        <v>167</v>
      </c>
      <c r="G1814" s="1" t="n">
        <f aca="false">IF(E1814=0,"",IF(D1814="VIGENTE",1,0))</f>
        <v>1</v>
      </c>
      <c r="H1814" s="1" t="inlineStr">
        <is>
          <t xml:space="preserve">B observado / C cálculo</t>
        </is>
      </c>
    </row>
    <row r="1815" customFormat="false" ht="15" hidden="false" customHeight="true" outlineLevel="0" collapsed="false">
      <c r="A1815" s="1" t="n">
        <v>2026</v>
      </c>
      <c r="B1815" s="1" t="n">
        <v>3</v>
      </c>
      <c r="C1815" s="1" t="inlineStr">
        <is>
          <t xml:space="preserve">IFIN20261</t>
        </is>
      </c>
      <c r="D1815" s="1" t="inlineStr">
        <is>
          <t xml:space="preserve">VIGENTE</t>
        </is>
      </c>
      <c r="E1815" s="1" t="n">
        <v>16</v>
      </c>
      <c r="F1815" s="1" t="n">
        <v>27</v>
      </c>
      <c r="G1815" s="1" t="n">
        <f aca="false">IF(E1815=0,"",IF(D1815="VIGENTE",1,0))</f>
        <v>1</v>
      </c>
      <c r="H1815" s="1" t="inlineStr">
        <is>
          <t xml:space="preserve">B observado / C cálculo</t>
        </is>
      </c>
    </row>
    <row r="1816" customFormat="false" ht="15" hidden="false" customHeight="true" outlineLevel="0" collapsed="false">
      <c r="A1816" s="1" t="n">
        <v>2026</v>
      </c>
      <c r="B1816" s="1" t="n">
        <v>3</v>
      </c>
      <c r="C1816" s="1" t="inlineStr">
        <is>
          <t xml:space="preserve">IIND20251</t>
        </is>
      </c>
      <c r="D1816" s="1" t="inlineStr">
        <is>
          <t xml:space="preserve">ELIMINADO</t>
        </is>
      </c>
      <c r="E1816" s="1" t="n">
        <v>1</v>
      </c>
      <c r="F1816" s="1" t="n">
        <v>1</v>
      </c>
      <c r="G1816" s="1" t="n">
        <f aca="false">IF(E1816=0,"",IF(D1816="VIGENTE",1,0))</f>
        <v>0</v>
      </c>
      <c r="H1816" s="1" t="inlineStr">
        <is>
          <t xml:space="preserve">B observado / C cálculo</t>
        </is>
      </c>
    </row>
    <row r="1817" customFormat="false" ht="15" hidden="false" customHeight="true" outlineLevel="0" collapsed="false">
      <c r="A1817" s="1" t="n">
        <v>2026</v>
      </c>
      <c r="B1817" s="1" t="n">
        <v>3</v>
      </c>
      <c r="C1817" s="1" t="inlineStr">
        <is>
          <t xml:space="preserve">IIND20251</t>
        </is>
      </c>
      <c r="D1817" s="1" t="inlineStr">
        <is>
          <t xml:space="preserve">VIGENTE</t>
        </is>
      </c>
      <c r="E1817" s="1" t="n">
        <v>103</v>
      </c>
      <c r="F1817" s="1" t="n">
        <v>164</v>
      </c>
      <c r="G1817" s="1" t="n">
        <f aca="false">IF(E1817=0,"",IF(D1817="VIGENTE",1,0))</f>
        <v>1</v>
      </c>
      <c r="H1817" s="1" t="inlineStr">
        <is>
          <t xml:space="preserve">B observado / C cálculo</t>
        </is>
      </c>
    </row>
    <row r="1818" customFormat="false" ht="15" hidden="false" customHeight="true" outlineLevel="0" collapsed="false">
      <c r="A1818" s="1" t="n">
        <v>2026</v>
      </c>
      <c r="B1818" s="1" t="n">
        <v>3</v>
      </c>
      <c r="C1818" s="1" t="inlineStr">
        <is>
          <t xml:space="preserve">IINF20241</t>
        </is>
      </c>
      <c r="D1818" s="1" t="inlineStr">
        <is>
          <t xml:space="preserve">VIGENTE</t>
        </is>
      </c>
      <c r="E1818" s="1" t="n">
        <v>268</v>
      </c>
      <c r="F1818" s="1" t="n">
        <v>441</v>
      </c>
      <c r="G1818" s="1" t="n">
        <f aca="false">IF(E1818=0,"",IF(D1818="VIGENTE",1,0))</f>
        <v>1</v>
      </c>
      <c r="H1818" s="1" t="inlineStr">
        <is>
          <t xml:space="preserve">B observado / C cálculo</t>
        </is>
      </c>
    </row>
    <row r="1819" customFormat="false" ht="15" hidden="false" customHeight="true" outlineLevel="0" collapsed="false">
      <c r="A1819" s="1" t="n">
        <v>2026</v>
      </c>
      <c r="B1819" s="1" t="n">
        <v>3</v>
      </c>
      <c r="C1819" s="1" t="inlineStr">
        <is>
          <t xml:space="preserve">ILOG20241</t>
        </is>
      </c>
      <c r="D1819" s="1" t="inlineStr">
        <is>
          <t xml:space="preserve">VIGENTE</t>
        </is>
      </c>
      <c r="E1819" s="1" t="n">
        <v>125</v>
      </c>
      <c r="F1819" s="1" t="n">
        <v>208</v>
      </c>
      <c r="G1819" s="1" t="n">
        <f aca="false">IF(E1819=0,"",IF(D1819="VIGENTE",1,0))</f>
        <v>1</v>
      </c>
      <c r="H1819" s="1" t="inlineStr">
        <is>
          <t xml:space="preserve">B observado / C cálculo</t>
        </is>
      </c>
    </row>
    <row r="1820" customFormat="false" ht="15" hidden="false" customHeight="true" outlineLevel="0" collapsed="false">
      <c r="A1820" s="1" t="n">
        <v>2026</v>
      </c>
      <c r="B1820" s="1" t="n">
        <v>3</v>
      </c>
      <c r="C1820" s="1" t="inlineStr">
        <is>
          <t xml:space="preserve">IMDI20261</t>
        </is>
      </c>
      <c r="D1820" s="1" t="inlineStr">
        <is>
          <t xml:space="preserve">VIGENTE</t>
        </is>
      </c>
      <c r="E1820" s="1" t="n">
        <v>92</v>
      </c>
      <c r="F1820" s="1" t="n">
        <v>160</v>
      </c>
      <c r="G1820" s="1" t="n">
        <f aca="false">IF(E1820=0,"",IF(D1820="VIGENTE",1,0))</f>
        <v>1</v>
      </c>
      <c r="H1820" s="1" t="inlineStr">
        <is>
          <t xml:space="preserve">B observado / C cálculo</t>
        </is>
      </c>
    </row>
    <row r="1821" customFormat="false" ht="15" hidden="false" customHeight="true" outlineLevel="0" collapsed="false">
      <c r="A1821" s="1" t="n">
        <v>2026</v>
      </c>
      <c r="B1821" s="1" t="n">
        <v>3</v>
      </c>
      <c r="C1821" s="1" t="inlineStr">
        <is>
          <t xml:space="preserve">IPRE20261</t>
        </is>
      </c>
      <c r="D1821" s="1" t="inlineStr">
        <is>
          <t xml:space="preserve">VIGENTE</t>
        </is>
      </c>
      <c r="E1821" s="1" t="n">
        <v>15</v>
      </c>
      <c r="F1821" s="1" t="n">
        <v>29</v>
      </c>
      <c r="G1821" s="1" t="n">
        <f aca="false">IF(E1821=0,"",IF(D1821="VIGENTE",1,0))</f>
        <v>1</v>
      </c>
      <c r="H1821" s="1" t="inlineStr">
        <is>
          <t xml:space="preserve">B observado / C cálculo</t>
        </is>
      </c>
    </row>
    <row r="1822" customFormat="false" ht="15" hidden="false" customHeight="true" outlineLevel="0" collapsed="false">
      <c r="A1822" s="1" t="n">
        <v>2026</v>
      </c>
      <c r="B1822" s="1" t="n">
        <v>3</v>
      </c>
      <c r="C1822" s="1" t="inlineStr">
        <is>
          <t xml:space="preserve">IRHU20261</t>
        </is>
      </c>
      <c r="D1822" s="1" t="inlineStr">
        <is>
          <t xml:space="preserve">VIGENTE</t>
        </is>
      </c>
      <c r="E1822" s="1" t="n">
        <v>17</v>
      </c>
      <c r="F1822" s="1" t="n">
        <v>30</v>
      </c>
      <c r="G1822" s="1" t="n">
        <f aca="false">IF(E1822=0,"",IF(D1822="VIGENTE",1,0))</f>
        <v>1</v>
      </c>
      <c r="H1822" s="1" t="inlineStr">
        <is>
          <t xml:space="preserve">B observado / C cálculo</t>
        </is>
      </c>
    </row>
    <row r="1823" customFormat="false" ht="15" hidden="false" customHeight="true" outlineLevel="0" collapsed="false">
      <c r="A1823" s="1" t="n">
        <v>2026</v>
      </c>
      <c r="B1823" s="1" t="n">
        <v>3</v>
      </c>
      <c r="C1823" s="1" t="inlineStr">
        <is>
          <t xml:space="preserve">ISEP20261</t>
        </is>
      </c>
      <c r="D1823" s="1" t="inlineStr">
        <is>
          <t xml:space="preserve">VIGENTE</t>
        </is>
      </c>
      <c r="E1823" s="1" t="n">
        <v>7</v>
      </c>
      <c r="F1823" s="1" t="n">
        <v>13</v>
      </c>
      <c r="G1823" s="1" t="n">
        <f aca="false">IF(E1823=0,"",IF(D1823="VIGENTE",1,0))</f>
        <v>1</v>
      </c>
      <c r="H1823" s="1" t="inlineStr">
        <is>
          <t xml:space="preserve">B observado / C cálculo</t>
        </is>
      </c>
    </row>
    <row r="1824" customFormat="false" ht="15" hidden="false" customHeight="true" outlineLevel="0" collapsed="false">
      <c r="A1824" s="1" t="n">
        <v>2026</v>
      </c>
      <c r="B1824" s="1" t="n">
        <v>3</v>
      </c>
      <c r="C1824" s="1" t="inlineStr">
        <is>
          <t xml:space="preserve">NATP20251</t>
        </is>
      </c>
      <c r="D1824" s="1" t="inlineStr">
        <is>
          <t xml:space="preserve">VIGENTE</t>
        </is>
      </c>
      <c r="E1824" s="1" t="n">
        <v>15</v>
      </c>
      <c r="F1824" s="1" t="n">
        <v>29</v>
      </c>
      <c r="G1824" s="1" t="n">
        <f aca="false">IF(E1824=0,"",IF(D1824="VIGENTE",1,0))</f>
        <v>1</v>
      </c>
      <c r="H1824" s="1" t="inlineStr">
        <is>
          <t xml:space="preserve">B observado / C cálculo</t>
        </is>
      </c>
    </row>
    <row r="1825" customFormat="false" ht="15" hidden="false" customHeight="true" outlineLevel="0" collapsed="false">
      <c r="A1825" s="1" t="n">
        <v>2026</v>
      </c>
      <c r="B1825" s="1" t="n">
        <v>3</v>
      </c>
      <c r="C1825" s="1" t="inlineStr">
        <is>
          <t xml:space="preserve">TADP20251</t>
        </is>
      </c>
      <c r="D1825" s="1" t="inlineStr">
        <is>
          <t xml:space="preserve">VIGENTE</t>
        </is>
      </c>
      <c r="E1825" s="1" t="n">
        <v>16</v>
      </c>
      <c r="F1825" s="1" t="n">
        <v>73</v>
      </c>
      <c r="G1825" s="1" t="n">
        <f aca="false">IF(E1825=0,"",IF(D1825="VIGENTE",1,0))</f>
        <v>1</v>
      </c>
      <c r="H1825" s="1" t="inlineStr">
        <is>
          <t xml:space="preserve">B observado / C cálculo</t>
        </is>
      </c>
    </row>
    <row r="1826" customFormat="false" ht="15" hidden="false" customHeight="true" outlineLevel="0" collapsed="false">
      <c r="A1826" s="1" t="n">
        <v>2026</v>
      </c>
      <c r="B1826" s="1" t="n">
        <v>3</v>
      </c>
      <c r="C1826" s="1" t="inlineStr">
        <is>
          <t xml:space="preserve">TAMD20241</t>
        </is>
      </c>
      <c r="D1826" s="1" t="inlineStr">
        <is>
          <t xml:space="preserve">VIGENTE</t>
        </is>
      </c>
      <c r="E1826" s="1" t="n">
        <v>125</v>
      </c>
      <c r="F1826" s="1" t="n">
        <v>562</v>
      </c>
      <c r="G1826" s="1" t="n">
        <f aca="false">IF(E1826=0,"",IF(D1826="VIGENTE",1,0))</f>
        <v>1</v>
      </c>
      <c r="H1826" s="1" t="inlineStr">
        <is>
          <t xml:space="preserve">B observado / C cálculo</t>
        </is>
      </c>
    </row>
    <row r="1827" customFormat="false" ht="15" hidden="false" customHeight="true" outlineLevel="0" collapsed="false">
      <c r="A1827" s="1" t="n">
        <v>2026</v>
      </c>
      <c r="B1827" s="1" t="n">
        <v>3</v>
      </c>
      <c r="C1827" s="1" t="inlineStr">
        <is>
          <t xml:space="preserve">TCDA20251</t>
        </is>
      </c>
      <c r="D1827" s="1" t="inlineStr">
        <is>
          <t xml:space="preserve">VIGENTE</t>
        </is>
      </c>
      <c r="E1827" s="1" t="n">
        <v>22</v>
      </c>
      <c r="F1827" s="1" t="n">
        <v>41</v>
      </c>
      <c r="G1827" s="1" t="n">
        <f aca="false">IF(E1827=0,"",IF(D1827="VIGENTE",1,0))</f>
        <v>1</v>
      </c>
      <c r="H1827" s="1" t="inlineStr">
        <is>
          <t xml:space="preserve">B observado / C cálculo</t>
        </is>
      </c>
    </row>
    <row r="1828" customFormat="false" ht="15" hidden="false" customHeight="true" outlineLevel="0" collapsed="false">
      <c r="A1828" s="1" t="n">
        <v>2026</v>
      </c>
      <c r="B1828" s="1" t="n">
        <v>3</v>
      </c>
      <c r="C1828" s="1" t="inlineStr">
        <is>
          <t xml:space="preserve">TCIB20241</t>
        </is>
      </c>
      <c r="D1828" s="1" t="inlineStr">
        <is>
          <t xml:space="preserve">ELIMINADO</t>
        </is>
      </c>
      <c r="E1828" s="1" t="n">
        <v>1</v>
      </c>
      <c r="F1828" s="1" t="n">
        <v>1</v>
      </c>
      <c r="G1828" s="1" t="n">
        <f aca="false">IF(E1828=0,"",IF(D1828="VIGENTE",1,0))</f>
        <v>0</v>
      </c>
      <c r="H1828" s="1" t="inlineStr">
        <is>
          <t xml:space="preserve">B observado / C cálculo</t>
        </is>
      </c>
    </row>
    <row r="1829" customFormat="false" ht="15" hidden="false" customHeight="true" outlineLevel="0" collapsed="false">
      <c r="A1829" s="1" t="n">
        <v>2026</v>
      </c>
      <c r="B1829" s="1" t="n">
        <v>3</v>
      </c>
      <c r="C1829" s="1" t="inlineStr">
        <is>
          <t xml:space="preserve">TCIB20241</t>
        </is>
      </c>
      <c r="D1829" s="1" t="inlineStr">
        <is>
          <t xml:space="preserve">VIGENTE</t>
        </is>
      </c>
      <c r="E1829" s="1" t="n">
        <v>126</v>
      </c>
      <c r="F1829" s="1" t="n">
        <v>386</v>
      </c>
      <c r="G1829" s="1" t="n">
        <f aca="false">IF(E1829=0,"",IF(D1829="VIGENTE",1,0))</f>
        <v>1</v>
      </c>
      <c r="H1829" s="1" t="inlineStr">
        <is>
          <t xml:space="preserve">B observado / C cálculo</t>
        </is>
      </c>
    </row>
    <row r="1830" customFormat="false" ht="15" hidden="false" customHeight="true" outlineLevel="0" collapsed="false">
      <c r="A1830" s="1" t="n">
        <v>2026</v>
      </c>
      <c r="B1830" s="1" t="n">
        <v>3</v>
      </c>
      <c r="C1830" s="1" t="inlineStr">
        <is>
          <t xml:space="preserve">TCRE20241</t>
        </is>
      </c>
      <c r="D1830" s="1" t="inlineStr">
        <is>
          <t xml:space="preserve">VIGENTE</t>
        </is>
      </c>
      <c r="E1830" s="1" t="n">
        <v>19</v>
      </c>
      <c r="F1830" s="1" t="n">
        <v>38</v>
      </c>
      <c r="G1830" s="1" t="n">
        <f aca="false">IF(E1830=0,"",IF(D1830="VIGENTE",1,0))</f>
        <v>1</v>
      </c>
      <c r="H1830" s="1" t="inlineStr">
        <is>
          <t xml:space="preserve">B observado / C cálculo</t>
        </is>
      </c>
    </row>
    <row r="1831" customFormat="false" ht="15" hidden="false" customHeight="true" outlineLevel="0" collapsed="false">
      <c r="A1831" s="1" t="n">
        <v>2026</v>
      </c>
      <c r="B1831" s="1" t="n">
        <v>3</v>
      </c>
      <c r="C1831" s="1" t="inlineStr">
        <is>
          <t xml:space="preserve">TEIQ20261</t>
        </is>
      </c>
      <c r="D1831" s="1" t="inlineStr">
        <is>
          <t xml:space="preserve">ELIMINADO</t>
        </is>
      </c>
      <c r="E1831" s="1" t="n">
        <v>4</v>
      </c>
      <c r="F1831" s="1" t="n">
        <v>8</v>
      </c>
      <c r="G1831" s="1" t="n">
        <f aca="false">IF(E1831=0,"",IF(D1831="VIGENTE",1,0))</f>
        <v>0</v>
      </c>
      <c r="H1831" s="1" t="inlineStr">
        <is>
          <t xml:space="preserve">B observado / C cálculo</t>
        </is>
      </c>
    </row>
    <row r="1832" customFormat="false" ht="15" hidden="false" customHeight="true" outlineLevel="0" collapsed="false">
      <c r="A1832" s="1" t="n">
        <v>2026</v>
      </c>
      <c r="B1832" s="1" t="n">
        <v>3</v>
      </c>
      <c r="C1832" s="1" t="inlineStr">
        <is>
          <t xml:space="preserve">TEIQ20261</t>
        </is>
      </c>
      <c r="D1832" s="1" t="inlineStr">
        <is>
          <t xml:space="preserve">VIGENTE</t>
        </is>
      </c>
      <c r="E1832" s="1" t="n">
        <v>123</v>
      </c>
      <c r="F1832" s="1" t="n">
        <v>226</v>
      </c>
      <c r="G1832" s="1" t="n">
        <f aca="false">IF(E1832=0,"",IF(D1832="VIGENTE",1,0))</f>
        <v>1</v>
      </c>
      <c r="H1832" s="1" t="inlineStr">
        <is>
          <t xml:space="preserve">B observado / C cálculo</t>
        </is>
      </c>
    </row>
    <row r="1833" customFormat="false" ht="15" hidden="false" customHeight="true" outlineLevel="0" collapsed="false">
      <c r="A1833" s="1" t="n">
        <v>2026</v>
      </c>
      <c r="B1833" s="1" t="n">
        <v>3</v>
      </c>
      <c r="C1833" s="1" t="inlineStr">
        <is>
          <t xml:space="preserve">TENS20251</t>
        </is>
      </c>
      <c r="D1833" s="1" t="inlineStr">
        <is>
          <t xml:space="preserve">ELIMINADO</t>
        </is>
      </c>
      <c r="E1833" s="1" t="n">
        <v>2</v>
      </c>
      <c r="F1833" s="1" t="n">
        <v>4</v>
      </c>
      <c r="G1833" s="1" t="n">
        <f aca="false">IF(E1833=0,"",IF(D1833="VIGENTE",1,0))</f>
        <v>0</v>
      </c>
      <c r="H1833" s="1" t="inlineStr">
        <is>
          <t xml:space="preserve">B observado / C cálculo</t>
        </is>
      </c>
    </row>
    <row r="1834" customFormat="false" ht="15" hidden="false" customHeight="true" outlineLevel="0" collapsed="false">
      <c r="A1834" s="1" t="n">
        <v>2026</v>
      </c>
      <c r="B1834" s="1" t="n">
        <v>3</v>
      </c>
      <c r="C1834" s="1" t="inlineStr">
        <is>
          <t xml:space="preserve">TENS20251</t>
        </is>
      </c>
      <c r="D1834" s="1" t="inlineStr">
        <is>
          <t xml:space="preserve">SUSPENDIDO</t>
        </is>
      </c>
      <c r="E1834" s="1" t="n">
        <v>1</v>
      </c>
      <c r="F1834" s="1" t="n">
        <v>2</v>
      </c>
      <c r="G1834" s="1" t="n">
        <f aca="false">IF(E1834=0,"",IF(D1834="VIGENTE",1,0))</f>
        <v>0</v>
      </c>
      <c r="H1834" s="1" t="inlineStr">
        <is>
          <t xml:space="preserve">B observado / C cálculo</t>
        </is>
      </c>
    </row>
    <row r="1835" customFormat="false" ht="15" hidden="false" customHeight="true" outlineLevel="0" collapsed="false">
      <c r="A1835" s="1" t="n">
        <v>2026</v>
      </c>
      <c r="B1835" s="1" t="n">
        <v>3</v>
      </c>
      <c r="C1835" s="1" t="inlineStr">
        <is>
          <t xml:space="preserve">TENS20251</t>
        </is>
      </c>
      <c r="D1835" s="1" t="inlineStr">
        <is>
          <t xml:space="preserve">VIGENTE</t>
        </is>
      </c>
      <c r="E1835" s="1" t="n">
        <v>183</v>
      </c>
      <c r="F1835" s="1" t="n">
        <v>359</v>
      </c>
      <c r="G1835" s="1" t="n">
        <f aca="false">IF(E1835=0,"",IF(D1835="VIGENTE",1,0))</f>
        <v>1</v>
      </c>
      <c r="H1835" s="1" t="inlineStr">
        <is>
          <t xml:space="preserve">B observado / C cálculo</t>
        </is>
      </c>
    </row>
    <row r="1836" customFormat="false" ht="15" hidden="false" customHeight="true" outlineLevel="0" collapsed="false">
      <c r="A1836" s="1" t="n">
        <v>2026</v>
      </c>
      <c r="B1836" s="1" t="n">
        <v>3</v>
      </c>
      <c r="C1836" s="1" t="inlineStr">
        <is>
          <t xml:space="preserve">TFAR20261</t>
        </is>
      </c>
      <c r="D1836" s="1" t="inlineStr">
        <is>
          <t xml:space="preserve">VIGENTE</t>
        </is>
      </c>
      <c r="E1836" s="1" t="n">
        <v>21</v>
      </c>
      <c r="F1836" s="1" t="n">
        <v>40</v>
      </c>
      <c r="G1836" s="1" t="n">
        <f aca="false">IF(E1836=0,"",IF(D1836="VIGENTE",1,0))</f>
        <v>1</v>
      </c>
      <c r="H1836" s="1" t="inlineStr">
        <is>
          <t xml:space="preserve">B observado / C cálculo</t>
        </is>
      </c>
    </row>
    <row r="1837" customFormat="false" ht="15" hidden="false" customHeight="true" outlineLevel="0" collapsed="false">
      <c r="A1837" s="1" t="n">
        <v>2026</v>
      </c>
      <c r="B1837" s="1" t="n">
        <v>3</v>
      </c>
      <c r="C1837" s="1" t="inlineStr">
        <is>
          <t xml:space="preserve">TFARSP20263</t>
        </is>
      </c>
      <c r="D1837" s="1" t="inlineStr">
        <is>
          <t xml:space="preserve">VIGENTE</t>
        </is>
      </c>
      <c r="E1837" s="1" t="n">
        <v>17</v>
      </c>
      <c r="F1837" s="1" t="n">
        <v>30</v>
      </c>
      <c r="G1837" s="1" t="n">
        <f aca="false">IF(E1837=0,"",IF(D1837="VIGENTE",1,0))</f>
        <v>1</v>
      </c>
      <c r="H1837" s="1" t="inlineStr">
        <is>
          <t xml:space="preserve">B observado / C cálculo</t>
        </is>
      </c>
    </row>
    <row r="1838" customFormat="false" ht="15" hidden="false" customHeight="true" outlineLevel="0" collapsed="false">
      <c r="A1838" s="1" t="n">
        <v>2026</v>
      </c>
      <c r="B1838" s="1" t="n">
        <v>3</v>
      </c>
      <c r="C1838" s="1" t="inlineStr">
        <is>
          <t xml:space="preserve">TFIN20261</t>
        </is>
      </c>
      <c r="D1838" s="1" t="inlineStr">
        <is>
          <t xml:space="preserve">VIGENTE</t>
        </is>
      </c>
      <c r="E1838" s="1" t="n">
        <v>15</v>
      </c>
      <c r="F1838" s="1" t="n">
        <v>28</v>
      </c>
      <c r="G1838" s="1" t="n">
        <f aca="false">IF(E1838=0,"",IF(D1838="VIGENTE",1,0))</f>
        <v>1</v>
      </c>
      <c r="H1838" s="1" t="inlineStr">
        <is>
          <t xml:space="preserve">B observado / C cálculo</t>
        </is>
      </c>
    </row>
    <row r="1839" customFormat="false" ht="15" hidden="false" customHeight="true" outlineLevel="0" collapsed="false">
      <c r="A1839" s="1" t="n">
        <v>2026</v>
      </c>
      <c r="B1839" s="1" t="n">
        <v>3</v>
      </c>
      <c r="C1839" s="1" t="inlineStr">
        <is>
          <t xml:space="preserve">TICL20261</t>
        </is>
      </c>
      <c r="D1839" s="1" t="inlineStr">
        <is>
          <t xml:space="preserve">VIGENTE</t>
        </is>
      </c>
      <c r="E1839" s="1" t="n">
        <v>8</v>
      </c>
      <c r="F1839" s="1" t="n">
        <v>17</v>
      </c>
      <c r="G1839" s="1" t="n">
        <f aca="false">IF(E1839=0,"",IF(D1839="VIGENTE",1,0))</f>
        <v>1</v>
      </c>
      <c r="H1839" s="1" t="inlineStr">
        <is>
          <t xml:space="preserve">B observado / C cálculo</t>
        </is>
      </c>
    </row>
    <row r="1840" customFormat="false" ht="15" hidden="false" customHeight="true" outlineLevel="0" collapsed="false">
      <c r="A1840" s="1" t="n">
        <v>2026</v>
      </c>
      <c r="B1840" s="1" t="n">
        <v>3</v>
      </c>
      <c r="C1840" s="1" t="inlineStr">
        <is>
          <t xml:space="preserve">TLOG20241</t>
        </is>
      </c>
      <c r="D1840" s="1" t="inlineStr">
        <is>
          <t xml:space="preserve">ELIMINADO</t>
        </is>
      </c>
      <c r="E1840" s="1" t="n">
        <v>1</v>
      </c>
      <c r="F1840" s="1" t="n">
        <v>1</v>
      </c>
      <c r="G1840" s="1" t="n">
        <f aca="false">IF(E1840=0,"",IF(D1840="VIGENTE",1,0))</f>
        <v>0</v>
      </c>
      <c r="H1840" s="1" t="inlineStr">
        <is>
          <t xml:space="preserve">B observado / C cálculo</t>
        </is>
      </c>
    </row>
    <row r="1841" customFormat="false" ht="15" hidden="false" customHeight="true" outlineLevel="0" collapsed="false">
      <c r="A1841" s="1" t="n">
        <v>2026</v>
      </c>
      <c r="B1841" s="1" t="n">
        <v>3</v>
      </c>
      <c r="C1841" s="1" t="inlineStr">
        <is>
          <t xml:space="preserve">TLOG20241</t>
        </is>
      </c>
      <c r="D1841" s="1" t="inlineStr">
        <is>
          <t xml:space="preserve">VIGENTE</t>
        </is>
      </c>
      <c r="E1841" s="1" t="n">
        <v>121</v>
      </c>
      <c r="F1841" s="1" t="n">
        <v>221</v>
      </c>
      <c r="G1841" s="1" t="n">
        <f aca="false">IF(E1841=0,"",IF(D1841="VIGENTE",1,0))</f>
        <v>1</v>
      </c>
      <c r="H1841" s="1" t="inlineStr">
        <is>
          <t xml:space="preserve">B observado / C cálculo</t>
        </is>
      </c>
    </row>
    <row r="1842" customFormat="false" ht="15" hidden="false" customHeight="true" outlineLevel="0" collapsed="false">
      <c r="A1842" s="1" t="n">
        <v>2026</v>
      </c>
      <c r="B1842" s="1" t="n">
        <v>3</v>
      </c>
      <c r="C1842" s="1" t="inlineStr">
        <is>
          <t xml:space="preserve">TMDI20261</t>
        </is>
      </c>
      <c r="D1842" s="1" t="inlineStr">
        <is>
          <t xml:space="preserve">VIGENTE</t>
        </is>
      </c>
      <c r="E1842" s="1" t="n">
        <v>85</v>
      </c>
      <c r="F1842" s="1" t="n">
        <v>150</v>
      </c>
      <c r="G1842" s="1" t="n">
        <f aca="false">IF(E1842=0,"",IF(D1842="VIGENTE",1,0))</f>
        <v>1</v>
      </c>
      <c r="H1842" s="1" t="inlineStr">
        <is>
          <t xml:space="preserve">B observado / C cálculo</t>
        </is>
      </c>
    </row>
    <row r="1843" customFormat="false" ht="15" hidden="false" customHeight="true" outlineLevel="0" collapsed="false">
      <c r="A1843" s="1" t="n">
        <v>2026</v>
      </c>
      <c r="B1843" s="1" t="n">
        <v>3</v>
      </c>
      <c r="C1843" s="1" t="inlineStr">
        <is>
          <t xml:space="preserve">TPAS20241</t>
        </is>
      </c>
      <c r="D1843" s="1" t="inlineStr">
        <is>
          <t xml:space="preserve">VIGENTE</t>
        </is>
      </c>
      <c r="E1843" s="1" t="n">
        <v>202</v>
      </c>
      <c r="F1843" s="1" t="n">
        <v>370</v>
      </c>
      <c r="G1843" s="1" t="n">
        <f aca="false">IF(E1843=0,"",IF(D1843="VIGENTE",1,0))</f>
        <v>1</v>
      </c>
      <c r="H1843" s="1" t="inlineStr">
        <is>
          <t xml:space="preserve">B observado / C cálculo</t>
        </is>
      </c>
    </row>
    <row r="1844" customFormat="false" ht="15" hidden="false" customHeight="true" outlineLevel="0" collapsed="false">
      <c r="A1844" s="1" t="n">
        <v>2026</v>
      </c>
      <c r="B1844" s="1" t="n">
        <v>3</v>
      </c>
      <c r="C1844" s="1" t="inlineStr">
        <is>
          <t xml:space="preserve">TPRE20261</t>
        </is>
      </c>
      <c r="D1844" s="1" t="inlineStr">
        <is>
          <t xml:space="preserve">VIGENTE</t>
        </is>
      </c>
      <c r="E1844" s="1" t="n">
        <v>10</v>
      </c>
      <c r="F1844" s="1" t="n">
        <v>21</v>
      </c>
      <c r="G1844" s="1" t="n">
        <f aca="false">IF(E1844=0,"",IF(D1844="VIGENTE",1,0))</f>
        <v>1</v>
      </c>
      <c r="H1844" s="1" t="inlineStr">
        <is>
          <t xml:space="preserve">B observado / C cálculo</t>
        </is>
      </c>
    </row>
    <row r="1845" customFormat="false" ht="15" hidden="false" customHeight="true" outlineLevel="0" collapsed="false">
      <c r="A1845" s="1" t="n">
        <v>2026</v>
      </c>
      <c r="B1845" s="1" t="n">
        <v>3</v>
      </c>
      <c r="C1845" s="1" t="inlineStr">
        <is>
          <t xml:space="preserve">TRHU20261</t>
        </is>
      </c>
      <c r="D1845" s="1" t="inlineStr">
        <is>
          <t xml:space="preserve">VIGENTE</t>
        </is>
      </c>
      <c r="E1845" s="1" t="n">
        <v>20</v>
      </c>
      <c r="F1845" s="1" t="n">
        <v>36</v>
      </c>
      <c r="G1845" s="1" t="n">
        <f aca="false">IF(E1845=0,"",IF(D1845="VIGENTE",1,0))</f>
        <v>1</v>
      </c>
      <c r="H1845" s="1" t="inlineStr">
        <is>
          <t xml:space="preserve">B observado / C cálculo</t>
        </is>
      </c>
    </row>
    <row r="1848" customFormat="false" ht="15" hidden="false" customHeight="true" outlineLevel="0" collapsed="false">
      <c r="A1848" s="140" t="inlineStr">
        <is>
          <t xml:space="preserve">Indicadores proxy para completar vacíos de seguimiento T1</t>
        </is>
      </c>
      <c r="B1848" s="140"/>
      <c r="C1848" s="140"/>
      <c r="D1848" s="140"/>
      <c r="E1848" s="140"/>
      <c r="F1848" s="140"/>
      <c r="G1848" s="140"/>
      <c r="H1848" s="140"/>
    </row>
    <row r="1849" customFormat="false" ht="15" hidden="false" customHeight="true" outlineLevel="0" collapsed="false">
      <c r="A1849" s="139" t="inlineStr">
        <is>
          <t xml:space="preserve">Grupo T1</t>
        </is>
      </c>
      <c r="B1849" s="139" t="inlineStr">
        <is>
          <t xml:space="preserve">Período</t>
        </is>
      </c>
      <c r="C1849" s="139" t="inlineStr">
        <is>
          <t xml:space="preserve">Denominador T1</t>
        </is>
      </c>
      <c r="D1849" s="139" t="inlineStr">
        <is>
          <t xml:space="preserve">Personas con registro</t>
        </is>
      </c>
      <c r="E1849" s="139" t="inlineStr">
        <is>
          <t xml:space="preserve">Personas VIGENTE</t>
        </is>
      </c>
      <c r="F1849" s="139" t="inlineStr">
        <is>
          <t xml:space="preserve">Tasa proxy</t>
        </is>
      </c>
      <c r="G1849" s="139" t="inlineStr">
        <is>
          <t xml:space="preserve">Fuente</t>
        </is>
      </c>
      <c r="H1849" s="139" t="inlineStr">
        <is>
          <t xml:space="preserve">Nota</t>
        </is>
      </c>
    </row>
    <row r="1850" customFormat="false" ht="15" hidden="false" customHeight="true" outlineLevel="0" collapsed="false">
      <c r="A1850" s="1" t="inlineStr">
        <is>
          <t xml:space="preserve">2024</t>
        </is>
      </c>
      <c r="B1850" s="1" t="inlineStr">
        <is>
          <t xml:space="preserve">2025-2</t>
        </is>
      </c>
      <c r="C1850" s="1" t="n">
        <v>558</v>
      </c>
      <c r="D1850" s="1" t="n">
        <v>269</v>
      </c>
      <c r="E1850" s="1" t="n">
        <v>160</v>
      </c>
      <c r="F1850" s="141" t="n">
        <f aca="false">IF(C1850=0,"",E1850/C1850)</f>
        <v>0.28673835125448</v>
      </c>
      <c r="G1850" s="1" t="inlineStr">
        <is>
          <t xml:space="preserve">PROMEDIOSDEALUMNOS_12166.xlsx</t>
        </is>
      </c>
      <c r="H1850" s="1" t="inlineStr">
        <is>
          <t xml:space="preserve">Proxy de actividad/estado; no es foto de cierre SIES</t>
        </is>
      </c>
    </row>
    <row r="1851" customFormat="false" ht="15" hidden="false" customHeight="true" outlineLevel="0" collapsed="false">
      <c r="A1851" s="1" t="inlineStr">
        <is>
          <t xml:space="preserve">2024</t>
        </is>
      </c>
      <c r="B1851" s="1" t="inlineStr">
        <is>
          <t xml:space="preserve">2025-3</t>
        </is>
      </c>
      <c r="C1851" s="1" t="n">
        <v>558</v>
      </c>
      <c r="D1851" s="1" t="n">
        <v>296</v>
      </c>
      <c r="E1851" s="1" t="n">
        <v>175</v>
      </c>
      <c r="F1851" s="141" t="n">
        <f aca="false">IF(C1851=0,"",E1851/C1851)</f>
        <v>0.313620071684588</v>
      </c>
      <c r="G1851" s="1" t="inlineStr">
        <is>
          <t xml:space="preserve">PROMEDIOSDEALUMNOS_12166.xlsx</t>
        </is>
      </c>
      <c r="H1851" s="1" t="inlineStr">
        <is>
          <t xml:space="preserve">Proxy de actividad/estado; no es foto de cierre SIES</t>
        </is>
      </c>
    </row>
    <row r="1852" customFormat="false" ht="15" hidden="false" customHeight="true" outlineLevel="0" collapsed="false">
      <c r="A1852" s="1" t="inlineStr">
        <is>
          <t xml:space="preserve">2025</t>
        </is>
      </c>
      <c r="B1852" s="1" t="inlineStr">
        <is>
          <t xml:space="preserve">2025-2</t>
        </is>
      </c>
      <c r="C1852" s="1" t="n">
        <v>1150</v>
      </c>
      <c r="D1852" s="1" t="n">
        <v>694</v>
      </c>
      <c r="E1852" s="1" t="n">
        <f>SUMIFS('53_Codigos_T1_Confirmados'!$G$6:$G$223,'53_Codigos_T1_Confirmados'!$A$6:$A$223,2025,'53_Codigos_T1_Confirmados'!$C$6:$C$223,2)</f>
        <v>611</v>
      </c>
      <c r="F1852" s="141" t="n">
        <f aca="0">IF(C1852=0,"",E1852/C1852)</f>
        <v>0.5313043478260869</v>
      </c>
      <c r="G1852" s="1" t="inlineStr">
        <is>
          <t xml:space="preserve">PROMEDIOSDEALUMNOS_12166.xlsx</t>
        </is>
      </c>
      <c r="H1852" s="1" t="str">
        <v>C · Incluye R/P; proxy, no foto de cierre.</v>
      </c>
    </row>
    <row r="1853" customFormat="false" ht="15" hidden="false" customHeight="true" outlineLevel="0" collapsed="false">
      <c r="A1853" s="1" t="inlineStr">
        <is>
          <t xml:space="preserve">2025</t>
        </is>
      </c>
      <c r="B1853" s="1" t="inlineStr">
        <is>
          <t xml:space="preserve">2025-3</t>
        </is>
      </c>
      <c r="C1853" s="1" t="n">
        <v>1150</v>
      </c>
      <c r="D1853" s="1" t="n">
        <f>SUM(D1859:D1860)</f>
        <v>596</v>
      </c>
      <c r="E1853" s="1" t="n">
        <f>SUM(E1859:E1860)</f>
        <v>546</v>
      </c>
      <c r="F1853" s="141" t="n">
        <f aca="0">IF(C1853=0,"",E1853/C1853)</f>
        <v>0.4747826086956522</v>
      </c>
      <c r="G1853" s="1" t="inlineStr">
        <is>
          <t xml:space="preserve">PROMEDIOSDEALUMNOS_12166.xlsx</t>
        </is>
      </c>
      <c r="H1853" s="1" t="str">
        <v>C · R/P incluidos; detalle debajo.</v>
      </c>
    </row>
    <row r="1854" customFormat="false" ht="15" hidden="false" customHeight="true" outlineLevel="0" collapsed="false">
      <c r="A1854" s="1" t="inlineStr">
        <is>
          <t xml:space="preserve">2026</t>
        </is>
      </c>
      <c r="B1854" s="1" t="inlineStr">
        <is>
          <t xml:space="preserve">2026-2</t>
        </is>
      </c>
      <c r="C1854" s="1" t="n">
        <v>1471</v>
      </c>
      <c r="D1854" s="1" t="n">
        <v>1051</v>
      </c>
      <c r="E1854" s="1" t="n">
        <v>1042</v>
      </c>
      <c r="F1854" s="141" t="n">
        <f aca="false">IF(C1854=0,"",E1854/C1854)</f>
        <v>0.708361658735554</v>
      </c>
      <c r="G1854" s="1" t="inlineStr">
        <is>
          <t xml:space="preserve">PROMEDIOSDEALUMNOS_12166.xlsx</t>
        </is>
      </c>
      <c r="H1854" s="1" t="inlineStr">
        <is>
          <t xml:space="preserve">Proxy de actividad/estado; no es foto de cierre SIES</t>
        </is>
      </c>
    </row>
    <row r="1855" customFormat="false" ht="15" hidden="false" customHeight="true" outlineLevel="0" collapsed="false">
      <c r="A1855" s="1" t="inlineStr">
        <is>
          <t xml:space="preserve">2026</t>
        </is>
      </c>
      <c r="B1855" s="1" t="inlineStr">
        <is>
          <t xml:space="preserve">2026-3</t>
        </is>
      </c>
      <c r="C1855" s="1" t="n">
        <v>1471</v>
      </c>
      <c r="D1855" s="1" t="n">
        <v>1059</v>
      </c>
      <c r="E1855" s="1" t="n">
        <v>1059</v>
      </c>
      <c r="F1855" s="141" t="n">
        <f aca="false">IF(C1855=0,"",E1855/C1855)</f>
        <v>0.719918422841604</v>
      </c>
      <c r="G1855" s="1" t="inlineStr">
        <is>
          <t xml:space="preserve">PROMEDIOSDEALUMNOS_12166.xlsx</t>
        </is>
      </c>
      <c r="H1855" s="1" t="inlineStr">
        <is>
          <t xml:space="preserve">Proxy de actividad/estado; no es foto de cierre SIES</t>
        </is>
      </c>
    </row>
    <row r="1857">
      <c r="A1857" s="140" t="str">
        <v>T3-2025 · R/P</v>
      </c>
    </row>
    <row r="1858">
      <c r="A1858" s="139" t="str">
        <v>Grupo T1</v>
      </c>
      <c r="B1858" s="139" t="str">
        <v>Documento</v>
      </c>
      <c r="C1858" s="139" t="str">
        <v>Personas cohorte</v>
      </c>
      <c r="D1858" s="139" t="str">
        <v>Con registro T3</v>
      </c>
      <c r="E1858" s="139" t="str">
        <v>VIGENTE T3</v>
      </c>
      <c r="F1858" s="139" t="str">
        <v>Tasa en grupo</v>
      </c>
      <c r="G1858" s="139" t="str">
        <v>Fuente</v>
      </c>
      <c r="H1858" s="139" t="str">
        <v>Método</v>
      </c>
    </row>
    <row r="1859">
      <c r="A1859" s="1" t="str">
        <v>2025</v>
      </c>
      <c r="B1859" s="1" t="str">
        <v>R</v>
      </c>
      <c r="C1859" s="1" t="n">
        <v>1130</v>
      </c>
      <c r="D1859" s="1" t="n">
        <v>582</v>
      </c>
      <c r="E1859" s="1" t="n">
        <v>535</v>
      </c>
      <c r="F1859" s="141" t="n">
        <f>IF(C1859=0,"",E1859/C1859)</f>
        <v>0.47345132743362833</v>
      </c>
      <c r="G1859" s="1" t="str">
        <v>PROMEDIOS / Hoja1</v>
      </c>
      <c r="H1859" s="1" t="str">
        <v>RUT + DIG</v>
      </c>
    </row>
    <row r="1860">
      <c r="A1860" s="1" t="str">
        <v>2025</v>
      </c>
      <c r="B1860" s="1" t="str">
        <v>P</v>
      </c>
      <c r="C1860" s="1" t="n">
        <v>20</v>
      </c>
      <c r="D1860" s="1" t="n">
        <v>14</v>
      </c>
      <c r="E1860" s="1" t="n">
        <v>11</v>
      </c>
      <c r="F1860" s="141" t="n">
        <f>IF(C1860=0,"",E1860/C1860)</f>
        <v>0.55</v>
      </c>
      <c r="G1860" s="1" t="str">
        <v>IPSS_Procesamiento</v>
      </c>
      <c r="H1860" s="1" t="str">
        <v>2025_carga: J / BU / BV</v>
      </c>
    </row>
    <row r="1861">
      <c r="A1861" s="1" t="str">
        <v>2025</v>
      </c>
      <c r="B1861" s="1" t="str">
        <v>Total</v>
      </c>
      <c r="C1861" s="1" t="n">
        <f>SUM(C1859:C1860)</f>
        <v>1150</v>
      </c>
      <c r="D1861" s="1" t="n">
        <f>SUM(D1859:D1860)</f>
        <v>596</v>
      </c>
      <c r="E1861" s="1" t="n">
        <f>SUM(E1859:E1860)</f>
        <v>546</v>
      </c>
      <c r="F1861" s="141" t="n">
        <f>IF(C1861=0,"",E1861/C1861)</f>
        <v>0.4747826086956522</v>
      </c>
      <c r="G1861" s="1" t="str">
        <v>ANO=2025; PERIODO=3</v>
      </c>
      <c r="H1861" s="1" t="str">
        <v>Una persona, un conteo</v>
      </c>
    </row>
  </sheetData>
  <autoFilter ref="A4:H1855"/>
  <mergeCells count="3">
    <mergeCell ref="A1:H1"/>
    <mergeCell ref="A2:H2"/>
    <mergeCell ref="A1848:H184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3" min="3" style="1" width="48"/>
    <col collapsed="false" customWidth="true" hidden="false" outlineLevel="0" max="4" min="4" style="1" width="34"/>
    <col collapsed="false" customWidth="true" hidden="false" outlineLevel="0" max="5" min="5" style="1" width="28"/>
    <col collapsed="false" customWidth="true" hidden="false" outlineLevel="0" max="6" min="6" style="1" width="34"/>
    <col collapsed="false" customWidth="true" hidden="false" outlineLevel="0" max="7" min="7" style="1" width="18"/>
  </cols>
  <sheetData>
    <row r="1" customFormat="false" ht="17.25" hidden="false" customHeight="true" outlineLevel="0" collapsed="false">
      <c r="A1" s="138" t="inlineStr">
        <is>
          <t xml:space="preserve">27. Guía de hojas y trazabilidad</t>
        </is>
      </c>
      <c r="B1" s="138"/>
      <c r="C1" s="138"/>
      <c r="D1" s="138"/>
      <c r="E1" s="138"/>
      <c r="F1" s="138"/>
      <c r="G1" s="138"/>
    </row>
    <row r="2" customFormat="false" ht="15" hidden="false" customHeight="true" outlineLevel="0" collapsed="false">
      <c r="A2" s="129" t="inlineStr">
        <is>
          <t xml:space="preserve">C · Inventario funcional del libro. Los datos individuales permanecen restringidos en las hojas señaladas.</t>
        </is>
      </c>
      <c r="B2" s="129"/>
      <c r="C2" s="129"/>
      <c r="D2" s="129"/>
      <c r="E2" s="129"/>
      <c r="F2" s="129"/>
      <c r="G2" s="129"/>
    </row>
    <row r="4" customFormat="false" ht="15" hidden="false" customHeight="true" outlineLevel="0" collapsed="false">
      <c r="A4" s="139" t="inlineStr">
        <is>
          <t xml:space="preserve">Hoja</t>
        </is>
      </c>
      <c r="B4" s="139" t="inlineStr">
        <is>
          <t xml:space="preserve">Rol</t>
        </is>
      </c>
      <c r="C4" s="139" t="inlineStr">
        <is>
          <t xml:space="preserve">Contenido</t>
        </is>
      </c>
      <c r="D4" s="139" t="inlineStr">
        <is>
          <t xml:space="preserve">Entrada principal</t>
        </is>
      </c>
      <c r="E4" s="139" t="inlineStr">
        <is>
          <t xml:space="preserve">Salida o uso</t>
        </is>
      </c>
      <c r="F4" s="139" t="inlineStr">
        <is>
          <t xml:space="preserve">Fórmulas / cruce</t>
        </is>
      </c>
      <c r="G4" s="139" t="inlineStr">
        <is>
          <t xml:space="preserve">Privacidad</t>
        </is>
      </c>
    </row>
    <row r="5" customFormat="false" ht="15" hidden="false" customHeight="true" outlineLevel="0" collapsed="false">
      <c r="A5" s="142" t="inlineStr">
        <is>
          <t xml:space="preserve">Portada</t>
        </is>
      </c>
      <c r="B5" s="142" t="inlineStr">
        <is>
          <t xml:space="preserve">Navegación</t>
        </is>
      </c>
      <c r="C5" s="142" t="inlineStr">
        <is>
          <t xml:space="preserve">Contenido documentado en la propia hoja</t>
        </is>
      </c>
      <c r="D5" s="142" t="inlineStr">
        <is>
          <t xml:space="preserve">Fuente citada en hoja</t>
        </is>
      </c>
      <c r="E5" s="142" t="inlineStr">
        <is>
          <t xml:space="preserve">Consulta o soporte del cálculo</t>
        </is>
      </c>
      <c r="F5" s="142" t="inlineStr">
        <is>
          <t xml:space="preserve">Texto / catálogo</t>
        </is>
      </c>
      <c r="G5" s="142" t="inlineStr">
        <is>
          <t xml:space="preserve">Agregada / técnica</t>
        </is>
      </c>
    </row>
    <row r="6" customFormat="false" ht="15" hidden="false" customHeight="true" outlineLevel="0" collapsed="false">
      <c r="A6" s="142" t="inlineStr">
        <is>
          <t xml:space="preserve">1_Que_es_Retencion</t>
        </is>
      </c>
      <c r="B6" s="142" t="inlineStr">
        <is>
          <t xml:space="preserve">Definición</t>
        </is>
      </c>
      <c r="C6" s="142" t="inlineStr">
        <is>
          <t xml:space="preserve">Contenido documentado en la propia hoja</t>
        </is>
      </c>
      <c r="D6" s="142" t="inlineStr">
        <is>
          <t xml:space="preserve">Fuente citada en hoja</t>
        </is>
      </c>
      <c r="E6" s="142" t="inlineStr">
        <is>
          <t xml:space="preserve">Consulta o soporte del cálculo</t>
        </is>
      </c>
      <c r="F6" s="142" t="inlineStr">
        <is>
          <t xml:space="preserve">Texto / catálogo</t>
        </is>
      </c>
      <c r="G6" s="142" t="inlineStr">
        <is>
          <t xml:space="preserve">Agregada / técnica</t>
        </is>
      </c>
    </row>
    <row r="7" customFormat="false" ht="15" hidden="false" customHeight="true" outlineLevel="0" collapsed="false">
      <c r="A7" s="142" t="inlineStr">
        <is>
          <t xml:space="preserve">2_Origen_Datos</t>
        </is>
      </c>
      <c r="B7" s="142" t="inlineStr">
        <is>
          <t xml:space="preserve">Fuentes</t>
        </is>
      </c>
      <c r="C7" s="142" t="inlineStr">
        <is>
          <t xml:space="preserve">Contenido documentado en la propia hoja</t>
        </is>
      </c>
      <c r="D7" s="142" t="inlineStr">
        <is>
          <t xml:space="preserve">Fuente citada en hoja</t>
        </is>
      </c>
      <c r="E7" s="142" t="inlineStr">
        <is>
          <t xml:space="preserve">Consulta o soporte del cálculo</t>
        </is>
      </c>
      <c r="F7" s="142" t="inlineStr">
        <is>
          <t xml:space="preserve">Texto / catálogo</t>
        </is>
      </c>
      <c r="G7" s="142" t="inlineStr">
        <is>
          <t xml:space="preserve">Agregada / técnica</t>
        </is>
      </c>
    </row>
    <row r="8" customFormat="false" ht="15" hidden="false" customHeight="true" outlineLevel="0" collapsed="false">
      <c r="A8" s="142" t="inlineStr">
        <is>
          <t xml:space="preserve">3_Como_se_Cruza</t>
        </is>
      </c>
      <c r="B8" s="142" t="inlineStr">
        <is>
          <t xml:space="preserve">Método</t>
        </is>
      </c>
      <c r="C8" s="142" t="inlineStr">
        <is>
          <t xml:space="preserve">Contenido documentado en la propia hoja</t>
        </is>
      </c>
      <c r="D8" s="142" t="inlineStr">
        <is>
          <t xml:space="preserve">Fuente citada en hoja</t>
        </is>
      </c>
      <c r="E8" s="142" t="inlineStr">
        <is>
          <t xml:space="preserve">Consulta o soporte del cálculo</t>
        </is>
      </c>
      <c r="F8" s="142" t="inlineStr">
        <is>
          <t xml:space="preserve">Texto / catálogo</t>
        </is>
      </c>
      <c r="G8" s="142" t="inlineStr">
        <is>
          <t xml:space="preserve">Agregada / técnica</t>
        </is>
      </c>
    </row>
    <row r="9" customFormat="false" ht="15" hidden="false" customHeight="true" outlineLevel="0" collapsed="false">
      <c r="A9" s="142" t="inlineStr">
        <is>
          <t xml:space="preserve">4_Resultados_Sector</t>
        </is>
      </c>
      <c r="B9" s="142" t="inlineStr">
        <is>
          <t xml:space="preserve">Resultados</t>
        </is>
      </c>
      <c r="C9" s="142" t="inlineStr">
        <is>
          <t xml:space="preserve">Contenido documentado en la propia hoja</t>
        </is>
      </c>
      <c r="D9" s="142" t="inlineStr">
        <is>
          <t xml:space="preserve">Fuente citada en hoja</t>
        </is>
      </c>
      <c r="E9" s="142" t="inlineStr">
        <is>
          <t xml:space="preserve">Consulta o soporte del cálculo</t>
        </is>
      </c>
      <c r="F9" s="142" t="inlineStr">
        <is>
          <t xml:space="preserve">Fórmulas locales y COUNTIFS/SUMIFS</t>
        </is>
      </c>
      <c r="G9" s="142" t="inlineStr">
        <is>
          <t xml:space="preserve">Agregada / técnica</t>
        </is>
      </c>
    </row>
    <row r="10" customFormat="false" ht="15" hidden="false" customHeight="true" outlineLevel="0" collapsed="false">
      <c r="A10" s="142" t="inlineStr">
        <is>
          <t xml:space="preserve">5_Evolucion</t>
        </is>
      </c>
      <c r="B10" s="142" t="inlineStr">
        <is>
          <t xml:space="preserve">Evolución</t>
        </is>
      </c>
      <c r="C10" s="142" t="inlineStr">
        <is>
          <t xml:space="preserve">Contenido documentado en la propia hoja</t>
        </is>
      </c>
      <c r="D10" s="142" t="inlineStr">
        <is>
          <t xml:space="preserve">Fuente citada en hoja</t>
        </is>
      </c>
      <c r="E10" s="142" t="inlineStr">
        <is>
          <t xml:space="preserve">Consulta o soporte del cálculo</t>
        </is>
      </c>
      <c r="F10" s="142" t="inlineStr">
        <is>
          <t xml:space="preserve">Texto / catálogo</t>
        </is>
      </c>
      <c r="G10" s="142" t="inlineStr">
        <is>
          <t xml:space="preserve">Agregada / técnica</t>
        </is>
      </c>
    </row>
    <row r="11" customFormat="false" ht="15" hidden="false" customHeight="true" outlineLevel="0" collapsed="false">
      <c r="A11" s="142" t="inlineStr">
        <is>
          <t xml:space="preserve">6_Limitaciones</t>
        </is>
      </c>
      <c r="B11" s="142" t="inlineStr">
        <is>
          <t xml:space="preserve">Limitaciones</t>
        </is>
      </c>
      <c r="C11" s="142" t="inlineStr">
        <is>
          <t xml:space="preserve">Contenido documentado en la propia hoja</t>
        </is>
      </c>
      <c r="D11" s="142" t="inlineStr">
        <is>
          <t xml:space="preserve">Fuente citada en hoja</t>
        </is>
      </c>
      <c r="E11" s="142" t="inlineStr">
        <is>
          <t xml:space="preserve">Consulta o soporte del cálculo</t>
        </is>
      </c>
      <c r="F11" s="142" t="inlineStr">
        <is>
          <t xml:space="preserve">Texto / catálogo</t>
        </is>
      </c>
      <c r="G11" s="142" t="inlineStr">
        <is>
          <t xml:space="preserve">Agregada / técnica</t>
        </is>
      </c>
    </row>
    <row r="12" customFormat="false" ht="15" hidden="false" customHeight="true" outlineLevel="0" collapsed="false">
      <c r="A12" s="142" t="inlineStr">
        <is>
          <t xml:space="preserve">7_Glosario</t>
        </is>
      </c>
      <c r="B12" s="142" t="inlineStr">
        <is>
          <t xml:space="preserve">Glosario</t>
        </is>
      </c>
      <c r="C12" s="142" t="inlineStr">
        <is>
          <t xml:space="preserve">Contenido documentado en la propia hoja</t>
        </is>
      </c>
      <c r="D12" s="142" t="inlineStr">
        <is>
          <t xml:space="preserve">Fuente citada en hoja</t>
        </is>
      </c>
      <c r="E12" s="142" t="inlineStr">
        <is>
          <t xml:space="preserve">Consulta o soporte del cálculo</t>
        </is>
      </c>
      <c r="F12" s="142" t="inlineStr">
        <is>
          <t xml:space="preserve">Texto / catálogo</t>
        </is>
      </c>
      <c r="G12" s="142" t="inlineStr">
        <is>
          <t xml:space="preserve">Agregada / técnica</t>
        </is>
      </c>
    </row>
    <row r="13" customFormat="false" ht="15" hidden="false" customHeight="true" outlineLevel="0" collapsed="false">
      <c r="A13" s="142" t="inlineStr">
        <is>
          <t xml:space="preserve">8_Mapeo_Sector_IPSS</t>
        </is>
      </c>
      <c r="B13" s="142" t="inlineStr">
        <is>
          <t xml:space="preserve">Catálogo</t>
        </is>
      </c>
      <c r="C13" s="142" t="inlineStr">
        <is>
          <t xml:space="preserve">Contenido documentado en la propia hoja</t>
        </is>
      </c>
      <c r="D13" s="142" t="inlineStr">
        <is>
          <t xml:space="preserve">Fuente citada en hoja</t>
        </is>
      </c>
      <c r="E13" s="142" t="inlineStr">
        <is>
          <t xml:space="preserve">Consulta o soporte del cálculo</t>
        </is>
      </c>
      <c r="F13" s="142" t="inlineStr">
        <is>
          <t xml:space="preserve">Texto / catálogo</t>
        </is>
      </c>
      <c r="G13" s="142" t="inlineStr">
        <is>
          <t xml:space="preserve">Agregada / técnica</t>
        </is>
      </c>
    </row>
    <row r="14" customFormat="false" ht="15" hidden="false" customHeight="true" outlineLevel="0" collapsed="false">
      <c r="A14" s="142" t="inlineStr">
        <is>
          <t xml:space="preserve">9_Base_Analitica_Detalle</t>
        </is>
      </c>
      <c r="B14" s="142" t="inlineStr">
        <is>
          <t xml:space="preserve">Build anual</t>
        </is>
      </c>
      <c r="C14" s="142" t="inlineStr">
        <is>
          <t xml:space="preserve">Contenido documentado en la propia hoja</t>
        </is>
      </c>
      <c r="D14" s="142" t="inlineStr">
        <is>
          <t xml:space="preserve">Fuente citada en hoja</t>
        </is>
      </c>
      <c r="E14" s="142" t="inlineStr">
        <is>
          <t xml:space="preserve">Consulta o soporte del cálculo</t>
        </is>
      </c>
      <c r="F14" s="142" t="inlineStr">
        <is>
          <t xml:space="preserve">Fórmulas locales y COUNTIFS/SUMIFS</t>
        </is>
      </c>
      <c r="G14" s="142" t="inlineStr">
        <is>
          <t xml:space="preserve">Restringida</t>
        </is>
      </c>
    </row>
    <row r="15" customFormat="false" ht="15" hidden="false" customHeight="true" outlineLevel="0" collapsed="false">
      <c r="A15" s="142" t="inlineStr">
        <is>
          <t xml:space="preserve">10_SIES_2025_Granular</t>
        </is>
      </c>
      <c r="B15" s="142" t="inlineStr">
        <is>
          <t xml:space="preserve">Referencia SIES</t>
        </is>
      </c>
      <c r="C15" s="142" t="inlineStr">
        <is>
          <t xml:space="preserve">Contenido documentado en la propia hoja</t>
        </is>
      </c>
      <c r="D15" s="142" t="inlineStr">
        <is>
          <t xml:space="preserve">Fuente citada en hoja</t>
        </is>
      </c>
      <c r="E15" s="142" t="inlineStr">
        <is>
          <t xml:space="preserve">Consulta o soporte del cálculo</t>
        </is>
      </c>
      <c r="F15" s="142" t="inlineStr">
        <is>
          <t xml:space="preserve">Texto / catálogo</t>
        </is>
      </c>
      <c r="G15" s="142" t="inlineStr">
        <is>
          <t xml:space="preserve">Agregada / técnica</t>
        </is>
      </c>
    </row>
    <row r="16" customFormat="false" ht="23.25" hidden="false" customHeight="true" outlineLevel="0" collapsed="false">
      <c r="A16" s="142" t="inlineStr">
        <is>
          <t xml:space="preserve">11_BASE_RETENCION_MU_RAW</t>
        </is>
      </c>
      <c r="B16" s="142" t="inlineStr">
        <is>
          <t xml:space="preserve">RAW</t>
        </is>
      </c>
      <c r="C16" s="142" t="inlineStr">
        <is>
          <t xml:space="preserve">Contenido documentado en la propia hoja</t>
        </is>
      </c>
      <c r="D16" s="142" t="inlineStr">
        <is>
          <t xml:space="preserve">Fuente citada en hoja</t>
        </is>
      </c>
      <c r="E16" s="142" t="inlineStr">
        <is>
          <t xml:space="preserve">Consulta o soporte del cálculo</t>
        </is>
      </c>
      <c r="F16" s="142" t="inlineStr">
        <is>
          <t xml:space="preserve">Fórmulas locales y COUNTIFS/SUMIFS</t>
        </is>
      </c>
      <c r="G16" s="142" t="inlineStr">
        <is>
          <t xml:space="preserve">Restringida</t>
        </is>
      </c>
    </row>
    <row r="17" customFormat="false" ht="23.25" hidden="false" customHeight="true" outlineLevel="0" collapsed="false">
      <c r="A17" s="142" t="inlineStr">
        <is>
          <t xml:space="preserve">12_Desglose_Jornada_Edad_Sexo</t>
        </is>
      </c>
      <c r="B17" s="142" t="inlineStr">
        <is>
          <t xml:space="preserve">Desglose</t>
        </is>
      </c>
      <c r="C17" s="142" t="inlineStr">
        <is>
          <t xml:space="preserve">Contenido documentado en la propia hoja</t>
        </is>
      </c>
      <c r="D17" s="142" t="inlineStr">
        <is>
          <t xml:space="preserve">Fuente citada en hoja</t>
        </is>
      </c>
      <c r="E17" s="142" t="inlineStr">
        <is>
          <t xml:space="preserve">Consulta o soporte del cálculo</t>
        </is>
      </c>
      <c r="F17" s="142" t="inlineStr">
        <is>
          <t xml:space="preserve">Fórmulas locales y COUNTIFS/SUMIFS</t>
        </is>
      </c>
      <c r="G17" s="142" t="inlineStr">
        <is>
          <t xml:space="preserve">Agregada / técnica</t>
        </is>
      </c>
    </row>
    <row r="18" customFormat="false" ht="15" hidden="false" customHeight="true" outlineLevel="0" collapsed="false">
      <c r="A18" s="142" t="inlineStr">
        <is>
          <t xml:space="preserve">13_Granular_Codigo_Unico</t>
        </is>
      </c>
      <c r="B18" s="142" t="inlineStr">
        <is>
          <t xml:space="preserve">Cruce granular</t>
        </is>
      </c>
      <c r="C18" s="142" t="inlineStr">
        <is>
          <t xml:space="preserve">Contenido documentado en la propia hoja</t>
        </is>
      </c>
      <c r="D18" s="142" t="inlineStr">
        <is>
          <t xml:space="preserve">Fuente citada en hoja</t>
        </is>
      </c>
      <c r="E18" s="142" t="inlineStr">
        <is>
          <t xml:space="preserve">Consulta o soporte del cálculo</t>
        </is>
      </c>
      <c r="F18" s="142" t="inlineStr">
        <is>
          <t xml:space="preserve">Fórmulas locales y COUNTIFS/SUMIFS</t>
        </is>
      </c>
      <c r="G18" s="142" t="inlineStr">
        <is>
          <t xml:space="preserve">Agregada / técnica</t>
        </is>
      </c>
    </row>
    <row r="19" customFormat="false" ht="15" hidden="false" customHeight="true" outlineLevel="0" collapsed="false">
      <c r="A19" s="142" t="inlineStr">
        <is>
          <t xml:space="preserve">14_Vistas_Ejecutivas</t>
        </is>
      </c>
      <c r="B19" s="142" t="inlineStr">
        <is>
          <t xml:space="preserve">Dashboard</t>
        </is>
      </c>
      <c r="C19" s="142" t="inlineStr">
        <is>
          <t xml:space="preserve">Contenido documentado en la propia hoja</t>
        </is>
      </c>
      <c r="D19" s="142" t="inlineStr">
        <is>
          <t xml:space="preserve">Fuente citada en hoja</t>
        </is>
      </c>
      <c r="E19" s="142" t="inlineStr">
        <is>
          <t xml:space="preserve">Consulta o soporte del cálculo</t>
        </is>
      </c>
      <c r="F19" s="142" t="inlineStr">
        <is>
          <t xml:space="preserve">Fórmulas locales y COUNTIFS/SUMIFS</t>
        </is>
      </c>
      <c r="G19" s="142" t="inlineStr">
        <is>
          <t xml:space="preserve">Agregada / técnica</t>
        </is>
      </c>
    </row>
    <row r="20" customFormat="false" ht="15" hidden="false" customHeight="true" outlineLevel="0" collapsed="false">
      <c r="A20" s="142" t="inlineStr">
        <is>
          <t xml:space="preserve">15_Tablas_Ejecutivas</t>
        </is>
      </c>
      <c r="B20" s="142" t="inlineStr">
        <is>
          <t xml:space="preserve">Tablas</t>
        </is>
      </c>
      <c r="C20" s="142" t="inlineStr">
        <is>
          <t xml:space="preserve">Contenido documentado en la propia hoja</t>
        </is>
      </c>
      <c r="D20" s="142" t="inlineStr">
        <is>
          <t xml:space="preserve">Fuente citada en hoja</t>
        </is>
      </c>
      <c r="E20" s="142" t="inlineStr">
        <is>
          <t xml:space="preserve">Consulta o soporte del cálculo</t>
        </is>
      </c>
      <c r="F20" s="142" t="inlineStr">
        <is>
          <t xml:space="preserve">Fórmulas locales y COUNTIFS/SUMIFS</t>
        </is>
      </c>
      <c r="G20" s="142" t="inlineStr">
        <is>
          <t xml:space="preserve">Agregada / técnica</t>
        </is>
      </c>
    </row>
    <row r="21" customFormat="false" ht="15" hidden="false" customHeight="true" outlineLevel="0" collapsed="false">
      <c r="A21" s="142" t="inlineStr">
        <is>
          <t xml:space="preserve">16_Comparacion_Nacional_SIES</t>
        </is>
      </c>
      <c r="B21" s="142" t="inlineStr">
        <is>
          <t xml:space="preserve">Comparación</t>
        </is>
      </c>
      <c r="C21" s="142" t="inlineStr">
        <is>
          <t xml:space="preserve">Contenido documentado en la propia hoja</t>
        </is>
      </c>
      <c r="D21" s="142" t="inlineStr">
        <is>
          <t xml:space="preserve">Fuente citada en hoja</t>
        </is>
      </c>
      <c r="E21" s="142" t="inlineStr">
        <is>
          <t xml:space="preserve">Consulta o soporte del cálculo</t>
        </is>
      </c>
      <c r="F21" s="142" t="inlineStr">
        <is>
          <t xml:space="preserve">Fórmulas locales y COUNTIFS/SUMIFS</t>
        </is>
      </c>
      <c r="G21" s="142" t="inlineStr">
        <is>
          <t xml:space="preserve">Agregada / técnica</t>
        </is>
      </c>
    </row>
    <row r="22" customFormat="false" ht="15" hidden="false" customHeight="true" outlineLevel="0" collapsed="false">
      <c r="A22" s="142" t="inlineStr">
        <is>
          <t xml:space="preserve">17_Fuentes_Comparacion_SIES</t>
        </is>
      </c>
      <c r="B22" s="142" t="inlineStr">
        <is>
          <t xml:space="preserve">Fuentes</t>
        </is>
      </c>
      <c r="C22" s="142" t="inlineStr">
        <is>
          <t xml:space="preserve">Contenido documentado en la propia hoja</t>
        </is>
      </c>
      <c r="D22" s="142" t="inlineStr">
        <is>
          <t xml:space="preserve">Fuente citada en hoja</t>
        </is>
      </c>
      <c r="E22" s="142" t="inlineStr">
        <is>
          <t xml:space="preserve">Consulta o soporte del cálculo</t>
        </is>
      </c>
      <c r="F22" s="142" t="inlineStr">
        <is>
          <t xml:space="preserve">Fórmulas locales y COUNTIFS/SUMIFS</t>
        </is>
      </c>
      <c r="G22" s="142" t="inlineStr">
        <is>
          <t xml:space="preserve">Agregada / técnica</t>
        </is>
      </c>
    </row>
    <row r="23" customFormat="false" ht="15" hidden="false" customHeight="true" outlineLevel="0" collapsed="false">
      <c r="A23" s="142" t="inlineStr">
        <is>
          <t xml:space="preserve">18_Foto_Intertrimestral</t>
        </is>
      </c>
      <c r="B23" s="142" t="inlineStr">
        <is>
          <t xml:space="preserve">Salida intertrimestral</t>
        </is>
      </c>
      <c r="C23" s="142" t="inlineStr">
        <is>
          <t xml:space="preserve">Tasas por grupo, corte y total</t>
        </is>
      </c>
      <c r="D23" s="142" t="inlineStr">
        <is>
          <t xml:space="preserve">Fuente citada en hoja</t>
        </is>
      </c>
      <c r="E23" s="142" t="inlineStr">
        <is>
          <t xml:space="preserve">Consulta o soporte del cálculo</t>
        </is>
      </c>
      <c r="F23" s="142" t="inlineStr">
        <is>
          <t xml:space="preserve">Fórmulas locales y COUNTIFS/SUMIFS</t>
        </is>
      </c>
      <c r="G23" s="142" t="inlineStr">
        <is>
          <t xml:space="preserve">Agregada / técnica</t>
        </is>
      </c>
    </row>
    <row r="24" customFormat="false" ht="15" hidden="false" customHeight="true" outlineLevel="0" collapsed="false">
      <c r="A24" s="142" t="inlineStr">
        <is>
          <t xml:space="preserve">19_Foto_Carrera</t>
        </is>
      </c>
      <c r="B24" s="142" t="inlineStr">
        <is>
          <t xml:space="preserve">Salida por carrera</t>
        </is>
      </c>
      <c r="C24" s="142" t="inlineStr">
        <is>
          <t xml:space="preserve">Tasas por carrera y control n&lt;10</t>
        </is>
      </c>
      <c r="D24" s="142" t="inlineStr">
        <is>
          <t xml:space="preserve">Fuente citada en hoja</t>
        </is>
      </c>
      <c r="E24" s="142" t="inlineStr">
        <is>
          <t xml:space="preserve">Consulta o soporte del cálculo</t>
        </is>
      </c>
      <c r="F24" s="142" t="inlineStr">
        <is>
          <t xml:space="preserve">Fórmulas locales y COUNTIFS/SUMIFS</t>
        </is>
      </c>
      <c r="G24" s="142" t="inlineStr">
        <is>
          <t xml:space="preserve">Agregada / técnica</t>
        </is>
      </c>
    </row>
    <row r="25" customFormat="false" ht="15" hidden="false" customHeight="true" outlineLevel="0" collapsed="false">
      <c r="A25" s="142" t="inlineStr">
        <is>
          <t xml:space="preserve">20_Foto_BBDD</t>
        </is>
      </c>
      <c r="B25" s="142" t="inlineStr">
        <is>
          <t xml:space="preserve">Build individual</t>
        </is>
      </c>
      <c r="C25" s="142" t="inlineStr">
        <is>
          <t xml:space="preserve">Una fila por persona y grupo; llaves y estados</t>
        </is>
      </c>
      <c r="D25" s="142" t="inlineStr">
        <is>
          <t xml:space="preserve">Fuente citada en hoja</t>
        </is>
      </c>
      <c r="E25" s="142" t="inlineStr">
        <is>
          <t xml:space="preserve">Consulta o soporte del cálculo</t>
        </is>
      </c>
      <c r="F25" s="142" t="inlineStr">
        <is>
          <t xml:space="preserve">Fórmulas locales y COUNTIFS/SUMIFS</t>
        </is>
      </c>
      <c r="G25" s="142" t="inlineStr">
        <is>
          <t xml:space="preserve">Restringida</t>
        </is>
      </c>
    </row>
    <row r="26" customFormat="false" ht="15" hidden="false" customHeight="true" outlineLevel="0" collapsed="false">
      <c r="A26" s="142" t="inlineStr">
        <is>
          <t xml:space="preserve">21_Foto_Reglas_VIG</t>
        </is>
      </c>
      <c r="B26" s="142" t="inlineStr">
        <is>
          <t xml:space="preserve">Reglas internas</t>
        </is>
      </c>
      <c r="C26" s="142" t="inlineStr">
        <is>
          <t xml:space="preserve">Contenido documentado en la propia hoja</t>
        </is>
      </c>
      <c r="D26" s="142" t="inlineStr">
        <is>
          <t xml:space="preserve">Fuente citada en hoja</t>
        </is>
      </c>
      <c r="E26" s="142" t="inlineStr">
        <is>
          <t xml:space="preserve">Consulta o soporte del cálculo</t>
        </is>
      </c>
      <c r="F26" s="142" t="inlineStr">
        <is>
          <t xml:space="preserve">Texto / catálogo</t>
        </is>
      </c>
      <c r="G26" s="142" t="inlineStr">
        <is>
          <t xml:space="preserve">Agregada / técnica</t>
        </is>
      </c>
    </row>
    <row r="27" customFormat="false" ht="15" hidden="false" customHeight="true" outlineLevel="0" collapsed="false">
      <c r="A27" s="142" t="inlineStr">
        <is>
          <t xml:space="preserve">22_Foto_DICC_Carrera</t>
        </is>
      </c>
      <c r="B27" s="142" t="inlineStr">
        <is>
          <t xml:space="preserve">Diccionario</t>
        </is>
      </c>
      <c r="C27" s="142" t="inlineStr">
        <is>
          <t xml:space="preserve">Contenido documentado en la propia hoja</t>
        </is>
      </c>
      <c r="D27" s="142" t="inlineStr">
        <is>
          <t xml:space="preserve">Fuente citada en hoja</t>
        </is>
      </c>
      <c r="E27" s="142" t="inlineStr">
        <is>
          <t xml:space="preserve">Consulta o soporte del cálculo</t>
        </is>
      </c>
      <c r="F27" s="142" t="inlineStr">
        <is>
          <t xml:space="preserve">Fórmulas locales y COUNTIFS/SUMIFS</t>
        </is>
      </c>
      <c r="G27" s="142" t="inlineStr">
        <is>
          <t xml:space="preserve">Agregada / técnica</t>
        </is>
      </c>
    </row>
    <row r="28" customFormat="false" ht="15" hidden="false" customHeight="true" outlineLevel="0" collapsed="false">
      <c r="A28" s="142" t="inlineStr">
        <is>
          <t xml:space="preserve">23_Foto_Renuncias_T2_2026</t>
        </is>
      </c>
      <c r="B28" s="142" t="inlineStr">
        <is>
          <t xml:space="preserve">Control</t>
        </is>
      </c>
      <c r="C28" s="142" t="inlineStr">
        <is>
          <t xml:space="preserve">Contenido documentado en la propia hoja</t>
        </is>
      </c>
      <c r="D28" s="142" t="inlineStr">
        <is>
          <t xml:space="preserve">Fuente citada en hoja</t>
        </is>
      </c>
      <c r="E28" s="142" t="inlineStr">
        <is>
          <t xml:space="preserve">Consulta o soporte del cálculo</t>
        </is>
      </c>
      <c r="F28" s="142" t="inlineStr">
        <is>
          <t xml:space="preserve">Texto / catálogo</t>
        </is>
      </c>
      <c r="G28" s="142" t="inlineStr">
        <is>
          <t xml:space="preserve">Agregada / técnica</t>
        </is>
      </c>
    </row>
    <row r="29" customFormat="false" ht="15" hidden="false" customHeight="true" outlineLevel="0" collapsed="false">
      <c r="A29" s="142" t="inlineStr">
        <is>
          <t xml:space="preserve">24_Foto_Corte_T3_2025</t>
        </is>
      </c>
      <c r="B29" s="142" t="inlineStr">
        <is>
          <t xml:space="preserve">Fuente corte</t>
        </is>
      </c>
      <c r="C29" s="142" t="inlineStr">
        <is>
          <t xml:space="preserve">Contenido documentado en la propia hoja</t>
        </is>
      </c>
      <c r="D29" s="142" t="inlineStr">
        <is>
          <t xml:space="preserve">Fuente citada en hoja</t>
        </is>
      </c>
      <c r="E29" s="142" t="inlineStr">
        <is>
          <t xml:space="preserve">Consulta o soporte del cálculo</t>
        </is>
      </c>
      <c r="F29" s="142" t="inlineStr">
        <is>
          <t xml:space="preserve">Fórmulas locales y COUNTIFS/SUMIFS</t>
        </is>
      </c>
      <c r="G29" s="142" t="inlineStr">
        <is>
          <t xml:space="preserve">Restringida</t>
        </is>
      </c>
    </row>
    <row r="30" customFormat="false" ht="15" hidden="false" customHeight="true" outlineLevel="0" collapsed="false">
      <c r="A30" s="142" t="inlineStr">
        <is>
          <t xml:space="preserve">25_Foto_Corte_T3_2026</t>
        </is>
      </c>
      <c r="B30" s="142" t="inlineStr">
        <is>
          <t xml:space="preserve">Fuente corte</t>
        </is>
      </c>
      <c r="C30" s="142" t="inlineStr">
        <is>
          <t xml:space="preserve">Contenido documentado en la propia hoja</t>
        </is>
      </c>
      <c r="D30" s="142" t="inlineStr">
        <is>
          <t xml:space="preserve">Fuente citada en hoja</t>
        </is>
      </c>
      <c r="E30" s="142" t="inlineStr">
        <is>
          <t xml:space="preserve">Consulta o soporte del cálculo</t>
        </is>
      </c>
      <c r="F30" s="142" t="inlineStr">
        <is>
          <t xml:space="preserve">Fórmulas locales y COUNTIFS/SUMIFS</t>
        </is>
      </c>
      <c r="G30" s="142" t="inlineStr">
        <is>
          <t xml:space="preserve">Restringida</t>
        </is>
      </c>
    </row>
    <row r="31" customFormat="false" ht="23.25" hidden="false" customHeight="true" outlineLevel="0" collapsed="false">
      <c r="A31" s="142" t="inlineStr">
        <is>
          <t xml:space="preserve">26_Avance_Curricular_Resumen</t>
        </is>
      </c>
      <c r="B31" s="142" t="inlineStr">
        <is>
          <t xml:space="preserve">Resumen proxy</t>
        </is>
      </c>
      <c r="C31" s="142" t="inlineStr">
        <is>
          <t xml:space="preserve">Conteo de personas únicas por año-período-plan-estado</t>
        </is>
      </c>
      <c r="D31" s="142" t="inlineStr">
        <is>
          <t xml:space="preserve">Fuente citada en hoja</t>
        </is>
      </c>
      <c r="E31" s="142" t="inlineStr">
        <is>
          <t xml:space="preserve">Consulta o soporte del cálculo</t>
        </is>
      </c>
      <c r="F31" s="142" t="inlineStr">
        <is>
          <t xml:space="preserve">Fórmulas locales y COUNTIFS/SUMIFS</t>
        </is>
      </c>
      <c r="G31" s="142" t="inlineStr">
        <is>
          <t xml:space="preserve">Agregada / técnica</t>
        </is>
      </c>
    </row>
    <row r="32" customFormat="false" ht="15" hidden="false" customHeight="true" outlineLevel="0" collapsed="false">
      <c r="A32" s="142" t="inlineStr">
        <is>
          <t xml:space="preserve">27_Guia_Hojas</t>
        </is>
      </c>
      <c r="B32" s="142" t="inlineStr">
        <is>
          <t xml:space="preserve">Gobernanza</t>
        </is>
      </c>
      <c r="C32" s="142" t="inlineStr">
        <is>
          <t xml:space="preserve">Contenido documentado en la propia hoja</t>
        </is>
      </c>
      <c r="D32" s="142" t="inlineStr">
        <is>
          <t xml:space="preserve">Libro</t>
        </is>
      </c>
      <c r="E32" s="142" t="inlineStr">
        <is>
          <t xml:space="preserve">Consulta o soporte del cálculo</t>
        </is>
      </c>
      <c r="F32" s="142" t="inlineStr">
        <is>
          <t xml:space="preserve">Texto / catálogo</t>
        </is>
      </c>
      <c r="G32" s="142" t="inlineStr">
        <is>
          <t xml:space="preserve">Agregada / técnica</t>
        </is>
      </c>
    </row>
  </sheetData>
  <autoFilter ref="A4:G32"/>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1" width="28"/>
    <col collapsed="false" customWidth="true" hidden="false" outlineLevel="0" max="3" min="3" style="1" width="18"/>
    <col collapsed="false" customWidth="true" hidden="false" outlineLevel="0" max="4" min="4" style="1" width="26"/>
    <col collapsed="false" customWidth="true" hidden="false" outlineLevel="0" max="5" min="5" style="1" width="22"/>
    <col collapsed="false" customWidth="true" hidden="false" outlineLevel="0" max="7" min="6" style="1" width="16"/>
    <col collapsed="false" customWidth="true" hidden="false" outlineLevel="0" max="8" min="8" style="1" width="52"/>
  </cols>
  <sheetData>
    <row r="1" customFormat="false" ht="17.25" hidden="false" customHeight="true" outlineLevel="0" collapsed="false">
      <c r="A1" s="138" t="inlineStr">
        <is>
          <t xml:space="preserve">28. QA matemático y reconciliación</t>
        </is>
      </c>
      <c r="B1" s="138"/>
      <c r="C1" s="138"/>
      <c r="D1" s="138"/>
      <c r="E1" s="138"/>
      <c r="F1" s="138"/>
      <c r="G1" s="138"/>
      <c r="H1" s="138"/>
    </row>
    <row r="2" customFormat="false" ht="15" hidden="false" customHeight="true" outlineLevel="0" collapsed="false">
      <c r="A2" s="129" t="inlineStr">
        <is>
          <t xml:space="preserve">C · Controles independientes de suma, división, deduplicación, cruces y fórmulas. Una tasa proxy no se interpreta como tasa SIES.</t>
        </is>
      </c>
      <c r="B2" s="129"/>
      <c r="C2" s="129"/>
      <c r="D2" s="129"/>
      <c r="E2" s="129"/>
      <c r="F2" s="129"/>
      <c r="G2" s="129"/>
      <c r="H2" s="129"/>
    </row>
    <row r="4" customFormat="false" ht="15" hidden="false" customHeight="true" outlineLevel="0" collapsed="false">
      <c r="A4" s="139" t="inlineStr">
        <is>
          <t xml:space="preserve">Control</t>
        </is>
      </c>
      <c r="B4" s="139" t="inlineStr">
        <is>
          <t xml:space="preserve">Fuente / celda</t>
        </is>
      </c>
      <c r="C4" s="139" t="inlineStr">
        <is>
          <t xml:space="preserve">Valor esperado</t>
        </is>
      </c>
      <c r="D4" s="139" t="inlineStr">
        <is>
          <t xml:space="preserve">Fórmula de control</t>
        </is>
      </c>
      <c r="E4" s="139" t="inlineStr">
        <is>
          <t xml:space="preserve">Resultado recalculado</t>
        </is>
      </c>
      <c r="F4" s="139" t="inlineStr">
        <is>
          <t xml:space="preserve">Estado</t>
        </is>
      </c>
      <c r="G4" s="139" t="inlineStr">
        <is>
          <t xml:space="preserve">Clasificación</t>
        </is>
      </c>
      <c r="H4" s="139" t="inlineStr">
        <is>
          <t xml:space="preserve">Nota</t>
        </is>
      </c>
    </row>
    <row r="5" customFormat="false" ht="15" hidden="false" customHeight="true" outlineLevel="0" collapsed="false">
      <c r="A5" s="1" t="inlineStr">
        <is>
          <t xml:space="preserve">Denominador T1 2024</t>
        </is>
      </c>
      <c r="B5" s="1" t="inlineStr">
        <is>
          <t xml:space="preserve">18!D7</t>
        </is>
      </c>
      <c r="C5" s="1" t="n">
        <v>558</v>
      </c>
      <c r="D5" s="143" t="n">
        <v>558</v>
      </c>
      <c r="E5" s="143" t="n">
        <v>558</v>
      </c>
      <c r="F5" s="1" t="str">
        <v>OK</v>
      </c>
      <c r="G5" s="1" t="inlineStr">
        <is>
          <t xml:space="preserve">B/C</t>
        </is>
      </c>
      <c r="H5" s="1" t="inlineStr">
        <is>
          <t xml:space="preserve">Denominador fijo</t>
        </is>
      </c>
    </row>
    <row r="6" customFormat="false" ht="15" hidden="false" customHeight="true" outlineLevel="0" collapsed="false">
      <c r="A6" s="1" t="inlineStr">
        <is>
          <t xml:space="preserve">Proxy T1 2024 T2</t>
        </is>
      </c>
      <c r="B6" s="1" t="inlineStr">
        <is>
          <t xml:space="preserve">26!E1850</t>
        </is>
      </c>
      <c r="C6" s="1" t="n">
        <v>160</v>
      </c>
      <c r="D6" s="1" t="n">
        <v>160</v>
      </c>
      <c r="E6" s="1" t="n">
        <v>160</v>
      </c>
      <c r="F6" s="1" t="str">
        <v>OK</v>
      </c>
      <c r="G6" s="1" t="inlineStr">
        <is>
          <t xml:space="preserve">B/C</t>
        </is>
      </c>
      <c r="H6" s="1" t="inlineStr">
        <is>
          <t xml:space="preserve">Personas únicas con VIGENTE</t>
        </is>
      </c>
    </row>
    <row r="7" customFormat="false" ht="15" hidden="false" customHeight="true" outlineLevel="0" collapsed="false">
      <c r="A7" s="1" t="inlineStr">
        <is>
          <t xml:space="preserve">Proxy T1 2024 T3</t>
        </is>
      </c>
      <c r="B7" s="1" t="inlineStr">
        <is>
          <t xml:space="preserve">26!E1851</t>
        </is>
      </c>
      <c r="C7" s="1" t="n">
        <v>175</v>
      </c>
      <c r="D7" s="1" t="n">
        <v>175</v>
      </c>
      <c r="E7" s="1" t="n">
        <v>175</v>
      </c>
      <c r="F7" s="1" t="str">
        <v>OK</v>
      </c>
      <c r="G7" s="1" t="inlineStr">
        <is>
          <t xml:space="preserve">B/C</t>
        </is>
      </c>
      <c r="H7" s="1" t="inlineStr">
        <is>
          <t xml:space="preserve">Personas únicas con VIGENTE</t>
        </is>
      </c>
    </row>
    <row r="8" customFormat="false" ht="15" hidden="false" customHeight="true" outlineLevel="0" collapsed="false">
      <c r="A8" s="1" t="inlineStr">
        <is>
          <t xml:space="preserve">Tasa proxy 2024 T2</t>
        </is>
      </c>
      <c r="B8" s="1" t="inlineStr">
        <is>
          <t xml:space="preserve">26!F1850</t>
        </is>
      </c>
      <c r="C8" s="1" t="n">
        <v>0.2867383513</v>
      </c>
      <c r="D8" s="1" t="n">
        <v>0.28673835125448</v>
      </c>
      <c r="E8" s="71" t="n">
        <v>0.28673835125448</v>
      </c>
      <c r="F8" s="1" t="str">
        <v>OK</v>
      </c>
      <c r="G8" s="1" t="inlineStr">
        <is>
          <t xml:space="preserve">C</t>
        </is>
      </c>
      <c r="H8" s="1" t="inlineStr">
        <is>
          <t xml:space="preserve">VIGENTE/denominador</t>
        </is>
      </c>
    </row>
    <row r="9" customFormat="false" ht="15" hidden="false" customHeight="true" outlineLevel="0" collapsed="false">
      <c r="A9" s="1" t="inlineStr">
        <is>
          <t xml:space="preserve">Tasa proxy 2024 T3</t>
        </is>
      </c>
      <c r="B9" s="1" t="inlineStr">
        <is>
          <t xml:space="preserve">26!F1851</t>
        </is>
      </c>
      <c r="C9" s="1" t="n">
        <v>0.3136200717</v>
      </c>
      <c r="D9" s="1" t="n">
        <v>0.313620071684588</v>
      </c>
      <c r="E9" s="71" t="n">
        <v>0.313620071684588</v>
      </c>
      <c r="F9" s="1" t="str">
        <v>OK</v>
      </c>
      <c r="G9" s="1" t="inlineStr">
        <is>
          <t xml:space="preserve">C</t>
        </is>
      </c>
      <c r="H9" s="1" t="inlineStr">
        <is>
          <t xml:space="preserve">VIGENTE/denominador</t>
        </is>
      </c>
    </row>
    <row r="10" customFormat="false" ht="15" hidden="false" customHeight="true" outlineLevel="0" collapsed="false">
      <c r="A10" s="1" t="inlineStr">
        <is>
          <t xml:space="preserve">Denominador T1 2025</t>
        </is>
      </c>
      <c r="B10" s="1" t="inlineStr">
        <is>
          <t xml:space="preserve">18!D8</t>
        </is>
      </c>
      <c r="C10" s="1" t="n">
        <v>1150</v>
      </c>
      <c r="D10" s="143" t="n">
        <v>1150</v>
      </c>
      <c r="E10" s="143" t="n">
        <v>1150</v>
      </c>
      <c r="F10" s="1" t="str">
        <v>OK</v>
      </c>
      <c r="G10" s="1" t="inlineStr">
        <is>
          <t xml:space="preserve">B/C</t>
        </is>
      </c>
      <c r="H10" s="1" t="inlineStr">
        <is>
          <t xml:space="preserve">Denominador fijo</t>
        </is>
      </c>
    </row>
    <row r="11" customFormat="false" ht="15" hidden="false" customHeight="true" outlineLevel="0" collapsed="false">
      <c r="A11" s="1" t="inlineStr">
        <is>
          <t xml:space="preserve">Proxy T1 2025 T2</t>
        </is>
      </c>
      <c r="B11" s="1" t="inlineStr">
        <is>
          <t xml:space="preserve">26!E1852</t>
        </is>
      </c>
      <c r="C11" s="1" t="n">
        <v>611</v>
      </c>
      <c r="D11" s="1" t="n">
        <f>'26_Avance_Curricular_Resumen'!E1852</f>
        <v>611</v>
      </c>
      <c r="E11" s="1" t="n">
        <f>D11</f>
        <v>611</v>
      </c>
      <c r="F11" s="1" t="str">
        <f>IF(C11=E11,"OK","FALLIDO")</f>
        <v>OK</v>
      </c>
      <c r="G11" s="1" t="inlineStr">
        <is>
          <t xml:space="preserve">B/C</t>
        </is>
      </c>
      <c r="H11" s="1" t="str">
        <v>C · RUT+DV y puente P: 600 R + 11 P.</v>
      </c>
    </row>
    <row r="12" customFormat="false" ht="15" hidden="false" customHeight="true" outlineLevel="0" collapsed="false">
      <c r="A12" s="1" t="inlineStr">
        <is>
          <t xml:space="preserve">Tasa proxy 2025 T2</t>
        </is>
      </c>
      <c r="B12" s="1" t="inlineStr">
        <is>
          <t xml:space="preserve">26!F1852</t>
        </is>
      </c>
      <c r="C12" s="1" t="n">
        <v>0.5313043478260869</v>
      </c>
      <c r="D12" s="1" t="n">
        <f>'26_Avance_Curricular_Resumen'!F1852</f>
        <v>0.5313043478260869</v>
      </c>
      <c r="E12" s="71" t="n">
        <f>D12</f>
        <v>0.5313043478260869</v>
      </c>
      <c r="F12" s="1" t="str">
        <f>IF(ROUND(C12,10)=ROUND(E12,10),"OK","FALLIDO")</f>
        <v>OK</v>
      </c>
      <c r="G12" s="1" t="inlineStr">
        <is>
          <t xml:space="preserve">C</t>
        </is>
      </c>
      <c r="H12" s="1" t="inlineStr">
        <is>
          <t xml:space="preserve">VIGENTE/denominador</t>
        </is>
      </c>
    </row>
    <row r="13" customFormat="false" ht="15" hidden="false" customHeight="true" outlineLevel="0" collapsed="false">
      <c r="A13" s="1" t="inlineStr">
        <is>
          <t xml:space="preserve">Denominador T1 2026</t>
        </is>
      </c>
      <c r="B13" s="1" t="inlineStr">
        <is>
          <t xml:space="preserve">18!D11</t>
        </is>
      </c>
      <c r="C13" s="1" t="n">
        <v>1471</v>
      </c>
      <c r="D13" s="143" t="n">
        <v>1471</v>
      </c>
      <c r="E13" s="143" t="n">
        <v>1471</v>
      </c>
      <c r="F13" s="1" t="str">
        <v>OK</v>
      </c>
      <c r="G13" s="1" t="inlineStr">
        <is>
          <t xml:space="preserve">B/C</t>
        </is>
      </c>
      <c r="H13" s="1" t="inlineStr">
        <is>
          <t xml:space="preserve">Denominador fijo</t>
        </is>
      </c>
    </row>
    <row r="14" customFormat="false" ht="15" hidden="false" customHeight="true" outlineLevel="0" collapsed="false">
      <c r="A14" s="1" t="inlineStr">
        <is>
          <t xml:space="preserve">Proxy T1 2026 T2</t>
        </is>
      </c>
      <c r="B14" s="1" t="inlineStr">
        <is>
          <t xml:space="preserve">26!E1854</t>
        </is>
      </c>
      <c r="C14" s="1" t="n">
        <v>1042</v>
      </c>
      <c r="D14" s="1" t="n">
        <v>1042</v>
      </c>
      <c r="E14" s="1" t="n">
        <v>1042</v>
      </c>
      <c r="F14" s="1" t="str">
        <v>OK</v>
      </c>
      <c r="G14" s="1" t="inlineStr">
        <is>
          <t xml:space="preserve">B/C</t>
        </is>
      </c>
      <c r="H14" s="1" t="inlineStr">
        <is>
          <t xml:space="preserve">Personas únicas con VIGENTE</t>
        </is>
      </c>
    </row>
    <row r="15" customFormat="false" ht="15" hidden="false" customHeight="true" outlineLevel="0" collapsed="false">
      <c r="A15" s="1" t="inlineStr">
        <is>
          <t xml:space="preserve">Tasa proxy 2026 T2</t>
        </is>
      </c>
      <c r="B15" s="1" t="inlineStr">
        <is>
          <t xml:space="preserve">26!F1854</t>
        </is>
      </c>
      <c r="C15" s="1" t="n">
        <v>0.7083616587</v>
      </c>
      <c r="D15" s="1" t="n">
        <v>0.708361658735554</v>
      </c>
      <c r="E15" s="71" t="n">
        <v>0.708361658735554</v>
      </c>
      <c r="F15" s="1" t="str">
        <v>OK</v>
      </c>
      <c r="G15" s="1" t="inlineStr">
        <is>
          <t xml:space="preserve">C</t>
        </is>
      </c>
      <c r="H15" s="1" t="inlineStr">
        <is>
          <t xml:space="preserve">VIGENTE/denominador</t>
        </is>
      </c>
    </row>
    <row r="16" customFormat="false" ht="15" hidden="false" customHeight="true" outlineLevel="0" collapsed="false">
      <c r="A16" s="1" t="inlineStr">
        <is>
          <t xml:space="preserve">Filas con error Excel</t>
        </is>
      </c>
      <c r="B16" s="1" t="inlineStr">
        <is>
          <t xml:space="preserve">Todas</t>
        </is>
      </c>
      <c r="C16" s="1" t="n">
        <v>0</v>
      </c>
      <c r="D16" s="1" t="inlineStr">
        <is>
          <t xml:space="preserve">COUNTIF sobre valores #</t>
        </is>
      </c>
      <c r="E16" s="1" t="n">
        <v>0</v>
      </c>
      <c r="F16" s="1" t="str">
        <v>OK</v>
      </c>
      <c r="G16" s="1" t="inlineStr">
        <is>
          <t xml:space="preserve">B/C</t>
        </is>
      </c>
      <c r="H16" s="1" t="inlineStr">
        <is>
          <t xml:space="preserve">No se detectan errores cached</t>
        </is>
      </c>
    </row>
    <row r="18" customFormat="false" ht="15" hidden="false" customHeight="true" outlineLevel="0" collapsed="false">
      <c r="A18" s="140" t="str">
        <v>Alcance del cálculo interno</v>
      </c>
      <c r="B18" s="140"/>
      <c r="C18" s="140"/>
      <c r="D18" s="140"/>
      <c r="E18" s="140"/>
      <c r="F18" s="140"/>
      <c r="G18" s="140"/>
      <c r="H18" s="140"/>
    </row>
    <row r="19" customFormat="false" ht="15" hidden="false" customHeight="true" outlineLevel="0" collapsed="false">
      <c r="A19" s="108" t="str">
        <v>C/D · Para el seguimiento interno se cuenta una persona con actividad del período y estado VIGENTE en PROMEDIOS, sin exigir fecha histórica del estado. Se deduplican las filas por asignatura. La foto de matrícula T3 mantiene su fuente y cálculo separados.</v>
      </c>
      <c r="B19" s="108"/>
      <c r="C19" s="108"/>
      <c r="D19" s="108"/>
      <c r="E19" s="108"/>
      <c r="F19" s="108"/>
      <c r="G19" s="108"/>
      <c r="H19" s="108"/>
    </row>
  </sheetData>
  <autoFilter ref="A4:H16"/>
  <mergeCells count="4">
    <mergeCell ref="A1:H1"/>
    <mergeCell ref="A2:H2"/>
    <mergeCell ref="A18:H18"/>
    <mergeCell ref="A19:H1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22" hidden="0" customWidth="1"/>
    <col min="6" max="6" width="22" hidden="0" customWidth="1"/>
    <col min="7" max="7" width="22" hidden="0" customWidth="1"/>
    <col min="8" max="8" width="22" hidden="0" customWidth="1"/>
  </cols>
  <sheetData>
    <row r="1" ht="32" customHeight="1">
      <c r="A1" s="205" t="str">
        <v>Retención IPSS V6 · contraste documental de las 63 dimensiones</v>
      </c>
      <c r="B1" s="5"/>
      <c r="C1" s="5"/>
      <c r="D1" s="5"/>
      <c r="E1" s="5"/>
      <c r="F1" s="5"/>
      <c r="G1" s="5"/>
      <c r="H1" s="5"/>
    </row>
    <row r="2" ht="32" customHeight="1">
      <c r="A2" s="202" t="str">
        <v>PENDIENTE_APROBACION_GOBERNANZA · 2026-10-22 · IPSS interno; no regla oficial SIES</v>
      </c>
      <c r="B2" s="2"/>
      <c r="C2" s="2"/>
      <c r="D2" s="2"/>
      <c r="E2" s="2"/>
      <c r="F2" s="2"/>
      <c r="G2" s="2"/>
      <c r="H2" s="2"/>
    </row>
    <row r="3" ht="32" customHeight="1">
      <c r="A3" s="202" t="str">
        <v>Retención histórica intacta. Personas, expedientes y dimensiones son universos distintos.</v>
      </c>
      <c r="B3" s="2"/>
      <c r="C3" s="2"/>
      <c r="D3" s="2"/>
      <c r="E3" s="2"/>
      <c r="F3" s="2"/>
      <c r="G3" s="2"/>
      <c r="H3" s="2"/>
    </row>
    <row r="4" ht="32" customHeight="1">
      <c r="A4" s="207" t="str">
        <v>Indicador</v>
      </c>
      <c r="B4" s="207" t="str">
        <v>Base num.</v>
      </c>
      <c r="C4" s="207" t="str">
        <v>Denom.</v>
      </c>
      <c r="D4" s="207" t="str">
        <v>Base %</v>
      </c>
      <c r="E4" s="207" t="str">
        <v>Actual / escenario</v>
      </c>
      <c r="F4" s="207" t="str">
        <v>Denom.</v>
      </c>
      <c r="G4" s="207" t="str">
        <v>%</v>
      </c>
      <c r="H4" s="207" t="str">
        <v>Cambio comparable pp</v>
      </c>
    </row>
    <row r="5" ht="32" customHeight="1">
      <c r="A5" s="202" t="str">
        <v>Pendientes bajo controles originales</v>
      </c>
      <c r="B5" s="202" t="n">
        <v>24</v>
      </c>
      <c r="C5" s="202" t="n">
        <v>63</v>
      </c>
      <c r="D5" s="209" t="n">
        <f>B5/C5</f>
        <v>0.38095238095238093</v>
      </c>
      <c r="E5" s="202" t="n">
        <v>24</v>
      </c>
      <c r="F5" s="202" t="n">
        <v>63</v>
      </c>
      <c r="G5" s="209" t="n">
        <f>E5/F5</f>
        <v>0.38095238095238093</v>
      </c>
      <c r="H5" s="210" t="n">
        <v>0</v>
      </c>
    </row>
    <row r="6" ht="32" customHeight="1">
      <c r="A6" s="202" t="str">
        <v>Nuevas recalificaciones acreditadas con TODOS los controles</v>
      </c>
      <c r="B6" s="202" t="n">
        <v>0</v>
      </c>
      <c r="C6" s="202" t="n">
        <v>63</v>
      </c>
      <c r="D6" s="209" t="n">
        <f>B6/C6</f>
        <v>0</v>
      </c>
      <c r="E6" s="202" t="n">
        <v>0</v>
      </c>
      <c r="F6" s="202" t="n">
        <v>63</v>
      </c>
      <c r="G6" s="209" t="n">
        <f>E6/F6</f>
        <v>0</v>
      </c>
      <c r="H6" s="210" t="n">
        <v>0</v>
      </c>
    </row>
    <row r="7" ht="32" customHeight="1">
      <c r="A7" s="202" t="str">
        <v>Indicador V4 contextual (criterio anterior)</v>
      </c>
      <c r="B7" s="2"/>
      <c r="C7" s="2"/>
      <c r="D7" s="9"/>
      <c r="E7" s="202" t="n">
        <v>8</v>
      </c>
      <c r="F7" s="202" t="n">
        <v>63</v>
      </c>
      <c r="G7" s="209" t="n">
        <f>E7/F7</f>
        <v>0.12698412698412698</v>
      </c>
      <c r="H7" s="10"/>
    </row>
    <row r="8" ht="32" customHeight="1">
      <c r="A8" s="202" t="str">
        <v>Pendientes en escenario mixto NO APROBADO</v>
      </c>
      <c r="B8" s="2"/>
      <c r="C8" s="2"/>
      <c r="D8" s="9"/>
      <c r="E8" s="202" t="n">
        <v>19</v>
      </c>
      <c r="F8" s="202" t="n">
        <v>63</v>
      </c>
      <c r="G8" s="209" t="n">
        <f>E8/F8</f>
        <v>0.30158730158730157</v>
      </c>
      <c r="H8" s="10"/>
    </row>
    <row r="9" ht="32" customHeight="1">
      <c r="A9" s="202" t="str">
        <v>Propuestas estadísticas heredadas, no equivalencias</v>
      </c>
      <c r="B9" s="202" t="n">
        <v>39</v>
      </c>
      <c r="C9" s="202" t="n">
        <v>63</v>
      </c>
      <c r="D9" s="209" t="n">
        <f>B9/C9</f>
        <v>0.6190476190476191</v>
      </c>
      <c r="E9" s="202" t="n">
        <v>39</v>
      </c>
      <c r="F9" s="202" t="n">
        <v>63</v>
      </c>
      <c r="G9" s="209" t="n">
        <f>E9/F9</f>
        <v>0.6190476190476191</v>
      </c>
      <c r="H9" s="210" t="n">
        <v>0</v>
      </c>
    </row>
    <row r="10" ht="32" customHeight="1">
      <c r="A10" s="202" t="str">
        <v>Equivalencias aprobadas demostradas</v>
      </c>
      <c r="B10" s="202" t="n">
        <v>0</v>
      </c>
      <c r="C10" s="202" t="n">
        <v>63</v>
      </c>
      <c r="D10" s="209" t="n">
        <f>B10/C10</f>
        <v>0</v>
      </c>
      <c r="E10" s="202" t="n">
        <v>0</v>
      </c>
      <c r="F10" s="202" t="n">
        <v>63</v>
      </c>
      <c r="G10" s="209" t="n">
        <f>E10/F10</f>
        <v>0</v>
      </c>
      <c r="H10" s="210" t="n">
        <v>0</v>
      </c>
    </row>
    <row r="11" ht="32" customHeight="1">
      <c r="A11" s="2"/>
      <c r="B11" s="2"/>
      <c r="C11" s="2"/>
      <c r="D11" s="2"/>
      <c r="E11" s="2"/>
      <c r="F11" s="2"/>
      <c r="G11" s="2"/>
      <c r="H11" s="2"/>
    </row>
    <row r="12" ht="32" customHeight="1">
      <c r="A12" s="208" t="str">
        <v>Línea base</v>
      </c>
      <c r="B12" s="202" t="str">
        <v>24/63 = 38,10%. No hay recalificación nueva demostrada bajo TODOS los controles originales.</v>
      </c>
      <c r="C12" s="2"/>
      <c r="D12" s="2"/>
      <c r="E12" s="2"/>
      <c r="F12" s="2"/>
      <c r="G12" s="2"/>
      <c r="H12" s="2"/>
    </row>
    <row r="13" ht="32" customHeight="1">
      <c r="A13" s="208" t="str">
        <v>Escenario mixto</v>
      </c>
      <c r="B13" s="202" t="str">
        <v>19/63 = 30,16%: PROPUESTA_METODOLOGICA_NO_APROBADA. Mezcla 39 estadísticas y 5 contextuales; no avance comparable validado.</v>
      </c>
      <c r="C13" s="2"/>
      <c r="D13" s="2"/>
      <c r="E13" s="2"/>
      <c r="F13" s="2"/>
      <c r="G13" s="2"/>
      <c r="H13" s="2"/>
    </row>
    <row r="14" ht="32" customHeight="1">
      <c r="A14" s="208" t="str">
        <v>Indicadores distintos</v>
      </c>
      <c r="B14" s="202" t="str">
        <v>8/63 anterior exigía n3 y catálogo. Nuevo: 12/63 con código anual y contexto DA completos, sin n3/90; no comparación directa ni cierre de plan.</v>
      </c>
      <c r="C14" s="2"/>
      <c r="D14" s="2"/>
      <c r="E14" s="2"/>
      <c r="F14" s="2"/>
      <c r="G14" s="2"/>
      <c r="H14" s="2"/>
    </row>
    <row r="15" ht="32" customHeight="1">
      <c r="A15" s="208" t="str">
        <v>Límite contextual</v>
      </c>
      <c r="B15" s="202" t="str">
        <v>Cobertura de observaciones disponibles; no certifica vigencia individual del plan, conciliación exhaustiva MU ni regla prospectiva.</v>
      </c>
      <c r="C15" s="2"/>
      <c r="D15" s="2"/>
      <c r="E15" s="2"/>
      <c r="F15" s="2"/>
      <c r="G15" s="2"/>
      <c r="H15" s="2"/>
    </row>
    <row r="16" ht="32" customHeight="1">
      <c r="A16" s="208" t="str">
        <v>TCRE/J2</v>
      </c>
      <c r="B16" s="202" t="str">
        <v>80% de predominancia: NO pasa 90%. No se baja el umbral; contextual uno-a-varios pendiente de aprobación metodológica.</v>
      </c>
      <c r="C16" s="2"/>
      <c r="D16" s="2"/>
      <c r="E16" s="2"/>
      <c r="F16" s="2"/>
      <c r="G16" s="2"/>
      <c r="H16" s="2"/>
    </row>
    <row r="17" ht="32" customHeight="1">
      <c r="A17" s="208" t="str">
        <v>Otros cuatro</v>
      </c>
      <c r="B17" s="202" t="str">
        <v>NAUTRE/J2, NECIRE/J2, NICCREOL/J4, NINFREOL/J4: no están acreditados TODOS los controles originales.</v>
      </c>
      <c r="C17" s="2"/>
      <c r="D17" s="2"/>
      <c r="E17" s="2"/>
      <c r="F17" s="2"/>
      <c r="G17" s="2"/>
      <c r="H17" s="2"/>
    </row>
    <row r="18" ht="32" customHeight="1">
      <c r="A18" s="208" t="str">
        <v>Retención y privacidad</v>
      </c>
      <c r="B18" s="202" t="str">
        <v>Tasas y denominadores intactos; 13 gráficos preservados. Detalle personal excluido desde V1, históricos dependientes fijados.</v>
      </c>
      <c r="C18" s="2"/>
      <c r="D18" s="2"/>
      <c r="E18" s="2"/>
      <c r="F18" s="2"/>
      <c r="G18" s="2"/>
      <c r="H18" s="2"/>
    </row>
    <row r="19" ht="32" customHeight="1">
      <c r="A19" s="208" t="str">
        <v>Revisión ampliada</v>
      </c>
      <c r="B19" s="202" t="str">
        <v>5.901 personas; 6.622 expedientes; 24.774 observaciones. 4.885 con código en alguna fuente. Hojas 38 y 39.</v>
      </c>
      <c r="C19" s="2"/>
      <c r="D19" s="2"/>
      <c r="E19" s="2"/>
      <c r="F19" s="2"/>
      <c r="G19" s="2"/>
      <c r="H19" s="2"/>
    </row>
    <row r="20" ht="32" customHeight="1">
      <c r="A20" s="208" t="str">
        <v>Propuestas previas</v>
      </c>
      <c r="B20" s="202" t="str">
        <v>18.304 observaciones confirman código propuesto; 1.760 difieren. Diferencia documentada, sin modificar canon ni retención.</v>
      </c>
      <c r="C20" s="2"/>
      <c r="D20" s="2"/>
      <c r="E20" s="2"/>
      <c r="F20" s="2"/>
      <c r="G20" s="2"/>
      <c r="H20" s="2"/>
    </row>
  </sheetData>
  <mergeCells>
    <mergeCell ref="B12:H12"/>
    <mergeCell ref="B13:H13"/>
    <mergeCell ref="B14:H14"/>
    <mergeCell ref="B15:H15"/>
    <mergeCell ref="B16:H16"/>
    <mergeCell ref="B17:H17"/>
    <mergeCell ref="B18:H18"/>
    <mergeCell ref="B19:H19"/>
    <mergeCell ref="B20:H20"/>
    <mergeCell ref="A1:H1"/>
    <mergeCell ref="A2:H2"/>
    <mergeCell ref="A3:H3"/>
  </mergeCells>
  <pageMargins left="0.7" right="0.7" top="0.75" bottom="0.75" header="0.3" footer="0.3"/>
</worksheet>
</file>

<file path=xl/worksheets/sheet31.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22" hidden="0" customWidth="1"/>
    <col min="6" max="6" width="22" hidden="0" customWidth="1"/>
    <col min="7" max="7" width="22" hidden="0" customWidth="1"/>
    <col min="8" max="8" width="22" hidden="0" customWidth="1"/>
    <col min="9" max="9" width="22" hidden="0" customWidth="1"/>
    <col min="10" max="10" width="22" hidden="0" customWidth="1"/>
    <col min="11" max="11" width="22" hidden="0" customWidth="1"/>
    <col min="12" max="12" width="22" hidden="0" customWidth="1"/>
    <col min="13" max="13" width="22" hidden="0" customWidth="1"/>
  </cols>
  <sheetData>
    <row r="1" ht="32" customHeight="1">
      <c r="A1" s="161" t="str">
        <v>Evidencia por dimensión · 63 conservadas</v>
      </c>
      <c r="B1" s="5"/>
      <c r="C1" s="5"/>
      <c r="D1" s="5"/>
      <c r="E1" s="5"/>
      <c r="F1" s="5"/>
      <c r="G1" s="5"/>
      <c r="H1" s="5"/>
      <c r="I1" s="5"/>
      <c r="J1" s="5"/>
      <c r="K1" s="5"/>
      <c r="L1" s="5"/>
      <c r="M1" s="5"/>
    </row>
    <row r="2" ht="32" customHeight="1">
      <c r="A2" s="158" t="str">
        <v>B/C/E · personas por celda no son sumables entre dimensiones, planes o años</v>
      </c>
      <c r="B2" s="2"/>
      <c r="C2" s="2"/>
      <c r="D2" s="2"/>
      <c r="E2" s="2"/>
      <c r="F2" s="2"/>
      <c r="G2" s="2"/>
      <c r="H2" s="2"/>
      <c r="I2" s="2"/>
      <c r="J2" s="2"/>
      <c r="K2" s="2"/>
      <c r="L2" s="2"/>
      <c r="M2" s="2"/>
    </row>
    <row r="3" ht="32" customHeight="1">
      <c r="A3" s="158" t="str">
        <v>Cruce anual exacto y jornada PROMEDIOS; sede/plan efectivo por matrícula aún requieren evidencia. MU no identifica período académico.</v>
      </c>
      <c r="B3" s="2"/>
      <c r="C3" s="2"/>
      <c r="D3" s="2"/>
      <c r="E3" s="2"/>
      <c r="F3" s="2"/>
      <c r="G3" s="2"/>
      <c r="H3" s="2"/>
      <c r="I3" s="2"/>
      <c r="J3" s="2"/>
      <c r="K3" s="2"/>
      <c r="L3" s="2"/>
      <c r="M3" s="2"/>
    </row>
    <row r="4" ht="32" customHeight="1">
      <c r="A4" s="163" t="str">
        <v>carrera</v>
      </c>
      <c r="B4" s="163" t="str">
        <v>sede</v>
      </c>
      <c r="C4" s="163" t="str">
        <v>jornada</v>
      </c>
      <c r="D4" s="163" t="str">
        <v>estado_previo</v>
      </c>
      <c r="E4" s="163" t="str">
        <v>personas_match_MU_historico</v>
      </c>
      <c r="F4" s="163" t="str">
        <v>personas_match_MU_mas_2019_2021</v>
      </c>
      <c r="G4" s="163" t="str">
        <v>personas_match_mismo_ano_jornada</v>
      </c>
      <c r="H4" s="163" t="str">
        <v>observaciones_plan_ano_periodo_multicodigo</v>
      </c>
      <c r="I4" s="163" t="str">
        <v>contextos_plan_ano_multiversion</v>
      </c>
      <c r="J4" s="163" t="str">
        <v>perfiles</v>
      </c>
      <c r="K4" s="163" t="str">
        <v>codigos_historicos_recuperados</v>
      </c>
      <c r="L4" s="163" t="str">
        <v>otros_codigos_mismo_ano</v>
      </c>
      <c r="M4" s="163" t="str">
        <v>estado_actual</v>
      </c>
    </row>
    <row r="5" ht="32" customHeight="1">
      <c r="A5" s="158" t="str">
        <v>ADMP</v>
      </c>
      <c r="B5" s="158" t="str">
        <v>2</v>
      </c>
      <c r="C5" s="158" t="str">
        <v>4</v>
      </c>
      <c r="D5" s="158" t="str">
        <v>PROPUESTA_INTERNA_PREDOMINANTE</v>
      </c>
      <c r="E5" s="158" t="n">
        <v>123</v>
      </c>
      <c r="F5" s="158" t="n">
        <v>123</v>
      </c>
      <c r="G5" s="158" t="n">
        <v>123</v>
      </c>
      <c r="H5" s="158" t="n">
        <v>0</v>
      </c>
      <c r="I5" s="158" t="n">
        <v>0</v>
      </c>
      <c r="J5" s="158" t="str">
        <v>[["8", "1"]]</v>
      </c>
      <c r="K5" s="2" t="str"/>
      <c r="L5" s="158" t="str">
        <v>I162S2C77J4V1</v>
      </c>
      <c r="M5" s="158" t="str">
        <v>PROPUESTA_PREVIA_NO_APROBADA</v>
      </c>
    </row>
    <row r="6" ht="32" customHeight="1">
      <c r="A6" s="158" t="str">
        <v>AUDT</v>
      </c>
      <c r="B6" s="158" t="str">
        <v>2</v>
      </c>
      <c r="C6" s="158" t="str">
        <v>4</v>
      </c>
      <c r="D6" s="158" t="str">
        <v>PROPUESTA_INTERNA_PREDOMINANTE</v>
      </c>
      <c r="E6" s="158" t="n">
        <v>78</v>
      </c>
      <c r="F6" s="158" t="n">
        <v>78</v>
      </c>
      <c r="G6" s="158" t="n">
        <v>75</v>
      </c>
      <c r="H6" s="158" t="n">
        <v>0</v>
      </c>
      <c r="I6" s="158" t="n">
        <v>0</v>
      </c>
      <c r="J6" s="158" t="str">
        <v>[["8", "1"]]</v>
      </c>
      <c r="K6" s="2" t="str"/>
      <c r="L6" s="158" t="str">
        <v>I162S2C46J4V3;I162S2C77J4V1;I162S2C88J4V1</v>
      </c>
      <c r="M6" s="158" t="str">
        <v>PROPUESTA_PREVIA_NO_APROBADA</v>
      </c>
    </row>
    <row r="7" ht="32" customHeight="1">
      <c r="A7" s="158" t="str">
        <v>IADM</v>
      </c>
      <c r="B7" s="158" t="str">
        <v>2</v>
      </c>
      <c r="C7" s="158" t="str">
        <v>4</v>
      </c>
      <c r="D7" s="158" t="str">
        <v>PROPUESTA_INTERNA_PREDOMINANTE</v>
      </c>
      <c r="E7" s="158" t="n">
        <v>165</v>
      </c>
      <c r="F7" s="158" t="n">
        <v>165</v>
      </c>
      <c r="G7" s="158" t="n">
        <v>160</v>
      </c>
      <c r="H7" s="158" t="n">
        <v>0</v>
      </c>
      <c r="I7" s="158" t="n">
        <v>0</v>
      </c>
      <c r="J7" s="158" t="str">
        <v>[["8", "1"]]</v>
      </c>
      <c r="K7" s="2" t="str"/>
      <c r="L7" s="158" t="str">
        <v>I162S2C111J4V1;I162S2C113J4V1;I162S2C114J2V1;I162S2C3J4V2;I162S2C46J4V3;I162S2C76J2V1;I162S2C77J2V1;I162S2C78J2V1;I162S2C85J4V1;I162S2C86J4V1</v>
      </c>
      <c r="M7" s="158" t="str">
        <v>PROPUESTA_PREVIA_NO_APROBADA</v>
      </c>
    </row>
    <row r="8" ht="32" customHeight="1">
      <c r="A8" s="158" t="str">
        <v>ICDA</v>
      </c>
      <c r="B8" s="158" t="str">
        <v>2</v>
      </c>
      <c r="C8" s="158" t="str">
        <v>4</v>
      </c>
      <c r="D8" s="158" t="str">
        <v>PROPUESTA_INTERNA_PREDOMINANTE</v>
      </c>
      <c r="E8" s="158" t="n">
        <v>69</v>
      </c>
      <c r="F8" s="158" t="n">
        <v>69</v>
      </c>
      <c r="G8" s="158" t="n">
        <v>69</v>
      </c>
      <c r="H8" s="158" t="n">
        <v>0</v>
      </c>
      <c r="I8" s="158" t="n">
        <v>0</v>
      </c>
      <c r="J8" s="158" t="str">
        <v>[["8", "1"]]</v>
      </c>
      <c r="K8" s="2" t="str"/>
      <c r="L8" s="158" t="str">
        <v>I162S2C77J4V1;I162S2C86J4V1;I162S2C87J4V2</v>
      </c>
      <c r="M8" s="158" t="str">
        <v>PROPUESTA_PREVIA_NO_APROBADA</v>
      </c>
    </row>
    <row r="9" ht="32" customHeight="1">
      <c r="A9" s="158" t="str">
        <v>ICIB</v>
      </c>
      <c r="B9" s="158" t="str">
        <v>2</v>
      </c>
      <c r="C9" s="158" t="str">
        <v>2</v>
      </c>
      <c r="D9" s="158" t="str">
        <v>PROPUESTA_INTERNA_PREDOMINANTE</v>
      </c>
      <c r="E9" s="158" t="n">
        <v>70</v>
      </c>
      <c r="F9" s="158" t="n">
        <v>72</v>
      </c>
      <c r="G9" s="158" t="n">
        <v>55</v>
      </c>
      <c r="H9" s="158" t="n">
        <v>0</v>
      </c>
      <c r="I9" s="158" t="n">
        <v>0</v>
      </c>
      <c r="J9" s="158" t="str">
        <v>[["8", "1"]]</v>
      </c>
      <c r="K9" s="158" t="str">
        <v>I162S2C46J2V1</v>
      </c>
      <c r="L9" s="158" t="str">
        <v>I162S2C46J1V1;I162S2C46J4V3;I162S2C47J2V1</v>
      </c>
      <c r="M9" s="158" t="str">
        <v>PROPUESTA_PREVIA_NO_APROBADA</v>
      </c>
    </row>
    <row r="10" ht="32" customHeight="1">
      <c r="A10" s="158" t="str">
        <v>ICIB</v>
      </c>
      <c r="B10" s="158" t="str">
        <v>2</v>
      </c>
      <c r="C10" s="158" t="str">
        <v>4</v>
      </c>
      <c r="D10" s="158" t="str">
        <v>PROPUESTA_INTERNA_PREDOMINANTE</v>
      </c>
      <c r="E10" s="158" t="n">
        <v>344</v>
      </c>
      <c r="F10" s="158" t="n">
        <v>344</v>
      </c>
      <c r="G10" s="158" t="n">
        <v>331</v>
      </c>
      <c r="H10" s="158" t="n">
        <v>0</v>
      </c>
      <c r="I10" s="158" t="n">
        <v>1</v>
      </c>
      <c r="J10" s="158" t="str">
        <v>[["8", "1"]]</v>
      </c>
      <c r="K10" s="158" t="str">
        <v>I162S2C46J4V1</v>
      </c>
      <c r="L10" s="158" t="str">
        <v>I162S2C125J4V1;I162S2C3J4V2;I162S2C46J1V1;I162S2C46J2V1;I162S2C47J1V1;I162S2C47J2V1;I162S2C47J4V1;I162S2C57J4V1;I162S2C79J4V1</v>
      </c>
      <c r="M10" s="158" t="str">
        <v>PROPUESTA_PREVIA_NO_APROBADA</v>
      </c>
    </row>
    <row r="11" ht="32" customHeight="1">
      <c r="A11" s="158" t="str">
        <v>ICRE</v>
      </c>
      <c r="B11" s="158" t="str">
        <v>2</v>
      </c>
      <c r="C11" s="158" t="str">
        <v>1</v>
      </c>
      <c r="D11" s="158" t="str">
        <v>PENDIENTE_SIN_MATCH</v>
      </c>
      <c r="E11" s="158" t="n">
        <v>0</v>
      </c>
      <c r="F11" s="158" t="n">
        <v>0</v>
      </c>
      <c r="G11" s="158" t="n">
        <v>0</v>
      </c>
      <c r="H11" s="158" t="n">
        <v>0</v>
      </c>
      <c r="I11" s="158" t="n">
        <v>0</v>
      </c>
      <c r="J11" s="158" t="str">
        <v>[["8", "1"]]</v>
      </c>
      <c r="K11" s="2" t="str"/>
      <c r="L11" s="2" t="str"/>
      <c r="M11" s="158" t="str">
        <v>PENDIENTE</v>
      </c>
    </row>
    <row r="12" ht="32" customHeight="1">
      <c r="A12" s="158" t="str">
        <v>ICRE</v>
      </c>
      <c r="B12" s="158" t="str">
        <v>2</v>
      </c>
      <c r="C12" s="158" t="str">
        <v>2</v>
      </c>
      <c r="D12" s="158" t="str">
        <v>PENDIENTE_MULTIPLE_O_BAJA_COBERTURA</v>
      </c>
      <c r="E12" s="158" t="n">
        <v>22</v>
      </c>
      <c r="F12" s="158" t="n">
        <v>24</v>
      </c>
      <c r="G12" s="158" t="n">
        <v>14</v>
      </c>
      <c r="H12" s="158" t="n">
        <v>0</v>
      </c>
      <c r="I12" s="158" t="n">
        <v>1</v>
      </c>
      <c r="J12" s="158" t="str">
        <v>[]</v>
      </c>
      <c r="K12" s="158" t="str">
        <v>I162S2C3J2V1</v>
      </c>
      <c r="L12" s="158" t="str">
        <v>I162S2C3J4V2</v>
      </c>
      <c r="M12" s="158" t="str">
        <v>PENDIENTE</v>
      </c>
    </row>
    <row r="13" ht="32" customHeight="1">
      <c r="A13" s="158" t="str">
        <v>ICRE</v>
      </c>
      <c r="B13" s="158" t="str">
        <v>2</v>
      </c>
      <c r="C13" s="158" t="str">
        <v>4</v>
      </c>
      <c r="D13" s="158" t="str">
        <v>PROPUESTA_INTERNA_PREDOMINANTE</v>
      </c>
      <c r="E13" s="158" t="n">
        <v>240</v>
      </c>
      <c r="F13" s="158" t="n">
        <v>240</v>
      </c>
      <c r="G13" s="158" t="n">
        <v>236</v>
      </c>
      <c r="H13" s="158" t="n">
        <v>0</v>
      </c>
      <c r="I13" s="158" t="n">
        <v>0</v>
      </c>
      <c r="J13" s="158" t="str">
        <v>[["8", "1"]]</v>
      </c>
      <c r="K13" s="2" t="str"/>
      <c r="L13" s="158" t="str">
        <v>I162S2C3J2V4;I162S2C46J4V3;I162S2C6J4V2</v>
      </c>
      <c r="M13" s="158" t="str">
        <v>PROPUESTA_PREVIA_NO_APROBADA</v>
      </c>
    </row>
    <row r="14" ht="32" customHeight="1">
      <c r="A14" s="158" t="str">
        <v>IECIRE</v>
      </c>
      <c r="B14" s="158" t="str">
        <v>2</v>
      </c>
      <c r="C14" s="158" t="str">
        <v>1</v>
      </c>
      <c r="D14" s="158" t="str">
        <v>PROPUESTA_INTERNA_PREDOMINANTE</v>
      </c>
      <c r="E14" s="158" t="n">
        <v>19</v>
      </c>
      <c r="F14" s="158" t="n">
        <v>56</v>
      </c>
      <c r="G14" s="158" t="n">
        <v>31</v>
      </c>
      <c r="H14" s="158" t="n">
        <v>0</v>
      </c>
      <c r="I14" s="158" t="n">
        <v>2</v>
      </c>
      <c r="J14" s="158" t="str">
        <v>[["8", "1"]]</v>
      </c>
      <c r="K14" s="158" t="str">
        <v>I162S2C1J1V1;I162S2C1J1V2</v>
      </c>
      <c r="L14" s="2" t="str"/>
      <c r="M14" s="158" t="str">
        <v>PROPUESTA_PREVIA_NO_APROBADA</v>
      </c>
    </row>
    <row r="15" ht="32" customHeight="1">
      <c r="A15" s="158" t="str">
        <v>IECIRE</v>
      </c>
      <c r="B15" s="158" t="str">
        <v>2</v>
      </c>
      <c r="C15" s="158" t="str">
        <v>2</v>
      </c>
      <c r="D15" s="158" t="str">
        <v>PROPUESTA_INTERNA_PREDOMINANTE</v>
      </c>
      <c r="E15" s="158" t="n">
        <v>51</v>
      </c>
      <c r="F15" s="158" t="n">
        <v>144</v>
      </c>
      <c r="G15" s="158" t="n">
        <v>138</v>
      </c>
      <c r="H15" s="158" t="n">
        <v>0</v>
      </c>
      <c r="I15" s="158" t="n">
        <v>1</v>
      </c>
      <c r="J15" s="158" t="str">
        <v>[["8", "1"]]</v>
      </c>
      <c r="K15" s="158" t="str">
        <v>I162S2C1J2V1;I162S2C1J2V4</v>
      </c>
      <c r="L15" s="158" t="str">
        <v>I162S2C1J1V1;I162S2C1J1V2;I162S2C1J4V2;I162S2C2J1V1;I162S2C2J1V2;I162S2C2J2V1;I162S2C2J2V2;I162S2C35J1V1;I162S2C35J2V1;I162S2C57J2V1</v>
      </c>
      <c r="M15" s="158" t="str">
        <v>PROPUESTA_PREVIA_NO_APROBADA</v>
      </c>
    </row>
    <row r="16" ht="32" customHeight="1">
      <c r="A16" s="158" t="str">
        <v>IECIRE</v>
      </c>
      <c r="B16" s="158" t="str">
        <v>2</v>
      </c>
      <c r="C16" s="158" t="str">
        <v>4</v>
      </c>
      <c r="D16" s="158" t="str">
        <v>PROPUESTA_INTERNA_PREDOMINANTE</v>
      </c>
      <c r="E16" s="158" t="n">
        <v>24</v>
      </c>
      <c r="F16" s="158" t="n">
        <v>24</v>
      </c>
      <c r="G16" s="158" t="n">
        <v>0</v>
      </c>
      <c r="H16" s="158" t="n">
        <v>0</v>
      </c>
      <c r="I16" s="158" t="n">
        <v>0</v>
      </c>
      <c r="J16" s="158" t="str">
        <v>[["8", "1"]]</v>
      </c>
      <c r="K16" s="158" t="str">
        <v>I162S2C1J4V2</v>
      </c>
      <c r="L16" s="158" t="str">
        <v>I162S2C1J2V1</v>
      </c>
      <c r="M16" s="158" t="str">
        <v>PROPUESTA_PREVIA_NO_APROBADA</v>
      </c>
    </row>
    <row r="17" ht="32" customHeight="1">
      <c r="A17" s="158" t="str">
        <v>IECIREOL</v>
      </c>
      <c r="B17" s="158" t="str">
        <v>2</v>
      </c>
      <c r="C17" s="158" t="str">
        <v>4</v>
      </c>
      <c r="D17" s="158" t="str">
        <v>PROPUESTA_INTERNA_PREDOMINANTE</v>
      </c>
      <c r="E17" s="158" t="n">
        <v>241</v>
      </c>
      <c r="F17" s="158" t="n">
        <v>259</v>
      </c>
      <c r="G17" s="158" t="n">
        <v>242</v>
      </c>
      <c r="H17" s="158" t="n">
        <v>0</v>
      </c>
      <c r="I17" s="158" t="n">
        <v>0</v>
      </c>
      <c r="J17" s="158" t="str">
        <v>[]</v>
      </c>
      <c r="K17" s="158" t="str">
        <v>I162S2C1J4V2</v>
      </c>
      <c r="L17" s="158" t="str">
        <v>I162S2C1J1V2;I162S2C1J2V1;I162S2C1J2V4;I162S2C1J4V1;I162S2C2J1V2;I162S2C2J2V1;I162S2C2J4V1;I162S2C2J4V2;I162S2C35J4V1;I162S2C35J4V2;I162S2C46J4V1;I162S2C47J4V1;I162S2C57J1V1;I162S2C57J2V1;I162S2C57J4V1</v>
      </c>
      <c r="M17" s="158" t="str">
        <v>PROPUESTA_PREVIA_NO_APROBADA</v>
      </c>
    </row>
    <row r="18" ht="32" customHeight="1">
      <c r="A18" s="158" t="str">
        <v>IECSRE</v>
      </c>
      <c r="B18" s="158" t="str">
        <v>2</v>
      </c>
      <c r="C18" s="158" t="str">
        <v>2</v>
      </c>
      <c r="D18" s="158" t="str">
        <v>PROPUESTA_INTERNA_PREDOMINANTE</v>
      </c>
      <c r="E18" s="158" t="n">
        <v>56</v>
      </c>
      <c r="F18" s="158" t="n">
        <v>81</v>
      </c>
      <c r="G18" s="158" t="n">
        <v>76</v>
      </c>
      <c r="H18" s="158" t="n">
        <v>0</v>
      </c>
      <c r="I18" s="158" t="n">
        <v>0</v>
      </c>
      <c r="J18" s="158" t="str">
        <v>[]</v>
      </c>
      <c r="K18" s="158" t="str">
        <v>I162S2C46J2V1</v>
      </c>
      <c r="L18" s="158" t="str">
        <v>I162S2C2J1V1;I162S2C46J1V1;I162S2C46J4V1;I162S2C46J4V3;I162S2C47J2V1;I162S2C47J4V1;I162S2C6J1V1</v>
      </c>
      <c r="M18" s="158" t="str">
        <v>PROPUESTA_PREVIA_NO_APROBADA</v>
      </c>
    </row>
    <row r="19" ht="32" customHeight="1">
      <c r="A19" s="158" t="str">
        <v>IECSREOL</v>
      </c>
      <c r="B19" s="158" t="str">
        <v>2</v>
      </c>
      <c r="C19" s="158" t="str">
        <v>4</v>
      </c>
      <c r="D19" s="158" t="str">
        <v>PROPUESTA_INTERNA_PREDOMINANTE</v>
      </c>
      <c r="E19" s="158" t="n">
        <v>212</v>
      </c>
      <c r="F19" s="158" t="n">
        <v>229</v>
      </c>
      <c r="G19" s="158" t="n">
        <v>217</v>
      </c>
      <c r="H19" s="158" t="n">
        <v>0</v>
      </c>
      <c r="I19" s="158" t="n">
        <v>1</v>
      </c>
      <c r="J19" s="158" t="str">
        <v>[["8", "1"]]</v>
      </c>
      <c r="K19" s="158" t="str">
        <v>I162S2C46J4V1</v>
      </c>
      <c r="L19" s="158" t="str">
        <v>I162S2C46J1V1;I162S2C46J2V1;I162S2C47J1V1;I162S2C47J4V1</v>
      </c>
      <c r="M19" s="158" t="str">
        <v>PROPUESTA_PREVIA_NO_APROBADA</v>
      </c>
    </row>
    <row r="20" ht="32" customHeight="1">
      <c r="A20" s="158" t="str">
        <v>IEMORE</v>
      </c>
      <c r="B20" s="158" t="str">
        <v>2</v>
      </c>
      <c r="C20" s="158" t="str">
        <v>2</v>
      </c>
      <c r="D20" s="158" t="str">
        <v>PROPUESTA_INTERNA_PREDOMINANTE</v>
      </c>
      <c r="E20" s="158" t="n">
        <v>16</v>
      </c>
      <c r="F20" s="158" t="n">
        <v>36</v>
      </c>
      <c r="G20" s="158" t="n">
        <v>36</v>
      </c>
      <c r="H20" s="158" t="n">
        <v>0</v>
      </c>
      <c r="I20" s="158" t="n">
        <v>0</v>
      </c>
      <c r="J20" s="158" t="str">
        <v>[]</v>
      </c>
      <c r="K20" s="158" t="str">
        <v>I162S2C22J2V1;I162S2C22J2V2</v>
      </c>
      <c r="L20" s="158" t="str">
        <v>I162S2C11J1V1;I162S2C11J2V1</v>
      </c>
      <c r="M20" s="158" t="str">
        <v>PROPUESTA_PREVIA_NO_APROBADA</v>
      </c>
    </row>
    <row r="21" ht="32" customHeight="1">
      <c r="A21" s="158" t="str">
        <v>IETMRE</v>
      </c>
      <c r="B21" s="158" t="str">
        <v>2</v>
      </c>
      <c r="C21" s="158" t="str">
        <v>1</v>
      </c>
      <c r="D21" s="158" t="str">
        <v>PENDIENTE_SIN_MATCH</v>
      </c>
      <c r="E21" s="158" t="n">
        <v>0</v>
      </c>
      <c r="F21" s="158" t="n">
        <v>6</v>
      </c>
      <c r="G21" s="158" t="n">
        <v>2</v>
      </c>
      <c r="H21" s="158" t="n">
        <v>0</v>
      </c>
      <c r="I21" s="158" t="n">
        <v>0</v>
      </c>
      <c r="J21" s="158" t="str">
        <v>[["8", "1"]]</v>
      </c>
      <c r="K21" s="158" t="str">
        <v>I162S2C3J1V1</v>
      </c>
      <c r="L21" s="2" t="str"/>
      <c r="M21" s="158" t="str">
        <v>PENDIENTE_CON_EVIDENCIA_HISTORICA_RECUPERADA</v>
      </c>
    </row>
    <row r="22" ht="32" customHeight="1">
      <c r="A22" s="158" t="str">
        <v>IETMRE</v>
      </c>
      <c r="B22" s="158" t="str">
        <v>2</v>
      </c>
      <c r="C22" s="158" t="str">
        <v>2</v>
      </c>
      <c r="D22" s="158" t="str">
        <v>PROPUESTA_INTERNA_PREDOMINANTE</v>
      </c>
      <c r="E22" s="158" t="n">
        <v>55</v>
      </c>
      <c r="F22" s="158" t="n">
        <v>138</v>
      </c>
      <c r="G22" s="158" t="n">
        <v>137</v>
      </c>
      <c r="H22" s="158" t="n">
        <v>0</v>
      </c>
      <c r="I22" s="158" t="n">
        <v>4</v>
      </c>
      <c r="J22" s="158" t="str">
        <v>[]</v>
      </c>
      <c r="K22" s="158" t="str">
        <v>I162S2C3J2V1;I162S2C3J2V3;I162S2C3J2V4</v>
      </c>
      <c r="L22" s="158" t="str">
        <v>I162S2C3J1V1;I162S2C6J2V1;I162S2C6J2V2</v>
      </c>
      <c r="M22" s="158" t="str">
        <v>PROPUESTA_PREVIA_NO_APROBADA</v>
      </c>
    </row>
    <row r="23" ht="32" customHeight="1">
      <c r="A23" s="158" t="str">
        <v>IETMRE</v>
      </c>
      <c r="B23" s="158" t="str">
        <v>2</v>
      </c>
      <c r="C23" s="158" t="str">
        <v>4</v>
      </c>
      <c r="D23" s="158" t="str">
        <v>PROPUESTA_INTERNA_PREDOMINANTE</v>
      </c>
      <c r="E23" s="158" t="n">
        <v>11</v>
      </c>
      <c r="F23" s="158" t="n">
        <v>11</v>
      </c>
      <c r="G23" s="158" t="n">
        <v>0</v>
      </c>
      <c r="H23" s="158" t="n">
        <v>0</v>
      </c>
      <c r="I23" s="158" t="n">
        <v>0</v>
      </c>
      <c r="J23" s="158" t="str">
        <v>[]</v>
      </c>
      <c r="K23" s="158" t="str">
        <v>I162S2C3J4V2</v>
      </c>
      <c r="L23" s="158" t="str">
        <v>I162S2C3J2V4</v>
      </c>
      <c r="M23" s="158" t="str">
        <v>PROPUESTA_PREVIA_NO_APROBADA</v>
      </c>
    </row>
    <row r="24" ht="32" customHeight="1">
      <c r="A24" s="158" t="str">
        <v>IETMREOL</v>
      </c>
      <c r="B24" s="158" t="str">
        <v>2</v>
      </c>
      <c r="C24" s="158" t="str">
        <v>4</v>
      </c>
      <c r="D24" s="158" t="str">
        <v>PROPUESTA_INTERNA_PREDOMINANTE</v>
      </c>
      <c r="E24" s="158" t="n">
        <v>288</v>
      </c>
      <c r="F24" s="158" t="n">
        <v>301</v>
      </c>
      <c r="G24" s="158" t="n">
        <v>291</v>
      </c>
      <c r="H24" s="158" t="n">
        <v>0</v>
      </c>
      <c r="I24" s="158" t="n">
        <v>0</v>
      </c>
      <c r="J24" s="158" t="str">
        <v>[["8", "1"]]</v>
      </c>
      <c r="K24" s="158" t="str">
        <v>I162S2C3J4V2</v>
      </c>
      <c r="L24" s="158" t="str">
        <v>I162S2C1J4V2;I162S2C3J2V4;I162S2C3J4V1;I162S2C46J2V1;I162S2C46J4V1;I162S2C6J2V2;I162S2C6J4V1;I162S2C6J4V2</v>
      </c>
      <c r="M24" s="158" t="str">
        <v>PROPUESTA_PREVIA_NO_APROBADA</v>
      </c>
    </row>
    <row r="25" ht="32" customHeight="1">
      <c r="A25" s="158" t="str">
        <v>IFIN</v>
      </c>
      <c r="B25" s="158" t="str">
        <v>2</v>
      </c>
      <c r="C25" s="158" t="str">
        <v>4</v>
      </c>
      <c r="D25" s="158" t="str">
        <v>PROPUESTA_INTERNA_PREDOMINANTE</v>
      </c>
      <c r="E25" s="158" t="n">
        <v>25</v>
      </c>
      <c r="F25" s="158" t="n">
        <v>25</v>
      </c>
      <c r="G25" s="158" t="n">
        <v>25</v>
      </c>
      <c r="H25" s="158" t="n">
        <v>0</v>
      </c>
      <c r="I25" s="158" t="n">
        <v>0</v>
      </c>
      <c r="J25" s="158" t="str">
        <v>[["8", "1"]]</v>
      </c>
      <c r="K25" s="2" t="str"/>
      <c r="L25" s="2" t="str"/>
      <c r="M25" s="158" t="str">
        <v>PROPUESTA_PREVIA_NO_APROBADA</v>
      </c>
    </row>
    <row r="26" ht="32" customHeight="1">
      <c r="A26" s="158" t="str">
        <v>IIND</v>
      </c>
      <c r="B26" s="158" t="str">
        <v>2</v>
      </c>
      <c r="C26" s="158" t="str">
        <v>4</v>
      </c>
      <c r="D26" s="158" t="str">
        <v>PROPUESTA_INTERNA_PREDOMINANTE</v>
      </c>
      <c r="E26" s="158" t="n">
        <v>82</v>
      </c>
      <c r="F26" s="158" t="n">
        <v>82</v>
      </c>
      <c r="G26" s="158" t="n">
        <v>82</v>
      </c>
      <c r="H26" s="158" t="n">
        <v>0</v>
      </c>
      <c r="I26" s="158" t="n">
        <v>0</v>
      </c>
      <c r="J26" s="158" t="str">
        <v>[["4", "3"], ["8", "1"]]</v>
      </c>
      <c r="K26" s="2" t="str"/>
      <c r="L26" s="2" t="str"/>
      <c r="M26" s="158" t="str">
        <v>PROPUESTA_PREVIA_NO_APROBADA</v>
      </c>
    </row>
    <row r="27" ht="32" customHeight="1">
      <c r="A27" s="158" t="str">
        <v>IINF</v>
      </c>
      <c r="B27" s="158" t="str">
        <v>2</v>
      </c>
      <c r="C27" s="158" t="str">
        <v>1</v>
      </c>
      <c r="D27" s="158" t="str">
        <v>PENDIENTE_MULTIPLE_O_BAJA_COBERTURA</v>
      </c>
      <c r="E27" s="158" t="n">
        <v>49</v>
      </c>
      <c r="F27" s="158" t="n">
        <v>50</v>
      </c>
      <c r="G27" s="158" t="n">
        <v>38</v>
      </c>
      <c r="H27" s="158" t="n">
        <v>0</v>
      </c>
      <c r="I27" s="158" t="n">
        <v>1</v>
      </c>
      <c r="J27" s="158" t="str">
        <v>[["8", "1"]]</v>
      </c>
      <c r="K27" s="158" t="str">
        <v>I162S2C1J1V1</v>
      </c>
      <c r="L27" s="158" t="str">
        <v>I162S2C1J4V2;I162S2C57J1V1</v>
      </c>
      <c r="M27" s="158" t="str">
        <v>PENDIENTE</v>
      </c>
    </row>
    <row r="28" ht="32" customHeight="1">
      <c r="A28" s="158" t="str">
        <v>IINF</v>
      </c>
      <c r="B28" s="158" t="str">
        <v>2</v>
      </c>
      <c r="C28" s="158" t="str">
        <v>2</v>
      </c>
      <c r="D28" s="158" t="str">
        <v>PENDIENTE_MULTIPLE_O_BAJA_COBERTURA</v>
      </c>
      <c r="E28" s="158" t="n">
        <v>56</v>
      </c>
      <c r="F28" s="158" t="n">
        <v>58</v>
      </c>
      <c r="G28" s="158" t="n">
        <v>42</v>
      </c>
      <c r="H28" s="158" t="n">
        <v>0</v>
      </c>
      <c r="I28" s="158" t="n">
        <v>1</v>
      </c>
      <c r="J28" s="158" t="str">
        <v>[["4", "3"], ["5", "3"]]</v>
      </c>
      <c r="K28" s="158" t="str">
        <v>I162S2C1J2V1;I162S2C1J2V4</v>
      </c>
      <c r="L28" s="158" t="str">
        <v>I162S2C1J1V1;I162S2C57J2V1</v>
      </c>
      <c r="M28" s="158" t="str">
        <v>PENDIENTE</v>
      </c>
    </row>
    <row r="29" ht="32" customHeight="1">
      <c r="A29" s="158" t="str">
        <v>IINF</v>
      </c>
      <c r="B29" s="158" t="str">
        <v>2</v>
      </c>
      <c r="C29" s="158" t="str">
        <v>4</v>
      </c>
      <c r="D29" s="158" t="str">
        <v>PROPUESTA_INTERNA_PREDOMINANTE</v>
      </c>
      <c r="E29" s="158" t="n">
        <v>351</v>
      </c>
      <c r="F29" s="158" t="n">
        <v>351</v>
      </c>
      <c r="G29" s="158" t="n">
        <v>339</v>
      </c>
      <c r="H29" s="158" t="n">
        <v>0</v>
      </c>
      <c r="I29" s="158" t="n">
        <v>1</v>
      </c>
      <c r="J29" s="158" t="str">
        <v>[["8", "1"]]</v>
      </c>
      <c r="K29" s="2" t="str"/>
      <c r="L29" s="158" t="str">
        <v>I162S2C112J4V1;I162S2C1J1V1;I162S2C1J1V2;I162S2C1J2V1;I162S2C1J2V4;I162S2C1J4V1;I162S2C46J4V3;I162S2C57J4V1;I162S2C6J4V2;I162S2C76J4V1</v>
      </c>
      <c r="M29" s="158" t="str">
        <v>PROPUESTA_PREVIA_NO_APROBADA</v>
      </c>
    </row>
    <row r="30" ht="32" customHeight="1">
      <c r="A30" s="158" t="str">
        <v>ILOG</v>
      </c>
      <c r="B30" s="158" t="str">
        <v>2</v>
      </c>
      <c r="C30" s="158" t="str">
        <v>4</v>
      </c>
      <c r="D30" s="158" t="str">
        <v>PROPUESTA_INTERNA_PREDOMINANTE</v>
      </c>
      <c r="E30" s="158" t="n">
        <v>120</v>
      </c>
      <c r="F30" s="158" t="n">
        <v>120</v>
      </c>
      <c r="G30" s="158" t="n">
        <v>117</v>
      </c>
      <c r="H30" s="158" t="n">
        <v>0</v>
      </c>
      <c r="I30" s="158" t="n">
        <v>0</v>
      </c>
      <c r="J30" s="158" t="str">
        <v>[["8", "1"]]</v>
      </c>
      <c r="K30" s="2" t="str"/>
      <c r="L30" s="158" t="str">
        <v>I162S2C114J2V1;I162S2C76J1V1;I162S2C77J2V1;I162S2C79J4V1;I162S2C88J4V1</v>
      </c>
      <c r="M30" s="158" t="str">
        <v>PROPUESTA_PREVIA_NO_APROBADA</v>
      </c>
    </row>
    <row r="31" ht="32" customHeight="1">
      <c r="A31" s="158" t="str">
        <v>IMDI</v>
      </c>
      <c r="B31" s="158" t="str">
        <v>2</v>
      </c>
      <c r="C31" s="158" t="str">
        <v>4</v>
      </c>
      <c r="D31" s="158" t="str">
        <v>PROPUESTA_INTERNA_PREDOMINANTE</v>
      </c>
      <c r="E31" s="158" t="n">
        <v>58</v>
      </c>
      <c r="F31" s="158" t="n">
        <v>58</v>
      </c>
      <c r="G31" s="158" t="n">
        <v>58</v>
      </c>
      <c r="H31" s="158" t="n">
        <v>0</v>
      </c>
      <c r="I31" s="158" t="n">
        <v>0</v>
      </c>
      <c r="J31" s="158" t="str">
        <v>[["8", "1"]]</v>
      </c>
      <c r="K31" s="2" t="str"/>
      <c r="L31" s="158" t="str">
        <v>I162S2C118J4V1;I162S2C3J4V2;I162S2C88J4V1;I162S2C91J1V1</v>
      </c>
      <c r="M31" s="158" t="str">
        <v>PROPUESTA_PREVIA_NO_APROBADA</v>
      </c>
    </row>
    <row r="32" ht="32" customHeight="1">
      <c r="A32" s="158" t="str">
        <v>IPRE</v>
      </c>
      <c r="B32" s="158" t="str">
        <v>2</v>
      </c>
      <c r="C32" s="158" t="str">
        <v>4</v>
      </c>
      <c r="D32" s="158" t="str">
        <v>PROPUESTA_INTERNA_PREDOMINANTE</v>
      </c>
      <c r="E32" s="158" t="n">
        <v>24</v>
      </c>
      <c r="F32" s="158" t="n">
        <v>24</v>
      </c>
      <c r="G32" s="158" t="n">
        <v>24</v>
      </c>
      <c r="H32" s="158" t="n">
        <v>0</v>
      </c>
      <c r="I32" s="158" t="n">
        <v>0</v>
      </c>
      <c r="J32" s="158" t="str">
        <v>[["8", "1"]]</v>
      </c>
      <c r="K32" s="2" t="str"/>
      <c r="L32" s="2" t="str"/>
      <c r="M32" s="158" t="str">
        <v>PROPUESTA_PREVIA_NO_APROBADA</v>
      </c>
    </row>
    <row r="33" ht="32" customHeight="1">
      <c r="A33" s="158" t="str">
        <v>IRHU</v>
      </c>
      <c r="B33" s="158" t="str">
        <v>2</v>
      </c>
      <c r="C33" s="158" t="str">
        <v>4</v>
      </c>
      <c r="D33" s="158" t="str">
        <v>PROPUESTA_INTERNA_PREDOMINANTE</v>
      </c>
      <c r="E33" s="158" t="n">
        <v>29</v>
      </c>
      <c r="F33" s="158" t="n">
        <v>29</v>
      </c>
      <c r="G33" s="158" t="n">
        <v>29</v>
      </c>
      <c r="H33" s="158" t="n">
        <v>0</v>
      </c>
      <c r="I33" s="158" t="n">
        <v>0</v>
      </c>
      <c r="J33" s="158" t="str">
        <v>[["8", "1"]]</v>
      </c>
      <c r="K33" s="2" t="str"/>
      <c r="L33" s="2" t="str"/>
      <c r="M33" s="158" t="str">
        <v>PROPUESTA_PREVIA_NO_APROBADA</v>
      </c>
    </row>
    <row r="34" ht="32" customHeight="1">
      <c r="A34" s="158" t="str">
        <v>ISEP</v>
      </c>
      <c r="B34" s="158" t="str">
        <v>2</v>
      </c>
      <c r="C34" s="158" t="str">
        <v>4</v>
      </c>
      <c r="D34" s="158" t="str">
        <v>PROPUESTA_INTERNA_PREDOMINANTE</v>
      </c>
      <c r="E34" s="158" t="n">
        <v>18</v>
      </c>
      <c r="F34" s="158" t="n">
        <v>18</v>
      </c>
      <c r="G34" s="158" t="n">
        <v>18</v>
      </c>
      <c r="H34" s="158" t="n">
        <v>0</v>
      </c>
      <c r="I34" s="158" t="n">
        <v>0</v>
      </c>
      <c r="J34" s="158" t="str">
        <v>[["8", "1"]]</v>
      </c>
      <c r="K34" s="2" t="str"/>
      <c r="L34" s="2" t="str"/>
      <c r="M34" s="158" t="str">
        <v>PROPUESTA_PREVIA_NO_APROBADA</v>
      </c>
    </row>
    <row r="35" ht="32" customHeight="1">
      <c r="A35" s="158" t="str">
        <v>NATP</v>
      </c>
      <c r="B35" s="158" t="str">
        <v>2</v>
      </c>
      <c r="C35" s="158" t="str">
        <v>2</v>
      </c>
      <c r="D35" s="158" t="str">
        <v>PROPUESTA_INTERNA_PREDOMINANTE</v>
      </c>
      <c r="E35" s="158" t="n">
        <v>19</v>
      </c>
      <c r="F35" s="158" t="n">
        <v>19</v>
      </c>
      <c r="G35" s="158" t="n">
        <v>19</v>
      </c>
      <c r="H35" s="158" t="n">
        <v>0</v>
      </c>
      <c r="I35" s="158" t="n">
        <v>0</v>
      </c>
      <c r="J35" s="158" t="str">
        <v>[["8", "1"]]</v>
      </c>
      <c r="K35" s="2" t="str"/>
      <c r="L35" s="2" t="str"/>
      <c r="M35" s="158" t="str">
        <v>PROPUESTA_PREVIA_NO_APROBADA</v>
      </c>
    </row>
    <row r="36" ht="32" customHeight="1">
      <c r="A36" s="158" t="str">
        <v>NAUTRE</v>
      </c>
      <c r="B36" s="158" t="str">
        <v>2</v>
      </c>
      <c r="C36" s="158" t="str">
        <v>2</v>
      </c>
      <c r="D36" s="158" t="str">
        <v>PENDIENTE_SIN_MATCH</v>
      </c>
      <c r="E36" s="158" t="n">
        <v>0</v>
      </c>
      <c r="F36" s="158" t="n">
        <v>7</v>
      </c>
      <c r="G36" s="158" t="n">
        <v>7</v>
      </c>
      <c r="H36" s="158" t="n">
        <v>0</v>
      </c>
      <c r="I36" s="158" t="n">
        <v>0</v>
      </c>
      <c r="J36" s="158" t="str">
        <v>[]</v>
      </c>
      <c r="K36" s="158" t="str">
        <v>I162S2C22J2V2</v>
      </c>
      <c r="L36" s="2" t="str"/>
      <c r="M36" s="158" t="str">
        <v>PENDIENTE_CON_EVIDENCIA_HISTORICA_RECUPERADA</v>
      </c>
    </row>
    <row r="37" ht="32" customHeight="1">
      <c r="A37" s="158" t="str">
        <v>NCONRE</v>
      </c>
      <c r="B37" s="158" t="str">
        <v>2</v>
      </c>
      <c r="C37" s="158" t="str">
        <v>2</v>
      </c>
      <c r="D37" s="158" t="str">
        <v>PENDIENTE_MULTIPLE_O_BAJA_COBERTURA</v>
      </c>
      <c r="E37" s="158" t="n">
        <v>2</v>
      </c>
      <c r="F37" s="158" t="n">
        <v>111</v>
      </c>
      <c r="G37" s="158" t="n">
        <v>109</v>
      </c>
      <c r="H37" s="158" t="n">
        <v>0</v>
      </c>
      <c r="I37" s="158" t="n">
        <v>0</v>
      </c>
      <c r="J37" s="158" t="str">
        <v>[]</v>
      </c>
      <c r="K37" s="158" t="str">
        <v>I162S2C3J2V3</v>
      </c>
      <c r="L37" s="158" t="str">
        <v>I162S2C6J2V1</v>
      </c>
      <c r="M37" s="158" t="str">
        <v>PENDIENTE</v>
      </c>
    </row>
    <row r="38" ht="32" customHeight="1">
      <c r="A38" s="158" t="str">
        <v>NCONRE</v>
      </c>
      <c r="B38" s="158" t="str">
        <v>2</v>
      </c>
      <c r="C38" s="158" t="str">
        <v>4</v>
      </c>
      <c r="D38" s="158" t="str">
        <v>PROPUESTA_INTERNA_PREDOMINANTE</v>
      </c>
      <c r="E38" s="158" t="n">
        <v>3</v>
      </c>
      <c r="F38" s="158" t="n">
        <v>3</v>
      </c>
      <c r="G38" s="158" t="n">
        <v>0</v>
      </c>
      <c r="H38" s="158" t="n">
        <v>0</v>
      </c>
      <c r="I38" s="158" t="n">
        <v>0</v>
      </c>
      <c r="J38" s="158" t="str">
        <v>[]</v>
      </c>
      <c r="K38" s="2" t="str"/>
      <c r="L38" s="158" t="str">
        <v>I162S2C3J2V3</v>
      </c>
      <c r="M38" s="158" t="str">
        <v>PROPUESTA_PREVIA_NO_APROBADA</v>
      </c>
    </row>
    <row r="39" ht="32" customHeight="1">
      <c r="A39" s="158" t="str">
        <v>NCONREOL</v>
      </c>
      <c r="B39" s="158" t="str">
        <v>2</v>
      </c>
      <c r="C39" s="158" t="str">
        <v>4</v>
      </c>
      <c r="D39" s="158" t="str">
        <v>PROPUESTA_INTERNA_PREDOMINANTE</v>
      </c>
      <c r="E39" s="158" t="n">
        <v>7</v>
      </c>
      <c r="F39" s="158" t="n">
        <v>18</v>
      </c>
      <c r="G39" s="158" t="n">
        <v>18</v>
      </c>
      <c r="H39" s="158" t="n">
        <v>0</v>
      </c>
      <c r="I39" s="158" t="n">
        <v>0</v>
      </c>
      <c r="J39" s="158" t="str">
        <v>[]</v>
      </c>
      <c r="K39" s="158" t="str">
        <v>I162S2C3J4V3</v>
      </c>
      <c r="L39" s="158" t="str">
        <v>I162S2C3J4V1;I162S2C46J2V2</v>
      </c>
      <c r="M39" s="158" t="str">
        <v>PROPUESTA_PREVIA_NO_APROBADA</v>
      </c>
    </row>
    <row r="40" ht="32" customHeight="1">
      <c r="A40" s="158" t="str">
        <v>NECIRE</v>
      </c>
      <c r="B40" s="158" t="str">
        <v>2</v>
      </c>
      <c r="C40" s="158" t="str">
        <v>2</v>
      </c>
      <c r="D40" s="158" t="str">
        <v>PENDIENTE_SIN_MATCH</v>
      </c>
      <c r="E40" s="158" t="n">
        <v>0</v>
      </c>
      <c r="F40" s="158" t="n">
        <v>4</v>
      </c>
      <c r="G40" s="158" t="n">
        <v>4</v>
      </c>
      <c r="H40" s="158" t="n">
        <v>0</v>
      </c>
      <c r="I40" s="158" t="n">
        <v>0</v>
      </c>
      <c r="J40" s="158" t="str">
        <v>[]</v>
      </c>
      <c r="K40" s="158" t="str">
        <v>I162S2C1J2V2</v>
      </c>
      <c r="L40" s="2" t="str"/>
      <c r="M40" s="158" t="str">
        <v>PENDIENTE_CON_EVIDENCIA_HISTORICA_RECUPERADA</v>
      </c>
    </row>
    <row r="41" ht="32" customHeight="1">
      <c r="A41" s="158" t="str">
        <v>NETMRE</v>
      </c>
      <c r="B41" s="158" t="str">
        <v>2</v>
      </c>
      <c r="C41" s="158" t="str">
        <v>2</v>
      </c>
      <c r="D41" s="158" t="str">
        <v>PENDIENTE_SIN_MATCH</v>
      </c>
      <c r="E41" s="158" t="n">
        <v>0</v>
      </c>
      <c r="F41" s="158" t="n">
        <v>0</v>
      </c>
      <c r="G41" s="158" t="n">
        <v>0</v>
      </c>
      <c r="H41" s="158" t="n">
        <v>0</v>
      </c>
      <c r="I41" s="158" t="n">
        <v>0</v>
      </c>
      <c r="J41" s="158" t="str">
        <v>[["8", "1"]]</v>
      </c>
      <c r="K41" s="2" t="str"/>
      <c r="L41" s="158" t="str">
        <v>I162S2C3J2V2</v>
      </c>
      <c r="M41" s="158" t="str">
        <v>PENDIENTE</v>
      </c>
    </row>
    <row r="42" ht="32" customHeight="1">
      <c r="A42" s="158" t="str">
        <v>NETMRE</v>
      </c>
      <c r="B42" s="158" t="str">
        <v>2</v>
      </c>
      <c r="C42" s="158" t="str">
        <v>4</v>
      </c>
      <c r="D42" s="158" t="str">
        <v>PENDIENTE_SIN_MATCH</v>
      </c>
      <c r="E42" s="158" t="n">
        <v>0</v>
      </c>
      <c r="F42" s="158" t="n">
        <v>0</v>
      </c>
      <c r="G42" s="158" t="n">
        <v>0</v>
      </c>
      <c r="H42" s="158" t="n">
        <v>0</v>
      </c>
      <c r="I42" s="158" t="n">
        <v>0</v>
      </c>
      <c r="J42" s="158" t="str">
        <v>[["8", "1"]]</v>
      </c>
      <c r="K42" s="2" t="str"/>
      <c r="L42" s="2" t="str"/>
      <c r="M42" s="158" t="str">
        <v>PENDIENTE</v>
      </c>
    </row>
    <row r="43" ht="32" customHeight="1">
      <c r="A43" s="158" t="str">
        <v>NICCRE</v>
      </c>
      <c r="B43" s="158" t="str">
        <v>2</v>
      </c>
      <c r="C43" s="158" t="str">
        <v>2</v>
      </c>
      <c r="D43" s="158" t="str">
        <v>PENDIENTE_SIN_MATCH</v>
      </c>
      <c r="E43" s="158" t="n">
        <v>0</v>
      </c>
      <c r="F43" s="158" t="n">
        <v>9</v>
      </c>
      <c r="G43" s="158" t="n">
        <v>9</v>
      </c>
      <c r="H43" s="158" t="n">
        <v>0</v>
      </c>
      <c r="I43" s="158" t="n">
        <v>0</v>
      </c>
      <c r="J43" s="158" t="str">
        <v>[["8", "1"]]</v>
      </c>
      <c r="K43" s="158" t="str">
        <v>I162S2C46J2V3</v>
      </c>
      <c r="L43" s="2" t="str"/>
      <c r="M43" s="158" t="str">
        <v>PENDIENTE_CON_EVIDENCIA_HISTORICA_RECUPERADA</v>
      </c>
    </row>
    <row r="44" ht="32" customHeight="1">
      <c r="A44" s="158" t="str">
        <v>NICCREOL</v>
      </c>
      <c r="B44" s="158" t="str">
        <v>2</v>
      </c>
      <c r="C44" s="158" t="str">
        <v>4</v>
      </c>
      <c r="D44" s="158" t="str">
        <v>PENDIENTE_SIN_MATCH</v>
      </c>
      <c r="E44" s="158" t="n">
        <v>0</v>
      </c>
      <c r="F44" s="158" t="n">
        <v>10</v>
      </c>
      <c r="G44" s="158" t="n">
        <v>9</v>
      </c>
      <c r="H44" s="158" t="n">
        <v>0</v>
      </c>
      <c r="I44" s="158" t="n">
        <v>0</v>
      </c>
      <c r="J44" s="158" t="str">
        <v>[["8", "1"]]</v>
      </c>
      <c r="K44" s="158" t="str">
        <v>I162S2C46J4V1</v>
      </c>
      <c r="L44" s="2" t="str"/>
      <c r="M44" s="158" t="str">
        <v>PENDIENTE_CON_EVIDENCIA_HISTORICA_RECUPERADA</v>
      </c>
    </row>
    <row r="45" ht="32" customHeight="1">
      <c r="A45" s="158" t="str">
        <v>NICIRE</v>
      </c>
      <c r="B45" s="158" t="str">
        <v>2</v>
      </c>
      <c r="C45" s="158" t="str">
        <v>2</v>
      </c>
      <c r="D45" s="158" t="str">
        <v>PENDIENTE_SIN_MATCH</v>
      </c>
      <c r="E45" s="158" t="n">
        <v>0</v>
      </c>
      <c r="F45" s="158" t="n">
        <v>1</v>
      </c>
      <c r="G45" s="158" t="n">
        <v>1</v>
      </c>
      <c r="H45" s="158" t="n">
        <v>0</v>
      </c>
      <c r="I45" s="158" t="n">
        <v>0</v>
      </c>
      <c r="J45" s="158" t="str">
        <v>[]</v>
      </c>
      <c r="K45" s="158" t="str">
        <v>I162S2C1J2V2</v>
      </c>
      <c r="L45" s="2" t="str"/>
      <c r="M45" s="158" t="str">
        <v>PENDIENTE_CON_EVIDENCIA_HISTORICA_RECUPERADA</v>
      </c>
    </row>
    <row r="46" ht="32" customHeight="1">
      <c r="A46" s="158" t="str">
        <v>NINFRE</v>
      </c>
      <c r="B46" s="158" t="str">
        <v>2</v>
      </c>
      <c r="C46" s="158" t="str">
        <v>2</v>
      </c>
      <c r="D46" s="158" t="str">
        <v>PENDIENTE_SIN_MATCH</v>
      </c>
      <c r="E46" s="158" t="n">
        <v>0</v>
      </c>
      <c r="F46" s="158" t="n">
        <v>42</v>
      </c>
      <c r="G46" s="158" t="n">
        <v>42</v>
      </c>
      <c r="H46" s="158" t="n">
        <v>0</v>
      </c>
      <c r="I46" s="158" t="n">
        <v>0</v>
      </c>
      <c r="J46" s="158" t="str">
        <v>[]</v>
      </c>
      <c r="K46" s="158" t="str">
        <v>I162S2C1J2V3</v>
      </c>
      <c r="L46" s="2" t="str"/>
      <c r="M46" s="158" t="str">
        <v>PENDIENTE_CON_EVIDENCIA_HISTORICA_RECUPERADA</v>
      </c>
    </row>
    <row r="47" ht="32" customHeight="1">
      <c r="A47" s="158" t="str">
        <v>NINFREOL</v>
      </c>
      <c r="B47" s="158" t="str">
        <v>2</v>
      </c>
      <c r="C47" s="158" t="str">
        <v>4</v>
      </c>
      <c r="D47" s="158" t="str">
        <v>PENDIENTE_MULTIPLE_O_BAJA_COBERTURA</v>
      </c>
      <c r="E47" s="158" t="n">
        <v>1</v>
      </c>
      <c r="F47" s="158" t="n">
        <v>16</v>
      </c>
      <c r="G47" s="158" t="n">
        <v>16</v>
      </c>
      <c r="H47" s="158" t="n">
        <v>0</v>
      </c>
      <c r="I47" s="158" t="n">
        <v>0</v>
      </c>
      <c r="J47" s="158" t="str">
        <v>[]</v>
      </c>
      <c r="K47" s="158" t="str">
        <v>I162S2C1J4V3</v>
      </c>
      <c r="L47" s="2" t="str"/>
      <c r="M47" s="158" t="str">
        <v>PENDIENTE</v>
      </c>
    </row>
    <row r="48" ht="32" customHeight="1">
      <c r="A48" s="158" t="str">
        <v>NITMRE</v>
      </c>
      <c r="B48" s="158" t="str">
        <v>2</v>
      </c>
      <c r="C48" s="158" t="str">
        <v>2</v>
      </c>
      <c r="D48" s="158" t="str">
        <v>PENDIENTE_SIN_MATCH</v>
      </c>
      <c r="E48" s="158" t="n">
        <v>0</v>
      </c>
      <c r="F48" s="158" t="n">
        <v>1</v>
      </c>
      <c r="G48" s="158" t="n">
        <v>1</v>
      </c>
      <c r="H48" s="158" t="n">
        <v>0</v>
      </c>
      <c r="I48" s="158" t="n">
        <v>0</v>
      </c>
      <c r="J48" s="158" t="str">
        <v>[["8", "1"]]</v>
      </c>
      <c r="K48" s="158" t="str">
        <v>I162S2C3J2V3</v>
      </c>
      <c r="L48" s="2" t="str"/>
      <c r="M48" s="158" t="str">
        <v>PENDIENTE_CON_EVIDENCIA_HISTORICA_RECUPERADA</v>
      </c>
    </row>
    <row r="49" ht="32" customHeight="1">
      <c r="A49" s="158" t="str">
        <v>NTCCRE</v>
      </c>
      <c r="B49" s="158" t="str">
        <v>2</v>
      </c>
      <c r="C49" s="158" t="str">
        <v>2</v>
      </c>
      <c r="D49" s="158" t="str">
        <v>PROPUESTA_INTERNA_PREDOMINANTE</v>
      </c>
      <c r="E49" s="158" t="n">
        <v>11</v>
      </c>
      <c r="F49" s="158" t="n">
        <v>21</v>
      </c>
      <c r="G49" s="158" t="n">
        <v>21</v>
      </c>
      <c r="H49" s="158" t="n">
        <v>0</v>
      </c>
      <c r="I49" s="158" t="n">
        <v>0</v>
      </c>
      <c r="J49" s="158" t="str">
        <v>[["8", "1"]]</v>
      </c>
      <c r="K49" s="158" t="str">
        <v>I162S2C46J2V3</v>
      </c>
      <c r="L49" s="158" t="str">
        <v>I162S2C46J2V2;I162S2C6J2V1</v>
      </c>
      <c r="M49" s="158" t="str">
        <v>PROPUESTA_PREVIA_NO_APROBADA</v>
      </c>
    </row>
    <row r="50" ht="32" customHeight="1">
      <c r="A50" s="158" t="str">
        <v>NTCCREOL</v>
      </c>
      <c r="B50" s="158" t="str">
        <v>2</v>
      </c>
      <c r="C50" s="158" t="str">
        <v>4</v>
      </c>
      <c r="D50" s="158" t="str">
        <v>PROPUESTA_INTERNA_PREDOMINANTE</v>
      </c>
      <c r="E50" s="158" t="n">
        <v>19</v>
      </c>
      <c r="F50" s="158" t="n">
        <v>19</v>
      </c>
      <c r="G50" s="158" t="n">
        <v>17</v>
      </c>
      <c r="H50" s="158" t="n">
        <v>0</v>
      </c>
      <c r="I50" s="158" t="n">
        <v>0</v>
      </c>
      <c r="J50" s="158" t="str">
        <v>[["8", "1"]]</v>
      </c>
      <c r="K50" s="2" t="str"/>
      <c r="L50" s="158" t="str">
        <v>I162S2C46J4V2</v>
      </c>
      <c r="M50" s="158" t="str">
        <v>PROPUESTA_PREVIA_NO_APROBADA</v>
      </c>
    </row>
    <row r="51" ht="32" customHeight="1">
      <c r="A51" s="158" t="str">
        <v>TAMD</v>
      </c>
      <c r="B51" s="158" t="str">
        <v>2</v>
      </c>
      <c r="C51" s="158" t="str">
        <v>2</v>
      </c>
      <c r="D51" s="158" t="str">
        <v>PROPUESTA_INTERNA_PREDOMINANTE</v>
      </c>
      <c r="E51" s="158" t="n">
        <v>44</v>
      </c>
      <c r="F51" s="158" t="n">
        <v>44</v>
      </c>
      <c r="G51" s="158" t="n">
        <v>38</v>
      </c>
      <c r="H51" s="158" t="n">
        <v>0</v>
      </c>
      <c r="I51" s="158" t="n">
        <v>0</v>
      </c>
      <c r="J51" s="158" t="str">
        <v>[["5", "1"]]</v>
      </c>
      <c r="K51" s="2" t="str"/>
      <c r="L51" s="2" t="str"/>
      <c r="M51" s="158" t="str">
        <v>PROPUESTA_PREVIA_NO_APROBADA</v>
      </c>
    </row>
    <row r="52" ht="32" customHeight="1">
      <c r="A52" s="158" t="str">
        <v>TAMD</v>
      </c>
      <c r="B52" s="158" t="str">
        <v>2</v>
      </c>
      <c r="C52" s="158" t="str">
        <v>4</v>
      </c>
      <c r="D52" s="158" t="str">
        <v>PROPUESTA_INTERNA_PREDOMINANTE</v>
      </c>
      <c r="E52" s="158" t="n">
        <v>125</v>
      </c>
      <c r="F52" s="158" t="n">
        <v>125</v>
      </c>
      <c r="G52" s="158" t="n">
        <v>124</v>
      </c>
      <c r="H52" s="158" t="n">
        <v>0</v>
      </c>
      <c r="I52" s="158" t="n">
        <v>0</v>
      </c>
      <c r="J52" s="158" t="str">
        <v>[["5", "1"]]</v>
      </c>
      <c r="K52" s="2" t="str"/>
      <c r="L52" s="158" t="str">
        <v>I162S2C57J4V1;I162S2C76J4V1;I162S2C78J2V1;I162S2C79J4V1</v>
      </c>
      <c r="M52" s="158" t="str">
        <v>PROPUESTA_PREVIA_NO_APROBADA</v>
      </c>
    </row>
    <row r="53" ht="32" customHeight="1">
      <c r="A53" s="158" t="str">
        <v>TCIB</v>
      </c>
      <c r="B53" s="158" t="str">
        <v>2</v>
      </c>
      <c r="C53" s="158" t="str">
        <v>4</v>
      </c>
      <c r="D53" s="158" t="str">
        <v>PROPUESTA_INTERNA_PREDOMINANTE</v>
      </c>
      <c r="E53" s="158" t="n">
        <v>221</v>
      </c>
      <c r="F53" s="158" t="n">
        <v>221</v>
      </c>
      <c r="G53" s="158" t="n">
        <v>217</v>
      </c>
      <c r="H53" s="158" t="n">
        <v>0</v>
      </c>
      <c r="I53" s="158" t="n">
        <v>0</v>
      </c>
      <c r="J53" s="158" t="str">
        <v>[["5", "1"]]</v>
      </c>
      <c r="K53" s="158" t="str">
        <v>I162S2C47J4V1</v>
      </c>
      <c r="L53" s="158" t="str">
        <v>I162S2C3J4V2;I162S2C47J1V1;I162S2C47J2V1;I162S2C57J4V1</v>
      </c>
      <c r="M53" s="158" t="str">
        <v>PROPUESTA_PREVIA_NO_APROBADA</v>
      </c>
    </row>
    <row r="54" ht="32" customHeight="1">
      <c r="A54" s="158" t="str">
        <v>TCRE</v>
      </c>
      <c r="B54" s="158" t="str">
        <v>2</v>
      </c>
      <c r="C54" s="158" t="str">
        <v>1</v>
      </c>
      <c r="D54" s="158" t="str">
        <v>PENDIENTE_MULTIPLE_O_BAJA_COBERTURA</v>
      </c>
      <c r="E54" s="158" t="n">
        <v>1</v>
      </c>
      <c r="F54" s="158" t="n">
        <v>1</v>
      </c>
      <c r="G54" s="158" t="n">
        <v>0</v>
      </c>
      <c r="H54" s="158" t="n">
        <v>0</v>
      </c>
      <c r="I54" s="158" t="n">
        <v>0</v>
      </c>
      <c r="J54" s="158" t="str">
        <v>[["5", "1"]]</v>
      </c>
      <c r="K54" s="2" t="str"/>
      <c r="L54" s="2" t="str"/>
      <c r="M54" s="158" t="str">
        <v>PENDIENTE</v>
      </c>
    </row>
    <row r="55" ht="32" customHeight="1">
      <c r="A55" s="158" t="str">
        <v>TCRE</v>
      </c>
      <c r="B55" s="158" t="str">
        <v>2</v>
      </c>
      <c r="C55" s="158" t="str">
        <v>2</v>
      </c>
      <c r="D55" s="158" t="str">
        <v>PENDIENTE_MULTIPLE_O_BAJA_COBERTURA</v>
      </c>
      <c r="E55" s="158" t="n">
        <v>11</v>
      </c>
      <c r="F55" s="158" t="n">
        <v>11</v>
      </c>
      <c r="G55" s="158" t="n">
        <v>10</v>
      </c>
      <c r="H55" s="158" t="n">
        <v>0</v>
      </c>
      <c r="I55" s="158" t="n">
        <v>1</v>
      </c>
      <c r="J55" s="158" t="str">
        <v>[["5", "1"]]</v>
      </c>
      <c r="K55" s="158" t="str">
        <v>I162S2C6J2V1</v>
      </c>
      <c r="L55" s="2" t="str"/>
      <c r="M55" s="158" t="str">
        <v>PENDIENTE</v>
      </c>
    </row>
    <row r="56" ht="32" customHeight="1">
      <c r="A56" s="158" t="str">
        <v>TCRE</v>
      </c>
      <c r="B56" s="158" t="str">
        <v>2</v>
      </c>
      <c r="C56" s="158" t="str">
        <v>4</v>
      </c>
      <c r="D56" s="158" t="str">
        <v>PROPUESTA_INTERNA_PREDOMINANTE</v>
      </c>
      <c r="E56" s="158" t="n">
        <v>94</v>
      </c>
      <c r="F56" s="158" t="n">
        <v>94</v>
      </c>
      <c r="G56" s="158" t="n">
        <v>94</v>
      </c>
      <c r="H56" s="158" t="n">
        <v>0</v>
      </c>
      <c r="I56" s="158" t="n">
        <v>0</v>
      </c>
      <c r="J56" s="158" t="str">
        <v>[["5", "1"]]</v>
      </c>
      <c r="K56" s="2" t="str"/>
      <c r="L56" s="158" t="str">
        <v>I162S2C6J2V2;I162S2C78J4V1</v>
      </c>
      <c r="M56" s="158" t="str">
        <v>PROPUESTA_PREVIA_NO_APROBADA</v>
      </c>
    </row>
    <row r="57" ht="32" customHeight="1">
      <c r="A57" s="158" t="str">
        <v>TCSREOL</v>
      </c>
      <c r="B57" s="158" t="str">
        <v>2</v>
      </c>
      <c r="C57" s="158" t="str">
        <v>4</v>
      </c>
      <c r="D57" s="158" t="str">
        <v>PROPUESTA_INTERNA_PREDOMINANTE</v>
      </c>
      <c r="E57" s="158" t="n">
        <v>151</v>
      </c>
      <c r="F57" s="158" t="n">
        <v>186</v>
      </c>
      <c r="G57" s="158" t="n">
        <v>179</v>
      </c>
      <c r="H57" s="158" t="n">
        <v>0</v>
      </c>
      <c r="I57" s="158" t="n">
        <v>0</v>
      </c>
      <c r="J57" s="158" t="str">
        <v>[["5", "1"]]</v>
      </c>
      <c r="K57" s="158" t="str">
        <v>I162S2C47J4V1</v>
      </c>
      <c r="L57" s="158" t="str">
        <v>I162S2C35J4V2;I162S2C46J4V3;I162S2C47J1V1</v>
      </c>
      <c r="M57" s="158" t="str">
        <v>PROPUESTA_PREVIA_NO_APROBADA</v>
      </c>
    </row>
    <row r="58" ht="32" customHeight="1">
      <c r="A58" s="158" t="str">
        <v>TLOG</v>
      </c>
      <c r="B58" s="158" t="str">
        <v>2</v>
      </c>
      <c r="C58" s="158" t="str">
        <v>4</v>
      </c>
      <c r="D58" s="158" t="str">
        <v>PROPUESTA_INTERNA_PREDOMINANTE</v>
      </c>
      <c r="E58" s="158" t="n">
        <v>127</v>
      </c>
      <c r="F58" s="158" t="n">
        <v>127</v>
      </c>
      <c r="G58" s="158" t="n">
        <v>126</v>
      </c>
      <c r="H58" s="158" t="n">
        <v>0</v>
      </c>
      <c r="I58" s="158" t="n">
        <v>0</v>
      </c>
      <c r="J58" s="158" t="str">
        <v>[["5", "1"]]</v>
      </c>
      <c r="K58" s="2" t="str"/>
      <c r="L58" s="158" t="str">
        <v>I162S2C118J4V1;I162S2C79J2V1</v>
      </c>
      <c r="M58" s="158" t="str">
        <v>PROPUESTA_PREVIA_NO_APROBADA</v>
      </c>
    </row>
    <row r="59" ht="32" customHeight="1">
      <c r="A59" s="158" t="str">
        <v>TPAREOL</v>
      </c>
      <c r="B59" s="158" t="str">
        <v>2</v>
      </c>
      <c r="C59" s="158" t="str">
        <v>4</v>
      </c>
      <c r="D59" s="158" t="str">
        <v>PROPUESTA_INTERNA_PREDOMINANTE</v>
      </c>
      <c r="E59" s="158" t="n">
        <v>340</v>
      </c>
      <c r="F59" s="158" t="n">
        <v>383</v>
      </c>
      <c r="G59" s="158" t="n">
        <v>363</v>
      </c>
      <c r="H59" s="158" t="n">
        <v>0</v>
      </c>
      <c r="I59" s="158" t="n">
        <v>0</v>
      </c>
      <c r="J59" s="158" t="str">
        <v>[["5", "1"]]</v>
      </c>
      <c r="K59" s="158" t="str">
        <v>I162S2C57J4V1</v>
      </c>
      <c r="L59" s="158" t="str">
        <v>I162S2C1J2V4;I162S2C1J4V2;I162S2C35J4V2;I162S2C3J4V1;I162S2C47J4V1</v>
      </c>
      <c r="M59" s="158" t="str">
        <v>PROPUESTA_PREVIA_NO_APROBADA</v>
      </c>
    </row>
    <row r="60" ht="32" customHeight="1">
      <c r="A60" s="158" t="str">
        <v>TPAS</v>
      </c>
      <c r="B60" s="158" t="str">
        <v>2</v>
      </c>
      <c r="C60" s="158" t="str">
        <v>4</v>
      </c>
      <c r="D60" s="158" t="str">
        <v>PROPUESTA_INTERNA_PREDOMINANTE</v>
      </c>
      <c r="E60" s="158" t="n">
        <v>455</v>
      </c>
      <c r="F60" s="158" t="n">
        <v>455</v>
      </c>
      <c r="G60" s="158" t="n">
        <v>444</v>
      </c>
      <c r="H60" s="158" t="n">
        <v>0</v>
      </c>
      <c r="I60" s="158" t="n">
        <v>0</v>
      </c>
      <c r="J60" s="158" t="str">
        <v>[["5", "1"]]</v>
      </c>
      <c r="K60" s="158" t="str">
        <v>I162S2C57J4V1</v>
      </c>
      <c r="L60" s="158" t="str">
        <v>I162S2C117J4V1;I162S2C1J4V2;I162S2C47J4V1;I162S2C57J1V1;I162S2C57J2V1;I162S2C89J4V1</v>
      </c>
      <c r="M60" s="158" t="str">
        <v>PROPUESTA_PREVIA_NO_APROBADA</v>
      </c>
    </row>
    <row r="61" ht="32" customHeight="1">
      <c r="A61" s="158" t="str">
        <v>TPCRE</v>
      </c>
      <c r="B61" s="158" t="str">
        <v>2</v>
      </c>
      <c r="C61" s="158" t="str">
        <v>1</v>
      </c>
      <c r="D61" s="158" t="str">
        <v>PENDIENTE_MULTIPLE_O_BAJA_COBERTURA</v>
      </c>
      <c r="E61" s="158" t="n">
        <v>1</v>
      </c>
      <c r="F61" s="158" t="n">
        <v>24</v>
      </c>
      <c r="G61" s="158" t="n">
        <v>24</v>
      </c>
      <c r="H61" s="158" t="n">
        <v>0</v>
      </c>
      <c r="I61" s="158" t="n">
        <v>1</v>
      </c>
      <c r="J61" s="158" t="str">
        <v>[["5", "1"]]</v>
      </c>
      <c r="K61" s="158" t="str">
        <v>I162S2C2J1V1;I162S2C2J1V2</v>
      </c>
      <c r="L61" s="158" t="str">
        <v>I162S2C1J2V1;I162S2C1J4V1</v>
      </c>
      <c r="M61" s="158" t="str">
        <v>PENDIENTE</v>
      </c>
    </row>
    <row r="62" ht="32" customHeight="1">
      <c r="A62" s="158" t="str">
        <v>TPCRE</v>
      </c>
      <c r="B62" s="158" t="str">
        <v>2</v>
      </c>
      <c r="C62" s="158" t="str">
        <v>2</v>
      </c>
      <c r="D62" s="158" t="str">
        <v>PENDIENTE_SIN_MATCH</v>
      </c>
      <c r="E62" s="158" t="n">
        <v>0</v>
      </c>
      <c r="F62" s="158" t="n">
        <v>41</v>
      </c>
      <c r="G62" s="158" t="n">
        <v>41</v>
      </c>
      <c r="H62" s="158" t="n">
        <v>0</v>
      </c>
      <c r="I62" s="158" t="n">
        <v>1</v>
      </c>
      <c r="J62" s="158" t="str">
        <v>[["5", "1"]]</v>
      </c>
      <c r="K62" s="158" t="str">
        <v>I162S2C2J2V1;I162S2C2J2V2</v>
      </c>
      <c r="L62" s="158" t="str">
        <v>I162S2C1J2V1</v>
      </c>
      <c r="M62" s="158" t="str">
        <v>PENDIENTE_CON_EVIDENCIA_HISTORICA_RECUPERADA</v>
      </c>
    </row>
    <row r="63" ht="32" customHeight="1">
      <c r="A63" s="158" t="str">
        <v>TPCRE</v>
      </c>
      <c r="B63" s="158" t="str">
        <v>2</v>
      </c>
      <c r="C63" s="158" t="str">
        <v>4</v>
      </c>
      <c r="D63" s="158" t="str">
        <v>PENDIENTE_SIN_MATCH</v>
      </c>
      <c r="E63" s="158" t="n">
        <v>0</v>
      </c>
      <c r="F63" s="158" t="n">
        <v>0</v>
      </c>
      <c r="G63" s="158" t="n">
        <v>0</v>
      </c>
      <c r="H63" s="158" t="n">
        <v>0</v>
      </c>
      <c r="I63" s="158" t="n">
        <v>0</v>
      </c>
      <c r="J63" s="158" t="str">
        <v>[["5", "1"]]</v>
      </c>
      <c r="K63" s="2" t="str"/>
      <c r="L63" s="2" t="str"/>
      <c r="M63" s="158" t="str">
        <v>PENDIENTE</v>
      </c>
    </row>
    <row r="64" ht="32" customHeight="1">
      <c r="A64" s="158" t="str">
        <v>TPCREOL</v>
      </c>
      <c r="B64" s="158" t="str">
        <v>2</v>
      </c>
      <c r="C64" s="158" t="str">
        <v>4</v>
      </c>
      <c r="D64" s="158" t="str">
        <v>PENDIENTE_MULTIPLE_O_BAJA_COBERTURA</v>
      </c>
      <c r="E64" s="158" t="n">
        <v>1</v>
      </c>
      <c r="F64" s="158" t="n">
        <v>25</v>
      </c>
      <c r="G64" s="158" t="n">
        <v>24</v>
      </c>
      <c r="H64" s="158" t="n">
        <v>0</v>
      </c>
      <c r="I64" s="158" t="n">
        <v>1</v>
      </c>
      <c r="J64" s="158" t="str">
        <v>[["5", "1"]]</v>
      </c>
      <c r="K64" s="158" t="str">
        <v>I162S2C2J4V1;I162S2C2J4V2</v>
      </c>
      <c r="L64" s="158" t="str">
        <v>I162S2C1J4V1;I162S2C1J4V2;I162S2C35J4V2</v>
      </c>
      <c r="M64" s="158" t="str">
        <v>PENDIENTE</v>
      </c>
    </row>
    <row r="65" ht="32" customHeight="1">
      <c r="A65" s="158" t="str">
        <v>TTMRE</v>
      </c>
      <c r="B65" s="158" t="str">
        <v>2</v>
      </c>
      <c r="C65" s="158" t="str">
        <v>1</v>
      </c>
      <c r="D65" s="158" t="str">
        <v>PENDIENTE_MULTIPLE_O_BAJA_COBERTURA</v>
      </c>
      <c r="E65" s="158" t="n">
        <v>6</v>
      </c>
      <c r="F65" s="158" t="n">
        <v>28</v>
      </c>
      <c r="G65" s="158" t="n">
        <v>23</v>
      </c>
      <c r="H65" s="158" t="n">
        <v>0</v>
      </c>
      <c r="I65" s="158" t="n">
        <v>2</v>
      </c>
      <c r="J65" s="158" t="str">
        <v>[["5", "1"]]</v>
      </c>
      <c r="K65" s="158" t="str">
        <v>I162S2C6J1V1;I162S2C6J1V2</v>
      </c>
      <c r="L65" s="2" t="str"/>
      <c r="M65" s="158" t="str">
        <v>PENDIENTE</v>
      </c>
    </row>
    <row r="66" ht="32" customHeight="1">
      <c r="A66" s="158" t="str">
        <v>TTMRE</v>
      </c>
      <c r="B66" s="158" t="str">
        <v>2</v>
      </c>
      <c r="C66" s="158" t="str">
        <v>2</v>
      </c>
      <c r="D66" s="158" t="str">
        <v>PENDIENTE_MULTIPLE_O_BAJA_COBERTURA</v>
      </c>
      <c r="E66" s="158" t="n">
        <v>25</v>
      </c>
      <c r="F66" s="158" t="n">
        <v>80</v>
      </c>
      <c r="G66" s="158" t="n">
        <v>80</v>
      </c>
      <c r="H66" s="158" t="n">
        <v>0</v>
      </c>
      <c r="I66" s="158" t="n">
        <v>1</v>
      </c>
      <c r="J66" s="158" t="str">
        <v>[["5", "1"]]</v>
      </c>
      <c r="K66" s="158" t="str">
        <v>I162S2C6J2V1;I162S2C6J2V2</v>
      </c>
      <c r="L66" s="158" t="str">
        <v>I162S2C3J2V1;I162S2C3J2V4;I162S2C3J4V2;I162S2C6J1V1;I162S2C6J1V2</v>
      </c>
      <c r="M66" s="158" t="str">
        <v>PENDIENTE</v>
      </c>
    </row>
    <row r="67" ht="32" customHeight="1">
      <c r="A67" s="158" t="str">
        <v>TTMREOL</v>
      </c>
      <c r="B67" s="158" t="str">
        <v>2</v>
      </c>
      <c r="C67" s="158" t="str">
        <v>4</v>
      </c>
      <c r="D67" s="158" t="str">
        <v>PROPUESTA_INTERNA_PREDOMINANTE</v>
      </c>
      <c r="E67" s="158" t="n">
        <v>107</v>
      </c>
      <c r="F67" s="158" t="n">
        <v>139</v>
      </c>
      <c r="G67" s="158" t="n">
        <v>135</v>
      </c>
      <c r="H67" s="158" t="n">
        <v>0</v>
      </c>
      <c r="I67" s="158" t="n">
        <v>0</v>
      </c>
      <c r="J67" s="158" t="str">
        <v>[["5", "1"]]</v>
      </c>
      <c r="K67" s="158" t="str">
        <v>I162S2C6J4V2</v>
      </c>
      <c r="L67" s="158" t="str">
        <v>I162S2C3J4V1;I162S2C3J4V2;I162S2C3J4V3;I162S2C6J1V2;I162S2C6J4V1</v>
      </c>
      <c r="M67" s="158" t="str">
        <v>PROPUESTA_PREVIA_NO_APROBADA</v>
      </c>
    </row>
  </sheetData>
  <pageMargins left="0.7" right="0.7" top="0.75" bottom="0.75" header="0.3" footer="0.3"/>
</worksheet>
</file>

<file path=xl/worksheets/sheet32.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22" hidden="0" customWidth="1"/>
    <col min="6" max="6" width="22" hidden="0" customWidth="1"/>
    <col min="7" max="7" width="22" hidden="0" customWidth="1"/>
    <col min="8" max="8" width="22" hidden="0" customWidth="1"/>
    <col min="9" max="9" width="22" hidden="0" customWidth="1"/>
    <col min="10" max="10" width="22" hidden="0" customWidth="1"/>
    <col min="11" max="11" width="22" hidden="0" customWidth="1"/>
  </cols>
  <sheetData>
    <row r="1" ht="32" customHeight="1">
      <c r="A1" s="149" t="str">
        <v>Retención histórica · antes y ahora</v>
      </c>
      <c r="B1" s="5"/>
      <c r="C1" s="5"/>
      <c r="D1" s="5"/>
      <c r="E1" s="5"/>
      <c r="F1" s="5"/>
      <c r="G1" s="5"/>
      <c r="H1" s="5"/>
      <c r="I1" s="5"/>
      <c r="J1" s="5"/>
      <c r="K1" s="5"/>
    </row>
    <row r="2" ht="32" customHeight="1">
      <c r="A2" s="146" t="str">
        <v>B/C · copia del libro seleccionado. Comparación independiente; no cambia tasas históricas.</v>
      </c>
      <c r="B2" s="2"/>
      <c r="C2" s="2"/>
      <c r="D2" s="2"/>
      <c r="E2" s="2"/>
      <c r="F2" s="2"/>
      <c r="G2" s="2"/>
      <c r="H2" s="2"/>
      <c r="I2" s="2"/>
      <c r="J2" s="2"/>
      <c r="K2" s="2"/>
    </row>
    <row r="3" ht="32" customHeight="1">
      <c r="A3" s="146" t="str">
        <v>Se conserva tasa fuente incluso si difiere de numerador/denominador; discrepancia explícita.</v>
      </c>
      <c r="B3" s="2"/>
      <c r="C3" s="2"/>
      <c r="D3" s="2"/>
      <c r="E3" s="2"/>
      <c r="F3" s="2"/>
      <c r="G3" s="2"/>
      <c r="H3" s="2"/>
      <c r="I3" s="2"/>
      <c r="J3" s="2"/>
      <c r="K3" s="2"/>
    </row>
    <row r="4" ht="32" customHeight="1">
      <c r="A4" s="151" t="str">
        <v>Fuente / grupo</v>
      </c>
      <c r="B4" s="151" t="str">
        <v>Año</v>
      </c>
      <c r="C4" s="151" t="str">
        <v>Numerador antes</v>
      </c>
      <c r="D4" s="151" t="str">
        <v>Denominador antes</v>
      </c>
      <c r="E4" s="151" t="str">
        <v>Tasa fuente antes</v>
      </c>
      <c r="F4" s="151" t="str">
        <v>Numerador ahora</v>
      </c>
      <c r="G4" s="151" t="str">
        <v>Denominador ahora</v>
      </c>
      <c r="H4" s="151" t="str">
        <v>Tasa fuente ahora</v>
      </c>
      <c r="I4" s="151" t="str">
        <v>Brecha fuente pp</v>
      </c>
      <c r="J4" s="151" t="str">
        <v>Tasa n/d</v>
      </c>
      <c r="K4" s="151" t="str">
        <v>Desfase fuente vs n/d pp</v>
      </c>
    </row>
    <row r="5" ht="32" customHeight="1">
      <c r="A5" s="146" t="str">
        <v>IPSS · Tecnologías</v>
      </c>
      <c r="B5" s="146" t="n">
        <v>2022</v>
      </c>
      <c r="C5" s="146" t="n">
        <v>224</v>
      </c>
      <c r="D5" s="146" t="n">
        <v>305</v>
      </c>
      <c r="E5" s="153" t="n">
        <v>0.734426229508197</v>
      </c>
      <c r="F5" s="146" t="n">
        <v>224</v>
      </c>
      <c r="G5" s="146" t="n">
        <v>305</v>
      </c>
      <c r="H5" s="153" t="n">
        <v>0.734426229508197</v>
      </c>
      <c r="I5" s="146" t="n">
        <f>IF(AND(ISNUMBER(E5),ISNUMBER(H5)),(H5-E5)*100,0)</f>
        <v>0</v>
      </c>
      <c r="J5" s="153" t="n">
        <f>IF(D5&gt;0,C5/D5,0)</f>
        <v>0.7344262295081967</v>
      </c>
      <c r="K5" s="155" t="n">
        <f>IF(AND(D5&gt;0,ISNUMBER(E5)),(E5-J5)*100,0)</f>
        <v>3.3306690738754696e-14</v>
      </c>
    </row>
    <row r="6" ht="32" customHeight="1">
      <c r="A6" s="146" t="str">
        <v>IPSS · Tecnologías</v>
      </c>
      <c r="B6" s="146" t="n">
        <v>2023</v>
      </c>
      <c r="C6" s="146" t="n">
        <v>258</v>
      </c>
      <c r="D6" s="146" t="n">
        <v>366</v>
      </c>
      <c r="E6" s="153" t="n">
        <v>0.704918032786885</v>
      </c>
      <c r="F6" s="146" t="n">
        <v>258</v>
      </c>
      <c r="G6" s="146" t="n">
        <v>366</v>
      </c>
      <c r="H6" s="153" t="n">
        <v>0.704918032786885</v>
      </c>
      <c r="I6" s="146" t="n">
        <f>IF(AND(ISNUMBER(E6),ISNUMBER(H6)),(H6-E6)*100,0)</f>
        <v>0</v>
      </c>
      <c r="J6" s="153" t="n">
        <f>IF(D6&gt;0,C6/D6,0)</f>
        <v>0.7049180327868853</v>
      </c>
      <c r="K6" s="155" t="n">
        <f>IF(AND(D6&gt;0,ISNUMBER(E6)),(E6-J6)*100,0)</f>
        <v>-2.220446049250313e-14</v>
      </c>
    </row>
    <row r="7" ht="32" customHeight="1">
      <c r="A7" s="146" t="str">
        <v>IPSS · Tecnologías</v>
      </c>
      <c r="B7" s="146" t="n">
        <v>2024</v>
      </c>
      <c r="C7" s="146" t="n">
        <v>299</v>
      </c>
      <c r="D7" s="146" t="n">
        <v>497</v>
      </c>
      <c r="E7" s="153" t="n">
        <v>0.601609657947686</v>
      </c>
      <c r="F7" s="146" t="n">
        <v>299</v>
      </c>
      <c r="G7" s="146" t="n">
        <v>497</v>
      </c>
      <c r="H7" s="153" t="n">
        <v>0.601609657947686</v>
      </c>
      <c r="I7" s="146" t="n">
        <f>IF(AND(ISNUMBER(E7),ISNUMBER(H7)),(H7-E7)*100,0)</f>
        <v>0</v>
      </c>
      <c r="J7" s="153" t="n">
        <f>IF(D7&gt;0,C7/D7,0)</f>
        <v>0.6016096579476862</v>
      </c>
      <c r="K7" s="155" t="n">
        <f>IF(AND(D7&gt;0,ISNUMBER(E7)),(E7-J7)*100,0)</f>
        <v>-2.220446049250313e-14</v>
      </c>
    </row>
    <row r="8" ht="32" customHeight="1">
      <c r="A8" s="146" t="str">
        <v>IPSS · Tecnologías</v>
      </c>
      <c r="B8" s="146" t="n">
        <v>2025</v>
      </c>
      <c r="C8" s="146" t="n">
        <v>381</v>
      </c>
      <c r="D8" s="146" t="n">
        <v>598</v>
      </c>
      <c r="E8" s="153" t="n">
        <v>0.637123745819398</v>
      </c>
      <c r="F8" s="146" t="n">
        <v>381</v>
      </c>
      <c r="G8" s="146" t="n">
        <v>598</v>
      </c>
      <c r="H8" s="153" t="n">
        <v>0.637123745819398</v>
      </c>
      <c r="I8" s="146" t="n">
        <f>IF(AND(ISNUMBER(E8),ISNUMBER(H8)),(H8-E8)*100,0)</f>
        <v>0</v>
      </c>
      <c r="J8" s="153" t="n">
        <f>IF(D8&gt;0,C8/D8,0)</f>
        <v>0.637123745819398</v>
      </c>
      <c r="K8" s="155" t="n">
        <f>IF(AND(D8&gt;0,ISNUMBER(E8)),(E8-J8)*100,0)</f>
        <v>0</v>
      </c>
    </row>
    <row r="9" ht="32" customHeight="1">
      <c r="A9" s="146" t="str">
        <v>IPSS · Administración y Comercio</v>
      </c>
      <c r="B9" s="146" t="n">
        <v>2022</v>
      </c>
      <c r="C9" s="146" t="n">
        <v>0</v>
      </c>
      <c r="D9" s="146" t="n">
        <v>0</v>
      </c>
      <c r="E9" s="9"/>
      <c r="F9" s="146" t="n">
        <v>0</v>
      </c>
      <c r="G9" s="146" t="n">
        <v>0</v>
      </c>
      <c r="H9" s="9"/>
      <c r="I9" s="146" t="n">
        <f>IF(AND(ISNUMBER(E9),ISNUMBER(H9)),(H9-E9)*100,0)</f>
        <v>0</v>
      </c>
      <c r="J9" s="153" t="n">
        <f>IF(D9&gt;0,C9/D9,0)</f>
        <v>0</v>
      </c>
      <c r="K9" s="155" t="n">
        <f>IF(AND(D9&gt;0,ISNUMBER(E9)),(E9-J9)*100,0)</f>
        <v>0</v>
      </c>
    </row>
    <row r="10" ht="32" customHeight="1">
      <c r="A10" s="146" t="str">
        <v>IPSS · Administración y Comercio</v>
      </c>
      <c r="B10" s="146" t="n">
        <v>2023</v>
      </c>
      <c r="C10" s="146" t="n">
        <v>0</v>
      </c>
      <c r="D10" s="146" t="n">
        <v>0</v>
      </c>
      <c r="E10" s="9"/>
      <c r="F10" s="146" t="n">
        <v>0</v>
      </c>
      <c r="G10" s="146" t="n">
        <v>0</v>
      </c>
      <c r="H10" s="9"/>
      <c r="I10" s="146" t="n">
        <f>IF(AND(ISNUMBER(E10),ISNUMBER(H10)),(H10-E10)*100,0)</f>
        <v>0</v>
      </c>
      <c r="J10" s="153" t="n">
        <f>IF(D10&gt;0,C10/D10,0)</f>
        <v>0</v>
      </c>
      <c r="K10" s="155" t="n">
        <f>IF(AND(D10&gt;0,ISNUMBER(E10)),(E10-J10)*100,0)</f>
        <v>0</v>
      </c>
    </row>
    <row r="11" ht="32" customHeight="1">
      <c r="A11" s="146" t="str">
        <v>IPSS · Administración y Comercio</v>
      </c>
      <c r="B11" s="146" t="n">
        <v>2024</v>
      </c>
      <c r="C11" s="146" t="n">
        <v>27</v>
      </c>
      <c r="D11" s="146" t="n">
        <v>61</v>
      </c>
      <c r="E11" s="153" t="n">
        <v>0.442622950819672</v>
      </c>
      <c r="F11" s="146" t="n">
        <v>27</v>
      </c>
      <c r="G11" s="146" t="n">
        <v>61</v>
      </c>
      <c r="H11" s="153" t="n">
        <v>0.442622950819672</v>
      </c>
      <c r="I11" s="146" t="n">
        <f>IF(AND(ISNUMBER(E11),ISNUMBER(H11)),(H11-E11)*100,0)</f>
        <v>0</v>
      </c>
      <c r="J11" s="153" t="n">
        <f>IF(D11&gt;0,C11/D11,0)</f>
        <v>0.4426229508196721</v>
      </c>
      <c r="K11" s="155" t="n">
        <f>IF(AND(D11&gt;0,ISNUMBER(E11)),(E11-J11)*100,0)</f>
        <v>-1.1102230246251565e-14</v>
      </c>
    </row>
    <row r="12" ht="32" customHeight="1">
      <c r="A12" s="146" t="str">
        <v>IPSS · Administración y Comercio</v>
      </c>
      <c r="B12" s="146" t="n">
        <v>2025</v>
      </c>
      <c r="C12" s="146" t="n">
        <v>252</v>
      </c>
      <c r="D12" s="146" t="n">
        <v>477</v>
      </c>
      <c r="E12" s="153" t="n">
        <v>0.528301886792453</v>
      </c>
      <c r="F12" s="146" t="n">
        <v>252</v>
      </c>
      <c r="G12" s="146" t="n">
        <v>477</v>
      </c>
      <c r="H12" s="153" t="n">
        <v>0.528301886792453</v>
      </c>
      <c r="I12" s="146" t="n">
        <f>IF(AND(ISNUMBER(E12),ISNUMBER(H12)),(H12-E12)*100,0)</f>
        <v>0</v>
      </c>
      <c r="J12" s="153" t="n">
        <f>IF(D12&gt;0,C12/D12,0)</f>
        <v>0.5283018867924528</v>
      </c>
      <c r="K12" s="155" t="n">
        <f>IF(AND(D12&gt;0,ISNUMBER(E12)),(E12-J12)*100,0)</f>
        <v>2.220446049250313e-14</v>
      </c>
    </row>
    <row r="13" ht="32" customHeight="1">
      <c r="A13" s="146" t="str">
        <v>IPSS · Salud</v>
      </c>
      <c r="B13" s="146" t="n">
        <v>2022</v>
      </c>
      <c r="C13" s="146" t="n">
        <v>0</v>
      </c>
      <c r="D13" s="146" t="n">
        <v>0</v>
      </c>
      <c r="E13" s="9"/>
      <c r="F13" s="146" t="n">
        <v>0</v>
      </c>
      <c r="G13" s="146" t="n">
        <v>0</v>
      </c>
      <c r="H13" s="9"/>
      <c r="I13" s="146" t="n">
        <f>IF(AND(ISNUMBER(E13),ISNUMBER(H13)),(H13-E13)*100,0)</f>
        <v>0</v>
      </c>
      <c r="J13" s="153" t="n">
        <f>IF(D13&gt;0,C13/D13,0)</f>
        <v>0</v>
      </c>
      <c r="K13" s="155" t="n">
        <f>IF(AND(D13&gt;0,ISNUMBER(E13)),(E13-J13)*100,0)</f>
        <v>0</v>
      </c>
    </row>
    <row r="14" ht="32" customHeight="1">
      <c r="A14" s="146" t="str">
        <v>IPSS · Salud</v>
      </c>
      <c r="B14" s="146" t="n">
        <v>2023</v>
      </c>
      <c r="C14" s="146" t="n">
        <v>0</v>
      </c>
      <c r="D14" s="146" t="n">
        <v>0</v>
      </c>
      <c r="E14" s="9"/>
      <c r="F14" s="146" t="n">
        <v>0</v>
      </c>
      <c r="G14" s="146" t="n">
        <v>0</v>
      </c>
      <c r="H14" s="9"/>
      <c r="I14" s="146" t="n">
        <f>IF(AND(ISNUMBER(E14),ISNUMBER(H14)),(H14-E14)*100,0)</f>
        <v>0</v>
      </c>
      <c r="J14" s="153" t="n">
        <f>IF(D14&gt;0,C14/D14,0)</f>
        <v>0</v>
      </c>
      <c r="K14" s="155" t="n">
        <f>IF(AND(D14&gt;0,ISNUMBER(E14)),(E14-J14)*100,0)</f>
        <v>0</v>
      </c>
    </row>
    <row r="15" ht="32" customHeight="1">
      <c r="A15" s="146" t="str">
        <v>IPSS · Salud</v>
      </c>
      <c r="B15" s="146" t="n">
        <v>2024</v>
      </c>
      <c r="C15" s="146" t="n">
        <v>0</v>
      </c>
      <c r="D15" s="146" t="n">
        <v>0</v>
      </c>
      <c r="E15" s="9"/>
      <c r="F15" s="146" t="n">
        <v>0</v>
      </c>
      <c r="G15" s="146" t="n">
        <v>0</v>
      </c>
      <c r="H15" s="9"/>
      <c r="I15" s="146" t="n">
        <f>IF(AND(ISNUMBER(E15),ISNUMBER(H15)),(H15-E15)*100,0)</f>
        <v>0</v>
      </c>
      <c r="J15" s="153" t="n">
        <f>IF(D15&gt;0,C15/D15,0)</f>
        <v>0</v>
      </c>
      <c r="K15" s="155" t="n">
        <f>IF(AND(D15&gt;0,ISNUMBER(E15)),(E15-J15)*100,0)</f>
        <v>0</v>
      </c>
    </row>
    <row r="16" ht="32" customHeight="1">
      <c r="A16" s="146" t="str">
        <v>IPSS · Salud</v>
      </c>
      <c r="B16" s="146" t="n">
        <v>2025</v>
      </c>
      <c r="C16" s="146" t="n">
        <v>35</v>
      </c>
      <c r="D16" s="146" t="n">
        <v>75</v>
      </c>
      <c r="E16" s="153" t="n">
        <v>0.466666666666667</v>
      </c>
      <c r="F16" s="146" t="n">
        <v>35</v>
      </c>
      <c r="G16" s="146" t="n">
        <v>75</v>
      </c>
      <c r="H16" s="153" t="n">
        <v>0.466666666666667</v>
      </c>
      <c r="I16" s="146" t="n">
        <f>IF(AND(ISNUMBER(E16),ISNUMBER(H16)),(H16-E16)*100,0)</f>
        <v>0</v>
      </c>
      <c r="J16" s="153" t="n">
        <f>IF(D16&gt;0,C16/D16,0)</f>
        <v>0.4666666666666667</v>
      </c>
      <c r="K16" s="155" t="n">
        <f>IF(AND(D16&gt;0,ISNUMBER(E16)),(E16-J16)*100,0)</f>
        <v>3.3306690738754696e-14</v>
      </c>
    </row>
    <row r="17" ht="32" customHeight="1">
      <c r="A17" s="146" t="str">
        <v>SIES oficial · Tecnologías</v>
      </c>
      <c r="B17" s="146" t="n">
        <v>2025</v>
      </c>
      <c r="C17" s="146" t="n">
        <v>386</v>
      </c>
      <c r="D17" s="146" t="n">
        <v>607</v>
      </c>
      <c r="E17" s="153" t="n">
        <v>0.635914332784185</v>
      </c>
      <c r="F17" s="146" t="n">
        <v>386</v>
      </c>
      <c r="G17" s="146" t="n">
        <v>607</v>
      </c>
      <c r="H17" s="153" t="n">
        <v>0.635914332784185</v>
      </c>
      <c r="I17" s="146" t="n">
        <f>IF(AND(ISNUMBER(E17),ISNUMBER(H17)),(H17-E17)*100,0)</f>
        <v>0</v>
      </c>
      <c r="J17" s="153" t="n">
        <f>IF(D17&gt;0,C17/D17,0)</f>
        <v>0.6359143327841845</v>
      </c>
      <c r="K17" s="155" t="n">
        <f>IF(AND(D17&gt;0,ISNUMBER(E17)),(E17-J17)*100,0)</f>
        <v>4.440892098500626e-14</v>
      </c>
    </row>
    <row r="18" ht="32" customHeight="1">
      <c r="A18" s="146" t="str">
        <v>SIES oficial · Administración y Comercio</v>
      </c>
      <c r="B18" s="146" t="n">
        <v>2025</v>
      </c>
      <c r="C18" s="146" t="n">
        <v>256</v>
      </c>
      <c r="D18" s="146" t="n">
        <v>481</v>
      </c>
      <c r="E18" s="153" t="n">
        <v>0.532224532224532</v>
      </c>
      <c r="F18" s="146" t="n">
        <v>256</v>
      </c>
      <c r="G18" s="146" t="n">
        <v>481</v>
      </c>
      <c r="H18" s="153" t="n">
        <v>0.532224532224532</v>
      </c>
      <c r="I18" s="146" t="n">
        <f>IF(AND(ISNUMBER(E18),ISNUMBER(H18)),(H18-E18)*100,0)</f>
        <v>0</v>
      </c>
      <c r="J18" s="153" t="n">
        <f>IF(D18&gt;0,C18/D18,0)</f>
        <v>0.5322245322245323</v>
      </c>
      <c r="K18" s="155" t="n">
        <f>IF(AND(D18&gt;0,ISNUMBER(E18)),(E18-J18)*100,0)</f>
        <v>-2.220446049250313e-14</v>
      </c>
    </row>
    <row r="19" ht="32" customHeight="1">
      <c r="A19" s="146" t="str">
        <v>SIES oficial · Salud</v>
      </c>
      <c r="B19" s="146" t="n">
        <v>2025</v>
      </c>
      <c r="C19" s="146" t="n">
        <v>35</v>
      </c>
      <c r="D19" s="146" t="n">
        <v>75</v>
      </c>
      <c r="E19" s="153" t="n">
        <v>0.466666666666667</v>
      </c>
      <c r="F19" s="146" t="n">
        <v>35</v>
      </c>
      <c r="G19" s="146" t="n">
        <v>75</v>
      </c>
      <c r="H19" s="153" t="n">
        <v>0.466666666666667</v>
      </c>
      <c r="I19" s="146" t="n">
        <f>IF(AND(ISNUMBER(E19),ISNUMBER(H19)),(H19-E19)*100,0)</f>
        <v>0</v>
      </c>
      <c r="J19" s="153" t="n">
        <f>IF(D19&gt;0,C19/D19,0)</f>
        <v>0.4666666666666667</v>
      </c>
      <c r="K19" s="155" t="n">
        <f>IF(AND(D19&gt;0,ISNUMBER(E19)),(E19-J19)*100,0)</f>
        <v>3.3306690738754696e-14</v>
      </c>
    </row>
    <row r="20" ht="32" customHeight="1">
      <c r="A20" s="146" t="str">
        <v>IPSS Foto T3 · 1 · Matrícula Unificada (periodo 1) · proxy avance académico</v>
      </c>
      <c r="B20" s="146" t="n">
        <v>2024</v>
      </c>
      <c r="C20" s="146" t="n">
        <v>175</v>
      </c>
      <c r="D20" s="146" t="n">
        <v>558</v>
      </c>
      <c r="E20" s="153" t="n">
        <v>0.313620071684588</v>
      </c>
      <c r="F20" s="146" t="n">
        <v>175</v>
      </c>
      <c r="G20" s="146" t="n">
        <v>558</v>
      </c>
      <c r="H20" s="153" t="n">
        <v>0.313620071684588</v>
      </c>
      <c r="I20" s="146" t="n">
        <f>IF(AND(ISNUMBER(E20),ISNUMBER(H20)),(H20-E20)*100,0)</f>
        <v>0</v>
      </c>
      <c r="J20" s="153" t="n">
        <f>IF(D20&gt;0,C20/D20,0)</f>
        <v>0.31362007168458783</v>
      </c>
      <c r="K20" s="155" t="n">
        <f>IF(AND(D20&gt;0,ISNUMBER(E20)),(E20-J20)*100,0)</f>
        <v>1.6653345369377348e-14</v>
      </c>
    </row>
    <row r="21" ht="32" customHeight="1">
      <c r="A21" s="146" t="str">
        <v>IPSS Foto T3 · 1 · Matrícula Unificada (periodo 1) · proxy avance académico</v>
      </c>
      <c r="B21" s="146" t="n">
        <v>2025</v>
      </c>
      <c r="C21" s="146" t="n">
        <v>1023</v>
      </c>
      <c r="D21" s="146" t="n">
        <v>1150</v>
      </c>
      <c r="E21" s="153" t="n">
        <v>0.889565217391304</v>
      </c>
      <c r="F21" s="146" t="n">
        <v>1023</v>
      </c>
      <c r="G21" s="146" t="n">
        <v>1150</v>
      </c>
      <c r="H21" s="153" t="n">
        <v>0.889565217391304</v>
      </c>
      <c r="I21" s="146" t="n">
        <f>IF(AND(ISNUMBER(E21),ISNUMBER(H21)),(H21-E21)*100,0)</f>
        <v>0</v>
      </c>
      <c r="J21" s="153" t="n">
        <f>IF(D21&gt;0,C21/D21,0)</f>
        <v>0.8895652173913043</v>
      </c>
      <c r="K21" s="155" t="n">
        <f>IF(AND(D21&gt;0,ISNUMBER(E21)),(E21-J21)*100,0)</f>
        <v>-3.3306690738754696e-14</v>
      </c>
    </row>
    <row r="22" ht="32" customHeight="1">
      <c r="A22" s="146" t="str">
        <v>IPSS Foto T3 · 2 · Ingreso T2 (foto del área)</v>
      </c>
      <c r="B22" s="146" t="n">
        <v>2025</v>
      </c>
      <c r="C22" s="146" t="n">
        <v>202</v>
      </c>
      <c r="D22" s="146" t="n">
        <v>222</v>
      </c>
      <c r="E22" s="153" t="n">
        <v>0.90990990990991</v>
      </c>
      <c r="F22" s="146" t="n">
        <v>202</v>
      </c>
      <c r="G22" s="146" t="n">
        <v>222</v>
      </c>
      <c r="H22" s="153" t="n">
        <v>0.90990990990991</v>
      </c>
      <c r="I22" s="146" t="n">
        <f>IF(AND(ISNUMBER(E22),ISNUMBER(H22)),(H22-E22)*100,0)</f>
        <v>0</v>
      </c>
      <c r="J22" s="153" t="n">
        <f>IF(D22&gt;0,C22/D22,0)</f>
        <v>0.9099099099099099</v>
      </c>
      <c r="K22" s="155" t="n">
        <f>IF(AND(D22&gt;0,ISNUMBER(E22)),(E22-J22)*100,0)</f>
        <v>1.1102230246251565e-14</v>
      </c>
    </row>
    <row r="23" ht="32" customHeight="1">
      <c r="A23" s="146" t="str">
        <v>IPSS Foto T3 · Total (persona una vez)</v>
      </c>
      <c r="B23" s="146" t="n">
        <v>2025</v>
      </c>
      <c r="C23" s="146" t="n">
        <v>1222</v>
      </c>
      <c r="D23" s="146" t="n">
        <v>1368</v>
      </c>
      <c r="E23" s="153" t="n">
        <v>0.89327485380117</v>
      </c>
      <c r="F23" s="146" t="n">
        <v>1222</v>
      </c>
      <c r="G23" s="146" t="n">
        <v>1368</v>
      </c>
      <c r="H23" s="153" t="n">
        <v>0.89327485380117</v>
      </c>
      <c r="I23" s="146" t="n">
        <f>IF(AND(ISNUMBER(E23),ISNUMBER(H23)),(H23-E23)*100,0)</f>
        <v>0</v>
      </c>
      <c r="J23" s="153" t="n">
        <f>IF(D23&gt;0,C23/D23,0)</f>
        <v>0.8932748538011696</v>
      </c>
      <c r="K23" s="155" t="n">
        <f>IF(AND(D23&gt;0,ISNUMBER(E23)),(E23-J23)*100,0)</f>
        <v>4.440892098500626e-14</v>
      </c>
    </row>
    <row r="24" ht="32" customHeight="1">
      <c r="A24" s="146" t="str">
        <v>IPSS Foto T3 · 1 · Matrícula Unificada (periodo 1) · proxy avance académico</v>
      </c>
      <c r="B24" s="146" t="n">
        <v>2026</v>
      </c>
      <c r="C24" s="146" t="n">
        <v>1360</v>
      </c>
      <c r="D24" s="146" t="n">
        <v>1471</v>
      </c>
      <c r="E24" s="153" t="n">
        <v>0.92706203135651</v>
      </c>
      <c r="F24" s="146" t="n">
        <v>1360</v>
      </c>
      <c r="G24" s="146" t="n">
        <v>1471</v>
      </c>
      <c r="H24" s="153" t="n">
        <v>0.92706203135651</v>
      </c>
      <c r="I24" s="146" t="n">
        <f>IF(AND(ISNUMBER(E24),ISNUMBER(H24)),(H24-E24)*100,0)</f>
        <v>0</v>
      </c>
      <c r="J24" s="153" t="n">
        <f>IF(D24&gt;0,C24/D24,0)</f>
        <v>0.9245411284840245</v>
      </c>
      <c r="K24" s="155" t="n">
        <f>IF(AND(D24&gt;0,ISNUMBER(E24)),(E24-J24)*100,0)</f>
        <v>0.252090287248552</v>
      </c>
    </row>
    <row r="25" ht="32" customHeight="1">
      <c r="A25" s="146" t="str">
        <v>IPSS Foto T3 · 2 · Ingreso T2 (foto del área)</v>
      </c>
      <c r="B25" s="146" t="n">
        <v>2026</v>
      </c>
      <c r="C25" s="146" t="n">
        <v>467</v>
      </c>
      <c r="D25" s="146" t="n">
        <v>527</v>
      </c>
      <c r="E25" s="153" t="n">
        <v>0.886148007590133</v>
      </c>
      <c r="F25" s="146" t="n">
        <v>467</v>
      </c>
      <c r="G25" s="146" t="n">
        <v>527</v>
      </c>
      <c r="H25" s="153" t="n">
        <v>0.886148007590133</v>
      </c>
      <c r="I25" s="146" t="n">
        <f>IF(AND(ISNUMBER(E25),ISNUMBER(H25)),(H25-E25)*100,0)</f>
        <v>0</v>
      </c>
      <c r="J25" s="153" t="n">
        <f>IF(D25&gt;0,C25/D25,0)</f>
        <v>0.8861480075901328</v>
      </c>
      <c r="K25" s="155" t="n">
        <f>IF(AND(D25&gt;0,ISNUMBER(E25)),(E25-J25)*100,0)</f>
        <v>2.220446049250313e-14</v>
      </c>
    </row>
  </sheetData>
  <pageMargins left="0.7" right="0.7" top="0.75" bottom="0.75" header="0.3" footer="0.3"/>
</worksheet>
</file>

<file path=xl/worksheets/sheet33.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110" hidden="0" customWidth="1"/>
  </cols>
  <sheetData>
    <row r="1" ht="60" customHeight="1">
      <c r="A1" s="161" t="str">
        <v>Fuentes y alcance · versión provisional v2</v>
      </c>
      <c r="B1" s="5"/>
    </row>
    <row r="2" ht="60" customHeight="1">
      <c r="A2" s="158" t="str">
        <v>Estado</v>
      </c>
      <c r="B2" s="158" t="str">
        <v>PENDIENTE_APROBACION_GOBERNANZA</v>
      </c>
    </row>
    <row r="3" ht="60" customHeight="1">
      <c r="A3" s="158" t="str">
        <v>Base preservada</v>
      </c>
      <c r="B3" s="158" t="str">
        <v>/Users/alexi/Documents/GitHub/avance_curricular/outputs/retencion_puente_provisional_20261022/RETENCION_IPSS_PROVISIONAL_PUENTE_20261022.xlsx</v>
      </c>
    </row>
    <row r="4" ht="60" customHeight="1">
      <c r="A4" s="163" t="str">
        <v>SHA-256 base</v>
      </c>
      <c r="B4" s="163" t="str">
        <v>ab9253d177feb325b500e992a8132b37b3c040576ff375a4ea50bd12041598f1</v>
      </c>
    </row>
    <row r="5" ht="60" customHeight="1">
      <c r="A5" s="158" t="str">
        <v>Origen histórico</v>
      </c>
      <c r="B5" s="158" t="str">
        <v>AUDITADO_ENTREGA del 22/10; original y primera provisional intactos</v>
      </c>
    </row>
    <row r="6" ht="60" customHeight="1">
      <c r="A6" s="158" t="str">
        <v>Privacidad</v>
      </c>
      <c r="B6" s="158" t="str">
        <v>Hojas 9/11/20/24/25 ya agregadas. No se incorporan identificadores individuales.</v>
      </c>
    </row>
    <row r="7" ht="60" customHeight="1">
      <c r="A7" s="158" t="str">
        <v>Gráficos</v>
      </c>
      <c r="B7" s="158" t="str">
        <v>13 gráficos preservados sin modificar XML.</v>
      </c>
    </row>
    <row r="8" ht="60" customHeight="1">
      <c r="A8" s="158" t="str">
        <v>Cálculo histórico</v>
      </c>
      <c r="B8" s="158" t="str">
        <v>Mantiene valores de corte, no recalculables mediante filtros afectados por exclusión de detalle.</v>
      </c>
    </row>
    <row r="9" ht="60" customHeight="1">
      <c r="A9" s="158" t="str">
        <v>Fuentes nuevas</v>
      </c>
      <c r="B9" s="158" t="str">
        <v>MAT_IP_CIISA_2019, 2020 y 2021. Cruce exacto documento/DV/código; sin nombre, sexo ni nacimiento.</v>
      </c>
    </row>
    <row r="10" ht="60" customHeight="1">
      <c r="A10" s="158" t="str">
        <v>Método</v>
      </c>
      <c r="B10" s="158" t="str">
        <v>Python conjuntos y SQLite en memoria; resultados idénticos; sin asignaciones nuevas aprobadas</v>
      </c>
    </row>
    <row r="11" ht="60" customHeight="1">
      <c r="A11" s="158" t="str">
        <v>Clasificaciones</v>
      </c>
      <c r="B11" s="158" t="str">
        <v>A oficial; B observado; C cálculo; D decisión interna; E pendiente.</v>
      </c>
    </row>
    <row r="12" ht="60" customHeight="1">
      <c r="A12" s="158" t="str">
        <v>Métrica comparable</v>
      </c>
      <c r="B12" s="158" t="str">
        <v>24/63 antes y ahora. No se reduce artificialmente el denominador.</v>
      </c>
    </row>
    <row r="13" ht="60" customHeight="1">
      <c r="A13" s="158" t="str">
        <v>Métrica de evidencia</v>
      </c>
      <c r="B13" s="158" t="str">
        <v>13/63 a 4/63 sin match en candidatos originales, por ampliación explícita de cobertura 2019–2021.</v>
      </c>
    </row>
    <row r="14" ht="60" customHeight="1">
      <c r="A14" s="158" t="str">
        <v>Fuera de candidatos</v>
      </c>
      <c r="B14" s="158" t="str">
        <v>NETMRE/J2 tiene V2 histórica, registrada aparte para no cambiar la definición del indicador.</v>
      </c>
    </row>
    <row r="15" ht="60" customHeight="1">
      <c r="A15" s="158" t="str">
        <v>Documentación</v>
      </c>
      <c r="B15" s="158" t="str">
        <v>/Users/alexi/Documents/GitHub/avance_curricular/data/reglas_negocio/20261022_puente_versiones/ejecucion_plan_v2</v>
      </c>
    </row>
    <row r="16" ht="60" customHeight="1">
      <c r="A16" s="158" t="str">
        <v>/Users/alexi/Library/CloudStorage/OneDrive-InstitutoProfesionalSanSebastián/Datos DAI (RAW) - 1.1 Datos crudos/1.2.1 Datos Institucionales/1.2.1.1 SIES/Publicados/Matrícula Unificada/MAT_IP_CIISA_2019.xlsx</v>
      </c>
      <c r="B16" s="158" t="str">
        <v>02fb4af6dbcbe4efbb5410a410c58c0546d303dd3d33e43217110e2e1a4cf7c8</v>
      </c>
    </row>
    <row r="17" ht="60" customHeight="1">
      <c r="A17" s="158" t="str">
        <v>/Users/alexi/Library/CloudStorage/OneDrive-InstitutoProfesionalSanSebastián/Datos DAI (RAW) - 1.1 Datos crudos/1.2.1 Datos Institucionales/1.2.1.1 SIES/Publicados/Matrícula Unificada/MAT_IP_CIISA_2020.xlsx</v>
      </c>
      <c r="B17" s="158" t="str">
        <v>a74cfc67d9129d185d098a789923b4588e5ebb4e02b152f7af43caaf16483b27</v>
      </c>
    </row>
    <row r="18" ht="60" customHeight="1">
      <c r="A18" s="158" t="str">
        <v>/Users/alexi/Library/CloudStorage/OneDrive-InstitutoProfesionalSanSebastián/Datos DAI (RAW) - 1.1 Datos crudos/1.2.1 Datos Institucionales/1.2.1.1 SIES/Publicados/Matrícula Unificada/MAT_IP_CIISA_2021.xlsx</v>
      </c>
      <c r="B18" s="158" t="str">
        <v>8f14b670f00f725412d9dadffea5db9ad2de97b536c88dad992d4370252c401e</v>
      </c>
    </row>
    <row r="19" ht="60" customHeight="1">
      <c r="A19" s="158" t="str">
        <v>/Users/alexi/Downloads/PROMEDIOSDEALUMNOS_12166.xlsx</v>
      </c>
      <c r="B19" s="158" t="str">
        <v>aad1a71d166bdfb839049a5db534a21d050df1ed4e9251ad9982245896429015</v>
      </c>
    </row>
    <row r="20" ht="60" customHeight="1">
      <c r="A20" s="158" t="str">
        <v>/Users/alexi/Documents/GitHub/avance_curricular/outputs/base_retencion_matricula_unificada_2022_2026/20260901_142342/BASE_RETENCION_MATRICULA_UNIFICADA_INFORMADA_SIES_2022_2026_20260901_142342.xlsx</v>
      </c>
      <c r="B20" s="158" t="str">
        <v>19cf33ae4925a7c13ec4745394141a297f4f64be4052a240cb0d2c42ffeb53bd</v>
      </c>
    </row>
    <row r="21" ht="60" customHeight="1">
      <c r="A21" s="158" t="str">
        <v>/Users/alexi/Downloads/DATOSDEALUMNOS_11998.xlsx</v>
      </c>
      <c r="B21" s="158" t="str">
        <v>AUSENTE</v>
      </c>
    </row>
    <row r="22" ht="60" customHeight="1">
      <c r="A22" s="158" t="str">
        <v>/Users/alexi/Downloads/DATOSDEALUMNOS_12023.xlsx</v>
      </c>
      <c r="B22" s="158" t="str">
        <v>AUSENTE</v>
      </c>
    </row>
  </sheetData>
  <pageMargins left="0.7" right="0.7" top="0.75" bottom="0.75" header="0.3" footer="0.3"/>
</worksheet>
</file>

<file path=xl/worksheets/sheet34.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65" hidden="0" customWidth="1"/>
    <col min="3" max="3" width="65" hidden="0" customWidth="1"/>
  </cols>
  <sheetData>
    <row r="1" ht="62" customHeight="1">
      <c r="A1" s="161" t="str">
        <v>Ejecución del plan y pendientes por caso</v>
      </c>
      <c r="B1" s="5"/>
      <c r="C1" s="5"/>
    </row>
    <row r="2" ht="62" customHeight="1">
      <c r="A2" s="158" t="str">
        <v>B/C/D/E · sin promoción productiva; lectura local de fuentes</v>
      </c>
      <c r="B2" s="2"/>
      <c r="C2" s="2"/>
    </row>
    <row r="3" ht="62" customHeight="1">
      <c r="A3" s="158" t="str">
        <v>Fases técnicas ejecutadas; acreditación temporal y aprobación pendientes</v>
      </c>
      <c r="B3" s="2"/>
      <c r="C3" s="2"/>
    </row>
    <row r="4" ht="62" customHeight="1">
      <c r="A4" s="163" t="str">
        <v>Fase / caso</v>
      </c>
      <c r="B4" s="163" t="str">
        <v>Resultado comprobado</v>
      </c>
      <c r="C4" s="163" t="str">
        <v>Pendiente / siguiente paso</v>
      </c>
    </row>
    <row r="5" ht="62" customHeight="1">
      <c r="A5" s="158" t="str">
        <v>0</v>
      </c>
      <c r="B5" s="158" t="str">
        <v>63 dimensiones y hashes preservados</v>
      </c>
      <c r="C5" s="158" t="str">
        <v>Conservar línea base 39+11+13</v>
      </c>
    </row>
    <row r="6" ht="62" customHeight="1">
      <c r="A6" s="158" t="str">
        <v>1</v>
      </c>
      <c r="B6" s="158" t="str">
        <v>Ambos granos documentados; diferencias explicadas</v>
      </c>
      <c r="C6" s="158" t="str">
        <v>No interpretar incidencias como personas</v>
      </c>
    </row>
    <row r="7" ht="62" customHeight="1">
      <c r="A7" s="158" t="str">
        <v>2</v>
      </c>
      <c r="B7" s="158" t="str">
        <v>Perfiles existentes contrastados y trazados</v>
      </c>
      <c r="C7" s="158" t="str">
        <v>31/39 unívocos; ocho no unívocos</v>
      </c>
    </row>
    <row r="8" ht="62" customHeight="1">
      <c r="A8" s="158" t="str">
        <v>3</v>
      </c>
      <c r="B8" s="158" t="str">
        <v>Seis mezclas examinadas por año/jornada/plan</v>
      </c>
      <c r="C8" s="158" t="str">
        <v>Acreditar plan efectivo; versiones distintas entre personas</v>
      </c>
    </row>
    <row r="9" ht="62" customHeight="1">
      <c r="A9" s="158" t="str">
        <v>4</v>
      </c>
      <c r="B9" s="158" t="str">
        <v>Cinco muestras pequeñas y 13 sin match investigadas</v>
      </c>
      <c r="C9" s="158" t="str">
        <v>9 recuperan evidencia; 1 versión fuera catálogo; 3 sin jornada observada</v>
      </c>
    </row>
    <row r="10" ht="62" customHeight="1">
      <c r="A10" s="158" t="str">
        <v>5</v>
      </c>
      <c r="B10" s="158" t="str">
        <v>Sin exclusiones no aplicables ni equivalencias inventadas</v>
      </c>
      <c r="C10" s="158" t="str">
        <v>Documento institucional para cerrar casos</v>
      </c>
    </row>
    <row r="11" ht="62" customHeight="1">
      <c r="A11" s="158" t="str">
        <v>6</v>
      </c>
      <c r="B11" s="158" t="str">
        <v>Agregados Python/SQL coinciden; MU intacta</v>
      </c>
      <c r="C11" s="158" t="str">
        <v>Puerta de equivalencia temporal pendiente</v>
      </c>
    </row>
    <row r="12" ht="62" customHeight="1">
      <c r="A12" s="158" t="str">
        <v>7</v>
      </c>
      <c r="B12" s="158" t="str">
        <v>Borradores, regresión y entrega provisional preparados</v>
      </c>
      <c r="C12" s="158" t="str">
        <v>Reglas productivas pendientes de aprobación</v>
      </c>
    </row>
    <row r="13" ht="62" customHeight="1">
      <c r="A13" s="158" t="str">
        <v>ICRE/J1</v>
      </c>
      <c r="B13" s="158" t="str">
        <v>Match histórico 0→0; mismo año/jornada: 0</v>
      </c>
      <c r="C13" s="158" t="str">
        <v>Sin observaciones en esta jornada; falta prueba institucional de alcance, no se excluye.</v>
      </c>
    </row>
    <row r="14" ht="62" customHeight="1">
      <c r="A14" s="158" t="str">
        <v>ICRE/J2</v>
      </c>
      <c r="B14" s="158" t="str">
        <v>Match histórico 22→24; mismo año/jornada: 14</v>
      </c>
      <c r="C14" s="158" t="str">
        <v>Perfil no unívoco y versiones concurrentes en plan/año entre personas.</v>
      </c>
    </row>
    <row r="15" ht="62" customHeight="1">
      <c r="A15" s="158" t="str">
        <v>IETMRE/J1</v>
      </c>
      <c r="B15" s="158" t="str">
        <v>Match histórico 0→6; mismo año/jornada: 2</v>
      </c>
      <c r="C15" s="158" t="str">
        <v>Plan efectivo por matrícula y período; no generalizar desde identidad.</v>
      </c>
    </row>
    <row r="16" ht="62" customHeight="1">
      <c r="A16" s="158" t="str">
        <v>IINF/J1</v>
      </c>
      <c r="B16" s="158" t="str">
        <v>Match histórico 49→50; mismo año/jornada: 38</v>
      </c>
      <c r="C16" s="158" t="str">
        <v>Plan efectivo por matrícula y período; no generalizar desde identidad.</v>
      </c>
    </row>
    <row r="17" ht="62" customHeight="1">
      <c r="A17" s="158" t="str">
        <v>IINF/J2</v>
      </c>
      <c r="B17" s="158" t="str">
        <v>Match histórico 56→58; mismo año/jornada: 42</v>
      </c>
      <c r="C17" s="158" t="str">
        <v>Perfil previo continuidad 4/5 versus versión regular observada: contradicción de alcance a resolver.</v>
      </c>
    </row>
    <row r="18" ht="62" customHeight="1">
      <c r="A18" s="158" t="str">
        <v>NAUTRE/J2</v>
      </c>
      <c r="B18" s="158" t="str">
        <v>Match histórico 0→7; mismo año/jornada: 7</v>
      </c>
      <c r="C18" s="158" t="str">
        <v>Plan efectivo por matrícula y período; no generalizar desde identidad.</v>
      </c>
    </row>
    <row r="19" ht="62" customHeight="1">
      <c r="A19" s="158" t="str">
        <v>NCONRE/J2</v>
      </c>
      <c r="B19" s="158" t="str">
        <v>Match histórico 2→111; mismo año/jornada: 109</v>
      </c>
      <c r="C19" s="158" t="str">
        <v>Plan efectivo por matrícula y período; no generalizar desde identidad.</v>
      </c>
    </row>
    <row r="20" ht="62" customHeight="1">
      <c r="A20" s="158" t="str">
        <v>NECIRE/J2</v>
      </c>
      <c r="B20" s="158" t="str">
        <v>Match histórico 0→4; mismo año/jornada: 4</v>
      </c>
      <c r="C20" s="158" t="str">
        <v>Plan efectivo por matrícula y período; no generalizar desde identidad.</v>
      </c>
    </row>
    <row r="21" ht="62" customHeight="1">
      <c r="A21" s="158" t="str">
        <v>NETMRE/J2</v>
      </c>
      <c r="B21" s="158" t="str">
        <v>Match histórico 0→0; mismo año/jornada: 0</v>
      </c>
      <c r="C21" s="158" t="str">
        <v>Código histórico I162S2C3J2V2 fuera de candidatos 2027; no reemplazar el catálogo actual.</v>
      </c>
    </row>
    <row r="22" ht="62" customHeight="1">
      <c r="A22" s="158" t="str">
        <v>NETMRE/J4</v>
      </c>
      <c r="B22" s="158" t="str">
        <v>Match histórico 0→0; mismo año/jornada: 0</v>
      </c>
      <c r="C22" s="158" t="str">
        <v>Sin observaciones en esta jornada; falta prueba institucional de alcance, no se excluye.</v>
      </c>
    </row>
    <row r="23" ht="62" customHeight="1">
      <c r="A23" s="158" t="str">
        <v>NICCRE/J2</v>
      </c>
      <c r="B23" s="158" t="str">
        <v>Match histórico 0→9; mismo año/jornada: 9</v>
      </c>
      <c r="C23" s="158" t="str">
        <v>Plan efectivo por matrícula y período; no generalizar desde identidad.</v>
      </c>
    </row>
    <row r="24" ht="62" customHeight="1">
      <c r="A24" s="158" t="str">
        <v>NICCREOL/J4</v>
      </c>
      <c r="B24" s="158" t="str">
        <v>Match histórico 0→10; mismo año/jornada: 9</v>
      </c>
      <c r="C24" s="158" t="str">
        <v>Plan efectivo por matrícula y período; no generalizar desde identidad.</v>
      </c>
    </row>
    <row r="25" ht="62" customHeight="1">
      <c r="A25" s="158" t="str">
        <v>NICIRE/J2</v>
      </c>
      <c r="B25" s="158" t="str">
        <v>Match histórico 0→1; mismo año/jornada: 1</v>
      </c>
      <c r="C25" s="158" t="str">
        <v>Plan efectivo por matrícula y período; no generalizar desde identidad.</v>
      </c>
    </row>
    <row r="26" ht="62" customHeight="1">
      <c r="A26" s="158" t="str">
        <v>NINFRE/J2</v>
      </c>
      <c r="B26" s="158" t="str">
        <v>Match histórico 0→42; mismo año/jornada: 42</v>
      </c>
      <c r="C26" s="158" t="str">
        <v>Plan efectivo por matrícula y período; no generalizar desde identidad.</v>
      </c>
    </row>
    <row r="27" ht="62" customHeight="1">
      <c r="A27" s="158" t="str">
        <v>NINFREOL/J4</v>
      </c>
      <c r="B27" s="158" t="str">
        <v>Match histórico 1→16; mismo año/jornada: 16</v>
      </c>
      <c r="C27" s="158" t="str">
        <v>Plan efectivo por matrícula y período; no generalizar desde identidad.</v>
      </c>
    </row>
    <row r="28" ht="62" customHeight="1">
      <c r="A28" s="158" t="str">
        <v>NITMRE/J2</v>
      </c>
      <c r="B28" s="158" t="str">
        <v>Match histórico 0→1; mismo año/jornada: 1</v>
      </c>
      <c r="C28" s="158" t="str">
        <v>Plan literal NCONRE; verificar linaje y vínculo exacto, sin corregir por nombre.</v>
      </c>
    </row>
    <row r="29" ht="62" customHeight="1">
      <c r="A29" s="158" t="str">
        <v>TCRE/J1</v>
      </c>
      <c r="B29" s="158" t="str">
        <v>Match histórico 1→1; mismo año/jornada: 0</v>
      </c>
      <c r="C29" s="158" t="str">
        <v>Plan efectivo por matrícula y período; no generalizar desde identidad.</v>
      </c>
    </row>
    <row r="30" ht="62" customHeight="1">
      <c r="A30" s="158" t="str">
        <v>TCRE/J2</v>
      </c>
      <c r="B30" s="158" t="str">
        <v>Match histórico 11→11; mismo año/jornada: 10</v>
      </c>
      <c r="C30" s="158" t="str">
        <v>Plan efectivo por matrícula y período; no generalizar desde identidad.</v>
      </c>
    </row>
    <row r="31" ht="62" customHeight="1">
      <c r="A31" s="158" t="str">
        <v>TPCRE/J1</v>
      </c>
      <c r="B31" s="158" t="str">
        <v>Match histórico 1→24; mismo año/jornada: 24</v>
      </c>
      <c r="C31" s="158" t="str">
        <v>Plan efectivo por matrícula y período; no generalizar desde identidad.</v>
      </c>
    </row>
    <row r="32" ht="62" customHeight="1">
      <c r="A32" s="158" t="str">
        <v>TPCRE/J2</v>
      </c>
      <c r="B32" s="158" t="str">
        <v>Match histórico 0→41; mismo año/jornada: 41</v>
      </c>
      <c r="C32" s="158" t="str">
        <v>Plan efectivo por matrícula y período; no generalizar desde identidad.</v>
      </c>
    </row>
    <row r="33" ht="62" customHeight="1">
      <c r="A33" s="158" t="str">
        <v>TPCRE/J4</v>
      </c>
      <c r="B33" s="158" t="str">
        <v>Match histórico 0→0; mismo año/jornada: 0</v>
      </c>
      <c r="C33" s="158" t="str">
        <v>Sin observaciones en esta jornada; falta prueba institucional de alcance, no se excluye.</v>
      </c>
    </row>
    <row r="34" ht="62" customHeight="1">
      <c r="A34" s="158" t="str">
        <v>TPCREOL/J4</v>
      </c>
      <c r="B34" s="158" t="str">
        <v>Match histórico 1→25; mismo año/jornada: 24</v>
      </c>
      <c r="C34" s="158" t="str">
        <v>Plan efectivo por matrícula y período; no generalizar desde identidad.</v>
      </c>
    </row>
    <row r="35" ht="62" customHeight="1">
      <c r="A35" s="158" t="str">
        <v>TTMRE/J1</v>
      </c>
      <c r="B35" s="158" t="str">
        <v>Match histórico 6→28; mismo año/jornada: 23</v>
      </c>
      <c r="C35" s="158" t="str">
        <v>Plan efectivo por matrícula y período; no generalizar desde identidad.</v>
      </c>
    </row>
    <row r="36" ht="62" customHeight="1">
      <c r="A36" s="158" t="str">
        <v>TTMRE/J2</v>
      </c>
      <c r="B36" s="158" t="str">
        <v>Match histórico 25→80; mismo año/jornada: 80</v>
      </c>
      <c r="C36" s="158" t="str">
        <v>Plan efectivo por matrícula y período; no generalizar desde identidad.</v>
      </c>
    </row>
  </sheetData>
  <pageMargins left="0.7" right="0.7" top="0.75" bottom="0.75" header="0.3" footer="0.3"/>
</worksheet>
</file>

<file path=xl/worksheets/sheet35.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42" hidden="0" customWidth="1"/>
    <col min="5" max="5" width="42" hidden="0" customWidth="1"/>
    <col min="6" max="6" width="22" hidden="0" customWidth="1"/>
    <col min="7" max="7" width="22" hidden="0" customWidth="1"/>
    <col min="8" max="8" width="22" hidden="0" customWidth="1"/>
    <col min="9" max="9" width="22" hidden="0" customWidth="1"/>
    <col min="10" max="10" width="22" hidden="0" customWidth="1"/>
    <col min="11" max="11" width="65" hidden="0" customWidth="1"/>
    <col min="12" max="12" width="65" hidden="0" customWidth="1"/>
  </cols>
  <sheetData>
    <row r="1" ht="62" customHeight="1">
      <c r="A1" s="183" t="str">
        <v>Contextos observados V3 · etiquetas corregidas en V4</v>
      </c>
      <c r="B1" s="5"/>
      <c r="C1" s="5"/>
      <c r="D1" s="5"/>
      <c r="E1" s="5"/>
      <c r="F1" s="5"/>
      <c r="G1" s="5"/>
      <c r="H1" s="5"/>
      <c r="I1" s="5"/>
      <c r="J1" s="5"/>
      <c r="K1" s="5"/>
      <c r="L1" s="5"/>
    </row>
    <row r="2" ht="62" customHeight="1">
      <c r="A2" s="180" t="str">
        <v>NO recalifica bajo reglas originales. PROPUESTA_METODOLOGICA_NO_APROBADA; cobertura observacional limitada.</v>
      </c>
      <c r="B2" s="2"/>
      <c r="C2" s="2"/>
      <c r="D2" s="2"/>
      <c r="E2" s="2"/>
      <c r="F2" s="2"/>
      <c r="G2" s="2"/>
      <c r="H2" s="2"/>
      <c r="I2" s="2"/>
      <c r="J2" s="2"/>
      <c r="K2" s="2"/>
      <c r="L2" s="2"/>
    </row>
    <row r="3" ht="62" customHeight="1">
      <c r="A3" s="180" t="str">
        <v>Fuentes y método: investigacion_contextual_v3/FUENTES.json y probar_contextos.py</v>
      </c>
      <c r="B3" s="2"/>
      <c r="C3" s="2"/>
      <c r="D3" s="2"/>
      <c r="E3" s="2"/>
      <c r="F3" s="2"/>
      <c r="G3" s="2"/>
      <c r="H3" s="2"/>
      <c r="I3" s="2"/>
      <c r="J3" s="2"/>
      <c r="K3" s="2"/>
      <c r="L3" s="2"/>
    </row>
    <row r="4" ht="62" customHeight="1">
      <c r="A4" s="185" t="str">
        <v>Carrera</v>
      </c>
      <c r="B4" s="185" t="str">
        <v>Sede</v>
      </c>
      <c r="C4" s="185" t="str">
        <v>Jornada</v>
      </c>
      <c r="D4" s="185" t="str">
        <v>Estado bajo criterios originales</v>
      </c>
      <c r="E4" s="185" t="str">
        <v>Escenario metodológico, no estado original</v>
      </c>
      <c r="F4" s="185" t="str">
        <v>Personas</v>
      </c>
      <c r="G4" s="185" t="str">
        <v>Observaciones</v>
      </c>
      <c r="H4" s="185" t="str">
        <v>Match único</v>
      </c>
      <c r="I4" s="185" t="str">
        <v>Sin match</v>
      </c>
      <c r="J4" s="185" t="str">
        <v>Códigos</v>
      </c>
      <c r="K4" s="185" t="str">
        <v>Pendiente</v>
      </c>
      <c r="L4" s="185" t="str">
        <v>Clasificación</v>
      </c>
    </row>
    <row r="5" ht="62" customHeight="1">
      <c r="A5" s="180" t="str">
        <v>ADMP</v>
      </c>
      <c r="B5" s="180" t="str">
        <v>2</v>
      </c>
      <c r="C5" s="180" t="str">
        <v>4</v>
      </c>
      <c r="D5" s="180" t="str">
        <v>PROPUESTA_INTERNA_PREDOMINANTE</v>
      </c>
      <c r="E5" s="180" t="str">
        <v>PROPUESTA_INTERNA_PREDOMINANTE</v>
      </c>
      <c r="F5" s="180" t="n">
        <v>174</v>
      </c>
      <c r="G5" s="180" t="n">
        <v>375</v>
      </c>
      <c r="H5" s="180" t="n">
        <v>305</v>
      </c>
      <c r="I5" s="180" t="n">
        <v>70</v>
      </c>
      <c r="J5" s="180" t="str">
        <v>I162S2C83J4V1</v>
      </c>
      <c r="K5" s="180" t="str">
        <v>Falta matrícula misma identidad/año/familia: {'2025': 42, '2026': 28}; solicitar corte anual o rectificación con código, identidad y año. Otra familia: 2</v>
      </c>
      <c r="L5" s="180" t="str">
        <v>C / E; PENDIENTE_APROBACION_GOBERNANZA</v>
      </c>
    </row>
    <row r="6" ht="62" customHeight="1">
      <c r="A6" s="180" t="str">
        <v>AUDT</v>
      </c>
      <c r="B6" s="180" t="str">
        <v>2</v>
      </c>
      <c r="C6" s="180" t="str">
        <v>4</v>
      </c>
      <c r="D6" s="180" t="str">
        <v>PROPUESTA_INTERNA_PREDOMINANTE</v>
      </c>
      <c r="E6" s="180" t="str">
        <v>PROPUESTA_INTERNA_PREDOMINANTE</v>
      </c>
      <c r="F6" s="180" t="n">
        <v>103</v>
      </c>
      <c r="G6" s="180" t="n">
        <v>268</v>
      </c>
      <c r="H6" s="180" t="n">
        <v>207</v>
      </c>
      <c r="I6" s="180" t="n">
        <v>61</v>
      </c>
      <c r="J6" s="180" t="str">
        <v>I162S2C86J4V1</v>
      </c>
      <c r="K6" s="180" t="str">
        <v>Falta matrícula misma identidad/año/familia: {'2025': 38, '2026': 23}; solicitar corte anual o rectificación con código, identidad y año. Otra familia: 8</v>
      </c>
      <c r="L6" s="180" t="str">
        <v>C / E; PENDIENTE_APROBACION_GOBERNANZA</v>
      </c>
    </row>
    <row r="7" ht="62" customHeight="1">
      <c r="A7" s="180" t="str">
        <v>IADM</v>
      </c>
      <c r="B7" s="180" t="str">
        <v>2</v>
      </c>
      <c r="C7" s="180" t="str">
        <v>4</v>
      </c>
      <c r="D7" s="180" t="str">
        <v>PROPUESTA_INTERNA_PREDOMINANTE</v>
      </c>
      <c r="E7" s="180" t="str">
        <v>PROPUESTA_INTERNA_PREDOMINANTE</v>
      </c>
      <c r="F7" s="180" t="n">
        <v>303</v>
      </c>
      <c r="G7" s="180" t="n">
        <v>673</v>
      </c>
      <c r="H7" s="180" t="n">
        <v>457</v>
      </c>
      <c r="I7" s="180" t="n">
        <v>216</v>
      </c>
      <c r="J7" s="180" t="str">
        <v>I162S2C76J4V1</v>
      </c>
      <c r="K7" s="180" t="str">
        <v>Falta matrícula misma identidad/año/familia: {'2024': 34, '2026': 107, '2025': 75}; solicitar corte anual o rectificación con código, identidad y año. Otra familia: 29</v>
      </c>
      <c r="L7" s="180" t="str">
        <v>C / E; PENDIENTE_APROBACION_GOBERNANZA</v>
      </c>
    </row>
    <row r="8" ht="62" customHeight="1">
      <c r="A8" s="180" t="str">
        <v>ICDA</v>
      </c>
      <c r="B8" s="180" t="str">
        <v>2</v>
      </c>
      <c r="C8" s="180" t="str">
        <v>4</v>
      </c>
      <c r="D8" s="180" t="str">
        <v>PROPUESTA_INTERNA_PREDOMINANTE</v>
      </c>
      <c r="E8" s="180" t="str">
        <v>PROPUESTA_INTERNA_PREDOMINANTE</v>
      </c>
      <c r="F8" s="180" t="n">
        <v>74</v>
      </c>
      <c r="G8" s="180" t="n">
        <v>212</v>
      </c>
      <c r="H8" s="180" t="n">
        <v>201</v>
      </c>
      <c r="I8" s="180" t="n">
        <v>11</v>
      </c>
      <c r="J8" s="180" t="str">
        <v>I162S2C88J4V1</v>
      </c>
      <c r="K8" s="180" t="str">
        <v>Falta matrícula misma identidad/año/familia: {'2025': 4, '2026': 7}; solicitar corte anual o rectificación con código, identidad y año. Otra familia: 3</v>
      </c>
      <c r="L8" s="180" t="str">
        <v>C / E; PENDIENTE_APROBACION_GOBERNANZA</v>
      </c>
    </row>
    <row r="9" ht="62" customHeight="1">
      <c r="A9" s="180" t="str">
        <v>ICIB</v>
      </c>
      <c r="B9" s="180" t="str">
        <v>2</v>
      </c>
      <c r="C9" s="180" t="str">
        <v>2</v>
      </c>
      <c r="D9" s="180" t="str">
        <v>PROPUESTA_INTERNA_PREDOMINANTE</v>
      </c>
      <c r="E9" s="180" t="str">
        <v>PROPUESTA_INTERNA_PREDOMINANTE</v>
      </c>
      <c r="F9" s="180" t="n">
        <v>58</v>
      </c>
      <c r="G9" s="180" t="n">
        <v>258</v>
      </c>
      <c r="H9" s="180" t="n">
        <v>204</v>
      </c>
      <c r="I9" s="180" t="n">
        <v>54</v>
      </c>
      <c r="J9" s="180" t="str">
        <v>I162S2C46J2V1</v>
      </c>
      <c r="K9" s="180" t="str">
        <v>Falta matrícula misma identidad/año/familia: {'2025': 25, '2024': 23, '2026': 6}; solicitar corte anual o rectificación con código, identidad y año. Otra familia: 52</v>
      </c>
      <c r="L9" s="180" t="str">
        <v>C / E; PENDIENTE_APROBACION_GOBERNANZA</v>
      </c>
    </row>
    <row r="10" ht="62" customHeight="1">
      <c r="A10" s="180" t="str">
        <v>ICIB</v>
      </c>
      <c r="B10" s="180" t="str">
        <v>2</v>
      </c>
      <c r="C10" s="180" t="str">
        <v>4</v>
      </c>
      <c r="D10" s="180" t="str">
        <v>PROPUESTA_INTERNA_PREDOMINANTE</v>
      </c>
      <c r="E10" s="180" t="str">
        <v>PROPUESTA_INTERNA_PREDOMINANTE</v>
      </c>
      <c r="F10" s="180" t="n">
        <v>456</v>
      </c>
      <c r="G10" s="180" t="n">
        <v>1639</v>
      </c>
      <c r="H10" s="180" t="n">
        <v>1349</v>
      </c>
      <c r="I10" s="180" t="n">
        <v>290</v>
      </c>
      <c r="J10" s="180" t="str">
        <v>I162S2C46J4V3; I162S2C46J4V1</v>
      </c>
      <c r="K10" s="180" t="str">
        <v>Falta matrícula misma identidad/año/familia: {'2025': 95, '2026': 110, '2024': 78, '2021': 2, '2019': 2, '2023': 1, '2020': 2}; solicitar corte anual o rectificación con código, identidad y año. Otra familia: 85</v>
      </c>
      <c r="L10" s="180" t="str">
        <v>C / E; PENDIENTE_APROBACION_GOBERNANZA</v>
      </c>
    </row>
    <row r="11" ht="62" customHeight="1">
      <c r="A11" s="180" t="str">
        <v>ICRE</v>
      </c>
      <c r="B11" s="180" t="str">
        <v>2</v>
      </c>
      <c r="C11" s="180" t="str">
        <v>1</v>
      </c>
      <c r="D11" s="180" t="str">
        <v>PENDIENTE_SIN_MATCH</v>
      </c>
      <c r="E11" s="180" t="str">
        <v>PENDIENTE_SIN_MATCH</v>
      </c>
      <c r="F11" s="180" t="n">
        <v>0</v>
      </c>
      <c r="G11" s="180" t="n">
        <v>0</v>
      </c>
      <c r="H11" s="180" t="n">
        <v>0</v>
      </c>
      <c r="I11" s="180" t="n">
        <v>0</v>
      </c>
      <c r="J11" s="2" t="str"/>
      <c r="K11" s="180" t="str">
        <v>Sin observaciones PROMEDIOS en jornada exacta; requiere expediente/plan histórico con jornada, no reasignar desde otra jornada.</v>
      </c>
      <c r="L11" s="180" t="str">
        <v>C / E; PENDIENTE_APROBACION_GOBERNANZA</v>
      </c>
    </row>
    <row r="12" ht="62" customHeight="1">
      <c r="A12" s="180" t="str">
        <v>ICRE</v>
      </c>
      <c r="B12" s="180" t="str">
        <v>2</v>
      </c>
      <c r="C12" s="180" t="str">
        <v>2</v>
      </c>
      <c r="D12" s="180" t="str">
        <v>PENDIENTE_MULTIPLE_O_BAJA_COBERTURA</v>
      </c>
      <c r="E12" s="180" t="str">
        <v>PENDIENTE_MULTIPLE_O_BAJA_COBERTURA</v>
      </c>
      <c r="F12" s="180" t="n">
        <v>14</v>
      </c>
      <c r="G12" s="180" t="n">
        <v>58</v>
      </c>
      <c r="H12" s="180" t="n">
        <v>55</v>
      </c>
      <c r="I12" s="180" t="n">
        <v>3</v>
      </c>
      <c r="J12" s="180" t="str">
        <v>I162S2C3J2V4; I162S2C3J2V1</v>
      </c>
      <c r="K12" s="180" t="str">
        <v>Falta matrícula misma identidad/año/familia: {'2024': 3}; solicitar corte anual o rectificación con código, identidad y año. Otra familia: 3</v>
      </c>
      <c r="L12" s="180" t="str">
        <v>C / E; PENDIENTE_APROBACION_GOBERNANZA</v>
      </c>
    </row>
    <row r="13" ht="62" customHeight="1">
      <c r="A13" s="180" t="str">
        <v>ICRE</v>
      </c>
      <c r="B13" s="180" t="str">
        <v>2</v>
      </c>
      <c r="C13" s="180" t="str">
        <v>4</v>
      </c>
      <c r="D13" s="180" t="str">
        <v>PROPUESTA_INTERNA_PREDOMINANTE</v>
      </c>
      <c r="E13" s="180" t="str">
        <v>PROPUESTA_INTERNA_PREDOMINANTE</v>
      </c>
      <c r="F13" s="180" t="n">
        <v>248</v>
      </c>
      <c r="G13" s="180" t="n">
        <v>1092</v>
      </c>
      <c r="H13" s="180" t="n">
        <v>1035</v>
      </c>
      <c r="I13" s="180" t="n">
        <v>57</v>
      </c>
      <c r="J13" s="180" t="str">
        <v>I162S2C3J4V2</v>
      </c>
      <c r="K13" s="180" t="str">
        <v>Falta matrícula misma identidad/año/familia: {'2024': 39, '2025': 13, '2026': 4, '2023': 1}; solicitar corte anual o rectificación con código, identidad y año. Otra familia: 34</v>
      </c>
      <c r="L13" s="180" t="str">
        <v>C / E; PENDIENTE_APROBACION_GOBERNANZA</v>
      </c>
    </row>
    <row r="14" ht="62" customHeight="1">
      <c r="A14" s="180" t="str">
        <v>IECIRE</v>
      </c>
      <c r="B14" s="180" t="str">
        <v>2</v>
      </c>
      <c r="C14" s="180" t="str">
        <v>1</v>
      </c>
      <c r="D14" s="180" t="str">
        <v>PROPUESTA_INTERNA_PREDOMINANTE</v>
      </c>
      <c r="E14" s="180" t="str">
        <v>PROPUESTA_INTERNA_PREDOMINANTE</v>
      </c>
      <c r="F14" s="180" t="n">
        <v>31</v>
      </c>
      <c r="G14" s="180" t="n">
        <v>83</v>
      </c>
      <c r="H14" s="180" t="n">
        <v>83</v>
      </c>
      <c r="I14" s="180" t="n">
        <v>0</v>
      </c>
      <c r="J14" s="180" t="str">
        <v>I162S2C1J1V2; I162S2C1J1V1</v>
      </c>
      <c r="K14" s="180" t="str">
        <v>Sin contradicción en observaciones disponibles; no certifica vigencia individual ni regla prospectiva.</v>
      </c>
      <c r="L14" s="180" t="str">
        <v>C / E; PENDIENTE_APROBACION_GOBERNANZA</v>
      </c>
    </row>
    <row r="15" ht="62" customHeight="1">
      <c r="A15" s="180" t="str">
        <v>IECIRE</v>
      </c>
      <c r="B15" s="180" t="str">
        <v>2</v>
      </c>
      <c r="C15" s="180" t="str">
        <v>2</v>
      </c>
      <c r="D15" s="180" t="str">
        <v>PROPUESTA_INTERNA_PREDOMINANTE</v>
      </c>
      <c r="E15" s="180" t="str">
        <v>PROPUESTA_INTERNA_PREDOMINANTE</v>
      </c>
      <c r="F15" s="180" t="n">
        <v>146</v>
      </c>
      <c r="G15" s="180" t="n">
        <v>444</v>
      </c>
      <c r="H15" s="180" t="n">
        <v>355</v>
      </c>
      <c r="I15" s="180" t="n">
        <v>89</v>
      </c>
      <c r="J15" s="180" t="str">
        <v>I162S2C1J2V4; I162S2C1J2V1</v>
      </c>
      <c r="K15" s="180" t="str">
        <v>Falta matrícula misma identidad/año/familia: {'2022': 11, '2021': 15, '2019': 37, '2020': 24, '2023': 2}; solicitar corte anual o rectificación con código, identidad y año. Otra familia: 81</v>
      </c>
      <c r="L15" s="180" t="str">
        <v>C / E; PENDIENTE_APROBACION_GOBERNANZA</v>
      </c>
    </row>
    <row r="16" ht="62" customHeight="1">
      <c r="A16" s="180" t="str">
        <v>IECIRE</v>
      </c>
      <c r="B16" s="180" t="str">
        <v>2</v>
      </c>
      <c r="C16" s="180" t="str">
        <v>4</v>
      </c>
      <c r="D16" s="180" t="str">
        <v>PROPUESTA_INTERNA_PREDOMINANTE</v>
      </c>
      <c r="E16" s="180" t="str">
        <v>PROPUESTA_INTERNA_PREDOMINANTE</v>
      </c>
      <c r="F16" s="180" t="n">
        <v>1</v>
      </c>
      <c r="G16" s="180" t="n">
        <v>1</v>
      </c>
      <c r="H16" s="180" t="n">
        <v>0</v>
      </c>
      <c r="I16" s="180" t="n">
        <v>1</v>
      </c>
      <c r="J16" s="2" t="str"/>
      <c r="K16" s="180" t="str">
        <v>Falta matrícula misma identidad/año/familia: {'2019': 1}; solicitar corte anual o rectificación con código, identidad y año. Otra familia: 1</v>
      </c>
      <c r="L16" s="180" t="str">
        <v>C / E; PENDIENTE_APROBACION_GOBERNANZA</v>
      </c>
    </row>
    <row r="17" ht="62" customHeight="1">
      <c r="A17" s="180" t="str">
        <v>IECIREOL</v>
      </c>
      <c r="B17" s="180" t="str">
        <v>2</v>
      </c>
      <c r="C17" s="180" t="str">
        <v>4</v>
      </c>
      <c r="D17" s="180" t="str">
        <v>PROPUESTA_INTERNA_PREDOMINANTE</v>
      </c>
      <c r="E17" s="180" t="str">
        <v>PROPUESTA_INTERNA_PREDOMINANTE</v>
      </c>
      <c r="F17" s="180" t="n">
        <v>319</v>
      </c>
      <c r="G17" s="180" t="n">
        <v>2038</v>
      </c>
      <c r="H17" s="180" t="n">
        <v>1897</v>
      </c>
      <c r="I17" s="180" t="n">
        <v>141</v>
      </c>
      <c r="J17" s="180" t="str">
        <v>I162S2C1J4V1; I162S2C1J4V2</v>
      </c>
      <c r="K17" s="180" t="str">
        <v>Falta matrícula misma identidad/año/familia: {'2023': 62, '2022': 40, '2021': 15, '2020': 13, '2026': 1, '2024': 5, '2019': 5}; solicitar corte anual o rectificación con código, identidad y año. Otra familia: 36</v>
      </c>
      <c r="L17" s="180" t="str">
        <v>C / E; PENDIENTE_APROBACION_GOBERNANZA</v>
      </c>
    </row>
    <row r="18" ht="62" customHeight="1">
      <c r="A18" s="180" t="str">
        <v>IECSRE</v>
      </c>
      <c r="B18" s="180" t="str">
        <v>2</v>
      </c>
      <c r="C18" s="180" t="str">
        <v>2</v>
      </c>
      <c r="D18" s="180" t="str">
        <v>PROPUESTA_INTERNA_PREDOMINANTE</v>
      </c>
      <c r="E18" s="180" t="str">
        <v>PROPUESTA_INTERNA_PREDOMINANTE</v>
      </c>
      <c r="F18" s="180" t="n">
        <v>81</v>
      </c>
      <c r="G18" s="180" t="n">
        <v>318</v>
      </c>
      <c r="H18" s="180" t="n">
        <v>267</v>
      </c>
      <c r="I18" s="180" t="n">
        <v>51</v>
      </c>
      <c r="J18" s="180" t="str">
        <v>I162S2C46J2V1</v>
      </c>
      <c r="K18" s="180" t="str">
        <v>Falta matrícula misma identidad/año/familia: {'2020': 12, '2021': 17, '2022': 16, '2023': 5, '2025': 1}; solicitar corte anual o rectificación con código, identidad y año. Otra familia: 46</v>
      </c>
      <c r="L18" s="180" t="str">
        <v>C / E; PENDIENTE_APROBACION_GOBERNANZA</v>
      </c>
    </row>
    <row r="19" ht="62" customHeight="1">
      <c r="A19" s="180" t="str">
        <v>IECSREOL</v>
      </c>
      <c r="B19" s="180" t="str">
        <v>2</v>
      </c>
      <c r="C19" s="180" t="str">
        <v>4</v>
      </c>
      <c r="D19" s="180" t="str">
        <v>PROPUESTA_INTERNA_PREDOMINANTE</v>
      </c>
      <c r="E19" s="180" t="str">
        <v>PROPUESTA_INTERNA_PREDOMINANTE</v>
      </c>
      <c r="F19" s="180" t="n">
        <v>252</v>
      </c>
      <c r="G19" s="180" t="n">
        <v>1381</v>
      </c>
      <c r="H19" s="180" t="n">
        <v>1283</v>
      </c>
      <c r="I19" s="180" t="n">
        <v>98</v>
      </c>
      <c r="J19" s="180" t="str">
        <v>I162S2C46J4V3; I162S2C46J4V1</v>
      </c>
      <c r="K19" s="180" t="str">
        <v>Falta matrícula misma identidad/año/familia: {'2023': 40, '2022': 42, '2020': 8, '2021': 8}; solicitar corte anual o rectificación con código, identidad y año. Otra familia: 12</v>
      </c>
      <c r="L19" s="180" t="str">
        <v>C / E; PENDIENTE_APROBACION_GOBERNANZA</v>
      </c>
    </row>
    <row r="20" ht="62" customHeight="1">
      <c r="A20" s="180" t="str">
        <v>IEMORE</v>
      </c>
      <c r="B20" s="180" t="str">
        <v>2</v>
      </c>
      <c r="C20" s="180" t="str">
        <v>2</v>
      </c>
      <c r="D20" s="180" t="str">
        <v>PROPUESTA_INTERNA_PREDOMINANTE</v>
      </c>
      <c r="E20" s="180" t="str">
        <v>PROPUESTA_INTERNA_PREDOMINANTE</v>
      </c>
      <c r="F20" s="180" t="n">
        <v>37</v>
      </c>
      <c r="G20" s="180" t="n">
        <v>129</v>
      </c>
      <c r="H20" s="180" t="n">
        <v>127</v>
      </c>
      <c r="I20" s="180" t="n">
        <v>2</v>
      </c>
      <c r="J20" s="180" t="str">
        <v>I162S2C22J2V1; I162S2C22J2V2</v>
      </c>
      <c r="K20" s="180" t="str">
        <v>Falta matrícula misma identidad/año/familia: {'2019': 1, '2021': 1}; solicitar corte anual o rectificación con código, identidad y año. Otra familia: 0</v>
      </c>
      <c r="L20" s="180" t="str">
        <v>C / E; PENDIENTE_APROBACION_GOBERNANZA</v>
      </c>
    </row>
    <row r="21" ht="62" customHeight="1">
      <c r="A21" s="180" t="str">
        <v>IETMRE</v>
      </c>
      <c r="B21" s="180" t="str">
        <v>2</v>
      </c>
      <c r="C21" s="180" t="str">
        <v>1</v>
      </c>
      <c r="D21" s="180" t="str">
        <v>PENDIENTE_SIN_MATCH</v>
      </c>
      <c r="E21" s="180" t="str">
        <v>PENDIENTE_SIN_MATCH</v>
      </c>
      <c r="F21" s="180" t="n">
        <v>2</v>
      </c>
      <c r="G21" s="180" t="n">
        <v>3</v>
      </c>
      <c r="H21" s="180" t="n">
        <v>3</v>
      </c>
      <c r="I21" s="180" t="n">
        <v>0</v>
      </c>
      <c r="J21" s="180" t="str">
        <v>I162S2C3J1V1</v>
      </c>
      <c r="K21" s="180" t="str">
        <v>Muestra inferior a 3; conservar umbral. Requiere más expedientes o relación documental institucional explícita.</v>
      </c>
      <c r="L21" s="180" t="str">
        <v>C / E; PENDIENTE_APROBACION_GOBERNANZA</v>
      </c>
    </row>
    <row r="22" ht="62" customHeight="1">
      <c r="A22" s="180" t="str">
        <v>IETMRE</v>
      </c>
      <c r="B22" s="180" t="str">
        <v>2</v>
      </c>
      <c r="C22" s="180" t="str">
        <v>2</v>
      </c>
      <c r="D22" s="180" t="str">
        <v>PROPUESTA_INTERNA_PREDOMINANTE</v>
      </c>
      <c r="E22" s="180" t="str">
        <v>PROPUESTA_INTERNA_PREDOMINANTE</v>
      </c>
      <c r="F22" s="180" t="n">
        <v>137</v>
      </c>
      <c r="G22" s="180" t="n">
        <v>477</v>
      </c>
      <c r="H22" s="180" t="n">
        <v>460</v>
      </c>
      <c r="I22" s="180" t="n">
        <v>17</v>
      </c>
      <c r="J22" s="180" t="str">
        <v>I162S2C3J2V4; I162S2C3J2V1; I162S2C3J2V3</v>
      </c>
      <c r="K22" s="180" t="str">
        <v>Falta matrícula misma identidad/año/familia: {'2019': 3, '2020': 11, '2025': 2, '2021': 1}; solicitar corte anual o rectificación con código, identidad y año. Otra familia: 4</v>
      </c>
      <c r="L22" s="180" t="str">
        <v>C / E; PENDIENTE_APROBACION_GOBERNANZA</v>
      </c>
    </row>
    <row r="23" ht="62" customHeight="1">
      <c r="A23" s="180" t="str">
        <v>IETMRE</v>
      </c>
      <c r="B23" s="180" t="str">
        <v>2</v>
      </c>
      <c r="C23" s="180" t="str">
        <v>4</v>
      </c>
      <c r="D23" s="180" t="str">
        <v>PROPUESTA_INTERNA_PREDOMINANTE</v>
      </c>
      <c r="E23" s="180" t="str">
        <v>PROPUESTA_INTERNA_PREDOMINANTE</v>
      </c>
      <c r="F23" s="180" t="n">
        <v>1</v>
      </c>
      <c r="G23" s="180" t="n">
        <v>2</v>
      </c>
      <c r="H23" s="180" t="n">
        <v>0</v>
      </c>
      <c r="I23" s="180" t="n">
        <v>2</v>
      </c>
      <c r="J23" s="2" t="str"/>
      <c r="K23" s="180" t="str">
        <v>Falta matrícula misma identidad/año/familia: {'2020': 2}; solicitar corte anual o rectificación con código, identidad y año. Otra familia: 2</v>
      </c>
      <c r="L23" s="180" t="str">
        <v>C / E; PENDIENTE_APROBACION_GOBERNANZA</v>
      </c>
    </row>
    <row r="24" ht="62" customHeight="1">
      <c r="A24" s="180" t="str">
        <v>IETMREOL</v>
      </c>
      <c r="B24" s="180" t="str">
        <v>2</v>
      </c>
      <c r="C24" s="180" t="str">
        <v>4</v>
      </c>
      <c r="D24" s="180" t="str">
        <v>PROPUESTA_INTERNA_PREDOMINANTE</v>
      </c>
      <c r="E24" s="180" t="str">
        <v>PROPUESTA_INTERNA_PREDOMINANTE</v>
      </c>
      <c r="F24" s="180" t="n">
        <v>353</v>
      </c>
      <c r="G24" s="180" t="n">
        <v>2442</v>
      </c>
      <c r="H24" s="180" t="n">
        <v>2250</v>
      </c>
      <c r="I24" s="180" t="n">
        <v>192</v>
      </c>
      <c r="J24" s="180" t="str">
        <v>I162S2C3J4V2; I162S2C3J4V1</v>
      </c>
      <c r="K24" s="180" t="str">
        <v>Falta matrícula misma identidad/año/familia: {'2023': 61, '2022': 82, '2021': 34, '2024': 6, '2019': 1, '2020': 4, '2025': 4}; solicitar corte anual o rectificación con código, identidad y año. Otra familia: 18</v>
      </c>
      <c r="L24" s="180" t="str">
        <v>C / E; PENDIENTE_APROBACION_GOBERNANZA</v>
      </c>
    </row>
    <row r="25" ht="62" customHeight="1">
      <c r="A25" s="180" t="str">
        <v>IFIN</v>
      </c>
      <c r="B25" s="180" t="str">
        <v>2</v>
      </c>
      <c r="C25" s="180" t="str">
        <v>4</v>
      </c>
      <c r="D25" s="180" t="str">
        <v>PROPUESTA_INTERNA_PREDOMINANTE</v>
      </c>
      <c r="E25" s="180" t="str">
        <v>PROPUESTA_INTERNA_PREDOMINANTE</v>
      </c>
      <c r="F25" s="180" t="n">
        <v>26</v>
      </c>
      <c r="G25" s="180" t="n">
        <v>61</v>
      </c>
      <c r="H25" s="180" t="n">
        <v>60</v>
      </c>
      <c r="I25" s="180" t="n">
        <v>1</v>
      </c>
      <c r="J25" s="180" t="str">
        <v>I162S2C111J4V1</v>
      </c>
      <c r="K25" s="180" t="str">
        <v>Falta matrícula misma identidad/año/familia: {'2026': 1}; solicitar corte anual o rectificación con código, identidad y año. Otra familia: 0</v>
      </c>
      <c r="L25" s="180" t="str">
        <v>C / E; PENDIENTE_APROBACION_GOBERNANZA</v>
      </c>
    </row>
    <row r="26" ht="62" customHeight="1">
      <c r="A26" s="180" t="str">
        <v>IIND</v>
      </c>
      <c r="B26" s="180" t="str">
        <v>2</v>
      </c>
      <c r="C26" s="180" t="str">
        <v>4</v>
      </c>
      <c r="D26" s="180" t="str">
        <v>PROPUESTA_INTERNA_PREDOMINANTE</v>
      </c>
      <c r="E26" s="180" t="str">
        <v>PROPUESTA_INTERNA_PREDOMINANTE</v>
      </c>
      <c r="F26" s="180" t="n">
        <v>175</v>
      </c>
      <c r="G26" s="180" t="n">
        <v>319</v>
      </c>
      <c r="H26" s="180" t="n">
        <v>183</v>
      </c>
      <c r="I26" s="180" t="n">
        <v>136</v>
      </c>
      <c r="J26" s="180" t="str">
        <v>I162S2C87J4V2</v>
      </c>
      <c r="K26" s="180" t="str">
        <v>Falta matrícula misma identidad/año/familia: {'2026': 84, '2025': 52}; solicitar corte anual o rectificación con código, identidad y año. Otra familia: 0</v>
      </c>
      <c r="L26" s="180" t="str">
        <v>C / E; PENDIENTE_APROBACION_GOBERNANZA</v>
      </c>
    </row>
    <row r="27" ht="62" customHeight="1">
      <c r="A27" s="180" t="str">
        <v>IINF</v>
      </c>
      <c r="B27" s="180" t="str">
        <v>2</v>
      </c>
      <c r="C27" s="180" t="str">
        <v>1</v>
      </c>
      <c r="D27" s="180" t="str">
        <v>PENDIENTE_MULTIPLE_O_BAJA_COBERTURA</v>
      </c>
      <c r="E27" s="180" t="str">
        <v>PENDIENTE_MULTIPLE_O_BAJA_COBERTURA</v>
      </c>
      <c r="F27" s="180" t="n">
        <v>42</v>
      </c>
      <c r="G27" s="180" t="n">
        <v>208</v>
      </c>
      <c r="H27" s="180" t="n">
        <v>176</v>
      </c>
      <c r="I27" s="180" t="n">
        <v>32</v>
      </c>
      <c r="J27" s="180" t="str">
        <v>I162S2C1J1V2; I162S2C1J1V1</v>
      </c>
      <c r="K27" s="180" t="str">
        <v>Falta matrícula misma identidad/año/familia: {'2025': 12, '2024': 6, '2026': 14}; solicitar corte anual o rectificación con código, identidad y año. Otra familia: 9</v>
      </c>
      <c r="L27" s="180" t="str">
        <v>C / E; PENDIENTE_APROBACION_GOBERNANZA</v>
      </c>
    </row>
    <row r="28" ht="62" customHeight="1">
      <c r="A28" s="180" t="str">
        <v>IINF</v>
      </c>
      <c r="B28" s="180" t="str">
        <v>2</v>
      </c>
      <c r="C28" s="180" t="str">
        <v>2</v>
      </c>
      <c r="D28" s="180" t="str">
        <v>PENDIENTE_MULTIPLE_O_BAJA_COBERTURA</v>
      </c>
      <c r="E28" s="180" t="str">
        <v>PENDIENTE_MULTIPLE_O_BAJA_COBERTURA</v>
      </c>
      <c r="F28" s="180" t="n">
        <v>44</v>
      </c>
      <c r="G28" s="180" t="n">
        <v>186</v>
      </c>
      <c r="H28" s="180" t="n">
        <v>173</v>
      </c>
      <c r="I28" s="180" t="n">
        <v>13</v>
      </c>
      <c r="J28" s="180" t="str">
        <v>I162S2C1J2V4; I162S2C1J2V1</v>
      </c>
      <c r="K28" s="180" t="str">
        <v>Falta matrícula misma identidad/año/familia: {'2025': 7, '2026': 3, '2024': 3}; solicitar corte anual o rectificación con código, identidad y año. Otra familia: 6</v>
      </c>
      <c r="L28" s="180" t="str">
        <v>C / E; PENDIENTE_APROBACION_GOBERNANZA</v>
      </c>
    </row>
    <row r="29" ht="62" customHeight="1">
      <c r="A29" s="180" t="str">
        <v>IINF</v>
      </c>
      <c r="B29" s="180" t="str">
        <v>2</v>
      </c>
      <c r="C29" s="180" t="str">
        <v>4</v>
      </c>
      <c r="D29" s="180" t="str">
        <v>PROPUESTA_INTERNA_PREDOMINANTE</v>
      </c>
      <c r="E29" s="180" t="str">
        <v>PROPUESTA_INTERNA_PREDOMINANTE</v>
      </c>
      <c r="F29" s="180" t="n">
        <v>449</v>
      </c>
      <c r="G29" s="180" t="n">
        <v>1618</v>
      </c>
      <c r="H29" s="180" t="n">
        <v>1336</v>
      </c>
      <c r="I29" s="180" t="n">
        <v>282</v>
      </c>
      <c r="J29" s="180" t="str">
        <v>I162S2C1J4V2; I162S2C1J4V3; I162S2C1J4V1</v>
      </c>
      <c r="K29" s="180" t="str">
        <v>Falta matrícula misma identidad/año/familia: {'2025': 117, '2023': 7, '2026': 94, '2024': 63, '2022': 1}; solicitar corte anual o rectificación con código, identidad y año. Otra familia: 111</v>
      </c>
      <c r="L29" s="180" t="str">
        <v>C / E; PENDIENTE_APROBACION_GOBERNANZA</v>
      </c>
    </row>
    <row r="30" ht="62" customHeight="1">
      <c r="A30" s="180" t="str">
        <v>ILOG</v>
      </c>
      <c r="B30" s="180" t="str">
        <v>2</v>
      </c>
      <c r="C30" s="180" t="str">
        <v>4</v>
      </c>
      <c r="D30" s="180" t="str">
        <v>PROPUESTA_INTERNA_PREDOMINANTE</v>
      </c>
      <c r="E30" s="180" t="str">
        <v>PROPUESTA_INTERNA_PREDOMINANTE</v>
      </c>
      <c r="F30" s="180" t="n">
        <v>208</v>
      </c>
      <c r="G30" s="180" t="n">
        <v>513</v>
      </c>
      <c r="H30" s="180" t="n">
        <v>362</v>
      </c>
      <c r="I30" s="180" t="n">
        <v>151</v>
      </c>
      <c r="J30" s="180" t="str">
        <v>I162S2C77J4V1</v>
      </c>
      <c r="K30" s="180" t="str">
        <v>Falta matrícula misma identidad/año/familia: {'2025': 56, '2026': 90, '2024': 5}; solicitar corte anual o rectificación con código, identidad y año. Otra familia: 30</v>
      </c>
      <c r="L30" s="180" t="str">
        <v>C / E; PENDIENTE_APROBACION_GOBERNANZA</v>
      </c>
    </row>
    <row r="31" ht="62" customHeight="1">
      <c r="A31" s="180" t="str">
        <v>IMDI</v>
      </c>
      <c r="B31" s="180" t="str">
        <v>2</v>
      </c>
      <c r="C31" s="180" t="str">
        <v>4</v>
      </c>
      <c r="D31" s="180" t="str">
        <v>PROPUESTA_INTERNA_PREDOMINANTE</v>
      </c>
      <c r="E31" s="180" t="str">
        <v>PROPUESTA_INTERNA_PREDOMINANTE</v>
      </c>
      <c r="F31" s="180" t="n">
        <v>130</v>
      </c>
      <c r="G31" s="180" t="n">
        <v>230</v>
      </c>
      <c r="H31" s="180" t="n">
        <v>130</v>
      </c>
      <c r="I31" s="180" t="n">
        <v>100</v>
      </c>
      <c r="J31" s="180" t="str">
        <v>I162S2C112J4V1</v>
      </c>
      <c r="K31" s="180" t="str">
        <v>Falta matrícula misma identidad/año/familia: {'2026': 99, '2025': 1}; solicitar corte anual o rectificación con código, identidad y año. Otra familia: 7</v>
      </c>
      <c r="L31" s="180" t="str">
        <v>C / E; PENDIENTE_APROBACION_GOBERNANZA</v>
      </c>
    </row>
    <row r="32" ht="62" customHeight="1">
      <c r="A32" s="180" t="str">
        <v>IPRE</v>
      </c>
      <c r="B32" s="180" t="str">
        <v>2</v>
      </c>
      <c r="C32" s="180" t="str">
        <v>4</v>
      </c>
      <c r="D32" s="180" t="str">
        <v>PROPUESTA_INTERNA_PREDOMINANTE</v>
      </c>
      <c r="E32" s="180" t="str">
        <v>PROPUESTA_INTERNA_PREDOMINANTE</v>
      </c>
      <c r="F32" s="180" t="n">
        <v>24</v>
      </c>
      <c r="G32" s="180" t="n">
        <v>56</v>
      </c>
      <c r="H32" s="180" t="n">
        <v>56</v>
      </c>
      <c r="I32" s="180" t="n">
        <v>0</v>
      </c>
      <c r="J32" s="180" t="str">
        <v>I162S2C124J4V1</v>
      </c>
      <c r="K32" s="180" t="str">
        <v>Sin contradicción en observaciones disponibles; no certifica vigencia individual ni regla prospectiva.</v>
      </c>
      <c r="L32" s="180" t="str">
        <v>C / E; PENDIENTE_APROBACION_GOBERNANZA</v>
      </c>
    </row>
    <row r="33" ht="62" customHeight="1">
      <c r="A33" s="180" t="str">
        <v>IRHU</v>
      </c>
      <c r="B33" s="180" t="str">
        <v>2</v>
      </c>
      <c r="C33" s="180" t="str">
        <v>4</v>
      </c>
      <c r="D33" s="180" t="str">
        <v>PROPUESTA_INTERNA_PREDOMINANTE</v>
      </c>
      <c r="E33" s="180" t="str">
        <v>PROPUESTA_INTERNA_PREDOMINANTE</v>
      </c>
      <c r="F33" s="180" t="n">
        <v>39</v>
      </c>
      <c r="G33" s="180" t="n">
        <v>67</v>
      </c>
      <c r="H33" s="180" t="n">
        <v>53</v>
      </c>
      <c r="I33" s="180" t="n">
        <v>14</v>
      </c>
      <c r="J33" s="180" t="str">
        <v>I162S2C113J4V1</v>
      </c>
      <c r="K33" s="180" t="str">
        <v>Falta matrícula misma identidad/año/familia: {'2026': 14}; solicitar corte anual o rectificación con código, identidad y año. Otra familia: 0</v>
      </c>
      <c r="L33" s="180" t="str">
        <v>C / E; PENDIENTE_APROBACION_GOBERNANZA</v>
      </c>
    </row>
    <row r="34" ht="62" customHeight="1">
      <c r="A34" s="180" t="str">
        <v>ISEP</v>
      </c>
      <c r="B34" s="180" t="str">
        <v>2</v>
      </c>
      <c r="C34" s="180" t="str">
        <v>4</v>
      </c>
      <c r="D34" s="180" t="str">
        <v>PROPUESTA_INTERNA_PREDOMINANTE</v>
      </c>
      <c r="E34" s="180" t="str">
        <v>PROPUESTA_INTERNA_PREDOMINANTE</v>
      </c>
      <c r="F34" s="180" t="n">
        <v>20</v>
      </c>
      <c r="G34" s="180" t="n">
        <v>36</v>
      </c>
      <c r="H34" s="180" t="n">
        <v>34</v>
      </c>
      <c r="I34" s="180" t="n">
        <v>2</v>
      </c>
      <c r="J34" s="180" t="str">
        <v>I162S2C125J4V1</v>
      </c>
      <c r="K34" s="180" t="str">
        <v>Falta matrícula misma identidad/año/familia: {'2026': 2}; solicitar corte anual o rectificación con código, identidad y año. Otra familia: 0</v>
      </c>
      <c r="L34" s="180" t="str">
        <v>C / E; PENDIENTE_APROBACION_GOBERNANZA</v>
      </c>
    </row>
    <row r="35" ht="62" customHeight="1">
      <c r="A35" s="180" t="str">
        <v>NATP</v>
      </c>
      <c r="B35" s="180" t="str">
        <v>2</v>
      </c>
      <c r="C35" s="180" t="str">
        <v>2</v>
      </c>
      <c r="D35" s="180" t="str">
        <v>PROPUESTA_INTERNA_PREDOMINANTE</v>
      </c>
      <c r="E35" s="180" t="str">
        <v>PROPUESTA_INTERNA_PREDOMINANTE</v>
      </c>
      <c r="F35" s="180" t="n">
        <v>22</v>
      </c>
      <c r="G35" s="180" t="n">
        <v>45</v>
      </c>
      <c r="H35" s="180" t="n">
        <v>42</v>
      </c>
      <c r="I35" s="180" t="n">
        <v>3</v>
      </c>
      <c r="J35" s="180" t="str">
        <v>I162S2C90J2V2</v>
      </c>
      <c r="K35" s="180" t="str">
        <v>Falta matrícula misma identidad/año/familia: {'2026': 3}; solicitar corte anual o rectificación con código, identidad y año. Otra familia: 0</v>
      </c>
      <c r="L35" s="180" t="str">
        <v>C / E; PENDIENTE_APROBACION_GOBERNANZA</v>
      </c>
    </row>
    <row r="36" ht="62" customHeight="1">
      <c r="A36" s="180" t="str">
        <v>NAUTRE</v>
      </c>
      <c r="B36" s="180" t="str">
        <v>2</v>
      </c>
      <c r="C36" s="180" t="str">
        <v>2</v>
      </c>
      <c r="D36" s="180" t="str">
        <v>PENDIENTE_SIN_MATCH</v>
      </c>
      <c r="E36" s="180" t="str">
        <v>PROPUESTA_METODOLOGICA_NO_APROBADA</v>
      </c>
      <c r="F36" s="180" t="n">
        <v>7</v>
      </c>
      <c r="G36" s="180" t="n">
        <v>18</v>
      </c>
      <c r="H36" s="180" t="n">
        <v>18</v>
      </c>
      <c r="I36" s="180" t="n">
        <v>0</v>
      </c>
      <c r="J36" s="180" t="str">
        <v>I162S2C22J2V2</v>
      </c>
      <c r="K36" s="180" t="str">
        <v>Sin contradicción en observaciones disponibles; no certifica vigencia individual ni regla prospectiva. No acreditados TODOS los controles originales.</v>
      </c>
      <c r="L36" s="180" t="str">
        <v>C / E; PENDIENTE_APROBACION_GOBERNANZA</v>
      </c>
    </row>
    <row r="37" ht="62" customHeight="1">
      <c r="A37" s="180" t="str">
        <v>NCONRE</v>
      </c>
      <c r="B37" s="180" t="str">
        <v>2</v>
      </c>
      <c r="C37" s="180" t="str">
        <v>2</v>
      </c>
      <c r="D37" s="180" t="str">
        <v>PENDIENTE_MULTIPLE_O_BAJA_COBERTURA</v>
      </c>
      <c r="E37" s="180" t="str">
        <v>PENDIENTE_MULTIPLE_O_BAJA_COBERTURA</v>
      </c>
      <c r="F37" s="180" t="n">
        <v>109</v>
      </c>
      <c r="G37" s="180" t="n">
        <v>261</v>
      </c>
      <c r="H37" s="180" t="n">
        <v>259</v>
      </c>
      <c r="I37" s="180" t="n">
        <v>2</v>
      </c>
      <c r="J37" s="180" t="str">
        <v>I162S2C3J2V3; I162S2C3J2V4</v>
      </c>
      <c r="K37" s="180" t="str">
        <v>Falta matrícula misma identidad/año/familia: {'2020': 2}; solicitar corte anual o rectificación con código, identidad y año. Otra familia: 0</v>
      </c>
      <c r="L37" s="180" t="str">
        <v>C / E; PENDIENTE_APROBACION_GOBERNANZA</v>
      </c>
    </row>
    <row r="38" ht="62" customHeight="1">
      <c r="A38" s="180" t="str">
        <v>NCONRE</v>
      </c>
      <c r="B38" s="180" t="str">
        <v>2</v>
      </c>
      <c r="C38" s="180" t="str">
        <v>4</v>
      </c>
      <c r="D38" s="180" t="str">
        <v>PROPUESTA_INTERNA_PREDOMINANTE</v>
      </c>
      <c r="E38" s="180" t="str">
        <v>PROPUESTA_INTERNA_PREDOMINANTE</v>
      </c>
      <c r="F38" s="180" t="n">
        <v>2</v>
      </c>
      <c r="G38" s="180" t="n">
        <v>5</v>
      </c>
      <c r="H38" s="180" t="n">
        <v>0</v>
      </c>
      <c r="I38" s="180" t="n">
        <v>5</v>
      </c>
      <c r="J38" s="2" t="str"/>
      <c r="K38" s="180" t="str">
        <v>Falta matrícula misma identidad/año/familia: {'2019': 4, '2020': 1}; solicitar corte anual o rectificación con código, identidad y año. Otra familia: 5</v>
      </c>
      <c r="L38" s="180" t="str">
        <v>C / E; PENDIENTE_APROBACION_GOBERNANZA</v>
      </c>
    </row>
    <row r="39" ht="62" customHeight="1">
      <c r="A39" s="180" t="str">
        <v>NCONREOL</v>
      </c>
      <c r="B39" s="180" t="str">
        <v>2</v>
      </c>
      <c r="C39" s="180" t="str">
        <v>4</v>
      </c>
      <c r="D39" s="180" t="str">
        <v>PROPUESTA_INTERNA_PREDOMINANTE</v>
      </c>
      <c r="E39" s="180" t="str">
        <v>PROPUESTA_INTERNA_PREDOMINANTE</v>
      </c>
      <c r="F39" s="180" t="n">
        <v>58</v>
      </c>
      <c r="G39" s="180" t="n">
        <v>226</v>
      </c>
      <c r="H39" s="180" t="n">
        <v>220</v>
      </c>
      <c r="I39" s="180" t="n">
        <v>6</v>
      </c>
      <c r="J39" s="180" t="str">
        <v>I162S2C3J4V1; I162S2C3J4V2; I162S2C3J4V3</v>
      </c>
      <c r="K39" s="180" t="str">
        <v>Falta matrícula misma identidad/año/familia: {'2019': 3, '2020': 3}; solicitar corte anual o rectificación con código, identidad y año. Otra familia: 1</v>
      </c>
      <c r="L39" s="180" t="str">
        <v>C / E; PENDIENTE_APROBACION_GOBERNANZA</v>
      </c>
    </row>
    <row r="40" ht="62" customHeight="1">
      <c r="A40" s="180" t="str">
        <v>NECIRE</v>
      </c>
      <c r="B40" s="180" t="str">
        <v>2</v>
      </c>
      <c r="C40" s="180" t="str">
        <v>2</v>
      </c>
      <c r="D40" s="180" t="str">
        <v>PENDIENTE_SIN_MATCH</v>
      </c>
      <c r="E40" s="180" t="str">
        <v>PROPUESTA_METODOLOGICA_NO_APROBADA</v>
      </c>
      <c r="F40" s="180" t="n">
        <v>4</v>
      </c>
      <c r="G40" s="180" t="n">
        <v>5</v>
      </c>
      <c r="H40" s="180" t="n">
        <v>5</v>
      </c>
      <c r="I40" s="180" t="n">
        <v>0</v>
      </c>
      <c r="J40" s="180" t="str">
        <v>I162S2C1J2V2</v>
      </c>
      <c r="K40" s="180" t="str">
        <v>Sin contradicción en observaciones disponibles; no certifica vigencia individual ni regla prospectiva. No acreditados TODOS los controles originales.</v>
      </c>
      <c r="L40" s="180" t="str">
        <v>C / E; PENDIENTE_APROBACION_GOBERNANZA</v>
      </c>
    </row>
    <row r="41" ht="62" customHeight="1">
      <c r="A41" s="180" t="str">
        <v>NETMRE</v>
      </c>
      <c r="B41" s="180" t="str">
        <v>2</v>
      </c>
      <c r="C41" s="180" t="str">
        <v>2</v>
      </c>
      <c r="D41" s="180" t="str">
        <v>PENDIENTE_SIN_MATCH</v>
      </c>
      <c r="E41" s="180" t="str">
        <v>PENDIENTE_SIN_MATCH</v>
      </c>
      <c r="F41" s="180" t="n">
        <v>2</v>
      </c>
      <c r="G41" s="180" t="n">
        <v>2</v>
      </c>
      <c r="H41" s="180" t="n">
        <v>2</v>
      </c>
      <c r="I41" s="180" t="n">
        <v>0</v>
      </c>
      <c r="J41" s="180" t="str">
        <v>I162S2C3J2V2</v>
      </c>
      <c r="K41" s="180" t="str">
        <v>Muestra inferior a 3; conservar umbral. Requiere más expedientes o relación documental institucional explícita.</v>
      </c>
      <c r="L41" s="180" t="str">
        <v>C / E; PENDIENTE_APROBACION_GOBERNANZA</v>
      </c>
    </row>
    <row r="42" ht="62" customHeight="1">
      <c r="A42" s="180" t="str">
        <v>NETMRE</v>
      </c>
      <c r="B42" s="180" t="str">
        <v>2</v>
      </c>
      <c r="C42" s="180" t="str">
        <v>4</v>
      </c>
      <c r="D42" s="180" t="str">
        <v>PENDIENTE_SIN_MATCH</v>
      </c>
      <c r="E42" s="180" t="str">
        <v>PENDIENTE_SIN_MATCH</v>
      </c>
      <c r="F42" s="180" t="n">
        <v>0</v>
      </c>
      <c r="G42" s="180" t="n">
        <v>0</v>
      </c>
      <c r="H42" s="180" t="n">
        <v>0</v>
      </c>
      <c r="I42" s="180" t="n">
        <v>0</v>
      </c>
      <c r="J42" s="2" t="str"/>
      <c r="K42" s="180" t="str">
        <v>Sin observaciones PROMEDIOS en jornada exacta; requiere expediente/plan histórico con jornada, no reasignar desde otra jornada.</v>
      </c>
      <c r="L42" s="180" t="str">
        <v>C / E; PENDIENTE_APROBACION_GOBERNANZA</v>
      </c>
    </row>
    <row r="43" ht="62" customHeight="1">
      <c r="A43" s="180" t="str">
        <v>NICCRE</v>
      </c>
      <c r="B43" s="180" t="str">
        <v>2</v>
      </c>
      <c r="C43" s="180" t="str">
        <v>2</v>
      </c>
      <c r="D43" s="180" t="str">
        <v>PENDIENTE_SIN_MATCH</v>
      </c>
      <c r="E43" s="180" t="str">
        <v>PENDIENTE_SIN_MATCH</v>
      </c>
      <c r="F43" s="180" t="n">
        <v>9</v>
      </c>
      <c r="G43" s="180" t="n">
        <v>31</v>
      </c>
      <c r="H43" s="180" t="n">
        <v>30</v>
      </c>
      <c r="I43" s="180" t="n">
        <v>1</v>
      </c>
      <c r="J43" s="180" t="str">
        <v>I162S2C46J2V3</v>
      </c>
      <c r="K43" s="180" t="str">
        <v>Falta matrícula misma identidad/año/familia: {'2020': 1}; solicitar corte anual o rectificación con código, identidad y año. Otra familia: 0</v>
      </c>
      <c r="L43" s="180" t="str">
        <v>C / E; PENDIENTE_APROBACION_GOBERNANZA</v>
      </c>
    </row>
    <row r="44" ht="62" customHeight="1">
      <c r="A44" s="180" t="str">
        <v>NICCREOL</v>
      </c>
      <c r="B44" s="180" t="str">
        <v>2</v>
      </c>
      <c r="C44" s="180" t="str">
        <v>4</v>
      </c>
      <c r="D44" s="180" t="str">
        <v>PENDIENTE_SIN_MATCH</v>
      </c>
      <c r="E44" s="180" t="str">
        <v>PROPUESTA_METODOLOGICA_NO_APROBADA</v>
      </c>
      <c r="F44" s="180" t="n">
        <v>9</v>
      </c>
      <c r="G44" s="180" t="n">
        <v>45</v>
      </c>
      <c r="H44" s="180" t="n">
        <v>45</v>
      </c>
      <c r="I44" s="180" t="n">
        <v>0</v>
      </c>
      <c r="J44" s="180" t="str">
        <v>I162S2C46J4V1</v>
      </c>
      <c r="K44" s="180" t="str">
        <v>Sin contradicción en observaciones disponibles; no certifica vigencia individual ni regla prospectiva. No acreditados TODOS los controles originales.</v>
      </c>
      <c r="L44" s="180" t="str">
        <v>C / E; PENDIENTE_APROBACION_GOBERNANZA</v>
      </c>
    </row>
    <row r="45" ht="62" customHeight="1">
      <c r="A45" s="180" t="str">
        <v>NICIRE</v>
      </c>
      <c r="B45" s="180" t="str">
        <v>2</v>
      </c>
      <c r="C45" s="180" t="str">
        <v>2</v>
      </c>
      <c r="D45" s="180" t="str">
        <v>PENDIENTE_SIN_MATCH</v>
      </c>
      <c r="E45" s="180" t="str">
        <v>PENDIENTE_SIN_MATCH</v>
      </c>
      <c r="F45" s="180" t="n">
        <v>1</v>
      </c>
      <c r="G45" s="180" t="n">
        <v>1</v>
      </c>
      <c r="H45" s="180" t="n">
        <v>1</v>
      </c>
      <c r="I45" s="180" t="n">
        <v>0</v>
      </c>
      <c r="J45" s="180" t="str">
        <v>I162S2C1J2V2</v>
      </c>
      <c r="K45" s="180" t="str">
        <v>Muestra inferior a 3; conservar umbral. Requiere más expedientes o relación documental institucional explícita.</v>
      </c>
      <c r="L45" s="180" t="str">
        <v>C / E; PENDIENTE_APROBACION_GOBERNANZA</v>
      </c>
    </row>
    <row r="46" ht="62" customHeight="1">
      <c r="A46" s="180" t="str">
        <v>NINFRE</v>
      </c>
      <c r="B46" s="180" t="str">
        <v>2</v>
      </c>
      <c r="C46" s="180" t="str">
        <v>2</v>
      </c>
      <c r="D46" s="180" t="str">
        <v>PENDIENTE_SIN_MATCH</v>
      </c>
      <c r="E46" s="180" t="str">
        <v>PENDIENTE_SIN_MATCH</v>
      </c>
      <c r="F46" s="180" t="n">
        <v>42</v>
      </c>
      <c r="G46" s="180" t="n">
        <v>61</v>
      </c>
      <c r="H46" s="180" t="n">
        <v>60</v>
      </c>
      <c r="I46" s="180" t="n">
        <v>1</v>
      </c>
      <c r="J46" s="180" t="str">
        <v>I162S2C1J2V3</v>
      </c>
      <c r="K46" s="180" t="str">
        <v>Falta matrícula misma identidad/año/familia: {'2020': 1}; solicitar corte anual o rectificación con código, identidad y año. Otra familia: 0</v>
      </c>
      <c r="L46" s="180" t="str">
        <v>C / E; PENDIENTE_APROBACION_GOBERNANZA</v>
      </c>
    </row>
    <row r="47" ht="62" customHeight="1">
      <c r="A47" s="180" t="str">
        <v>NINFREOL</v>
      </c>
      <c r="B47" s="180" t="str">
        <v>2</v>
      </c>
      <c r="C47" s="180" t="str">
        <v>4</v>
      </c>
      <c r="D47" s="180" t="str">
        <v>PENDIENTE_MULTIPLE_O_BAJA_COBERTURA</v>
      </c>
      <c r="E47" s="180" t="str">
        <v>PROPUESTA_METODOLOGICA_NO_APROBADA</v>
      </c>
      <c r="F47" s="180" t="n">
        <v>16</v>
      </c>
      <c r="G47" s="180" t="n">
        <v>39</v>
      </c>
      <c r="H47" s="180" t="n">
        <v>39</v>
      </c>
      <c r="I47" s="180" t="n">
        <v>0</v>
      </c>
      <c r="J47" s="180" t="str">
        <v>I162S2C1J4V3</v>
      </c>
      <c r="K47" s="180" t="str">
        <v>Sin contradicción en observaciones disponibles; no certifica vigencia individual ni regla prospectiva. No acreditados TODOS los controles originales.</v>
      </c>
      <c r="L47" s="180" t="str">
        <v>C / E; PENDIENTE_APROBACION_GOBERNANZA</v>
      </c>
    </row>
    <row r="48" ht="62" customHeight="1">
      <c r="A48" s="180" t="str">
        <v>NITMRE</v>
      </c>
      <c r="B48" s="180" t="str">
        <v>2</v>
      </c>
      <c r="C48" s="180" t="str">
        <v>2</v>
      </c>
      <c r="D48" s="180" t="str">
        <v>PENDIENTE_SIN_MATCH</v>
      </c>
      <c r="E48" s="180" t="str">
        <v>PENDIENTE_SIN_MATCH</v>
      </c>
      <c r="F48" s="180" t="n">
        <v>1</v>
      </c>
      <c r="G48" s="180" t="n">
        <v>1</v>
      </c>
      <c r="H48" s="180" t="n">
        <v>1</v>
      </c>
      <c r="I48" s="180" t="n">
        <v>0</v>
      </c>
      <c r="J48" s="180" t="str">
        <v>I162S2C3J2V3</v>
      </c>
      <c r="K48" s="180" t="str">
        <v>Muestra inferior a 3; conservar umbral. Requiere más expedientes o relación documental institucional explícita. Plan catalogado corresponde a NCONRE; se requiere asignación de plan y trazabilidad de extracción.</v>
      </c>
      <c r="L48" s="180" t="str">
        <v>C / E; PENDIENTE_APROBACION_GOBERNANZA</v>
      </c>
    </row>
    <row r="49" ht="62" customHeight="1">
      <c r="A49" s="180" t="str">
        <v>NTCCRE</v>
      </c>
      <c r="B49" s="180" t="str">
        <v>2</v>
      </c>
      <c r="C49" s="180" t="str">
        <v>2</v>
      </c>
      <c r="D49" s="180" t="str">
        <v>PROPUESTA_INTERNA_PREDOMINANTE</v>
      </c>
      <c r="E49" s="180" t="str">
        <v>PROPUESTA_INTERNA_PREDOMINANTE</v>
      </c>
      <c r="F49" s="180" t="n">
        <v>44</v>
      </c>
      <c r="G49" s="180" t="n">
        <v>184</v>
      </c>
      <c r="H49" s="180" t="n">
        <v>184</v>
      </c>
      <c r="I49" s="180" t="n">
        <v>0</v>
      </c>
      <c r="J49" s="180" t="str">
        <v>I162S2C46J2V2; I162S2C46J2V3; I162S2C46J2V1</v>
      </c>
      <c r="K49" s="180" t="str">
        <v>Sin contradicción en observaciones disponibles; no certifica vigencia individual ni regla prospectiva.</v>
      </c>
      <c r="L49" s="180" t="str">
        <v>C / E; PENDIENTE_APROBACION_GOBERNANZA</v>
      </c>
    </row>
    <row r="50" ht="62" customHeight="1">
      <c r="A50" s="180" t="str">
        <v>NTCCREOL</v>
      </c>
      <c r="B50" s="180" t="str">
        <v>2</v>
      </c>
      <c r="C50" s="180" t="str">
        <v>4</v>
      </c>
      <c r="D50" s="180" t="str">
        <v>PROPUESTA_INTERNA_PREDOMINANTE</v>
      </c>
      <c r="E50" s="180" t="str">
        <v>PROPUESTA_INTERNA_PREDOMINANTE</v>
      </c>
      <c r="F50" s="180" t="n">
        <v>20</v>
      </c>
      <c r="G50" s="180" t="n">
        <v>142</v>
      </c>
      <c r="H50" s="180" t="n">
        <v>136</v>
      </c>
      <c r="I50" s="180" t="n">
        <v>6</v>
      </c>
      <c r="J50" s="180" t="str">
        <v>I162S2C46J4V3; I162S2C46J4V2</v>
      </c>
      <c r="K50" s="180" t="str">
        <v>Falta matrícula misma identidad/año/familia: {'2020': 6}; solicitar corte anual o rectificación con código, identidad y año. Otra familia: 0</v>
      </c>
      <c r="L50" s="180" t="str">
        <v>C / E; PENDIENTE_APROBACION_GOBERNANZA</v>
      </c>
    </row>
    <row r="51" ht="62" customHeight="1">
      <c r="A51" s="180" t="str">
        <v>TAMD</v>
      </c>
      <c r="B51" s="180" t="str">
        <v>2</v>
      </c>
      <c r="C51" s="180" t="str">
        <v>2</v>
      </c>
      <c r="D51" s="180" t="str">
        <v>PROPUESTA_INTERNA_PREDOMINANTE</v>
      </c>
      <c r="E51" s="180" t="str">
        <v>PROPUESTA_INTERNA_PREDOMINANTE</v>
      </c>
      <c r="F51" s="180" t="n">
        <v>41</v>
      </c>
      <c r="G51" s="180" t="n">
        <v>112</v>
      </c>
      <c r="H51" s="180" t="n">
        <v>103</v>
      </c>
      <c r="I51" s="180" t="n">
        <v>9</v>
      </c>
      <c r="J51" s="180" t="str">
        <v>I162S2C78J2V1</v>
      </c>
      <c r="K51" s="180" t="str">
        <v>Falta matrícula misma identidad/año/familia: {'2025': 6, '2026': 3}; solicitar corte anual o rectificación con código, identidad y año. Otra familia: 0</v>
      </c>
      <c r="L51" s="180" t="str">
        <v>C / E; PENDIENTE_APROBACION_GOBERNANZA</v>
      </c>
    </row>
    <row r="52" ht="62" customHeight="1">
      <c r="A52" s="180" t="str">
        <v>TAMD</v>
      </c>
      <c r="B52" s="180" t="str">
        <v>2</v>
      </c>
      <c r="C52" s="180" t="str">
        <v>4</v>
      </c>
      <c r="D52" s="180" t="str">
        <v>PROPUESTA_INTERNA_PREDOMINANTE</v>
      </c>
      <c r="E52" s="180" t="str">
        <v>PROPUESTA_INTERNA_PREDOMINANTE</v>
      </c>
      <c r="F52" s="180" t="n">
        <v>200</v>
      </c>
      <c r="G52" s="180" t="n">
        <v>436</v>
      </c>
      <c r="H52" s="180" t="n">
        <v>324</v>
      </c>
      <c r="I52" s="180" t="n">
        <v>112</v>
      </c>
      <c r="J52" s="180" t="str">
        <v>I162S2C78J4V1</v>
      </c>
      <c r="K52" s="180" t="str">
        <v>Falta matrícula misma identidad/año/familia: {'2026': 87, '2025': 11, '2024': 14}; solicitar corte anual o rectificación con código, identidad y año. Otra familia: 22</v>
      </c>
      <c r="L52" s="180" t="str">
        <v>C / E; PENDIENTE_APROBACION_GOBERNANZA</v>
      </c>
    </row>
    <row r="53" ht="62" customHeight="1">
      <c r="A53" s="180" t="str">
        <v>TCIB</v>
      </c>
      <c r="B53" s="180" t="str">
        <v>2</v>
      </c>
      <c r="C53" s="180" t="str">
        <v>4</v>
      </c>
      <c r="D53" s="180" t="str">
        <v>PROPUESTA_INTERNA_PREDOMINANTE</v>
      </c>
      <c r="E53" s="180" t="str">
        <v>PROPUESTA_INTERNA_PREDOMINANTE</v>
      </c>
      <c r="F53" s="180" t="n">
        <v>272</v>
      </c>
      <c r="G53" s="180" t="n">
        <v>823</v>
      </c>
      <c r="H53" s="180" t="n">
        <v>724</v>
      </c>
      <c r="I53" s="180" t="n">
        <v>99</v>
      </c>
      <c r="J53" s="180" t="str">
        <v>I162S2C47J4V1</v>
      </c>
      <c r="K53" s="180" t="str">
        <v>Falta matrícula misma identidad/año/familia: {'2025': 19, '2024': 24, '2026': 56}; solicitar corte anual o rectificación con código, identidad y año. Otra familia: 23</v>
      </c>
      <c r="L53" s="180" t="str">
        <v>C / E; PENDIENTE_APROBACION_GOBERNANZA</v>
      </c>
    </row>
    <row r="54" ht="62" customHeight="1">
      <c r="A54" s="180" t="str">
        <v>TCRE</v>
      </c>
      <c r="B54" s="180" t="str">
        <v>2</v>
      </c>
      <c r="C54" s="180" t="str">
        <v>1</v>
      </c>
      <c r="D54" s="180" t="str">
        <v>PENDIENTE_MULTIPLE_O_BAJA_COBERTURA</v>
      </c>
      <c r="E54" s="180" t="str">
        <v>PENDIENTE_MULTIPLE_O_BAJA_COBERTURA</v>
      </c>
      <c r="F54" s="180" t="n">
        <v>0</v>
      </c>
      <c r="G54" s="180" t="n">
        <v>0</v>
      </c>
      <c r="H54" s="180" t="n">
        <v>0</v>
      </c>
      <c r="I54" s="180" t="n">
        <v>0</v>
      </c>
      <c r="J54" s="2" t="str"/>
      <c r="K54" s="180" t="str">
        <v>Sin observaciones PROMEDIOS en jornada exacta; requiere expediente/plan histórico con jornada, no reasignar desde otra jornada.</v>
      </c>
      <c r="L54" s="180" t="str">
        <v>C / E; PENDIENTE_APROBACION_GOBERNANZA</v>
      </c>
    </row>
    <row r="55" ht="62" customHeight="1">
      <c r="A55" s="180" t="str">
        <v>TCRE</v>
      </c>
      <c r="B55" s="180" t="str">
        <v>2</v>
      </c>
      <c r="C55" s="180" t="str">
        <v>2</v>
      </c>
      <c r="D55" s="180" t="str">
        <v>PENDIENTE_MULTIPLE_O_BAJA_COBERTURA</v>
      </c>
      <c r="E55" s="180" t="str">
        <v>PROPUESTA_METODOLOGICA_NO_APROBADA</v>
      </c>
      <c r="F55" s="180" t="n">
        <v>10</v>
      </c>
      <c r="G55" s="180" t="n">
        <v>27</v>
      </c>
      <c r="H55" s="180" t="n">
        <v>27</v>
      </c>
      <c r="I55" s="180" t="n">
        <v>0</v>
      </c>
      <c r="J55" s="180" t="str">
        <v>I162S2C6J2V2; I162S2C6J2V1</v>
      </c>
      <c r="K55" s="180" t="str">
        <v>Sin contradicción en observaciones disponibles; no certifica vigencia individual ni regla prospectiva. No acreditados TODOS los controles originales.</v>
      </c>
      <c r="L55" s="180" t="str">
        <v>C / E; PENDIENTE_APROBACION_GOBERNANZA</v>
      </c>
    </row>
    <row r="56" ht="62" customHeight="1">
      <c r="A56" s="180" t="str">
        <v>TCRE</v>
      </c>
      <c r="B56" s="180" t="str">
        <v>2</v>
      </c>
      <c r="C56" s="180" t="str">
        <v>4</v>
      </c>
      <c r="D56" s="180" t="str">
        <v>PROPUESTA_INTERNA_PREDOMINANTE</v>
      </c>
      <c r="E56" s="180" t="str">
        <v>PROPUESTA_INTERNA_PREDOMINANTE</v>
      </c>
      <c r="F56" s="180" t="n">
        <v>101</v>
      </c>
      <c r="G56" s="180" t="n">
        <v>299</v>
      </c>
      <c r="H56" s="180" t="n">
        <v>282</v>
      </c>
      <c r="I56" s="180" t="n">
        <v>17</v>
      </c>
      <c r="J56" s="180" t="str">
        <v>I162S2C6J4V2</v>
      </c>
      <c r="K56" s="180" t="str">
        <v>Falta matrícula misma identidad/año/familia: {'2025': 5, '2024': 9, '2026': 3}; solicitar corte anual o rectificación con código, identidad y año. Otra familia: 3</v>
      </c>
      <c r="L56" s="180" t="str">
        <v>C / E; PENDIENTE_APROBACION_GOBERNANZA</v>
      </c>
    </row>
    <row r="57" ht="62" customHeight="1">
      <c r="A57" s="180" t="str">
        <v>TCSREOL</v>
      </c>
      <c r="B57" s="180" t="str">
        <v>2</v>
      </c>
      <c r="C57" s="180" t="str">
        <v>4</v>
      </c>
      <c r="D57" s="180" t="str">
        <v>PROPUESTA_INTERNA_PREDOMINANTE</v>
      </c>
      <c r="E57" s="180" t="str">
        <v>PROPUESTA_INTERNA_PREDOMINANTE</v>
      </c>
      <c r="F57" s="180" t="n">
        <v>206</v>
      </c>
      <c r="G57" s="180" t="n">
        <v>893</v>
      </c>
      <c r="H57" s="180" t="n">
        <v>810</v>
      </c>
      <c r="I57" s="180" t="n">
        <v>83</v>
      </c>
      <c r="J57" s="180" t="str">
        <v>I162S2C47J4V1</v>
      </c>
      <c r="K57" s="180" t="str">
        <v>Falta matrícula misma identidad/año/familia: {'2021': 18, '2023': 34, '2020': 15, '2022': 14, '2024': 2}; solicitar corte anual o rectificación con código, identidad y año. Otra familia: 7</v>
      </c>
      <c r="L57" s="180" t="str">
        <v>C / E; PENDIENTE_APROBACION_GOBERNANZA</v>
      </c>
    </row>
    <row r="58" ht="62" customHeight="1">
      <c r="A58" s="180" t="str">
        <v>TLOG</v>
      </c>
      <c r="B58" s="180" t="str">
        <v>2</v>
      </c>
      <c r="C58" s="180" t="str">
        <v>4</v>
      </c>
      <c r="D58" s="180" t="str">
        <v>PROPUESTA_INTERNA_PREDOMINANTE</v>
      </c>
      <c r="E58" s="180" t="str">
        <v>PROPUESTA_INTERNA_PREDOMINANTE</v>
      </c>
      <c r="F58" s="180" t="n">
        <v>174</v>
      </c>
      <c r="G58" s="180" t="n">
        <v>471</v>
      </c>
      <c r="H58" s="180" t="n">
        <v>393</v>
      </c>
      <c r="I58" s="180" t="n">
        <v>78</v>
      </c>
      <c r="J58" s="180" t="str">
        <v>I162S2C79J4V1</v>
      </c>
      <c r="K58" s="180" t="str">
        <v>Falta matrícula misma identidad/año/familia: {'2025': 14, '2026': 60, '2024': 4}; solicitar corte anual o rectificación con código, identidad y año. Otra familia: 17</v>
      </c>
      <c r="L58" s="180" t="str">
        <v>C / E; PENDIENTE_APROBACION_GOBERNANZA</v>
      </c>
    </row>
    <row r="59" ht="62" customHeight="1">
      <c r="A59" s="180" t="str">
        <v>TPAREOL</v>
      </c>
      <c r="B59" s="180" t="str">
        <v>2</v>
      </c>
      <c r="C59" s="180" t="str">
        <v>4</v>
      </c>
      <c r="D59" s="180" t="str">
        <v>PROPUESTA_INTERNA_PREDOMINANTE</v>
      </c>
      <c r="E59" s="180" t="str">
        <v>PROPUESTA_INTERNA_PREDOMINANTE</v>
      </c>
      <c r="F59" s="180" t="n">
        <v>416</v>
      </c>
      <c r="G59" s="180" t="n">
        <v>2216</v>
      </c>
      <c r="H59" s="180" t="n">
        <v>1988</v>
      </c>
      <c r="I59" s="180" t="n">
        <v>228</v>
      </c>
      <c r="J59" s="180" t="str">
        <v>I162S2C57J4V1</v>
      </c>
      <c r="K59" s="180" t="str">
        <v>Falta matrícula misma identidad/año/familia: {'2022': 63, '2023': 102, '2021': 46, '2020': 9, '2025': 2, '2024': 6}; solicitar corte anual o rectificación con código, identidad y año. Otra familia: 16</v>
      </c>
      <c r="L59" s="180" t="str">
        <v>C / E; PENDIENTE_APROBACION_GOBERNANZA</v>
      </c>
    </row>
    <row r="60" ht="62" customHeight="1">
      <c r="A60" s="180" t="str">
        <v>TPAS</v>
      </c>
      <c r="B60" s="180" t="str">
        <v>2</v>
      </c>
      <c r="C60" s="180" t="str">
        <v>4</v>
      </c>
      <c r="D60" s="180" t="str">
        <v>PROPUESTA_INTERNA_PREDOMINANTE</v>
      </c>
      <c r="E60" s="180" t="str">
        <v>PROPUESTA_INTERNA_PREDOMINANTE</v>
      </c>
      <c r="F60" s="180" t="n">
        <v>532</v>
      </c>
      <c r="G60" s="180" t="n">
        <v>1763</v>
      </c>
      <c r="H60" s="180" t="n">
        <v>1525</v>
      </c>
      <c r="I60" s="180" t="n">
        <v>238</v>
      </c>
      <c r="J60" s="180" t="str">
        <v>I162S2C57J4V1</v>
      </c>
      <c r="K60" s="180" t="str">
        <v>Falta matrícula misma identidad/año/familia: {'2024': 78, '2021': 1, '2026': 84, '2025': 74, '2022': 1}; solicitar corte anual o rectificación con código, identidad y año. Otra familia: 54</v>
      </c>
      <c r="L60" s="180" t="str">
        <v>C / E; PENDIENTE_APROBACION_GOBERNANZA</v>
      </c>
    </row>
    <row r="61" ht="62" customHeight="1">
      <c r="A61" s="180" t="str">
        <v>TPCRE</v>
      </c>
      <c r="B61" s="180" t="str">
        <v>2</v>
      </c>
      <c r="C61" s="180" t="str">
        <v>1</v>
      </c>
      <c r="D61" s="180" t="str">
        <v>PENDIENTE_MULTIPLE_O_BAJA_COBERTURA</v>
      </c>
      <c r="E61" s="180" t="str">
        <v>PENDIENTE_MULTIPLE_O_BAJA_COBERTURA</v>
      </c>
      <c r="F61" s="180" t="n">
        <v>24</v>
      </c>
      <c r="G61" s="180" t="n">
        <v>77</v>
      </c>
      <c r="H61" s="180" t="n">
        <v>76</v>
      </c>
      <c r="I61" s="180" t="n">
        <v>1</v>
      </c>
      <c r="J61" s="180" t="str">
        <v>I162S2C2J1V2; I162S2C2J1V1</v>
      </c>
      <c r="K61" s="180" t="str">
        <v>Falta matrícula misma identidad/año/familia: {'2020': 1}; solicitar corte anual o rectificación con código, identidad y año. Otra familia: 0</v>
      </c>
      <c r="L61" s="180" t="str">
        <v>C / E; PENDIENTE_APROBACION_GOBERNANZA</v>
      </c>
    </row>
    <row r="62" ht="62" customHeight="1">
      <c r="A62" s="180" t="str">
        <v>TPCRE</v>
      </c>
      <c r="B62" s="180" t="str">
        <v>2</v>
      </c>
      <c r="C62" s="180" t="str">
        <v>2</v>
      </c>
      <c r="D62" s="180" t="str">
        <v>PENDIENTE_SIN_MATCH</v>
      </c>
      <c r="E62" s="180" t="str">
        <v>PENDIENTE_SIN_MATCH</v>
      </c>
      <c r="F62" s="180" t="n">
        <v>42</v>
      </c>
      <c r="G62" s="180" t="n">
        <v>87</v>
      </c>
      <c r="H62" s="180" t="n">
        <v>85</v>
      </c>
      <c r="I62" s="180" t="n">
        <v>2</v>
      </c>
      <c r="J62" s="180" t="str">
        <v>I162S2C2J2V2; I162S2C2J2V1</v>
      </c>
      <c r="K62" s="180" t="str">
        <v>Falta matrícula misma identidad/año/familia: {'2019': 1, '2020': 1}; solicitar corte anual o rectificación con código, identidad y año. Otra familia: 0</v>
      </c>
      <c r="L62" s="180" t="str">
        <v>C / E; PENDIENTE_APROBACION_GOBERNANZA</v>
      </c>
    </row>
    <row r="63" ht="62" customHeight="1">
      <c r="A63" s="180" t="str">
        <v>TPCRE</v>
      </c>
      <c r="B63" s="180" t="str">
        <v>2</v>
      </c>
      <c r="C63" s="180" t="str">
        <v>4</v>
      </c>
      <c r="D63" s="180" t="str">
        <v>PENDIENTE_SIN_MATCH</v>
      </c>
      <c r="E63" s="180" t="str">
        <v>PENDIENTE_SIN_MATCH</v>
      </c>
      <c r="F63" s="180" t="n">
        <v>0</v>
      </c>
      <c r="G63" s="180" t="n">
        <v>0</v>
      </c>
      <c r="H63" s="180" t="n">
        <v>0</v>
      </c>
      <c r="I63" s="180" t="n">
        <v>0</v>
      </c>
      <c r="J63" s="2" t="str"/>
      <c r="K63" s="180" t="str">
        <v>Sin observaciones PROMEDIOS en jornada exacta; requiere expediente/plan histórico con jornada, no reasignar desde otra jornada.</v>
      </c>
      <c r="L63" s="180" t="str">
        <v>C / E; PENDIENTE_APROBACION_GOBERNANZA</v>
      </c>
    </row>
    <row r="64" ht="62" customHeight="1">
      <c r="A64" s="180" t="str">
        <v>TPCREOL</v>
      </c>
      <c r="B64" s="180" t="str">
        <v>2</v>
      </c>
      <c r="C64" s="180" t="str">
        <v>4</v>
      </c>
      <c r="D64" s="180" t="str">
        <v>PENDIENTE_MULTIPLE_O_BAJA_COBERTURA</v>
      </c>
      <c r="E64" s="180" t="str">
        <v>PENDIENTE_MULTIPLE_O_BAJA_COBERTURA</v>
      </c>
      <c r="F64" s="180" t="n">
        <v>26</v>
      </c>
      <c r="G64" s="180" t="n">
        <v>116</v>
      </c>
      <c r="H64" s="180" t="n">
        <v>109</v>
      </c>
      <c r="I64" s="180" t="n">
        <v>7</v>
      </c>
      <c r="J64" s="180" t="str">
        <v>I162S2C2J4V2; I162S2C2J4V1</v>
      </c>
      <c r="K64" s="180" t="str">
        <v>Falta matrícula misma identidad/año/familia: {'2019': 5, '2022': 2}; solicitar corte anual o rectificación con código, identidad y año. Otra familia: 1</v>
      </c>
      <c r="L64" s="180" t="str">
        <v>C / E; PENDIENTE_APROBACION_GOBERNANZA</v>
      </c>
    </row>
    <row r="65" ht="62" customHeight="1">
      <c r="A65" s="180" t="str">
        <v>TTMRE</v>
      </c>
      <c r="B65" s="180" t="str">
        <v>2</v>
      </c>
      <c r="C65" s="180" t="str">
        <v>1</v>
      </c>
      <c r="D65" s="180" t="str">
        <v>PENDIENTE_MULTIPLE_O_BAJA_COBERTURA</v>
      </c>
      <c r="E65" s="180" t="str">
        <v>PENDIENTE_MULTIPLE_O_BAJA_COBERTURA</v>
      </c>
      <c r="F65" s="180" t="n">
        <v>25</v>
      </c>
      <c r="G65" s="180" t="n">
        <v>88</v>
      </c>
      <c r="H65" s="180" t="n">
        <v>81</v>
      </c>
      <c r="I65" s="180" t="n">
        <v>7</v>
      </c>
      <c r="J65" s="180" t="str">
        <v>I162S2C6J1V2; I162S2C6J1V1</v>
      </c>
      <c r="K65" s="180" t="str">
        <v>Falta matrícula misma identidad/año/familia: {'2021': 2, '2020': 2, '2019': 3}; solicitar corte anual o rectificación con código, identidad y año. Otra familia: 0</v>
      </c>
      <c r="L65" s="180" t="str">
        <v>C / E; PENDIENTE_APROBACION_GOBERNANZA</v>
      </c>
    </row>
    <row r="66" ht="62" customHeight="1">
      <c r="A66" s="180" t="str">
        <v>TTMRE</v>
      </c>
      <c r="B66" s="180" t="str">
        <v>2</v>
      </c>
      <c r="C66" s="180" t="str">
        <v>2</v>
      </c>
      <c r="D66" s="180" t="str">
        <v>PENDIENTE_MULTIPLE_O_BAJA_COBERTURA</v>
      </c>
      <c r="E66" s="180" t="str">
        <v>PENDIENTE_MULTIPLE_O_BAJA_COBERTURA</v>
      </c>
      <c r="F66" s="180" t="n">
        <v>80</v>
      </c>
      <c r="G66" s="180" t="n">
        <v>277</v>
      </c>
      <c r="H66" s="180" t="n">
        <v>254</v>
      </c>
      <c r="I66" s="180" t="n">
        <v>23</v>
      </c>
      <c r="J66" s="180" t="str">
        <v>I162S2C6J2V2; I162S2C6J2V1</v>
      </c>
      <c r="K66" s="180" t="str">
        <v>Falta matrícula misma identidad/año/familia: {'2020': 9, '2019': 6, '2022': 3, '2021': 3, '2024': 2}; solicitar corte anual o rectificación con código, identidad y año. Otra familia: 17</v>
      </c>
      <c r="L66" s="180" t="str">
        <v>C / E; PENDIENTE_APROBACION_GOBERNANZA</v>
      </c>
    </row>
    <row r="67" ht="62" customHeight="1">
      <c r="A67" s="180" t="str">
        <v>TTMREOL</v>
      </c>
      <c r="B67" s="180" t="str">
        <v>2</v>
      </c>
      <c r="C67" s="180" t="str">
        <v>4</v>
      </c>
      <c r="D67" s="180" t="str">
        <v>PROPUESTA_INTERNA_PREDOMINANTE</v>
      </c>
      <c r="E67" s="180" t="str">
        <v>PROPUESTA_INTERNA_PREDOMINANTE</v>
      </c>
      <c r="F67" s="180" t="n">
        <v>174</v>
      </c>
      <c r="G67" s="180" t="n">
        <v>836</v>
      </c>
      <c r="H67" s="180" t="n">
        <v>738</v>
      </c>
      <c r="I67" s="180" t="n">
        <v>98</v>
      </c>
      <c r="J67" s="180" t="str">
        <v>I162S2C6J4V2; I162S2C6J4V1</v>
      </c>
      <c r="K67" s="180" t="str">
        <v>Falta matrícula misma identidad/año/familia: {'2022': 23, '2020': 9, '2021': 38, '2023': 19, '2024': 5, '2025': 3, '2019': 1}; solicitar corte anual o rectificación con código, identidad y año. Otra familia: 8</v>
      </c>
      <c r="L67" s="180" t="str">
        <v>C / E; PENDIENTE_APROBACION_GOBERNANZA</v>
      </c>
    </row>
  </sheetData>
  <pageMargins left="0.7" right="0.7" top="0.75" bottom="0.75" header="0.3" footer="0.3"/>
</worksheet>
</file>

<file path=xl/worksheets/sheet36.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22" hidden="0" customWidth="1"/>
    <col min="6" max="6" width="100" hidden="0" customWidth="1"/>
  </cols>
  <sheetData>
    <row r="1" ht="70" customHeight="1">
      <c r="A1" s="183" t="str">
        <v>Corrección V4 y pendientes exactos</v>
      </c>
      <c r="B1" s="5"/>
      <c r="C1" s="5"/>
      <c r="D1" s="5"/>
      <c r="E1" s="5"/>
      <c r="F1" s="5"/>
    </row>
    <row r="2" ht="70" customHeight="1">
      <c r="A2" s="180" t="str">
        <v>B/C/E · sin nuevos cruces ni nuevas fuentes · PENDIENTE_APROBACION_GOBERNANZA</v>
      </c>
      <c r="B2" s="2"/>
      <c r="C2" s="2"/>
      <c r="D2" s="2"/>
      <c r="E2" s="2"/>
      <c r="F2" s="2"/>
    </row>
    <row r="3" ht="70" customHeight="1">
      <c r="A3" s="180" t="str">
        <v>Las ausencias no implican cero estudiantes, deserción ni exclusión del universo.</v>
      </c>
      <c r="B3" s="2"/>
      <c r="C3" s="2"/>
      <c r="D3" s="2"/>
      <c r="E3" s="2"/>
      <c r="F3" s="2"/>
    </row>
    <row r="4" ht="70" customHeight="1">
      <c r="A4" s="185" t="str">
        <v>Dimensión</v>
      </c>
      <c r="B4" s="185" t="str">
        <v>Plan</v>
      </c>
      <c r="C4" s="185" t="str">
        <v>Año PR</v>
      </c>
      <c r="D4" s="185" t="str">
        <v>Periodo PR</v>
      </c>
      <c r="E4" s="185" t="str">
        <v>Faltantes</v>
      </c>
      <c r="F4" s="185" t="str">
        <v>Evidencia / campo requerido</v>
      </c>
    </row>
    <row r="5" ht="70" customHeight="1">
      <c r="A5" s="180" t="str">
        <v>NCONRE/J2</v>
      </c>
      <c r="B5" s="180" t="str">
        <v>NCONRE</v>
      </c>
      <c r="C5" s="180" t="str">
        <v>2020</v>
      </c>
      <c r="D5" s="180" t="str">
        <v>2</v>
      </c>
      <c r="E5" s="180" t="n">
        <v>2</v>
      </c>
      <c r="F5" s="180" t="str">
        <v>Falta código SIES anual exacto: MM_N_DOCUMENTO, MM_DV, MC_CAT_PERIODO, MC_CODIGO_UNICO. DA11248 confirma expediente, no código anual.</v>
      </c>
    </row>
    <row r="6" ht="70" customHeight="1">
      <c r="A6" s="180" t="str">
        <v>NICCRE/J2</v>
      </c>
      <c r="B6" s="180" t="str">
        <v>NICCRE20191</v>
      </c>
      <c r="C6" s="180" t="str">
        <v>2020</v>
      </c>
      <c r="D6" s="180" t="str">
        <v>2</v>
      </c>
      <c r="E6" s="180" t="n">
        <v>1</v>
      </c>
      <c r="F6" s="180" t="str">
        <v>Falta código SIES anual exacto: MM_N_DOCUMENTO, MM_DV, MC_CAT_PERIODO, MC_CODIGO_UNICO. DA11248 confirma expediente, no código anual.</v>
      </c>
    </row>
    <row r="7" ht="70" customHeight="1">
      <c r="A7" s="180" t="str">
        <v>NINFRE/J2</v>
      </c>
      <c r="B7" s="180" t="str">
        <v>NINFRE</v>
      </c>
      <c r="C7" s="180" t="str">
        <v>2020</v>
      </c>
      <c r="D7" s="180" t="str">
        <v>2</v>
      </c>
      <c r="E7" s="180" t="n">
        <v>1</v>
      </c>
      <c r="F7" s="180" t="str">
        <v>Falta código SIES anual exacto: MM_N_DOCUMENTO, MM_DV, MC_CAT_PERIODO, MC_CODIGO_UNICO. DA11248 confirma expediente, no código anual.</v>
      </c>
    </row>
    <row r="8" ht="70" customHeight="1">
      <c r="A8" s="180" t="str">
        <v>TPCRE/J1</v>
      </c>
      <c r="B8" s="180" t="str">
        <v>TPCRE20191</v>
      </c>
      <c r="C8" s="180" t="str">
        <v>2020</v>
      </c>
      <c r="D8" s="180" t="str">
        <v>2</v>
      </c>
      <c r="E8" s="180" t="n">
        <v>1</v>
      </c>
      <c r="F8" s="180" t="str">
        <v>Falta código SIES anual exacto: MM_N_DOCUMENTO, MM_DV, MC_CAT_PERIODO, MC_CODIGO_UNICO. DA11248 confirma expediente, no código anual.</v>
      </c>
    </row>
    <row r="9" ht="70" customHeight="1">
      <c r="A9" s="180" t="str">
        <v>TPCRE/J2</v>
      </c>
      <c r="B9" s="180" t="str">
        <v>TPCRE20191</v>
      </c>
      <c r="C9" s="180" t="str">
        <v>2019</v>
      </c>
      <c r="D9" s="180" t="str">
        <v>2</v>
      </c>
      <c r="E9" s="180" t="n">
        <v>1</v>
      </c>
      <c r="F9" s="180" t="str">
        <v>Falta código SIES anual exacto: MM_N_DOCUMENTO, MM_DV, MC_CAT_PERIODO, MC_CODIGO_UNICO. DA11248 confirma expediente, no código anual.</v>
      </c>
    </row>
    <row r="10" ht="70" customHeight="1">
      <c r="A10" s="180" t="str">
        <v>TPCRE/J2</v>
      </c>
      <c r="B10" s="180" t="str">
        <v>TPCRE20191</v>
      </c>
      <c r="C10" s="180" t="str">
        <v>2020</v>
      </c>
      <c r="D10" s="180" t="str">
        <v>2</v>
      </c>
      <c r="E10" s="180" t="n">
        <v>1</v>
      </c>
      <c r="F10" s="180" t="str">
        <v>Falta código SIES anual exacto: MM_N_DOCUMENTO, MM_DV, MC_CAT_PERIODO, MC_CODIGO_UNICO. DA11248 confirma expediente, no código anual.</v>
      </c>
    </row>
    <row r="11" ht="70" customHeight="1">
      <c r="A11" s="180" t="str">
        <v>NINFRE/J2</v>
      </c>
      <c r="B11" s="180" t="str">
        <v>NINFRE</v>
      </c>
      <c r="C11" s="180" t="str">
        <v>2019</v>
      </c>
      <c r="D11" s="180" t="str">
        <v>1 y 2</v>
      </c>
      <c r="E11" s="180" t="n">
        <v>2</v>
      </c>
      <c r="F11" s="180" t="str">
        <v>Contexto expediente/identidad/sede/jornada no concordante en DA12159 ni recuperado en DA11248; adicional al faltante anual 2020.</v>
      </c>
    </row>
    <row r="12" ht="70" customHeight="1">
      <c r="A12" s="180" t="str">
        <v>TCRE/J2</v>
      </c>
      <c r="B12" s="2" t="str"/>
      <c r="C12" s="2" t="str"/>
      <c r="D12" s="2" t="str"/>
      <c r="E12" s="2" t="str"/>
      <c r="F12" s="180" t="str">
        <v>8/10=80% &lt;90%; no asignar versión fija. Propuesta contextual solo metodológica.</v>
      </c>
    </row>
    <row r="13" ht="70" customHeight="1">
      <c r="A13" s="180" t="str">
        <v>Controles originales</v>
      </c>
      <c r="B13" s="2" t="str"/>
      <c r="C13" s="2" t="str"/>
      <c r="D13" s="2" t="str"/>
      <c r="E13" s="2" t="str"/>
      <c r="F13" s="180" t="str">
        <v>≥90%, n≥3, compatibilidad tipo de plan y conciliación total MU. No acreditados todos para las cinco propuestas.</v>
      </c>
    </row>
    <row r="14" ht="70" customHeight="1">
      <c r="A14" s="180" t="str">
        <v>Bitácora 2026-10-22</v>
      </c>
      <c r="B14" s="2" t="str"/>
      <c r="C14" s="2" t="str"/>
      <c r="D14" s="2" t="str"/>
      <c r="E14" s="2" t="str"/>
      <c r="F14" s="180" t="str">
        <v>V4 corrige presentación de V3: 38,10% permanece línea base original; 30,16% escenario no aprobado; 12,70% validación contextual observacional. No nueva evidencia.</v>
      </c>
    </row>
  </sheetData>
  <pageMargins left="0.7" right="0.7" top="0.75" bottom="0.75" header="0.3" footer="0.3"/>
</worksheet>
</file>

<file path=xl/worksheets/sheet37.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22" hidden="0" customWidth="1"/>
    <col min="6" max="6" width="22" hidden="0" customWidth="1"/>
    <col min="7" max="7" width="22" hidden="0" customWidth="1"/>
    <col min="8" max="8" width="70" hidden="0" customWidth="1"/>
  </cols>
  <sheetData>
    <row r="1" ht="50" customHeight="1">
      <c r="A1" s="194" t="str">
        <v>Cobertura documental SIES · V5 · 2026-10-22</v>
      </c>
      <c r="B1" s="5"/>
      <c r="C1" s="5"/>
      <c r="D1" s="5"/>
      <c r="E1" s="5"/>
      <c r="F1" s="5"/>
      <c r="G1" s="5"/>
      <c r="H1" s="5"/>
    </row>
    <row r="2" ht="50" customHeight="1">
      <c r="A2" s="191" t="str">
        <v>Cálculo interno agregado. No es retención, equivalencia de plan ni aprobación institucional.</v>
      </c>
      <c r="B2" s="2"/>
      <c r="C2" s="2"/>
      <c r="D2" s="2"/>
      <c r="E2" s="2"/>
      <c r="F2" s="2"/>
      <c r="G2" s="2"/>
      <c r="H2" s="2"/>
    </row>
    <row r="3" ht="50" customHeight="1">
      <c r="A3" s="191" t="str">
        <v>Antes V4: este indicador multiproceso no estaba medido. No equivale a cero ni a 504 sin código.</v>
      </c>
      <c r="B3" s="2"/>
      <c r="C3" s="2"/>
      <c r="D3" s="2"/>
      <c r="E3" s="2"/>
      <c r="F3" s="2"/>
      <c r="G3" s="2"/>
      <c r="H3" s="2"/>
    </row>
    <row r="4" ht="50" customHeight="1">
      <c r="A4" s="196" t="str">
        <v>Indicador</v>
      </c>
      <c r="B4" s="196" t="str">
        <v>Antes V4</v>
      </c>
      <c r="C4" s="196" t="str">
        <v>Denominador antes</v>
      </c>
      <c r="D4" s="196" t="str">
        <v>Ahora numerador</v>
      </c>
      <c r="E4" s="196" t="str">
        <v>Denominador ahora</v>
      </c>
      <c r="F4" s="196" t="str">
        <v>Ahora %</v>
      </c>
      <c r="G4" s="196" t="str">
        <v>Cambio comparable</v>
      </c>
      <c r="H4" s="196" t="str">
        <v>Alcance</v>
      </c>
    </row>
    <row r="5" ht="50" customHeight="1">
      <c r="A5" s="191" t="str">
        <v>Personas con código completo en alguna fuente/año</v>
      </c>
      <c r="B5" s="191" t="str">
        <v>NO_MEDIDO</v>
      </c>
      <c r="C5" s="191" t="n">
        <v>504</v>
      </c>
      <c r="D5" s="191" t="n">
        <v>497</v>
      </c>
      <c r="E5" s="191" t="n">
        <v>504</v>
      </c>
      <c r="F5" s="198" t="n">
        <f>D5/E5</f>
        <v>0.9861111111111112</v>
      </c>
      <c r="G5" s="191" t="str">
        <v>NO_CALCULABLE</v>
      </c>
      <c r="H5" s="191" t="str">
        <v>Identidad exacta; se conservan todas las versiones y procedencias.</v>
      </c>
    </row>
    <row r="6" ht="50" customHeight="1">
      <c r="A6" s="191" t="str">
        <v>Personas no localizadas con código</v>
      </c>
      <c r="B6" s="191" t="str">
        <v>NO_MEDIDO</v>
      </c>
      <c r="C6" s="191" t="n">
        <v>504</v>
      </c>
      <c r="D6" s="191" t="n">
        <v>7</v>
      </c>
      <c r="E6" s="191" t="n">
        <v>504</v>
      </c>
      <c r="F6" s="198" t="n">
        <f>D6/E6</f>
        <v>0.013888888888888888</v>
      </c>
      <c r="G6" s="191" t="str">
        <v>NO_CALCULABLE</v>
      </c>
      <c r="H6" s="191" t="str">
        <v>Solo dentro de fuentes verificadas; no prueba inexistencia.</v>
      </c>
    </row>
    <row r="7" ht="50" customHeight="1">
      <c r="A7" s="191" t="str">
        <v>Expedientes con código misma familia</v>
      </c>
      <c r="B7" s="191" t="str">
        <v>NO_MEDIDO</v>
      </c>
      <c r="C7" s="191" t="n">
        <v>508</v>
      </c>
      <c r="D7" s="191" t="n">
        <v>500</v>
      </c>
      <c r="E7" s="191" t="n">
        <v>508</v>
      </c>
      <c r="F7" s="198" t="n">
        <f>D7/E7</f>
        <v>0.984251968503937</v>
      </c>
      <c r="G7" s="191" t="str">
        <v>NO_CALCULABLE</v>
      </c>
      <c r="H7" s="191" t="str">
        <v>Institución/sede/carrera/jornada concordantes; no acredita plan/periodo vigente.</v>
      </c>
    </row>
    <row r="8" ht="50" customHeight="1">
      <c r="A8" s="191" t="str">
        <v>Expedientes sin código misma familia</v>
      </c>
      <c r="B8" s="191" t="str">
        <v>NO_MEDIDO</v>
      </c>
      <c r="C8" s="191" t="n">
        <v>508</v>
      </c>
      <c r="D8" s="191" t="n">
        <v>8</v>
      </c>
      <c r="E8" s="191" t="n">
        <v>508</v>
      </c>
      <c r="F8" s="198" t="n">
        <f>D8/E8</f>
        <v>0.015748031496062992</v>
      </c>
      <c r="G8" s="191" t="str">
        <v>NO_CALCULABLE</v>
      </c>
      <c r="H8" s="191" t="str">
        <v>No transferir códigos desde otra carrera/jornada.</v>
      </c>
    </row>
    <row r="9" ht="50" customHeight="1">
      <c r="A9" s="191" t="str">
        <v>Matrícula: personas con código</v>
      </c>
      <c r="B9" s="191" t="str">
        <v>NO_MEDIDO</v>
      </c>
      <c r="C9" s="191" t="n">
        <v>504</v>
      </c>
      <c r="D9" s="191" t="n">
        <v>497</v>
      </c>
      <c r="E9" s="191" t="n">
        <v>504</v>
      </c>
      <c r="F9" s="198" t="n">
        <f>D9/E9</f>
        <v>0.9861111111111112</v>
      </c>
      <c r="G9" s="191" t="str">
        <v>NO_CALCULABLE</v>
      </c>
      <c r="H9" s="191" t="str">
        <v>Incluye fuentes históricas y base consolidada identificada como derivada.</v>
      </c>
    </row>
    <row r="10" ht="50" customHeight="1">
      <c r="A10" s="191" t="str">
        <v>Avance curricular: personas con código</v>
      </c>
      <c r="B10" s="191" t="str">
        <v>NO_MEDIDO</v>
      </c>
      <c r="C10" s="191" t="n">
        <v>504</v>
      </c>
      <c r="D10" s="191" t="n">
        <v>474</v>
      </c>
      <c r="E10" s="191" t="n">
        <v>504</v>
      </c>
      <c r="F10" s="198" t="n">
        <f>D10/E10</f>
        <v>0.9404761904761905</v>
      </c>
      <c r="G10" s="191" t="str">
        <v>NO_CALCULABLE</v>
      </c>
      <c r="H10" s="191" t="str">
        <v>Años/procesos consignados en inventario; no asumir año académico por nombre.</v>
      </c>
    </row>
    <row r="11" ht="50" customHeight="1">
      <c r="A11" s="191" t="str">
        <v>Titulados: personas con código</v>
      </c>
      <c r="B11" s="191" t="str">
        <v>NO_MEDIDO</v>
      </c>
      <c r="C11" s="191" t="n">
        <v>504</v>
      </c>
      <c r="D11" s="191" t="n">
        <v>270</v>
      </c>
      <c r="E11" s="191" t="n">
        <v>504</v>
      </c>
      <c r="F11" s="198" t="n">
        <f>D11/E11</f>
        <v>0.5357142857142857</v>
      </c>
      <c r="G11" s="191" t="str">
        <v>NO_CALCULABLE</v>
      </c>
      <c r="H11" s="191" t="str">
        <v>Códigos de obtención y terminales diferenciados en revisión privada.</v>
      </c>
    </row>
    <row r="12" ht="50" customHeight="1">
      <c r="A12" s="191" t="str">
        <v>Retención derivada: personas con código</v>
      </c>
      <c r="B12" s="191" t="str">
        <v>NO_MEDIDO</v>
      </c>
      <c r="C12" s="191" t="n">
        <v>504</v>
      </c>
      <c r="D12" s="191" t="n">
        <v>437</v>
      </c>
      <c r="E12" s="191" t="n">
        <v>504</v>
      </c>
      <c r="F12" s="198" t="n">
        <f>D12/E12</f>
        <v>0.8670634920634921</v>
      </c>
      <c r="G12" s="191" t="str">
        <v>NO_CALCULABLE</v>
      </c>
      <c r="H12" s="191" t="str">
        <v>No es una carga independiente ni resultado de retención.</v>
      </c>
    </row>
    <row r="13" ht="50" customHeight="1">
      <c r="A13" s="2"/>
      <c r="B13" s="2"/>
      <c r="C13" s="2"/>
      <c r="D13" s="2"/>
      <c r="E13" s="2"/>
      <c r="F13" s="2"/>
      <c r="G13" s="2"/>
      <c r="H13" s="2"/>
    </row>
    <row r="14" ht="50" customHeight="1">
      <c r="A14" s="191" t="str">
        <v>Solapamiento</v>
      </c>
      <c r="B14" s="191" t="str">
        <v>Los conteos por proceso se superponen: NO sumar para obtener personas únicas.</v>
      </c>
      <c r="C14" s="2"/>
      <c r="D14" s="2"/>
      <c r="E14" s="2"/>
      <c r="F14" s="2"/>
      <c r="G14" s="2"/>
      <c r="H14" s="2"/>
    </row>
    <row r="15" ht="50" customHeight="1">
      <c r="A15" s="191" t="str">
        <v>Aplicabilidad</v>
      </c>
      <c r="B15" s="191" t="str">
        <v>Encontrado en alguna fuente ≠ mismo expediente/plan efectivo ≠ propuesta ≠ equivalencia aprobada.</v>
      </c>
      <c r="C15" s="2"/>
      <c r="D15" s="2"/>
      <c r="E15" s="2"/>
      <c r="F15" s="2"/>
      <c r="G15" s="2"/>
      <c r="H15" s="2"/>
    </row>
    <row r="16" ht="50" customHeight="1">
      <c r="A16" s="191" t="str">
        <v>Plan literal</v>
      </c>
      <c r="B16" s="191" t="str">
        <v>0/508 expedientes con coincidencia literal del plan informado y plan UMAS en la prueba. No prueba incompatibilidad: requiere puente documental.</v>
      </c>
      <c r="C16" s="2"/>
      <c r="D16" s="2"/>
      <c r="E16" s="2"/>
      <c r="F16" s="2"/>
      <c r="G16" s="2"/>
      <c r="H16" s="2"/>
    </row>
    <row r="17" ht="50" customHeight="1">
      <c r="A17" s="191" t="str">
        <v>Dimensiones</v>
      </c>
      <c r="B17" s="191" t="str">
        <v>Línea base original: 24/63=38,10% pendientes. Sin nuevas recalificaciones acreditadas.</v>
      </c>
      <c r="C17" s="2"/>
      <c r="D17" s="2"/>
      <c r="E17" s="2"/>
      <c r="F17" s="2"/>
      <c r="G17" s="2"/>
      <c r="H17" s="2"/>
    </row>
    <row r="18" ht="50" customHeight="1">
      <c r="A18" s="191" t="str">
        <v>Escenario</v>
      </c>
      <c r="B18" s="191" t="str">
        <v>19/63=30,16%: PROPUESTA_METODOLOGICA_NO_APROBADA. No reducción comparable validada.</v>
      </c>
      <c r="C18" s="2"/>
      <c r="D18" s="2"/>
      <c r="E18" s="2"/>
      <c r="F18" s="2"/>
      <c r="G18" s="2"/>
      <c r="H18" s="2"/>
    </row>
    <row r="19" ht="50" customHeight="1">
      <c r="A19" s="191" t="str">
        <v>Contextual</v>
      </c>
      <c r="B19" s="191" t="str">
        <v>8/63=12,70%: cobertura observacional limitada, tres previas y cinco nuevas.</v>
      </c>
      <c r="C19" s="2"/>
      <c r="D19" s="2"/>
      <c r="E19" s="2"/>
      <c r="F19" s="2"/>
      <c r="G19" s="2"/>
      <c r="H19" s="2"/>
    </row>
    <row r="20" ht="50" customHeight="1">
      <c r="A20" s="191" t="str">
        <v>Origen</v>
      </c>
      <c r="B20" s="191" t="str">
        <v>Cruce local de 504 personas y 508 expedientes de DATOS ALUMNOS con 38 archivos de matrícula, avance, titulados y derivados de retención.</v>
      </c>
      <c r="C20" s="2"/>
      <c r="D20" s="2"/>
      <c r="E20" s="2"/>
      <c r="F20" s="2"/>
      <c r="G20" s="2"/>
      <c r="H20" s="2"/>
    </row>
    <row r="21" ht="50" customHeight="1">
      <c r="A21" s="191" t="str">
        <v>Fuentes</v>
      </c>
      <c r="B21" s="191" t="str">
        <v>Matrícula 2010–2026; avance: registros con año de carga 2017–2022 y archivos de procesos posteriores hasta 2026; titulados: histórico con periodos 2007–2024 y archivos posteriores hasta proceso 2026.</v>
      </c>
      <c r="C21" s="2"/>
      <c r="D21" s="2"/>
      <c r="E21" s="2"/>
      <c r="F21" s="2"/>
      <c r="G21" s="2"/>
      <c r="H21" s="2"/>
    </row>
    <row r="22" ht="50" customHeight="1">
      <c r="A22" s="191" t="str">
        <v>Calidad documental</v>
      </c>
      <c r="B22" s="191" t="str">
        <v>Publicados/Enviados no certifica aceptación individual. Precargas, borradores y derivados se distinguen en inventario.</v>
      </c>
      <c r="C22" s="2"/>
      <c r="D22" s="2"/>
      <c r="E22" s="2"/>
      <c r="F22" s="2"/>
      <c r="G22" s="2"/>
      <c r="H22" s="2"/>
    </row>
    <row r="23" ht="50" customHeight="1">
      <c r="A23" s="191" t="str">
        <v>Privacidad</v>
      </c>
      <c r="B23" s="191" t="str">
        <v>Salida exclusivamente agregada. Sin filas individuales, identidades ocultas ni enlaces externos automáticos al libro privado.</v>
      </c>
      <c r="C23" s="2"/>
      <c r="D23" s="2"/>
      <c r="E23" s="2"/>
      <c r="F23" s="2"/>
      <c r="G23" s="2"/>
      <c r="H23" s="2"/>
    </row>
    <row r="24" ht="50" customHeight="1">
      <c r="A24" s="191" t="str">
        <v>Retención</v>
      </c>
      <c r="B24" s="191" t="str">
        <v>Se conservan tasas, denominadores y 13 gráficos históricos. Discrepancia heredada T3 2026 documentada en QA, sin corregir tasa.</v>
      </c>
      <c r="C24" s="2"/>
      <c r="D24" s="2"/>
      <c r="E24" s="2"/>
      <c r="F24" s="2"/>
      <c r="G24" s="2"/>
      <c r="H24" s="2"/>
    </row>
  </sheetData>
  <mergeCells>
    <mergeCell ref="A1:H1"/>
    <mergeCell ref="A2:H2"/>
    <mergeCell ref="A3:H3"/>
    <mergeCell ref="B14:H14"/>
    <mergeCell ref="B15:H15"/>
    <mergeCell ref="B16:H16"/>
    <mergeCell ref="B17:H17"/>
    <mergeCell ref="B18:H18"/>
    <mergeCell ref="B19:H19"/>
    <mergeCell ref="B20:H20"/>
    <mergeCell ref="B21:H21"/>
    <mergeCell ref="B22:H22"/>
    <mergeCell ref="B23:H23"/>
    <mergeCell ref="B24:H24"/>
  </mergeCells>
  <pageMargins left="0.7" right="0.7" top="0.75" bottom="0.75" header="0.3" footer="0.3"/>
</worksheet>
</file>

<file path=xl/worksheets/sheet38.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100" hidden="0" customWidth="1"/>
    <col min="3" max="3" width="22" hidden="0" customWidth="1"/>
    <col min="4" max="4" width="22" hidden="0" customWidth="1"/>
    <col min="5" max="5" width="22" hidden="0" customWidth="1"/>
    <col min="6" max="6" width="45" hidden="0" customWidth="1"/>
    <col min="7" max="7" width="45" hidden="0" customWidth="1"/>
    <col min="8" max="8" width="45" hidden="0" customWidth="1"/>
    <col min="9" max="9" width="45" hidden="0" customWidth="1"/>
  </cols>
  <sheetData>
    <row r="1" ht="70" customHeight="1">
      <c r="A1" s="194" t="str">
        <v>Fuentes consultadas · cobertura y límites</v>
      </c>
      <c r="B1" s="5"/>
      <c r="C1" s="5"/>
      <c r="D1" s="5"/>
      <c r="E1" s="5"/>
      <c r="F1" s="5"/>
      <c r="G1" s="5"/>
      <c r="H1" s="5"/>
      <c r="I1" s="5"/>
    </row>
    <row r="2" ht="70" customHeight="1">
      <c r="A2" s="191" t="str">
        <v>B/C/E · fuentes individuales referenciadas, nunca incorporadas al libro</v>
      </c>
      <c r="B2" s="2"/>
      <c r="C2" s="2"/>
      <c r="D2" s="2"/>
      <c r="E2" s="2"/>
      <c r="F2" s="2"/>
      <c r="G2" s="2"/>
      <c r="H2" s="2"/>
      <c r="I2" s="2"/>
    </row>
    <row r="3" ht="70" customHeight="1">
      <c r="A3" s="191" t="str">
        <v>Años de archivo no equivalen automáticamente a años de registro</v>
      </c>
      <c r="B3" s="2"/>
      <c r="C3" s="2"/>
      <c r="D3" s="2"/>
      <c r="E3" s="2"/>
      <c r="F3" s="2"/>
      <c r="G3" s="2"/>
      <c r="H3" s="2"/>
      <c r="I3" s="2"/>
    </row>
    <row r="4" ht="70" customHeight="1">
      <c r="A4" s="196" t="str">
        <v>Proceso</v>
      </c>
      <c r="B4" s="196" t="str">
        <v>Fuente</v>
      </c>
      <c r="C4" s="196" t="str">
        <v>Hoja</v>
      </c>
      <c r="D4" s="196" t="str">
        <v>Filas leídas</v>
      </c>
      <c r="E4" s="196" t="str">
        <v>Coincidencias en universo504</v>
      </c>
      <c r="F4" s="196" t="str">
        <v>Años/periodos observados</v>
      </c>
      <c r="G4" s="196" t="str">
        <v>Estado documental</v>
      </c>
      <c r="H4" s="196" t="str">
        <v>Lectura</v>
      </c>
      <c r="I4" s="196" t="str">
        <v>SHA256</v>
      </c>
    </row>
    <row r="5" ht="70" customHeight="1">
      <c r="A5" s="191" t="str">
        <v>AVANCE_CURRICULAR</v>
      </c>
      <c r="B5" s="191" t="str">
        <v>/Users/alexi/Library/CloudStorage/OneDrive-InstitutoProfesionalSanSebastián/Datos DAI (RAW) - 1.1 Datos crudos/1.2.1 Datos Institucionales/1.2.1.1 SIES/Enviados/Avance Curricular/2022/Matrícula_Avance_Curricular_2022.csv</v>
      </c>
      <c r="C5" s="191" t="str">
        <v>CSV</v>
      </c>
      <c r="D5" s="191" t="n">
        <v>1105</v>
      </c>
      <c r="E5" s="191" t="n">
        <v>160</v>
      </c>
      <c r="F5" s="191" t="str">
        <v>2022 (archivo; año registro no acreditado)</v>
      </c>
      <c r="G5" s="191" t="str">
        <v>ARCHIVO_ENVIADOS; aceptación de carga no acreditada</v>
      </c>
      <c r="H5" s="191" t="str">
        <v>LEIDO</v>
      </c>
      <c r="I5" s="191" t="str">
        <v>061c3c7ac832c9ed1008c648a50d552d1c7187586f9c434b895a76df3f0874da</v>
      </c>
    </row>
    <row r="6" ht="70" customHeight="1">
      <c r="A6" s="191" t="str">
        <v>AVANCE_CURRICULAR</v>
      </c>
      <c r="B6" s="191" t="str">
        <v>/Users/alexi/Library/CloudStorage/OneDrive-InstitutoProfesionalSanSebastián/Datos DAI (RAW) - 1.1 Datos crudos/1.2.1 Datos Institucionales/1.2.1.1 SIES/Enviados/Avance Curricular/2023/Matrícula_Avance_Curricular_2023.csv</v>
      </c>
      <c r="C6" s="191" t="str">
        <v>CSV</v>
      </c>
      <c r="D6" s="191" t="n">
        <v>1033</v>
      </c>
      <c r="E6" s="191" t="n">
        <v>67</v>
      </c>
      <c r="F6" s="191" t="str">
        <v>2023 (archivo; año registro no acreditado)</v>
      </c>
      <c r="G6" s="191" t="str">
        <v>ARCHIVO_ENVIADOS; aceptación de carga no acreditada</v>
      </c>
      <c r="H6" s="191" t="str">
        <v>LEIDO</v>
      </c>
      <c r="I6" s="191" t="str">
        <v>bc977e518ea78cbd34bc48cf8a45275d422d596fdf98ac34928e08ccb2220f88</v>
      </c>
    </row>
    <row r="7" ht="70" customHeight="1">
      <c r="A7" s="191" t="str">
        <v>AVANCE_CURRICULAR</v>
      </c>
      <c r="B7" s="191" t="str">
        <v>/Users/alexi/Library/CloudStorage/OneDrive-InstitutoProfesionalSanSebastián/Datos DAI (RAW) - 1.1 Datos crudos/1.2.1 Datos Institucionales/1.2.1.1 SIES/Enviados/Avance Curricular/2024/A.C Matrícula.xlsx</v>
      </c>
      <c r="C7" s="191" t="str">
        <v>in</v>
      </c>
      <c r="D7" s="191" t="n">
        <v>1455</v>
      </c>
      <c r="E7" s="191" t="n">
        <v>68</v>
      </c>
      <c r="F7" s="191" t="str">
        <v>2024 (archivo; año registro no acreditado)</v>
      </c>
      <c r="G7" s="191" t="str">
        <v>ARCHIVO_ENVIADOS; aceptación de carga no acreditada</v>
      </c>
      <c r="H7" s="191" t="str">
        <v>LEIDO</v>
      </c>
      <c r="I7" s="191" t="str">
        <v>6bbf41e77b79faccd5c761935c56038ae11eee6c7bf659a2ff35d99469e6f380</v>
      </c>
    </row>
    <row r="8" ht="70" customHeight="1">
      <c r="A8" s="191" t="str">
        <v>AVANCE_CURRICULAR</v>
      </c>
      <c r="B8" s="191" t="str">
        <v>/Users/alexi/Library/CloudStorage/OneDrive-InstitutoProfesionalSanSebastián/Datos DAI (RAW) - 1.1 Datos crudos/1.2.1 Datos Institucionales/1.2.1.1 SIES/Enviados/Avance Curricular/2024/A.C Matrícula2.xlsx</v>
      </c>
      <c r="C8" s="191" t="str">
        <v>reporte_dinamico_4708_2025-07-1</v>
      </c>
      <c r="D8" s="191" t="n">
        <v>1455</v>
      </c>
      <c r="E8" s="191" t="n">
        <v>68</v>
      </c>
      <c r="F8" s="191" t="str">
        <v>2024 (archivo; año registro no acreditado)</v>
      </c>
      <c r="G8" s="191" t="str">
        <v>ARCHIVO_ENVIADOS; aceptación de carga no acreditada</v>
      </c>
      <c r="H8" s="191" t="str">
        <v>LEIDO</v>
      </c>
      <c r="I8" s="191" t="str">
        <v>73d03ad65f0a222907e2e795f3520be10b814dfcca0dd7c5662c3929901b45c8</v>
      </c>
    </row>
    <row r="9" ht="70" customHeight="1">
      <c r="A9" s="191" t="str">
        <v>AVANCE_CURRICULAR</v>
      </c>
      <c r="B9" s="191" t="str">
        <v>/Users/alexi/Library/CloudStorage/OneDrive-InstitutoProfesionalSanSebastián/Datos DAI (RAW) - 1.1 Datos crudos/1.2.1 Datos Institucionales/1.2.1.1 SIES/Enviados/Avance Curricular/2026/5809_Precarga Matrícula Avance Curricular 2026.csv</v>
      </c>
      <c r="C9" s="191" t="str">
        <v>CSV</v>
      </c>
      <c r="D9" s="191" t="n">
        <v>2371</v>
      </c>
      <c r="E9" s="191" t="n">
        <v>94</v>
      </c>
      <c r="F9" s="191" t="str">
        <v>2026 (archivo; año registro no acreditado)</v>
      </c>
      <c r="G9" s="191" t="str">
        <v>PRECARGA_HISTORICA_SIES; no nueva carga</v>
      </c>
      <c r="H9" s="191" t="str">
        <v>LEIDO</v>
      </c>
      <c r="I9" s="191" t="str">
        <v>f86e805ca2909f0f8e3dd439a5afb7fc15939a8078b17e13ef33b5cdec2490ed</v>
      </c>
    </row>
    <row r="10" ht="70" customHeight="1">
      <c r="A10" s="191" t="str">
        <v>RETENCION_DERIVADA</v>
      </c>
      <c r="B10" s="191" t="str">
        <v>/Users/alexi/Library/CloudStorage/OneDrive-InstitutoProfesionalSanSebastián/Datos DAI (RAW) - 1.1 Datos crudos/1.2.1 Datos Institucionales/1.2.1.1 SIES/Enviados/Matrícula Unificada/1. MATRICULA - RETENCION - TITULACION SIES _IP_CIISA_2010_20XX.xlsx</v>
      </c>
      <c r="C10" s="191" t="str">
        <v>Matricula</v>
      </c>
      <c r="D10" s="191" t="n">
        <v>0</v>
      </c>
      <c r="E10" s="191" t="n">
        <v>0</v>
      </c>
      <c r="F10" s="2" t="str"/>
      <c r="G10" s="191" t="str">
        <v>DERIVADO; no proceso independiente informado</v>
      </c>
      <c r="H10" s="191" t="str">
        <v>SIN_LLAVE_INDIVIDUAL_IDENTIFICABLE_EN_PRIMERAS_12_FILAS</v>
      </c>
      <c r="I10" s="191" t="str">
        <v>64b28663f43d842ed2c0605067b8a513c35fdfd86f399485aced8cf2e6c7c3ec</v>
      </c>
    </row>
    <row r="11" ht="70" customHeight="1">
      <c r="A11" s="191" t="str">
        <v>RETENCION_DERIVADA</v>
      </c>
      <c r="B11" s="191" t="str">
        <v>/Users/alexi/Library/CloudStorage/OneDrive-InstitutoProfesionalSanSebastián/Datos DAI (RAW) - 1.1 Datos crudos/1.2.1 Datos Institucionales/1.2.1.1 SIES/Enviados/Matrícula Unificada/1. MATRICULA - RETENCION - TITULACION SIES _IP_CIISA_2010_20XX.xlsx</v>
      </c>
      <c r="C11" s="191" t="str">
        <v>Retención</v>
      </c>
      <c r="D11" s="191" t="n">
        <v>0</v>
      </c>
      <c r="E11" s="191" t="n">
        <v>0</v>
      </c>
      <c r="F11" s="2" t="str"/>
      <c r="G11" s="191" t="str">
        <v>DERIVADO; no proceso independiente informado</v>
      </c>
      <c r="H11" s="191" t="str">
        <v>SIN_LLAVE_INDIVIDUAL_IDENTIFICABLE_EN_PRIMERAS_12_FILAS</v>
      </c>
      <c r="I11" s="191" t="str">
        <v>64b28663f43d842ed2c0605067b8a513c35fdfd86f399485aced8cf2e6c7c3ec</v>
      </c>
    </row>
    <row r="12" ht="70" customHeight="1">
      <c r="A12" s="191" t="str">
        <v>RETENCION_DERIVADA</v>
      </c>
      <c r="B12" s="191" t="str">
        <v>/Users/alexi/Library/CloudStorage/OneDrive-InstitutoProfesionalSanSebastián/Datos DAI (RAW) - 1.1 Datos crudos/1.2.1 Datos Institucionales/1.2.1.1 SIES/Enviados/Matrícula Unificada/1. MATRICULA - RETENCION - TITULACION SIES _IP_CIISA_2010_20XX.xlsx</v>
      </c>
      <c r="C12" s="191" t="str">
        <v>Titulación</v>
      </c>
      <c r="D12" s="191" t="n">
        <v>0</v>
      </c>
      <c r="E12" s="191" t="n">
        <v>0</v>
      </c>
      <c r="F12" s="2" t="str"/>
      <c r="G12" s="191" t="str">
        <v>DERIVADO; no proceso independiente informado</v>
      </c>
      <c r="H12" s="191" t="str">
        <v>SIN_LLAVE_INDIVIDUAL_IDENTIFICABLE_EN_PRIMERAS_12_FILAS</v>
      </c>
      <c r="I12" s="191" t="str">
        <v>64b28663f43d842ed2c0605067b8a513c35fdfd86f399485aced8cf2e6c7c3ec</v>
      </c>
    </row>
    <row r="13" ht="70" customHeight="1">
      <c r="A13" s="191" t="str">
        <v>RETENCION_DERIVADA</v>
      </c>
      <c r="B13" s="191" t="str">
        <v>/Users/alexi/Library/CloudStorage/OneDrive-InstitutoProfesionalSanSebastián/Datos DAI (RAW) - 1.1 Datos crudos/1.2.1 Datos Institucionales/1.2.1.1 SIES/Enviados/Matrícula Unificada/1. MATRICULA - RETENCION - TITULACION SIES _IP_CIISA_2010_20XX.xlsx</v>
      </c>
      <c r="C13" s="191" t="str">
        <v>Hoja1</v>
      </c>
      <c r="D13" s="191" t="n">
        <v>0</v>
      </c>
      <c r="E13" s="191" t="n">
        <v>0</v>
      </c>
      <c r="F13" s="2" t="str"/>
      <c r="G13" s="191" t="str">
        <v>DERIVADO; no proceso independiente informado</v>
      </c>
      <c r="H13" s="191" t="str">
        <v>SIN_LLAVE_INDIVIDUAL_IDENTIFICABLE_EN_PRIMERAS_12_FILAS</v>
      </c>
      <c r="I13" s="191" t="str">
        <v>64b28663f43d842ed2c0605067b8a513c35fdfd86f399485aced8cf2e6c7c3ec</v>
      </c>
    </row>
    <row r="14" ht="70" customHeight="1">
      <c r="A14" s="191" t="str">
        <v>RETENCION_DERIVADA</v>
      </c>
      <c r="B14" s="191" t="str">
        <v>/Users/alexi/Library/CloudStorage/OneDrive-InstitutoProfesionalSanSebastián/Datos DAI (RAW) - 1.1 Datos crudos/1.2.1 Datos Institucionales/1.2.1.1 SIES/Enviados/Matrícula Unificada/1. MATRICULA - RETENCION - TITULACION SIES _IP_CIISA_2010_20XX.xlsx</v>
      </c>
      <c r="C14" s="191" t="str">
        <v>Hoja2</v>
      </c>
      <c r="D14" s="191" t="n">
        <v>0</v>
      </c>
      <c r="E14" s="191" t="n">
        <v>0</v>
      </c>
      <c r="F14" s="2" t="str"/>
      <c r="G14" s="191" t="str">
        <v>DERIVADO; no proceso independiente informado</v>
      </c>
      <c r="H14" s="191" t="str">
        <v>SIN_LLAVE_INDIVIDUAL_IDENTIFICABLE_EN_PRIMERAS_12_FILAS</v>
      </c>
      <c r="I14" s="191" t="str">
        <v>64b28663f43d842ed2c0605067b8a513c35fdfd86f399485aced8cf2e6c7c3ec</v>
      </c>
    </row>
    <row r="15" ht="70" customHeight="1">
      <c r="A15" s="191" t="str">
        <v>RETENCION_DERIVADA</v>
      </c>
      <c r="B15" s="191" t="str">
        <v>/Users/alexi/Library/CloudStorage/OneDrive-InstitutoProfesionalSanSebastián/Datos DAI (RAW) - 1.1 Datos crudos/1.2.1 Datos Institucionales/1.2.1.1 SIES/Enviados/Matrícula Unificada/1. MATRICULA - RETENCION - TITULACION SIES _IP_CIISA_2010_20XX.xlsx</v>
      </c>
      <c r="C15" s="191" t="str">
        <v>Hoja4</v>
      </c>
      <c r="D15" s="191" t="n">
        <v>0</v>
      </c>
      <c r="E15" s="191" t="n">
        <v>0</v>
      </c>
      <c r="F15" s="2" t="str"/>
      <c r="G15" s="191" t="str">
        <v>DERIVADO; no proceso independiente informado</v>
      </c>
      <c r="H15" s="191" t="str">
        <v>SIN_LLAVE_INDIVIDUAL_IDENTIFICABLE_EN_PRIMERAS_12_FILAS</v>
      </c>
      <c r="I15" s="191" t="str">
        <v>64b28663f43d842ed2c0605067b8a513c35fdfd86f399485aced8cf2e6c7c3ec</v>
      </c>
    </row>
    <row r="16" ht="70" customHeight="1">
      <c r="A16" s="191" t="str">
        <v>RETENCION_DERIVADA</v>
      </c>
      <c r="B16" s="191" t="str">
        <v>/Users/alexi/Library/CloudStorage/OneDrive-InstitutoProfesionalSanSebastián/Datos DAI (RAW) - 1.1 Datos crudos/1.2.1 Datos Institucionales/1.2.1.1 SIES/Enviados/Matrícula Unificada/1. MATRICULA - RETENCION - TITULACION SIES _IP_CIISA_2010_20XX.xlsx</v>
      </c>
      <c r="C16" s="191" t="str">
        <v>Tablas progresion</v>
      </c>
      <c r="D16" s="191" t="n">
        <v>0</v>
      </c>
      <c r="E16" s="191" t="n">
        <v>0</v>
      </c>
      <c r="F16" s="2" t="str"/>
      <c r="G16" s="191" t="str">
        <v>DERIVADO; no proceso independiente informado</v>
      </c>
      <c r="H16" s="191" t="str">
        <v>SIN_LLAVE_INDIVIDUAL_IDENTIFICABLE_EN_PRIMERAS_12_FILAS</v>
      </c>
      <c r="I16" s="191" t="str">
        <v>64b28663f43d842ed2c0605067b8a513c35fdfd86f399485aced8cf2e6c7c3ec</v>
      </c>
    </row>
    <row r="17" ht="70" customHeight="1">
      <c r="A17" s="191" t="str">
        <v>RETENCION_DERIVADA</v>
      </c>
      <c r="B17" s="191" t="str">
        <v>/Users/alexi/Library/CloudStorage/OneDrive-InstitutoProfesionalSanSebastián/Datos DAI (RAW) - 1.1 Datos crudos/1.2.1 Datos Institucionales/1.2.1.1 SIES/Enviados/Matrícula Unificada/1. MATRICULA - RETENCION - TITULACION SIES _IP_CIISA_2010_20XX.xlsx</v>
      </c>
      <c r="C17" s="191" t="str">
        <v>Hoja12</v>
      </c>
      <c r="D17" s="191" t="n">
        <v>0</v>
      </c>
      <c r="E17" s="191" t="n">
        <v>0</v>
      </c>
      <c r="F17" s="2" t="str"/>
      <c r="G17" s="191" t="str">
        <v>DERIVADO; no proceso independiente informado</v>
      </c>
      <c r="H17" s="191" t="str">
        <v>SIN_LLAVE_INDIVIDUAL_IDENTIFICABLE_EN_PRIMERAS_12_FILAS</v>
      </c>
      <c r="I17" s="191" t="str">
        <v>64b28663f43d842ed2c0605067b8a513c35fdfd86f399485aced8cf2e6c7c3ec</v>
      </c>
    </row>
    <row r="18" ht="70" customHeight="1">
      <c r="A18" s="191" t="str">
        <v>RETENCION_DERIVADA</v>
      </c>
      <c r="B18" s="191" t="str">
        <v>/Users/alexi/Library/CloudStorage/OneDrive-InstitutoProfesionalSanSebastián/Datos DAI (RAW) - 1.1 Datos crudos/1.2.1 Datos Institucionales/1.2.1.1 SIES/Enviados/Matrícula Unificada/1. MATRICULA - RETENCION - TITULACION SIES _IP_CIISA_2010_20XX.xlsx</v>
      </c>
      <c r="C18" s="191" t="str">
        <v>129</v>
      </c>
      <c r="D18" s="191" t="n">
        <v>129</v>
      </c>
      <c r="E18" s="191" t="n">
        <v>2</v>
      </c>
      <c r="F18" s="191" t="str">
        <v>MAT_2021; MAT_2022</v>
      </c>
      <c r="G18" s="191" t="str">
        <v>DERIVADO; no proceso independiente informado</v>
      </c>
      <c r="H18" s="191" t="str">
        <v>LEIDO</v>
      </c>
      <c r="I18" s="191" t="str">
        <v>64b28663f43d842ed2c0605067b8a513c35fdfd86f399485aced8cf2e6c7c3ec</v>
      </c>
    </row>
    <row r="19" ht="70" customHeight="1">
      <c r="A19" s="191" t="str">
        <v>RETENCION_DERIVADA</v>
      </c>
      <c r="B19" s="191" t="str">
        <v>/Users/alexi/Library/CloudStorage/OneDrive-InstitutoProfesionalSanSebastián/Datos DAI (RAW) - 1.1 Datos crudos/1.2.1 Datos Institucionales/1.2.1.1 SIES/Enviados/Matrícula Unificada/1. MATRICULA - RETENCION - TITULACION SIES _IP_CIISA_2010_20XX.xlsx</v>
      </c>
      <c r="C19" s="191" t="str">
        <v>367 </v>
      </c>
      <c r="D19" s="191" t="n">
        <v>367</v>
      </c>
      <c r="E19" s="191" t="n">
        <v>8</v>
      </c>
      <c r="F19" s="191" t="str">
        <v>MAT_2023</v>
      </c>
      <c r="G19" s="191" t="str">
        <v>DERIVADO; no proceso independiente informado</v>
      </c>
      <c r="H19" s="191" t="str">
        <v>LEIDO</v>
      </c>
      <c r="I19" s="191" t="str">
        <v>64b28663f43d842ed2c0605067b8a513c35fdfd86f399485aced8cf2e6c7c3ec</v>
      </c>
    </row>
    <row r="20" ht="70" customHeight="1">
      <c r="A20" s="191" t="str">
        <v>RETENCION_DERIVADA</v>
      </c>
      <c r="B20" s="191" t="str">
        <v>/Users/alexi/Library/CloudStorage/OneDrive-InstitutoProfesionalSanSebastián/Datos DAI (RAW) - 1.1 Datos crudos/1.2.1 Datos Institucionales/1.2.1.1 SIES/Enviados/Matrícula Unificada/1. MATRICULA - RETENCION - TITULACION SIES _IP_CIISA_2010_20XX.xlsx</v>
      </c>
      <c r="C20" s="191" t="str">
        <v>1142</v>
      </c>
      <c r="D20" s="191" t="n">
        <v>1142</v>
      </c>
      <c r="E20" s="191" t="n">
        <v>44</v>
      </c>
      <c r="F20" s="191" t="str">
        <v>MAT_2023</v>
      </c>
      <c r="G20" s="191" t="str">
        <v>DERIVADO; no proceso independiente informado</v>
      </c>
      <c r="H20" s="191" t="str">
        <v>LEIDO</v>
      </c>
      <c r="I20" s="191" t="str">
        <v>64b28663f43d842ed2c0605067b8a513c35fdfd86f399485aced8cf2e6c7c3ec</v>
      </c>
    </row>
    <row r="21" ht="70" customHeight="1">
      <c r="A21" s="191" t="str">
        <v>RETENCION_DERIVADA</v>
      </c>
      <c r="B21" s="191" t="str">
        <v>/Users/alexi/Library/CloudStorage/OneDrive-InstitutoProfesionalSanSebastián/Datos DAI (RAW) - 1.1 Datos crudos/1.2.1 Datos Institucionales/1.2.1.1 SIES/Enviados/Matrícula Unificada/1. MATRICULA - RETENCION - TITULACION SIES _IP_CIISA_2010_20XX.xlsx</v>
      </c>
      <c r="C21" s="191" t="str">
        <v>Metas prog2</v>
      </c>
      <c r="D21" s="191" t="n">
        <v>0</v>
      </c>
      <c r="E21" s="191" t="n">
        <v>0</v>
      </c>
      <c r="F21" s="2" t="str"/>
      <c r="G21" s="191" t="str">
        <v>DERIVADO; no proceso independiente informado</v>
      </c>
      <c r="H21" s="191" t="str">
        <v>SIN_LLAVE_INDIVIDUAL_IDENTIFICABLE_EN_PRIMERAS_12_FILAS</v>
      </c>
      <c r="I21" s="191" t="str">
        <v>64b28663f43d842ed2c0605067b8a513c35fdfd86f399485aced8cf2e6c7c3ec</v>
      </c>
    </row>
    <row r="22" ht="70" customHeight="1">
      <c r="A22" s="191" t="str">
        <v>RETENCION_DERIVADA</v>
      </c>
      <c r="B22" s="191" t="str">
        <v>/Users/alexi/Library/CloudStorage/OneDrive-InstitutoProfesionalSanSebastián/Datos DAI (RAW) - 1.1 Datos crudos/1.2.1 Datos Institucionales/1.2.1.1 SIES/Enviados/Matrícula Unificada/1. MATRICULA - RETENCION - TITULACION SIES _IP_CIISA_2010_20XX.xlsx</v>
      </c>
      <c r="C22" s="191" t="str">
        <v>Resumen</v>
      </c>
      <c r="D22" s="191" t="n">
        <v>0</v>
      </c>
      <c r="E22" s="191" t="n">
        <v>0</v>
      </c>
      <c r="F22" s="2" t="str"/>
      <c r="G22" s="191" t="str">
        <v>DERIVADO; no proceso independiente informado</v>
      </c>
      <c r="H22" s="191" t="str">
        <v>SIN_LLAVE_INDIVIDUAL_IDENTIFICABLE_EN_PRIMERAS_12_FILAS</v>
      </c>
      <c r="I22" s="191" t="str">
        <v>64b28663f43d842ed2c0605067b8a513c35fdfd86f399485aced8cf2e6c7c3ec</v>
      </c>
    </row>
    <row r="23" ht="70" customHeight="1">
      <c r="A23" s="191" t="str">
        <v>RETENCION_DERIVADA</v>
      </c>
      <c r="B23" s="191" t="str">
        <v>/Users/alexi/Library/CloudStorage/OneDrive-InstitutoProfesionalSanSebastián/Datos DAI (RAW) - 1.1 Datos crudos/1.2.1 Datos Institucionales/1.2.1.1 SIES/Enviados/Matrícula Unificada/1. MATRICULA - RETENCION - TITULACION SIES _IP_CIISA_2010_20XX.xlsx</v>
      </c>
      <c r="C23" s="191" t="str">
        <v>Staging</v>
      </c>
      <c r="D23" s="191" t="n">
        <v>0</v>
      </c>
      <c r="E23" s="191" t="n">
        <v>0</v>
      </c>
      <c r="F23" s="2" t="str"/>
      <c r="G23" s="191" t="str">
        <v>DERIVADO; no proceso independiente informado</v>
      </c>
      <c r="H23" s="191" t="str">
        <v>SIN_LLAVE_INDIVIDUAL_IDENTIFICABLE_EN_PRIMERAS_12_FILAS</v>
      </c>
      <c r="I23" s="191" t="str">
        <v>64b28663f43d842ed2c0605067b8a513c35fdfd86f399485aced8cf2e6c7c3ec</v>
      </c>
    </row>
    <row r="24" ht="70" customHeight="1">
      <c r="A24" s="191" t="str">
        <v>RETENCION_DERIVADA</v>
      </c>
      <c r="B24" s="191" t="str">
        <v>/Users/alexi/Library/CloudStorage/OneDrive-InstitutoProfesionalSanSebastián/Datos DAI (RAW) - 1.1 Datos crudos/1.2.1 Datos Institucionales/1.2.1.1 SIES/Enviados/Matrícula Unificada/1. MATRICULA - RETENCION - TITULACION SIES _IP_CIISA_2010_20XX.xlsx</v>
      </c>
      <c r="C24" s="191" t="str">
        <v>Hoja7</v>
      </c>
      <c r="D24" s="191" t="n">
        <v>0</v>
      </c>
      <c r="E24" s="191" t="n">
        <v>0</v>
      </c>
      <c r="F24" s="2" t="str"/>
      <c r="G24" s="191" t="str">
        <v>DERIVADO; no proceso independiente informado</v>
      </c>
      <c r="H24" s="191" t="str">
        <v>SIN_LLAVE_INDIVIDUAL_IDENTIFICABLE_EN_PRIMERAS_12_FILAS</v>
      </c>
      <c r="I24" s="191" t="str">
        <v>64b28663f43d842ed2c0605067b8a513c35fdfd86f399485aced8cf2e6c7c3ec</v>
      </c>
    </row>
    <row r="25" ht="70" customHeight="1">
      <c r="A25" s="191" t="str">
        <v>RETENCION_DERIVADA</v>
      </c>
      <c r="B25" s="191" t="str">
        <v>/Users/alexi/Library/CloudStorage/OneDrive-InstitutoProfesionalSanSebastián/Datos DAI (RAW) - 1.1 Datos crudos/1.2.1 Datos Institucionales/1.2.1.1 SIES/Enviados/Matrícula Unificada/1. MATRICULA - RETENCION - TITULACION SIES _IP_CIISA_2010_20XX.xlsx</v>
      </c>
      <c r="C25" s="191" t="str">
        <v>Hoja5</v>
      </c>
      <c r="D25" s="191" t="n">
        <v>0</v>
      </c>
      <c r="E25" s="191" t="n">
        <v>0</v>
      </c>
      <c r="F25" s="2" t="str"/>
      <c r="G25" s="191" t="str">
        <v>DERIVADO; no proceso independiente informado</v>
      </c>
      <c r="H25" s="191" t="str">
        <v>SIN_LLAVE_INDIVIDUAL_IDENTIFICABLE_EN_PRIMERAS_12_FILAS</v>
      </c>
      <c r="I25" s="191" t="str">
        <v>64b28663f43d842ed2c0605067b8a513c35fdfd86f399485aced8cf2e6c7c3ec</v>
      </c>
    </row>
    <row r="26" ht="70" customHeight="1">
      <c r="A26" s="191" t="str">
        <v>RETENCION_DERIVADA</v>
      </c>
      <c r="B26" s="191" t="str">
        <v>/Users/alexi/Library/CloudStorage/OneDrive-InstitutoProfesionalSanSebastián/Datos DAI (RAW) - 1.1 Datos crudos/1.2.1 Datos Institucionales/1.2.1.1 SIES/Enviados/Matrícula Unificada/1. MATRICULA - RETENCION - TITULACION SIES _IP_CIISA_2010_20XX.xlsx</v>
      </c>
      <c r="C26" s="191" t="str">
        <v>Hoja17</v>
      </c>
      <c r="D26" s="191" t="n">
        <v>172</v>
      </c>
      <c r="E26" s="191" t="n">
        <v>7</v>
      </c>
      <c r="F26" s="191" t="str">
        <v>MAT_2022</v>
      </c>
      <c r="G26" s="191" t="str">
        <v>DERIVADO; no proceso independiente informado</v>
      </c>
      <c r="H26" s="191" t="str">
        <v>LEIDO</v>
      </c>
      <c r="I26" s="191" t="str">
        <v>64b28663f43d842ed2c0605067b8a513c35fdfd86f399485aced8cf2e6c7c3ec</v>
      </c>
    </row>
    <row r="27" ht="70" customHeight="1">
      <c r="A27" s="191" t="str">
        <v>RETENCION_DERIVADA</v>
      </c>
      <c r="B27" s="191" t="str">
        <v>/Users/alexi/Library/CloudStorage/OneDrive-InstitutoProfesionalSanSebastián/Datos DAI (RAW) - 1.1 Datos crudos/1.2.1 Datos Institucionales/1.2.1.1 SIES/Enviados/Matrícula Unificada/1. MATRICULA - RETENCION - TITULACION SIES _IP_CIISA_2010_20XX.xlsx</v>
      </c>
      <c r="C27" s="191" t="str">
        <v>Hoja15</v>
      </c>
      <c r="D27" s="191" t="n">
        <v>0</v>
      </c>
      <c r="E27" s="191" t="n">
        <v>0</v>
      </c>
      <c r="F27" s="2" t="str"/>
      <c r="G27" s="191" t="str">
        <v>DERIVADO; no proceso independiente informado</v>
      </c>
      <c r="H27" s="191" t="str">
        <v>SIN_LLAVE_INDIVIDUAL_IDENTIFICABLE_EN_PRIMERAS_12_FILAS</v>
      </c>
      <c r="I27" s="191" t="str">
        <v>64b28663f43d842ed2c0605067b8a513c35fdfd86f399485aced8cf2e6c7c3ec</v>
      </c>
    </row>
    <row r="28" ht="70" customHeight="1">
      <c r="A28" s="191" t="str">
        <v>RETENCION_DERIVADA</v>
      </c>
      <c r="B28" s="191" t="str">
        <v>/Users/alexi/Library/CloudStorage/OneDrive-InstitutoProfesionalSanSebastián/Datos DAI (RAW) - 1.1 Datos crudos/1.2.1 Datos Institucionales/1.2.1.1 SIES/Enviados/Matrícula Unificada/1. MATRICULA - RETENCION - TITULACION SIES _IP_CIISA_2010_20XX.xlsx</v>
      </c>
      <c r="C28" s="191" t="str">
        <v>2022</v>
      </c>
      <c r="D28" s="191" t="n">
        <v>307</v>
      </c>
      <c r="E28" s="191" t="n">
        <v>10</v>
      </c>
      <c r="F28" s="191" t="str">
        <v>MAT_2022</v>
      </c>
      <c r="G28" s="191" t="str">
        <v>DERIVADO; no proceso independiente informado</v>
      </c>
      <c r="H28" s="191" t="str">
        <v>LEIDO</v>
      </c>
      <c r="I28" s="191" t="str">
        <v>64b28663f43d842ed2c0605067b8a513c35fdfd86f399485aced8cf2e6c7c3ec</v>
      </c>
    </row>
    <row r="29" ht="70" customHeight="1">
      <c r="A29" s="191" t="str">
        <v>RETENCION_DERIVADA</v>
      </c>
      <c r="B29" s="191" t="str">
        <v>/Users/alexi/Library/CloudStorage/OneDrive-InstitutoProfesionalSanSebastián/Datos DAI (RAW) - 1.1 Datos crudos/1.2.1 Datos Institucionales/1.2.1.1 SIES/Enviados/Matrícula Unificada/1. MATRICULA - RETENCION - TITULACION SIES _IP_CIISA_2010_20XX.xlsx</v>
      </c>
      <c r="C29" s="191" t="str">
        <v>Retención_Correg</v>
      </c>
      <c r="D29" s="191" t="n">
        <v>0</v>
      </c>
      <c r="E29" s="191" t="n">
        <v>0</v>
      </c>
      <c r="F29" s="2" t="str"/>
      <c r="G29" s="191" t="str">
        <v>DERIVADO; no proceso independiente informado</v>
      </c>
      <c r="H29" s="191" t="str">
        <v>SIN_LLAVE_INDIVIDUAL_IDENTIFICABLE_EN_PRIMERAS_12_FILAS</v>
      </c>
      <c r="I29" s="191" t="str">
        <v>64b28663f43d842ed2c0605067b8a513c35fdfd86f399485aced8cf2e6c7c3ec</v>
      </c>
    </row>
    <row r="30" ht="70" customHeight="1">
      <c r="A30" s="191" t="str">
        <v>RETENCION_DERIVADA</v>
      </c>
      <c r="B30" s="191" t="str">
        <v>/Users/alexi/Library/CloudStorage/OneDrive-InstitutoProfesionalSanSebastián/Datos DAI (RAW) - 1.1 Datos crudos/1.2.1 Datos Institucionales/1.2.1.1 SIES/Enviados/Matrícula Unificada/1. MATRICULA - RETENCION - TITULACION SIES _IP_CIISA_2010_20XX.xlsx</v>
      </c>
      <c r="C30" s="191" t="str">
        <v>Tasa titulacion carrera</v>
      </c>
      <c r="D30" s="191" t="n">
        <v>0</v>
      </c>
      <c r="E30" s="191" t="n">
        <v>0</v>
      </c>
      <c r="F30" s="2" t="str"/>
      <c r="G30" s="191" t="str">
        <v>DERIVADO; no proceso independiente informado</v>
      </c>
      <c r="H30" s="191" t="str">
        <v>SIN_LLAVE_INDIVIDUAL_IDENTIFICABLE_EN_PRIMERAS_12_FILAS</v>
      </c>
      <c r="I30" s="191" t="str">
        <v>64b28663f43d842ed2c0605067b8a513c35fdfd86f399485aced8cf2e6c7c3ec</v>
      </c>
    </row>
    <row r="31" ht="70" customHeight="1">
      <c r="A31" s="191" t="str">
        <v>RETENCION_DERIVADA</v>
      </c>
      <c r="B31" s="191" t="str">
        <v>/Users/alexi/Library/CloudStorage/OneDrive-InstitutoProfesionalSanSebastián/Datos DAI (RAW) - 1.1 Datos crudos/1.2.1 Datos Institucionales/1.2.1.1 SIES/Enviados/Matrícula Unificada/1. MATRICULA - RETENCION - TITULACION SIES _IP_CIISA_2010_20XX.xlsx</v>
      </c>
      <c r="C31" s="191" t="str">
        <v>Hoja14</v>
      </c>
      <c r="D31" s="191" t="n">
        <v>0</v>
      </c>
      <c r="E31" s="191" t="n">
        <v>0</v>
      </c>
      <c r="F31" s="2" t="str"/>
      <c r="G31" s="191" t="str">
        <v>DERIVADO; no proceso independiente informado</v>
      </c>
      <c r="H31" s="191" t="str">
        <v>SIN_LLAVE_INDIVIDUAL_IDENTIFICABLE_EN_PRIMERAS_12_FILAS</v>
      </c>
      <c r="I31" s="191" t="str">
        <v>64b28663f43d842ed2c0605067b8a513c35fdfd86f399485aced8cf2e6c7c3ec</v>
      </c>
    </row>
    <row r="32" ht="70" customHeight="1">
      <c r="A32" s="191" t="str">
        <v>RETENCION_DERIVADA</v>
      </c>
      <c r="B32" s="191" t="str">
        <v>/Users/alexi/Library/CloudStorage/OneDrive-InstitutoProfesionalSanSebastián/Datos DAI (RAW) - 1.1 Datos crudos/1.2.1 Datos Institucionales/1.2.1.1 SIES/Enviados/Matrícula Unificada/1. MATRICULA - RETENCION - TITULACION SIES _IP_CIISA_2010_20XX.xlsx</v>
      </c>
      <c r="C32" s="191" t="str">
        <v>Hoja13</v>
      </c>
      <c r="D32" s="191" t="n">
        <v>0</v>
      </c>
      <c r="E32" s="191" t="n">
        <v>0</v>
      </c>
      <c r="F32" s="2" t="str"/>
      <c r="G32" s="191" t="str">
        <v>DERIVADO; no proceso independiente informado</v>
      </c>
      <c r="H32" s="191" t="str">
        <v>SIN_LLAVE_INDIVIDUAL_IDENTIFICABLE_EN_PRIMERAS_12_FILAS</v>
      </c>
      <c r="I32" s="191" t="str">
        <v>64b28663f43d842ed2c0605067b8a513c35fdfd86f399485aced8cf2e6c7c3ec</v>
      </c>
    </row>
    <row r="33" ht="70" customHeight="1">
      <c r="A33" s="191" t="str">
        <v>RETENCION_DERIVADA</v>
      </c>
      <c r="B33" s="191" t="str">
        <v>/Users/alexi/Library/CloudStorage/OneDrive-InstitutoProfesionalSanSebastián/Datos DAI (RAW) - 1.1 Datos crudos/1.2.1 Datos Institucionales/1.2.1.1 SIES/Enviados/Matrícula Unificada/1. MATRICULA - RETENCION - TITULACION SIES _IP_CIISA_2010_20XX.xlsx</v>
      </c>
      <c r="C33" s="191" t="str">
        <v>Hoja11</v>
      </c>
      <c r="D33" s="191" t="n">
        <v>14852</v>
      </c>
      <c r="E33" s="191" t="n">
        <v>0</v>
      </c>
      <c r="F33" s="191" t="str">
        <v>2010 (archivo; año registro no acreditado); MAT_2010; MAT_2011; MAT_2012; MAT_2013; MAT_2014; MAT_2015; MAT_2016; MAT_2017; MAT_2018; MAT_2019; MAT_2020; MAT_2021; MAT_2022; MAT_2023</v>
      </c>
      <c r="G33" s="191" t="str">
        <v>DERIVADO; no proceso independiente informado</v>
      </c>
      <c r="H33" s="191" t="str">
        <v>LEIDO</v>
      </c>
      <c r="I33" s="191" t="str">
        <v>64b28663f43d842ed2c0605067b8a513c35fdfd86f399485aced8cf2e6c7c3ec</v>
      </c>
    </row>
    <row r="34" ht="70" customHeight="1">
      <c r="A34" s="191" t="str">
        <v>RETENCION_DERIVADA</v>
      </c>
      <c r="B34" s="191" t="str">
        <v>/Users/alexi/Library/CloudStorage/OneDrive-InstitutoProfesionalSanSebastián/Datos DAI (RAW) - 1.1 Datos crudos/1.2.1 Datos Institucionales/1.2.1.1 SIES/Enviados/Matrícula Unificada/1. MATRICULA - RETENCION - TITULACION SIES _IP_CIISA_2010_20XX.xlsx</v>
      </c>
      <c r="C34" s="191" t="str">
        <v>MAT_2010 2023</v>
      </c>
      <c r="D34" s="191" t="n">
        <v>16306</v>
      </c>
      <c r="E34" s="191" t="n">
        <v>1240</v>
      </c>
      <c r="F34" s="191" t="str">
        <v>MAT_2010; MAT_2011; MAT_2012; MAT_2013; MAT_2014; MAT_2015; MAT_2016; MAT_2017; MAT_2018; MAT_2019; MAT_2020; MAT_2021; MAT_2022; MAT_2023; MAT_2024</v>
      </c>
      <c r="G34" s="191" t="str">
        <v>DERIVADO; no proceso independiente informado</v>
      </c>
      <c r="H34" s="191" t="str">
        <v>LEIDO</v>
      </c>
      <c r="I34" s="191" t="str">
        <v>64b28663f43d842ed2c0605067b8a513c35fdfd86f399485aced8cf2e6c7c3ec</v>
      </c>
    </row>
    <row r="35" ht="70" customHeight="1">
      <c r="A35" s="191" t="str">
        <v>RETENCION_DERIVADA</v>
      </c>
      <c r="B35" s="191" t="str">
        <v>/Users/alexi/Library/CloudStorage/OneDrive-InstitutoProfesionalSanSebastián/Datos DAI (RAW) - 1.1 Datos crudos/1.2.1 Datos Institucionales/1.2.1.1 SIES/Enviados/Matrícula Unificada/1. MATRICULA - RETENCION - TITULACION SIES _IP_CIISA_2010_20XX.xlsx</v>
      </c>
      <c r="C35" s="191" t="str">
        <v>Hojas actualizada</v>
      </c>
      <c r="D35" s="191" t="n">
        <v>14851</v>
      </c>
      <c r="E35" s="191" t="n">
        <v>1172</v>
      </c>
      <c r="F35" s="191" t="str">
        <v>MAT_2010; MAT_2011; MAT_2012; MAT_2013; MAT_2014; MAT_2015; MAT_2016; MAT_2017; MAT_2018; MAT_2019; MAT_2020; MAT_2021; MAT_2022; MAT_2023</v>
      </c>
      <c r="G35" s="191" t="str">
        <v>DERIVADO; no proceso independiente informado</v>
      </c>
      <c r="H35" s="191" t="str">
        <v>LEIDO</v>
      </c>
      <c r="I35" s="191" t="str">
        <v>64b28663f43d842ed2c0605067b8a513c35fdfd86f399485aced8cf2e6c7c3ec</v>
      </c>
    </row>
    <row r="36" ht="70" customHeight="1">
      <c r="A36" s="191" t="str">
        <v>RETENCION_DERIVADA</v>
      </c>
      <c r="B36" s="191" t="str">
        <v>/Users/alexi/Library/CloudStorage/OneDrive-InstitutoProfesionalSanSebastián/Datos DAI (RAW) - 1.1 Datos crudos/1.2.1 Datos Institucionales/1.2.1.1 SIES/Enviados/Matrícula Unificada/1. MATRICULA - RETENCION - TITULACION SIES _IP_CIISA_2010_20XX.xlsx</v>
      </c>
      <c r="C36" s="191" t="str">
        <v>Cambio con nuevos</v>
      </c>
      <c r="D36" s="191" t="n">
        <v>0</v>
      </c>
      <c r="E36" s="191" t="n">
        <v>0</v>
      </c>
      <c r="F36" s="2" t="str"/>
      <c r="G36" s="191" t="str">
        <v>DERIVADO; no proceso independiente informado</v>
      </c>
      <c r="H36" s="191" t="str">
        <v>SIN_LLAVE_INDIVIDUAL_IDENTIFICABLE_EN_PRIMERAS_12_FILAS</v>
      </c>
      <c r="I36" s="191" t="str">
        <v>64b28663f43d842ed2c0605067b8a513c35fdfd86f399485aced8cf2e6c7c3ec</v>
      </c>
    </row>
    <row r="37" ht="70" customHeight="1">
      <c r="A37" s="191" t="str">
        <v>RETENCION_DERIVADA</v>
      </c>
      <c r="B37" s="191" t="str">
        <v>/Users/alexi/Library/CloudStorage/OneDrive-InstitutoProfesionalSanSebastián/Datos DAI (RAW) - 1.1 Datos crudos/1.2.1 Datos Institucionales/1.2.1.1 SIES/Enviados/Matrícula Unificada/1. MATRICULA - RETENCION - TITULACION SIES _IP_CIISA_2010_20XX.xlsx</v>
      </c>
      <c r="C37" s="191" t="str">
        <v>Hoja9</v>
      </c>
      <c r="D37" s="191" t="n">
        <v>0</v>
      </c>
      <c r="E37" s="191" t="n">
        <v>0</v>
      </c>
      <c r="F37" s="2" t="str"/>
      <c r="G37" s="191" t="str">
        <v>DERIVADO; no proceso independiente informado</v>
      </c>
      <c r="H37" s="191" t="str">
        <v>SIN_LLAVE_INDIVIDUAL_IDENTIFICABLE_EN_PRIMERAS_12_FILAS</v>
      </c>
      <c r="I37" s="191" t="str">
        <v>64b28663f43d842ed2c0605067b8a513c35fdfd86f399485aced8cf2e6c7c3ec</v>
      </c>
    </row>
    <row r="38" ht="70" customHeight="1">
      <c r="A38" s="191" t="str">
        <v>RETENCION_DERIVADA</v>
      </c>
      <c r="B38" s="191" t="str">
        <v>/Users/alexi/Library/CloudStorage/OneDrive-InstitutoProfesionalSanSebastián/Datos DAI (RAW) - 1.1 Datos crudos/1.2.1 Datos Institucionales/1.2.1.1 SIES/Enviados/Matrícula Unificada/1. MATRICULA - RETENCION - TITULACION SIES _IP_CIISA_2010_20XX.xlsx</v>
      </c>
      <c r="C38" s="191" t="str">
        <v>Glosa</v>
      </c>
      <c r="D38" s="191" t="n">
        <v>0</v>
      </c>
      <c r="E38" s="191" t="n">
        <v>0</v>
      </c>
      <c r="F38" s="2" t="str"/>
      <c r="G38" s="191" t="str">
        <v>DERIVADO; no proceso independiente informado</v>
      </c>
      <c r="H38" s="191" t="str">
        <v>SIN_LLAVE_INDIVIDUAL_IDENTIFICABLE_EN_PRIMERAS_12_FILAS</v>
      </c>
      <c r="I38" s="191" t="str">
        <v>64b28663f43d842ed2c0605067b8a513c35fdfd86f399485aced8cf2e6c7c3ec</v>
      </c>
    </row>
    <row r="39" ht="70" customHeight="1">
      <c r="A39" s="191" t="str">
        <v>RETENCION_DERIVADA</v>
      </c>
      <c r="B39" s="191" t="str">
        <v>/Users/alexi/Library/CloudStorage/OneDrive-InstitutoProfesionalSanSebastián/Datos DAI (RAW) - 1.1 Datos crudos/1.2.1 Datos Institucionales/1.2.1.1 SIES/Enviados/Matrícula Unificada/1. MATRICULA - RETENCION - TITULACION SIES _IP_CIISA_2010_20XX.xlsx</v>
      </c>
      <c r="C39" s="191" t="str">
        <v>Hoja6</v>
      </c>
      <c r="D39" s="191" t="n">
        <v>0</v>
      </c>
      <c r="E39" s="191" t="n">
        <v>0</v>
      </c>
      <c r="F39" s="2" t="str"/>
      <c r="G39" s="191" t="str">
        <v>DERIVADO; no proceso independiente informado</v>
      </c>
      <c r="H39" s="191" t="str">
        <v>SIN_LLAVE_INDIVIDUAL_IDENTIFICABLE_EN_PRIMERAS_12_FILAS</v>
      </c>
      <c r="I39" s="191" t="str">
        <v>64b28663f43d842ed2c0605067b8a513c35fdfd86f399485aced8cf2e6c7c3ec</v>
      </c>
    </row>
    <row r="40" ht="70" customHeight="1">
      <c r="A40" s="191" t="str">
        <v>RETENCION_DERIVADA</v>
      </c>
      <c r="B40" s="191" t="str">
        <v>/Users/alexi/Library/CloudStorage/OneDrive-InstitutoProfesionalSanSebastián/Datos DAI (RAW) - 1.1 Datos crudos/1.2.1 Datos Institucionales/1.2.1.1 SIES/Enviados/Matrícula Unificada/1. MATRICULA - RETENCION - TITULACION SIES _IP_CIISA_2010_20XX.xlsx</v>
      </c>
      <c r="C40" s="191" t="str">
        <v>Hoja3</v>
      </c>
      <c r="D40" s="191" t="n">
        <v>0</v>
      </c>
      <c r="E40" s="191" t="n">
        <v>0</v>
      </c>
      <c r="F40" s="2" t="str"/>
      <c r="G40" s="191" t="str">
        <v>DERIVADO; no proceso independiente informado</v>
      </c>
      <c r="H40" s="191" t="str">
        <v>SIN_LLAVE_INDIVIDUAL_IDENTIFICABLE_EN_PRIMERAS_12_FILAS</v>
      </c>
      <c r="I40" s="191" t="str">
        <v>64b28663f43d842ed2c0605067b8a513c35fdfd86f399485aced8cf2e6c7c3ec</v>
      </c>
    </row>
    <row r="41" ht="70" customHeight="1">
      <c r="A41" s="191" t="str">
        <v>TITULADOS</v>
      </c>
      <c r="B41" s="191" t="str">
        <v>/Users/alexi/Library/CloudStorage/OneDrive-InstitutoProfesionalSanSebastián/Datos DAI (RAW) - 1.1 Datos crudos/1.2.1 Datos Institucionales/1.2.1.1 SIES/Enviados/Titulación Unificada/2022/TIT_2022_162_def (1 de marzo de 2021 hasta el 28 de febrero de 2022).csv</v>
      </c>
      <c r="C41" s="191" t="str">
        <v>CSV</v>
      </c>
      <c r="D41" s="191" t="n">
        <v>214</v>
      </c>
      <c r="E41" s="191" t="n">
        <v>82</v>
      </c>
      <c r="F41" s="191" t="str">
        <v>2022 (archivo; año registro no acreditado)</v>
      </c>
      <c r="G41" s="191" t="str">
        <v>ARCHIVO_ENVIADOS; aceptación de carga no acreditada</v>
      </c>
      <c r="H41" s="191" t="str">
        <v>LEIDO</v>
      </c>
      <c r="I41" s="191" t="str">
        <v>451dcc2ca39b9a5dfb6072282d32fb8a5440a2af21d8cf667e1e9ee62bf1e60d</v>
      </c>
    </row>
    <row r="42" ht="70" customHeight="1">
      <c r="A42" s="191" t="str">
        <v>TITULADOS</v>
      </c>
      <c r="B42" s="191" t="str">
        <v>/Users/alexi/Library/CloudStorage/OneDrive-InstitutoProfesionalSanSebastián/Datos DAI (RAW) - 1.1 Datos crudos/1.2.1 Datos Institucionales/1.2.1.1 SIES/Enviados/Titulación Unificada/2023/TIT_IP_CIISA_2023 (1 de marzo de 2022 hasta el 28 de febrero de 2023).csv</v>
      </c>
      <c r="C42" s="191" t="str">
        <v>CSV</v>
      </c>
      <c r="D42" s="191" t="n">
        <v>283</v>
      </c>
      <c r="E42" s="191" t="n">
        <v>78</v>
      </c>
      <c r="F42" s="191" t="str">
        <v>2023 (archivo; año registro no acreditado)</v>
      </c>
      <c r="G42" s="191" t="str">
        <v>ARCHIVO_ENVIADOS; aceptación de carga no acreditada</v>
      </c>
      <c r="H42" s="191" t="str">
        <v>LEIDO</v>
      </c>
      <c r="I42" s="191" t="str">
        <v>c590811b196bde2b5aaa9d060bd09ea65f532129515ea31bd326a569e71d61bd</v>
      </c>
    </row>
    <row r="43" ht="70" customHeight="1">
      <c r="A43" s="191" t="str">
        <v>TITULADOS</v>
      </c>
      <c r="B43" s="191" t="str">
        <v>/Users/alexi/Library/CloudStorage/OneDrive-InstitutoProfesionalSanSebastián/Datos DAI (RAW) - 1.1 Datos crudos/1.2.1 Datos Institucionales/1.2.1.1 SIES/Enviados/Titulación Unificada/2024/TIT_IP_CIISA_2024 (1 de marzo 2023 hasta 29 de febrero 2024).csv</v>
      </c>
      <c r="C43" s="191" t="str">
        <v>CSV</v>
      </c>
      <c r="D43" s="191" t="n">
        <v>0</v>
      </c>
      <c r="E43" s="191" t="n">
        <v>0</v>
      </c>
      <c r="F43" s="2" t="str"/>
      <c r="G43" s="191" t="str">
        <v>ARCHIVO_ENVIADOS; aceptación de carga no acreditada</v>
      </c>
      <c r="H43" s="191" t="str">
        <v>SIN_LLAVE_INDIVIDUAL_IDENTIFICABLE_EN_PRIMERAS_12_FILAS</v>
      </c>
      <c r="I43" s="191" t="str">
        <v>96a85611e211c0547f5082f2c927c127a5114c85ee2adafac35220af09cfd8e7</v>
      </c>
    </row>
    <row r="44" ht="70" customHeight="1">
      <c r="A44" s="191" t="str">
        <v>TITULADOS</v>
      </c>
      <c r="B44" s="191" t="str">
        <v>/Users/alexi/Library/CloudStorage/OneDrive-InstitutoProfesionalSanSebastián/Datos DAI (RAW) - 1.1 Datos crudos/1.2.1 Datos Institucionales/1.2.1.1 SIES/Enviados/Titulación Unificada/2026/5319 Titulados Históricos 2007-2025.csv</v>
      </c>
      <c r="C44" s="191" t="str">
        <v>CSV</v>
      </c>
      <c r="D44" s="191" t="n">
        <v>3073</v>
      </c>
      <c r="E44" s="191" t="n">
        <v>319</v>
      </c>
      <c r="F44" s="191" t="str">
        <v>2007; 2008; 2009; 2010; 2011; 2012; 2013; 2014; 2015; 2016; 2017; 2018; 2019; 2020; 2021; 2022; 2023; 2024</v>
      </c>
      <c r="G44" s="191" t="str">
        <v>PRECARGA_HISTORICA_SIES; no nueva carga</v>
      </c>
      <c r="H44" s="191" t="str">
        <v>LEIDO</v>
      </c>
      <c r="I44" s="191" t="str">
        <v>08df93d633765d5b5b6ec9fafd89cb88898d9475e9e1696626fe352c669b4a56</v>
      </c>
    </row>
    <row r="45" ht="70" customHeight="1">
      <c r="A45" s="191" t="str">
        <v>TITULADOS</v>
      </c>
      <c r="B45" s="191" t="str">
        <v>/Users/alexi/Library/CloudStorage/OneDrive-InstitutoProfesionalSanSebastián/Datos DAI (RAW) - 1.1 Datos crudos/1.2.1 Datos Institucionales/1.2.1.1 SIES/Enviados/Titulación Unificada/2026/Titulación Unificada 2026.csv</v>
      </c>
      <c r="C45" s="191" t="str">
        <v>CSV</v>
      </c>
      <c r="D45" s="191" t="n">
        <v>0</v>
      </c>
      <c r="E45" s="191" t="n">
        <v>0</v>
      </c>
      <c r="F45" s="2" t="str"/>
      <c r="G45" s="191" t="str">
        <v>ARCHIVO_ENVIADOS; aceptación de carga no acreditada</v>
      </c>
      <c r="H45" s="191" t="str">
        <v>SIN_LLAVE_INDIVIDUAL_IDENTIFICABLE_EN_PRIMERAS_12_FILAS</v>
      </c>
      <c r="I45" s="191" t="str">
        <v>b52586f6741109e293c90896721ca5b879f5f51ec98a1c80650464aa52356dec</v>
      </c>
    </row>
    <row r="46" ht="70" customHeight="1">
      <c r="A46" s="191" t="str">
        <v>AVANCE_CURRICULAR</v>
      </c>
      <c r="B46" s="191" t="str">
        <v>/Users/alexi/Library/CloudStorage/OneDrive-InstitutoProfesionalSanSebastián/Datos DAI (RAW) - 1.1 Datos crudos/1.2.1 Datos Institucionales/1.2.1.1 SIES/Publicados/Avance Curricular/AVC_IP_CIISA_PROCESO_2020.xlsx</v>
      </c>
      <c r="C46" s="191" t="str">
        <v>AVC_2020</v>
      </c>
      <c r="D46" s="191" t="n">
        <v>1096</v>
      </c>
      <c r="E46" s="191" t="n">
        <v>301</v>
      </c>
      <c r="F46" s="191" t="str">
        <v>2020 (archivo; año registro no acreditado)</v>
      </c>
      <c r="G46" s="191" t="str">
        <v>EXTRACTO_PUBLICADOS; sin comprobante individual de aceptación</v>
      </c>
      <c r="H46" s="191" t="str">
        <v>LEIDO</v>
      </c>
      <c r="I46" s="191" t="str">
        <v>b044a6c1f658e903fe14e698431b3ad978f3f85200ef1524ab704ba9343791b2</v>
      </c>
    </row>
    <row r="47" ht="70" customHeight="1">
      <c r="A47" s="191" t="str">
        <v>AVANCE_CURRICULAR</v>
      </c>
      <c r="B47" s="191" t="str">
        <v>/Users/alexi/Library/CloudStorage/OneDrive-InstitutoProfesionalSanSebastián/Datos DAI (RAW) - 1.1 Datos crudos/1.2.1 Datos Institucionales/1.2.1.1 SIES/Publicados/Avance Curricular/AVC_IP_CIISA_PROCESO_2021.xlsx</v>
      </c>
      <c r="C47" s="191" t="str">
        <v>AVC_2021</v>
      </c>
      <c r="D47" s="191" t="n">
        <v>980</v>
      </c>
      <c r="E47" s="191" t="n">
        <v>238</v>
      </c>
      <c r="F47" s="191" t="str">
        <v>2021 (archivo; año registro no acreditado)</v>
      </c>
      <c r="G47" s="191" t="str">
        <v>EXTRACTO_PUBLICADOS; sin comprobante individual de aceptación</v>
      </c>
      <c r="H47" s="191" t="str">
        <v>LEIDO</v>
      </c>
      <c r="I47" s="191" t="str">
        <v>0fdea266ad59ee9c75d4f92fe5fd42d4f75fd0c8b9b728b29b34a7cc100b714c</v>
      </c>
    </row>
    <row r="48" ht="70" customHeight="1">
      <c r="A48" s="191" t="str">
        <v>AVANCE_CURRICULAR</v>
      </c>
      <c r="B48" s="191" t="str">
        <v>/Users/alexi/Library/CloudStorage/OneDrive-InstitutoProfesionalSanSebastián/Datos DAI (RAW) - 1.1 Datos crudos/1.2.1 Datos Institucionales/1.2.1.1 SIES/Publicados/Avance Curricular/AVC_IP_CIISA_PROCESO_2022.xlsx</v>
      </c>
      <c r="C48" s="191" t="str">
        <v>AVC_2022</v>
      </c>
      <c r="D48" s="191" t="n">
        <v>1105</v>
      </c>
      <c r="E48" s="191" t="n">
        <v>160</v>
      </c>
      <c r="F48" s="191" t="str">
        <v>2022 (archivo; año registro no acreditado)</v>
      </c>
      <c r="G48" s="191" t="str">
        <v>EXTRACTO_PUBLICADOS; sin comprobante individual de aceptación</v>
      </c>
      <c r="H48" s="191" t="str">
        <v>LEIDO</v>
      </c>
      <c r="I48" s="191" t="str">
        <v>cfb3774adeab079c45fe2ed7e15cf2f217ca259d1330a4b0e0a422014b148341</v>
      </c>
    </row>
    <row r="49" ht="70" customHeight="1">
      <c r="A49" s="191" t="str">
        <v>AVANCE_CURRICULAR</v>
      </c>
      <c r="B49" s="191" t="str">
        <v>/Users/alexi/Library/CloudStorage/OneDrive-InstitutoProfesionalSanSebastián/Datos DAI (RAW) - 1.1 Datos crudos/1.2.1 Datos Institucionales/1.2.1.1 SIES/Publicados/Avance Curricular/A_CURRICULAR_2017_162.xlsx</v>
      </c>
      <c r="C49" s="191" t="str">
        <v>Responsable</v>
      </c>
      <c r="D49" s="191" t="n">
        <v>0</v>
      </c>
      <c r="E49" s="191" t="n">
        <v>0</v>
      </c>
      <c r="F49" s="2" t="str"/>
      <c r="G49" s="191" t="str">
        <v>EXTRACTO_PUBLICADOS; sin comprobante individual de aceptación</v>
      </c>
      <c r="H49" s="191" t="str">
        <v>SIN_LLAVE_INDIVIDUAL_IDENTIFICABLE_EN_PRIMERAS_12_FILAS</v>
      </c>
      <c r="I49" s="191" t="str">
        <v>14eb029499f8065b8bb1809b6aa9df4478f8bcd6dfd0afbb025543ae93168d59</v>
      </c>
    </row>
    <row r="50" ht="70" customHeight="1">
      <c r="A50" s="191" t="str">
        <v>AVANCE_CURRICULAR</v>
      </c>
      <c r="B50" s="191" t="str">
        <v>/Users/alexi/Library/CloudStorage/OneDrive-InstitutoProfesionalSanSebastián/Datos DAI (RAW) - 1.1 Datos crudos/1.2.1 Datos Institucionales/1.2.1.1 SIES/Publicados/Avance Curricular/A_CURRICULAR_2017_162.xlsx</v>
      </c>
      <c r="C50" s="191" t="str">
        <v>Carreras_Informadas</v>
      </c>
      <c r="D50" s="191" t="n">
        <v>0</v>
      </c>
      <c r="E50" s="191" t="n">
        <v>0</v>
      </c>
      <c r="F50" s="2" t="str"/>
      <c r="G50" s="191" t="str">
        <v>EXTRACTO_PUBLICADOS; sin comprobante individual de aceptación</v>
      </c>
      <c r="H50" s="191" t="str">
        <v>SIN_LLAVE_INDIVIDUAL_IDENTIFICABLE_EN_PRIMERAS_12_FILAS</v>
      </c>
      <c r="I50" s="191" t="str">
        <v>14eb029499f8065b8bb1809b6aa9df4478f8bcd6dfd0afbb025543ae93168d59</v>
      </c>
    </row>
    <row r="51" ht="70" customHeight="1">
      <c r="A51" s="191" t="str">
        <v>AVANCE_CURRICULAR</v>
      </c>
      <c r="B51" s="191" t="str">
        <v>/Users/alexi/Library/CloudStorage/OneDrive-InstitutoProfesionalSanSebastián/Datos DAI (RAW) - 1.1 Datos crudos/1.2.1 Datos Institucionales/1.2.1.1 SIES/Publicados/Avance Curricular/A_CURRICULAR_2017_162.xlsx</v>
      </c>
      <c r="C51" s="191" t="str">
        <v>Matrícula_Informada</v>
      </c>
      <c r="D51" s="191" t="n">
        <v>0</v>
      </c>
      <c r="E51" s="191" t="n">
        <v>0</v>
      </c>
      <c r="F51" s="2" t="str"/>
      <c r="G51" s="191" t="str">
        <v>EXTRACTO_PUBLICADOS; sin comprobante individual de aceptación</v>
      </c>
      <c r="H51" s="191" t="str">
        <v>SIN_LLAVE_INDIVIDUAL_IDENTIFICABLE_EN_PRIMERAS_12_FILAS</v>
      </c>
      <c r="I51" s="191" t="str">
        <v>14eb029499f8065b8bb1809b6aa9df4478f8bcd6dfd0afbb025543ae93168d59</v>
      </c>
    </row>
    <row r="52" ht="70" customHeight="1">
      <c r="A52" s="191" t="str">
        <v>AVANCE_CURRICULAR</v>
      </c>
      <c r="B52" s="191" t="str">
        <v>/Users/alexi/Library/CloudStorage/OneDrive-InstitutoProfesionalSanSebastián/Datos DAI (RAW) - 1.1 Datos crudos/1.2.1 Datos Institucionales/1.2.1.1 SIES/Publicados/Avance Curricular/A_CURRICULAR_2017_2022_162.xlsx</v>
      </c>
      <c r="C52" s="191" t="str">
        <v>Hoja1</v>
      </c>
      <c r="D52" s="191" t="n">
        <v>6550</v>
      </c>
      <c r="E52" s="191" t="n">
        <v>950</v>
      </c>
      <c r="F52" s="191" t="str">
        <v>2017; 2018; 2019; 2020; 2021; 2022</v>
      </c>
      <c r="G52" s="191" t="str">
        <v>EXTRACTO_PUBLICADOS; sin comprobante individual de aceptación</v>
      </c>
      <c r="H52" s="191" t="str">
        <v>LEIDO</v>
      </c>
      <c r="I52" s="191" t="str">
        <v>25cf4187df02c23786fe3192caabe7632f6feff330e0af0db7b93418dc3634bc</v>
      </c>
    </row>
    <row r="53" ht="70" customHeight="1">
      <c r="A53" s="191" t="str">
        <v>AVANCE_CURRICULAR</v>
      </c>
      <c r="B53" s="191" t="str">
        <v>/Users/alexi/Library/CloudStorage/OneDrive-InstitutoProfesionalSanSebastián/Datos DAI (RAW) - 1.1 Datos crudos/1.2.1 Datos Institucionales/1.2.1.1 SIES/Publicados/Avance Curricular/A_CURRICULAR_2018_162.xlsx</v>
      </c>
      <c r="C53" s="191" t="str">
        <v>Responsable</v>
      </c>
      <c r="D53" s="191" t="n">
        <v>0</v>
      </c>
      <c r="E53" s="191" t="n">
        <v>0</v>
      </c>
      <c r="F53" s="2" t="str"/>
      <c r="G53" s="191" t="str">
        <v>EXTRACTO_PUBLICADOS; sin comprobante individual de aceptación</v>
      </c>
      <c r="H53" s="191" t="str">
        <v>SIN_LLAVE_INDIVIDUAL_IDENTIFICABLE_EN_PRIMERAS_12_FILAS</v>
      </c>
      <c r="I53" s="191" t="str">
        <v>3c55ce31e16dd7ba56dcf20c8fcd4f536ebeaa1145a0875b8abdd1167bd823e3</v>
      </c>
    </row>
    <row r="54" ht="70" customHeight="1">
      <c r="A54" s="191" t="str">
        <v>AVANCE_CURRICULAR</v>
      </c>
      <c r="B54" s="191" t="str">
        <v>/Users/alexi/Library/CloudStorage/OneDrive-InstitutoProfesionalSanSebastián/Datos DAI (RAW) - 1.1 Datos crudos/1.2.1 Datos Institucionales/1.2.1.1 SIES/Publicados/Avance Curricular/A_CURRICULAR_2018_162.xlsx</v>
      </c>
      <c r="C54" s="191" t="str">
        <v>Carreras_Informadas</v>
      </c>
      <c r="D54" s="191" t="n">
        <v>0</v>
      </c>
      <c r="E54" s="191" t="n">
        <v>0</v>
      </c>
      <c r="F54" s="2" t="str"/>
      <c r="G54" s="191" t="str">
        <v>EXTRACTO_PUBLICADOS; sin comprobante individual de aceptación</v>
      </c>
      <c r="H54" s="191" t="str">
        <v>SIN_LLAVE_INDIVIDUAL_IDENTIFICABLE_EN_PRIMERAS_12_FILAS</v>
      </c>
      <c r="I54" s="191" t="str">
        <v>3c55ce31e16dd7ba56dcf20c8fcd4f536ebeaa1145a0875b8abdd1167bd823e3</v>
      </c>
    </row>
    <row r="55" ht="70" customHeight="1">
      <c r="A55" s="191" t="str">
        <v>AVANCE_CURRICULAR</v>
      </c>
      <c r="B55" s="191" t="str">
        <v>/Users/alexi/Library/CloudStorage/OneDrive-InstitutoProfesionalSanSebastián/Datos DAI (RAW) - 1.1 Datos crudos/1.2.1 Datos Institucionales/1.2.1.1 SIES/Publicados/Avance Curricular/A_CURRICULAR_2018_162.xlsx</v>
      </c>
      <c r="C55" s="191" t="str">
        <v>Matrícula_Informada</v>
      </c>
      <c r="D55" s="191" t="n">
        <v>0</v>
      </c>
      <c r="E55" s="191" t="n">
        <v>0</v>
      </c>
      <c r="F55" s="2" t="str"/>
      <c r="G55" s="191" t="str">
        <v>EXTRACTO_PUBLICADOS; sin comprobante individual de aceptación</v>
      </c>
      <c r="H55" s="191" t="str">
        <v>SIN_LLAVE_INDIVIDUAL_IDENTIFICABLE_EN_PRIMERAS_12_FILAS</v>
      </c>
      <c r="I55" s="191" t="str">
        <v>3c55ce31e16dd7ba56dcf20c8fcd4f536ebeaa1145a0875b8abdd1167bd823e3</v>
      </c>
    </row>
    <row r="56" ht="70" customHeight="1">
      <c r="A56" s="191" t="str">
        <v>AVANCE_CURRICULAR</v>
      </c>
      <c r="B56" s="191" t="str">
        <v>/Users/alexi/Library/CloudStorage/OneDrive-InstitutoProfesionalSanSebastián/Datos DAI (RAW) - 1.1 Datos crudos/1.2.1 Datos Institucionales/1.2.1.1 SIES/Publicados/Avance Curricular/A_CURRICULAR_2019_162.xlsx</v>
      </c>
      <c r="C56" s="191" t="str">
        <v>Responsable</v>
      </c>
      <c r="D56" s="191" t="n">
        <v>0</v>
      </c>
      <c r="E56" s="191" t="n">
        <v>0</v>
      </c>
      <c r="F56" s="2" t="str"/>
      <c r="G56" s="191" t="str">
        <v>EXTRACTO_PUBLICADOS; sin comprobante individual de aceptación</v>
      </c>
      <c r="H56" s="191" t="str">
        <v>SIN_LLAVE_INDIVIDUAL_IDENTIFICABLE_EN_PRIMERAS_12_FILAS</v>
      </c>
      <c r="I56" s="191" t="str">
        <v>6b00d174d3891e424770b34e889935bb4a7a94aa050ae64f8e63e90c3674137f</v>
      </c>
    </row>
    <row r="57" ht="70" customHeight="1">
      <c r="A57" s="191" t="str">
        <v>AVANCE_CURRICULAR</v>
      </c>
      <c r="B57" s="191" t="str">
        <v>/Users/alexi/Library/CloudStorage/OneDrive-InstitutoProfesionalSanSebastián/Datos DAI (RAW) - 1.1 Datos crudos/1.2.1 Datos Institucionales/1.2.1.1 SIES/Publicados/Avance Curricular/A_CURRICULAR_2019_162.xlsx</v>
      </c>
      <c r="C57" s="191" t="str">
        <v>Carreras_Informadas</v>
      </c>
      <c r="D57" s="191" t="n">
        <v>0</v>
      </c>
      <c r="E57" s="191" t="n">
        <v>0</v>
      </c>
      <c r="F57" s="2" t="str"/>
      <c r="G57" s="191" t="str">
        <v>EXTRACTO_PUBLICADOS; sin comprobante individual de aceptación</v>
      </c>
      <c r="H57" s="191" t="str">
        <v>SIN_LLAVE_INDIVIDUAL_IDENTIFICABLE_EN_PRIMERAS_12_FILAS</v>
      </c>
      <c r="I57" s="191" t="str">
        <v>6b00d174d3891e424770b34e889935bb4a7a94aa050ae64f8e63e90c3674137f</v>
      </c>
    </row>
    <row r="58" ht="70" customHeight="1">
      <c r="A58" s="191" t="str">
        <v>AVANCE_CURRICULAR</v>
      </c>
      <c r="B58" s="191" t="str">
        <v>/Users/alexi/Library/CloudStorage/OneDrive-InstitutoProfesionalSanSebastián/Datos DAI (RAW) - 1.1 Datos crudos/1.2.1 Datos Institucionales/1.2.1.1 SIES/Publicados/Avance Curricular/A_CURRICULAR_2019_162.xlsx</v>
      </c>
      <c r="C58" s="191" t="str">
        <v>Matrícula_Informada</v>
      </c>
      <c r="D58" s="191" t="n">
        <v>0</v>
      </c>
      <c r="E58" s="191" t="n">
        <v>0</v>
      </c>
      <c r="F58" s="2" t="str"/>
      <c r="G58" s="191" t="str">
        <v>EXTRACTO_PUBLICADOS; sin comprobante individual de aceptación</v>
      </c>
      <c r="H58" s="191" t="str">
        <v>SIN_LLAVE_INDIVIDUAL_IDENTIFICABLE_EN_PRIMERAS_12_FILAS</v>
      </c>
      <c r="I58" s="191" t="str">
        <v>6b00d174d3891e424770b34e889935bb4a7a94aa050ae64f8e63e90c3674137f</v>
      </c>
    </row>
    <row r="59" ht="70" customHeight="1">
      <c r="A59" s="191" t="str">
        <v>TITULADOS</v>
      </c>
      <c r="B59" s="191" t="str">
        <v>/Users/alexi/Library/CloudStorage/OneDrive-InstitutoProfesionalSanSebastián/Datos DAI (RAW) - 1.1 Datos crudos/1.2.1 Datos Institucionales/1.2.1.1 SIES/Publicados/Titulación Unificada/TIT_IP_CIISA_2010_2022.xlsx</v>
      </c>
      <c r="C59" s="191" t="str">
        <v>Hoja1</v>
      </c>
      <c r="D59" s="191" t="n">
        <v>2203</v>
      </c>
      <c r="E59" s="191" t="n">
        <v>290</v>
      </c>
      <c r="F59" s="191" t="str">
        <v>TIT_2010; TIT_2011; TIT_2012; TIT_2013; TIT_2014; TIT_2015; TIT_2016; TIT_2017; TIT_2018; TIT_2019; TIT_2020; TIT_2021; TIT_2022</v>
      </c>
      <c r="G59" s="191" t="str">
        <v>EXTRACTO_PUBLICADOS; sin comprobante individual de aceptación</v>
      </c>
      <c r="H59" s="191" t="str">
        <v>LEIDO</v>
      </c>
      <c r="I59" s="191" t="str">
        <v>dae1c017b30bc0d728e19e6863266302cf18e6faea48337ea9e56a0106f04f38</v>
      </c>
    </row>
    <row r="60" ht="70" customHeight="1">
      <c r="A60" s="191" t="str">
        <v>TITULADOS</v>
      </c>
      <c r="B60" s="191" t="str">
        <v>/Users/alexi/Library/CloudStorage/OneDrive-InstitutoProfesionalSanSebastián/Datos DAI (RAW) - 1.1 Datos crudos/1.2.1 Datos Institucionales/1.2.1.1 SIES/Publicados/Titulación Unificada/TIT_IP_CIISA_2010_al_2015.xlsx</v>
      </c>
      <c r="C60" s="191" t="str">
        <v>TIT_2010_al_2015</v>
      </c>
      <c r="D60" s="191" t="n">
        <v>765</v>
      </c>
      <c r="E60" s="191" t="n">
        <v>17</v>
      </c>
      <c r="F60" s="191" t="str">
        <v>TIT_2010; TIT_2011; TIT_2012; TIT_2013; TIT_2014; TIT_2015</v>
      </c>
      <c r="G60" s="191" t="str">
        <v>EXTRACTO_PUBLICADOS; sin comprobante individual de aceptación</v>
      </c>
      <c r="H60" s="191" t="str">
        <v>LEIDO</v>
      </c>
      <c r="I60" s="191" t="str">
        <v>cc71550e2d698dc1845733a82a8a91c7b23f31275993ed3b955f27575f7bc4dd</v>
      </c>
    </row>
    <row r="61" ht="70" customHeight="1">
      <c r="A61" s="191" t="str">
        <v>TITULADOS</v>
      </c>
      <c r="B61" s="191" t="str">
        <v>/Users/alexi/Library/CloudStorage/OneDrive-InstitutoProfesionalSanSebastián/Datos DAI (RAW) - 1.1 Datos crudos/1.2.1 Datos Institucionales/1.2.1.1 SIES/Publicados/Titulación Unificada/TIT_IP_CIISA_2016_al_2020.xlsx</v>
      </c>
      <c r="C61" s="191" t="str">
        <v>TIT_2016_al_2020</v>
      </c>
      <c r="D61" s="191" t="n">
        <v>941</v>
      </c>
      <c r="E61" s="191" t="n">
        <v>113</v>
      </c>
      <c r="F61" s="191" t="str">
        <v>TIT_2016; TIT_2017; TIT_2018; TIT_2019; TIT_2020</v>
      </c>
      <c r="G61" s="191" t="str">
        <v>EXTRACTO_PUBLICADOS; sin comprobante individual de aceptación</v>
      </c>
      <c r="H61" s="191" t="str">
        <v>LEIDO</v>
      </c>
      <c r="I61" s="191" t="str">
        <v>25f131e1d59ce68a0a515fc201b475c2c6a077bb93d07bfdc8deea10eed2fa42</v>
      </c>
    </row>
    <row r="62" ht="70" customHeight="1">
      <c r="A62" s="191" t="str">
        <v>TITULADOS</v>
      </c>
      <c r="B62" s="191" t="str">
        <v>/Users/alexi/Library/CloudStorage/OneDrive-InstitutoProfesionalSanSebastián/Datos DAI (RAW) - 1.1 Datos crudos/1.2.1 Datos Institucionales/1.2.1.1 SIES/Publicados/Titulación Unificada/TIT_IP_CIISA_2021_al_2022.xlsx</v>
      </c>
      <c r="C62" s="191" t="str">
        <v>TIT_2021_2022</v>
      </c>
      <c r="D62" s="191" t="n">
        <v>497</v>
      </c>
      <c r="E62" s="191" t="n">
        <v>160</v>
      </c>
      <c r="F62" s="191" t="str">
        <v>TIT_2021; TIT_2022</v>
      </c>
      <c r="G62" s="191" t="str">
        <v>EXTRACTO_PUBLICADOS; sin comprobante individual de aceptación</v>
      </c>
      <c r="H62" s="191" t="str">
        <v>LEIDO</v>
      </c>
      <c r="I62" s="191" t="str">
        <v>68cad0d65899f64dc8791401a8dbd92634a417ada0b6a37a2dd296d7b4926b6e</v>
      </c>
    </row>
    <row r="63" ht="70" customHeight="1">
      <c r="A63" s="191" t="str">
        <v>TITULADOS</v>
      </c>
      <c r="B63" s="191" t="str">
        <v>/Users/alexi/Library/CloudStorage/OneDrive-InstitutoProfesionalSanSebastián/Datos DAI (RAW) - 1.1 Datos crudos/1.2.1 Datos Institucionales/1.2.1.1 SIES/Publicados/Titulación Unificada/TIT_IP_CIISA_2024.xlsx</v>
      </c>
      <c r="C63" s="191" t="str">
        <v>Resumen 21_03</v>
      </c>
      <c r="D63" s="191" t="n">
        <v>0</v>
      </c>
      <c r="E63" s="191" t="n">
        <v>0</v>
      </c>
      <c r="F63" s="2" t="str"/>
      <c r="G63" s="191" t="str">
        <v>EXTRACTO_PUBLICADOS; sin comprobante individual de aceptación</v>
      </c>
      <c r="H63" s="191" t="str">
        <v>SIN_LLAVE_INDIVIDUAL_IDENTIFICABLE_EN_PRIMERAS_12_FILAS</v>
      </c>
      <c r="I63" s="191" t="str">
        <v>fc4ec093991ee4234cec9706afd4409b6ec138bdea1a4a8abb3488fad653ee8c</v>
      </c>
    </row>
    <row r="64" ht="70" customHeight="1">
      <c r="A64" s="191" t="str">
        <v>TITULADOS</v>
      </c>
      <c r="B64" s="191" t="str">
        <v>/Users/alexi/Library/CloudStorage/OneDrive-InstitutoProfesionalSanSebastián/Datos DAI (RAW) - 1.1 Datos crudos/1.2.1 Datos Institucionales/1.2.1.1 SIES/Publicados/Titulación Unificada/TIT_IP_CIISA_2024.xlsx</v>
      </c>
      <c r="C64" s="191" t="str">
        <v>21-03-2023_18-23-51_Titulados_2</v>
      </c>
      <c r="D64" s="191" t="n">
        <v>346</v>
      </c>
      <c r="E64" s="191" t="n">
        <v>22</v>
      </c>
      <c r="F64" s="191" t="str">
        <v>2024 (archivo; año registro no acreditado)</v>
      </c>
      <c r="G64" s="191" t="str">
        <v>EXTRACTO_PUBLICADOS; sin comprobante individual de aceptación</v>
      </c>
      <c r="H64" s="191" t="str">
        <v>LEIDO</v>
      </c>
      <c r="I64" s="191" t="str">
        <v>fc4ec093991ee4234cec9706afd4409b6ec138bdea1a4a8abb3488fad653ee8c</v>
      </c>
    </row>
    <row r="65" ht="70" customHeight="1">
      <c r="A65" s="191" t="str">
        <v>TITULADOS</v>
      </c>
      <c r="B65" s="191" t="str">
        <v>/Users/alexi/Library/CloudStorage/OneDrive-InstitutoProfesionalSanSebastián/Datos DAI (RAW) - 1.1 Datos crudos/1.2.1 Datos Institucionales/1.2.1.1 SIES/Publicados/Titulación Unificada/TIT_IP_CIISA_2024.xlsx</v>
      </c>
      <c r="C65" s="191" t="str">
        <v>din</v>
      </c>
      <c r="D65" s="191" t="n">
        <v>0</v>
      </c>
      <c r="E65" s="191" t="n">
        <v>0</v>
      </c>
      <c r="F65" s="2" t="str"/>
      <c r="G65" s="191" t="str">
        <v>EXTRACTO_PUBLICADOS; sin comprobante individual de aceptación</v>
      </c>
      <c r="H65" s="191" t="str">
        <v>SIN_LLAVE_INDIVIDUAL_IDENTIFICABLE_EN_PRIMERAS_12_FILAS</v>
      </c>
      <c r="I65" s="191" t="str">
        <v>fc4ec093991ee4234cec9706afd4409b6ec138bdea1a4a8abb3488fad653ee8c</v>
      </c>
    </row>
    <row r="66" ht="70" customHeight="1">
      <c r="A66" s="191" t="str">
        <v>TITULADOS</v>
      </c>
      <c r="B66" s="191" t="str">
        <v>/Users/alexi/Library/CloudStorage/OneDrive-InstitutoProfesionalSanSebastián/Datos DAI (RAW) - 1.1 Datos crudos/1.2.1 Datos Institucionales/1.2.1.1 SIES/Publicados/Titulación Unificada/TIT_IP_CIISA_2024.xlsx</v>
      </c>
      <c r="C66" s="191" t="str">
        <v>alumnos antiguos</v>
      </c>
      <c r="D66" s="191" t="n">
        <v>89</v>
      </c>
      <c r="E66" s="191" t="n">
        <v>5</v>
      </c>
      <c r="F66" s="191" t="str">
        <v>2024 (archivo; año registro no acreditado)</v>
      </c>
      <c r="G66" s="191" t="str">
        <v>EXTRACTO_PUBLICADOS; sin comprobante individual de aceptación</v>
      </c>
      <c r="H66" s="191" t="str">
        <v>LEIDO</v>
      </c>
      <c r="I66" s="191" t="str">
        <v>fc4ec093991ee4234cec9706afd4409b6ec138bdea1a4a8abb3488fad653ee8c</v>
      </c>
    </row>
    <row r="67" ht="70" customHeight="1">
      <c r="A67" s="191" t="str">
        <v>TITULADOS</v>
      </c>
      <c r="B67" s="191" t="str">
        <v>/Users/alexi/Library/CloudStorage/OneDrive-InstitutoProfesionalSanSebastián/Datos DAI (RAW) - 1.1 Datos crudos/1.2.1 Datos Institucionales/1.2.1.1 SIES/Publicados/Titulación Unificada/TIT_IP_CIISA_2024.xlsx</v>
      </c>
      <c r="C67" s="191" t="str">
        <v>din antiguos</v>
      </c>
      <c r="D67" s="191" t="n">
        <v>0</v>
      </c>
      <c r="E67" s="191" t="n">
        <v>0</v>
      </c>
      <c r="F67" s="2" t="str"/>
      <c r="G67" s="191" t="str">
        <v>EXTRACTO_PUBLICADOS; sin comprobante individual de aceptación</v>
      </c>
      <c r="H67" s="191" t="str">
        <v>SIN_LLAVE_INDIVIDUAL_IDENTIFICABLE_EN_PRIMERAS_12_FILAS</v>
      </c>
      <c r="I67" s="191" t="str">
        <v>fc4ec093991ee4234cec9706afd4409b6ec138bdea1a4a8abb3488fad653ee8c</v>
      </c>
    </row>
    <row r="68" ht="70" customHeight="1">
      <c r="A68" s="191" t="str">
        <v>TITULADOS</v>
      </c>
      <c r="B68" s="191" t="str">
        <v>/Users/alexi/Library/CloudStorage/OneDrive-InstitutoProfesionalSanSebastián/Datos DAI (RAW) - 1.1 Datos crudos/1.2.1 Datos Institucionales/1.2.1.1 SIES/Publicados/Titulación Unificada/TIT_IP_CIISA_2024.xlsx</v>
      </c>
      <c r="C68" s="191" t="str">
        <v>resumen 2023</v>
      </c>
      <c r="D68" s="191" t="n">
        <v>0</v>
      </c>
      <c r="E68" s="191" t="n">
        <v>0</v>
      </c>
      <c r="F68" s="2" t="str"/>
      <c r="G68" s="191" t="str">
        <v>EXTRACTO_PUBLICADOS; sin comprobante individual de aceptación</v>
      </c>
      <c r="H68" s="191" t="str">
        <v>SIN_LLAVE_INDIVIDUAL_IDENTIFICABLE_EN_PRIMERAS_12_FILAS</v>
      </c>
      <c r="I68" s="191" t="str">
        <v>fc4ec093991ee4234cec9706afd4409b6ec138bdea1a4a8abb3488fad653ee8c</v>
      </c>
    </row>
    <row r="69" ht="70" customHeight="1">
      <c r="A69" s="191" t="str">
        <v>MATRICULA</v>
      </c>
      <c r="B69" s="191" t="str">
        <v>/Users/alexi/Library/CloudStorage/OneDrive-InstitutoProfesionalSanSebastián/Datos DAI (RAW) - 1.1 Datos crudos/1.2.1 Datos Institucionales/1.2.1.1 SIES/Publicados/Matrícula Unificada/MAT_IP_CIISA_2010.xlsx</v>
      </c>
      <c r="C69" s="191" t="str">
        <v>MAT_2010</v>
      </c>
      <c r="D69" s="191" t="n">
        <v>800</v>
      </c>
      <c r="E69" s="191" t="n">
        <v>11</v>
      </c>
      <c r="F69" s="191" t="str">
        <v>MAT_2010</v>
      </c>
      <c r="G69" s="191" t="str">
        <v>EXTRACTO_PUBLICADOS; sin comprobante individual de aceptación</v>
      </c>
      <c r="H69" s="191" t="str">
        <v>LEIDO</v>
      </c>
      <c r="I69" s="191" t="str">
        <v>6769b4b114a8e89e6bed8d73aea2a584f45daa4f015a1d138dfceafa8baba44d</v>
      </c>
    </row>
    <row r="70" ht="70" customHeight="1">
      <c r="A70" s="191" t="str">
        <v>MATRICULA</v>
      </c>
      <c r="B70" s="191" t="str">
        <v>/Users/alexi/Library/CloudStorage/OneDrive-InstitutoProfesionalSanSebastián/Datos DAI (RAW) - 1.1 Datos crudos/1.2.1 Datos Institucionales/1.2.1.1 SIES/Publicados/Matrícula Unificada/MAT_IP_CIISA_2011.xlsx</v>
      </c>
      <c r="C70" s="191" t="str">
        <v>MAT_2011</v>
      </c>
      <c r="D70" s="191" t="n">
        <v>829</v>
      </c>
      <c r="E70" s="191" t="n">
        <v>11</v>
      </c>
      <c r="F70" s="191" t="str">
        <v>MAT_2011</v>
      </c>
      <c r="G70" s="191" t="str">
        <v>EXTRACTO_PUBLICADOS; sin comprobante individual de aceptación</v>
      </c>
      <c r="H70" s="191" t="str">
        <v>LEIDO</v>
      </c>
      <c r="I70" s="191" t="str">
        <v>3ab0486e4ee7eed450939d673fe80caf4da96edf29b144404840b728c3c45861</v>
      </c>
    </row>
    <row r="71" ht="70" customHeight="1">
      <c r="A71" s="191" t="str">
        <v>MATRICULA</v>
      </c>
      <c r="B71" s="191" t="str">
        <v>/Users/alexi/Library/CloudStorage/OneDrive-InstitutoProfesionalSanSebastián/Datos DAI (RAW) - 1.1 Datos crudos/1.2.1 Datos Institucionales/1.2.1.1 SIES/Publicados/Matrícula Unificada/MAT_IP_CIISA_2012.xlsx</v>
      </c>
      <c r="C71" s="191" t="str">
        <v>MAT_2012</v>
      </c>
      <c r="D71" s="191" t="n">
        <v>886</v>
      </c>
      <c r="E71" s="191" t="n">
        <v>14</v>
      </c>
      <c r="F71" s="191" t="str">
        <v>MAT_2012</v>
      </c>
      <c r="G71" s="191" t="str">
        <v>EXTRACTO_PUBLICADOS; sin comprobante individual de aceptación</v>
      </c>
      <c r="H71" s="191" t="str">
        <v>LEIDO</v>
      </c>
      <c r="I71" s="191" t="str">
        <v>7292be74097a2f9ce438e75e977b3dc4f1bc7e7c2f1fa1fd3860b45eabea16d1</v>
      </c>
    </row>
    <row r="72" ht="70" customHeight="1">
      <c r="A72" s="191" t="str">
        <v>MATRICULA</v>
      </c>
      <c r="B72" s="191" t="str">
        <v>/Users/alexi/Library/CloudStorage/OneDrive-InstitutoProfesionalSanSebastián/Datos DAI (RAW) - 1.1 Datos crudos/1.2.1 Datos Institucionales/1.2.1.1 SIES/Publicados/Matrícula Unificada/MAT_IP_CIISA_2013.xlsx</v>
      </c>
      <c r="C72" s="191" t="str">
        <v>MAT_2013</v>
      </c>
      <c r="D72" s="191" t="n">
        <v>1195</v>
      </c>
      <c r="E72" s="191" t="n">
        <v>21</v>
      </c>
      <c r="F72" s="191" t="str">
        <v>MAT_2013</v>
      </c>
      <c r="G72" s="191" t="str">
        <v>EXTRACTO_PUBLICADOS; sin comprobante individual de aceptación</v>
      </c>
      <c r="H72" s="191" t="str">
        <v>LEIDO</v>
      </c>
      <c r="I72" s="191" t="str">
        <v>e2cf74996307a802793ae42fa7f0605b2fa0da283e7628d54c1766280ab9cada</v>
      </c>
    </row>
    <row r="73" ht="70" customHeight="1">
      <c r="A73" s="191" t="str">
        <v>MATRICULA</v>
      </c>
      <c r="B73" s="191" t="str">
        <v>/Users/alexi/Library/CloudStorage/OneDrive-InstitutoProfesionalSanSebastián/Datos DAI (RAW) - 1.1 Datos crudos/1.2.1 Datos Institucionales/1.2.1.1 SIES/Publicados/Matrícula Unificada/MAT_IP_CIISA_2014.xlsx</v>
      </c>
      <c r="C73" s="191" t="str">
        <v>MAT_2014</v>
      </c>
      <c r="D73" s="191" t="n">
        <v>1180</v>
      </c>
      <c r="E73" s="191" t="n">
        <v>26</v>
      </c>
      <c r="F73" s="191" t="str">
        <v>MAT_2014</v>
      </c>
      <c r="G73" s="191" t="str">
        <v>EXTRACTO_PUBLICADOS; sin comprobante individual de aceptación</v>
      </c>
      <c r="H73" s="191" t="str">
        <v>LEIDO</v>
      </c>
      <c r="I73" s="191" t="str">
        <v>b1a012c3ea3779c49f720b0af7cfacd3a4964028818d89337f94ff485af8e4db</v>
      </c>
    </row>
    <row r="74" ht="70" customHeight="1">
      <c r="A74" s="191" t="str">
        <v>MATRICULA</v>
      </c>
      <c r="B74" s="191" t="str">
        <v>/Users/alexi/Library/CloudStorage/OneDrive-InstitutoProfesionalSanSebastián/Datos DAI (RAW) - 1.1 Datos crudos/1.2.1 Datos Institucionales/1.2.1.1 SIES/Publicados/Matrícula Unificada/MAT_IP_CIISA_2015.xlsx</v>
      </c>
      <c r="C74" s="191" t="str">
        <v>MAT_2015</v>
      </c>
      <c r="D74" s="191" t="n">
        <v>1196</v>
      </c>
      <c r="E74" s="191" t="n">
        <v>28</v>
      </c>
      <c r="F74" s="191" t="str">
        <v>MAT_2015</v>
      </c>
      <c r="G74" s="191" t="str">
        <v>EXTRACTO_PUBLICADOS; sin comprobante individual de aceptación</v>
      </c>
      <c r="H74" s="191" t="str">
        <v>LEIDO</v>
      </c>
      <c r="I74" s="191" t="str">
        <v>b491836f66c0093d43a3d15d7ae0ee0b4c2732d3c8f940bd8279f54e1a791d98</v>
      </c>
    </row>
    <row r="75" ht="70" customHeight="1">
      <c r="A75" s="191" t="str">
        <v>MATRICULA</v>
      </c>
      <c r="B75" s="191" t="str">
        <v>/Users/alexi/Library/CloudStorage/OneDrive-InstitutoProfesionalSanSebastián/Datos DAI (RAW) - 1.1 Datos crudos/1.2.1 Datos Institucionales/1.2.1.1 SIES/Publicados/Matrícula Unificada/MAT_IP_CIISA_2016.xlsx</v>
      </c>
      <c r="C75" s="191" t="str">
        <v>MAT_2016</v>
      </c>
      <c r="D75" s="191" t="n">
        <v>1077</v>
      </c>
      <c r="E75" s="191" t="n">
        <v>49</v>
      </c>
      <c r="F75" s="191" t="str">
        <v>MAT_2016</v>
      </c>
      <c r="G75" s="191" t="str">
        <v>EXTRACTO_PUBLICADOS; sin comprobante individual de aceptación</v>
      </c>
      <c r="H75" s="191" t="str">
        <v>LEIDO</v>
      </c>
      <c r="I75" s="191" t="str">
        <v>b04e7ec14737e267b8df256d40704e7e92b082ba354a4d55a27f1d3d5e9d5887</v>
      </c>
    </row>
    <row r="76" ht="70" customHeight="1">
      <c r="A76" s="191" t="str">
        <v>MATRICULA</v>
      </c>
      <c r="B76" s="191" t="str">
        <v>/Users/alexi/Library/CloudStorage/OneDrive-InstitutoProfesionalSanSebastián/Datos DAI (RAW) - 1.1 Datos crudos/1.2.1 Datos Institucionales/1.2.1.1 SIES/Publicados/Matrícula Unificada/MAT_IP_CIISA_2017.xlsx</v>
      </c>
      <c r="C76" s="191" t="str">
        <v>MAT_2017</v>
      </c>
      <c r="D76" s="191" t="n">
        <v>1204</v>
      </c>
      <c r="E76" s="191" t="n">
        <v>55</v>
      </c>
      <c r="F76" s="191" t="str">
        <v>MAT_2017</v>
      </c>
      <c r="G76" s="191" t="str">
        <v>EXTRACTO_PUBLICADOS; sin comprobante individual de aceptación</v>
      </c>
      <c r="H76" s="191" t="str">
        <v>LEIDO</v>
      </c>
      <c r="I76" s="191" t="str">
        <v>9fd1e60f3104113acb05149fbb0fa85321b894a4775fc1a6e3c91dbbf1d17b0b</v>
      </c>
    </row>
    <row r="77" ht="70" customHeight="1">
      <c r="A77" s="191" t="str">
        <v>MATRICULA</v>
      </c>
      <c r="B77" s="191" t="str">
        <v>/Users/alexi/Library/CloudStorage/OneDrive-InstitutoProfesionalSanSebastián/Datos DAI (RAW) - 1.1 Datos crudos/1.2.1 Datos Institucionales/1.2.1.1 SIES/Publicados/Matrícula Unificada/MAT_IP_CIISA_2018.xlsx</v>
      </c>
      <c r="C77" s="191" t="str">
        <v>MAT_2018</v>
      </c>
      <c r="D77" s="191" t="n">
        <v>1088</v>
      </c>
      <c r="E77" s="191" t="n">
        <v>147</v>
      </c>
      <c r="F77" s="191" t="str">
        <v>MAT_2018</v>
      </c>
      <c r="G77" s="191" t="str">
        <v>EXTRACTO_PUBLICADOS; sin comprobante individual de aceptación</v>
      </c>
      <c r="H77" s="191" t="str">
        <v>LEIDO</v>
      </c>
      <c r="I77" s="191" t="str">
        <v>928139183ed6a4f6527809c52283e9f772a3d4593c56290d1640ec576452eb2c</v>
      </c>
    </row>
    <row r="78" ht="70" customHeight="1">
      <c r="A78" s="191" t="str">
        <v>MATRICULA</v>
      </c>
      <c r="B78" s="191" t="str">
        <v>/Users/alexi/Library/CloudStorage/OneDrive-InstitutoProfesionalSanSebastián/Datos DAI (RAW) - 1.1 Datos crudos/1.2.1 Datos Institucionales/1.2.1.1 SIES/Publicados/Matrícula Unificada/MAT_IP_CIISA_2019.xlsx</v>
      </c>
      <c r="C78" s="191" t="str">
        <v>MAT_2019</v>
      </c>
      <c r="D78" s="191" t="n">
        <v>1112</v>
      </c>
      <c r="E78" s="191" t="n">
        <v>301</v>
      </c>
      <c r="F78" s="191" t="str">
        <v>MAT_2019</v>
      </c>
      <c r="G78" s="191" t="str">
        <v>EXTRACTO_PUBLICADOS; sin comprobante individual de aceptación</v>
      </c>
      <c r="H78" s="191" t="str">
        <v>LEIDO</v>
      </c>
      <c r="I78" s="191" t="str">
        <v>02fb4af6dbcbe4efbb5410a410c58c0546d303dd3d33e43217110e2e1a4cf7c8</v>
      </c>
    </row>
    <row r="79" ht="70" customHeight="1">
      <c r="A79" s="191" t="str">
        <v>MATRICULA</v>
      </c>
      <c r="B79" s="191" t="str">
        <v>/Users/alexi/Library/CloudStorage/OneDrive-InstitutoProfesionalSanSebastián/Datos DAI (RAW) - 1.1 Datos crudos/1.2.1 Datos Institucionales/1.2.1.1 SIES/Publicados/Matrícula Unificada/MAT_IP_CIISA_2020.xlsx</v>
      </c>
      <c r="C79" s="191" t="str">
        <v>MAT_2020</v>
      </c>
      <c r="D79" s="191" t="n">
        <v>985</v>
      </c>
      <c r="E79" s="191" t="n">
        <v>238</v>
      </c>
      <c r="F79" s="191" t="str">
        <v>MAT_2020</v>
      </c>
      <c r="G79" s="191" t="str">
        <v>EXTRACTO_PUBLICADOS; sin comprobante individual de aceptación</v>
      </c>
      <c r="H79" s="191" t="str">
        <v>LEIDO</v>
      </c>
      <c r="I79" s="191" t="str">
        <v>a74cfc67d9129d185d098a789923b4588e5ebb4e02b152f7af43caaf16483b27</v>
      </c>
    </row>
    <row r="80" ht="70" customHeight="1">
      <c r="A80" s="191" t="str">
        <v>MATRICULA</v>
      </c>
      <c r="B80" s="191" t="str">
        <v>/Users/alexi/Library/CloudStorage/OneDrive-InstitutoProfesionalSanSebastián/Datos DAI (RAW) - 1.1 Datos crudos/1.2.1 Datos Institucionales/1.2.1.1 SIES/Publicados/Matrícula Unificada/MAT_IP_CIISA_2021.xlsx</v>
      </c>
      <c r="C80" s="191" t="str">
        <v>MAT_2021</v>
      </c>
      <c r="D80" s="191" t="n">
        <v>1105</v>
      </c>
      <c r="E80" s="191" t="n">
        <v>160</v>
      </c>
      <c r="F80" s="191" t="str">
        <v>MAT_2021</v>
      </c>
      <c r="G80" s="191" t="str">
        <v>EXTRACTO_PUBLICADOS; sin comprobante individual de aceptación</v>
      </c>
      <c r="H80" s="191" t="str">
        <v>LEIDO</v>
      </c>
      <c r="I80" s="191" t="str">
        <v>8f14b670f00f725412d9dadffea5db9ad2de97b536c88dad992d4370252c401e</v>
      </c>
    </row>
    <row r="81" ht="70" customHeight="1">
      <c r="A81" s="191" t="str">
        <v>MATRICULA</v>
      </c>
      <c r="B81" s="191" t="str">
        <v>/Users/alexi/Documents/GitHub/avance_curricular/outputs/base_retencion_matricula_unificada_2022_2026/20260901_142342/BASE_RETENCION_MATRICULA_UNIFICADA_INFORMADA_SIES_2022_2026_20260901_142342.xlsx</v>
      </c>
      <c r="C81" s="191" t="str">
        <v>BASE_RETENCION_MU</v>
      </c>
      <c r="D81" s="191" t="n">
        <v>10200</v>
      </c>
      <c r="E81" s="191" t="n">
        <v>372</v>
      </c>
      <c r="F81" s="191" t="str">
        <v>2022; 2023; 2024; 2025; 2026</v>
      </c>
      <c r="G81" s="191" t="str">
        <v>DERIVADO; no proceso independiente informado</v>
      </c>
      <c r="H81" s="191" t="str">
        <v>LEIDO</v>
      </c>
      <c r="I81" s="191" t="str">
        <v>19cf33ae4925a7c13ec4745394141a297f4f64be4052a240cb0d2c42ffeb53bd</v>
      </c>
    </row>
    <row r="82" ht="70" customHeight="1">
      <c r="A82" s="191" t="str">
        <v>TITULADOS</v>
      </c>
      <c r="B82" s="191" t="str">
        <v>/Users/alexi/Library/CloudStorage/OneDrive-InstitutoProfesionalSanSebastián/Datos DAI (RAW) - 1.1 Datos crudos/1.2.1 Datos Institucionales/1.2.1.1 SIES/Enviados/Titulación Unificada/2026/titulación unificada 2026.xlsx</v>
      </c>
      <c r="C82" s="191" t="str">
        <v>Hoja2</v>
      </c>
      <c r="D82" s="191" t="n">
        <v>0</v>
      </c>
      <c r="E82" s="191" t="n">
        <v>0</v>
      </c>
      <c r="F82" s="2" t="str"/>
      <c r="G82" s="191" t="str">
        <v>ARCHIVO_ENVIADOS; aceptación de carga no acreditada</v>
      </c>
      <c r="H82" s="191" t="str">
        <v>SIN_LLAVE_INDIVIDUAL_IDENTIFICABLE_EN_PRIMERAS_12_FILAS</v>
      </c>
      <c r="I82" s="191" t="str">
        <v>33ceda0c3cd3bfbc9da37c1d5920e7ef7330cf0be1af5ab336b6d1dea424fa27</v>
      </c>
    </row>
    <row r="83" ht="70" customHeight="1">
      <c r="A83" s="191" t="str">
        <v>TITULADOS</v>
      </c>
      <c r="B83" s="191" t="str">
        <v>/Users/alexi/Library/CloudStorage/OneDrive-InstitutoProfesionalSanSebastián/Datos DAI (RAW) - 1.1 Datos crudos/1.2.1 Datos Institucionales/1.2.1.1 SIES/Enviados/Titulación Unificada/2026/titulación unificada 2026.xlsx</v>
      </c>
      <c r="C83" s="191" t="str">
        <v>Res_Tit_Carga</v>
      </c>
      <c r="D83" s="191" t="n">
        <v>435</v>
      </c>
      <c r="E83" s="191" t="n">
        <v>20</v>
      </c>
      <c r="F83" s="191" t="str">
        <v>2026 (archivo; año registro no acreditado)</v>
      </c>
      <c r="G83" s="191" t="str">
        <v>ARCHIVO_ENVIADOS; aceptación de carga no acreditada</v>
      </c>
      <c r="H83" s="191" t="str">
        <v>LEIDO</v>
      </c>
      <c r="I83" s="191" t="str">
        <v>33ceda0c3cd3bfbc9da37c1d5920e7ef7330cf0be1af5ab336b6d1dea424fa27</v>
      </c>
    </row>
    <row r="84" ht="70" customHeight="1">
      <c r="A84" s="191" t="str">
        <v>AVANCE_CURRICULAR</v>
      </c>
      <c r="B84" s="191" t="str">
        <v>/Users/alexi/Library/CloudStorage/OneDrive-InstitutoProfesionalSanSebastián/Datos DAI (RAW) - 1.1 Datos crudos/1.2.1 Datos Institucionales/1.2.1.1 SIES/Enviados/Avance Curricular/2026/5809_MATRICULA_AVANCE_CURRICULAR_2026_REVISION_H114B_CORREGIDO_PLAN.xlsx</v>
      </c>
      <c r="C84" s="191" t="str">
        <v>00_RESUMEN</v>
      </c>
      <c r="D84" s="191" t="n">
        <v>0</v>
      </c>
      <c r="E84" s="191" t="n">
        <v>0</v>
      </c>
      <c r="F84" s="2" t="str"/>
      <c r="G84" s="191" t="str">
        <v>BORRADOR_REVISION; no prueba de carga informada</v>
      </c>
      <c r="H84" s="191" t="str">
        <v>SIN_LLAVE_INDIVIDUAL_IDENTIFICABLE_EN_PRIMERAS_12_FILAS</v>
      </c>
      <c r="I84" s="191" t="str">
        <v>547c54ed40d074eae4af56e5b6e125351ff6b2d30b3f2a9259e8c21efd255453</v>
      </c>
    </row>
    <row r="85" ht="70" customHeight="1">
      <c r="A85" s="191" t="str">
        <v>AVANCE_CURRICULAR</v>
      </c>
      <c r="B85" s="191" t="str">
        <v>/Users/alexi/Library/CloudStorage/OneDrive-InstitutoProfesionalSanSebastián/Datos DAI (RAW) - 1.1 Datos crudos/1.2.1 Datos Institucionales/1.2.1.1 SIES/Enviados/Avance Curricular/2026/5809_MATRICULA_AVANCE_CURRICULAR_2026_REVISION_H114B_CORREGIDO_PLAN.xlsx</v>
      </c>
      <c r="C85" s="191" t="str">
        <v>01_REGISTROS_CORREGIDOS</v>
      </c>
      <c r="D85" s="191" t="n">
        <v>247</v>
      </c>
      <c r="E85" s="191" t="n">
        <v>19</v>
      </c>
      <c r="F85" s="191" t="str">
        <v>2026 (archivo; año registro no acreditado)</v>
      </c>
      <c r="G85" s="191" t="str">
        <v>BORRADOR_REVISION; no prueba de carga informada</v>
      </c>
      <c r="H85" s="191" t="str">
        <v>LEIDO</v>
      </c>
      <c r="I85" s="191" t="str">
        <v>547c54ed40d074eae4af56e5b6e125351ff6b2d30b3f2a9259e8c21efd255453</v>
      </c>
    </row>
    <row r="86" ht="70" customHeight="1">
      <c r="A86" s="191" t="str">
        <v>AVANCE_CURRICULAR</v>
      </c>
      <c r="B86" s="191" t="str">
        <v>/Users/alexi/Library/CloudStorage/OneDrive-InstitutoProfesionalSanSebastián/Datos DAI (RAW) - 1.1 Datos crudos/1.2.1 Datos Institucionales/1.2.1.1 SIES/Enviados/Avance Curricular/2026/5809_MATRICULA_AVANCE_CURRICULAR_2026_REVISION_H114B_CORREGIDO_PLAN.xlsx</v>
      </c>
      <c r="C86" s="191" t="str">
        <v>02_RESUMEN_CARRERA_PLAN</v>
      </c>
      <c r="D86" s="191" t="n">
        <v>0</v>
      </c>
      <c r="E86" s="191" t="n">
        <v>0</v>
      </c>
      <c r="F86" s="2" t="str"/>
      <c r="G86" s="191" t="str">
        <v>BORRADOR_REVISION; no prueba de carga informada</v>
      </c>
      <c r="H86" s="191" t="str">
        <v>SIN_LLAVE_INDIVIDUAL_IDENTIFICABLE_EN_PRIMERAS_12_FILAS</v>
      </c>
      <c r="I86" s="191" t="str">
        <v>547c54ed40d074eae4af56e5b6e125351ff6b2d30b3f2a9259e8c21efd255453</v>
      </c>
    </row>
    <row r="87" ht="70" customHeight="1">
      <c r="A87" s="191" t="str">
        <v>AVANCE_CURRICULAR</v>
      </c>
      <c r="B87" s="191" t="str">
        <v>/Users/alexi/Library/CloudStorage/OneDrive-InstitutoProfesionalSanSebastián/Datos DAI (RAW) - 1.1 Datos crudos/1.2.1 Datos Institucionales/1.2.1.1 SIES/Enviados/Avance Curricular/2026/5809_MATRICULA_AVANCE_CURRICULAR_2026_REVISION_H114B_CORREGIDO_PLAN.xlsx</v>
      </c>
      <c r="C87" s="191" t="str">
        <v>03_VALIDACION_FINAL</v>
      </c>
      <c r="D87" s="191" t="n">
        <v>0</v>
      </c>
      <c r="E87" s="191" t="n">
        <v>0</v>
      </c>
      <c r="F87" s="2" t="str"/>
      <c r="G87" s="191" t="str">
        <v>BORRADOR_REVISION; no prueba de carga informada</v>
      </c>
      <c r="H87" s="191" t="str">
        <v>SIN_LLAVE_INDIVIDUAL_IDENTIFICABLE_EN_PRIMERAS_12_FILAS</v>
      </c>
      <c r="I87" s="191" t="str">
        <v>547c54ed40d074eae4af56e5b6e125351ff6b2d30b3f2a9259e8c21efd255453</v>
      </c>
    </row>
    <row r="88" ht="70" customHeight="1">
      <c r="A88" s="191" t="str">
        <v>AVANCE_CURRICULAR</v>
      </c>
      <c r="B88" s="191" t="str">
        <v>/Users/alexi/Library/CloudStorage/OneDrive-InstitutoProfesionalSanSebastián/Datos DAI (RAW) - 1.1 Datos crudos/1.2.1 Datos Institucionales/1.2.1.1 SIES/Enviados/Avance Curricular/2026/5809_MATRICULA_AVANCE_CURRICULAR_2026_REVISION_H114B_CORREGIDO_PLAN.xlsx</v>
      </c>
      <c r="C88" s="191" t="str">
        <v>04_CSV_CON_TITULOS</v>
      </c>
      <c r="D88" s="191" t="n">
        <v>2371</v>
      </c>
      <c r="E88" s="191" t="n">
        <v>94</v>
      </c>
      <c r="F88" s="191" t="str">
        <v>2026 (archivo; año registro no acreditado)</v>
      </c>
      <c r="G88" s="191" t="str">
        <v>BORRADOR_REVISION; no prueba de carga informada</v>
      </c>
      <c r="H88" s="191" t="str">
        <v>LEIDO</v>
      </c>
      <c r="I88" s="191" t="str">
        <v>547c54ed40d074eae4af56e5b6e125351ff6b2d30b3f2a9259e8c21efd255453</v>
      </c>
    </row>
    <row r="89" ht="70" customHeight="1">
      <c r="A89" s="191" t="str">
        <v>AVANCE_CURRICULAR</v>
      </c>
      <c r="B89" s="191" t="str">
        <v>/Users/alexi/Library/CloudStorage/OneDrive-InstitutoProfesionalSanSebastián/Datos DAI (RAW) - 1.1 Datos crudos/1.2.1 Datos Institucionales/1.2.1.1 SIES/Enviados/Avance Curricular/2026/5809_MATRICULA_AVANCE_CURRICULAR_2026_REVISION_H114B_CORREGIDO_PLAN.xlsx</v>
      </c>
      <c r="C89" s="191" t="str">
        <v>05_CARRERAS_H112B</v>
      </c>
      <c r="D89" s="191" t="n">
        <v>0</v>
      </c>
      <c r="E89" s="191" t="n">
        <v>0</v>
      </c>
      <c r="F89" s="2" t="str"/>
      <c r="G89" s="191" t="str">
        <v>BORRADOR_REVISION; no prueba de carga informada</v>
      </c>
      <c r="H89" s="191" t="str">
        <v>SIN_LLAVE_INDIVIDUAL_IDENTIFICABLE_EN_PRIMERAS_12_FILAS</v>
      </c>
      <c r="I89" s="191" t="str">
        <v>547c54ed40d074eae4af56e5b6e125351ff6b2d30b3f2a9259e8c21efd255453</v>
      </c>
    </row>
    <row r="90" ht="70" customHeight="1">
      <c r="A90" s="191" t="str">
        <v>AVANCE_CURRICULAR</v>
      </c>
      <c r="B90" s="191" t="str">
        <v>/Users/alexi/Library/CloudStorage/OneDrive-InstitutoProfesionalSanSebastián/Datos DAI (RAW) - 1.1 Datos crudos/1.2.1 Datos Institucionales/1.2.1.1 SIES/Enviados/Avance Curricular/2026/5809_MATRICULA_AVANCE_CURRICULAR_2026_REVISION_H114B_CORREGIDO_PLAN.xlsx</v>
      </c>
      <c r="C90" s="191" t="str">
        <v>06_REGLAS</v>
      </c>
      <c r="D90" s="191" t="n">
        <v>0</v>
      </c>
      <c r="E90" s="191" t="n">
        <v>0</v>
      </c>
      <c r="F90" s="2" t="str"/>
      <c r="G90" s="191" t="str">
        <v>BORRADOR_REVISION; no prueba de carga informada</v>
      </c>
      <c r="H90" s="191" t="str">
        <v>SIN_LLAVE_INDIVIDUAL_IDENTIFICABLE_EN_PRIMERAS_12_FILAS</v>
      </c>
      <c r="I90" s="191" t="str">
        <v>547c54ed40d074eae4af56e5b6e125351ff6b2d30b3f2a9259e8c21efd255453</v>
      </c>
    </row>
    <row r="91" ht="70" customHeight="1">
      <c r="A91" s="191" t="str">
        <v>AVANCE_CURRICULAR</v>
      </c>
      <c r="B91" s="191" t="str">
        <v>/Users/alexi/Library/CloudStorage/OneDrive-InstitutoProfesionalSanSebastián/Datos DAI (RAW) - 1.1 Datos crudos/1.2.1 Datos Institucionales/1.2.1.1 SIES/Enviados/Avance Curricular/2026/5809_MATRICULA_AVANCE_CURRICULAR_2026_REVISION_H114B_CORREGIDO_PLAN.xlsx</v>
      </c>
      <c r="C91" s="191" t="str">
        <v>07_MANIFEST</v>
      </c>
      <c r="D91" s="191" t="n">
        <v>0</v>
      </c>
      <c r="E91" s="191" t="n">
        <v>0</v>
      </c>
      <c r="F91" s="2" t="str"/>
      <c r="G91" s="191" t="str">
        <v>BORRADOR_REVISION; no prueba de carga informada</v>
      </c>
      <c r="H91" s="191" t="str">
        <v>SIN_LLAVE_INDIVIDUAL_IDENTIFICABLE_EN_PRIMERAS_12_FILAS</v>
      </c>
      <c r="I91" s="191" t="str">
        <v>547c54ed40d074eae4af56e5b6e125351ff6b2d30b3f2a9259e8c21efd255453</v>
      </c>
    </row>
  </sheetData>
  <pageMargins left="0.7" right="0.7" top="0.75" bottom="0.75" header="0.3" footer="0.3"/>
</worksheet>
</file>

<file path=xl/worksheets/sheet39.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95" hidden="0" customWidth="1"/>
  </cols>
  <sheetData>
    <row r="1" ht="55" customHeight="1">
      <c r="A1" s="205" t="str">
        <v>Contraste documental completo · V6 · 63 dimensiones</v>
      </c>
      <c r="B1" s="5"/>
      <c r="C1" s="5"/>
      <c r="D1" s="5"/>
      <c r="E1" s="5"/>
    </row>
    <row r="2" ht="55" customHeight="1">
      <c r="A2" s="202" t="str">
        <v>Mismo inventario multiproceso; universo ampliado. No inferir equivalencias por mayoría ni mínimo de personas.</v>
      </c>
      <c r="B2" s="2"/>
      <c r="C2" s="2"/>
      <c r="D2" s="2"/>
      <c r="E2" s="2"/>
    </row>
    <row r="3" ht="55" customHeight="1">
      <c r="A3" s="202" t="str">
        <v>Antes: 504 personas de 24 dimensiones pendientes. Ahora: todas las observaciones de las 63 dimensiones; denominadores distintos.</v>
      </c>
      <c r="B3" s="2"/>
      <c r="C3" s="2"/>
      <c r="D3" s="2"/>
      <c r="E3" s="2"/>
    </row>
    <row r="4" ht="55" customHeight="1">
      <c r="A4" s="207" t="str">
        <v>Indicador</v>
      </c>
      <c r="B4" s="207" t="str">
        <v>Numerador</v>
      </c>
      <c r="C4" s="207" t="str">
        <v>Denominador</v>
      </c>
      <c r="D4" s="207" t="str">
        <v>Proporción</v>
      </c>
      <c r="E4" s="207" t="str">
        <v>Interpretación</v>
      </c>
    </row>
    <row r="5" ht="55" customHeight="1">
      <c r="A5" s="202" t="str">
        <v>Personas con código en alguna fuente</v>
      </c>
      <c r="B5" s="202" t="n">
        <v>4885</v>
      </c>
      <c r="C5" s="202" t="n">
        <v>5901</v>
      </c>
      <c r="D5" s="209" t="n">
        <f>B5/C5</f>
        <v>0.8278257922386036</v>
      </c>
      <c r="E5" s="202" t="str">
        <v>Sin filtro previo por año ni familia</v>
      </c>
    </row>
    <row r="6" ht="55" customHeight="1">
      <c r="A6" s="202" t="str">
        <v>Personas sin código completo localizado</v>
      </c>
      <c r="B6" s="202" t="n">
        <v>1016</v>
      </c>
      <c r="C6" s="202" t="n">
        <v>5901</v>
      </c>
      <c r="D6" s="209" t="n">
        <f>B6/C6</f>
        <v>0.1721742077613964</v>
      </c>
      <c r="E6" s="202" t="str">
        <v>Ausencia dentro de fuentes verificadas</v>
      </c>
    </row>
    <row r="7" ht="55" customHeight="1">
      <c r="A7" s="202" t="str">
        <v>Expedientes examinados</v>
      </c>
      <c r="B7" s="202" t="n">
        <v>6622</v>
      </c>
      <c r="C7" s="202" t="n">
        <v>6622</v>
      </c>
      <c r="D7" s="209" t="n">
        <f>B7/C7</f>
        <v>1</v>
      </c>
      <c r="E7" s="202" t="str">
        <v>Carrera interna + CODCLI; no sumar con personas</v>
      </c>
    </row>
    <row r="8" ht="55" customHeight="1">
      <c r="A8" s="202" t="str">
        <v>Observaciones examinadas</v>
      </c>
      <c r="B8" s="202" t="n">
        <v>24774</v>
      </c>
      <c r="C8" s="202" t="n">
        <v>24774</v>
      </c>
      <c r="D8" s="209" t="n">
        <f>B8/C8</f>
        <v>1</v>
      </c>
      <c r="E8" s="202" t="str">
        <v>Identidad + expediente + plan del corte + año + periodo PR</v>
      </c>
    </row>
    <row r="9" ht="55" customHeight="1">
      <c r="A9" s="202" t="str">
        <v>Confirma código propuesto previo</v>
      </c>
      <c r="B9" s="202" t="n">
        <v>18304</v>
      </c>
      <c r="C9" s="202" t="n">
        <v>24774</v>
      </c>
      <c r="D9" s="209" t="n">
        <f>B9/C9</f>
        <v>0.7388391055138451</v>
      </c>
      <c r="E9" s="202" t="str">
        <v>Código observado único; contexto DA exacto</v>
      </c>
    </row>
    <row r="10" ht="55" customHeight="1">
      <c r="A10" s="202" t="str">
        <v>Difiere de código propuesto previo</v>
      </c>
      <c r="B10" s="202" t="n">
        <v>1760</v>
      </c>
      <c r="C10" s="202" t="n">
        <v>24774</v>
      </c>
      <c r="D10" s="209" t="n">
        <f>B10/C10</f>
        <v>0.07104222168402358</v>
      </c>
      <c r="E10" s="202" t="str">
        <v>Corrección descriptiva del código observado por contexto; no cambia propuesta general</v>
      </c>
    </row>
    <row r="11" ht="55" customHeight="1">
      <c r="A11" s="202" t="str">
        <v>Código anual único sin propuesta previa</v>
      </c>
      <c r="B11" s="202" t="n">
        <v>1497</v>
      </c>
      <c r="C11" s="202" t="n">
        <v>24774</v>
      </c>
      <c r="D11" s="209" t="n">
        <f>B11/C11</f>
        <v>0.060426253330104145</v>
      </c>
      <c r="E11" s="202" t="str">
        <v>No exige 90% ni tres personas; no acredita vigencia del plan</v>
      </c>
    </row>
    <row r="12" ht="55" customHeight="1">
      <c r="A12" s="202" t="str">
        <v>Contradicción o atribución múltiple</v>
      </c>
      <c r="B12" s="202" t="n">
        <v>86</v>
      </c>
      <c r="C12" s="202" t="n">
        <v>24774</v>
      </c>
      <c r="D12" s="209" t="n">
        <f>B12/C12</f>
        <v>0.00347138128683297</v>
      </c>
      <c r="E12" s="202" t="str">
        <v>Varios códigos o posibles expedientes/identidades; requiere revisión</v>
      </c>
    </row>
    <row r="13" ht="55" customHeight="1">
      <c r="A13" s="202" t="str">
        <v>Sin evidencia anual aplicable</v>
      </c>
      <c r="B13" s="202" t="n">
        <v>3112</v>
      </c>
      <c r="C13" s="202" t="n">
        <v>24774</v>
      </c>
      <c r="D13" s="209" t="n">
        <f>B13/C13</f>
        <v>0.1256155647049326</v>
      </c>
      <c r="E13" s="202" t="str">
        <v>Puede existir otro año/proceso; no se descarta esa evidencia histórica</v>
      </c>
    </row>
    <row r="14" ht="55" customHeight="1">
      <c r="A14" s="202" t="str">
        <v>Código anual sin contexto DA exacto</v>
      </c>
      <c r="B14" s="202" t="n">
        <v>15</v>
      </c>
      <c r="C14" s="202" t="n">
        <v>24774</v>
      </c>
      <c r="D14" s="209" t="n">
        <f>B14/C14</f>
        <v>0.0006054734802615645</v>
      </c>
      <c r="E14" s="202" t="str">
        <v>No atribuir al expediente solo por identidad</v>
      </c>
    </row>
    <row r="15" ht="55" customHeight="1">
      <c r="A15" s="202" t="str">
        <v>Dimensiones con código anual/contexto DA completos</v>
      </c>
      <c r="B15" s="202" t="n">
        <v>12</v>
      </c>
      <c r="C15" s="202" t="n">
        <v>63</v>
      </c>
      <c r="D15" s="209" t="n">
        <f>B15/C15</f>
        <v>0.19047619047619047</v>
      </c>
      <c r="E15" s="202" t="str">
        <v>3 antes propuestas + 9 antes pendientes; no equivale a plan efectivo acreditado</v>
      </c>
    </row>
    <row r="16" ht="55" customHeight="1">
      <c r="A16" s="202" t="str">
        <v>Dimensiones con plan efectivo acreditado</v>
      </c>
      <c r="B16" s="202" t="n">
        <v>0</v>
      </c>
      <c r="C16" s="202" t="n">
        <v>63</v>
      </c>
      <c r="D16" s="209" t="n">
        <f>B16/C16</f>
        <v>0</v>
      </c>
      <c r="E16" s="202" t="str">
        <v>No acreditado en esta prueba; no significa que las relaciones sean falsas</v>
      </c>
    </row>
    <row r="17" ht="55" customHeight="1">
      <c r="A17" s="202" t="str">
        <v>Personas del universo previo con resultado conservado</v>
      </c>
      <c r="B17" s="202" t="n">
        <v>504</v>
      </c>
      <c r="C17" s="202" t="n">
        <v>504</v>
      </c>
      <c r="D17" s="209" t="n">
        <f>B17/C17</f>
        <v>1</v>
      </c>
      <c r="E17" s="202" t="str">
        <v>497 con código y 7 no localizadas: sin cambio al ampliar universo</v>
      </c>
    </row>
    <row r="18" ht="55" customHeight="1">
      <c r="A18" s="2"/>
      <c r="B18" s="2"/>
      <c r="C18" s="2"/>
      <c r="D18" s="2"/>
      <c r="E18" s="2"/>
    </row>
    <row r="19" ht="55" customHeight="1">
      <c r="A19" s="202" t="str">
        <v>Regla temporal</v>
      </c>
      <c r="B19" s="202" t="str">
        <v>MU: año de matrícula explícito. Avance: año de carga/proceso no equivale automáticamente al año académico. Titulados: título no demuestra matrícula del año.</v>
      </c>
      <c r="C19" s="2"/>
      <c r="D19" s="2"/>
      <c r="E19" s="2"/>
    </row>
    <row r="20" ht="55" customHeight="1">
      <c r="A20" s="202" t="str">
        <v>Plan</v>
      </c>
      <c r="B20" s="202" t="str">
        <v>PLAN_DE_ESTUDIO del extracto puede ser etiqueta del corte; no acredita por sí solo asignación histórica por periodo.</v>
      </c>
      <c r="C20" s="2"/>
      <c r="D20" s="2"/>
      <c r="E20" s="2"/>
    </row>
    <row r="21" ht="55" customHeight="1">
      <c r="A21" s="202" t="str">
        <v>Estado documental</v>
      </c>
      <c r="B21" s="202" t="str">
        <v>Archivos Publicados/Enviados, precargas, borradores y derivados conservan etiqueta; ubicación no prueba aceptación individual.</v>
      </c>
      <c r="C21" s="2"/>
      <c r="D21" s="2"/>
      <c r="E21" s="2"/>
    </row>
    <row r="22" ht="55" customHeight="1">
      <c r="A22" s="202" t="str">
        <v>Antes/después</v>
      </c>
      <c r="B22" s="202" t="str">
        <v>39 propuestas originales contrastadas, no aprobadas nuevamente. 12 dimensiones muestran diferencias en al menos una observación; 10 tienen contradicción/atribución múltiple.</v>
      </c>
      <c r="C22" s="2"/>
      <c r="D22" s="2"/>
      <c r="E22" s="2"/>
    </row>
    <row r="23" ht="55" customHeight="1">
      <c r="A23" s="202" t="str">
        <v>Línea base</v>
      </c>
      <c r="B23" s="202" t="str">
        <v>24/63=38,10% permanece como línea base de propuestas originales. No restar automáticamente las 9 dimensiones con código contextual completo.</v>
      </c>
      <c r="C23" s="2"/>
      <c r="D23" s="2"/>
      <c r="E23" s="2"/>
    </row>
    <row r="24" ht="55" customHeight="1">
      <c r="A24" s="202" t="str">
        <v>Privacidad</v>
      </c>
      <c r="B24" s="202" t="str">
        <v>Identificadores y enlaces fila a fila exclusivamente en el privado V3, fuera de Git; aquí solo agregados.</v>
      </c>
      <c r="C24" s="2"/>
      <c r="D24" s="2"/>
      <c r="E24" s="2"/>
    </row>
    <row r="25" ht="55" customHeight="1">
      <c r="A25" s="202" t="str">
        <v>QA</v>
      </c>
      <c r="B25" s="202" t="str">
        <v>SQLite independiente verifica conjuntos de códigos de las 24.774 observaciones sobre proyecciones; no se atribuye segunda lectura de todos los originales.</v>
      </c>
      <c r="C25" s="2"/>
      <c r="D25" s="2"/>
      <c r="E25" s="2"/>
    </row>
    <row r="26" ht="55" customHeight="1">
      <c r="A26" s="202" t="str">
        <v>Retención</v>
      </c>
      <c r="B26" s="202" t="str">
        <v>Sin cambios en tasas/denominadores, 13 gráficos históricos conservados. Desfase T3 heredado continúa documentado.</v>
      </c>
      <c r="C26" s="2"/>
      <c r="D26" s="2"/>
      <c r="E26" s="2"/>
    </row>
  </sheetData>
  <mergeCells>
    <mergeCell ref="A1:E1"/>
    <mergeCell ref="A2:E2"/>
    <mergeCell ref="A3:E3"/>
    <mergeCell ref="B19:E19"/>
    <mergeCell ref="B20:E20"/>
    <mergeCell ref="B21:E21"/>
    <mergeCell ref="B22:E22"/>
    <mergeCell ref="B23:E23"/>
    <mergeCell ref="B24:E24"/>
    <mergeCell ref="B25:E25"/>
    <mergeCell ref="B26:E26"/>
  </mergeCells>
  <pageMargins left="0.7" right="0.7" top="0.75" bottom="0.75" header="0.3" footer="0.3"/>
</worksheet>
</file>

<file path=xl/worksheets/sheet40.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44" hidden="0" customWidth="1"/>
    <col min="5" max="5" width="44" hidden="0" customWidth="1"/>
    <col min="6" max="6" width="22" hidden="0" customWidth="1"/>
    <col min="7" max="7" width="22" hidden="0" customWidth="1"/>
    <col min="8" max="8" width="22" hidden="0" customWidth="1"/>
    <col min="9" max="9" width="22" hidden="0" customWidth="1"/>
    <col min="10" max="10" width="22" hidden="0" customWidth="1"/>
    <col min="11" max="11" width="22" hidden="0" customWidth="1"/>
    <col min="12" max="12" width="22" hidden="0" customWidth="1"/>
    <col min="13" max="13" width="22" hidden="0" customWidth="1"/>
    <col min="14" max="14" width="22" hidden="0" customWidth="1"/>
    <col min="15" max="15" width="22" hidden="0" customWidth="1"/>
    <col min="16" max="16" width="22" hidden="0" customWidth="1"/>
  </cols>
  <sheetData>
    <row r="1" ht="55" customHeight="1">
      <c r="A1" s="205" t="str">
        <v>Contraste agregado de las 63 dimensiones</v>
      </c>
      <c r="B1" s="5"/>
      <c r="C1" s="5"/>
      <c r="D1" s="5"/>
      <c r="E1" s="5"/>
      <c r="F1" s="5"/>
      <c r="G1" s="5"/>
      <c r="H1" s="5"/>
      <c r="I1" s="5"/>
      <c r="J1" s="5"/>
      <c r="K1" s="5"/>
      <c r="L1" s="5"/>
      <c r="M1" s="5"/>
      <c r="N1" s="5"/>
      <c r="O1" s="5"/>
      <c r="P1" s="5"/>
    </row>
    <row r="2" ht="55" customHeight="1">
      <c r="A2" s="202" t="str">
        <v>Código observado y plan vigente son verificaciones distintas</v>
      </c>
      <c r="B2" s="2"/>
      <c r="C2" s="2"/>
      <c r="D2" s="2"/>
      <c r="E2" s="2"/>
      <c r="F2" s="2"/>
      <c r="G2" s="2"/>
      <c r="H2" s="2"/>
      <c r="I2" s="2"/>
      <c r="J2" s="2"/>
      <c r="K2" s="2"/>
      <c r="L2" s="2"/>
      <c r="M2" s="2"/>
      <c r="N2" s="2"/>
      <c r="O2" s="2"/>
      <c r="P2" s="2"/>
    </row>
    <row r="3" ht="55" customHeight="1">
      <c r="A3" s="202" t="str">
        <v>No se aplican n3/90 a recuperación documental; no se modifica canon</v>
      </c>
      <c r="B3" s="2"/>
      <c r="C3" s="2"/>
      <c r="D3" s="2"/>
      <c r="E3" s="2"/>
      <c r="F3" s="2"/>
      <c r="G3" s="2"/>
      <c r="H3" s="2"/>
      <c r="I3" s="2"/>
      <c r="J3" s="2"/>
      <c r="K3" s="2"/>
      <c r="L3" s="2"/>
      <c r="M3" s="2"/>
      <c r="N3" s="2"/>
      <c r="O3" s="2"/>
      <c r="P3" s="2"/>
    </row>
    <row r="4" ht="55" customHeight="1">
      <c r="A4" s="207" t="str">
        <v>Carrera</v>
      </c>
      <c r="B4" s="207" t="str">
        <v>Sede</v>
      </c>
      <c r="C4" s="207" t="str">
        <v>Jornada</v>
      </c>
      <c r="D4" s="207" t="str">
        <v>Estado previo</v>
      </c>
      <c r="E4" s="207" t="str">
        <v>Codigo propuesto previo</v>
      </c>
      <c r="F4" s="207" t="str">
        <v>Personas</v>
      </c>
      <c r="G4" s="207" t="str">
        <v>Expedientes</v>
      </c>
      <c r="H4" s="207" t="str">
        <v>Observaciones</v>
      </c>
      <c r="I4" s="207" t="str">
        <v>Confirmadas</v>
      </c>
      <c r="J4" s="207" t="str">
        <v>Difieren</v>
      </c>
      <c r="K4" s="207" t="str">
        <v>Sin propuesta previa</v>
      </c>
      <c r="L4" s="207" t="str">
        <v>Sin anual aplicable</v>
      </c>
      <c r="M4" s="207" t="str">
        <v>Contradiccion</v>
      </c>
      <c r="N4" s="207" t="str">
        <v>Sin DA exacto</v>
      </c>
      <c r="O4" s="207" t="str">
        <v>Cobertura codigo anual completa</v>
      </c>
      <c r="P4" s="207" t="str">
        <v>Plan efectivo acreditado</v>
      </c>
    </row>
    <row r="5" ht="55" customHeight="1">
      <c r="A5" s="202" t="str">
        <v>ADMP</v>
      </c>
      <c r="B5" s="202" t="str">
        <v>2</v>
      </c>
      <c r="C5" s="202" t="str">
        <v>4</v>
      </c>
      <c r="D5" s="202" t="str">
        <v>PROPUESTA_INTERNA_PREDOMINANTE</v>
      </c>
      <c r="E5" s="202" t="str">
        <v>I162S2C83J4V1</v>
      </c>
      <c r="F5" s="202" t="n">
        <v>174</v>
      </c>
      <c r="G5" s="202" t="n">
        <v>174</v>
      </c>
      <c r="H5" s="202" t="n">
        <v>375</v>
      </c>
      <c r="I5" s="202" t="n">
        <v>305</v>
      </c>
      <c r="J5" s="202" t="n">
        <v>0</v>
      </c>
      <c r="K5" s="202" t="n">
        <v>0</v>
      </c>
      <c r="L5" s="202" t="n">
        <v>70</v>
      </c>
      <c r="M5" s="202" t="n">
        <v>0</v>
      </c>
      <c r="N5" s="202" t="n">
        <v>0</v>
      </c>
      <c r="O5" s="213" t="b">
        <v>0</v>
      </c>
      <c r="P5" s="202" t="str">
        <v>NO_ACREDITADO</v>
      </c>
    </row>
    <row r="6" ht="55" customHeight="1">
      <c r="A6" s="202" t="str">
        <v>AUDT</v>
      </c>
      <c r="B6" s="202" t="str">
        <v>2</v>
      </c>
      <c r="C6" s="202" t="str">
        <v>4</v>
      </c>
      <c r="D6" s="202" t="str">
        <v>PROPUESTA_INTERNA_PREDOMINANTE</v>
      </c>
      <c r="E6" s="202" t="str">
        <v>I162S2C86J4V1</v>
      </c>
      <c r="F6" s="202" t="n">
        <v>103</v>
      </c>
      <c r="G6" s="202" t="n">
        <v>103</v>
      </c>
      <c r="H6" s="202" t="n">
        <v>268</v>
      </c>
      <c r="I6" s="202" t="n">
        <v>207</v>
      </c>
      <c r="J6" s="202" t="n">
        <v>0</v>
      </c>
      <c r="K6" s="202" t="n">
        <v>0</v>
      </c>
      <c r="L6" s="202" t="n">
        <v>61</v>
      </c>
      <c r="M6" s="202" t="n">
        <v>0</v>
      </c>
      <c r="N6" s="202" t="n">
        <v>0</v>
      </c>
      <c r="O6" s="213" t="b">
        <v>0</v>
      </c>
      <c r="P6" s="202" t="str">
        <v>NO_ACREDITADO</v>
      </c>
    </row>
    <row r="7" ht="55" customHeight="1">
      <c r="A7" s="202" t="str">
        <v>IADM</v>
      </c>
      <c r="B7" s="202" t="str">
        <v>2</v>
      </c>
      <c r="C7" s="202" t="str">
        <v>4</v>
      </c>
      <c r="D7" s="202" t="str">
        <v>PROPUESTA_INTERNA_PREDOMINANTE</v>
      </c>
      <c r="E7" s="202" t="str">
        <v>I162S2C76J4V1</v>
      </c>
      <c r="F7" s="202" t="n">
        <v>303</v>
      </c>
      <c r="G7" s="202" t="n">
        <v>303</v>
      </c>
      <c r="H7" s="202" t="n">
        <v>673</v>
      </c>
      <c r="I7" s="202" t="n">
        <v>457</v>
      </c>
      <c r="J7" s="202" t="n">
        <v>0</v>
      </c>
      <c r="K7" s="202" t="n">
        <v>0</v>
      </c>
      <c r="L7" s="202" t="n">
        <v>216</v>
      </c>
      <c r="M7" s="202" t="n">
        <v>0</v>
      </c>
      <c r="N7" s="202" t="n">
        <v>0</v>
      </c>
      <c r="O7" s="213" t="b">
        <v>0</v>
      </c>
      <c r="P7" s="202" t="str">
        <v>NO_ACREDITADO</v>
      </c>
    </row>
    <row r="8" ht="55" customHeight="1">
      <c r="A8" s="202" t="str">
        <v>ICDA</v>
      </c>
      <c r="B8" s="202" t="str">
        <v>2</v>
      </c>
      <c r="C8" s="202" t="str">
        <v>4</v>
      </c>
      <c r="D8" s="202" t="str">
        <v>PROPUESTA_INTERNA_PREDOMINANTE</v>
      </c>
      <c r="E8" s="202" t="str">
        <v>I162S2C88J4V1</v>
      </c>
      <c r="F8" s="202" t="n">
        <v>74</v>
      </c>
      <c r="G8" s="202" t="n">
        <v>74</v>
      </c>
      <c r="H8" s="202" t="n">
        <v>212</v>
      </c>
      <c r="I8" s="202" t="n">
        <v>201</v>
      </c>
      <c r="J8" s="202" t="n">
        <v>0</v>
      </c>
      <c r="K8" s="202" t="n">
        <v>0</v>
      </c>
      <c r="L8" s="202" t="n">
        <v>11</v>
      </c>
      <c r="M8" s="202" t="n">
        <v>0</v>
      </c>
      <c r="N8" s="202" t="n">
        <v>0</v>
      </c>
      <c r="O8" s="213" t="b">
        <v>0</v>
      </c>
      <c r="P8" s="202" t="str">
        <v>NO_ACREDITADO</v>
      </c>
    </row>
    <row r="9" ht="55" customHeight="1">
      <c r="A9" s="202" t="str">
        <v>ICIB</v>
      </c>
      <c r="B9" s="202" t="str">
        <v>2</v>
      </c>
      <c r="C9" s="202" t="str">
        <v>2</v>
      </c>
      <c r="D9" s="202" t="str">
        <v>PROPUESTA_INTERNA_PREDOMINANTE</v>
      </c>
      <c r="E9" s="202" t="str">
        <v>I162S2C46J2V1</v>
      </c>
      <c r="F9" s="202" t="n">
        <v>58</v>
      </c>
      <c r="G9" s="202" t="n">
        <v>58</v>
      </c>
      <c r="H9" s="202" t="n">
        <v>258</v>
      </c>
      <c r="I9" s="202" t="n">
        <v>204</v>
      </c>
      <c r="J9" s="202" t="n">
        <v>0</v>
      </c>
      <c r="K9" s="202" t="n">
        <v>0</v>
      </c>
      <c r="L9" s="202" t="n">
        <v>54</v>
      </c>
      <c r="M9" s="202" t="n">
        <v>0</v>
      </c>
      <c r="N9" s="202" t="n">
        <v>0</v>
      </c>
      <c r="O9" s="213" t="b">
        <v>0</v>
      </c>
      <c r="P9" s="202" t="str">
        <v>NO_ACREDITADO</v>
      </c>
    </row>
    <row r="10" ht="55" customHeight="1">
      <c r="A10" s="202" t="str">
        <v>ICIB</v>
      </c>
      <c r="B10" s="202" t="str">
        <v>2</v>
      </c>
      <c r="C10" s="202" t="str">
        <v>4</v>
      </c>
      <c r="D10" s="202" t="str">
        <v>PROPUESTA_INTERNA_PREDOMINANTE</v>
      </c>
      <c r="E10" s="202" t="str">
        <v>I162S2C46J4V3</v>
      </c>
      <c r="F10" s="202" t="n">
        <v>456</v>
      </c>
      <c r="G10" s="202" t="n">
        <v>457</v>
      </c>
      <c r="H10" s="202" t="n">
        <v>1639</v>
      </c>
      <c r="I10" s="202" t="n">
        <v>1347</v>
      </c>
      <c r="J10" s="202" t="n">
        <v>0</v>
      </c>
      <c r="K10" s="202" t="n">
        <v>0</v>
      </c>
      <c r="L10" s="202" t="n">
        <v>290</v>
      </c>
      <c r="M10" s="202" t="n">
        <v>2</v>
      </c>
      <c r="N10" s="202" t="n">
        <v>0</v>
      </c>
      <c r="O10" s="213" t="b">
        <v>0</v>
      </c>
      <c r="P10" s="202" t="str">
        <v>NO_ACREDITADO</v>
      </c>
    </row>
    <row r="11" ht="55" customHeight="1">
      <c r="A11" s="202" t="str">
        <v>ICRE</v>
      </c>
      <c r="B11" s="202" t="str">
        <v>2</v>
      </c>
      <c r="C11" s="202" t="str">
        <v>1</v>
      </c>
      <c r="D11" s="202" t="str">
        <v>PENDIENTE_SIN_MATCH</v>
      </c>
      <c r="E11" s="2" t="str"/>
      <c r="F11" s="202" t="n">
        <v>0</v>
      </c>
      <c r="G11" s="202" t="n">
        <v>0</v>
      </c>
      <c r="H11" s="202" t="n">
        <v>0</v>
      </c>
      <c r="I11" s="202" t="n">
        <v>0</v>
      </c>
      <c r="J11" s="202" t="n">
        <v>0</v>
      </c>
      <c r="K11" s="202" t="n">
        <v>0</v>
      </c>
      <c r="L11" s="202" t="n">
        <v>0</v>
      </c>
      <c r="M11" s="202" t="n">
        <v>0</v>
      </c>
      <c r="N11" s="202" t="n">
        <v>0</v>
      </c>
      <c r="O11" s="213" t="b">
        <v>0</v>
      </c>
      <c r="P11" s="202" t="str">
        <v>NO_ACREDITADO</v>
      </c>
    </row>
    <row r="12" ht="55" customHeight="1">
      <c r="A12" s="202" t="str">
        <v>ICRE</v>
      </c>
      <c r="B12" s="202" t="str">
        <v>2</v>
      </c>
      <c r="C12" s="202" t="str">
        <v>2</v>
      </c>
      <c r="D12" s="202" t="str">
        <v>PENDIENTE_MULTIPLE_O_BAJA_COBERTURA</v>
      </c>
      <c r="E12" s="2" t="str"/>
      <c r="F12" s="202" t="n">
        <v>14</v>
      </c>
      <c r="G12" s="202" t="n">
        <v>14</v>
      </c>
      <c r="H12" s="202" t="n">
        <v>58</v>
      </c>
      <c r="I12" s="202" t="n">
        <v>0</v>
      </c>
      <c r="J12" s="202" t="n">
        <v>0</v>
      </c>
      <c r="K12" s="202" t="n">
        <v>55</v>
      </c>
      <c r="L12" s="202" t="n">
        <v>3</v>
      </c>
      <c r="M12" s="202" t="n">
        <v>0</v>
      </c>
      <c r="N12" s="202" t="n">
        <v>0</v>
      </c>
      <c r="O12" s="213" t="b">
        <v>0</v>
      </c>
      <c r="P12" s="202" t="str">
        <v>NO_ACREDITADO</v>
      </c>
    </row>
    <row r="13" ht="55" customHeight="1">
      <c r="A13" s="202" t="str">
        <v>ICRE</v>
      </c>
      <c r="B13" s="202" t="str">
        <v>2</v>
      </c>
      <c r="C13" s="202" t="str">
        <v>4</v>
      </c>
      <c r="D13" s="202" t="str">
        <v>PROPUESTA_INTERNA_PREDOMINANTE</v>
      </c>
      <c r="E13" s="202" t="str">
        <v>I162S2C3J4V2</v>
      </c>
      <c r="F13" s="202" t="n">
        <v>248</v>
      </c>
      <c r="G13" s="202" t="n">
        <v>248</v>
      </c>
      <c r="H13" s="202" t="n">
        <v>1092</v>
      </c>
      <c r="I13" s="202" t="n">
        <v>1034</v>
      </c>
      <c r="J13" s="202" t="n">
        <v>0</v>
      </c>
      <c r="K13" s="202" t="n">
        <v>0</v>
      </c>
      <c r="L13" s="202" t="n">
        <v>57</v>
      </c>
      <c r="M13" s="202" t="n">
        <v>1</v>
      </c>
      <c r="N13" s="202" t="n">
        <v>0</v>
      </c>
      <c r="O13" s="213" t="b">
        <v>0</v>
      </c>
      <c r="P13" s="202" t="str">
        <v>NO_ACREDITADO</v>
      </c>
    </row>
    <row r="14" ht="55" customHeight="1">
      <c r="A14" s="202" t="str">
        <v>IECIRE</v>
      </c>
      <c r="B14" s="202" t="str">
        <v>2</v>
      </c>
      <c r="C14" s="202" t="str">
        <v>1</v>
      </c>
      <c r="D14" s="202" t="str">
        <v>PROPUESTA_INTERNA_PREDOMINANTE</v>
      </c>
      <c r="E14" s="202" t="str">
        <v>I162S2C1J1V2</v>
      </c>
      <c r="F14" s="202" t="n">
        <v>31</v>
      </c>
      <c r="G14" s="202" t="n">
        <v>31</v>
      </c>
      <c r="H14" s="202" t="n">
        <v>83</v>
      </c>
      <c r="I14" s="202" t="n">
        <v>65</v>
      </c>
      <c r="J14" s="202" t="n">
        <v>18</v>
      </c>
      <c r="K14" s="202" t="n">
        <v>0</v>
      </c>
      <c r="L14" s="202" t="n">
        <v>0</v>
      </c>
      <c r="M14" s="202" t="n">
        <v>0</v>
      </c>
      <c r="N14" s="202" t="n">
        <v>0</v>
      </c>
      <c r="O14" s="213" t="b">
        <v>1</v>
      </c>
      <c r="P14" s="202" t="str">
        <v>NO_ACREDITADO</v>
      </c>
    </row>
    <row r="15" ht="55" customHeight="1">
      <c r="A15" s="202" t="str">
        <v>IECIRE</v>
      </c>
      <c r="B15" s="202" t="str">
        <v>2</v>
      </c>
      <c r="C15" s="202" t="str">
        <v>2</v>
      </c>
      <c r="D15" s="202" t="str">
        <v>PROPUESTA_INTERNA_PREDOMINANTE</v>
      </c>
      <c r="E15" s="202" t="str">
        <v>I162S2C1J2V4</v>
      </c>
      <c r="F15" s="202" t="n">
        <v>146</v>
      </c>
      <c r="G15" s="202" t="n">
        <v>148</v>
      </c>
      <c r="H15" s="202" t="n">
        <v>444</v>
      </c>
      <c r="I15" s="202" t="n">
        <v>209</v>
      </c>
      <c r="J15" s="202" t="n">
        <v>146</v>
      </c>
      <c r="K15" s="202" t="n">
        <v>0</v>
      </c>
      <c r="L15" s="202" t="n">
        <v>89</v>
      </c>
      <c r="M15" s="202" t="n">
        <v>0</v>
      </c>
      <c r="N15" s="202" t="n">
        <v>0</v>
      </c>
      <c r="O15" s="213" t="b">
        <v>0</v>
      </c>
      <c r="P15" s="202" t="str">
        <v>NO_ACREDITADO</v>
      </c>
    </row>
    <row r="16" ht="55" customHeight="1">
      <c r="A16" s="202" t="str">
        <v>IECIRE</v>
      </c>
      <c r="B16" s="202" t="str">
        <v>2</v>
      </c>
      <c r="C16" s="202" t="str">
        <v>4</v>
      </c>
      <c r="D16" s="202" t="str">
        <v>PROPUESTA_INTERNA_PREDOMINANTE</v>
      </c>
      <c r="E16" s="202" t="str">
        <v>I162S2C1J4V2</v>
      </c>
      <c r="F16" s="202" t="n">
        <v>1</v>
      </c>
      <c r="G16" s="202" t="n">
        <v>1</v>
      </c>
      <c r="H16" s="202" t="n">
        <v>1</v>
      </c>
      <c r="I16" s="202" t="n">
        <v>0</v>
      </c>
      <c r="J16" s="202" t="n">
        <v>0</v>
      </c>
      <c r="K16" s="202" t="n">
        <v>0</v>
      </c>
      <c r="L16" s="202" t="n">
        <v>1</v>
      </c>
      <c r="M16" s="202" t="n">
        <v>0</v>
      </c>
      <c r="N16" s="202" t="n">
        <v>0</v>
      </c>
      <c r="O16" s="213" t="b">
        <v>0</v>
      </c>
      <c r="P16" s="202" t="str">
        <v>NO_ACREDITADO</v>
      </c>
    </row>
    <row r="17" ht="55" customHeight="1">
      <c r="A17" s="202" t="str">
        <v>IECIREOL</v>
      </c>
      <c r="B17" s="202" t="str">
        <v>2</v>
      </c>
      <c r="C17" s="202" t="str">
        <v>4</v>
      </c>
      <c r="D17" s="202" t="str">
        <v>PROPUESTA_INTERNA_PREDOMINANTE</v>
      </c>
      <c r="E17" s="202" t="str">
        <v>I162S2C1J4V2</v>
      </c>
      <c r="F17" s="202" t="n">
        <v>319</v>
      </c>
      <c r="G17" s="202" t="n">
        <v>321</v>
      </c>
      <c r="H17" s="202" t="n">
        <v>2038</v>
      </c>
      <c r="I17" s="202" t="n">
        <v>1493</v>
      </c>
      <c r="J17" s="202" t="n">
        <v>377</v>
      </c>
      <c r="K17" s="202" t="n">
        <v>0</v>
      </c>
      <c r="L17" s="202" t="n">
        <v>141</v>
      </c>
      <c r="M17" s="202" t="n">
        <v>27</v>
      </c>
      <c r="N17" s="202" t="n">
        <v>0</v>
      </c>
      <c r="O17" s="213" t="b">
        <v>0</v>
      </c>
      <c r="P17" s="202" t="str">
        <v>NO_ACREDITADO</v>
      </c>
    </row>
    <row r="18" ht="55" customHeight="1">
      <c r="A18" s="202" t="str">
        <v>IECSRE</v>
      </c>
      <c r="B18" s="202" t="str">
        <v>2</v>
      </c>
      <c r="C18" s="202" t="str">
        <v>2</v>
      </c>
      <c r="D18" s="202" t="str">
        <v>PROPUESTA_INTERNA_PREDOMINANTE</v>
      </c>
      <c r="E18" s="202" t="str">
        <v>I162S2C46J2V1</v>
      </c>
      <c r="F18" s="202" t="n">
        <v>81</v>
      </c>
      <c r="G18" s="202" t="n">
        <v>81</v>
      </c>
      <c r="H18" s="202" t="n">
        <v>318</v>
      </c>
      <c r="I18" s="202" t="n">
        <v>267</v>
      </c>
      <c r="J18" s="202" t="n">
        <v>0</v>
      </c>
      <c r="K18" s="202" t="n">
        <v>0</v>
      </c>
      <c r="L18" s="202" t="n">
        <v>51</v>
      </c>
      <c r="M18" s="202" t="n">
        <v>0</v>
      </c>
      <c r="N18" s="202" t="n">
        <v>0</v>
      </c>
      <c r="O18" s="213" t="b">
        <v>0</v>
      </c>
      <c r="P18" s="202" t="str">
        <v>NO_ACREDITADO</v>
      </c>
    </row>
    <row r="19" ht="55" customHeight="1">
      <c r="A19" s="202" t="str">
        <v>IECSREOL</v>
      </c>
      <c r="B19" s="202" t="str">
        <v>2</v>
      </c>
      <c r="C19" s="202" t="str">
        <v>4</v>
      </c>
      <c r="D19" s="202" t="str">
        <v>PROPUESTA_INTERNA_PREDOMINANTE</v>
      </c>
      <c r="E19" s="202" t="str">
        <v>I162S2C46J4V3</v>
      </c>
      <c r="F19" s="202" t="n">
        <v>252</v>
      </c>
      <c r="G19" s="202" t="n">
        <v>252</v>
      </c>
      <c r="H19" s="202" t="n">
        <v>1381</v>
      </c>
      <c r="I19" s="202" t="n">
        <v>1136</v>
      </c>
      <c r="J19" s="202" t="n">
        <v>147</v>
      </c>
      <c r="K19" s="202" t="n">
        <v>0</v>
      </c>
      <c r="L19" s="202" t="n">
        <v>98</v>
      </c>
      <c r="M19" s="202" t="n">
        <v>0</v>
      </c>
      <c r="N19" s="202" t="n">
        <v>0</v>
      </c>
      <c r="O19" s="213" t="b">
        <v>0</v>
      </c>
      <c r="P19" s="202" t="str">
        <v>NO_ACREDITADO</v>
      </c>
    </row>
    <row r="20" ht="55" customHeight="1">
      <c r="A20" s="202" t="str">
        <v>IEMORE</v>
      </c>
      <c r="B20" s="202" t="str">
        <v>2</v>
      </c>
      <c r="C20" s="202" t="str">
        <v>2</v>
      </c>
      <c r="D20" s="202" t="str">
        <v>PROPUESTA_INTERNA_PREDOMINANTE</v>
      </c>
      <c r="E20" s="202" t="str">
        <v>I162S2C22J2V1</v>
      </c>
      <c r="F20" s="202" t="n">
        <v>37</v>
      </c>
      <c r="G20" s="202" t="n">
        <v>37</v>
      </c>
      <c r="H20" s="202" t="n">
        <v>129</v>
      </c>
      <c r="I20" s="202" t="n">
        <v>103</v>
      </c>
      <c r="J20" s="202" t="n">
        <v>24</v>
      </c>
      <c r="K20" s="202" t="n">
        <v>0</v>
      </c>
      <c r="L20" s="202" t="n">
        <v>2</v>
      </c>
      <c r="M20" s="202" t="n">
        <v>0</v>
      </c>
      <c r="N20" s="202" t="n">
        <v>0</v>
      </c>
      <c r="O20" s="213" t="b">
        <v>0</v>
      </c>
      <c r="P20" s="202" t="str">
        <v>NO_ACREDITADO</v>
      </c>
    </row>
    <row r="21" ht="55" customHeight="1">
      <c r="A21" s="202" t="str">
        <v>IETMRE</v>
      </c>
      <c r="B21" s="202" t="str">
        <v>2</v>
      </c>
      <c r="C21" s="202" t="str">
        <v>1</v>
      </c>
      <c r="D21" s="202" t="str">
        <v>PENDIENTE_SIN_MATCH</v>
      </c>
      <c r="E21" s="2" t="str"/>
      <c r="F21" s="202" t="n">
        <v>2</v>
      </c>
      <c r="G21" s="202" t="n">
        <v>2</v>
      </c>
      <c r="H21" s="202" t="n">
        <v>3</v>
      </c>
      <c r="I21" s="202" t="n">
        <v>0</v>
      </c>
      <c r="J21" s="202" t="n">
        <v>0</v>
      </c>
      <c r="K21" s="202" t="n">
        <v>3</v>
      </c>
      <c r="L21" s="202" t="n">
        <v>0</v>
      </c>
      <c r="M21" s="202" t="n">
        <v>0</v>
      </c>
      <c r="N21" s="202" t="n">
        <v>0</v>
      </c>
      <c r="O21" s="213" t="b">
        <v>1</v>
      </c>
      <c r="P21" s="202" t="str">
        <v>NO_ACREDITADO</v>
      </c>
    </row>
    <row r="22" ht="55" customHeight="1">
      <c r="A22" s="202" t="str">
        <v>IETMRE</v>
      </c>
      <c r="B22" s="202" t="str">
        <v>2</v>
      </c>
      <c r="C22" s="202" t="str">
        <v>2</v>
      </c>
      <c r="D22" s="202" t="str">
        <v>PROPUESTA_INTERNA_PREDOMINANTE</v>
      </c>
      <c r="E22" s="202" t="str">
        <v>I162S2C3J2V4</v>
      </c>
      <c r="F22" s="202" t="n">
        <v>137</v>
      </c>
      <c r="G22" s="202" t="n">
        <v>137</v>
      </c>
      <c r="H22" s="202" t="n">
        <v>477</v>
      </c>
      <c r="I22" s="202" t="n">
        <v>273</v>
      </c>
      <c r="J22" s="202" t="n">
        <v>187</v>
      </c>
      <c r="K22" s="202" t="n">
        <v>0</v>
      </c>
      <c r="L22" s="202" t="n">
        <v>17</v>
      </c>
      <c r="M22" s="202" t="n">
        <v>0</v>
      </c>
      <c r="N22" s="202" t="n">
        <v>0</v>
      </c>
      <c r="O22" s="213" t="b">
        <v>0</v>
      </c>
      <c r="P22" s="202" t="str">
        <v>NO_ACREDITADO</v>
      </c>
    </row>
    <row r="23" ht="55" customHeight="1">
      <c r="A23" s="202" t="str">
        <v>IETMRE</v>
      </c>
      <c r="B23" s="202" t="str">
        <v>2</v>
      </c>
      <c r="C23" s="202" t="str">
        <v>4</v>
      </c>
      <c r="D23" s="202" t="str">
        <v>PROPUESTA_INTERNA_PREDOMINANTE</v>
      </c>
      <c r="E23" s="202" t="str">
        <v>I162S2C3J4V2</v>
      </c>
      <c r="F23" s="202" t="n">
        <v>1</v>
      </c>
      <c r="G23" s="202" t="n">
        <v>1</v>
      </c>
      <c r="H23" s="202" t="n">
        <v>2</v>
      </c>
      <c r="I23" s="202" t="n">
        <v>0</v>
      </c>
      <c r="J23" s="202" t="n">
        <v>0</v>
      </c>
      <c r="K23" s="202" t="n">
        <v>0</v>
      </c>
      <c r="L23" s="202" t="n">
        <v>2</v>
      </c>
      <c r="M23" s="202" t="n">
        <v>0</v>
      </c>
      <c r="N23" s="202" t="n">
        <v>0</v>
      </c>
      <c r="O23" s="213" t="b">
        <v>0</v>
      </c>
      <c r="P23" s="202" t="str">
        <v>NO_ACREDITADO</v>
      </c>
    </row>
    <row r="24" ht="55" customHeight="1">
      <c r="A24" s="202" t="str">
        <v>IETMREOL</v>
      </c>
      <c r="B24" s="202" t="str">
        <v>2</v>
      </c>
      <c r="C24" s="202" t="str">
        <v>4</v>
      </c>
      <c r="D24" s="202" t="str">
        <v>PROPUESTA_INTERNA_PREDOMINANTE</v>
      </c>
      <c r="E24" s="202" t="str">
        <v>I162S2C3J4V2</v>
      </c>
      <c r="F24" s="202" t="n">
        <v>353</v>
      </c>
      <c r="G24" s="202" t="n">
        <v>353</v>
      </c>
      <c r="H24" s="202" t="n">
        <v>2442</v>
      </c>
      <c r="I24" s="202" t="n">
        <v>1936</v>
      </c>
      <c r="J24" s="202" t="n">
        <v>301</v>
      </c>
      <c r="K24" s="202" t="n">
        <v>0</v>
      </c>
      <c r="L24" s="202" t="n">
        <v>192</v>
      </c>
      <c r="M24" s="202" t="n">
        <v>0</v>
      </c>
      <c r="N24" s="202" t="n">
        <v>13</v>
      </c>
      <c r="O24" s="213" t="b">
        <v>0</v>
      </c>
      <c r="P24" s="202" t="str">
        <v>NO_ACREDITADO</v>
      </c>
    </row>
    <row r="25" ht="55" customHeight="1">
      <c r="A25" s="202" t="str">
        <v>IFIN</v>
      </c>
      <c r="B25" s="202" t="str">
        <v>2</v>
      </c>
      <c r="C25" s="202" t="str">
        <v>4</v>
      </c>
      <c r="D25" s="202" t="str">
        <v>PROPUESTA_INTERNA_PREDOMINANTE</v>
      </c>
      <c r="E25" s="202" t="str">
        <v>I162S2C111J4V1</v>
      </c>
      <c r="F25" s="202" t="n">
        <v>26</v>
      </c>
      <c r="G25" s="202" t="n">
        <v>26</v>
      </c>
      <c r="H25" s="202" t="n">
        <v>61</v>
      </c>
      <c r="I25" s="202" t="n">
        <v>60</v>
      </c>
      <c r="J25" s="202" t="n">
        <v>0</v>
      </c>
      <c r="K25" s="202" t="n">
        <v>0</v>
      </c>
      <c r="L25" s="202" t="n">
        <v>1</v>
      </c>
      <c r="M25" s="202" t="n">
        <v>0</v>
      </c>
      <c r="N25" s="202" t="n">
        <v>0</v>
      </c>
      <c r="O25" s="213" t="b">
        <v>0</v>
      </c>
      <c r="P25" s="202" t="str">
        <v>NO_ACREDITADO</v>
      </c>
    </row>
    <row r="26" ht="55" customHeight="1">
      <c r="A26" s="202" t="str">
        <v>IIND</v>
      </c>
      <c r="B26" s="202" t="str">
        <v>2</v>
      </c>
      <c r="C26" s="202" t="str">
        <v>4</v>
      </c>
      <c r="D26" s="202" t="str">
        <v>PROPUESTA_INTERNA_PREDOMINANTE</v>
      </c>
      <c r="E26" s="202" t="str">
        <v>I162S2C87J4V2</v>
      </c>
      <c r="F26" s="202" t="n">
        <v>175</v>
      </c>
      <c r="G26" s="202" t="n">
        <v>175</v>
      </c>
      <c r="H26" s="202" t="n">
        <v>319</v>
      </c>
      <c r="I26" s="202" t="n">
        <v>183</v>
      </c>
      <c r="J26" s="202" t="n">
        <v>0</v>
      </c>
      <c r="K26" s="202" t="n">
        <v>0</v>
      </c>
      <c r="L26" s="202" t="n">
        <v>136</v>
      </c>
      <c r="M26" s="202" t="n">
        <v>0</v>
      </c>
      <c r="N26" s="202" t="n">
        <v>0</v>
      </c>
      <c r="O26" s="213" t="b">
        <v>0</v>
      </c>
      <c r="P26" s="202" t="str">
        <v>NO_ACREDITADO</v>
      </c>
    </row>
    <row r="27" ht="55" customHeight="1">
      <c r="A27" s="202" t="str">
        <v>IINF</v>
      </c>
      <c r="B27" s="202" t="str">
        <v>2</v>
      </c>
      <c r="C27" s="202" t="str">
        <v>1</v>
      </c>
      <c r="D27" s="202" t="str">
        <v>PENDIENTE_MULTIPLE_O_BAJA_COBERTURA</v>
      </c>
      <c r="E27" s="2" t="str"/>
      <c r="F27" s="202" t="n">
        <v>42</v>
      </c>
      <c r="G27" s="202" t="n">
        <v>42</v>
      </c>
      <c r="H27" s="202" t="n">
        <v>208</v>
      </c>
      <c r="I27" s="202" t="n">
        <v>0</v>
      </c>
      <c r="J27" s="202" t="n">
        <v>0</v>
      </c>
      <c r="K27" s="202" t="n">
        <v>176</v>
      </c>
      <c r="L27" s="202" t="n">
        <v>32</v>
      </c>
      <c r="M27" s="202" t="n">
        <v>0</v>
      </c>
      <c r="N27" s="202" t="n">
        <v>0</v>
      </c>
      <c r="O27" s="213" t="b">
        <v>0</v>
      </c>
      <c r="P27" s="202" t="str">
        <v>NO_ACREDITADO</v>
      </c>
    </row>
    <row r="28" ht="55" customHeight="1">
      <c r="A28" s="202" t="str">
        <v>IINF</v>
      </c>
      <c r="B28" s="202" t="str">
        <v>2</v>
      </c>
      <c r="C28" s="202" t="str">
        <v>2</v>
      </c>
      <c r="D28" s="202" t="str">
        <v>PENDIENTE_MULTIPLE_O_BAJA_COBERTURA</v>
      </c>
      <c r="E28" s="2" t="str"/>
      <c r="F28" s="202" t="n">
        <v>44</v>
      </c>
      <c r="G28" s="202" t="n">
        <v>44</v>
      </c>
      <c r="H28" s="202" t="n">
        <v>186</v>
      </c>
      <c r="I28" s="202" t="n">
        <v>0</v>
      </c>
      <c r="J28" s="202" t="n">
        <v>0</v>
      </c>
      <c r="K28" s="202" t="n">
        <v>173</v>
      </c>
      <c r="L28" s="202" t="n">
        <v>13</v>
      </c>
      <c r="M28" s="202" t="n">
        <v>0</v>
      </c>
      <c r="N28" s="202" t="n">
        <v>0</v>
      </c>
      <c r="O28" s="213" t="b">
        <v>0</v>
      </c>
      <c r="P28" s="202" t="str">
        <v>NO_ACREDITADO</v>
      </c>
    </row>
    <row r="29" ht="55" customHeight="1">
      <c r="A29" s="202" t="str">
        <v>IINF</v>
      </c>
      <c r="B29" s="202" t="str">
        <v>2</v>
      </c>
      <c r="C29" s="202" t="str">
        <v>4</v>
      </c>
      <c r="D29" s="202" t="str">
        <v>PROPUESTA_INTERNA_PREDOMINANTE</v>
      </c>
      <c r="E29" s="202" t="str">
        <v>I162S2C1J4V2</v>
      </c>
      <c r="F29" s="202" t="n">
        <v>449</v>
      </c>
      <c r="G29" s="202" t="n">
        <v>450</v>
      </c>
      <c r="H29" s="202" t="n">
        <v>1618</v>
      </c>
      <c r="I29" s="202" t="n">
        <v>1320</v>
      </c>
      <c r="J29" s="202" t="n">
        <v>3</v>
      </c>
      <c r="K29" s="202" t="n">
        <v>0</v>
      </c>
      <c r="L29" s="202" t="n">
        <v>282</v>
      </c>
      <c r="M29" s="202" t="n">
        <v>13</v>
      </c>
      <c r="N29" s="202" t="n">
        <v>0</v>
      </c>
      <c r="O29" s="213" t="b">
        <v>0</v>
      </c>
      <c r="P29" s="202" t="str">
        <v>NO_ACREDITADO</v>
      </c>
    </row>
    <row r="30" ht="55" customHeight="1">
      <c r="A30" s="202" t="str">
        <v>ILOG</v>
      </c>
      <c r="B30" s="202" t="str">
        <v>2</v>
      </c>
      <c r="C30" s="202" t="str">
        <v>4</v>
      </c>
      <c r="D30" s="202" t="str">
        <v>PROPUESTA_INTERNA_PREDOMINANTE</v>
      </c>
      <c r="E30" s="202" t="str">
        <v>I162S2C77J4V1</v>
      </c>
      <c r="F30" s="202" t="n">
        <v>208</v>
      </c>
      <c r="G30" s="202" t="n">
        <v>208</v>
      </c>
      <c r="H30" s="202" t="n">
        <v>513</v>
      </c>
      <c r="I30" s="202" t="n">
        <v>362</v>
      </c>
      <c r="J30" s="202" t="n">
        <v>0</v>
      </c>
      <c r="K30" s="202" t="n">
        <v>0</v>
      </c>
      <c r="L30" s="202" t="n">
        <v>151</v>
      </c>
      <c r="M30" s="202" t="n">
        <v>0</v>
      </c>
      <c r="N30" s="202" t="n">
        <v>0</v>
      </c>
      <c r="O30" s="213" t="b">
        <v>0</v>
      </c>
      <c r="P30" s="202" t="str">
        <v>NO_ACREDITADO</v>
      </c>
    </row>
    <row r="31" ht="55" customHeight="1">
      <c r="A31" s="202" t="str">
        <v>IMDI</v>
      </c>
      <c r="B31" s="202" t="str">
        <v>2</v>
      </c>
      <c r="C31" s="202" t="str">
        <v>4</v>
      </c>
      <c r="D31" s="202" t="str">
        <v>PROPUESTA_INTERNA_PREDOMINANTE</v>
      </c>
      <c r="E31" s="202" t="str">
        <v>I162S2C112J4V1</v>
      </c>
      <c r="F31" s="202" t="n">
        <v>130</v>
      </c>
      <c r="G31" s="202" t="n">
        <v>130</v>
      </c>
      <c r="H31" s="202" t="n">
        <v>230</v>
      </c>
      <c r="I31" s="202" t="n">
        <v>130</v>
      </c>
      <c r="J31" s="202" t="n">
        <v>0</v>
      </c>
      <c r="K31" s="202" t="n">
        <v>0</v>
      </c>
      <c r="L31" s="202" t="n">
        <v>100</v>
      </c>
      <c r="M31" s="202" t="n">
        <v>0</v>
      </c>
      <c r="N31" s="202" t="n">
        <v>0</v>
      </c>
      <c r="O31" s="213" t="b">
        <v>0</v>
      </c>
      <c r="P31" s="202" t="str">
        <v>NO_ACREDITADO</v>
      </c>
    </row>
    <row r="32" ht="55" customHeight="1">
      <c r="A32" s="202" t="str">
        <v>IPRE</v>
      </c>
      <c r="B32" s="202" t="str">
        <v>2</v>
      </c>
      <c r="C32" s="202" t="str">
        <v>4</v>
      </c>
      <c r="D32" s="202" t="str">
        <v>PROPUESTA_INTERNA_PREDOMINANTE</v>
      </c>
      <c r="E32" s="202" t="str">
        <v>I162S2C124J4V1</v>
      </c>
      <c r="F32" s="202" t="n">
        <v>24</v>
      </c>
      <c r="G32" s="202" t="n">
        <v>24</v>
      </c>
      <c r="H32" s="202" t="n">
        <v>56</v>
      </c>
      <c r="I32" s="202" t="n">
        <v>56</v>
      </c>
      <c r="J32" s="202" t="n">
        <v>0</v>
      </c>
      <c r="K32" s="202" t="n">
        <v>0</v>
      </c>
      <c r="L32" s="202" t="n">
        <v>0</v>
      </c>
      <c r="M32" s="202" t="n">
        <v>0</v>
      </c>
      <c r="N32" s="202" t="n">
        <v>0</v>
      </c>
      <c r="O32" s="213" t="b">
        <v>1</v>
      </c>
      <c r="P32" s="202" t="str">
        <v>NO_ACREDITADO</v>
      </c>
    </row>
    <row r="33" ht="55" customHeight="1">
      <c r="A33" s="202" t="str">
        <v>IRHU</v>
      </c>
      <c r="B33" s="202" t="str">
        <v>2</v>
      </c>
      <c r="C33" s="202" t="str">
        <v>4</v>
      </c>
      <c r="D33" s="202" t="str">
        <v>PROPUESTA_INTERNA_PREDOMINANTE</v>
      </c>
      <c r="E33" s="202" t="str">
        <v>I162S2C113J4V1</v>
      </c>
      <c r="F33" s="202" t="n">
        <v>39</v>
      </c>
      <c r="G33" s="202" t="n">
        <v>39</v>
      </c>
      <c r="H33" s="202" t="n">
        <v>67</v>
      </c>
      <c r="I33" s="202" t="n">
        <v>53</v>
      </c>
      <c r="J33" s="202" t="n">
        <v>0</v>
      </c>
      <c r="K33" s="202" t="n">
        <v>0</v>
      </c>
      <c r="L33" s="202" t="n">
        <v>14</v>
      </c>
      <c r="M33" s="202" t="n">
        <v>0</v>
      </c>
      <c r="N33" s="202" t="n">
        <v>0</v>
      </c>
      <c r="O33" s="213" t="b">
        <v>0</v>
      </c>
      <c r="P33" s="202" t="str">
        <v>NO_ACREDITADO</v>
      </c>
    </row>
    <row r="34" ht="55" customHeight="1">
      <c r="A34" s="202" t="str">
        <v>ISEP</v>
      </c>
      <c r="B34" s="202" t="str">
        <v>2</v>
      </c>
      <c r="C34" s="202" t="str">
        <v>4</v>
      </c>
      <c r="D34" s="202" t="str">
        <v>PROPUESTA_INTERNA_PREDOMINANTE</v>
      </c>
      <c r="E34" s="202" t="str">
        <v>I162S2C125J4V1</v>
      </c>
      <c r="F34" s="202" t="n">
        <v>20</v>
      </c>
      <c r="G34" s="202" t="n">
        <v>20</v>
      </c>
      <c r="H34" s="202" t="n">
        <v>36</v>
      </c>
      <c r="I34" s="202" t="n">
        <v>34</v>
      </c>
      <c r="J34" s="202" t="n">
        <v>0</v>
      </c>
      <c r="K34" s="202" t="n">
        <v>0</v>
      </c>
      <c r="L34" s="202" t="n">
        <v>2</v>
      </c>
      <c r="M34" s="202" t="n">
        <v>0</v>
      </c>
      <c r="N34" s="202" t="n">
        <v>0</v>
      </c>
      <c r="O34" s="213" t="b">
        <v>0</v>
      </c>
      <c r="P34" s="202" t="str">
        <v>NO_ACREDITADO</v>
      </c>
    </row>
    <row r="35" ht="55" customHeight="1">
      <c r="A35" s="202" t="str">
        <v>NATP</v>
      </c>
      <c r="B35" s="202" t="str">
        <v>2</v>
      </c>
      <c r="C35" s="202" t="str">
        <v>2</v>
      </c>
      <c r="D35" s="202" t="str">
        <v>PROPUESTA_INTERNA_PREDOMINANTE</v>
      </c>
      <c r="E35" s="202" t="str">
        <v>I162S2C90J2V2</v>
      </c>
      <c r="F35" s="202" t="n">
        <v>22</v>
      </c>
      <c r="G35" s="202" t="n">
        <v>22</v>
      </c>
      <c r="H35" s="202" t="n">
        <v>45</v>
      </c>
      <c r="I35" s="202" t="n">
        <v>42</v>
      </c>
      <c r="J35" s="202" t="n">
        <v>0</v>
      </c>
      <c r="K35" s="202" t="n">
        <v>0</v>
      </c>
      <c r="L35" s="202" t="n">
        <v>3</v>
      </c>
      <c r="M35" s="202" t="n">
        <v>0</v>
      </c>
      <c r="N35" s="202" t="n">
        <v>0</v>
      </c>
      <c r="O35" s="213" t="b">
        <v>0</v>
      </c>
      <c r="P35" s="202" t="str">
        <v>NO_ACREDITADO</v>
      </c>
    </row>
    <row r="36" ht="55" customHeight="1">
      <c r="A36" s="202" t="str">
        <v>NAUTRE</v>
      </c>
      <c r="B36" s="202" t="str">
        <v>2</v>
      </c>
      <c r="C36" s="202" t="str">
        <v>2</v>
      </c>
      <c r="D36" s="202" t="str">
        <v>PENDIENTE_SIN_MATCH</v>
      </c>
      <c r="E36" s="2" t="str"/>
      <c r="F36" s="202" t="n">
        <v>7</v>
      </c>
      <c r="G36" s="202" t="n">
        <v>7</v>
      </c>
      <c r="H36" s="202" t="n">
        <v>18</v>
      </c>
      <c r="I36" s="202" t="n">
        <v>0</v>
      </c>
      <c r="J36" s="202" t="n">
        <v>0</v>
      </c>
      <c r="K36" s="202" t="n">
        <v>18</v>
      </c>
      <c r="L36" s="202" t="n">
        <v>0</v>
      </c>
      <c r="M36" s="202" t="n">
        <v>0</v>
      </c>
      <c r="N36" s="202" t="n">
        <v>0</v>
      </c>
      <c r="O36" s="213" t="b">
        <v>1</v>
      </c>
      <c r="P36" s="202" t="str">
        <v>NO_ACREDITADO</v>
      </c>
    </row>
    <row r="37" ht="55" customHeight="1">
      <c r="A37" s="202" t="str">
        <v>NCONRE</v>
      </c>
      <c r="B37" s="202" t="str">
        <v>2</v>
      </c>
      <c r="C37" s="202" t="str">
        <v>2</v>
      </c>
      <c r="D37" s="202" t="str">
        <v>PENDIENTE_MULTIPLE_O_BAJA_COBERTURA</v>
      </c>
      <c r="E37" s="2" t="str"/>
      <c r="F37" s="202" t="n">
        <v>109</v>
      </c>
      <c r="G37" s="202" t="n">
        <v>109</v>
      </c>
      <c r="H37" s="202" t="n">
        <v>261</v>
      </c>
      <c r="I37" s="202" t="n">
        <v>0</v>
      </c>
      <c r="J37" s="202" t="n">
        <v>0</v>
      </c>
      <c r="K37" s="202" t="n">
        <v>259</v>
      </c>
      <c r="L37" s="202" t="n">
        <v>2</v>
      </c>
      <c r="M37" s="202" t="n">
        <v>0</v>
      </c>
      <c r="N37" s="202" t="n">
        <v>0</v>
      </c>
      <c r="O37" s="213" t="b">
        <v>0</v>
      </c>
      <c r="P37" s="202" t="str">
        <v>NO_ACREDITADO</v>
      </c>
    </row>
    <row r="38" ht="55" customHeight="1">
      <c r="A38" s="202" t="str">
        <v>NCONRE</v>
      </c>
      <c r="B38" s="202" t="str">
        <v>2</v>
      </c>
      <c r="C38" s="202" t="str">
        <v>4</v>
      </c>
      <c r="D38" s="202" t="str">
        <v>PROPUESTA_INTERNA_PREDOMINANTE</v>
      </c>
      <c r="E38" s="202" t="str">
        <v>I162S2C3J4V2</v>
      </c>
      <c r="F38" s="202" t="n">
        <v>2</v>
      </c>
      <c r="G38" s="202" t="n">
        <v>2</v>
      </c>
      <c r="H38" s="202" t="n">
        <v>5</v>
      </c>
      <c r="I38" s="202" t="n">
        <v>0</v>
      </c>
      <c r="J38" s="202" t="n">
        <v>0</v>
      </c>
      <c r="K38" s="202" t="n">
        <v>0</v>
      </c>
      <c r="L38" s="202" t="n">
        <v>5</v>
      </c>
      <c r="M38" s="202" t="n">
        <v>0</v>
      </c>
      <c r="N38" s="202" t="n">
        <v>0</v>
      </c>
      <c r="O38" s="213" t="b">
        <v>0</v>
      </c>
      <c r="P38" s="202" t="str">
        <v>NO_ACREDITADO</v>
      </c>
    </row>
    <row r="39" ht="55" customHeight="1">
      <c r="A39" s="202" t="str">
        <v>NCONREOL</v>
      </c>
      <c r="B39" s="202" t="str">
        <v>2</v>
      </c>
      <c r="C39" s="202" t="str">
        <v>4</v>
      </c>
      <c r="D39" s="202" t="str">
        <v>PROPUESTA_INTERNA_PREDOMINANTE</v>
      </c>
      <c r="E39" s="202" t="str">
        <v>I162S2C3J4V2</v>
      </c>
      <c r="F39" s="202" t="n">
        <v>58</v>
      </c>
      <c r="G39" s="202" t="n">
        <v>58</v>
      </c>
      <c r="H39" s="202" t="n">
        <v>226</v>
      </c>
      <c r="I39" s="202" t="n">
        <v>12</v>
      </c>
      <c r="J39" s="202" t="n">
        <v>208</v>
      </c>
      <c r="K39" s="202" t="n">
        <v>0</v>
      </c>
      <c r="L39" s="202" t="n">
        <v>6</v>
      </c>
      <c r="M39" s="202" t="n">
        <v>0</v>
      </c>
      <c r="N39" s="202" t="n">
        <v>0</v>
      </c>
      <c r="O39" s="213" t="b">
        <v>0</v>
      </c>
      <c r="P39" s="202" t="str">
        <v>NO_ACREDITADO</v>
      </c>
    </row>
    <row r="40" ht="55" customHeight="1">
      <c r="A40" s="202" t="str">
        <v>NECIRE</v>
      </c>
      <c r="B40" s="202" t="str">
        <v>2</v>
      </c>
      <c r="C40" s="202" t="str">
        <v>2</v>
      </c>
      <c r="D40" s="202" t="str">
        <v>PENDIENTE_SIN_MATCH</v>
      </c>
      <c r="E40" s="2" t="str"/>
      <c r="F40" s="202" t="n">
        <v>4</v>
      </c>
      <c r="G40" s="202" t="n">
        <v>4</v>
      </c>
      <c r="H40" s="202" t="n">
        <v>5</v>
      </c>
      <c r="I40" s="202" t="n">
        <v>0</v>
      </c>
      <c r="J40" s="202" t="n">
        <v>0</v>
      </c>
      <c r="K40" s="202" t="n">
        <v>5</v>
      </c>
      <c r="L40" s="202" t="n">
        <v>0</v>
      </c>
      <c r="M40" s="202" t="n">
        <v>0</v>
      </c>
      <c r="N40" s="202" t="n">
        <v>0</v>
      </c>
      <c r="O40" s="213" t="b">
        <v>1</v>
      </c>
      <c r="P40" s="202" t="str">
        <v>NO_ACREDITADO</v>
      </c>
    </row>
    <row r="41" ht="55" customHeight="1">
      <c r="A41" s="202" t="str">
        <v>NETMRE</v>
      </c>
      <c r="B41" s="202" t="str">
        <v>2</v>
      </c>
      <c r="C41" s="202" t="str">
        <v>2</v>
      </c>
      <c r="D41" s="202" t="str">
        <v>PENDIENTE_SIN_MATCH</v>
      </c>
      <c r="E41" s="2" t="str"/>
      <c r="F41" s="202" t="n">
        <v>2</v>
      </c>
      <c r="G41" s="202" t="n">
        <v>2</v>
      </c>
      <c r="H41" s="202" t="n">
        <v>2</v>
      </c>
      <c r="I41" s="202" t="n">
        <v>0</v>
      </c>
      <c r="J41" s="202" t="n">
        <v>0</v>
      </c>
      <c r="K41" s="202" t="n">
        <v>2</v>
      </c>
      <c r="L41" s="202" t="n">
        <v>0</v>
      </c>
      <c r="M41" s="202" t="n">
        <v>0</v>
      </c>
      <c r="N41" s="202" t="n">
        <v>0</v>
      </c>
      <c r="O41" s="213" t="b">
        <v>1</v>
      </c>
      <c r="P41" s="202" t="str">
        <v>NO_ACREDITADO</v>
      </c>
    </row>
    <row r="42" ht="55" customHeight="1">
      <c r="A42" s="202" t="str">
        <v>NETMRE</v>
      </c>
      <c r="B42" s="202" t="str">
        <v>2</v>
      </c>
      <c r="C42" s="202" t="str">
        <v>4</v>
      </c>
      <c r="D42" s="202" t="str">
        <v>PENDIENTE_SIN_MATCH</v>
      </c>
      <c r="E42" s="2" t="str"/>
      <c r="F42" s="202" t="n">
        <v>0</v>
      </c>
      <c r="G42" s="202" t="n">
        <v>0</v>
      </c>
      <c r="H42" s="202" t="n">
        <v>0</v>
      </c>
      <c r="I42" s="202" t="n">
        <v>0</v>
      </c>
      <c r="J42" s="202" t="n">
        <v>0</v>
      </c>
      <c r="K42" s="202" t="n">
        <v>0</v>
      </c>
      <c r="L42" s="202" t="n">
        <v>0</v>
      </c>
      <c r="M42" s="202" t="n">
        <v>0</v>
      </c>
      <c r="N42" s="202" t="n">
        <v>0</v>
      </c>
      <c r="O42" s="213" t="b">
        <v>0</v>
      </c>
      <c r="P42" s="202" t="str">
        <v>NO_ACREDITADO</v>
      </c>
    </row>
    <row r="43" ht="55" customHeight="1">
      <c r="A43" s="202" t="str">
        <v>NICCRE</v>
      </c>
      <c r="B43" s="202" t="str">
        <v>2</v>
      </c>
      <c r="C43" s="202" t="str">
        <v>2</v>
      </c>
      <c r="D43" s="202" t="str">
        <v>PENDIENTE_SIN_MATCH</v>
      </c>
      <c r="E43" s="2" t="str"/>
      <c r="F43" s="202" t="n">
        <v>9</v>
      </c>
      <c r="G43" s="202" t="n">
        <v>9</v>
      </c>
      <c r="H43" s="202" t="n">
        <v>31</v>
      </c>
      <c r="I43" s="202" t="n">
        <v>0</v>
      </c>
      <c r="J43" s="202" t="n">
        <v>0</v>
      </c>
      <c r="K43" s="202" t="n">
        <v>30</v>
      </c>
      <c r="L43" s="202" t="n">
        <v>1</v>
      </c>
      <c r="M43" s="202" t="n">
        <v>0</v>
      </c>
      <c r="N43" s="202" t="n">
        <v>0</v>
      </c>
      <c r="O43" s="213" t="b">
        <v>0</v>
      </c>
      <c r="P43" s="202" t="str">
        <v>NO_ACREDITADO</v>
      </c>
    </row>
    <row r="44" ht="55" customHeight="1">
      <c r="A44" s="202" t="str">
        <v>NICCREOL</v>
      </c>
      <c r="B44" s="202" t="str">
        <v>2</v>
      </c>
      <c r="C44" s="202" t="str">
        <v>4</v>
      </c>
      <c r="D44" s="202" t="str">
        <v>PENDIENTE_SIN_MATCH</v>
      </c>
      <c r="E44" s="2" t="str"/>
      <c r="F44" s="202" t="n">
        <v>9</v>
      </c>
      <c r="G44" s="202" t="n">
        <v>9</v>
      </c>
      <c r="H44" s="202" t="n">
        <v>45</v>
      </c>
      <c r="I44" s="202" t="n">
        <v>0</v>
      </c>
      <c r="J44" s="202" t="n">
        <v>0</v>
      </c>
      <c r="K44" s="202" t="n">
        <v>45</v>
      </c>
      <c r="L44" s="202" t="n">
        <v>0</v>
      </c>
      <c r="M44" s="202" t="n">
        <v>0</v>
      </c>
      <c r="N44" s="202" t="n">
        <v>0</v>
      </c>
      <c r="O44" s="213" t="b">
        <v>1</v>
      </c>
      <c r="P44" s="202" t="str">
        <v>NO_ACREDITADO</v>
      </c>
    </row>
    <row r="45" ht="55" customHeight="1">
      <c r="A45" s="202" t="str">
        <v>NICIRE</v>
      </c>
      <c r="B45" s="202" t="str">
        <v>2</v>
      </c>
      <c r="C45" s="202" t="str">
        <v>2</v>
      </c>
      <c r="D45" s="202" t="str">
        <v>PENDIENTE_SIN_MATCH</v>
      </c>
      <c r="E45" s="2" t="str"/>
      <c r="F45" s="202" t="n">
        <v>1</v>
      </c>
      <c r="G45" s="202" t="n">
        <v>1</v>
      </c>
      <c r="H45" s="202" t="n">
        <v>1</v>
      </c>
      <c r="I45" s="202" t="n">
        <v>0</v>
      </c>
      <c r="J45" s="202" t="n">
        <v>0</v>
      </c>
      <c r="K45" s="202" t="n">
        <v>1</v>
      </c>
      <c r="L45" s="202" t="n">
        <v>0</v>
      </c>
      <c r="M45" s="202" t="n">
        <v>0</v>
      </c>
      <c r="N45" s="202" t="n">
        <v>0</v>
      </c>
      <c r="O45" s="213" t="b">
        <v>1</v>
      </c>
      <c r="P45" s="202" t="str">
        <v>NO_ACREDITADO</v>
      </c>
    </row>
    <row r="46" ht="55" customHeight="1">
      <c r="A46" s="202" t="str">
        <v>NINFRE</v>
      </c>
      <c r="B46" s="202" t="str">
        <v>2</v>
      </c>
      <c r="C46" s="202" t="str">
        <v>2</v>
      </c>
      <c r="D46" s="202" t="str">
        <v>PENDIENTE_SIN_MATCH</v>
      </c>
      <c r="E46" s="2" t="str"/>
      <c r="F46" s="202" t="n">
        <v>42</v>
      </c>
      <c r="G46" s="202" t="n">
        <v>42</v>
      </c>
      <c r="H46" s="202" t="n">
        <v>61</v>
      </c>
      <c r="I46" s="202" t="n">
        <v>0</v>
      </c>
      <c r="J46" s="202" t="n">
        <v>0</v>
      </c>
      <c r="K46" s="202" t="n">
        <v>58</v>
      </c>
      <c r="L46" s="202" t="n">
        <v>1</v>
      </c>
      <c r="M46" s="202" t="n">
        <v>0</v>
      </c>
      <c r="N46" s="202" t="n">
        <v>2</v>
      </c>
      <c r="O46" s="213" t="b">
        <v>0</v>
      </c>
      <c r="P46" s="202" t="str">
        <v>NO_ACREDITADO</v>
      </c>
    </row>
    <row r="47" ht="55" customHeight="1">
      <c r="A47" s="202" t="str">
        <v>NINFREOL</v>
      </c>
      <c r="B47" s="202" t="str">
        <v>2</v>
      </c>
      <c r="C47" s="202" t="str">
        <v>4</v>
      </c>
      <c r="D47" s="202" t="str">
        <v>PENDIENTE_MULTIPLE_O_BAJA_COBERTURA</v>
      </c>
      <c r="E47" s="2" t="str"/>
      <c r="F47" s="202" t="n">
        <v>16</v>
      </c>
      <c r="G47" s="202" t="n">
        <v>16</v>
      </c>
      <c r="H47" s="202" t="n">
        <v>39</v>
      </c>
      <c r="I47" s="202" t="n">
        <v>0</v>
      </c>
      <c r="J47" s="202" t="n">
        <v>0</v>
      </c>
      <c r="K47" s="202" t="n">
        <v>39</v>
      </c>
      <c r="L47" s="202" t="n">
        <v>0</v>
      </c>
      <c r="M47" s="202" t="n">
        <v>0</v>
      </c>
      <c r="N47" s="202" t="n">
        <v>0</v>
      </c>
      <c r="O47" s="213" t="b">
        <v>1</v>
      </c>
      <c r="P47" s="202" t="str">
        <v>NO_ACREDITADO</v>
      </c>
    </row>
    <row r="48" ht="55" customHeight="1">
      <c r="A48" s="202" t="str">
        <v>NITMRE</v>
      </c>
      <c r="B48" s="202" t="str">
        <v>2</v>
      </c>
      <c r="C48" s="202" t="str">
        <v>2</v>
      </c>
      <c r="D48" s="202" t="str">
        <v>PENDIENTE_SIN_MATCH</v>
      </c>
      <c r="E48" s="2" t="str"/>
      <c r="F48" s="202" t="n">
        <v>1</v>
      </c>
      <c r="G48" s="202" t="n">
        <v>1</v>
      </c>
      <c r="H48" s="202" t="n">
        <v>1</v>
      </c>
      <c r="I48" s="202" t="n">
        <v>0</v>
      </c>
      <c r="J48" s="202" t="n">
        <v>0</v>
      </c>
      <c r="K48" s="202" t="n">
        <v>1</v>
      </c>
      <c r="L48" s="202" t="n">
        <v>0</v>
      </c>
      <c r="M48" s="202" t="n">
        <v>0</v>
      </c>
      <c r="N48" s="202" t="n">
        <v>0</v>
      </c>
      <c r="O48" s="213" t="b">
        <v>1</v>
      </c>
      <c r="P48" s="202" t="str">
        <v>NO_ACREDITADO</v>
      </c>
    </row>
    <row r="49" ht="55" customHeight="1">
      <c r="A49" s="202" t="str">
        <v>NTCCRE</v>
      </c>
      <c r="B49" s="202" t="str">
        <v>2</v>
      </c>
      <c r="C49" s="202" t="str">
        <v>2</v>
      </c>
      <c r="D49" s="202" t="str">
        <v>PROPUESTA_INTERNA_PREDOMINANTE</v>
      </c>
      <c r="E49" s="202" t="str">
        <v>I162S2C46J2V1</v>
      </c>
      <c r="F49" s="202" t="n">
        <v>44</v>
      </c>
      <c r="G49" s="202" t="n">
        <v>44</v>
      </c>
      <c r="H49" s="202" t="n">
        <v>184</v>
      </c>
      <c r="I49" s="202" t="n">
        <v>13</v>
      </c>
      <c r="J49" s="202" t="n">
        <v>171</v>
      </c>
      <c r="K49" s="202" t="n">
        <v>0</v>
      </c>
      <c r="L49" s="202" t="n">
        <v>0</v>
      </c>
      <c r="M49" s="202" t="n">
        <v>0</v>
      </c>
      <c r="N49" s="202" t="n">
        <v>0</v>
      </c>
      <c r="O49" s="213" t="b">
        <v>1</v>
      </c>
      <c r="P49" s="202" t="str">
        <v>NO_ACREDITADO</v>
      </c>
    </row>
    <row r="50" ht="55" customHeight="1">
      <c r="A50" s="202" t="str">
        <v>NTCCREOL</v>
      </c>
      <c r="B50" s="202" t="str">
        <v>2</v>
      </c>
      <c r="C50" s="202" t="str">
        <v>4</v>
      </c>
      <c r="D50" s="202" t="str">
        <v>PROPUESTA_INTERNA_PREDOMINANTE</v>
      </c>
      <c r="E50" s="202" t="str">
        <v>I162S2C46J4V3</v>
      </c>
      <c r="F50" s="202" t="n">
        <v>20</v>
      </c>
      <c r="G50" s="202" t="n">
        <v>20</v>
      </c>
      <c r="H50" s="202" t="n">
        <v>142</v>
      </c>
      <c r="I50" s="202" t="n">
        <v>53</v>
      </c>
      <c r="J50" s="202" t="n">
        <v>83</v>
      </c>
      <c r="K50" s="202" t="n">
        <v>0</v>
      </c>
      <c r="L50" s="202" t="n">
        <v>6</v>
      </c>
      <c r="M50" s="202" t="n">
        <v>0</v>
      </c>
      <c r="N50" s="202" t="n">
        <v>0</v>
      </c>
      <c r="O50" s="213" t="b">
        <v>0</v>
      </c>
      <c r="P50" s="202" t="str">
        <v>NO_ACREDITADO</v>
      </c>
    </row>
    <row r="51" ht="55" customHeight="1">
      <c r="A51" s="202" t="str">
        <v>TAMD</v>
      </c>
      <c r="B51" s="202" t="str">
        <v>2</v>
      </c>
      <c r="C51" s="202" t="str">
        <v>2</v>
      </c>
      <c r="D51" s="202" t="str">
        <v>PROPUESTA_INTERNA_PREDOMINANTE</v>
      </c>
      <c r="E51" s="202" t="str">
        <v>I162S2C78J2V1</v>
      </c>
      <c r="F51" s="202" t="n">
        <v>41</v>
      </c>
      <c r="G51" s="202" t="n">
        <v>41</v>
      </c>
      <c r="H51" s="202" t="n">
        <v>112</v>
      </c>
      <c r="I51" s="202" t="n">
        <v>103</v>
      </c>
      <c r="J51" s="202" t="n">
        <v>0</v>
      </c>
      <c r="K51" s="202" t="n">
        <v>0</v>
      </c>
      <c r="L51" s="202" t="n">
        <v>9</v>
      </c>
      <c r="M51" s="202" t="n">
        <v>0</v>
      </c>
      <c r="N51" s="202" t="n">
        <v>0</v>
      </c>
      <c r="O51" s="213" t="b">
        <v>0</v>
      </c>
      <c r="P51" s="202" t="str">
        <v>NO_ACREDITADO</v>
      </c>
    </row>
    <row r="52" ht="55" customHeight="1">
      <c r="A52" s="202" t="str">
        <v>TAMD</v>
      </c>
      <c r="B52" s="202" t="str">
        <v>2</v>
      </c>
      <c r="C52" s="202" t="str">
        <v>4</v>
      </c>
      <c r="D52" s="202" t="str">
        <v>PROPUESTA_INTERNA_PREDOMINANTE</v>
      </c>
      <c r="E52" s="202" t="str">
        <v>I162S2C78J4V1</v>
      </c>
      <c r="F52" s="202" t="n">
        <v>200</v>
      </c>
      <c r="G52" s="202" t="n">
        <v>200</v>
      </c>
      <c r="H52" s="202" t="n">
        <v>436</v>
      </c>
      <c r="I52" s="202" t="n">
        <v>324</v>
      </c>
      <c r="J52" s="202" t="n">
        <v>0</v>
      </c>
      <c r="K52" s="202" t="n">
        <v>0</v>
      </c>
      <c r="L52" s="202" t="n">
        <v>112</v>
      </c>
      <c r="M52" s="202" t="n">
        <v>0</v>
      </c>
      <c r="N52" s="202" t="n">
        <v>0</v>
      </c>
      <c r="O52" s="213" t="b">
        <v>0</v>
      </c>
      <c r="P52" s="202" t="str">
        <v>NO_ACREDITADO</v>
      </c>
    </row>
    <row r="53" ht="55" customHeight="1">
      <c r="A53" s="202" t="str">
        <v>TCIB</v>
      </c>
      <c r="B53" s="202" t="str">
        <v>2</v>
      </c>
      <c r="C53" s="202" t="str">
        <v>4</v>
      </c>
      <c r="D53" s="202" t="str">
        <v>PROPUESTA_INTERNA_PREDOMINANTE</v>
      </c>
      <c r="E53" s="202" t="str">
        <v>I162S2C47J4V1</v>
      </c>
      <c r="F53" s="202" t="n">
        <v>272</v>
      </c>
      <c r="G53" s="202" t="n">
        <v>272</v>
      </c>
      <c r="H53" s="202" t="n">
        <v>823</v>
      </c>
      <c r="I53" s="202" t="n">
        <v>721</v>
      </c>
      <c r="J53" s="202" t="n">
        <v>0</v>
      </c>
      <c r="K53" s="202" t="n">
        <v>0</v>
      </c>
      <c r="L53" s="202" t="n">
        <v>99</v>
      </c>
      <c r="M53" s="202" t="n">
        <v>3</v>
      </c>
      <c r="N53" s="202" t="n">
        <v>0</v>
      </c>
      <c r="O53" s="213" t="b">
        <v>0</v>
      </c>
      <c r="P53" s="202" t="str">
        <v>NO_ACREDITADO</v>
      </c>
    </row>
    <row r="54" ht="55" customHeight="1">
      <c r="A54" s="202" t="str">
        <v>TCRE</v>
      </c>
      <c r="B54" s="202" t="str">
        <v>2</v>
      </c>
      <c r="C54" s="202" t="str">
        <v>1</v>
      </c>
      <c r="D54" s="202" t="str">
        <v>PENDIENTE_MULTIPLE_O_BAJA_COBERTURA</v>
      </c>
      <c r="E54" s="2" t="str"/>
      <c r="F54" s="202" t="n">
        <v>0</v>
      </c>
      <c r="G54" s="202" t="n">
        <v>0</v>
      </c>
      <c r="H54" s="202" t="n">
        <v>0</v>
      </c>
      <c r="I54" s="202" t="n">
        <v>0</v>
      </c>
      <c r="J54" s="202" t="n">
        <v>0</v>
      </c>
      <c r="K54" s="202" t="n">
        <v>0</v>
      </c>
      <c r="L54" s="202" t="n">
        <v>0</v>
      </c>
      <c r="M54" s="202" t="n">
        <v>0</v>
      </c>
      <c r="N54" s="202" t="n">
        <v>0</v>
      </c>
      <c r="O54" s="213" t="b">
        <v>0</v>
      </c>
      <c r="P54" s="202" t="str">
        <v>NO_ACREDITADO</v>
      </c>
    </row>
    <row r="55" ht="55" customHeight="1">
      <c r="A55" s="202" t="str">
        <v>TCRE</v>
      </c>
      <c r="B55" s="202" t="str">
        <v>2</v>
      </c>
      <c r="C55" s="202" t="str">
        <v>2</v>
      </c>
      <c r="D55" s="202" t="str">
        <v>PENDIENTE_MULTIPLE_O_BAJA_COBERTURA</v>
      </c>
      <c r="E55" s="2" t="str"/>
      <c r="F55" s="202" t="n">
        <v>10</v>
      </c>
      <c r="G55" s="202" t="n">
        <v>10</v>
      </c>
      <c r="H55" s="202" t="n">
        <v>27</v>
      </c>
      <c r="I55" s="202" t="n">
        <v>0</v>
      </c>
      <c r="J55" s="202" t="n">
        <v>0</v>
      </c>
      <c r="K55" s="202" t="n">
        <v>27</v>
      </c>
      <c r="L55" s="202" t="n">
        <v>0</v>
      </c>
      <c r="M55" s="202" t="n">
        <v>0</v>
      </c>
      <c r="N55" s="202" t="n">
        <v>0</v>
      </c>
      <c r="O55" s="213" t="b">
        <v>1</v>
      </c>
      <c r="P55" s="202" t="str">
        <v>NO_ACREDITADO</v>
      </c>
    </row>
    <row r="56" ht="55" customHeight="1">
      <c r="A56" s="202" t="str">
        <v>TCRE</v>
      </c>
      <c r="B56" s="202" t="str">
        <v>2</v>
      </c>
      <c r="C56" s="202" t="str">
        <v>4</v>
      </c>
      <c r="D56" s="202" t="str">
        <v>PROPUESTA_INTERNA_PREDOMINANTE</v>
      </c>
      <c r="E56" s="202" t="str">
        <v>I162S2C6J4V2</v>
      </c>
      <c r="F56" s="202" t="n">
        <v>101</v>
      </c>
      <c r="G56" s="202" t="n">
        <v>101</v>
      </c>
      <c r="H56" s="202" t="n">
        <v>299</v>
      </c>
      <c r="I56" s="202" t="n">
        <v>281</v>
      </c>
      <c r="J56" s="202" t="n">
        <v>0</v>
      </c>
      <c r="K56" s="202" t="n">
        <v>0</v>
      </c>
      <c r="L56" s="202" t="n">
        <v>17</v>
      </c>
      <c r="M56" s="202" t="n">
        <v>1</v>
      </c>
      <c r="N56" s="202" t="n">
        <v>0</v>
      </c>
      <c r="O56" s="213" t="b">
        <v>0</v>
      </c>
      <c r="P56" s="202" t="str">
        <v>NO_ACREDITADO</v>
      </c>
    </row>
    <row r="57" ht="55" customHeight="1">
      <c r="A57" s="202" t="str">
        <v>TCSREOL</v>
      </c>
      <c r="B57" s="202" t="str">
        <v>2</v>
      </c>
      <c r="C57" s="202" t="str">
        <v>4</v>
      </c>
      <c r="D57" s="202" t="str">
        <v>PROPUESTA_INTERNA_PREDOMINANTE</v>
      </c>
      <c r="E57" s="202" t="str">
        <v>I162S2C47J4V1</v>
      </c>
      <c r="F57" s="202" t="n">
        <v>206</v>
      </c>
      <c r="G57" s="202" t="n">
        <v>206</v>
      </c>
      <c r="H57" s="202" t="n">
        <v>893</v>
      </c>
      <c r="I57" s="202" t="n">
        <v>804</v>
      </c>
      <c r="J57" s="202" t="n">
        <v>0</v>
      </c>
      <c r="K57" s="202" t="n">
        <v>0</v>
      </c>
      <c r="L57" s="202" t="n">
        <v>83</v>
      </c>
      <c r="M57" s="202" t="n">
        <v>6</v>
      </c>
      <c r="N57" s="202" t="n">
        <v>0</v>
      </c>
      <c r="O57" s="213" t="b">
        <v>0</v>
      </c>
      <c r="P57" s="202" t="str">
        <v>NO_ACREDITADO</v>
      </c>
    </row>
    <row r="58" ht="55" customHeight="1">
      <c r="A58" s="202" t="str">
        <v>TLOG</v>
      </c>
      <c r="B58" s="202" t="str">
        <v>2</v>
      </c>
      <c r="C58" s="202" t="str">
        <v>4</v>
      </c>
      <c r="D58" s="202" t="str">
        <v>PROPUESTA_INTERNA_PREDOMINANTE</v>
      </c>
      <c r="E58" s="202" t="str">
        <v>I162S2C79J4V1</v>
      </c>
      <c r="F58" s="202" t="n">
        <v>174</v>
      </c>
      <c r="G58" s="202" t="n">
        <v>174</v>
      </c>
      <c r="H58" s="202" t="n">
        <v>471</v>
      </c>
      <c r="I58" s="202" t="n">
        <v>393</v>
      </c>
      <c r="J58" s="202" t="n">
        <v>0</v>
      </c>
      <c r="K58" s="202" t="n">
        <v>0</v>
      </c>
      <c r="L58" s="202" t="n">
        <v>78</v>
      </c>
      <c r="M58" s="202" t="n">
        <v>0</v>
      </c>
      <c r="N58" s="202" t="n">
        <v>0</v>
      </c>
      <c r="O58" s="213" t="b">
        <v>0</v>
      </c>
      <c r="P58" s="202" t="str">
        <v>NO_ACREDITADO</v>
      </c>
    </row>
    <row r="59" ht="55" customHeight="1">
      <c r="A59" s="202" t="str">
        <v>TPAREOL</v>
      </c>
      <c r="B59" s="202" t="str">
        <v>2</v>
      </c>
      <c r="C59" s="202" t="str">
        <v>4</v>
      </c>
      <c r="D59" s="202" t="str">
        <v>PROPUESTA_INTERNA_PREDOMINANTE</v>
      </c>
      <c r="E59" s="202" t="str">
        <v>I162S2C57J4V1</v>
      </c>
      <c r="F59" s="202" t="n">
        <v>416</v>
      </c>
      <c r="G59" s="202" t="n">
        <v>416</v>
      </c>
      <c r="H59" s="202" t="n">
        <v>2216</v>
      </c>
      <c r="I59" s="202" t="n">
        <v>1971</v>
      </c>
      <c r="J59" s="202" t="n">
        <v>0</v>
      </c>
      <c r="K59" s="202" t="n">
        <v>0</v>
      </c>
      <c r="L59" s="202" t="n">
        <v>228</v>
      </c>
      <c r="M59" s="202" t="n">
        <v>17</v>
      </c>
      <c r="N59" s="202" t="n">
        <v>0</v>
      </c>
      <c r="O59" s="213" t="b">
        <v>0</v>
      </c>
      <c r="P59" s="202" t="str">
        <v>NO_ACREDITADO</v>
      </c>
    </row>
    <row r="60" ht="55" customHeight="1">
      <c r="A60" s="202" t="str">
        <v>TPAS</v>
      </c>
      <c r="B60" s="202" t="str">
        <v>2</v>
      </c>
      <c r="C60" s="202" t="str">
        <v>4</v>
      </c>
      <c r="D60" s="202" t="str">
        <v>PROPUESTA_INTERNA_PREDOMINANTE</v>
      </c>
      <c r="E60" s="202" t="str">
        <v>I162S2C57J4V1</v>
      </c>
      <c r="F60" s="202" t="n">
        <v>532</v>
      </c>
      <c r="G60" s="202" t="n">
        <v>532</v>
      </c>
      <c r="H60" s="202" t="n">
        <v>1763</v>
      </c>
      <c r="I60" s="202" t="n">
        <v>1511</v>
      </c>
      <c r="J60" s="202" t="n">
        <v>0</v>
      </c>
      <c r="K60" s="202" t="n">
        <v>0</v>
      </c>
      <c r="L60" s="202" t="n">
        <v>238</v>
      </c>
      <c r="M60" s="202" t="n">
        <v>14</v>
      </c>
      <c r="N60" s="202" t="n">
        <v>0</v>
      </c>
      <c r="O60" s="213" t="b">
        <v>0</v>
      </c>
      <c r="P60" s="202" t="str">
        <v>NO_ACREDITADO</v>
      </c>
    </row>
    <row r="61" ht="55" customHeight="1">
      <c r="A61" s="202" t="str">
        <v>TPCRE</v>
      </c>
      <c r="B61" s="202" t="str">
        <v>2</v>
      </c>
      <c r="C61" s="202" t="str">
        <v>1</v>
      </c>
      <c r="D61" s="202" t="str">
        <v>PENDIENTE_MULTIPLE_O_BAJA_COBERTURA</v>
      </c>
      <c r="E61" s="2" t="str"/>
      <c r="F61" s="202" t="n">
        <v>24</v>
      </c>
      <c r="G61" s="202" t="n">
        <v>24</v>
      </c>
      <c r="H61" s="202" t="n">
        <v>77</v>
      </c>
      <c r="I61" s="202" t="n">
        <v>0</v>
      </c>
      <c r="J61" s="202" t="n">
        <v>0</v>
      </c>
      <c r="K61" s="202" t="n">
        <v>76</v>
      </c>
      <c r="L61" s="202" t="n">
        <v>1</v>
      </c>
      <c r="M61" s="202" t="n">
        <v>0</v>
      </c>
      <c r="N61" s="202" t="n">
        <v>0</v>
      </c>
      <c r="O61" s="213" t="b">
        <v>0</v>
      </c>
      <c r="P61" s="202" t="str">
        <v>NO_ACREDITADO</v>
      </c>
    </row>
    <row r="62" ht="55" customHeight="1">
      <c r="A62" s="202" t="str">
        <v>TPCRE</v>
      </c>
      <c r="B62" s="202" t="str">
        <v>2</v>
      </c>
      <c r="C62" s="202" t="str">
        <v>2</v>
      </c>
      <c r="D62" s="202" t="str">
        <v>PENDIENTE_SIN_MATCH</v>
      </c>
      <c r="E62" s="2" t="str"/>
      <c r="F62" s="202" t="n">
        <v>42</v>
      </c>
      <c r="G62" s="202" t="n">
        <v>42</v>
      </c>
      <c r="H62" s="202" t="n">
        <v>87</v>
      </c>
      <c r="I62" s="202" t="n">
        <v>0</v>
      </c>
      <c r="J62" s="202" t="n">
        <v>0</v>
      </c>
      <c r="K62" s="202" t="n">
        <v>85</v>
      </c>
      <c r="L62" s="202" t="n">
        <v>2</v>
      </c>
      <c r="M62" s="202" t="n">
        <v>0</v>
      </c>
      <c r="N62" s="202" t="n">
        <v>0</v>
      </c>
      <c r="O62" s="213" t="b">
        <v>0</v>
      </c>
      <c r="P62" s="202" t="str">
        <v>NO_ACREDITADO</v>
      </c>
    </row>
    <row r="63" ht="55" customHeight="1">
      <c r="A63" s="202" t="str">
        <v>TPCRE</v>
      </c>
      <c r="B63" s="202" t="str">
        <v>2</v>
      </c>
      <c r="C63" s="202" t="str">
        <v>4</v>
      </c>
      <c r="D63" s="202" t="str">
        <v>PENDIENTE_SIN_MATCH</v>
      </c>
      <c r="E63" s="2" t="str"/>
      <c r="F63" s="202" t="n">
        <v>0</v>
      </c>
      <c r="G63" s="202" t="n">
        <v>0</v>
      </c>
      <c r="H63" s="202" t="n">
        <v>0</v>
      </c>
      <c r="I63" s="202" t="n">
        <v>0</v>
      </c>
      <c r="J63" s="202" t="n">
        <v>0</v>
      </c>
      <c r="K63" s="202" t="n">
        <v>0</v>
      </c>
      <c r="L63" s="202" t="n">
        <v>0</v>
      </c>
      <c r="M63" s="202" t="n">
        <v>0</v>
      </c>
      <c r="N63" s="202" t="n">
        <v>0</v>
      </c>
      <c r="O63" s="213" t="b">
        <v>0</v>
      </c>
      <c r="P63" s="202" t="str">
        <v>NO_ACREDITADO</v>
      </c>
    </row>
    <row r="64" ht="55" customHeight="1">
      <c r="A64" s="202" t="str">
        <v>TPCREOL</v>
      </c>
      <c r="B64" s="202" t="str">
        <v>2</v>
      </c>
      <c r="C64" s="202" t="str">
        <v>4</v>
      </c>
      <c r="D64" s="202" t="str">
        <v>PENDIENTE_MULTIPLE_O_BAJA_COBERTURA</v>
      </c>
      <c r="E64" s="2" t="str"/>
      <c r="F64" s="202" t="n">
        <v>26</v>
      </c>
      <c r="G64" s="202" t="n">
        <v>26</v>
      </c>
      <c r="H64" s="202" t="n">
        <v>116</v>
      </c>
      <c r="I64" s="202" t="n">
        <v>0</v>
      </c>
      <c r="J64" s="202" t="n">
        <v>0</v>
      </c>
      <c r="K64" s="202" t="n">
        <v>109</v>
      </c>
      <c r="L64" s="202" t="n">
        <v>7</v>
      </c>
      <c r="M64" s="202" t="n">
        <v>0</v>
      </c>
      <c r="N64" s="202" t="n">
        <v>0</v>
      </c>
      <c r="O64" s="213" t="b">
        <v>0</v>
      </c>
      <c r="P64" s="202" t="str">
        <v>NO_ACREDITADO</v>
      </c>
    </row>
    <row r="65" ht="55" customHeight="1">
      <c r="A65" s="202" t="str">
        <v>TTMRE</v>
      </c>
      <c r="B65" s="202" t="str">
        <v>2</v>
      </c>
      <c r="C65" s="202" t="str">
        <v>1</v>
      </c>
      <c r="D65" s="202" t="str">
        <v>PENDIENTE_MULTIPLE_O_BAJA_COBERTURA</v>
      </c>
      <c r="E65" s="2" t="str"/>
      <c r="F65" s="202" t="n">
        <v>25</v>
      </c>
      <c r="G65" s="202" t="n">
        <v>25</v>
      </c>
      <c r="H65" s="202" t="n">
        <v>88</v>
      </c>
      <c r="I65" s="202" t="n">
        <v>0</v>
      </c>
      <c r="J65" s="202" t="n">
        <v>0</v>
      </c>
      <c r="K65" s="202" t="n">
        <v>81</v>
      </c>
      <c r="L65" s="202" t="n">
        <v>7</v>
      </c>
      <c r="M65" s="202" t="n">
        <v>0</v>
      </c>
      <c r="N65" s="202" t="n">
        <v>0</v>
      </c>
      <c r="O65" s="213" t="b">
        <v>0</v>
      </c>
      <c r="P65" s="202" t="str">
        <v>NO_ACREDITADO</v>
      </c>
    </row>
    <row r="66" ht="55" customHeight="1">
      <c r="A66" s="202" t="str">
        <v>TTMRE</v>
      </c>
      <c r="B66" s="202" t="str">
        <v>2</v>
      </c>
      <c r="C66" s="202" t="str">
        <v>2</v>
      </c>
      <c r="D66" s="202" t="str">
        <v>PENDIENTE_MULTIPLE_O_BAJA_COBERTURA</v>
      </c>
      <c r="E66" s="2" t="str"/>
      <c r="F66" s="202" t="n">
        <v>80</v>
      </c>
      <c r="G66" s="202" t="n">
        <v>80</v>
      </c>
      <c r="H66" s="202" t="n">
        <v>277</v>
      </c>
      <c r="I66" s="202" t="n">
        <v>0</v>
      </c>
      <c r="J66" s="202" t="n">
        <v>0</v>
      </c>
      <c r="K66" s="202" t="n">
        <v>254</v>
      </c>
      <c r="L66" s="202" t="n">
        <v>23</v>
      </c>
      <c r="M66" s="202" t="n">
        <v>0</v>
      </c>
      <c r="N66" s="202" t="n">
        <v>0</v>
      </c>
      <c r="O66" s="213" t="b">
        <v>0</v>
      </c>
      <c r="P66" s="202" t="str">
        <v>NO_ACREDITADO</v>
      </c>
    </row>
    <row r="67" ht="55" customHeight="1">
      <c r="A67" s="202" t="str">
        <v>TTMREOL</v>
      </c>
      <c r="B67" s="202" t="str">
        <v>2</v>
      </c>
      <c r="C67" s="202" t="str">
        <v>4</v>
      </c>
      <c r="D67" s="202" t="str">
        <v>PROPUESTA_INTERNA_PREDOMINANTE</v>
      </c>
      <c r="E67" s="202" t="str">
        <v>I162S2C6J4V2</v>
      </c>
      <c r="F67" s="202" t="n">
        <v>174</v>
      </c>
      <c r="G67" s="202" t="n">
        <v>174</v>
      </c>
      <c r="H67" s="202" t="n">
        <v>836</v>
      </c>
      <c r="I67" s="202" t="n">
        <v>641</v>
      </c>
      <c r="J67" s="202" t="n">
        <v>95</v>
      </c>
      <c r="K67" s="202" t="n">
        <v>0</v>
      </c>
      <c r="L67" s="202" t="n">
        <v>98</v>
      </c>
      <c r="M67" s="202" t="n">
        <v>2</v>
      </c>
      <c r="N67" s="202" t="n">
        <v>0</v>
      </c>
      <c r="O67" s="213" t="b">
        <v>0</v>
      </c>
      <c r="P67" s="202" t="str">
        <v>NO_ACREDITADO</v>
      </c>
    </row>
  </sheetData>
  <pageMargins left="0.7" right="0.7" top="0.75" bottom="0.75" header="0.3" footer="0.3"/>
</worksheet>
</file>

<file path=xl/worksheets/sheet41.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8" hidden="0" customWidth="1"/>
    <col min="2" max="2" width="22" hidden="0" customWidth="1"/>
    <col min="3" max="3" width="22" hidden="0" customWidth="1"/>
    <col min="4" max="4" width="90" hidden="0" customWidth="1"/>
  </cols>
  <sheetData>
    <row r="1" ht="48" customHeight="1">
      <c r="A1" s="219" t="str">
        <v>V7 · Conciliación caso a caso · 22/10/2026</v>
      </c>
      <c r="B1" s="5"/>
      <c r="C1" s="5"/>
      <c r="D1" s="5"/>
    </row>
    <row r="2" ht="48" customHeight="1">
      <c r="A2" s="216" t="str">
        <v>Código anual observado; no equivalencia general del plan. Hojas V6 preservadas como línea base.</v>
      </c>
      <c r="B2" s="2"/>
      <c r="C2" s="2"/>
      <c r="D2" s="2"/>
    </row>
    <row r="3" ht="48" customHeight="1">
      <c r="A3" s="216" t="str">
        <v>Mismo universo: 5.901 personas; revisión focal de 2.317 personas / 4.973 observaciones.</v>
      </c>
      <c r="B3" s="2"/>
      <c r="C3" s="2"/>
      <c r="D3" s="2"/>
    </row>
    <row r="4" ht="48" customHeight="1">
      <c r="A4" s="221" t="str">
        <v>Indicador</v>
      </c>
      <c r="B4" s="221" t="str">
        <v>Antes</v>
      </c>
      <c r="C4" s="221" t="str">
        <v>Ahora</v>
      </c>
      <c r="D4" s="221" t="str">
        <v>Alcance</v>
      </c>
    </row>
    <row r="5" ht="48" customHeight="1">
      <c r="A5" s="216" t="str">
        <v>Observaciones en cola de revisión</v>
      </c>
      <c r="B5" s="216" t="n">
        <v>4973</v>
      </c>
      <c r="C5" s="216" t="n">
        <v>3213</v>
      </c>
      <c r="D5" s="216" t="str">
        <v>1.760 diferencias conciliadas con evidencia ya existente</v>
      </c>
    </row>
    <row r="6" ht="48" customHeight="1">
      <c r="A6" s="216" t="str">
        <v>Personas con al menos un pendiente</v>
      </c>
      <c r="B6" s="216" t="n">
        <v>2317</v>
      </c>
      <c r="C6" s="216" t="n">
        <v>1838</v>
      </c>
      <c r="D6" s="216" t="str">
        <v>479 sin pendientes de este conjunto; 77 parcialmente conciliadas</v>
      </c>
    </row>
    <row r="7" ht="48" customHeight="1">
      <c r="A7" s="216" t="str">
        <v>Proporción de personas pendientes sobre 5901</v>
      </c>
      <c r="B7" s="222" t="n">
        <v>0.3926453143534994</v>
      </c>
      <c r="C7" s="222" t="n">
        <v>0.31147263175732925</v>
      </c>
      <c r="D7" s="216" t="str">
        <v>Cola de conciliación documental; NO retención ni brecha de planes</v>
      </c>
    </row>
    <row r="8" ht="48" customHeight="1">
      <c r="A8" s="216" t="str">
        <v>Personas parcialmente conciliadas</v>
      </c>
      <c r="B8" s="2"/>
      <c r="C8" s="216" t="n">
        <v>77</v>
      </c>
      <c r="D8" s="216" t="str">
        <v>Conservan al menos una observación pendiente</v>
      </c>
    </row>
    <row r="9" ht="48" customHeight="1">
      <c r="A9" s="216" t="str">
        <v>Personas sin observación conciliada</v>
      </c>
      <c r="B9" s="2"/>
      <c r="C9" s="216" t="n">
        <v>1761</v>
      </c>
      <c r="D9" s="216" t="str">
        <v>Dentro de las 2317 revisadas</v>
      </c>
    </row>
    <row r="10" ht="48" customHeight="1">
      <c r="A10" s="216" t="str">
        <v>Código anual observado conciliado</v>
      </c>
      <c r="B10" s="216" t="n">
        <v>0</v>
      </c>
      <c r="C10" s="216" t="n">
        <v>1760</v>
      </c>
      <c r="D10" s="216" t="str">
        <v>Cambio de estado de revisión; no recuperación nueva de código</v>
      </c>
    </row>
    <row r="11" ht="48" customHeight="1">
      <c r="A11" s="216" t="str">
        <v>Brecha original de dimensiones</v>
      </c>
      <c r="B11" s="222" t="n">
        <v>0.38095238095238093</v>
      </c>
      <c r="C11" s="222" t="n">
        <v>0.38095238095238093</v>
      </c>
      <c r="D11" s="216" t="str">
        <v>Línea base original; no nuevas equivalencias generales acreditadas</v>
      </c>
    </row>
    <row r="12" ht="48" customHeight="1">
      <c r="A12" s="216" t="str">
        <v>Escenario metodológico mixto</v>
      </c>
      <c r="B12" s="222" t="n">
        <v>0.30158730158730157</v>
      </c>
      <c r="C12" s="222" t="n">
        <v>0.30158730158730157</v>
      </c>
      <c r="D12" s="216" t="str">
        <v>PROPUESTA_METODOLOGICA_NO_APROBADA</v>
      </c>
    </row>
    <row r="13" ht="48" customHeight="1">
      <c r="A13" s="216" t="str">
        <v>Validación contextual previa limitada</v>
      </c>
      <c r="B13" s="222" t="n">
        <v>0.12698412698412698</v>
      </c>
      <c r="C13" s="222" t="n">
        <v>0.12698412698412698</v>
      </c>
      <c r="D13" s="216" t="str">
        <v>Indicador distinto, conservado sin recalificación</v>
      </c>
    </row>
    <row r="14" ht="48" customHeight="1">
      <c r="A14" s="216" t="str">
        <v>Informe docencia titulados2025</v>
      </c>
      <c r="B14" s="2"/>
      <c r="C14" s="216" t="n">
        <v>431</v>
      </c>
      <c r="D14" s="216" t="str">
        <v>Ambos campos código vacíos; 144 filas /143 personas del foco</v>
      </c>
    </row>
    <row r="15" ht="48" customHeight="1">
      <c r="A15" s="216" t="str">
        <v>Nuevas personas con código por esa fuente</v>
      </c>
      <c r="B15" s="2"/>
      <c r="C15" s="216" t="n">
        <v>0</v>
      </c>
      <c r="D15" s="216" t="str">
        <v>No confundir informe de titulación con carga SIES completada</v>
      </c>
    </row>
    <row r="16" ht="48" customHeight="1">
      <c r="A16" s="216" t="str">
        <v>Plan histórico efectivo</v>
      </c>
      <c r="B16" s="2"/>
      <c r="C16" s="216" t="str">
        <v>NO_ACREDITADO</v>
      </c>
      <c r="D16" s="216" t="str">
        <v>La conciliación de código anual no acredita vigencia de la etiqueta de plan</v>
      </c>
    </row>
    <row r="17" ht="48" customHeight="1">
      <c r="A17" s="216" t="str">
        <v>Gobernanza</v>
      </c>
      <c r="B17" s="2"/>
      <c r="C17" s="216" t="str">
        <v>PENDIENTE_APROBACION_GOBERNANZA</v>
      </c>
      <c r="D17" s="216" t="str">
        <v>Canon, tasas, denominadores y 13 gráficos preservados</v>
      </c>
    </row>
    <row r="18" ht="48" customHeight="1">
      <c r="A18" s="216" t="str">
        <v>Fuente de cifras</v>
      </c>
      <c r="B18" s="2"/>
      <c r="C18" s="216" t="str">
        <v>RESULTADO.json; detalle privado local</v>
      </c>
      <c r="D18" s="216" t="str">
        <v>Sin enlaces automáticos al archivo privado</v>
      </c>
    </row>
    <row r="19" ht="48" customHeight="1">
      <c r="A19" s="216" t="str">
        <v>Pendiente T3 heredado</v>
      </c>
      <c r="B19" s="2"/>
      <c r="C19" s="216" t="str">
        <v>Conservado</v>
      </c>
      <c r="D19" s="216" t="str">
        <v>Desfase previo entre tasa almacenada y cociente; no corregido en esta tarea</v>
      </c>
    </row>
  </sheetData>
  <pageMargins left="0.7" right="0.7" top="0.75" bottom="0.75" header="0.3" footer="0.3"/>
</worksheet>
</file>

<file path=xl/worksheets/sheet42.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22" hidden="0" customWidth="1"/>
    <col min="6" max="6" width="22" hidden="0" customWidth="1"/>
    <col min="7" max="7" width="22" hidden="0" customWidth="1"/>
  </cols>
  <sheetData>
    <row r="1" ht="32" customHeight="1">
      <c r="A1" s="219" t="str">
        <v>Desglose del mismo foco</v>
      </c>
      <c r="B1" s="5"/>
      <c r="C1" s="5"/>
      <c r="D1" s="5"/>
      <c r="E1" s="5"/>
      <c r="F1" s="5"/>
      <c r="G1" s="5"/>
    </row>
    <row r="2" ht="32" customHeight="1">
      <c r="A2" s="216" t="str">
        <v>Personas por grupo no aditivas; observaciones reconciliables</v>
      </c>
      <c r="B2" s="2"/>
      <c r="C2" s="2"/>
      <c r="D2" s="2"/>
      <c r="E2" s="2"/>
      <c r="F2" s="2"/>
      <c r="G2" s="2"/>
    </row>
    <row r="3" ht="32" customHeight="1">
      <c r="A3" s="2"/>
      <c r="B3" s="2"/>
      <c r="C3" s="2"/>
      <c r="D3" s="2"/>
      <c r="E3" s="2"/>
      <c r="F3" s="2"/>
      <c r="G3" s="2"/>
    </row>
    <row r="4" ht="32" customHeight="1">
      <c r="A4" s="221" t="str">
        <v>Carrera</v>
      </c>
      <c r="B4" s="221" t="str">
        <v>Ano</v>
      </c>
      <c r="C4" s="221" t="str">
        <v>Jornada</v>
      </c>
      <c r="D4" s="221" t="str">
        <v>Observaciones</v>
      </c>
      <c r="E4" s="221" t="str">
        <v>Conciliadas_codigo</v>
      </c>
      <c r="F4" s="221" t="str">
        <v>Pendientes</v>
      </c>
      <c r="G4" s="221" t="str">
        <v>Personas_no_aditivas</v>
      </c>
    </row>
    <row r="5" ht="32" customHeight="1">
      <c r="A5" s="216" t="str">
        <v>ADMP</v>
      </c>
      <c r="B5" s="216" t="str">
        <v>2025</v>
      </c>
      <c r="C5" s="216" t="str">
        <v>4</v>
      </c>
      <c r="D5" s="216" t="n">
        <v>42</v>
      </c>
      <c r="E5" s="216" t="n">
        <v>0</v>
      </c>
      <c r="F5" s="216" t="n">
        <v>42</v>
      </c>
      <c r="G5" s="216" t="n">
        <v>35</v>
      </c>
    </row>
    <row r="6" ht="32" customHeight="1">
      <c r="A6" s="216" t="str">
        <v>ADMP</v>
      </c>
      <c r="B6" s="216" t="str">
        <v>2026</v>
      </c>
      <c r="C6" s="216" t="str">
        <v>4</v>
      </c>
      <c r="D6" s="216" t="n">
        <v>28</v>
      </c>
      <c r="E6" s="216" t="n">
        <v>0</v>
      </c>
      <c r="F6" s="216" t="n">
        <v>28</v>
      </c>
      <c r="G6" s="216" t="n">
        <v>22</v>
      </c>
    </row>
    <row r="7" ht="32" customHeight="1">
      <c r="A7" s="216" t="str">
        <v>AUDT</v>
      </c>
      <c r="B7" s="216" t="str">
        <v>2025</v>
      </c>
      <c r="C7" s="216" t="str">
        <v>4</v>
      </c>
      <c r="D7" s="216" t="n">
        <v>38</v>
      </c>
      <c r="E7" s="216" t="n">
        <v>0</v>
      </c>
      <c r="F7" s="216" t="n">
        <v>38</v>
      </c>
      <c r="G7" s="216" t="n">
        <v>22</v>
      </c>
    </row>
    <row r="8" ht="32" customHeight="1">
      <c r="A8" s="216" t="str">
        <v>AUDT</v>
      </c>
      <c r="B8" s="216" t="str">
        <v>2026</v>
      </c>
      <c r="C8" s="216" t="str">
        <v>4</v>
      </c>
      <c r="D8" s="216" t="n">
        <v>23</v>
      </c>
      <c r="E8" s="216" t="n">
        <v>0</v>
      </c>
      <c r="F8" s="216" t="n">
        <v>23</v>
      </c>
      <c r="G8" s="216" t="n">
        <v>14</v>
      </c>
    </row>
    <row r="9" ht="32" customHeight="1">
      <c r="A9" s="216" t="str">
        <v>IADM</v>
      </c>
      <c r="B9" s="216" t="str">
        <v>2024</v>
      </c>
      <c r="C9" s="216" t="str">
        <v>4</v>
      </c>
      <c r="D9" s="216" t="n">
        <v>34</v>
      </c>
      <c r="E9" s="216" t="n">
        <v>0</v>
      </c>
      <c r="F9" s="216" t="n">
        <v>34</v>
      </c>
      <c r="G9" s="216" t="n">
        <v>29</v>
      </c>
    </row>
    <row r="10" ht="32" customHeight="1">
      <c r="A10" s="216" t="str">
        <v>IADM</v>
      </c>
      <c r="B10" s="216" t="str">
        <v>2025</v>
      </c>
      <c r="C10" s="216" t="str">
        <v>4</v>
      </c>
      <c r="D10" s="216" t="n">
        <v>75</v>
      </c>
      <c r="E10" s="216" t="n">
        <v>0</v>
      </c>
      <c r="F10" s="216" t="n">
        <v>75</v>
      </c>
      <c r="G10" s="216" t="n">
        <v>56</v>
      </c>
    </row>
    <row r="11" ht="32" customHeight="1">
      <c r="A11" s="216" t="str">
        <v>IADM</v>
      </c>
      <c r="B11" s="216" t="str">
        <v>2026</v>
      </c>
      <c r="C11" s="216" t="str">
        <v>4</v>
      </c>
      <c r="D11" s="216" t="n">
        <v>107</v>
      </c>
      <c r="E11" s="216" t="n">
        <v>0</v>
      </c>
      <c r="F11" s="216" t="n">
        <v>107</v>
      </c>
      <c r="G11" s="216" t="n">
        <v>83</v>
      </c>
    </row>
    <row r="12" ht="32" customHeight="1">
      <c r="A12" s="216" t="str">
        <v>ICDA</v>
      </c>
      <c r="B12" s="216" t="str">
        <v>2025</v>
      </c>
      <c r="C12" s="216" t="str">
        <v>4</v>
      </c>
      <c r="D12" s="216" t="n">
        <v>4</v>
      </c>
      <c r="E12" s="216" t="n">
        <v>0</v>
      </c>
      <c r="F12" s="216" t="n">
        <v>4</v>
      </c>
      <c r="G12" s="216" t="n">
        <v>2</v>
      </c>
    </row>
    <row r="13" ht="32" customHeight="1">
      <c r="A13" s="216" t="str">
        <v>ICDA</v>
      </c>
      <c r="B13" s="216" t="str">
        <v>2026</v>
      </c>
      <c r="C13" s="216" t="str">
        <v>4</v>
      </c>
      <c r="D13" s="216" t="n">
        <v>7</v>
      </c>
      <c r="E13" s="216" t="n">
        <v>0</v>
      </c>
      <c r="F13" s="216" t="n">
        <v>7</v>
      </c>
      <c r="G13" s="216" t="n">
        <v>3</v>
      </c>
    </row>
    <row r="14" ht="32" customHeight="1">
      <c r="A14" s="216" t="str">
        <v>ICIB</v>
      </c>
      <c r="B14" s="216" t="str">
        <v>2019</v>
      </c>
      <c r="C14" s="216" t="str">
        <v>4</v>
      </c>
      <c r="D14" s="216" t="n">
        <v>2</v>
      </c>
      <c r="E14" s="216" t="n">
        <v>0</v>
      </c>
      <c r="F14" s="216" t="n">
        <v>2</v>
      </c>
      <c r="G14" s="216" t="n">
        <v>1</v>
      </c>
    </row>
    <row r="15" ht="32" customHeight="1">
      <c r="A15" s="216" t="str">
        <v>ICIB</v>
      </c>
      <c r="B15" s="216" t="str">
        <v>2020</v>
      </c>
      <c r="C15" s="216" t="str">
        <v>4</v>
      </c>
      <c r="D15" s="216" t="n">
        <v>2</v>
      </c>
      <c r="E15" s="216" t="n">
        <v>0</v>
      </c>
      <c r="F15" s="216" t="n">
        <v>2</v>
      </c>
      <c r="G15" s="216" t="n">
        <v>1</v>
      </c>
    </row>
    <row r="16" ht="32" customHeight="1">
      <c r="A16" s="216" t="str">
        <v>ICIB</v>
      </c>
      <c r="B16" s="216" t="str">
        <v>2021</v>
      </c>
      <c r="C16" s="216" t="str">
        <v>4</v>
      </c>
      <c r="D16" s="216" t="n">
        <v>2</v>
      </c>
      <c r="E16" s="216" t="n">
        <v>0</v>
      </c>
      <c r="F16" s="216" t="n">
        <v>2</v>
      </c>
      <c r="G16" s="216" t="n">
        <v>1</v>
      </c>
    </row>
    <row r="17" ht="32" customHeight="1">
      <c r="A17" s="216" t="str">
        <v>ICIB</v>
      </c>
      <c r="B17" s="216" t="str">
        <v>2023</v>
      </c>
      <c r="C17" s="216" t="str">
        <v>4</v>
      </c>
      <c r="D17" s="216" t="n">
        <v>1</v>
      </c>
      <c r="E17" s="216" t="n">
        <v>0</v>
      </c>
      <c r="F17" s="216" t="n">
        <v>1</v>
      </c>
      <c r="G17" s="216" t="n">
        <v>1</v>
      </c>
    </row>
    <row r="18" ht="32" customHeight="1">
      <c r="A18" s="216" t="str">
        <v>ICIB</v>
      </c>
      <c r="B18" s="216" t="str">
        <v>2024</v>
      </c>
      <c r="C18" s="216" t="str">
        <v>2</v>
      </c>
      <c r="D18" s="216" t="n">
        <v>23</v>
      </c>
      <c r="E18" s="216" t="n">
        <v>0</v>
      </c>
      <c r="F18" s="216" t="n">
        <v>23</v>
      </c>
      <c r="G18" s="216" t="n">
        <v>8</v>
      </c>
    </row>
    <row r="19" ht="32" customHeight="1">
      <c r="A19" s="216" t="str">
        <v>ICIB</v>
      </c>
      <c r="B19" s="216" t="str">
        <v>2024</v>
      </c>
      <c r="C19" s="216" t="str">
        <v>4</v>
      </c>
      <c r="D19" s="216" t="n">
        <v>78</v>
      </c>
      <c r="E19" s="216" t="n">
        <v>0</v>
      </c>
      <c r="F19" s="216" t="n">
        <v>78</v>
      </c>
      <c r="G19" s="216" t="n">
        <v>45</v>
      </c>
    </row>
    <row r="20" ht="32" customHeight="1">
      <c r="A20" s="216" t="str">
        <v>ICIB</v>
      </c>
      <c r="B20" s="216" t="str">
        <v>2025</v>
      </c>
      <c r="C20" s="216" t="str">
        <v>2</v>
      </c>
      <c r="D20" s="216" t="n">
        <v>25</v>
      </c>
      <c r="E20" s="216" t="n">
        <v>0</v>
      </c>
      <c r="F20" s="216" t="n">
        <v>25</v>
      </c>
      <c r="G20" s="216" t="n">
        <v>10</v>
      </c>
    </row>
    <row r="21" ht="32" customHeight="1">
      <c r="A21" s="216" t="str">
        <v>ICIB</v>
      </c>
      <c r="B21" s="216" t="str">
        <v>2025</v>
      </c>
      <c r="C21" s="216" t="str">
        <v>4</v>
      </c>
      <c r="D21" s="216" t="n">
        <v>95</v>
      </c>
      <c r="E21" s="216" t="n">
        <v>0</v>
      </c>
      <c r="F21" s="216" t="n">
        <v>95</v>
      </c>
      <c r="G21" s="216" t="n">
        <v>63</v>
      </c>
    </row>
    <row r="22" ht="32" customHeight="1">
      <c r="A22" s="216" t="str">
        <v>ICIB</v>
      </c>
      <c r="B22" s="216" t="str">
        <v>2026</v>
      </c>
      <c r="C22" s="216" t="str">
        <v>2</v>
      </c>
      <c r="D22" s="216" t="n">
        <v>6</v>
      </c>
      <c r="E22" s="216" t="n">
        <v>0</v>
      </c>
      <c r="F22" s="216" t="n">
        <v>6</v>
      </c>
      <c r="G22" s="216" t="n">
        <v>2</v>
      </c>
    </row>
    <row r="23" ht="32" customHeight="1">
      <c r="A23" s="216" t="str">
        <v>ICIB</v>
      </c>
      <c r="B23" s="216" t="str">
        <v>2026</v>
      </c>
      <c r="C23" s="216" t="str">
        <v>4</v>
      </c>
      <c r="D23" s="216" t="n">
        <v>112</v>
      </c>
      <c r="E23" s="216" t="n">
        <v>0</v>
      </c>
      <c r="F23" s="216" t="n">
        <v>112</v>
      </c>
      <c r="G23" s="216" t="n">
        <v>76</v>
      </c>
    </row>
    <row r="24" ht="32" customHeight="1">
      <c r="A24" s="216" t="str">
        <v>ICRE</v>
      </c>
      <c r="B24" s="216" t="str">
        <v>2023</v>
      </c>
      <c r="C24" s="216" t="str">
        <v>4</v>
      </c>
      <c r="D24" s="216" t="n">
        <v>1</v>
      </c>
      <c r="E24" s="216" t="n">
        <v>0</v>
      </c>
      <c r="F24" s="216" t="n">
        <v>1</v>
      </c>
      <c r="G24" s="216" t="n">
        <v>1</v>
      </c>
    </row>
    <row r="25" ht="32" customHeight="1">
      <c r="A25" s="216" t="str">
        <v>ICRE</v>
      </c>
      <c r="B25" s="216" t="str">
        <v>2024</v>
      </c>
      <c r="C25" s="216" t="str">
        <v>2</v>
      </c>
      <c r="D25" s="216" t="n">
        <v>3</v>
      </c>
      <c r="E25" s="216" t="n">
        <v>0</v>
      </c>
      <c r="F25" s="216" t="n">
        <v>3</v>
      </c>
      <c r="G25" s="216" t="n">
        <v>1</v>
      </c>
    </row>
    <row r="26" ht="32" customHeight="1">
      <c r="A26" s="216" t="str">
        <v>ICRE</v>
      </c>
      <c r="B26" s="216" t="str">
        <v>2024</v>
      </c>
      <c r="C26" s="216" t="str">
        <v>4</v>
      </c>
      <c r="D26" s="216" t="n">
        <v>39</v>
      </c>
      <c r="E26" s="216" t="n">
        <v>0</v>
      </c>
      <c r="F26" s="216" t="n">
        <v>39</v>
      </c>
      <c r="G26" s="216" t="n">
        <v>21</v>
      </c>
    </row>
    <row r="27" ht="32" customHeight="1">
      <c r="A27" s="216" t="str">
        <v>ICRE</v>
      </c>
      <c r="B27" s="216" t="str">
        <v>2025</v>
      </c>
      <c r="C27" s="216" t="str">
        <v>4</v>
      </c>
      <c r="D27" s="216" t="n">
        <v>14</v>
      </c>
      <c r="E27" s="216" t="n">
        <v>0</v>
      </c>
      <c r="F27" s="216" t="n">
        <v>14</v>
      </c>
      <c r="G27" s="216" t="n">
        <v>6</v>
      </c>
    </row>
    <row r="28" ht="32" customHeight="1">
      <c r="A28" s="216" t="str">
        <v>ICRE</v>
      </c>
      <c r="B28" s="216" t="str">
        <v>2026</v>
      </c>
      <c r="C28" s="216" t="str">
        <v>4</v>
      </c>
      <c r="D28" s="216" t="n">
        <v>4</v>
      </c>
      <c r="E28" s="216" t="n">
        <v>0</v>
      </c>
      <c r="F28" s="216" t="n">
        <v>4</v>
      </c>
      <c r="G28" s="216" t="n">
        <v>4</v>
      </c>
    </row>
    <row r="29" ht="32" customHeight="1">
      <c r="A29" s="216" t="str">
        <v>IECIRE</v>
      </c>
      <c r="B29" s="216" t="str">
        <v>2019</v>
      </c>
      <c r="C29" s="216" t="str">
        <v>1</v>
      </c>
      <c r="D29" s="216" t="n">
        <v>2</v>
      </c>
      <c r="E29" s="216" t="n">
        <v>2</v>
      </c>
      <c r="F29" s="216" t="n">
        <v>0</v>
      </c>
      <c r="G29" s="216" t="n">
        <v>2</v>
      </c>
    </row>
    <row r="30" ht="32" customHeight="1">
      <c r="A30" s="216" t="str">
        <v>IECIRE</v>
      </c>
      <c r="B30" s="216" t="str">
        <v>2019</v>
      </c>
      <c r="C30" s="216" t="str">
        <v>2</v>
      </c>
      <c r="D30" s="216" t="n">
        <v>77</v>
      </c>
      <c r="E30" s="216" t="n">
        <v>40</v>
      </c>
      <c r="F30" s="216" t="n">
        <v>37</v>
      </c>
      <c r="G30" s="216" t="n">
        <v>56</v>
      </c>
    </row>
    <row r="31" ht="32" customHeight="1">
      <c r="A31" s="216" t="str">
        <v>IECIRE</v>
      </c>
      <c r="B31" s="216" t="str">
        <v>2019</v>
      </c>
      <c r="C31" s="216" t="str">
        <v>4</v>
      </c>
      <c r="D31" s="216" t="n">
        <v>1</v>
      </c>
      <c r="E31" s="216" t="n">
        <v>0</v>
      </c>
      <c r="F31" s="216" t="n">
        <v>1</v>
      </c>
      <c r="G31" s="216" t="n">
        <v>1</v>
      </c>
    </row>
    <row r="32" ht="32" customHeight="1">
      <c r="A32" s="216" t="str">
        <v>IECIRE</v>
      </c>
      <c r="B32" s="216" t="str">
        <v>2020</v>
      </c>
      <c r="C32" s="216" t="str">
        <v>1</v>
      </c>
      <c r="D32" s="216" t="n">
        <v>4</v>
      </c>
      <c r="E32" s="216" t="n">
        <v>4</v>
      </c>
      <c r="F32" s="216" t="n">
        <v>0</v>
      </c>
      <c r="G32" s="216" t="n">
        <v>4</v>
      </c>
    </row>
    <row r="33" ht="32" customHeight="1">
      <c r="A33" s="216" t="str">
        <v>IECIRE</v>
      </c>
      <c r="B33" s="216" t="str">
        <v>2020</v>
      </c>
      <c r="C33" s="216" t="str">
        <v>2</v>
      </c>
      <c r="D33" s="216" t="n">
        <v>73</v>
      </c>
      <c r="E33" s="216" t="n">
        <v>49</v>
      </c>
      <c r="F33" s="216" t="n">
        <v>24</v>
      </c>
      <c r="G33" s="216" t="n">
        <v>52</v>
      </c>
    </row>
    <row r="34" ht="32" customHeight="1">
      <c r="A34" s="216" t="str">
        <v>IECIRE</v>
      </c>
      <c r="B34" s="216" t="str">
        <v>2021</v>
      </c>
      <c r="C34" s="216" t="str">
        <v>1</v>
      </c>
      <c r="D34" s="216" t="n">
        <v>12</v>
      </c>
      <c r="E34" s="216" t="n">
        <v>12</v>
      </c>
      <c r="F34" s="216" t="n">
        <v>0</v>
      </c>
      <c r="G34" s="216" t="n">
        <v>7</v>
      </c>
    </row>
    <row r="35" ht="32" customHeight="1">
      <c r="A35" s="216" t="str">
        <v>IECIRE</v>
      </c>
      <c r="B35" s="216" t="str">
        <v>2021</v>
      </c>
      <c r="C35" s="216" t="str">
        <v>2</v>
      </c>
      <c r="D35" s="216" t="n">
        <v>72</v>
      </c>
      <c r="E35" s="216" t="n">
        <v>57</v>
      </c>
      <c r="F35" s="216" t="n">
        <v>15</v>
      </c>
      <c r="G35" s="216" t="n">
        <v>43</v>
      </c>
    </row>
    <row r="36" ht="32" customHeight="1">
      <c r="A36" s="216" t="str">
        <v>IECIRE</v>
      </c>
      <c r="B36" s="216" t="str">
        <v>2022</v>
      </c>
      <c r="C36" s="216" t="str">
        <v>2</v>
      </c>
      <c r="D36" s="216" t="n">
        <v>11</v>
      </c>
      <c r="E36" s="216" t="n">
        <v>0</v>
      </c>
      <c r="F36" s="216" t="n">
        <v>11</v>
      </c>
      <c r="G36" s="216" t="n">
        <v>6</v>
      </c>
    </row>
    <row r="37" ht="32" customHeight="1">
      <c r="A37" s="216" t="str">
        <v>IECIRE</v>
      </c>
      <c r="B37" s="216" t="str">
        <v>2023</v>
      </c>
      <c r="C37" s="216" t="str">
        <v>2</v>
      </c>
      <c r="D37" s="216" t="n">
        <v>2</v>
      </c>
      <c r="E37" s="216" t="n">
        <v>0</v>
      </c>
      <c r="F37" s="216" t="n">
        <v>2</v>
      </c>
      <c r="G37" s="216" t="n">
        <v>2</v>
      </c>
    </row>
    <row r="38" ht="32" customHeight="1">
      <c r="A38" s="216" t="str">
        <v>IECIREOL</v>
      </c>
      <c r="B38" s="216" t="str">
        <v>2019</v>
      </c>
      <c r="C38" s="216" t="str">
        <v>4</v>
      </c>
      <c r="D38" s="216" t="n">
        <v>12</v>
      </c>
      <c r="E38" s="216" t="n">
        <v>7</v>
      </c>
      <c r="F38" s="216" t="n">
        <v>5</v>
      </c>
      <c r="G38" s="216" t="n">
        <v>9</v>
      </c>
    </row>
    <row r="39" ht="32" customHeight="1">
      <c r="A39" s="216" t="str">
        <v>IECIREOL</v>
      </c>
      <c r="B39" s="216" t="str">
        <v>2020</v>
      </c>
      <c r="C39" s="216" t="str">
        <v>4</v>
      </c>
      <c r="D39" s="216" t="n">
        <v>87</v>
      </c>
      <c r="E39" s="216" t="n">
        <v>72</v>
      </c>
      <c r="F39" s="216" t="n">
        <v>15</v>
      </c>
      <c r="G39" s="216" t="n">
        <v>44</v>
      </c>
    </row>
    <row r="40" ht="32" customHeight="1">
      <c r="A40" s="216" t="str">
        <v>IECIREOL</v>
      </c>
      <c r="B40" s="216" t="str">
        <v>2021</v>
      </c>
      <c r="C40" s="216" t="str">
        <v>4</v>
      </c>
      <c r="D40" s="216" t="n">
        <v>313</v>
      </c>
      <c r="E40" s="216" t="n">
        <v>295</v>
      </c>
      <c r="F40" s="216" t="n">
        <v>18</v>
      </c>
      <c r="G40" s="216" t="n">
        <v>92</v>
      </c>
    </row>
    <row r="41" ht="32" customHeight="1">
      <c r="A41" s="216" t="str">
        <v>IECIREOL</v>
      </c>
      <c r="B41" s="216" t="str">
        <v>2022</v>
      </c>
      <c r="C41" s="216" t="str">
        <v>4</v>
      </c>
      <c r="D41" s="216" t="n">
        <v>43</v>
      </c>
      <c r="E41" s="216" t="n">
        <v>3</v>
      </c>
      <c r="F41" s="216" t="n">
        <v>40</v>
      </c>
      <c r="G41" s="216" t="n">
        <v>20</v>
      </c>
    </row>
    <row r="42" ht="32" customHeight="1">
      <c r="A42" s="216" t="str">
        <v>IECIREOL</v>
      </c>
      <c r="B42" s="216" t="str">
        <v>2023</v>
      </c>
      <c r="C42" s="216" t="str">
        <v>4</v>
      </c>
      <c r="D42" s="216" t="n">
        <v>77</v>
      </c>
      <c r="E42" s="216" t="n">
        <v>0</v>
      </c>
      <c r="F42" s="216" t="n">
        <v>77</v>
      </c>
      <c r="G42" s="216" t="n">
        <v>31</v>
      </c>
    </row>
    <row r="43" ht="32" customHeight="1">
      <c r="A43" s="216" t="str">
        <v>IECIREOL</v>
      </c>
      <c r="B43" s="216" t="str">
        <v>2024</v>
      </c>
      <c r="C43" s="216" t="str">
        <v>4</v>
      </c>
      <c r="D43" s="216" t="n">
        <v>12</v>
      </c>
      <c r="E43" s="216" t="n">
        <v>0</v>
      </c>
      <c r="F43" s="216" t="n">
        <v>12</v>
      </c>
      <c r="G43" s="216" t="n">
        <v>7</v>
      </c>
    </row>
    <row r="44" ht="32" customHeight="1">
      <c r="A44" s="216" t="str">
        <v>IECIREOL</v>
      </c>
      <c r="B44" s="216" t="str">
        <v>2026</v>
      </c>
      <c r="C44" s="216" t="str">
        <v>4</v>
      </c>
      <c r="D44" s="216" t="n">
        <v>1</v>
      </c>
      <c r="E44" s="216" t="n">
        <v>0</v>
      </c>
      <c r="F44" s="216" t="n">
        <v>1</v>
      </c>
      <c r="G44" s="216" t="n">
        <v>1</v>
      </c>
    </row>
    <row r="45" ht="32" customHeight="1">
      <c r="A45" s="216" t="str">
        <v>IECSRE</v>
      </c>
      <c r="B45" s="216" t="str">
        <v>2020</v>
      </c>
      <c r="C45" s="216" t="str">
        <v>2</v>
      </c>
      <c r="D45" s="216" t="n">
        <v>12</v>
      </c>
      <c r="E45" s="216" t="n">
        <v>0</v>
      </c>
      <c r="F45" s="216" t="n">
        <v>12</v>
      </c>
      <c r="G45" s="216" t="n">
        <v>8</v>
      </c>
    </row>
    <row r="46" ht="32" customHeight="1">
      <c r="A46" s="216" t="str">
        <v>IECSRE</v>
      </c>
      <c r="B46" s="216" t="str">
        <v>2021</v>
      </c>
      <c r="C46" s="216" t="str">
        <v>2</v>
      </c>
      <c r="D46" s="216" t="n">
        <v>17</v>
      </c>
      <c r="E46" s="216" t="n">
        <v>0</v>
      </c>
      <c r="F46" s="216" t="n">
        <v>17</v>
      </c>
      <c r="G46" s="216" t="n">
        <v>9</v>
      </c>
    </row>
    <row r="47" ht="32" customHeight="1">
      <c r="A47" s="216" t="str">
        <v>IECSRE</v>
      </c>
      <c r="B47" s="216" t="str">
        <v>2022</v>
      </c>
      <c r="C47" s="216" t="str">
        <v>2</v>
      </c>
      <c r="D47" s="216" t="n">
        <v>16</v>
      </c>
      <c r="E47" s="216" t="n">
        <v>0</v>
      </c>
      <c r="F47" s="216" t="n">
        <v>16</v>
      </c>
      <c r="G47" s="216" t="n">
        <v>9</v>
      </c>
    </row>
    <row r="48" ht="32" customHeight="1">
      <c r="A48" s="216" t="str">
        <v>IECSRE</v>
      </c>
      <c r="B48" s="216" t="str">
        <v>2023</v>
      </c>
      <c r="C48" s="216" t="str">
        <v>2</v>
      </c>
      <c r="D48" s="216" t="n">
        <v>5</v>
      </c>
      <c r="E48" s="216" t="n">
        <v>0</v>
      </c>
      <c r="F48" s="216" t="n">
        <v>5</v>
      </c>
      <c r="G48" s="216" t="n">
        <v>4</v>
      </c>
    </row>
    <row r="49" ht="32" customHeight="1">
      <c r="A49" s="216" t="str">
        <v>IECSRE</v>
      </c>
      <c r="B49" s="216" t="str">
        <v>2025</v>
      </c>
      <c r="C49" s="216" t="str">
        <v>2</v>
      </c>
      <c r="D49" s="216" t="n">
        <v>1</v>
      </c>
      <c r="E49" s="216" t="n">
        <v>0</v>
      </c>
      <c r="F49" s="216" t="n">
        <v>1</v>
      </c>
      <c r="G49" s="216" t="n">
        <v>1</v>
      </c>
    </row>
    <row r="50" ht="32" customHeight="1">
      <c r="A50" s="216" t="str">
        <v>IECSREOL</v>
      </c>
      <c r="B50" s="216" t="str">
        <v>2020</v>
      </c>
      <c r="C50" s="216" t="str">
        <v>4</v>
      </c>
      <c r="D50" s="216" t="n">
        <v>8</v>
      </c>
      <c r="E50" s="216" t="n">
        <v>0</v>
      </c>
      <c r="F50" s="216" t="n">
        <v>8</v>
      </c>
      <c r="G50" s="216" t="n">
        <v>8</v>
      </c>
    </row>
    <row r="51" ht="32" customHeight="1">
      <c r="A51" s="216" t="str">
        <v>IECSREOL</v>
      </c>
      <c r="B51" s="216" t="str">
        <v>2021</v>
      </c>
      <c r="C51" s="216" t="str">
        <v>4</v>
      </c>
      <c r="D51" s="216" t="n">
        <v>150</v>
      </c>
      <c r="E51" s="216" t="n">
        <v>142</v>
      </c>
      <c r="F51" s="216" t="n">
        <v>8</v>
      </c>
      <c r="G51" s="216" t="n">
        <v>56</v>
      </c>
    </row>
    <row r="52" ht="32" customHeight="1">
      <c r="A52" s="216" t="str">
        <v>IECSREOL</v>
      </c>
      <c r="B52" s="216" t="str">
        <v>2022</v>
      </c>
      <c r="C52" s="216" t="str">
        <v>4</v>
      </c>
      <c r="D52" s="216" t="n">
        <v>42</v>
      </c>
      <c r="E52" s="216" t="n">
        <v>0</v>
      </c>
      <c r="F52" s="216" t="n">
        <v>42</v>
      </c>
      <c r="G52" s="216" t="n">
        <v>26</v>
      </c>
    </row>
    <row r="53" ht="32" customHeight="1">
      <c r="A53" s="216" t="str">
        <v>IECSREOL</v>
      </c>
      <c r="B53" s="216" t="str">
        <v>2023</v>
      </c>
      <c r="C53" s="216" t="str">
        <v>4</v>
      </c>
      <c r="D53" s="216" t="n">
        <v>40</v>
      </c>
      <c r="E53" s="216" t="n">
        <v>0</v>
      </c>
      <c r="F53" s="216" t="n">
        <v>40</v>
      </c>
      <c r="G53" s="216" t="n">
        <v>25</v>
      </c>
    </row>
    <row r="54" ht="32" customHeight="1">
      <c r="A54" s="216" t="str">
        <v>IECSREOL</v>
      </c>
      <c r="B54" s="216" t="str">
        <v>2024</v>
      </c>
      <c r="C54" s="216" t="str">
        <v>4</v>
      </c>
      <c r="D54" s="216" t="n">
        <v>5</v>
      </c>
      <c r="E54" s="216" t="n">
        <v>5</v>
      </c>
      <c r="F54" s="216" t="n">
        <v>0</v>
      </c>
      <c r="G54" s="216" t="n">
        <v>1</v>
      </c>
    </row>
    <row r="55" ht="32" customHeight="1">
      <c r="A55" s="216" t="str">
        <v>IEMORE</v>
      </c>
      <c r="B55" s="216" t="str">
        <v>2019</v>
      </c>
      <c r="C55" s="216" t="str">
        <v>2</v>
      </c>
      <c r="D55" s="216" t="n">
        <v>1</v>
      </c>
      <c r="E55" s="216" t="n">
        <v>0</v>
      </c>
      <c r="F55" s="216" t="n">
        <v>1</v>
      </c>
      <c r="G55" s="216" t="n">
        <v>1</v>
      </c>
    </row>
    <row r="56" ht="32" customHeight="1">
      <c r="A56" s="216" t="str">
        <v>IEMORE</v>
      </c>
      <c r="B56" s="216" t="str">
        <v>2020</v>
      </c>
      <c r="C56" s="216" t="str">
        <v>2</v>
      </c>
      <c r="D56" s="216" t="n">
        <v>12</v>
      </c>
      <c r="E56" s="216" t="n">
        <v>12</v>
      </c>
      <c r="F56" s="216" t="n">
        <v>0</v>
      </c>
      <c r="G56" s="216" t="n">
        <v>6</v>
      </c>
    </row>
    <row r="57" ht="32" customHeight="1">
      <c r="A57" s="216" t="str">
        <v>IEMORE</v>
      </c>
      <c r="B57" s="216" t="str">
        <v>2021</v>
      </c>
      <c r="C57" s="216" t="str">
        <v>2</v>
      </c>
      <c r="D57" s="216" t="n">
        <v>13</v>
      </c>
      <c r="E57" s="216" t="n">
        <v>12</v>
      </c>
      <c r="F57" s="216" t="n">
        <v>1</v>
      </c>
      <c r="G57" s="216" t="n">
        <v>7</v>
      </c>
    </row>
    <row r="58" ht="32" customHeight="1">
      <c r="A58" s="216" t="str">
        <v>IETMRE</v>
      </c>
      <c r="B58" s="216" t="str">
        <v>2019</v>
      </c>
      <c r="C58" s="216" t="str">
        <v>2</v>
      </c>
      <c r="D58" s="216" t="n">
        <v>54</v>
      </c>
      <c r="E58" s="216" t="n">
        <v>51</v>
      </c>
      <c r="F58" s="216" t="n">
        <v>3</v>
      </c>
      <c r="G58" s="216" t="n">
        <v>39</v>
      </c>
    </row>
    <row r="59" ht="32" customHeight="1">
      <c r="A59" s="216" t="str">
        <v>IETMRE</v>
      </c>
      <c r="B59" s="216" t="str">
        <v>2020</v>
      </c>
      <c r="C59" s="216" t="str">
        <v>2</v>
      </c>
      <c r="D59" s="216" t="n">
        <v>60</v>
      </c>
      <c r="E59" s="216" t="n">
        <v>49</v>
      </c>
      <c r="F59" s="216" t="n">
        <v>11</v>
      </c>
      <c r="G59" s="216" t="n">
        <v>43</v>
      </c>
    </row>
    <row r="60" ht="32" customHeight="1">
      <c r="A60" s="216" t="str">
        <v>IETMRE</v>
      </c>
      <c r="B60" s="216" t="str">
        <v>2020</v>
      </c>
      <c r="C60" s="216" t="str">
        <v>4</v>
      </c>
      <c r="D60" s="216" t="n">
        <v>2</v>
      </c>
      <c r="E60" s="216" t="n">
        <v>0</v>
      </c>
      <c r="F60" s="216" t="n">
        <v>2</v>
      </c>
      <c r="G60" s="216" t="n">
        <v>1</v>
      </c>
    </row>
    <row r="61" ht="32" customHeight="1">
      <c r="A61" s="216" t="str">
        <v>IETMRE</v>
      </c>
      <c r="B61" s="216" t="str">
        <v>2021</v>
      </c>
      <c r="C61" s="216" t="str">
        <v>2</v>
      </c>
      <c r="D61" s="216" t="n">
        <v>87</v>
      </c>
      <c r="E61" s="216" t="n">
        <v>86</v>
      </c>
      <c r="F61" s="216" t="n">
        <v>1</v>
      </c>
      <c r="G61" s="216" t="n">
        <v>45</v>
      </c>
    </row>
    <row r="62" ht="32" customHeight="1">
      <c r="A62" s="216" t="str">
        <v>IETMRE</v>
      </c>
      <c r="B62" s="216" t="str">
        <v>2025</v>
      </c>
      <c r="C62" s="216" t="str">
        <v>2</v>
      </c>
      <c r="D62" s="216" t="n">
        <v>3</v>
      </c>
      <c r="E62" s="216" t="n">
        <v>1</v>
      </c>
      <c r="F62" s="216" t="n">
        <v>2</v>
      </c>
      <c r="G62" s="216" t="n">
        <v>3</v>
      </c>
    </row>
    <row r="63" ht="32" customHeight="1">
      <c r="A63" s="216" t="str">
        <v>IETMREOL</v>
      </c>
      <c r="B63" s="216" t="str">
        <v>2019</v>
      </c>
      <c r="C63" s="216" t="str">
        <v>4</v>
      </c>
      <c r="D63" s="216" t="n">
        <v>4</v>
      </c>
      <c r="E63" s="216" t="n">
        <v>3</v>
      </c>
      <c r="F63" s="216" t="n">
        <v>1</v>
      </c>
      <c r="G63" s="216" t="n">
        <v>4</v>
      </c>
    </row>
    <row r="64" ht="32" customHeight="1">
      <c r="A64" s="216" t="str">
        <v>IETMREOL</v>
      </c>
      <c r="B64" s="216" t="str">
        <v>2020</v>
      </c>
      <c r="C64" s="216" t="str">
        <v>4</v>
      </c>
      <c r="D64" s="216" t="n">
        <v>19</v>
      </c>
      <c r="E64" s="216" t="n">
        <v>15</v>
      </c>
      <c r="F64" s="216" t="n">
        <v>4</v>
      </c>
      <c r="G64" s="216" t="n">
        <v>16</v>
      </c>
    </row>
    <row r="65" ht="32" customHeight="1">
      <c r="A65" s="216" t="str">
        <v>IETMREOL</v>
      </c>
      <c r="B65" s="216" t="str">
        <v>2021</v>
      </c>
      <c r="C65" s="216" t="str">
        <v>4</v>
      </c>
      <c r="D65" s="216" t="n">
        <v>304</v>
      </c>
      <c r="E65" s="216" t="n">
        <v>270</v>
      </c>
      <c r="F65" s="216" t="n">
        <v>34</v>
      </c>
      <c r="G65" s="216" t="n">
        <v>96</v>
      </c>
    </row>
    <row r="66" ht="32" customHeight="1">
      <c r="A66" s="216" t="str">
        <v>IETMREOL</v>
      </c>
      <c r="B66" s="216" t="str">
        <v>2022</v>
      </c>
      <c r="C66" s="216" t="str">
        <v>4</v>
      </c>
      <c r="D66" s="216" t="n">
        <v>95</v>
      </c>
      <c r="E66" s="216" t="n">
        <v>13</v>
      </c>
      <c r="F66" s="216" t="n">
        <v>82</v>
      </c>
      <c r="G66" s="216" t="n">
        <v>39</v>
      </c>
    </row>
    <row r="67" ht="32" customHeight="1">
      <c r="A67" s="216" t="str">
        <v>IETMREOL</v>
      </c>
      <c r="B67" s="216" t="str">
        <v>2023</v>
      </c>
      <c r="C67" s="216" t="str">
        <v>4</v>
      </c>
      <c r="D67" s="216" t="n">
        <v>66</v>
      </c>
      <c r="E67" s="216" t="n">
        <v>0</v>
      </c>
      <c r="F67" s="216" t="n">
        <v>66</v>
      </c>
      <c r="G67" s="216" t="n">
        <v>28</v>
      </c>
    </row>
    <row r="68" ht="32" customHeight="1">
      <c r="A68" s="216" t="str">
        <v>IETMREOL</v>
      </c>
      <c r="B68" s="216" t="str">
        <v>2024</v>
      </c>
      <c r="C68" s="216" t="str">
        <v>4</v>
      </c>
      <c r="D68" s="216" t="n">
        <v>11</v>
      </c>
      <c r="E68" s="216" t="n">
        <v>0</v>
      </c>
      <c r="F68" s="216" t="n">
        <v>11</v>
      </c>
      <c r="G68" s="216" t="n">
        <v>6</v>
      </c>
    </row>
    <row r="69" ht="32" customHeight="1">
      <c r="A69" s="216" t="str">
        <v>IETMREOL</v>
      </c>
      <c r="B69" s="216" t="str">
        <v>2025</v>
      </c>
      <c r="C69" s="216" t="str">
        <v>4</v>
      </c>
      <c r="D69" s="216" t="n">
        <v>7</v>
      </c>
      <c r="E69" s="216" t="n">
        <v>0</v>
      </c>
      <c r="F69" s="216" t="n">
        <v>7</v>
      </c>
      <c r="G69" s="216" t="n">
        <v>4</v>
      </c>
    </row>
    <row r="70" ht="32" customHeight="1">
      <c r="A70" s="216" t="str">
        <v>IFIN</v>
      </c>
      <c r="B70" s="216" t="str">
        <v>2026</v>
      </c>
      <c r="C70" s="216" t="str">
        <v>4</v>
      </c>
      <c r="D70" s="216" t="n">
        <v>1</v>
      </c>
      <c r="E70" s="216" t="n">
        <v>0</v>
      </c>
      <c r="F70" s="216" t="n">
        <v>1</v>
      </c>
      <c r="G70" s="216" t="n">
        <v>1</v>
      </c>
    </row>
    <row r="71" ht="32" customHeight="1">
      <c r="A71" s="216" t="str">
        <v>IIND</v>
      </c>
      <c r="B71" s="216" t="str">
        <v>2025</v>
      </c>
      <c r="C71" s="216" t="str">
        <v>4</v>
      </c>
      <c r="D71" s="216" t="n">
        <v>52</v>
      </c>
      <c r="E71" s="216" t="n">
        <v>0</v>
      </c>
      <c r="F71" s="216" t="n">
        <v>52</v>
      </c>
      <c r="G71" s="216" t="n">
        <v>40</v>
      </c>
    </row>
    <row r="72" ht="32" customHeight="1">
      <c r="A72" s="216" t="str">
        <v>IIND</v>
      </c>
      <c r="B72" s="216" t="str">
        <v>2026</v>
      </c>
      <c r="C72" s="216" t="str">
        <v>4</v>
      </c>
      <c r="D72" s="216" t="n">
        <v>84</v>
      </c>
      <c r="E72" s="216" t="n">
        <v>0</v>
      </c>
      <c r="F72" s="216" t="n">
        <v>84</v>
      </c>
      <c r="G72" s="216" t="n">
        <v>70</v>
      </c>
    </row>
    <row r="73" ht="32" customHeight="1">
      <c r="A73" s="216" t="str">
        <v>IINF</v>
      </c>
      <c r="B73" s="216" t="str">
        <v>2020</v>
      </c>
      <c r="C73" s="216" t="str">
        <v>4</v>
      </c>
      <c r="D73" s="216" t="n">
        <v>2</v>
      </c>
      <c r="E73" s="216" t="n">
        <v>0</v>
      </c>
      <c r="F73" s="216" t="n">
        <v>2</v>
      </c>
      <c r="G73" s="216" t="n">
        <v>1</v>
      </c>
    </row>
    <row r="74" ht="32" customHeight="1">
      <c r="A74" s="216" t="str">
        <v>IINF</v>
      </c>
      <c r="B74" s="216" t="str">
        <v>2021</v>
      </c>
      <c r="C74" s="216" t="str">
        <v>4</v>
      </c>
      <c r="D74" s="216" t="n">
        <v>2</v>
      </c>
      <c r="E74" s="216" t="n">
        <v>0</v>
      </c>
      <c r="F74" s="216" t="n">
        <v>2</v>
      </c>
      <c r="G74" s="216" t="n">
        <v>1</v>
      </c>
    </row>
    <row r="75" ht="32" customHeight="1">
      <c r="A75" s="216" t="str">
        <v>IINF</v>
      </c>
      <c r="B75" s="216" t="str">
        <v>2022</v>
      </c>
      <c r="C75" s="216" t="str">
        <v>4</v>
      </c>
      <c r="D75" s="216" t="n">
        <v>1</v>
      </c>
      <c r="E75" s="216" t="n">
        <v>0</v>
      </c>
      <c r="F75" s="216" t="n">
        <v>1</v>
      </c>
      <c r="G75" s="216" t="n">
        <v>1</v>
      </c>
    </row>
    <row r="76" ht="32" customHeight="1">
      <c r="A76" s="216" t="str">
        <v>IINF</v>
      </c>
      <c r="B76" s="216" t="str">
        <v>2023</v>
      </c>
      <c r="C76" s="216" t="str">
        <v>4</v>
      </c>
      <c r="D76" s="216" t="n">
        <v>9</v>
      </c>
      <c r="E76" s="216" t="n">
        <v>0</v>
      </c>
      <c r="F76" s="216" t="n">
        <v>9</v>
      </c>
      <c r="G76" s="216" t="n">
        <v>4</v>
      </c>
    </row>
    <row r="77" ht="32" customHeight="1">
      <c r="A77" s="216" t="str">
        <v>IINF</v>
      </c>
      <c r="B77" s="216" t="str">
        <v>2024</v>
      </c>
      <c r="C77" s="216" t="str">
        <v>1</v>
      </c>
      <c r="D77" s="216" t="n">
        <v>6</v>
      </c>
      <c r="E77" s="216" t="n">
        <v>0</v>
      </c>
      <c r="F77" s="216" t="n">
        <v>6</v>
      </c>
      <c r="G77" s="216" t="n">
        <v>2</v>
      </c>
    </row>
    <row r="78" ht="32" customHeight="1">
      <c r="A78" s="216" t="str">
        <v>IINF</v>
      </c>
      <c r="B78" s="216" t="str">
        <v>2024</v>
      </c>
      <c r="C78" s="216" t="str">
        <v>2</v>
      </c>
      <c r="D78" s="216" t="n">
        <v>3</v>
      </c>
      <c r="E78" s="216" t="n">
        <v>0</v>
      </c>
      <c r="F78" s="216" t="n">
        <v>3</v>
      </c>
      <c r="G78" s="216" t="n">
        <v>1</v>
      </c>
    </row>
    <row r="79" ht="32" customHeight="1">
      <c r="A79" s="216" t="str">
        <v>IINF</v>
      </c>
      <c r="B79" s="216" t="str">
        <v>2024</v>
      </c>
      <c r="C79" s="216" t="str">
        <v>4</v>
      </c>
      <c r="D79" s="216" t="n">
        <v>73</v>
      </c>
      <c r="E79" s="216" t="n">
        <v>3</v>
      </c>
      <c r="F79" s="216" t="n">
        <v>70</v>
      </c>
      <c r="G79" s="216" t="n">
        <v>39</v>
      </c>
    </row>
    <row r="80" ht="32" customHeight="1">
      <c r="A80" s="216" t="str">
        <v>IINF</v>
      </c>
      <c r="B80" s="216" t="str">
        <v>2025</v>
      </c>
      <c r="C80" s="216" t="str">
        <v>1</v>
      </c>
      <c r="D80" s="216" t="n">
        <v>12</v>
      </c>
      <c r="E80" s="216" t="n">
        <v>0</v>
      </c>
      <c r="F80" s="216" t="n">
        <v>12</v>
      </c>
      <c r="G80" s="216" t="n">
        <v>4</v>
      </c>
    </row>
    <row r="81" ht="32" customHeight="1">
      <c r="A81" s="216" t="str">
        <v>IINF</v>
      </c>
      <c r="B81" s="216" t="str">
        <v>2025</v>
      </c>
      <c r="C81" s="216" t="str">
        <v>2</v>
      </c>
      <c r="D81" s="216" t="n">
        <v>7</v>
      </c>
      <c r="E81" s="216" t="n">
        <v>0</v>
      </c>
      <c r="F81" s="216" t="n">
        <v>7</v>
      </c>
      <c r="G81" s="216" t="n">
        <v>3</v>
      </c>
    </row>
    <row r="82" ht="32" customHeight="1">
      <c r="A82" s="216" t="str">
        <v>IINF</v>
      </c>
      <c r="B82" s="216" t="str">
        <v>2025</v>
      </c>
      <c r="C82" s="216" t="str">
        <v>4</v>
      </c>
      <c r="D82" s="216" t="n">
        <v>117</v>
      </c>
      <c r="E82" s="216" t="n">
        <v>0</v>
      </c>
      <c r="F82" s="216" t="n">
        <v>117</v>
      </c>
      <c r="G82" s="216" t="n">
        <v>66</v>
      </c>
    </row>
    <row r="83" ht="32" customHeight="1">
      <c r="A83" s="216" t="str">
        <v>IINF</v>
      </c>
      <c r="B83" s="216" t="str">
        <v>2026</v>
      </c>
      <c r="C83" s="216" t="str">
        <v>1</v>
      </c>
      <c r="D83" s="216" t="n">
        <v>14</v>
      </c>
      <c r="E83" s="216" t="n">
        <v>0</v>
      </c>
      <c r="F83" s="216" t="n">
        <v>14</v>
      </c>
      <c r="G83" s="216" t="n">
        <v>5</v>
      </c>
    </row>
    <row r="84" ht="32" customHeight="1">
      <c r="A84" s="216" t="str">
        <v>IINF</v>
      </c>
      <c r="B84" s="216" t="str">
        <v>2026</v>
      </c>
      <c r="C84" s="216" t="str">
        <v>2</v>
      </c>
      <c r="D84" s="216" t="n">
        <v>3</v>
      </c>
      <c r="E84" s="216" t="n">
        <v>0</v>
      </c>
      <c r="F84" s="216" t="n">
        <v>3</v>
      </c>
      <c r="G84" s="216" t="n">
        <v>1</v>
      </c>
    </row>
    <row r="85" ht="32" customHeight="1">
      <c r="A85" s="216" t="str">
        <v>IINF</v>
      </c>
      <c r="B85" s="216" t="str">
        <v>2026</v>
      </c>
      <c r="C85" s="216" t="str">
        <v>4</v>
      </c>
      <c r="D85" s="216" t="n">
        <v>94</v>
      </c>
      <c r="E85" s="216" t="n">
        <v>0</v>
      </c>
      <c r="F85" s="216" t="n">
        <v>94</v>
      </c>
      <c r="G85" s="216" t="n">
        <v>67</v>
      </c>
    </row>
    <row r="86" ht="32" customHeight="1">
      <c r="A86" s="216" t="str">
        <v>ILOG</v>
      </c>
      <c r="B86" s="216" t="str">
        <v>2024</v>
      </c>
      <c r="C86" s="216" t="str">
        <v>4</v>
      </c>
      <c r="D86" s="216" t="n">
        <v>5</v>
      </c>
      <c r="E86" s="216" t="n">
        <v>0</v>
      </c>
      <c r="F86" s="216" t="n">
        <v>5</v>
      </c>
      <c r="G86" s="216" t="n">
        <v>2</v>
      </c>
    </row>
    <row r="87" ht="32" customHeight="1">
      <c r="A87" s="216" t="str">
        <v>ILOG</v>
      </c>
      <c r="B87" s="216" t="str">
        <v>2025</v>
      </c>
      <c r="C87" s="216" t="str">
        <v>4</v>
      </c>
      <c r="D87" s="216" t="n">
        <v>56</v>
      </c>
      <c r="E87" s="216" t="n">
        <v>0</v>
      </c>
      <c r="F87" s="216" t="n">
        <v>56</v>
      </c>
      <c r="G87" s="216" t="n">
        <v>36</v>
      </c>
    </row>
    <row r="88" ht="32" customHeight="1">
      <c r="A88" s="216" t="str">
        <v>ILOG</v>
      </c>
      <c r="B88" s="216" t="str">
        <v>2026</v>
      </c>
      <c r="C88" s="216" t="str">
        <v>4</v>
      </c>
      <c r="D88" s="216" t="n">
        <v>90</v>
      </c>
      <c r="E88" s="216" t="n">
        <v>0</v>
      </c>
      <c r="F88" s="216" t="n">
        <v>90</v>
      </c>
      <c r="G88" s="216" t="n">
        <v>70</v>
      </c>
    </row>
    <row r="89" ht="32" customHeight="1">
      <c r="A89" s="216" t="str">
        <v>IMDI</v>
      </c>
      <c r="B89" s="216" t="str">
        <v>2025</v>
      </c>
      <c r="C89" s="216" t="str">
        <v>4</v>
      </c>
      <c r="D89" s="216" t="n">
        <v>1</v>
      </c>
      <c r="E89" s="216" t="n">
        <v>0</v>
      </c>
      <c r="F89" s="216" t="n">
        <v>1</v>
      </c>
      <c r="G89" s="216" t="n">
        <v>1</v>
      </c>
    </row>
    <row r="90" ht="32" customHeight="1">
      <c r="A90" s="216" t="str">
        <v>IMDI</v>
      </c>
      <c r="B90" s="216" t="str">
        <v>2026</v>
      </c>
      <c r="C90" s="216" t="str">
        <v>4</v>
      </c>
      <c r="D90" s="216" t="n">
        <v>99</v>
      </c>
      <c r="E90" s="216" t="n">
        <v>0</v>
      </c>
      <c r="F90" s="216" t="n">
        <v>99</v>
      </c>
      <c r="G90" s="216" t="n">
        <v>72</v>
      </c>
    </row>
    <row r="91" ht="32" customHeight="1">
      <c r="A91" s="216" t="str">
        <v>IRHU</v>
      </c>
      <c r="B91" s="216" t="str">
        <v>2026</v>
      </c>
      <c r="C91" s="216" t="str">
        <v>4</v>
      </c>
      <c r="D91" s="216" t="n">
        <v>14</v>
      </c>
      <c r="E91" s="216" t="n">
        <v>0</v>
      </c>
      <c r="F91" s="216" t="n">
        <v>14</v>
      </c>
      <c r="G91" s="216" t="n">
        <v>10</v>
      </c>
    </row>
    <row r="92" ht="32" customHeight="1">
      <c r="A92" s="216" t="str">
        <v>ISEP</v>
      </c>
      <c r="B92" s="216" t="str">
        <v>2026</v>
      </c>
      <c r="C92" s="216" t="str">
        <v>4</v>
      </c>
      <c r="D92" s="216" t="n">
        <v>2</v>
      </c>
      <c r="E92" s="216" t="n">
        <v>0</v>
      </c>
      <c r="F92" s="216" t="n">
        <v>2</v>
      </c>
      <c r="G92" s="216" t="n">
        <v>2</v>
      </c>
    </row>
    <row r="93" ht="32" customHeight="1">
      <c r="A93" s="216" t="str">
        <v>NATP</v>
      </c>
      <c r="B93" s="216" t="str">
        <v>2026</v>
      </c>
      <c r="C93" s="216" t="str">
        <v>2</v>
      </c>
      <c r="D93" s="216" t="n">
        <v>3</v>
      </c>
      <c r="E93" s="216" t="n">
        <v>0</v>
      </c>
      <c r="F93" s="216" t="n">
        <v>3</v>
      </c>
      <c r="G93" s="216" t="n">
        <v>3</v>
      </c>
    </row>
    <row r="94" ht="32" customHeight="1">
      <c r="A94" s="216" t="str">
        <v>NCONRE</v>
      </c>
      <c r="B94" s="216" t="str">
        <v>2019</v>
      </c>
      <c r="C94" s="216" t="str">
        <v>4</v>
      </c>
      <c r="D94" s="216" t="n">
        <v>4</v>
      </c>
      <c r="E94" s="216" t="n">
        <v>0</v>
      </c>
      <c r="F94" s="216" t="n">
        <v>4</v>
      </c>
      <c r="G94" s="216" t="n">
        <v>2</v>
      </c>
    </row>
    <row r="95" ht="32" customHeight="1">
      <c r="A95" s="216" t="str">
        <v>NCONRE</v>
      </c>
      <c r="B95" s="216" t="str">
        <v>2020</v>
      </c>
      <c r="C95" s="216" t="str">
        <v>2</v>
      </c>
      <c r="D95" s="216" t="n">
        <v>2</v>
      </c>
      <c r="E95" s="216" t="n">
        <v>0</v>
      </c>
      <c r="F95" s="216" t="n">
        <v>2</v>
      </c>
      <c r="G95" s="216" t="n">
        <v>2</v>
      </c>
    </row>
    <row r="96" ht="32" customHeight="1">
      <c r="A96" s="216" t="str">
        <v>NCONRE</v>
      </c>
      <c r="B96" s="216" t="str">
        <v>2020</v>
      </c>
      <c r="C96" s="216" t="str">
        <v>4</v>
      </c>
      <c r="D96" s="216" t="n">
        <v>1</v>
      </c>
      <c r="E96" s="216" t="n">
        <v>0</v>
      </c>
      <c r="F96" s="216" t="n">
        <v>1</v>
      </c>
      <c r="G96" s="216" t="n">
        <v>1</v>
      </c>
    </row>
    <row r="97" ht="32" customHeight="1">
      <c r="A97" s="216" t="str">
        <v>NCONREOL</v>
      </c>
      <c r="B97" s="216" t="str">
        <v>2019</v>
      </c>
      <c r="C97" s="216" t="str">
        <v>4</v>
      </c>
      <c r="D97" s="216" t="n">
        <v>14</v>
      </c>
      <c r="E97" s="216" t="n">
        <v>11</v>
      </c>
      <c r="F97" s="216" t="n">
        <v>3</v>
      </c>
      <c r="G97" s="216" t="n">
        <v>14</v>
      </c>
    </row>
    <row r="98" ht="32" customHeight="1">
      <c r="A98" s="216" t="str">
        <v>NCONREOL</v>
      </c>
      <c r="B98" s="216" t="str">
        <v>2020</v>
      </c>
      <c r="C98" s="216" t="str">
        <v>4</v>
      </c>
      <c r="D98" s="216" t="n">
        <v>78</v>
      </c>
      <c r="E98" s="216" t="n">
        <v>75</v>
      </c>
      <c r="F98" s="216" t="n">
        <v>3</v>
      </c>
      <c r="G98" s="216" t="n">
        <v>49</v>
      </c>
    </row>
    <row r="99" ht="32" customHeight="1">
      <c r="A99" s="216" t="str">
        <v>NCONREOL</v>
      </c>
      <c r="B99" s="216" t="str">
        <v>2021</v>
      </c>
      <c r="C99" s="216" t="str">
        <v>4</v>
      </c>
      <c r="D99" s="216" t="n">
        <v>122</v>
      </c>
      <c r="E99" s="216" t="n">
        <v>122</v>
      </c>
      <c r="F99" s="216" t="n">
        <v>0</v>
      </c>
      <c r="G99" s="216" t="n">
        <v>45</v>
      </c>
    </row>
    <row r="100" ht="32" customHeight="1">
      <c r="A100" s="216" t="str">
        <v>NICCRE</v>
      </c>
      <c r="B100" s="216" t="str">
        <v>2020</v>
      </c>
      <c r="C100" s="216" t="str">
        <v>2</v>
      </c>
      <c r="D100" s="216" t="n">
        <v>1</v>
      </c>
      <c r="E100" s="216" t="n">
        <v>0</v>
      </c>
      <c r="F100" s="216" t="n">
        <v>1</v>
      </c>
      <c r="G100" s="216" t="n">
        <v>1</v>
      </c>
    </row>
    <row r="101" ht="32" customHeight="1">
      <c r="A101" s="216" t="str">
        <v>NINFRE</v>
      </c>
      <c r="B101" s="216" t="str">
        <v>2019</v>
      </c>
      <c r="C101" s="216" t="str">
        <v>2</v>
      </c>
      <c r="D101" s="216" t="n">
        <v>2</v>
      </c>
      <c r="E101" s="216" t="n">
        <v>0</v>
      </c>
      <c r="F101" s="216" t="n">
        <v>2</v>
      </c>
      <c r="G101" s="216" t="n">
        <v>1</v>
      </c>
    </row>
    <row r="102" ht="32" customHeight="1">
      <c r="A102" s="216" t="str">
        <v>NINFRE</v>
      </c>
      <c r="B102" s="216" t="str">
        <v>2020</v>
      </c>
      <c r="C102" s="216" t="str">
        <v>2</v>
      </c>
      <c r="D102" s="216" t="n">
        <v>1</v>
      </c>
      <c r="E102" s="216" t="n">
        <v>0</v>
      </c>
      <c r="F102" s="216" t="n">
        <v>1</v>
      </c>
      <c r="G102" s="216" t="n">
        <v>1</v>
      </c>
    </row>
    <row r="103" ht="32" customHeight="1">
      <c r="A103" s="216" t="str">
        <v>NTCCRE</v>
      </c>
      <c r="B103" s="216" t="str">
        <v>2019</v>
      </c>
      <c r="C103" s="216" t="str">
        <v>2</v>
      </c>
      <c r="D103" s="216" t="n">
        <v>50</v>
      </c>
      <c r="E103" s="216" t="n">
        <v>50</v>
      </c>
      <c r="F103" s="216" t="n">
        <v>0</v>
      </c>
      <c r="G103" s="216" t="n">
        <v>25</v>
      </c>
    </row>
    <row r="104" ht="32" customHeight="1">
      <c r="A104" s="216" t="str">
        <v>NTCCRE</v>
      </c>
      <c r="B104" s="216" t="str">
        <v>2020</v>
      </c>
      <c r="C104" s="216" t="str">
        <v>2</v>
      </c>
      <c r="D104" s="216" t="n">
        <v>61</v>
      </c>
      <c r="E104" s="216" t="n">
        <v>61</v>
      </c>
      <c r="F104" s="216" t="n">
        <v>0</v>
      </c>
      <c r="G104" s="216" t="n">
        <v>40</v>
      </c>
    </row>
    <row r="105" ht="32" customHeight="1">
      <c r="A105" s="216" t="str">
        <v>NTCCRE</v>
      </c>
      <c r="B105" s="216" t="str">
        <v>2021</v>
      </c>
      <c r="C105" s="216" t="str">
        <v>2</v>
      </c>
      <c r="D105" s="216" t="n">
        <v>60</v>
      </c>
      <c r="E105" s="216" t="n">
        <v>60</v>
      </c>
      <c r="F105" s="216" t="n">
        <v>0</v>
      </c>
      <c r="G105" s="216" t="n">
        <v>40</v>
      </c>
    </row>
    <row r="106" ht="32" customHeight="1">
      <c r="A106" s="216" t="str">
        <v>NTCCREOL</v>
      </c>
      <c r="B106" s="216" t="str">
        <v>2020</v>
      </c>
      <c r="C106" s="216" t="str">
        <v>4</v>
      </c>
      <c r="D106" s="216" t="n">
        <v>24</v>
      </c>
      <c r="E106" s="216" t="n">
        <v>18</v>
      </c>
      <c r="F106" s="216" t="n">
        <v>6</v>
      </c>
      <c r="G106" s="216" t="n">
        <v>14</v>
      </c>
    </row>
    <row r="107" ht="32" customHeight="1">
      <c r="A107" s="216" t="str">
        <v>NTCCREOL</v>
      </c>
      <c r="B107" s="216" t="str">
        <v>2021</v>
      </c>
      <c r="C107" s="216" t="str">
        <v>4</v>
      </c>
      <c r="D107" s="216" t="n">
        <v>65</v>
      </c>
      <c r="E107" s="216" t="n">
        <v>65</v>
      </c>
      <c r="F107" s="216" t="n">
        <v>0</v>
      </c>
      <c r="G107" s="216" t="n">
        <v>19</v>
      </c>
    </row>
    <row r="108" ht="32" customHeight="1">
      <c r="A108" s="216" t="str">
        <v>TAMD</v>
      </c>
      <c r="B108" s="216" t="str">
        <v>2024</v>
      </c>
      <c r="C108" s="216" t="str">
        <v>4</v>
      </c>
      <c r="D108" s="216" t="n">
        <v>14</v>
      </c>
      <c r="E108" s="216" t="n">
        <v>0</v>
      </c>
      <c r="F108" s="216" t="n">
        <v>14</v>
      </c>
      <c r="G108" s="216" t="n">
        <v>7</v>
      </c>
    </row>
    <row r="109" ht="32" customHeight="1">
      <c r="A109" s="216" t="str">
        <v>TAMD</v>
      </c>
      <c r="B109" s="216" t="str">
        <v>2025</v>
      </c>
      <c r="C109" s="216" t="str">
        <v>2</v>
      </c>
      <c r="D109" s="216" t="n">
        <v>6</v>
      </c>
      <c r="E109" s="216" t="n">
        <v>0</v>
      </c>
      <c r="F109" s="216" t="n">
        <v>6</v>
      </c>
      <c r="G109" s="216" t="n">
        <v>3</v>
      </c>
    </row>
    <row r="110" ht="32" customHeight="1">
      <c r="A110" s="216" t="str">
        <v>TAMD</v>
      </c>
      <c r="B110" s="216" t="str">
        <v>2025</v>
      </c>
      <c r="C110" s="216" t="str">
        <v>4</v>
      </c>
      <c r="D110" s="216" t="n">
        <v>11</v>
      </c>
      <c r="E110" s="216" t="n">
        <v>0</v>
      </c>
      <c r="F110" s="216" t="n">
        <v>11</v>
      </c>
      <c r="G110" s="216" t="n">
        <v>7</v>
      </c>
    </row>
    <row r="111" ht="32" customHeight="1">
      <c r="A111" s="216" t="str">
        <v>TAMD</v>
      </c>
      <c r="B111" s="216" t="str">
        <v>2026</v>
      </c>
      <c r="C111" s="216" t="str">
        <v>2</v>
      </c>
      <c r="D111" s="216" t="n">
        <v>3</v>
      </c>
      <c r="E111" s="216" t="n">
        <v>0</v>
      </c>
      <c r="F111" s="216" t="n">
        <v>3</v>
      </c>
      <c r="G111" s="216" t="n">
        <v>1</v>
      </c>
    </row>
    <row r="112" ht="32" customHeight="1">
      <c r="A112" s="216" t="str">
        <v>TAMD</v>
      </c>
      <c r="B112" s="216" t="str">
        <v>2026</v>
      </c>
      <c r="C112" s="216" t="str">
        <v>4</v>
      </c>
      <c r="D112" s="216" t="n">
        <v>87</v>
      </c>
      <c r="E112" s="216" t="n">
        <v>0</v>
      </c>
      <c r="F112" s="216" t="n">
        <v>87</v>
      </c>
      <c r="G112" s="216" t="n">
        <v>67</v>
      </c>
    </row>
    <row r="113" ht="32" customHeight="1">
      <c r="A113" s="216" t="str">
        <v>TCIB</v>
      </c>
      <c r="B113" s="216" t="str">
        <v>2024</v>
      </c>
      <c r="C113" s="216" t="str">
        <v>4</v>
      </c>
      <c r="D113" s="216" t="n">
        <v>27</v>
      </c>
      <c r="E113" s="216" t="n">
        <v>0</v>
      </c>
      <c r="F113" s="216" t="n">
        <v>27</v>
      </c>
      <c r="G113" s="216" t="n">
        <v>19</v>
      </c>
    </row>
    <row r="114" ht="32" customHeight="1">
      <c r="A114" s="216" t="str">
        <v>TCIB</v>
      </c>
      <c r="B114" s="216" t="str">
        <v>2025</v>
      </c>
      <c r="C114" s="216" t="str">
        <v>4</v>
      </c>
      <c r="D114" s="216" t="n">
        <v>19</v>
      </c>
      <c r="E114" s="216" t="n">
        <v>0</v>
      </c>
      <c r="F114" s="216" t="n">
        <v>19</v>
      </c>
      <c r="G114" s="216" t="n">
        <v>8</v>
      </c>
    </row>
    <row r="115" ht="32" customHeight="1">
      <c r="A115" s="216" t="str">
        <v>TCIB</v>
      </c>
      <c r="B115" s="216" t="str">
        <v>2026</v>
      </c>
      <c r="C115" s="216" t="str">
        <v>4</v>
      </c>
      <c r="D115" s="216" t="n">
        <v>56</v>
      </c>
      <c r="E115" s="216" t="n">
        <v>0</v>
      </c>
      <c r="F115" s="216" t="n">
        <v>56</v>
      </c>
      <c r="G115" s="216" t="n">
        <v>44</v>
      </c>
    </row>
    <row r="116" ht="32" customHeight="1">
      <c r="A116" s="216" t="str">
        <v>TCRE</v>
      </c>
      <c r="B116" s="216" t="str">
        <v>2024</v>
      </c>
      <c r="C116" s="216" t="str">
        <v>4</v>
      </c>
      <c r="D116" s="216" t="n">
        <v>10</v>
      </c>
      <c r="E116" s="216" t="n">
        <v>0</v>
      </c>
      <c r="F116" s="216" t="n">
        <v>10</v>
      </c>
      <c r="G116" s="216" t="n">
        <v>6</v>
      </c>
    </row>
    <row r="117" ht="32" customHeight="1">
      <c r="A117" s="216" t="str">
        <v>TCRE</v>
      </c>
      <c r="B117" s="216" t="str">
        <v>2025</v>
      </c>
      <c r="C117" s="216" t="str">
        <v>4</v>
      </c>
      <c r="D117" s="216" t="n">
        <v>5</v>
      </c>
      <c r="E117" s="216" t="n">
        <v>0</v>
      </c>
      <c r="F117" s="216" t="n">
        <v>5</v>
      </c>
      <c r="G117" s="216" t="n">
        <v>4</v>
      </c>
    </row>
    <row r="118" ht="32" customHeight="1">
      <c r="A118" s="216" t="str">
        <v>TCRE</v>
      </c>
      <c r="B118" s="216" t="str">
        <v>2026</v>
      </c>
      <c r="C118" s="216" t="str">
        <v>4</v>
      </c>
      <c r="D118" s="216" t="n">
        <v>3</v>
      </c>
      <c r="E118" s="216" t="n">
        <v>0</v>
      </c>
      <c r="F118" s="216" t="n">
        <v>3</v>
      </c>
      <c r="G118" s="216" t="n">
        <v>3</v>
      </c>
    </row>
    <row r="119" ht="32" customHeight="1">
      <c r="A119" s="216" t="str">
        <v>TCSREOL</v>
      </c>
      <c r="B119" s="216" t="str">
        <v>2020</v>
      </c>
      <c r="C119" s="216" t="str">
        <v>4</v>
      </c>
      <c r="D119" s="216" t="n">
        <v>15</v>
      </c>
      <c r="E119" s="216" t="n">
        <v>0</v>
      </c>
      <c r="F119" s="216" t="n">
        <v>15</v>
      </c>
      <c r="G119" s="216" t="n">
        <v>10</v>
      </c>
    </row>
    <row r="120" ht="32" customHeight="1">
      <c r="A120" s="216" t="str">
        <v>TCSREOL</v>
      </c>
      <c r="B120" s="216" t="str">
        <v>2021</v>
      </c>
      <c r="C120" s="216" t="str">
        <v>4</v>
      </c>
      <c r="D120" s="216" t="n">
        <v>18</v>
      </c>
      <c r="E120" s="216" t="n">
        <v>0</v>
      </c>
      <c r="F120" s="216" t="n">
        <v>18</v>
      </c>
      <c r="G120" s="216" t="n">
        <v>17</v>
      </c>
    </row>
    <row r="121" ht="32" customHeight="1">
      <c r="A121" s="216" t="str">
        <v>TCSREOL</v>
      </c>
      <c r="B121" s="216" t="str">
        <v>2022</v>
      </c>
      <c r="C121" s="216" t="str">
        <v>4</v>
      </c>
      <c r="D121" s="216" t="n">
        <v>14</v>
      </c>
      <c r="E121" s="216" t="n">
        <v>0</v>
      </c>
      <c r="F121" s="216" t="n">
        <v>14</v>
      </c>
      <c r="G121" s="216" t="n">
        <v>9</v>
      </c>
    </row>
    <row r="122" ht="32" customHeight="1">
      <c r="A122" s="216" t="str">
        <v>TCSREOL</v>
      </c>
      <c r="B122" s="216" t="str">
        <v>2023</v>
      </c>
      <c r="C122" s="216" t="str">
        <v>4</v>
      </c>
      <c r="D122" s="216" t="n">
        <v>34</v>
      </c>
      <c r="E122" s="216" t="n">
        <v>0</v>
      </c>
      <c r="F122" s="216" t="n">
        <v>34</v>
      </c>
      <c r="G122" s="216" t="n">
        <v>14</v>
      </c>
    </row>
    <row r="123" ht="32" customHeight="1">
      <c r="A123" s="216" t="str">
        <v>TCSREOL</v>
      </c>
      <c r="B123" s="216" t="str">
        <v>2024</v>
      </c>
      <c r="C123" s="216" t="str">
        <v>4</v>
      </c>
      <c r="D123" s="216" t="n">
        <v>8</v>
      </c>
      <c r="E123" s="216" t="n">
        <v>0</v>
      </c>
      <c r="F123" s="216" t="n">
        <v>8</v>
      </c>
      <c r="G123" s="216" t="n">
        <v>5</v>
      </c>
    </row>
    <row r="124" ht="32" customHeight="1">
      <c r="A124" s="216" t="str">
        <v>TLOG</v>
      </c>
      <c r="B124" s="216" t="str">
        <v>2024</v>
      </c>
      <c r="C124" s="216" t="str">
        <v>4</v>
      </c>
      <c r="D124" s="216" t="n">
        <v>4</v>
      </c>
      <c r="E124" s="216" t="n">
        <v>0</v>
      </c>
      <c r="F124" s="216" t="n">
        <v>4</v>
      </c>
      <c r="G124" s="216" t="n">
        <v>2</v>
      </c>
    </row>
    <row r="125" ht="32" customHeight="1">
      <c r="A125" s="216" t="str">
        <v>TLOG</v>
      </c>
      <c r="B125" s="216" t="str">
        <v>2025</v>
      </c>
      <c r="C125" s="216" t="str">
        <v>4</v>
      </c>
      <c r="D125" s="216" t="n">
        <v>14</v>
      </c>
      <c r="E125" s="216" t="n">
        <v>0</v>
      </c>
      <c r="F125" s="216" t="n">
        <v>14</v>
      </c>
      <c r="G125" s="216" t="n">
        <v>5</v>
      </c>
    </row>
    <row r="126" ht="32" customHeight="1">
      <c r="A126" s="216" t="str">
        <v>TLOG</v>
      </c>
      <c r="B126" s="216" t="str">
        <v>2026</v>
      </c>
      <c r="C126" s="216" t="str">
        <v>4</v>
      </c>
      <c r="D126" s="216" t="n">
        <v>60</v>
      </c>
      <c r="E126" s="216" t="n">
        <v>0</v>
      </c>
      <c r="F126" s="216" t="n">
        <v>60</v>
      </c>
      <c r="G126" s="216" t="n">
        <v>46</v>
      </c>
    </row>
    <row r="127" ht="32" customHeight="1">
      <c r="A127" s="216" t="str">
        <v>TPAREOL</v>
      </c>
      <c r="B127" s="216" t="str">
        <v>2020</v>
      </c>
      <c r="C127" s="216" t="str">
        <v>4</v>
      </c>
      <c r="D127" s="216" t="n">
        <v>9</v>
      </c>
      <c r="E127" s="216" t="n">
        <v>0</v>
      </c>
      <c r="F127" s="216" t="n">
        <v>9</v>
      </c>
      <c r="G127" s="216" t="n">
        <v>9</v>
      </c>
    </row>
    <row r="128" ht="32" customHeight="1">
      <c r="A128" s="216" t="str">
        <v>TPAREOL</v>
      </c>
      <c r="B128" s="216" t="str">
        <v>2021</v>
      </c>
      <c r="C128" s="216" t="str">
        <v>4</v>
      </c>
      <c r="D128" s="216" t="n">
        <v>46</v>
      </c>
      <c r="E128" s="216" t="n">
        <v>0</v>
      </c>
      <c r="F128" s="216" t="n">
        <v>46</v>
      </c>
      <c r="G128" s="216" t="n">
        <v>25</v>
      </c>
    </row>
    <row r="129" ht="32" customHeight="1">
      <c r="A129" s="216" t="str">
        <v>TPAREOL</v>
      </c>
      <c r="B129" s="216" t="str">
        <v>2022</v>
      </c>
      <c r="C129" s="216" t="str">
        <v>4</v>
      </c>
      <c r="D129" s="216" t="n">
        <v>63</v>
      </c>
      <c r="E129" s="216" t="n">
        <v>0</v>
      </c>
      <c r="F129" s="216" t="n">
        <v>63</v>
      </c>
      <c r="G129" s="216" t="n">
        <v>30</v>
      </c>
    </row>
    <row r="130" ht="32" customHeight="1">
      <c r="A130" s="216" t="str">
        <v>TPAREOL</v>
      </c>
      <c r="B130" s="216" t="str">
        <v>2023</v>
      </c>
      <c r="C130" s="216" t="str">
        <v>4</v>
      </c>
      <c r="D130" s="216" t="n">
        <v>106</v>
      </c>
      <c r="E130" s="216" t="n">
        <v>0</v>
      </c>
      <c r="F130" s="216" t="n">
        <v>106</v>
      </c>
      <c r="G130" s="216" t="n">
        <v>41</v>
      </c>
    </row>
    <row r="131" ht="32" customHeight="1">
      <c r="A131" s="216" t="str">
        <v>TPAREOL</v>
      </c>
      <c r="B131" s="216" t="str">
        <v>2024</v>
      </c>
      <c r="C131" s="216" t="str">
        <v>4</v>
      </c>
      <c r="D131" s="216" t="n">
        <v>19</v>
      </c>
      <c r="E131" s="216" t="n">
        <v>0</v>
      </c>
      <c r="F131" s="216" t="n">
        <v>19</v>
      </c>
      <c r="G131" s="216" t="n">
        <v>14</v>
      </c>
    </row>
    <row r="132" ht="32" customHeight="1">
      <c r="A132" s="216" t="str">
        <v>TPAREOL</v>
      </c>
      <c r="B132" s="216" t="str">
        <v>2025</v>
      </c>
      <c r="C132" s="216" t="str">
        <v>4</v>
      </c>
      <c r="D132" s="216" t="n">
        <v>2</v>
      </c>
      <c r="E132" s="216" t="n">
        <v>0</v>
      </c>
      <c r="F132" s="216" t="n">
        <v>2</v>
      </c>
      <c r="G132" s="216" t="n">
        <v>1</v>
      </c>
    </row>
    <row r="133" ht="32" customHeight="1">
      <c r="A133" s="216" t="str">
        <v>TPAS</v>
      </c>
      <c r="B133" s="216" t="str">
        <v>2021</v>
      </c>
      <c r="C133" s="216" t="str">
        <v>4</v>
      </c>
      <c r="D133" s="216" t="n">
        <v>1</v>
      </c>
      <c r="E133" s="216" t="n">
        <v>0</v>
      </c>
      <c r="F133" s="216" t="n">
        <v>1</v>
      </c>
      <c r="G133" s="216" t="n">
        <v>1</v>
      </c>
    </row>
    <row r="134" ht="32" customHeight="1">
      <c r="A134" s="216" t="str">
        <v>TPAS</v>
      </c>
      <c r="B134" s="216" t="str">
        <v>2022</v>
      </c>
      <c r="C134" s="216" t="str">
        <v>4</v>
      </c>
      <c r="D134" s="216" t="n">
        <v>1</v>
      </c>
      <c r="E134" s="216" t="n">
        <v>0</v>
      </c>
      <c r="F134" s="216" t="n">
        <v>1</v>
      </c>
      <c r="G134" s="216" t="n">
        <v>1</v>
      </c>
    </row>
    <row r="135" ht="32" customHeight="1">
      <c r="A135" s="216" t="str">
        <v>TPAS</v>
      </c>
      <c r="B135" s="216" t="str">
        <v>2023</v>
      </c>
      <c r="C135" s="216" t="str">
        <v>4</v>
      </c>
      <c r="D135" s="216" t="n">
        <v>3</v>
      </c>
      <c r="E135" s="216" t="n">
        <v>0</v>
      </c>
      <c r="F135" s="216" t="n">
        <v>3</v>
      </c>
      <c r="G135" s="216" t="n">
        <v>1</v>
      </c>
    </row>
    <row r="136" ht="32" customHeight="1">
      <c r="A136" s="216" t="str">
        <v>TPAS</v>
      </c>
      <c r="B136" s="216" t="str">
        <v>2024</v>
      </c>
      <c r="C136" s="216" t="str">
        <v>4</v>
      </c>
      <c r="D136" s="216" t="n">
        <v>89</v>
      </c>
      <c r="E136" s="216" t="n">
        <v>0</v>
      </c>
      <c r="F136" s="216" t="n">
        <v>89</v>
      </c>
      <c r="G136" s="216" t="n">
        <v>61</v>
      </c>
    </row>
    <row r="137" ht="32" customHeight="1">
      <c r="A137" s="216" t="str">
        <v>TPAS</v>
      </c>
      <c r="B137" s="216" t="str">
        <v>2025</v>
      </c>
      <c r="C137" s="216" t="str">
        <v>4</v>
      </c>
      <c r="D137" s="216" t="n">
        <v>74</v>
      </c>
      <c r="E137" s="216" t="n">
        <v>0</v>
      </c>
      <c r="F137" s="216" t="n">
        <v>74</v>
      </c>
      <c r="G137" s="216" t="n">
        <v>42</v>
      </c>
    </row>
    <row r="138" ht="32" customHeight="1">
      <c r="A138" s="216" t="str">
        <v>TPAS</v>
      </c>
      <c r="B138" s="216" t="str">
        <v>2026</v>
      </c>
      <c r="C138" s="216" t="str">
        <v>4</v>
      </c>
      <c r="D138" s="216" t="n">
        <v>84</v>
      </c>
      <c r="E138" s="216" t="n">
        <v>0</v>
      </c>
      <c r="F138" s="216" t="n">
        <v>84</v>
      </c>
      <c r="G138" s="216" t="n">
        <v>57</v>
      </c>
    </row>
    <row r="139" ht="32" customHeight="1">
      <c r="A139" s="216" t="str">
        <v>TPCRE</v>
      </c>
      <c r="B139" s="216" t="str">
        <v>2019</v>
      </c>
      <c r="C139" s="216" t="str">
        <v>2</v>
      </c>
      <c r="D139" s="216" t="n">
        <v>1</v>
      </c>
      <c r="E139" s="216" t="n">
        <v>0</v>
      </c>
      <c r="F139" s="216" t="n">
        <v>1</v>
      </c>
      <c r="G139" s="216" t="n">
        <v>1</v>
      </c>
    </row>
    <row r="140" ht="32" customHeight="1">
      <c r="A140" s="216" t="str">
        <v>TPCRE</v>
      </c>
      <c r="B140" s="216" t="str">
        <v>2020</v>
      </c>
      <c r="C140" s="216" t="str">
        <v>1</v>
      </c>
      <c r="D140" s="216" t="n">
        <v>1</v>
      </c>
      <c r="E140" s="216" t="n">
        <v>0</v>
      </c>
      <c r="F140" s="216" t="n">
        <v>1</v>
      </c>
      <c r="G140" s="216" t="n">
        <v>1</v>
      </c>
    </row>
    <row r="141" ht="32" customHeight="1">
      <c r="A141" s="216" t="str">
        <v>TPCRE</v>
      </c>
      <c r="B141" s="216" t="str">
        <v>2020</v>
      </c>
      <c r="C141" s="216" t="str">
        <v>2</v>
      </c>
      <c r="D141" s="216" t="n">
        <v>1</v>
      </c>
      <c r="E141" s="216" t="n">
        <v>0</v>
      </c>
      <c r="F141" s="216" t="n">
        <v>1</v>
      </c>
      <c r="G141" s="216" t="n">
        <v>1</v>
      </c>
    </row>
    <row r="142" ht="32" customHeight="1">
      <c r="A142" s="216" t="str">
        <v>TPCREOL</v>
      </c>
      <c r="B142" s="216" t="str">
        <v>2019</v>
      </c>
      <c r="C142" s="216" t="str">
        <v>4</v>
      </c>
      <c r="D142" s="216" t="n">
        <v>5</v>
      </c>
      <c r="E142" s="216" t="n">
        <v>0</v>
      </c>
      <c r="F142" s="216" t="n">
        <v>5</v>
      </c>
      <c r="G142" s="216" t="n">
        <v>5</v>
      </c>
    </row>
    <row r="143" ht="32" customHeight="1">
      <c r="A143" s="216" t="str">
        <v>TPCREOL</v>
      </c>
      <c r="B143" s="216" t="str">
        <v>2022</v>
      </c>
      <c r="C143" s="216" t="str">
        <v>4</v>
      </c>
      <c r="D143" s="216" t="n">
        <v>2</v>
      </c>
      <c r="E143" s="216" t="n">
        <v>0</v>
      </c>
      <c r="F143" s="216" t="n">
        <v>2</v>
      </c>
      <c r="G143" s="216" t="n">
        <v>2</v>
      </c>
    </row>
    <row r="144" ht="32" customHeight="1">
      <c r="A144" s="216" t="str">
        <v>TTMRE</v>
      </c>
      <c r="B144" s="216" t="str">
        <v>2019</v>
      </c>
      <c r="C144" s="216" t="str">
        <v>1</v>
      </c>
      <c r="D144" s="216" t="n">
        <v>3</v>
      </c>
      <c r="E144" s="216" t="n">
        <v>0</v>
      </c>
      <c r="F144" s="216" t="n">
        <v>3</v>
      </c>
      <c r="G144" s="216" t="n">
        <v>2</v>
      </c>
    </row>
    <row r="145" ht="32" customHeight="1">
      <c r="A145" s="216" t="str">
        <v>TTMRE</v>
      </c>
      <c r="B145" s="216" t="str">
        <v>2019</v>
      </c>
      <c r="C145" s="216" t="str">
        <v>2</v>
      </c>
      <c r="D145" s="216" t="n">
        <v>6</v>
      </c>
      <c r="E145" s="216" t="n">
        <v>0</v>
      </c>
      <c r="F145" s="216" t="n">
        <v>6</v>
      </c>
      <c r="G145" s="216" t="n">
        <v>3</v>
      </c>
    </row>
    <row r="146" ht="32" customHeight="1">
      <c r="A146" s="216" t="str">
        <v>TTMRE</v>
      </c>
      <c r="B146" s="216" t="str">
        <v>2020</v>
      </c>
      <c r="C146" s="216" t="str">
        <v>1</v>
      </c>
      <c r="D146" s="216" t="n">
        <v>2</v>
      </c>
      <c r="E146" s="216" t="n">
        <v>0</v>
      </c>
      <c r="F146" s="216" t="n">
        <v>2</v>
      </c>
      <c r="G146" s="216" t="n">
        <v>1</v>
      </c>
    </row>
    <row r="147" ht="32" customHeight="1">
      <c r="A147" s="216" t="str">
        <v>TTMRE</v>
      </c>
      <c r="B147" s="216" t="str">
        <v>2020</v>
      </c>
      <c r="C147" s="216" t="str">
        <v>2</v>
      </c>
      <c r="D147" s="216" t="n">
        <v>9</v>
      </c>
      <c r="E147" s="216" t="n">
        <v>0</v>
      </c>
      <c r="F147" s="216" t="n">
        <v>9</v>
      </c>
      <c r="G147" s="216" t="n">
        <v>6</v>
      </c>
    </row>
    <row r="148" ht="32" customHeight="1">
      <c r="A148" s="216" t="str">
        <v>TTMRE</v>
      </c>
      <c r="B148" s="216" t="str">
        <v>2021</v>
      </c>
      <c r="C148" s="216" t="str">
        <v>1</v>
      </c>
      <c r="D148" s="216" t="n">
        <v>2</v>
      </c>
      <c r="E148" s="216" t="n">
        <v>0</v>
      </c>
      <c r="F148" s="216" t="n">
        <v>2</v>
      </c>
      <c r="G148" s="216" t="n">
        <v>2</v>
      </c>
    </row>
    <row r="149" ht="32" customHeight="1">
      <c r="A149" s="216" t="str">
        <v>TTMRE</v>
      </c>
      <c r="B149" s="216" t="str">
        <v>2021</v>
      </c>
      <c r="C149" s="216" t="str">
        <v>2</v>
      </c>
      <c r="D149" s="216" t="n">
        <v>3</v>
      </c>
      <c r="E149" s="216" t="n">
        <v>0</v>
      </c>
      <c r="F149" s="216" t="n">
        <v>3</v>
      </c>
      <c r="G149" s="216" t="n">
        <v>2</v>
      </c>
    </row>
    <row r="150" ht="32" customHeight="1">
      <c r="A150" s="216" t="str">
        <v>TTMRE</v>
      </c>
      <c r="B150" s="216" t="str">
        <v>2022</v>
      </c>
      <c r="C150" s="216" t="str">
        <v>2</v>
      </c>
      <c r="D150" s="216" t="n">
        <v>3</v>
      </c>
      <c r="E150" s="216" t="n">
        <v>0</v>
      </c>
      <c r="F150" s="216" t="n">
        <v>3</v>
      </c>
      <c r="G150" s="216" t="n">
        <v>2</v>
      </c>
    </row>
    <row r="151" ht="32" customHeight="1">
      <c r="A151" s="216" t="str">
        <v>TTMRE</v>
      </c>
      <c r="B151" s="216" t="str">
        <v>2024</v>
      </c>
      <c r="C151" s="216" t="str">
        <v>2</v>
      </c>
      <c r="D151" s="216" t="n">
        <v>2</v>
      </c>
      <c r="E151" s="216" t="n">
        <v>0</v>
      </c>
      <c r="F151" s="216" t="n">
        <v>2</v>
      </c>
      <c r="G151" s="216" t="n">
        <v>2</v>
      </c>
    </row>
    <row r="152" ht="32" customHeight="1">
      <c r="A152" s="216" t="str">
        <v>TTMREOL</v>
      </c>
      <c r="B152" s="216" t="str">
        <v>2019</v>
      </c>
      <c r="C152" s="216" t="str">
        <v>4</v>
      </c>
      <c r="D152" s="216" t="n">
        <v>1</v>
      </c>
      <c r="E152" s="216" t="n">
        <v>0</v>
      </c>
      <c r="F152" s="216" t="n">
        <v>1</v>
      </c>
      <c r="G152" s="216" t="n">
        <v>1</v>
      </c>
    </row>
    <row r="153" ht="32" customHeight="1">
      <c r="A153" s="216" t="str">
        <v>TTMREOL</v>
      </c>
      <c r="B153" s="216" t="str">
        <v>2020</v>
      </c>
      <c r="C153" s="216" t="str">
        <v>4</v>
      </c>
      <c r="D153" s="216" t="n">
        <v>9</v>
      </c>
      <c r="E153" s="216" t="n">
        <v>0</v>
      </c>
      <c r="F153" s="216" t="n">
        <v>9</v>
      </c>
      <c r="G153" s="216" t="n">
        <v>8</v>
      </c>
    </row>
    <row r="154" ht="32" customHeight="1">
      <c r="A154" s="216" t="str">
        <v>TTMREOL</v>
      </c>
      <c r="B154" s="216" t="str">
        <v>2021</v>
      </c>
      <c r="C154" s="216" t="str">
        <v>4</v>
      </c>
      <c r="D154" s="216" t="n">
        <v>133</v>
      </c>
      <c r="E154" s="216" t="n">
        <v>95</v>
      </c>
      <c r="F154" s="216" t="n">
        <v>38</v>
      </c>
      <c r="G154" s="216" t="n">
        <v>50</v>
      </c>
    </row>
    <row r="155" ht="32" customHeight="1">
      <c r="A155" s="216" t="str">
        <v>TTMREOL</v>
      </c>
      <c r="B155" s="216" t="str">
        <v>2022</v>
      </c>
      <c r="C155" s="216" t="str">
        <v>4</v>
      </c>
      <c r="D155" s="216" t="n">
        <v>23</v>
      </c>
      <c r="E155" s="216" t="n">
        <v>0</v>
      </c>
      <c r="F155" s="216" t="n">
        <v>23</v>
      </c>
      <c r="G155" s="216" t="n">
        <v>11</v>
      </c>
    </row>
    <row r="156" ht="32" customHeight="1">
      <c r="A156" s="216" t="str">
        <v>TTMREOL</v>
      </c>
      <c r="B156" s="216" t="str">
        <v>2023</v>
      </c>
      <c r="C156" s="216" t="str">
        <v>4</v>
      </c>
      <c r="D156" s="216" t="n">
        <v>19</v>
      </c>
      <c r="E156" s="216" t="n">
        <v>0</v>
      </c>
      <c r="F156" s="216" t="n">
        <v>19</v>
      </c>
      <c r="G156" s="216" t="n">
        <v>8</v>
      </c>
    </row>
    <row r="157" ht="32" customHeight="1">
      <c r="A157" s="216" t="str">
        <v>TTMREOL</v>
      </c>
      <c r="B157" s="216" t="str">
        <v>2024</v>
      </c>
      <c r="C157" s="216" t="str">
        <v>4</v>
      </c>
      <c r="D157" s="216" t="n">
        <v>7</v>
      </c>
      <c r="E157" s="216" t="n">
        <v>0</v>
      </c>
      <c r="F157" s="216" t="n">
        <v>7</v>
      </c>
      <c r="G157" s="216" t="n">
        <v>6</v>
      </c>
    </row>
    <row r="158" ht="32" customHeight="1">
      <c r="A158" s="216" t="str">
        <v>TTMREOL</v>
      </c>
      <c r="B158" s="216" t="str">
        <v>2025</v>
      </c>
      <c r="C158" s="216" t="str">
        <v>4</v>
      </c>
      <c r="D158" s="216" t="n">
        <v>3</v>
      </c>
      <c r="E158" s="216" t="n">
        <v>0</v>
      </c>
      <c r="F158" s="216" t="n">
        <v>3</v>
      </c>
      <c r="G158" s="216" t="n">
        <v>3</v>
      </c>
    </row>
  </sheetData>
  <pageMargins left="0.7" right="0.7" top="0.75" bottom="0.75" header="0.3" footer="0.3"/>
</worksheet>
</file>

<file path=xl/worksheets/sheet43.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8" hidden="0" customWidth="1"/>
    <col min="2" max="2" width="22" hidden="0" customWidth="1"/>
    <col min="3" max="3" width="22" hidden="0" customWidth="1"/>
    <col min="4" max="4" width="90" hidden="0" customWidth="1"/>
  </cols>
  <sheetData>
    <row r="1" ht="48" customHeight="1">
      <c r="A1" s="228" t="str">
        <v>V8 · Cruce histórico de pendientes · 23/10/2026</v>
      </c>
      <c r="B1" s="5"/>
      <c r="C1" s="5"/>
      <c r="D1" s="5"/>
    </row>
    <row r="2" ht="48" customHeight="1">
      <c r="A2" s="225" t="str">
        <v>Oferta histórica + perfil gobernado + fecha propia. Propuestas separadas de código personal informado.</v>
      </c>
      <c r="B2" s="2"/>
      <c r="C2" s="2"/>
      <c r="D2" s="2"/>
    </row>
    <row r="3" ht="48" customHeight="1">
      <c r="A3" s="225" t="str">
        <v>3213 observaciones /1838 personas. V7 y anteriores preservadas como línea base.</v>
      </c>
      <c r="B3" s="2"/>
      <c r="C3" s="2"/>
      <c r="D3" s="2"/>
    </row>
    <row r="4" ht="48" customHeight="1">
      <c r="A4" s="230" t="str">
        <v>Indicador</v>
      </c>
      <c r="B4" s="230" t="str">
        <v>Antes V7</v>
      </c>
      <c r="C4" s="230" t="str">
        <v>Ahora V8</v>
      </c>
      <c r="D4" s="230" t="str">
        <v>Interpretación</v>
      </c>
    </row>
    <row r="5" ht="48" customHeight="1">
      <c r="A5" s="225" t="str">
        <v>Observaciones documentales pendientes</v>
      </c>
      <c r="B5" s="225" t="n">
        <v>3213</v>
      </c>
      <c r="C5" s="225" t="n">
        <v>3213</v>
      </c>
      <c r="D5" s="225" t="str">
        <v>Sin nuevas conciliaciones documentales</v>
      </c>
    </row>
    <row r="6" ht="48" customHeight="1">
      <c r="A6" s="225" t="str">
        <v>Personas con al menos un pendiente</v>
      </c>
      <c r="B6" s="225" t="n">
        <v>1838</v>
      </c>
      <c r="C6" s="225" t="n">
        <v>1838</v>
      </c>
      <c r="D6" s="225" t="str">
        <v>Sobre el mismo universo de5901</v>
      </c>
    </row>
    <row r="7" ht="48" customHeight="1">
      <c r="A7" s="225" t="str">
        <v>Proporción de personas pendientes</v>
      </c>
      <c r="B7" s="231" t="n">
        <v>0.31147263175732925</v>
      </c>
      <c r="C7" s="231" t="n">
        <v>0.31147263175732925</v>
      </c>
      <c r="D7" s="225" t="str">
        <v>No retención ni brecha de planes</v>
      </c>
    </row>
    <row r="8" ht="48" customHeight="1">
      <c r="A8" s="225" t="str">
        <v>Nuevas personas totalmente resueltas</v>
      </c>
      <c r="B8" s="225" t="n">
        <v>0</v>
      </c>
      <c r="C8" s="225" t="n">
        <v>0</v>
      </c>
      <c r="D8" s="225" t="str">
        <v>No convertir propuestas en cierre</v>
      </c>
    </row>
    <row r="9" ht="48" customHeight="1">
      <c r="A9" s="225" t="str">
        <v>Nuevas personas parcialmente resueltas</v>
      </c>
      <c r="B9" s="225" t="n">
        <v>0</v>
      </c>
      <c r="C9" s="225" t="n">
        <v>0</v>
      </c>
      <c r="D9" s="225" t="str">
        <v>V7 conserva479 completas y77 parciales en su foco anterior</v>
      </c>
    </row>
    <row r="10" ht="48" customHeight="1">
      <c r="A10" s="225" t="str">
        <v>Propuestas por inicio coincidente</v>
      </c>
      <c r="B10" s="2"/>
      <c r="C10" s="225" t="n">
        <v>402</v>
      </c>
      <c r="D10" s="225" t="str">
        <v>255 personas; no acredita vínculo individual</v>
      </c>
    </row>
    <row r="11" ht="48" customHeight="1">
      <c r="A11" s="225" t="str">
        <v>Propuestas por intervalo</v>
      </c>
      <c r="B11" s="2"/>
      <c r="C11" s="225" t="n">
        <v>2370</v>
      </c>
      <c r="D11" s="225" t="str">
        <v>1343 personas; hipótesis de sucesión</v>
      </c>
    </row>
    <row r="12" ht="48" customHeight="1">
      <c r="A12" s="225" t="str">
        <v>Sin propuesta del método</v>
      </c>
      <c r="B12" s="2"/>
      <c r="C12" s="225" t="n">
        <v>441</v>
      </c>
      <c r="D12" s="225" t="str">
        <v>Perfil, grupo o fecha insuficiente/ambigua</v>
      </c>
    </row>
    <row r="13" ht="48" customHeight="1">
      <c r="A13" s="225" t="str">
        <v>Un candidato por perfil en año de referencia</v>
      </c>
      <c r="B13" s="2"/>
      <c r="C13" s="225" t="n">
        <v>2377</v>
      </c>
      <c r="D13" s="225" t="str">
        <v>Unicidad de catálogo, no prueba personal</v>
      </c>
    </row>
    <row r="14" ht="48" customHeight="1">
      <c r="A14" s="225" t="str">
        <v>Varios candidatos por perfil y año</v>
      </c>
      <c r="B14" s="2"/>
      <c r="C14" s="225" t="n">
        <v>544</v>
      </c>
      <c r="D14" s="225" t="str">
        <v>Modalidad disponible tampoco discrimina</v>
      </c>
    </row>
    <row r="15" ht="48" customHeight="1">
      <c r="A15" s="225" t="str">
        <v>Sin candidato del perfil en año de referencia</v>
      </c>
      <c r="B15" s="2"/>
      <c r="C15" s="225" t="n">
        <v>292</v>
      </c>
      <c r="D15" s="225" t="str">
        <v>Conservar ausencia de cobertura/perfil</v>
      </c>
    </row>
    <row r="16" ht="48" customHeight="1">
      <c r="A16" s="225" t="str">
        <v>Propuesta y MU personal en algún año</v>
      </c>
      <c r="B16" s="2"/>
      <c r="C16" s="225" t="n">
        <v>1267</v>
      </c>
      <c r="D16" s="225" t="str">
        <v>No implica aplicabilidad a la observación</v>
      </c>
    </row>
    <row r="17" ht="48" customHeight="1">
      <c r="A17" s="225" t="str">
        <v>Propuesta y MU personal mismo año</v>
      </c>
      <c r="B17" s="2"/>
      <c r="C17" s="225" t="n">
        <v>52</v>
      </c>
      <c r="D17" s="225" t="str">
        <v>Todos siguen con atribución de expediente pendiente</v>
      </c>
    </row>
    <row r="18" ht="48" customHeight="1">
      <c r="A18" s="225" t="str">
        <v>Fecha de referencia posterior a actividad</v>
      </c>
      <c r="B18" s="2"/>
      <c r="C18" s="225" t="n">
        <v>131</v>
      </c>
      <c r="D18" s="225" t="str">
        <v>Revisar semántica/corte; no retrotraer plan</v>
      </c>
    </row>
    <row r="19" ht="48" customHeight="1">
      <c r="A19" s="225" t="str">
        <v>Continuidad: fecha solo observada</v>
      </c>
      <c r="B19" s="2"/>
      <c r="C19" s="225" t="n">
        <v>13</v>
      </c>
      <c r="D19" s="225" t="str">
        <v>No ingreso efectivo confirmado</v>
      </c>
    </row>
    <row r="20" ht="48" customHeight="1">
      <c r="A20" s="225" t="str">
        <v>Brecha original de dimensiones</v>
      </c>
      <c r="B20" s="231" t="n">
        <v>0.38095238095238093</v>
      </c>
      <c r="C20" s="231" t="n">
        <v>0.38095238095238093</v>
      </c>
      <c r="D20" s="225" t="str">
        <v>Línea base distinta; sin equivalencias nuevas</v>
      </c>
    </row>
    <row r="21" ht="48" customHeight="1">
      <c r="A21" s="225" t="str">
        <v>Estado</v>
      </c>
      <c r="B21" s="2"/>
      <c r="C21" s="225" t="str">
        <v>PENDIENTE_APROBACION_GOBERNANZA</v>
      </c>
      <c r="D21" s="225" t="str">
        <v>Canon, tasas, denominadores y13 gráficos intactos</v>
      </c>
    </row>
  </sheetData>
  <pageMargins left="0.7" right="0.7" top="0.75" bottom="0.75" header="0.3" footer="0.3"/>
</worksheet>
</file>

<file path=xl/worksheets/sheet44.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22" hidden="0" customWidth="1"/>
    <col min="6" max="6" width="22" hidden="0" customWidth="1"/>
  </cols>
  <sheetData>
    <row r="1" ht="32" customHeight="1">
      <c r="A1" s="228" t="str">
        <v>Resultado focal por carrera/año/jornada</v>
      </c>
      <c r="B1" s="5"/>
      <c r="C1" s="5"/>
      <c r="D1" s="5"/>
      <c r="E1" s="5"/>
      <c r="F1" s="5"/>
    </row>
    <row r="2" ht="32" customHeight="1">
      <c r="A2" s="225" t="str">
        <v>Personas por grupos no aditivas; propuestas no son cierres</v>
      </c>
      <c r="B2" s="2"/>
      <c r="C2" s="2"/>
      <c r="D2" s="2"/>
      <c r="E2" s="2"/>
      <c r="F2" s="2"/>
    </row>
    <row r="3" ht="32" customHeight="1">
      <c r="A3" s="2"/>
      <c r="B3" s="2"/>
      <c r="C3" s="2"/>
      <c r="D3" s="2"/>
      <c r="E3" s="2"/>
      <c r="F3" s="2"/>
    </row>
    <row r="4" ht="32" customHeight="1">
      <c r="A4" s="230" t="str">
        <v>Carrera</v>
      </c>
      <c r="B4" s="230" t="str">
        <v>Jornada</v>
      </c>
      <c r="C4" s="230" t="str">
        <v>Ano</v>
      </c>
      <c r="D4" s="230" t="str">
        <v>Estado</v>
      </c>
      <c r="E4" s="230" t="str">
        <v>Observaciones</v>
      </c>
      <c r="F4" s="230" t="str">
        <v>Personas_no_aditivas</v>
      </c>
    </row>
    <row r="5" ht="32" customHeight="1">
      <c r="A5" s="225" t="str">
        <v>ADMP</v>
      </c>
      <c r="B5" s="225" t="str">
        <v>4</v>
      </c>
      <c r="C5" s="225" t="str">
        <v>2025</v>
      </c>
      <c r="D5" s="225" t="str">
        <v>PROPUESTA_INICIO_COINCIDENTE</v>
      </c>
      <c r="E5" s="225" t="n">
        <v>42</v>
      </c>
      <c r="F5" s="225" t="n">
        <v>35</v>
      </c>
    </row>
    <row r="6" ht="32" customHeight="1">
      <c r="A6" s="225" t="str">
        <v>ADMP</v>
      </c>
      <c r="B6" s="225" t="str">
        <v>4</v>
      </c>
      <c r="C6" s="225" t="str">
        <v>2026</v>
      </c>
      <c r="D6" s="225" t="str">
        <v>PROPUESTA_INTERVALO_NO_ACREDITADO</v>
      </c>
      <c r="E6" s="225" t="n">
        <v>28</v>
      </c>
      <c r="F6" s="225" t="n">
        <v>22</v>
      </c>
    </row>
    <row r="7" ht="32" customHeight="1">
      <c r="A7" s="225" t="str">
        <v>AUDT</v>
      </c>
      <c r="B7" s="225" t="str">
        <v>4</v>
      </c>
      <c r="C7" s="225" t="str">
        <v>2025</v>
      </c>
      <c r="D7" s="225" t="str">
        <v>PROPUESTA_INICIO_COINCIDENTE</v>
      </c>
      <c r="E7" s="225" t="n">
        <v>38</v>
      </c>
      <c r="F7" s="225" t="n">
        <v>22</v>
      </c>
    </row>
    <row r="8" ht="32" customHeight="1">
      <c r="A8" s="225" t="str">
        <v>AUDT</v>
      </c>
      <c r="B8" s="225" t="str">
        <v>4</v>
      </c>
      <c r="C8" s="225" t="str">
        <v>2026</v>
      </c>
      <c r="D8" s="225" t="str">
        <v>PROPUESTA_INTERVALO_NO_ACREDITADO</v>
      </c>
      <c r="E8" s="225" t="n">
        <v>23</v>
      </c>
      <c r="F8" s="225" t="n">
        <v>14</v>
      </c>
    </row>
    <row r="9" ht="32" customHeight="1">
      <c r="A9" s="225" t="str">
        <v>IADM</v>
      </c>
      <c r="B9" s="225" t="str">
        <v>4</v>
      </c>
      <c r="C9" s="225" t="str">
        <v>2024</v>
      </c>
      <c r="D9" s="225" t="str">
        <v>PROPUESTA_INICIO_COINCIDENTE</v>
      </c>
      <c r="E9" s="225" t="n">
        <v>33</v>
      </c>
      <c r="F9" s="225" t="n">
        <v>28</v>
      </c>
    </row>
    <row r="10" ht="32" customHeight="1">
      <c r="A10" s="225" t="str">
        <v>IADM</v>
      </c>
      <c r="B10" s="225" t="str">
        <v>4</v>
      </c>
      <c r="C10" s="225" t="str">
        <v>2024</v>
      </c>
      <c r="D10" s="225" t="str">
        <v>PROPUESTA_INTERVALO_NO_ACREDITADO</v>
      </c>
      <c r="E10" s="225" t="n">
        <v>1</v>
      </c>
      <c r="F10" s="225" t="n">
        <v>1</v>
      </c>
    </row>
    <row r="11" ht="32" customHeight="1">
      <c r="A11" s="225" t="str">
        <v>IADM</v>
      </c>
      <c r="B11" s="225" t="str">
        <v>4</v>
      </c>
      <c r="C11" s="225" t="str">
        <v>2025</v>
      </c>
      <c r="D11" s="225" t="str">
        <v>PROPUESTA_INTERVALO_NO_ACREDITADO</v>
      </c>
      <c r="E11" s="225" t="n">
        <v>75</v>
      </c>
      <c r="F11" s="225" t="n">
        <v>56</v>
      </c>
    </row>
    <row r="12" ht="32" customHeight="1">
      <c r="A12" s="225" t="str">
        <v>IADM</v>
      </c>
      <c r="B12" s="225" t="str">
        <v>4</v>
      </c>
      <c r="C12" s="225" t="str">
        <v>2026</v>
      </c>
      <c r="D12" s="225" t="str">
        <v>PROPUESTA_INTERVALO_NO_ACREDITADO</v>
      </c>
      <c r="E12" s="225" t="n">
        <v>107</v>
      </c>
      <c r="F12" s="225" t="n">
        <v>83</v>
      </c>
    </row>
    <row r="13" ht="32" customHeight="1">
      <c r="A13" s="225" t="str">
        <v>ICDA</v>
      </c>
      <c r="B13" s="225" t="str">
        <v>4</v>
      </c>
      <c r="C13" s="225" t="str">
        <v>2025</v>
      </c>
      <c r="D13" s="225" t="str">
        <v>PROPUESTA_INICIO_COINCIDENTE</v>
      </c>
      <c r="E13" s="225" t="n">
        <v>4</v>
      </c>
      <c r="F13" s="225" t="n">
        <v>2</v>
      </c>
    </row>
    <row r="14" ht="32" customHeight="1">
      <c r="A14" s="225" t="str">
        <v>ICDA</v>
      </c>
      <c r="B14" s="225" t="str">
        <v>4</v>
      </c>
      <c r="C14" s="225" t="str">
        <v>2026</v>
      </c>
      <c r="D14" s="225" t="str">
        <v>PROPUESTA_INTERVALO_NO_ACREDITADO</v>
      </c>
      <c r="E14" s="225" t="n">
        <v>7</v>
      </c>
      <c r="F14" s="225" t="n">
        <v>3</v>
      </c>
    </row>
    <row r="15" ht="32" customHeight="1">
      <c r="A15" s="225" t="str">
        <v>ICIB</v>
      </c>
      <c r="B15" s="225" t="str">
        <v>2</v>
      </c>
      <c r="C15" s="225" t="str">
        <v>2024</v>
      </c>
      <c r="D15" s="225" t="str">
        <v>PROPUESTA_INTERVALO_NO_ACREDITADO</v>
      </c>
      <c r="E15" s="225" t="n">
        <v>23</v>
      </c>
      <c r="F15" s="225" t="n">
        <v>8</v>
      </c>
    </row>
    <row r="16" ht="32" customHeight="1">
      <c r="A16" s="225" t="str">
        <v>ICIB</v>
      </c>
      <c r="B16" s="225" t="str">
        <v>2</v>
      </c>
      <c r="C16" s="225" t="str">
        <v>2025</v>
      </c>
      <c r="D16" s="225" t="str">
        <v>PROPUESTA_INTERVALO_NO_ACREDITADO</v>
      </c>
      <c r="E16" s="225" t="n">
        <v>25</v>
      </c>
      <c r="F16" s="225" t="n">
        <v>10</v>
      </c>
    </row>
    <row r="17" ht="32" customHeight="1">
      <c r="A17" s="225" t="str">
        <v>ICIB</v>
      </c>
      <c r="B17" s="225" t="str">
        <v>2</v>
      </c>
      <c r="C17" s="225" t="str">
        <v>2026</v>
      </c>
      <c r="D17" s="225" t="str">
        <v>PROPUESTA_INTERVALO_NO_ACREDITADO</v>
      </c>
      <c r="E17" s="225" t="n">
        <v>6</v>
      </c>
      <c r="F17" s="225" t="n">
        <v>2</v>
      </c>
    </row>
    <row r="18" ht="32" customHeight="1">
      <c r="A18" s="225" t="str">
        <v>ICIB</v>
      </c>
      <c r="B18" s="225" t="str">
        <v>4</v>
      </c>
      <c r="C18" s="225" t="str">
        <v>2019</v>
      </c>
      <c r="D18" s="225" t="str">
        <v>BLOQUEADO_ANOINGRESO_AUSENTE_O_INVALIDO</v>
      </c>
      <c r="E18" s="225" t="n">
        <v>2</v>
      </c>
      <c r="F18" s="225" t="n">
        <v>1</v>
      </c>
    </row>
    <row r="19" ht="32" customHeight="1">
      <c r="A19" s="225" t="str">
        <v>ICIB</v>
      </c>
      <c r="B19" s="225" t="str">
        <v>4</v>
      </c>
      <c r="C19" s="225" t="str">
        <v>2020</v>
      </c>
      <c r="D19" s="225" t="str">
        <v>BLOQUEADO_ANOINGRESO_AUSENTE_O_INVALIDO</v>
      </c>
      <c r="E19" s="225" t="n">
        <v>2</v>
      </c>
      <c r="F19" s="225" t="n">
        <v>1</v>
      </c>
    </row>
    <row r="20" ht="32" customHeight="1">
      <c r="A20" s="225" t="str">
        <v>ICIB</v>
      </c>
      <c r="B20" s="225" t="str">
        <v>4</v>
      </c>
      <c r="C20" s="225" t="str">
        <v>2021</v>
      </c>
      <c r="D20" s="225" t="str">
        <v>BLOQUEADO_ANOINGRESO_AUSENTE_O_INVALIDO</v>
      </c>
      <c r="E20" s="225" t="n">
        <v>2</v>
      </c>
      <c r="F20" s="225" t="n">
        <v>1</v>
      </c>
    </row>
    <row r="21" ht="32" customHeight="1">
      <c r="A21" s="225" t="str">
        <v>ICIB</v>
      </c>
      <c r="B21" s="225" t="str">
        <v>4</v>
      </c>
      <c r="C21" s="225" t="str">
        <v>2023</v>
      </c>
      <c r="D21" s="225" t="str">
        <v>PROPUESTA_INTERVALO_NO_ACREDITADO</v>
      </c>
      <c r="E21" s="225" t="n">
        <v>1</v>
      </c>
      <c r="F21" s="225" t="n">
        <v>1</v>
      </c>
    </row>
    <row r="22" ht="32" customHeight="1">
      <c r="A22" s="225" t="str">
        <v>ICIB</v>
      </c>
      <c r="B22" s="225" t="str">
        <v>4</v>
      </c>
      <c r="C22" s="225" t="str">
        <v>2024</v>
      </c>
      <c r="D22" s="225" t="str">
        <v>PROPUESTA_INICIO_COINCIDENTE</v>
      </c>
      <c r="E22" s="225" t="n">
        <v>2</v>
      </c>
      <c r="F22" s="225" t="n">
        <v>1</v>
      </c>
    </row>
    <row r="23" ht="32" customHeight="1">
      <c r="A23" s="225" t="str">
        <v>ICIB</v>
      </c>
      <c r="B23" s="225" t="str">
        <v>4</v>
      </c>
      <c r="C23" s="225" t="str">
        <v>2024</v>
      </c>
      <c r="D23" s="225" t="str">
        <v>PROPUESTA_INTERVALO_NO_ACREDITADO</v>
      </c>
      <c r="E23" s="225" t="n">
        <v>76</v>
      </c>
      <c r="F23" s="225" t="n">
        <v>44</v>
      </c>
    </row>
    <row r="24" ht="32" customHeight="1">
      <c r="A24" s="225" t="str">
        <v>ICIB</v>
      </c>
      <c r="B24" s="225" t="str">
        <v>4</v>
      </c>
      <c r="C24" s="225" t="str">
        <v>2025</v>
      </c>
      <c r="D24" s="225" t="str">
        <v>PROPUESTA_INTERVALO_NO_ACREDITADO</v>
      </c>
      <c r="E24" s="225" t="n">
        <v>95</v>
      </c>
      <c r="F24" s="225" t="n">
        <v>63</v>
      </c>
    </row>
    <row r="25" ht="32" customHeight="1">
      <c r="A25" s="225" t="str">
        <v>ICIB</v>
      </c>
      <c r="B25" s="225" t="str">
        <v>4</v>
      </c>
      <c r="C25" s="225" t="str">
        <v>2026</v>
      </c>
      <c r="D25" s="225" t="str">
        <v>PROPUESTA_INTERVALO_NO_ACREDITADO</v>
      </c>
      <c r="E25" s="225" t="n">
        <v>112</v>
      </c>
      <c r="F25" s="225" t="n">
        <v>76</v>
      </c>
    </row>
    <row r="26" ht="32" customHeight="1">
      <c r="A26" s="225" t="str">
        <v>ICRE</v>
      </c>
      <c r="B26" s="225" t="str">
        <v>2</v>
      </c>
      <c r="C26" s="225" t="str">
        <v>2024</v>
      </c>
      <c r="D26" s="225" t="str">
        <v>BLOQUEADO_PERFIL_DURACION_NO_DETERMINADO_EN_GRUPO</v>
      </c>
      <c r="E26" s="225" t="n">
        <v>3</v>
      </c>
      <c r="F26" s="225" t="n">
        <v>1</v>
      </c>
    </row>
    <row r="27" ht="32" customHeight="1">
      <c r="A27" s="225" t="str">
        <v>ICRE</v>
      </c>
      <c r="B27" s="225" t="str">
        <v>4</v>
      </c>
      <c r="C27" s="225" t="str">
        <v>2023</v>
      </c>
      <c r="D27" s="225" t="str">
        <v>PROPUESTA_INTERVALO_NO_ACREDITADO</v>
      </c>
      <c r="E27" s="225" t="n">
        <v>1</v>
      </c>
      <c r="F27" s="225" t="n">
        <v>1</v>
      </c>
    </row>
    <row r="28" ht="32" customHeight="1">
      <c r="A28" s="225" t="str">
        <v>ICRE</v>
      </c>
      <c r="B28" s="225" t="str">
        <v>4</v>
      </c>
      <c r="C28" s="225" t="str">
        <v>2024</v>
      </c>
      <c r="D28" s="225" t="str">
        <v>PROPUESTA_INTERVALO_NO_ACREDITADO</v>
      </c>
      <c r="E28" s="225" t="n">
        <v>39</v>
      </c>
      <c r="F28" s="225" t="n">
        <v>21</v>
      </c>
    </row>
    <row r="29" ht="32" customHeight="1">
      <c r="A29" s="225" t="str">
        <v>ICRE</v>
      </c>
      <c r="B29" s="225" t="str">
        <v>4</v>
      </c>
      <c r="C29" s="225" t="str">
        <v>2025</v>
      </c>
      <c r="D29" s="225" t="str">
        <v>PROPUESTA_INTERVALO_NO_ACREDITADO</v>
      </c>
      <c r="E29" s="225" t="n">
        <v>14</v>
      </c>
      <c r="F29" s="225" t="n">
        <v>6</v>
      </c>
    </row>
    <row r="30" ht="32" customHeight="1">
      <c r="A30" s="225" t="str">
        <v>ICRE</v>
      </c>
      <c r="B30" s="225" t="str">
        <v>4</v>
      </c>
      <c r="C30" s="225" t="str">
        <v>2026</v>
      </c>
      <c r="D30" s="225" t="str">
        <v>PROPUESTA_INTERVALO_NO_ACREDITADO</v>
      </c>
      <c r="E30" s="225" t="n">
        <v>4</v>
      </c>
      <c r="F30" s="225" t="n">
        <v>4</v>
      </c>
    </row>
    <row r="31" ht="32" customHeight="1">
      <c r="A31" s="225" t="str">
        <v>IECIRE</v>
      </c>
      <c r="B31" s="225" t="str">
        <v>2</v>
      </c>
      <c r="C31" s="225" t="str">
        <v>2019</v>
      </c>
      <c r="D31" s="225" t="str">
        <v>PROPUESTA_INICIO_COINCIDENTE</v>
      </c>
      <c r="E31" s="225" t="n">
        <v>29</v>
      </c>
      <c r="F31" s="225" t="n">
        <v>16</v>
      </c>
    </row>
    <row r="32" ht="32" customHeight="1">
      <c r="A32" s="225" t="str">
        <v>IECIRE</v>
      </c>
      <c r="B32" s="225" t="str">
        <v>2</v>
      </c>
      <c r="C32" s="225" t="str">
        <v>2019</v>
      </c>
      <c r="D32" s="225" t="str">
        <v>PROPUESTA_INTERVALO_NO_ACREDITADO</v>
      </c>
      <c r="E32" s="225" t="n">
        <v>8</v>
      </c>
      <c r="F32" s="225" t="n">
        <v>7</v>
      </c>
    </row>
    <row r="33" ht="32" customHeight="1">
      <c r="A33" s="225" t="str">
        <v>IECIRE</v>
      </c>
      <c r="B33" s="225" t="str">
        <v>2</v>
      </c>
      <c r="C33" s="225" t="str">
        <v>2020</v>
      </c>
      <c r="D33" s="225" t="str">
        <v>PROPUESTA_INICIO_COINCIDENTE</v>
      </c>
      <c r="E33" s="225" t="n">
        <v>16</v>
      </c>
      <c r="F33" s="225" t="n">
        <v>8</v>
      </c>
    </row>
    <row r="34" ht="32" customHeight="1">
      <c r="A34" s="225" t="str">
        <v>IECIRE</v>
      </c>
      <c r="B34" s="225" t="str">
        <v>2</v>
      </c>
      <c r="C34" s="225" t="str">
        <v>2020</v>
      </c>
      <c r="D34" s="225" t="str">
        <v>PROPUESTA_INTERVALO_NO_ACREDITADO</v>
      </c>
      <c r="E34" s="225" t="n">
        <v>8</v>
      </c>
      <c r="F34" s="225" t="n">
        <v>6</v>
      </c>
    </row>
    <row r="35" ht="32" customHeight="1">
      <c r="A35" s="225" t="str">
        <v>IECIRE</v>
      </c>
      <c r="B35" s="225" t="str">
        <v>2</v>
      </c>
      <c r="C35" s="225" t="str">
        <v>2021</v>
      </c>
      <c r="D35" s="225" t="str">
        <v>BLOQUEADO_COHORTE_ANTERIOR_COBERTURA_OFERTA</v>
      </c>
      <c r="E35" s="225" t="n">
        <v>1</v>
      </c>
      <c r="F35" s="225" t="n">
        <v>1</v>
      </c>
    </row>
    <row r="36" ht="32" customHeight="1">
      <c r="A36" s="225" t="str">
        <v>IECIRE</v>
      </c>
      <c r="B36" s="225" t="str">
        <v>2</v>
      </c>
      <c r="C36" s="225" t="str">
        <v>2021</v>
      </c>
      <c r="D36" s="225" t="str">
        <v>PROPUESTA_INICIO_COINCIDENTE</v>
      </c>
      <c r="E36" s="225" t="n">
        <v>4</v>
      </c>
      <c r="F36" s="225" t="n">
        <v>2</v>
      </c>
    </row>
    <row r="37" ht="32" customHeight="1">
      <c r="A37" s="225" t="str">
        <v>IECIRE</v>
      </c>
      <c r="B37" s="225" t="str">
        <v>2</v>
      </c>
      <c r="C37" s="225" t="str">
        <v>2021</v>
      </c>
      <c r="D37" s="225" t="str">
        <v>PROPUESTA_INTERVALO_NO_ACREDITADO</v>
      </c>
      <c r="E37" s="225" t="n">
        <v>10</v>
      </c>
      <c r="F37" s="225" t="n">
        <v>6</v>
      </c>
    </row>
    <row r="38" ht="32" customHeight="1">
      <c r="A38" s="225" t="str">
        <v>IECIRE</v>
      </c>
      <c r="B38" s="225" t="str">
        <v>2</v>
      </c>
      <c r="C38" s="225" t="str">
        <v>2022</v>
      </c>
      <c r="D38" s="225" t="str">
        <v>PROPUESTA_INICIO_COINCIDENTE</v>
      </c>
      <c r="E38" s="225" t="n">
        <v>2</v>
      </c>
      <c r="F38" s="225" t="n">
        <v>1</v>
      </c>
    </row>
    <row r="39" ht="32" customHeight="1">
      <c r="A39" s="225" t="str">
        <v>IECIRE</v>
      </c>
      <c r="B39" s="225" t="str">
        <v>2</v>
      </c>
      <c r="C39" s="225" t="str">
        <v>2022</v>
      </c>
      <c r="D39" s="225" t="str">
        <v>PROPUESTA_INTERVALO_NO_ACREDITADO</v>
      </c>
      <c r="E39" s="225" t="n">
        <v>9</v>
      </c>
      <c r="F39" s="225" t="n">
        <v>5</v>
      </c>
    </row>
    <row r="40" ht="32" customHeight="1">
      <c r="A40" s="225" t="str">
        <v>IECIRE</v>
      </c>
      <c r="B40" s="225" t="str">
        <v>2</v>
      </c>
      <c r="C40" s="225" t="str">
        <v>2023</v>
      </c>
      <c r="D40" s="225" t="str">
        <v>PROPUESTA_INTERVALO_NO_ACREDITADO</v>
      </c>
      <c r="E40" s="225" t="n">
        <v>2</v>
      </c>
      <c r="F40" s="225" t="n">
        <v>2</v>
      </c>
    </row>
    <row r="41" ht="32" customHeight="1">
      <c r="A41" s="225" t="str">
        <v>IECIRE</v>
      </c>
      <c r="B41" s="225" t="str">
        <v>4</v>
      </c>
      <c r="C41" s="225" t="str">
        <v>2019</v>
      </c>
      <c r="D41" s="225" t="str">
        <v>BLOQUEADO_COHORTE_ANTERIOR_INICIO_OFERTA</v>
      </c>
      <c r="E41" s="225" t="n">
        <v>1</v>
      </c>
      <c r="F41" s="225" t="n">
        <v>1</v>
      </c>
    </row>
    <row r="42" ht="32" customHeight="1">
      <c r="A42" s="225" t="str">
        <v>IECIREOL</v>
      </c>
      <c r="B42" s="225" t="str">
        <v>4</v>
      </c>
      <c r="C42" s="225" t="str">
        <v>2019</v>
      </c>
      <c r="D42" s="225" t="str">
        <v>BLOQUEADO_PERFIL_DURACION_NO_DETERMINADO_EN_GRUPO</v>
      </c>
      <c r="E42" s="225" t="n">
        <v>5</v>
      </c>
      <c r="F42" s="225" t="n">
        <v>4</v>
      </c>
    </row>
    <row r="43" ht="32" customHeight="1">
      <c r="A43" s="225" t="str">
        <v>IECIREOL</v>
      </c>
      <c r="B43" s="225" t="str">
        <v>4</v>
      </c>
      <c r="C43" s="225" t="str">
        <v>2020</v>
      </c>
      <c r="D43" s="225" t="str">
        <v>BLOQUEADO_PERFIL_DURACION_NO_DETERMINADO_EN_GRUPO</v>
      </c>
      <c r="E43" s="225" t="n">
        <v>15</v>
      </c>
      <c r="F43" s="225" t="n">
        <v>12</v>
      </c>
    </row>
    <row r="44" ht="32" customHeight="1">
      <c r="A44" s="225" t="str">
        <v>IECIREOL</v>
      </c>
      <c r="B44" s="225" t="str">
        <v>4</v>
      </c>
      <c r="C44" s="225" t="str">
        <v>2021</v>
      </c>
      <c r="D44" s="225" t="str">
        <v>BLOQUEADO_PERFIL_DURACION_NO_DETERMINADO_EN_GRUPO</v>
      </c>
      <c r="E44" s="225" t="n">
        <v>18</v>
      </c>
      <c r="F44" s="225" t="n">
        <v>9</v>
      </c>
    </row>
    <row r="45" ht="32" customHeight="1">
      <c r="A45" s="225" t="str">
        <v>IECIREOL</v>
      </c>
      <c r="B45" s="225" t="str">
        <v>4</v>
      </c>
      <c r="C45" s="225" t="str">
        <v>2022</v>
      </c>
      <c r="D45" s="225" t="str">
        <v>BLOQUEADO_PERFIL_DURACION_NO_DETERMINADO_EN_GRUPO</v>
      </c>
      <c r="E45" s="225" t="n">
        <v>40</v>
      </c>
      <c r="F45" s="225" t="n">
        <v>19</v>
      </c>
    </row>
    <row r="46" ht="32" customHeight="1">
      <c r="A46" s="225" t="str">
        <v>IECIREOL</v>
      </c>
      <c r="B46" s="225" t="str">
        <v>4</v>
      </c>
      <c r="C46" s="225" t="str">
        <v>2023</v>
      </c>
      <c r="D46" s="225" t="str">
        <v>BLOQUEADO_ANOINGRESO_AUSENTE_O_INVALIDO</v>
      </c>
      <c r="E46" s="225" t="n">
        <v>3</v>
      </c>
      <c r="F46" s="225" t="n">
        <v>1</v>
      </c>
    </row>
    <row r="47" ht="32" customHeight="1">
      <c r="A47" s="225" t="str">
        <v>IECIREOL</v>
      </c>
      <c r="B47" s="225" t="str">
        <v>4</v>
      </c>
      <c r="C47" s="225" t="str">
        <v>2023</v>
      </c>
      <c r="D47" s="225" t="str">
        <v>BLOQUEADO_PERFIL_DURACION_NO_DETERMINADO_EN_GRUPO</v>
      </c>
      <c r="E47" s="225" t="n">
        <v>74</v>
      </c>
      <c r="F47" s="225" t="n">
        <v>31</v>
      </c>
    </row>
    <row r="48" ht="32" customHeight="1">
      <c r="A48" s="225" t="str">
        <v>IECIREOL</v>
      </c>
      <c r="B48" s="225" t="str">
        <v>4</v>
      </c>
      <c r="C48" s="225" t="str">
        <v>2024</v>
      </c>
      <c r="D48" s="225" t="str">
        <v>BLOQUEADO_PERFIL_DURACION_NO_DETERMINADO_EN_GRUPO</v>
      </c>
      <c r="E48" s="225" t="n">
        <v>12</v>
      </c>
      <c r="F48" s="225" t="n">
        <v>7</v>
      </c>
    </row>
    <row r="49" ht="32" customHeight="1">
      <c r="A49" s="225" t="str">
        <v>IECIREOL</v>
      </c>
      <c r="B49" s="225" t="str">
        <v>4</v>
      </c>
      <c r="C49" s="225" t="str">
        <v>2026</v>
      </c>
      <c r="D49" s="225" t="str">
        <v>BLOQUEADO_PERFIL_DURACION_NO_DETERMINADO_EN_GRUPO</v>
      </c>
      <c r="E49" s="225" t="n">
        <v>1</v>
      </c>
      <c r="F49" s="225" t="n">
        <v>1</v>
      </c>
    </row>
    <row r="50" ht="32" customHeight="1">
      <c r="A50" s="225" t="str">
        <v>IECSRE</v>
      </c>
      <c r="B50" s="225" t="str">
        <v>2</v>
      </c>
      <c r="C50" s="225" t="str">
        <v>2020</v>
      </c>
      <c r="D50" s="225" t="str">
        <v>BLOQUEADO_SIN_AGRUPACION_EXISTENTE</v>
      </c>
      <c r="E50" s="225" t="n">
        <v>12</v>
      </c>
      <c r="F50" s="225" t="n">
        <v>8</v>
      </c>
    </row>
    <row r="51" ht="32" customHeight="1">
      <c r="A51" s="225" t="str">
        <v>IECSRE</v>
      </c>
      <c r="B51" s="225" t="str">
        <v>2</v>
      </c>
      <c r="C51" s="225" t="str">
        <v>2021</v>
      </c>
      <c r="D51" s="225" t="str">
        <v>BLOQUEADO_SIN_AGRUPACION_EXISTENTE</v>
      </c>
      <c r="E51" s="225" t="n">
        <v>17</v>
      </c>
      <c r="F51" s="225" t="n">
        <v>9</v>
      </c>
    </row>
    <row r="52" ht="32" customHeight="1">
      <c r="A52" s="225" t="str">
        <v>IECSRE</v>
      </c>
      <c r="B52" s="225" t="str">
        <v>2</v>
      </c>
      <c r="C52" s="225" t="str">
        <v>2022</v>
      </c>
      <c r="D52" s="225" t="str">
        <v>BLOQUEADO_SIN_AGRUPACION_EXISTENTE</v>
      </c>
      <c r="E52" s="225" t="n">
        <v>16</v>
      </c>
      <c r="F52" s="225" t="n">
        <v>9</v>
      </c>
    </row>
    <row r="53" ht="32" customHeight="1">
      <c r="A53" s="225" t="str">
        <v>IECSRE</v>
      </c>
      <c r="B53" s="225" t="str">
        <v>2</v>
      </c>
      <c r="C53" s="225" t="str">
        <v>2023</v>
      </c>
      <c r="D53" s="225" t="str">
        <v>BLOQUEADO_SIN_AGRUPACION_EXISTENTE</v>
      </c>
      <c r="E53" s="225" t="n">
        <v>5</v>
      </c>
      <c r="F53" s="225" t="n">
        <v>4</v>
      </c>
    </row>
    <row r="54" ht="32" customHeight="1">
      <c r="A54" s="225" t="str">
        <v>IECSRE</v>
      </c>
      <c r="B54" s="225" t="str">
        <v>2</v>
      </c>
      <c r="C54" s="225" t="str">
        <v>2025</v>
      </c>
      <c r="D54" s="225" t="str">
        <v>BLOQUEADO_SIN_AGRUPACION_EXISTENTE</v>
      </c>
      <c r="E54" s="225" t="n">
        <v>1</v>
      </c>
      <c r="F54" s="225" t="n">
        <v>1</v>
      </c>
    </row>
    <row r="55" ht="32" customHeight="1">
      <c r="A55" s="225" t="str">
        <v>IECSREOL</v>
      </c>
      <c r="B55" s="225" t="str">
        <v>4</v>
      </c>
      <c r="C55" s="225" t="str">
        <v>2020</v>
      </c>
      <c r="D55" s="225" t="str">
        <v>BLOQUEADO_COHORTE_ANTERIOR_INICIO_OFERTA</v>
      </c>
      <c r="E55" s="225" t="n">
        <v>1</v>
      </c>
      <c r="F55" s="225" t="n">
        <v>1</v>
      </c>
    </row>
    <row r="56" ht="32" customHeight="1">
      <c r="A56" s="225" t="str">
        <v>IECSREOL</v>
      </c>
      <c r="B56" s="225" t="str">
        <v>4</v>
      </c>
      <c r="C56" s="225" t="str">
        <v>2020</v>
      </c>
      <c r="D56" s="225" t="str">
        <v>PROPUESTA_INICIO_COINCIDENTE</v>
      </c>
      <c r="E56" s="225" t="n">
        <v>7</v>
      </c>
      <c r="F56" s="225" t="n">
        <v>7</v>
      </c>
    </row>
    <row r="57" ht="32" customHeight="1">
      <c r="A57" s="225" t="str">
        <v>IECSREOL</v>
      </c>
      <c r="B57" s="225" t="str">
        <v>4</v>
      </c>
      <c r="C57" s="225" t="str">
        <v>2021</v>
      </c>
      <c r="D57" s="225" t="str">
        <v>PROPUESTA_INICIO_COINCIDENTE</v>
      </c>
      <c r="E57" s="225" t="n">
        <v>8</v>
      </c>
      <c r="F57" s="225" t="n">
        <v>5</v>
      </c>
    </row>
    <row r="58" ht="32" customHeight="1">
      <c r="A58" s="225" t="str">
        <v>IECSREOL</v>
      </c>
      <c r="B58" s="225" t="str">
        <v>4</v>
      </c>
      <c r="C58" s="225" t="str">
        <v>2022</v>
      </c>
      <c r="D58" s="225" t="str">
        <v>PROPUESTA_INICIO_COINCIDENTE</v>
      </c>
      <c r="E58" s="225" t="n">
        <v>1</v>
      </c>
      <c r="F58" s="225" t="n">
        <v>1</v>
      </c>
    </row>
    <row r="59" ht="32" customHeight="1">
      <c r="A59" s="225" t="str">
        <v>IECSREOL</v>
      </c>
      <c r="B59" s="225" t="str">
        <v>4</v>
      </c>
      <c r="C59" s="225" t="str">
        <v>2022</v>
      </c>
      <c r="D59" s="225" t="str">
        <v>PROPUESTA_INTERVALO_NO_ACREDITADO</v>
      </c>
      <c r="E59" s="225" t="n">
        <v>41</v>
      </c>
      <c r="F59" s="225" t="n">
        <v>25</v>
      </c>
    </row>
    <row r="60" ht="32" customHeight="1">
      <c r="A60" s="225" t="str">
        <v>IECSREOL</v>
      </c>
      <c r="B60" s="225" t="str">
        <v>4</v>
      </c>
      <c r="C60" s="225" t="str">
        <v>2023</v>
      </c>
      <c r="D60" s="225" t="str">
        <v>PROPUESTA_INICIO_COINCIDENTE</v>
      </c>
      <c r="E60" s="225" t="n">
        <v>6</v>
      </c>
      <c r="F60" s="225" t="n">
        <v>2</v>
      </c>
    </row>
    <row r="61" ht="32" customHeight="1">
      <c r="A61" s="225" t="str">
        <v>IECSREOL</v>
      </c>
      <c r="B61" s="225" t="str">
        <v>4</v>
      </c>
      <c r="C61" s="225" t="str">
        <v>2023</v>
      </c>
      <c r="D61" s="225" t="str">
        <v>PROPUESTA_INTERVALO_NO_ACREDITADO</v>
      </c>
      <c r="E61" s="225" t="n">
        <v>34</v>
      </c>
      <c r="F61" s="225" t="n">
        <v>23</v>
      </c>
    </row>
    <row r="62" ht="32" customHeight="1">
      <c r="A62" s="225" t="str">
        <v>IEMORE</v>
      </c>
      <c r="B62" s="225" t="str">
        <v>2</v>
      </c>
      <c r="C62" s="225" t="str">
        <v>2019</v>
      </c>
      <c r="D62" s="225" t="str">
        <v>BLOQUEADO_PERFIL_DURACION_NO_DETERMINADO_EN_GRUPO</v>
      </c>
      <c r="E62" s="225" t="n">
        <v>1</v>
      </c>
      <c r="F62" s="225" t="n">
        <v>1</v>
      </c>
    </row>
    <row r="63" ht="32" customHeight="1">
      <c r="A63" s="225" t="str">
        <v>IEMORE</v>
      </c>
      <c r="B63" s="225" t="str">
        <v>2</v>
      </c>
      <c r="C63" s="225" t="str">
        <v>2021</v>
      </c>
      <c r="D63" s="225" t="str">
        <v>BLOQUEADO_PERFIL_DURACION_NO_DETERMINADO_EN_GRUPO</v>
      </c>
      <c r="E63" s="225" t="n">
        <v>1</v>
      </c>
      <c r="F63" s="225" t="n">
        <v>1</v>
      </c>
    </row>
    <row r="64" ht="32" customHeight="1">
      <c r="A64" s="225" t="str">
        <v>IETMRE</v>
      </c>
      <c r="B64" s="225" t="str">
        <v>2</v>
      </c>
      <c r="C64" s="225" t="str">
        <v>2019</v>
      </c>
      <c r="D64" s="225" t="str">
        <v>BLOQUEADO_PERFIL_DURACION_NO_DETERMINADO_EN_GRUPO</v>
      </c>
      <c r="E64" s="225" t="n">
        <v>3</v>
      </c>
      <c r="F64" s="225" t="n">
        <v>3</v>
      </c>
    </row>
    <row r="65" ht="32" customHeight="1">
      <c r="A65" s="225" t="str">
        <v>IETMRE</v>
      </c>
      <c r="B65" s="225" t="str">
        <v>2</v>
      </c>
      <c r="C65" s="225" t="str">
        <v>2020</v>
      </c>
      <c r="D65" s="225" t="str">
        <v>BLOQUEADO_PERFIL_DURACION_NO_DETERMINADO_EN_GRUPO</v>
      </c>
      <c r="E65" s="225" t="n">
        <v>11</v>
      </c>
      <c r="F65" s="225" t="n">
        <v>11</v>
      </c>
    </row>
    <row r="66" ht="32" customHeight="1">
      <c r="A66" s="225" t="str">
        <v>IETMRE</v>
      </c>
      <c r="B66" s="225" t="str">
        <v>2</v>
      </c>
      <c r="C66" s="225" t="str">
        <v>2021</v>
      </c>
      <c r="D66" s="225" t="str">
        <v>BLOQUEADO_PERFIL_DURACION_NO_DETERMINADO_EN_GRUPO</v>
      </c>
      <c r="E66" s="225" t="n">
        <v>1</v>
      </c>
      <c r="F66" s="225" t="n">
        <v>1</v>
      </c>
    </row>
    <row r="67" ht="32" customHeight="1">
      <c r="A67" s="225" t="str">
        <v>IETMRE</v>
      </c>
      <c r="B67" s="225" t="str">
        <v>2</v>
      </c>
      <c r="C67" s="225" t="str">
        <v>2025</v>
      </c>
      <c r="D67" s="225" t="str">
        <v>BLOQUEADO_PERFIL_DURACION_NO_DETERMINADO_EN_GRUPO</v>
      </c>
      <c r="E67" s="225" t="n">
        <v>2</v>
      </c>
      <c r="F67" s="225" t="n">
        <v>2</v>
      </c>
    </row>
    <row r="68" ht="32" customHeight="1">
      <c r="A68" s="225" t="str">
        <v>IETMRE</v>
      </c>
      <c r="B68" s="225" t="str">
        <v>4</v>
      </c>
      <c r="C68" s="225" t="str">
        <v>2020</v>
      </c>
      <c r="D68" s="225" t="str">
        <v>BLOQUEADO_PERFIL_DURACION_NO_DETERMINADO_EN_GRUPO</v>
      </c>
      <c r="E68" s="225" t="n">
        <v>2</v>
      </c>
      <c r="F68" s="225" t="n">
        <v>1</v>
      </c>
    </row>
    <row r="69" ht="32" customHeight="1">
      <c r="A69" s="225" t="str">
        <v>IETMREOL</v>
      </c>
      <c r="B69" s="225" t="str">
        <v>4</v>
      </c>
      <c r="C69" s="225" t="str">
        <v>2019</v>
      </c>
      <c r="D69" s="225" t="str">
        <v>PROPUESTA_INICIO_COINCIDENTE</v>
      </c>
      <c r="E69" s="225" t="n">
        <v>1</v>
      </c>
      <c r="F69" s="225" t="n">
        <v>1</v>
      </c>
    </row>
    <row r="70" ht="32" customHeight="1">
      <c r="A70" s="225" t="str">
        <v>IETMREOL</v>
      </c>
      <c r="B70" s="225" t="str">
        <v>4</v>
      </c>
      <c r="C70" s="225" t="str">
        <v>2020</v>
      </c>
      <c r="D70" s="225" t="str">
        <v>PROPUESTA_INTERVALO_NO_ACREDITADO</v>
      </c>
      <c r="E70" s="225" t="n">
        <v>4</v>
      </c>
      <c r="F70" s="225" t="n">
        <v>3</v>
      </c>
    </row>
    <row r="71" ht="32" customHeight="1">
      <c r="A71" s="225" t="str">
        <v>IETMREOL</v>
      </c>
      <c r="B71" s="225" t="str">
        <v>4</v>
      </c>
      <c r="C71" s="225" t="str">
        <v>2021</v>
      </c>
      <c r="D71" s="225" t="str">
        <v>PROPUESTA_INTERVALO_NO_ACREDITADO</v>
      </c>
      <c r="E71" s="225" t="n">
        <v>34</v>
      </c>
      <c r="F71" s="225" t="n">
        <v>19</v>
      </c>
    </row>
    <row r="72" ht="32" customHeight="1">
      <c r="A72" s="225" t="str">
        <v>IETMREOL</v>
      </c>
      <c r="B72" s="225" t="str">
        <v>4</v>
      </c>
      <c r="C72" s="225" t="str">
        <v>2022</v>
      </c>
      <c r="D72" s="225" t="str">
        <v>PROPUESTA_INICIO_COINCIDENTE</v>
      </c>
      <c r="E72" s="225" t="n">
        <v>5</v>
      </c>
      <c r="F72" s="225" t="n">
        <v>1</v>
      </c>
    </row>
    <row r="73" ht="32" customHeight="1">
      <c r="A73" s="225" t="str">
        <v>IETMREOL</v>
      </c>
      <c r="B73" s="225" t="str">
        <v>4</v>
      </c>
      <c r="C73" s="225" t="str">
        <v>2022</v>
      </c>
      <c r="D73" s="225" t="str">
        <v>PROPUESTA_INTERVALO_NO_ACREDITADO</v>
      </c>
      <c r="E73" s="225" t="n">
        <v>77</v>
      </c>
      <c r="F73" s="225" t="n">
        <v>35</v>
      </c>
    </row>
    <row r="74" ht="32" customHeight="1">
      <c r="A74" s="225" t="str">
        <v>IETMREOL</v>
      </c>
      <c r="B74" s="225" t="str">
        <v>4</v>
      </c>
      <c r="C74" s="225" t="str">
        <v>2023</v>
      </c>
      <c r="D74" s="225" t="str">
        <v>BLOQUEADO_ANOINGRESO_AUSENTE_O_INVALIDO</v>
      </c>
      <c r="E74" s="225" t="n">
        <v>5</v>
      </c>
      <c r="F74" s="225" t="n">
        <v>1</v>
      </c>
    </row>
    <row r="75" ht="32" customHeight="1">
      <c r="A75" s="225" t="str">
        <v>IETMREOL</v>
      </c>
      <c r="B75" s="225" t="str">
        <v>4</v>
      </c>
      <c r="C75" s="225" t="str">
        <v>2023</v>
      </c>
      <c r="D75" s="225" t="str">
        <v>PROPUESTA_INTERVALO_NO_ACREDITADO</v>
      </c>
      <c r="E75" s="225" t="n">
        <v>61</v>
      </c>
      <c r="F75" s="225" t="n">
        <v>27</v>
      </c>
    </row>
    <row r="76" ht="32" customHeight="1">
      <c r="A76" s="225" t="str">
        <v>IETMREOL</v>
      </c>
      <c r="B76" s="225" t="str">
        <v>4</v>
      </c>
      <c r="C76" s="225" t="str">
        <v>2024</v>
      </c>
      <c r="D76" s="225" t="str">
        <v>BLOQUEADO_ANOINGRESO_AUSENTE_O_INVALIDO</v>
      </c>
      <c r="E76" s="225" t="n">
        <v>5</v>
      </c>
      <c r="F76" s="225" t="n">
        <v>1</v>
      </c>
    </row>
    <row r="77" ht="32" customHeight="1">
      <c r="A77" s="225" t="str">
        <v>IETMREOL</v>
      </c>
      <c r="B77" s="225" t="str">
        <v>4</v>
      </c>
      <c r="C77" s="225" t="str">
        <v>2024</v>
      </c>
      <c r="D77" s="225" t="str">
        <v>PROPUESTA_INTERVALO_NO_ACREDITADO</v>
      </c>
      <c r="E77" s="225" t="n">
        <v>6</v>
      </c>
      <c r="F77" s="225" t="n">
        <v>5</v>
      </c>
    </row>
    <row r="78" ht="32" customHeight="1">
      <c r="A78" s="225" t="str">
        <v>IETMREOL</v>
      </c>
      <c r="B78" s="225" t="str">
        <v>4</v>
      </c>
      <c r="C78" s="225" t="str">
        <v>2025</v>
      </c>
      <c r="D78" s="225" t="str">
        <v>BLOQUEADO_ANOINGRESO_AUSENTE_O_INVALIDO</v>
      </c>
      <c r="E78" s="225" t="n">
        <v>3</v>
      </c>
      <c r="F78" s="225" t="n">
        <v>1</v>
      </c>
    </row>
    <row r="79" ht="32" customHeight="1">
      <c r="A79" s="225" t="str">
        <v>IETMREOL</v>
      </c>
      <c r="B79" s="225" t="str">
        <v>4</v>
      </c>
      <c r="C79" s="225" t="str">
        <v>2025</v>
      </c>
      <c r="D79" s="225" t="str">
        <v>PROPUESTA_INTERVALO_NO_ACREDITADO</v>
      </c>
      <c r="E79" s="225" t="n">
        <v>4</v>
      </c>
      <c r="F79" s="225" t="n">
        <v>3</v>
      </c>
    </row>
    <row r="80" ht="32" customHeight="1">
      <c r="A80" s="225" t="str">
        <v>IFIN</v>
      </c>
      <c r="B80" s="225" t="str">
        <v>4</v>
      </c>
      <c r="C80" s="225" t="str">
        <v>2026</v>
      </c>
      <c r="D80" s="225" t="str">
        <v>PROPUESTA_INICIO_COINCIDENTE</v>
      </c>
      <c r="E80" s="225" t="n">
        <v>1</v>
      </c>
      <c r="F80" s="225" t="n">
        <v>1</v>
      </c>
    </row>
    <row r="81" ht="32" customHeight="1">
      <c r="A81" s="225" t="str">
        <v>IIND</v>
      </c>
      <c r="B81" s="225" t="str">
        <v>4</v>
      </c>
      <c r="C81" s="225" t="str">
        <v>2025</v>
      </c>
      <c r="D81" s="225" t="str">
        <v>BLOQUEADO_TIPO_PLAN_AMBIGUO</v>
      </c>
      <c r="E81" s="225" t="n">
        <v>52</v>
      </c>
      <c r="F81" s="225" t="n">
        <v>40</v>
      </c>
    </row>
    <row r="82" ht="32" customHeight="1">
      <c r="A82" s="225" t="str">
        <v>IIND</v>
      </c>
      <c r="B82" s="225" t="str">
        <v>4</v>
      </c>
      <c r="C82" s="225" t="str">
        <v>2026</v>
      </c>
      <c r="D82" s="225" t="str">
        <v>BLOQUEADO_TIPO_PLAN_AMBIGUO</v>
      </c>
      <c r="E82" s="225" t="n">
        <v>84</v>
      </c>
      <c r="F82" s="225" t="n">
        <v>70</v>
      </c>
    </row>
    <row r="83" ht="32" customHeight="1">
      <c r="A83" s="225" t="str">
        <v>IINF</v>
      </c>
      <c r="B83" s="225" t="str">
        <v>1</v>
      </c>
      <c r="C83" s="225" t="str">
        <v>2024</v>
      </c>
      <c r="D83" s="225" t="str">
        <v>PROPUESTA_INTERVALO_NO_ACREDITADO</v>
      </c>
      <c r="E83" s="225" t="n">
        <v>6</v>
      </c>
      <c r="F83" s="225" t="n">
        <v>2</v>
      </c>
    </row>
    <row r="84" ht="32" customHeight="1">
      <c r="A84" s="225" t="str">
        <v>IINF</v>
      </c>
      <c r="B84" s="225" t="str">
        <v>1</v>
      </c>
      <c r="C84" s="225" t="str">
        <v>2025</v>
      </c>
      <c r="D84" s="225" t="str">
        <v>PROPUESTA_INTERVALO_NO_ACREDITADO</v>
      </c>
      <c r="E84" s="225" t="n">
        <v>12</v>
      </c>
      <c r="F84" s="225" t="n">
        <v>4</v>
      </c>
    </row>
    <row r="85" ht="32" customHeight="1">
      <c r="A85" s="225" t="str">
        <v>IINF</v>
      </c>
      <c r="B85" s="225" t="str">
        <v>1</v>
      </c>
      <c r="C85" s="225" t="str">
        <v>2026</v>
      </c>
      <c r="D85" s="225" t="str">
        <v>PROPUESTA_INTERVALO_NO_ACREDITADO</v>
      </c>
      <c r="E85" s="225" t="n">
        <v>14</v>
      </c>
      <c r="F85" s="225" t="n">
        <v>5</v>
      </c>
    </row>
    <row r="86" ht="32" customHeight="1">
      <c r="A86" s="225" t="str">
        <v>IINF</v>
      </c>
      <c r="B86" s="225" t="str">
        <v>2</v>
      </c>
      <c r="C86" s="225" t="str">
        <v>2024</v>
      </c>
      <c r="D86" s="225" t="str">
        <v>BLOQUEADO_AMBIGUEDAD_PERFIL_DURACION</v>
      </c>
      <c r="E86" s="225" t="n">
        <v>3</v>
      </c>
      <c r="F86" s="225" t="n">
        <v>1</v>
      </c>
    </row>
    <row r="87" ht="32" customHeight="1">
      <c r="A87" s="225" t="str">
        <v>IINF</v>
      </c>
      <c r="B87" s="225" t="str">
        <v>2</v>
      </c>
      <c r="C87" s="225" t="str">
        <v>2025</v>
      </c>
      <c r="D87" s="225" t="str">
        <v>BLOQUEADO_AMBIGUEDAD_PERFIL_DURACION</v>
      </c>
      <c r="E87" s="225" t="n">
        <v>7</v>
      </c>
      <c r="F87" s="225" t="n">
        <v>3</v>
      </c>
    </row>
    <row r="88" ht="32" customHeight="1">
      <c r="A88" s="225" t="str">
        <v>IINF</v>
      </c>
      <c r="B88" s="225" t="str">
        <v>2</v>
      </c>
      <c r="C88" s="225" t="str">
        <v>2026</v>
      </c>
      <c r="D88" s="225" t="str">
        <v>BLOQUEADO_AMBIGUEDAD_PERFIL_DURACION</v>
      </c>
      <c r="E88" s="225" t="n">
        <v>3</v>
      </c>
      <c r="F88" s="225" t="n">
        <v>1</v>
      </c>
    </row>
    <row r="89" ht="32" customHeight="1">
      <c r="A89" s="225" t="str">
        <v>IINF</v>
      </c>
      <c r="B89" s="225" t="str">
        <v>4</v>
      </c>
      <c r="C89" s="225" t="str">
        <v>2020</v>
      </c>
      <c r="D89" s="225" t="str">
        <v>PROPUESTA_INTERVALO_NO_ACREDITADO</v>
      </c>
      <c r="E89" s="225" t="n">
        <v>2</v>
      </c>
      <c r="F89" s="225" t="n">
        <v>1</v>
      </c>
    </row>
    <row r="90" ht="32" customHeight="1">
      <c r="A90" s="225" t="str">
        <v>IINF</v>
      </c>
      <c r="B90" s="225" t="str">
        <v>4</v>
      </c>
      <c r="C90" s="225" t="str">
        <v>2021</v>
      </c>
      <c r="D90" s="225" t="str">
        <v>PROPUESTA_INTERVALO_NO_ACREDITADO</v>
      </c>
      <c r="E90" s="225" t="n">
        <v>2</v>
      </c>
      <c r="F90" s="225" t="n">
        <v>1</v>
      </c>
    </row>
    <row r="91" ht="32" customHeight="1">
      <c r="A91" s="225" t="str">
        <v>IINF</v>
      </c>
      <c r="B91" s="225" t="str">
        <v>4</v>
      </c>
      <c r="C91" s="225" t="str">
        <v>2022</v>
      </c>
      <c r="D91" s="225" t="str">
        <v>PROPUESTA_INTERVALO_NO_ACREDITADO</v>
      </c>
      <c r="E91" s="225" t="n">
        <v>1</v>
      </c>
      <c r="F91" s="225" t="n">
        <v>1</v>
      </c>
    </row>
    <row r="92" ht="32" customHeight="1">
      <c r="A92" s="225" t="str">
        <v>IINF</v>
      </c>
      <c r="B92" s="225" t="str">
        <v>4</v>
      </c>
      <c r="C92" s="225" t="str">
        <v>2023</v>
      </c>
      <c r="D92" s="225" t="str">
        <v>PROPUESTA_INTERVALO_NO_ACREDITADO</v>
      </c>
      <c r="E92" s="225" t="n">
        <v>9</v>
      </c>
      <c r="F92" s="225" t="n">
        <v>4</v>
      </c>
    </row>
    <row r="93" ht="32" customHeight="1">
      <c r="A93" s="225" t="str">
        <v>IINF</v>
      </c>
      <c r="B93" s="225" t="str">
        <v>4</v>
      </c>
      <c r="C93" s="225" t="str">
        <v>2024</v>
      </c>
      <c r="D93" s="225" t="str">
        <v>BLOQUEADO_ANOINGRESO_AUSENTE_O_INVALIDO</v>
      </c>
      <c r="E93" s="225" t="n">
        <v>1</v>
      </c>
      <c r="F93" s="225" t="n">
        <v>1</v>
      </c>
    </row>
    <row r="94" ht="32" customHeight="1">
      <c r="A94" s="225" t="str">
        <v>IINF</v>
      </c>
      <c r="B94" s="225" t="str">
        <v>4</v>
      </c>
      <c r="C94" s="225" t="str">
        <v>2024</v>
      </c>
      <c r="D94" s="225" t="str">
        <v>PROPUESTA_INTERVALO_NO_ACREDITADO</v>
      </c>
      <c r="E94" s="225" t="n">
        <v>69</v>
      </c>
      <c r="F94" s="225" t="n">
        <v>37</v>
      </c>
    </row>
    <row r="95" ht="32" customHeight="1">
      <c r="A95" s="225" t="str">
        <v>IINF</v>
      </c>
      <c r="B95" s="225" t="str">
        <v>4</v>
      </c>
      <c r="C95" s="225" t="str">
        <v>2025</v>
      </c>
      <c r="D95" s="225" t="str">
        <v>PROPUESTA_INTERVALO_NO_ACREDITADO</v>
      </c>
      <c r="E95" s="225" t="n">
        <v>117</v>
      </c>
      <c r="F95" s="225" t="n">
        <v>66</v>
      </c>
    </row>
    <row r="96" ht="32" customHeight="1">
      <c r="A96" s="225" t="str">
        <v>IINF</v>
      </c>
      <c r="B96" s="225" t="str">
        <v>4</v>
      </c>
      <c r="C96" s="225" t="str">
        <v>2026</v>
      </c>
      <c r="D96" s="225" t="str">
        <v>PROPUESTA_INTERVALO_NO_ACREDITADO</v>
      </c>
      <c r="E96" s="225" t="n">
        <v>94</v>
      </c>
      <c r="F96" s="225" t="n">
        <v>67</v>
      </c>
    </row>
    <row r="97" ht="32" customHeight="1">
      <c r="A97" s="225" t="str">
        <v>ILOG</v>
      </c>
      <c r="B97" s="225" t="str">
        <v>4</v>
      </c>
      <c r="C97" s="225" t="str">
        <v>2024</v>
      </c>
      <c r="D97" s="225" t="str">
        <v>PROPUESTA_INICIO_COINCIDENTE</v>
      </c>
      <c r="E97" s="225" t="n">
        <v>3</v>
      </c>
      <c r="F97" s="225" t="n">
        <v>1</v>
      </c>
    </row>
    <row r="98" ht="32" customHeight="1">
      <c r="A98" s="225" t="str">
        <v>ILOG</v>
      </c>
      <c r="B98" s="225" t="str">
        <v>4</v>
      </c>
      <c r="C98" s="225" t="str">
        <v>2024</v>
      </c>
      <c r="D98" s="225" t="str">
        <v>PROPUESTA_INTERVALO_NO_ACREDITADO</v>
      </c>
      <c r="E98" s="225" t="n">
        <v>2</v>
      </c>
      <c r="F98" s="225" t="n">
        <v>1</v>
      </c>
    </row>
    <row r="99" ht="32" customHeight="1">
      <c r="A99" s="225" t="str">
        <v>ILOG</v>
      </c>
      <c r="B99" s="225" t="str">
        <v>4</v>
      </c>
      <c r="C99" s="225" t="str">
        <v>2025</v>
      </c>
      <c r="D99" s="225" t="str">
        <v>PROPUESTA_INICIO_COINCIDENTE</v>
      </c>
      <c r="E99" s="225" t="n">
        <v>3</v>
      </c>
      <c r="F99" s="225" t="n">
        <v>1</v>
      </c>
    </row>
    <row r="100" ht="32" customHeight="1">
      <c r="A100" s="225" t="str">
        <v>ILOG</v>
      </c>
      <c r="B100" s="225" t="str">
        <v>4</v>
      </c>
      <c r="C100" s="225" t="str">
        <v>2025</v>
      </c>
      <c r="D100" s="225" t="str">
        <v>PROPUESTA_INTERVALO_NO_ACREDITADO</v>
      </c>
      <c r="E100" s="225" t="n">
        <v>53</v>
      </c>
      <c r="F100" s="225" t="n">
        <v>35</v>
      </c>
    </row>
    <row r="101" ht="32" customHeight="1">
      <c r="A101" s="225" t="str">
        <v>ILOG</v>
      </c>
      <c r="B101" s="225" t="str">
        <v>4</v>
      </c>
      <c r="C101" s="225" t="str">
        <v>2026</v>
      </c>
      <c r="D101" s="225" t="str">
        <v>PROPUESTA_INTERVALO_NO_ACREDITADO</v>
      </c>
      <c r="E101" s="225" t="n">
        <v>90</v>
      </c>
      <c r="F101" s="225" t="n">
        <v>70</v>
      </c>
    </row>
    <row r="102" ht="32" customHeight="1">
      <c r="A102" s="225" t="str">
        <v>IMDI</v>
      </c>
      <c r="B102" s="225" t="str">
        <v>4</v>
      </c>
      <c r="C102" s="225" t="str">
        <v>2025</v>
      </c>
      <c r="D102" s="225" t="str">
        <v>PROPUESTA_INICIO_COINCIDENTE</v>
      </c>
      <c r="E102" s="225" t="n">
        <v>1</v>
      </c>
      <c r="F102" s="225" t="n">
        <v>1</v>
      </c>
    </row>
    <row r="103" ht="32" customHeight="1">
      <c r="A103" s="225" t="str">
        <v>IMDI</v>
      </c>
      <c r="B103" s="225" t="str">
        <v>4</v>
      </c>
      <c r="C103" s="225" t="str">
        <v>2026</v>
      </c>
      <c r="D103" s="225" t="str">
        <v>PROPUESTA_INICIO_COINCIDENTE</v>
      </c>
      <c r="E103" s="225" t="n">
        <v>99</v>
      </c>
      <c r="F103" s="225" t="n">
        <v>72</v>
      </c>
    </row>
    <row r="104" ht="32" customHeight="1">
      <c r="A104" s="225" t="str">
        <v>IRHU</v>
      </c>
      <c r="B104" s="225" t="str">
        <v>4</v>
      </c>
      <c r="C104" s="225" t="str">
        <v>2026</v>
      </c>
      <c r="D104" s="225" t="str">
        <v>PROPUESTA_INICIO_COINCIDENTE</v>
      </c>
      <c r="E104" s="225" t="n">
        <v>14</v>
      </c>
      <c r="F104" s="225" t="n">
        <v>10</v>
      </c>
    </row>
    <row r="105" ht="32" customHeight="1">
      <c r="A105" s="225" t="str">
        <v>ISEP</v>
      </c>
      <c r="B105" s="225" t="str">
        <v>4</v>
      </c>
      <c r="C105" s="225" t="str">
        <v>2026</v>
      </c>
      <c r="D105" s="225" t="str">
        <v>PROPUESTA_INICIO_COINCIDENTE</v>
      </c>
      <c r="E105" s="225" t="n">
        <v>2</v>
      </c>
      <c r="F105" s="225" t="n">
        <v>2</v>
      </c>
    </row>
    <row r="106" ht="32" customHeight="1">
      <c r="A106" s="225" t="str">
        <v>NATP</v>
      </c>
      <c r="B106" s="225" t="str">
        <v>2</v>
      </c>
      <c r="C106" s="225" t="str">
        <v>2026</v>
      </c>
      <c r="D106" s="225" t="str">
        <v>PROPUESTA_INICIO_COINCIDENTE</v>
      </c>
      <c r="E106" s="225" t="n">
        <v>3</v>
      </c>
      <c r="F106" s="225" t="n">
        <v>3</v>
      </c>
    </row>
    <row r="107" ht="32" customHeight="1">
      <c r="A107" s="225" t="str">
        <v>NCONRE</v>
      </c>
      <c r="B107" s="225" t="str">
        <v>2</v>
      </c>
      <c r="C107" s="225" t="str">
        <v>2020</v>
      </c>
      <c r="D107" s="225" t="str">
        <v>BLOQUEADO_PERFIL_DURACION_NO_DETERMINADO_EN_GRUPO</v>
      </c>
      <c r="E107" s="225" t="n">
        <v>2</v>
      </c>
      <c r="F107" s="225" t="n">
        <v>2</v>
      </c>
    </row>
    <row r="108" ht="32" customHeight="1">
      <c r="A108" s="225" t="str">
        <v>NCONRE</v>
      </c>
      <c r="B108" s="225" t="str">
        <v>4</v>
      </c>
      <c r="C108" s="225" t="str">
        <v>2019</v>
      </c>
      <c r="D108" s="225" t="str">
        <v>BLOQUEADO_PERFIL_DURACION_NO_DETERMINADO_EN_GRUPO</v>
      </c>
      <c r="E108" s="225" t="n">
        <v>4</v>
      </c>
      <c r="F108" s="225" t="n">
        <v>2</v>
      </c>
    </row>
    <row r="109" ht="32" customHeight="1">
      <c r="A109" s="225" t="str">
        <v>NCONRE</v>
      </c>
      <c r="B109" s="225" t="str">
        <v>4</v>
      </c>
      <c r="C109" s="225" t="str">
        <v>2020</v>
      </c>
      <c r="D109" s="225" t="str">
        <v>BLOQUEADO_PERFIL_DURACION_NO_DETERMINADO_EN_GRUPO</v>
      </c>
      <c r="E109" s="225" t="n">
        <v>1</v>
      </c>
      <c r="F109" s="225" t="n">
        <v>1</v>
      </c>
    </row>
    <row r="110" ht="32" customHeight="1">
      <c r="A110" s="225" t="str">
        <v>NCONREOL</v>
      </c>
      <c r="B110" s="225" t="str">
        <v>4</v>
      </c>
      <c r="C110" s="225" t="str">
        <v>2019</v>
      </c>
      <c r="D110" s="225" t="str">
        <v>BLOQUEADO_PERFIL_DURACION_NO_DETERMINADO_EN_GRUPO</v>
      </c>
      <c r="E110" s="225" t="n">
        <v>3</v>
      </c>
      <c r="F110" s="225" t="n">
        <v>3</v>
      </c>
    </row>
    <row r="111" ht="32" customHeight="1">
      <c r="A111" s="225" t="str">
        <v>NCONREOL</v>
      </c>
      <c r="B111" s="225" t="str">
        <v>4</v>
      </c>
      <c r="C111" s="225" t="str">
        <v>2020</v>
      </c>
      <c r="D111" s="225" t="str">
        <v>BLOQUEADO_PERFIL_DURACION_NO_DETERMINADO_EN_GRUPO</v>
      </c>
      <c r="E111" s="225" t="n">
        <v>3</v>
      </c>
      <c r="F111" s="225" t="n">
        <v>3</v>
      </c>
    </row>
    <row r="112" ht="32" customHeight="1">
      <c r="A112" s="225" t="str">
        <v>NICCRE</v>
      </c>
      <c r="B112" s="225" t="str">
        <v>2</v>
      </c>
      <c r="C112" s="225" t="str">
        <v>2020</v>
      </c>
      <c r="D112" s="225" t="str">
        <v>PROPUESTA_INICIO_COINCIDENTE</v>
      </c>
      <c r="E112" s="225" t="n">
        <v>1</v>
      </c>
      <c r="F112" s="225" t="n">
        <v>1</v>
      </c>
    </row>
    <row r="113" ht="32" customHeight="1">
      <c r="A113" s="225" t="str">
        <v>NINFRE</v>
      </c>
      <c r="B113" s="225" t="str">
        <v>2</v>
      </c>
      <c r="C113" s="225" t="str">
        <v>2019</v>
      </c>
      <c r="D113" s="225" t="str">
        <v>BLOQUEADO_ANOINGRESO_AUSENTE_O_INVALIDO</v>
      </c>
      <c r="E113" s="225" t="n">
        <v>2</v>
      </c>
      <c r="F113" s="225" t="n">
        <v>1</v>
      </c>
    </row>
    <row r="114" ht="32" customHeight="1">
      <c r="A114" s="225" t="str">
        <v>NINFRE</v>
      </c>
      <c r="B114" s="225" t="str">
        <v>2</v>
      </c>
      <c r="C114" s="225" t="str">
        <v>2020</v>
      </c>
      <c r="D114" s="225" t="str">
        <v>BLOQUEADO_PERFIL_DURACION_NO_DETERMINADO_EN_GRUPO</v>
      </c>
      <c r="E114" s="225" t="n">
        <v>1</v>
      </c>
      <c r="F114" s="225" t="n">
        <v>1</v>
      </c>
    </row>
    <row r="115" ht="32" customHeight="1">
      <c r="A115" s="225" t="str">
        <v>NTCCREOL</v>
      </c>
      <c r="B115" s="225" t="str">
        <v>4</v>
      </c>
      <c r="C115" s="225" t="str">
        <v>2020</v>
      </c>
      <c r="D115" s="225" t="str">
        <v>BLOQUEADO_COHORTE_ANTERIOR_INICIO_OFERTA</v>
      </c>
      <c r="E115" s="225" t="n">
        <v>6</v>
      </c>
      <c r="F115" s="225" t="n">
        <v>5</v>
      </c>
    </row>
    <row r="116" ht="32" customHeight="1">
      <c r="A116" s="225" t="str">
        <v>TAMD</v>
      </c>
      <c r="B116" s="225" t="str">
        <v>2</v>
      </c>
      <c r="C116" s="225" t="str">
        <v>2025</v>
      </c>
      <c r="D116" s="225" t="str">
        <v>PROPUESTA_INTERVALO_NO_ACREDITADO</v>
      </c>
      <c r="E116" s="225" t="n">
        <v>6</v>
      </c>
      <c r="F116" s="225" t="n">
        <v>3</v>
      </c>
    </row>
    <row r="117" ht="32" customHeight="1">
      <c r="A117" s="225" t="str">
        <v>TAMD</v>
      </c>
      <c r="B117" s="225" t="str">
        <v>2</v>
      </c>
      <c r="C117" s="225" t="str">
        <v>2026</v>
      </c>
      <c r="D117" s="225" t="str">
        <v>PROPUESTA_INTERVALO_NO_ACREDITADO</v>
      </c>
      <c r="E117" s="225" t="n">
        <v>3</v>
      </c>
      <c r="F117" s="225" t="n">
        <v>1</v>
      </c>
    </row>
    <row r="118" ht="32" customHeight="1">
      <c r="A118" s="225" t="str">
        <v>TAMD</v>
      </c>
      <c r="B118" s="225" t="str">
        <v>4</v>
      </c>
      <c r="C118" s="225" t="str">
        <v>2024</v>
      </c>
      <c r="D118" s="225" t="str">
        <v>PROPUESTA_INICIO_COINCIDENTE</v>
      </c>
      <c r="E118" s="225" t="n">
        <v>14</v>
      </c>
      <c r="F118" s="225" t="n">
        <v>7</v>
      </c>
    </row>
    <row r="119" ht="32" customHeight="1">
      <c r="A119" s="225" t="str">
        <v>TAMD</v>
      </c>
      <c r="B119" s="225" t="str">
        <v>4</v>
      </c>
      <c r="C119" s="225" t="str">
        <v>2025</v>
      </c>
      <c r="D119" s="225" t="str">
        <v>PROPUESTA_INICIO_COINCIDENTE</v>
      </c>
      <c r="E119" s="225" t="n">
        <v>3</v>
      </c>
      <c r="F119" s="225" t="n">
        <v>1</v>
      </c>
    </row>
    <row r="120" ht="32" customHeight="1">
      <c r="A120" s="225" t="str">
        <v>TAMD</v>
      </c>
      <c r="B120" s="225" t="str">
        <v>4</v>
      </c>
      <c r="C120" s="225" t="str">
        <v>2025</v>
      </c>
      <c r="D120" s="225" t="str">
        <v>PROPUESTA_INTERVALO_NO_ACREDITADO</v>
      </c>
      <c r="E120" s="225" t="n">
        <v>8</v>
      </c>
      <c r="F120" s="225" t="n">
        <v>6</v>
      </c>
    </row>
    <row r="121" ht="32" customHeight="1">
      <c r="A121" s="225" t="str">
        <v>TAMD</v>
      </c>
      <c r="B121" s="225" t="str">
        <v>4</v>
      </c>
      <c r="C121" s="225" t="str">
        <v>2026</v>
      </c>
      <c r="D121" s="225" t="str">
        <v>PROPUESTA_INTERVALO_NO_ACREDITADO</v>
      </c>
      <c r="E121" s="225" t="n">
        <v>87</v>
      </c>
      <c r="F121" s="225" t="n">
        <v>67</v>
      </c>
    </row>
    <row r="122" ht="32" customHeight="1">
      <c r="A122" s="225" t="str">
        <v>TCIB</v>
      </c>
      <c r="B122" s="225" t="str">
        <v>4</v>
      </c>
      <c r="C122" s="225" t="str">
        <v>2024</v>
      </c>
      <c r="D122" s="225" t="str">
        <v>PROPUESTA_INICIO_COINCIDENTE</v>
      </c>
      <c r="E122" s="225" t="n">
        <v>3</v>
      </c>
      <c r="F122" s="225" t="n">
        <v>1</v>
      </c>
    </row>
    <row r="123" ht="32" customHeight="1">
      <c r="A123" s="225" t="str">
        <v>TCIB</v>
      </c>
      <c r="B123" s="225" t="str">
        <v>4</v>
      </c>
      <c r="C123" s="225" t="str">
        <v>2024</v>
      </c>
      <c r="D123" s="225" t="str">
        <v>PROPUESTA_INTERVALO_NO_ACREDITADO</v>
      </c>
      <c r="E123" s="225" t="n">
        <v>24</v>
      </c>
      <c r="F123" s="225" t="n">
        <v>18</v>
      </c>
    </row>
    <row r="124" ht="32" customHeight="1">
      <c r="A124" s="225" t="str">
        <v>TCIB</v>
      </c>
      <c r="B124" s="225" t="str">
        <v>4</v>
      </c>
      <c r="C124" s="225" t="str">
        <v>2025</v>
      </c>
      <c r="D124" s="225" t="str">
        <v>PROPUESTA_INTERVALO_NO_ACREDITADO</v>
      </c>
      <c r="E124" s="225" t="n">
        <v>19</v>
      </c>
      <c r="F124" s="225" t="n">
        <v>8</v>
      </c>
    </row>
    <row r="125" ht="32" customHeight="1">
      <c r="A125" s="225" t="str">
        <v>TCIB</v>
      </c>
      <c r="B125" s="225" t="str">
        <v>4</v>
      </c>
      <c r="C125" s="225" t="str">
        <v>2026</v>
      </c>
      <c r="D125" s="225" t="str">
        <v>PROPUESTA_INTERVALO_NO_ACREDITADO</v>
      </c>
      <c r="E125" s="225" t="n">
        <v>56</v>
      </c>
      <c r="F125" s="225" t="n">
        <v>44</v>
      </c>
    </row>
    <row r="126" ht="32" customHeight="1">
      <c r="A126" s="225" t="str">
        <v>TCRE</v>
      </c>
      <c r="B126" s="225" t="str">
        <v>4</v>
      </c>
      <c r="C126" s="225" t="str">
        <v>2024</v>
      </c>
      <c r="D126" s="225" t="str">
        <v>PROPUESTA_INTERVALO_NO_ACREDITADO</v>
      </c>
      <c r="E126" s="225" t="n">
        <v>10</v>
      </c>
      <c r="F126" s="225" t="n">
        <v>6</v>
      </c>
    </row>
    <row r="127" ht="32" customHeight="1">
      <c r="A127" s="225" t="str">
        <v>TCRE</v>
      </c>
      <c r="B127" s="225" t="str">
        <v>4</v>
      </c>
      <c r="C127" s="225" t="str">
        <v>2025</v>
      </c>
      <c r="D127" s="225" t="str">
        <v>BLOQUEADO_FUERA_AMBITO_2007_2026</v>
      </c>
      <c r="E127" s="225" t="n">
        <v>2</v>
      </c>
      <c r="F127" s="225" t="n">
        <v>1</v>
      </c>
    </row>
    <row r="128" ht="32" customHeight="1">
      <c r="A128" s="225" t="str">
        <v>TCRE</v>
      </c>
      <c r="B128" s="225" t="str">
        <v>4</v>
      </c>
      <c r="C128" s="225" t="str">
        <v>2025</v>
      </c>
      <c r="D128" s="225" t="str">
        <v>PROPUESTA_INTERVALO_NO_ACREDITADO</v>
      </c>
      <c r="E128" s="225" t="n">
        <v>3</v>
      </c>
      <c r="F128" s="225" t="n">
        <v>3</v>
      </c>
    </row>
    <row r="129" ht="32" customHeight="1">
      <c r="A129" s="225" t="str">
        <v>TCRE</v>
      </c>
      <c r="B129" s="225" t="str">
        <v>4</v>
      </c>
      <c r="C129" s="225" t="str">
        <v>2026</v>
      </c>
      <c r="D129" s="225" t="str">
        <v>BLOQUEADO_FUERA_AMBITO_2007_2026</v>
      </c>
      <c r="E129" s="225" t="n">
        <v>1</v>
      </c>
      <c r="F129" s="225" t="n">
        <v>1</v>
      </c>
    </row>
    <row r="130" ht="32" customHeight="1">
      <c r="A130" s="225" t="str">
        <v>TCRE</v>
      </c>
      <c r="B130" s="225" t="str">
        <v>4</v>
      </c>
      <c r="C130" s="225" t="str">
        <v>2026</v>
      </c>
      <c r="D130" s="225" t="str">
        <v>PROPUESTA_INTERVALO_NO_ACREDITADO</v>
      </c>
      <c r="E130" s="225" t="n">
        <v>2</v>
      </c>
      <c r="F130" s="225" t="n">
        <v>2</v>
      </c>
    </row>
    <row r="131" ht="32" customHeight="1">
      <c r="A131" s="225" t="str">
        <v>TCSREOL</v>
      </c>
      <c r="B131" s="225" t="str">
        <v>4</v>
      </c>
      <c r="C131" s="225" t="str">
        <v>2020</v>
      </c>
      <c r="D131" s="225" t="str">
        <v>PROPUESTA_INICIO_COINCIDENTE</v>
      </c>
      <c r="E131" s="225" t="n">
        <v>15</v>
      </c>
      <c r="F131" s="225" t="n">
        <v>10</v>
      </c>
    </row>
    <row r="132" ht="32" customHeight="1">
      <c r="A132" s="225" t="str">
        <v>TCSREOL</v>
      </c>
      <c r="B132" s="225" t="str">
        <v>4</v>
      </c>
      <c r="C132" s="225" t="str">
        <v>2021</v>
      </c>
      <c r="D132" s="225" t="str">
        <v>PROPUESTA_INTERVALO_NO_ACREDITADO</v>
      </c>
      <c r="E132" s="225" t="n">
        <v>18</v>
      </c>
      <c r="F132" s="225" t="n">
        <v>17</v>
      </c>
    </row>
    <row r="133" ht="32" customHeight="1">
      <c r="A133" s="225" t="str">
        <v>TCSREOL</v>
      </c>
      <c r="B133" s="225" t="str">
        <v>4</v>
      </c>
      <c r="C133" s="225" t="str">
        <v>2022</v>
      </c>
      <c r="D133" s="225" t="str">
        <v>PROPUESTA_INTERVALO_NO_ACREDITADO</v>
      </c>
      <c r="E133" s="225" t="n">
        <v>14</v>
      </c>
      <c r="F133" s="225" t="n">
        <v>9</v>
      </c>
    </row>
    <row r="134" ht="32" customHeight="1">
      <c r="A134" s="225" t="str">
        <v>TCSREOL</v>
      </c>
      <c r="B134" s="225" t="str">
        <v>4</v>
      </c>
      <c r="C134" s="225" t="str">
        <v>2023</v>
      </c>
      <c r="D134" s="225" t="str">
        <v>PROPUESTA_INTERVALO_NO_ACREDITADO</v>
      </c>
      <c r="E134" s="225" t="n">
        <v>34</v>
      </c>
      <c r="F134" s="225" t="n">
        <v>14</v>
      </c>
    </row>
    <row r="135" ht="32" customHeight="1">
      <c r="A135" s="225" t="str">
        <v>TCSREOL</v>
      </c>
      <c r="B135" s="225" t="str">
        <v>4</v>
      </c>
      <c r="C135" s="225" t="str">
        <v>2024</v>
      </c>
      <c r="D135" s="225" t="str">
        <v>PROPUESTA_INTERVALO_NO_ACREDITADO</v>
      </c>
      <c r="E135" s="225" t="n">
        <v>8</v>
      </c>
      <c r="F135" s="225" t="n">
        <v>5</v>
      </c>
    </row>
    <row r="136" ht="32" customHeight="1">
      <c r="A136" s="225" t="str">
        <v>TLOG</v>
      </c>
      <c r="B136" s="225" t="str">
        <v>4</v>
      </c>
      <c r="C136" s="225" t="str">
        <v>2024</v>
      </c>
      <c r="D136" s="225" t="str">
        <v>PROPUESTA_INICIO_COINCIDENTE</v>
      </c>
      <c r="E136" s="225" t="n">
        <v>4</v>
      </c>
      <c r="F136" s="225" t="n">
        <v>2</v>
      </c>
    </row>
    <row r="137" ht="32" customHeight="1">
      <c r="A137" s="225" t="str">
        <v>TLOG</v>
      </c>
      <c r="B137" s="225" t="str">
        <v>4</v>
      </c>
      <c r="C137" s="225" t="str">
        <v>2025</v>
      </c>
      <c r="D137" s="225" t="str">
        <v>PROPUESTA_INICIO_COINCIDENTE</v>
      </c>
      <c r="E137" s="225" t="n">
        <v>2</v>
      </c>
      <c r="F137" s="225" t="n">
        <v>1</v>
      </c>
    </row>
    <row r="138" ht="32" customHeight="1">
      <c r="A138" s="225" t="str">
        <v>TLOG</v>
      </c>
      <c r="B138" s="225" t="str">
        <v>4</v>
      </c>
      <c r="C138" s="225" t="str">
        <v>2025</v>
      </c>
      <c r="D138" s="225" t="str">
        <v>PROPUESTA_INTERVALO_NO_ACREDITADO</v>
      </c>
      <c r="E138" s="225" t="n">
        <v>12</v>
      </c>
      <c r="F138" s="225" t="n">
        <v>4</v>
      </c>
    </row>
    <row r="139" ht="32" customHeight="1">
      <c r="A139" s="225" t="str">
        <v>TLOG</v>
      </c>
      <c r="B139" s="225" t="str">
        <v>4</v>
      </c>
      <c r="C139" s="225" t="str">
        <v>2026</v>
      </c>
      <c r="D139" s="225" t="str">
        <v>PROPUESTA_INICIO_COINCIDENTE</v>
      </c>
      <c r="E139" s="225" t="n">
        <v>2</v>
      </c>
      <c r="F139" s="225" t="n">
        <v>1</v>
      </c>
    </row>
    <row r="140" ht="32" customHeight="1">
      <c r="A140" s="225" t="str">
        <v>TLOG</v>
      </c>
      <c r="B140" s="225" t="str">
        <v>4</v>
      </c>
      <c r="C140" s="225" t="str">
        <v>2026</v>
      </c>
      <c r="D140" s="225" t="str">
        <v>PROPUESTA_INTERVALO_NO_ACREDITADO</v>
      </c>
      <c r="E140" s="225" t="n">
        <v>58</v>
      </c>
      <c r="F140" s="225" t="n">
        <v>45</v>
      </c>
    </row>
    <row r="141" ht="32" customHeight="1">
      <c r="A141" s="225" t="str">
        <v>TPAREOL</v>
      </c>
      <c r="B141" s="225" t="str">
        <v>4</v>
      </c>
      <c r="C141" s="225" t="str">
        <v>2020</v>
      </c>
      <c r="D141" s="225" t="str">
        <v>PROPUESTA_INICIO_COINCIDENTE</v>
      </c>
      <c r="E141" s="225" t="n">
        <v>9</v>
      </c>
      <c r="F141" s="225" t="n">
        <v>9</v>
      </c>
    </row>
    <row r="142" ht="32" customHeight="1">
      <c r="A142" s="225" t="str">
        <v>TPAREOL</v>
      </c>
      <c r="B142" s="225" t="str">
        <v>4</v>
      </c>
      <c r="C142" s="225" t="str">
        <v>2021</v>
      </c>
      <c r="D142" s="225" t="str">
        <v>PROPUESTA_INTERVALO_NO_ACREDITADO</v>
      </c>
      <c r="E142" s="225" t="n">
        <v>46</v>
      </c>
      <c r="F142" s="225" t="n">
        <v>25</v>
      </c>
    </row>
    <row r="143" ht="32" customHeight="1">
      <c r="A143" s="225" t="str">
        <v>TPAREOL</v>
      </c>
      <c r="B143" s="225" t="str">
        <v>4</v>
      </c>
      <c r="C143" s="225" t="str">
        <v>2022</v>
      </c>
      <c r="D143" s="225" t="str">
        <v>PROPUESTA_INTERVALO_NO_ACREDITADO</v>
      </c>
      <c r="E143" s="225" t="n">
        <v>63</v>
      </c>
      <c r="F143" s="225" t="n">
        <v>30</v>
      </c>
    </row>
    <row r="144" ht="32" customHeight="1">
      <c r="A144" s="225" t="str">
        <v>TPAREOL</v>
      </c>
      <c r="B144" s="225" t="str">
        <v>4</v>
      </c>
      <c r="C144" s="225" t="str">
        <v>2023</v>
      </c>
      <c r="D144" s="225" t="str">
        <v>PROPUESTA_INICIO_COINCIDENTE</v>
      </c>
      <c r="E144" s="225" t="n">
        <v>1</v>
      </c>
      <c r="F144" s="225" t="n">
        <v>1</v>
      </c>
    </row>
    <row r="145" ht="32" customHeight="1">
      <c r="A145" s="225" t="str">
        <v>TPAREOL</v>
      </c>
      <c r="B145" s="225" t="str">
        <v>4</v>
      </c>
      <c r="C145" s="225" t="str">
        <v>2023</v>
      </c>
      <c r="D145" s="225" t="str">
        <v>PROPUESTA_INTERVALO_NO_ACREDITADO</v>
      </c>
      <c r="E145" s="225" t="n">
        <v>105</v>
      </c>
      <c r="F145" s="225" t="n">
        <v>40</v>
      </c>
    </row>
    <row r="146" ht="32" customHeight="1">
      <c r="A146" s="225" t="str">
        <v>TPAREOL</v>
      </c>
      <c r="B146" s="225" t="str">
        <v>4</v>
      </c>
      <c r="C146" s="225" t="str">
        <v>2024</v>
      </c>
      <c r="D146" s="225" t="str">
        <v>PROPUESTA_INTERVALO_NO_ACREDITADO</v>
      </c>
      <c r="E146" s="225" t="n">
        <v>19</v>
      </c>
      <c r="F146" s="225" t="n">
        <v>14</v>
      </c>
    </row>
    <row r="147" ht="32" customHeight="1">
      <c r="A147" s="225" t="str">
        <v>TPAREOL</v>
      </c>
      <c r="B147" s="225" t="str">
        <v>4</v>
      </c>
      <c r="C147" s="225" t="str">
        <v>2025</v>
      </c>
      <c r="D147" s="225" t="str">
        <v>PROPUESTA_INTERVALO_NO_ACREDITADO</v>
      </c>
      <c r="E147" s="225" t="n">
        <v>2</v>
      </c>
      <c r="F147" s="225" t="n">
        <v>1</v>
      </c>
    </row>
    <row r="148" ht="32" customHeight="1">
      <c r="A148" s="225" t="str">
        <v>TPAS</v>
      </c>
      <c r="B148" s="225" t="str">
        <v>4</v>
      </c>
      <c r="C148" s="225" t="str">
        <v>2021</v>
      </c>
      <c r="D148" s="225" t="str">
        <v>PROPUESTA_INTERVALO_NO_ACREDITADO</v>
      </c>
      <c r="E148" s="225" t="n">
        <v>1</v>
      </c>
      <c r="F148" s="225" t="n">
        <v>1</v>
      </c>
    </row>
    <row r="149" ht="32" customHeight="1">
      <c r="A149" s="225" t="str">
        <v>TPAS</v>
      </c>
      <c r="B149" s="225" t="str">
        <v>4</v>
      </c>
      <c r="C149" s="225" t="str">
        <v>2022</v>
      </c>
      <c r="D149" s="225" t="str">
        <v>PROPUESTA_INTERVALO_NO_ACREDITADO</v>
      </c>
      <c r="E149" s="225" t="n">
        <v>1</v>
      </c>
      <c r="F149" s="225" t="n">
        <v>1</v>
      </c>
    </row>
    <row r="150" ht="32" customHeight="1">
      <c r="A150" s="225" t="str">
        <v>TPAS</v>
      </c>
      <c r="B150" s="225" t="str">
        <v>4</v>
      </c>
      <c r="C150" s="225" t="str">
        <v>2023</v>
      </c>
      <c r="D150" s="225" t="str">
        <v>PROPUESTA_INTERVALO_NO_ACREDITADO</v>
      </c>
      <c r="E150" s="225" t="n">
        <v>3</v>
      </c>
      <c r="F150" s="225" t="n">
        <v>1</v>
      </c>
    </row>
    <row r="151" ht="32" customHeight="1">
      <c r="A151" s="225" t="str">
        <v>TPAS</v>
      </c>
      <c r="B151" s="225" t="str">
        <v>4</v>
      </c>
      <c r="C151" s="225" t="str">
        <v>2024</v>
      </c>
      <c r="D151" s="225" t="str">
        <v>PROPUESTA_INTERVALO_NO_ACREDITADO</v>
      </c>
      <c r="E151" s="225" t="n">
        <v>89</v>
      </c>
      <c r="F151" s="225" t="n">
        <v>61</v>
      </c>
    </row>
    <row r="152" ht="32" customHeight="1">
      <c r="A152" s="225" t="str">
        <v>TPAS</v>
      </c>
      <c r="B152" s="225" t="str">
        <v>4</v>
      </c>
      <c r="C152" s="225" t="str">
        <v>2025</v>
      </c>
      <c r="D152" s="225" t="str">
        <v>PROPUESTA_INTERVALO_NO_ACREDITADO</v>
      </c>
      <c r="E152" s="225" t="n">
        <v>74</v>
      </c>
      <c r="F152" s="225" t="n">
        <v>42</v>
      </c>
    </row>
    <row r="153" ht="32" customHeight="1">
      <c r="A153" s="225" t="str">
        <v>TPAS</v>
      </c>
      <c r="B153" s="225" t="str">
        <v>4</v>
      </c>
      <c r="C153" s="225" t="str">
        <v>2026</v>
      </c>
      <c r="D153" s="225" t="str">
        <v>PROPUESTA_INTERVALO_NO_ACREDITADO</v>
      </c>
      <c r="E153" s="225" t="n">
        <v>84</v>
      </c>
      <c r="F153" s="225" t="n">
        <v>57</v>
      </c>
    </row>
    <row r="154" ht="32" customHeight="1">
      <c r="A154" s="225" t="str">
        <v>TPCRE</v>
      </c>
      <c r="B154" s="225" t="str">
        <v>1</v>
      </c>
      <c r="C154" s="225" t="str">
        <v>2020</v>
      </c>
      <c r="D154" s="225" t="str">
        <v>PROPUESTA_INTERVALO_NO_ACREDITADO</v>
      </c>
      <c r="E154" s="225" t="n">
        <v>1</v>
      </c>
      <c r="F154" s="225" t="n">
        <v>1</v>
      </c>
    </row>
    <row r="155" ht="32" customHeight="1">
      <c r="A155" s="225" t="str">
        <v>TPCRE</v>
      </c>
      <c r="B155" s="225" t="str">
        <v>2</v>
      </c>
      <c r="C155" s="225" t="str">
        <v>2019</v>
      </c>
      <c r="D155" s="225" t="str">
        <v>PROPUESTA_INTERVALO_NO_ACREDITADO</v>
      </c>
      <c r="E155" s="225" t="n">
        <v>1</v>
      </c>
      <c r="F155" s="225" t="n">
        <v>1</v>
      </c>
    </row>
    <row r="156" ht="32" customHeight="1">
      <c r="A156" s="225" t="str">
        <v>TPCRE</v>
      </c>
      <c r="B156" s="225" t="str">
        <v>2</v>
      </c>
      <c r="C156" s="225" t="str">
        <v>2020</v>
      </c>
      <c r="D156" s="225" t="str">
        <v>PROPUESTA_INTERVALO_NO_ACREDITADO</v>
      </c>
      <c r="E156" s="225" t="n">
        <v>1</v>
      </c>
      <c r="F156" s="225" t="n">
        <v>1</v>
      </c>
    </row>
    <row r="157" ht="32" customHeight="1">
      <c r="A157" s="225" t="str">
        <v>TPCREOL</v>
      </c>
      <c r="B157" s="225" t="str">
        <v>4</v>
      </c>
      <c r="C157" s="225" t="str">
        <v>2019</v>
      </c>
      <c r="D157" s="225" t="str">
        <v>PROPUESTA_INICIO_COINCIDENTE</v>
      </c>
      <c r="E157" s="225" t="n">
        <v>5</v>
      </c>
      <c r="F157" s="225" t="n">
        <v>5</v>
      </c>
    </row>
    <row r="158" ht="32" customHeight="1">
      <c r="A158" s="225" t="str">
        <v>TPCREOL</v>
      </c>
      <c r="B158" s="225" t="str">
        <v>4</v>
      </c>
      <c r="C158" s="225" t="str">
        <v>2022</v>
      </c>
      <c r="D158" s="225" t="str">
        <v>PROPUESTA_INICIO_COINCIDENTE</v>
      </c>
      <c r="E158" s="225" t="n">
        <v>2</v>
      </c>
      <c r="F158" s="225" t="n">
        <v>2</v>
      </c>
    </row>
    <row r="159" ht="32" customHeight="1">
      <c r="A159" s="225" t="str">
        <v>TTMRE</v>
      </c>
      <c r="B159" s="225" t="str">
        <v>1</v>
      </c>
      <c r="C159" s="225" t="str">
        <v>2019</v>
      </c>
      <c r="D159" s="225" t="str">
        <v>PROPUESTA_INICIO_COINCIDENTE</v>
      </c>
      <c r="E159" s="225" t="n">
        <v>3</v>
      </c>
      <c r="F159" s="225" t="n">
        <v>2</v>
      </c>
    </row>
    <row r="160" ht="32" customHeight="1">
      <c r="A160" s="225" t="str">
        <v>TTMRE</v>
      </c>
      <c r="B160" s="225" t="str">
        <v>1</v>
      </c>
      <c r="C160" s="225" t="str">
        <v>2020</v>
      </c>
      <c r="D160" s="225" t="str">
        <v>PROPUESTA_INICIO_COINCIDENTE</v>
      </c>
      <c r="E160" s="225" t="n">
        <v>2</v>
      </c>
      <c r="F160" s="225" t="n">
        <v>1</v>
      </c>
    </row>
    <row r="161" ht="32" customHeight="1">
      <c r="A161" s="225" t="str">
        <v>TTMRE</v>
      </c>
      <c r="B161" s="225" t="str">
        <v>1</v>
      </c>
      <c r="C161" s="225" t="str">
        <v>2021</v>
      </c>
      <c r="D161" s="225" t="str">
        <v>PROPUESTA_INICIO_COINCIDENTE</v>
      </c>
      <c r="E161" s="225" t="n">
        <v>1</v>
      </c>
      <c r="F161" s="225" t="n">
        <v>1</v>
      </c>
    </row>
    <row r="162" ht="32" customHeight="1">
      <c r="A162" s="225" t="str">
        <v>TTMRE</v>
      </c>
      <c r="B162" s="225" t="str">
        <v>1</v>
      </c>
      <c r="C162" s="225" t="str">
        <v>2021</v>
      </c>
      <c r="D162" s="225" t="str">
        <v>PROPUESTA_INTERVALO_NO_ACREDITADO</v>
      </c>
      <c r="E162" s="225" t="n">
        <v>1</v>
      </c>
      <c r="F162" s="225" t="n">
        <v>1</v>
      </c>
    </row>
    <row r="163" ht="32" customHeight="1">
      <c r="A163" s="225" t="str">
        <v>TTMRE</v>
      </c>
      <c r="B163" s="225" t="str">
        <v>2</v>
      </c>
      <c r="C163" s="225" t="str">
        <v>2019</v>
      </c>
      <c r="D163" s="225" t="str">
        <v>PROPUESTA_INICIO_COINCIDENTE</v>
      </c>
      <c r="E163" s="225" t="n">
        <v>6</v>
      </c>
      <c r="F163" s="225" t="n">
        <v>3</v>
      </c>
    </row>
    <row r="164" ht="32" customHeight="1">
      <c r="A164" s="225" t="str">
        <v>TTMRE</v>
      </c>
      <c r="B164" s="225" t="str">
        <v>2</v>
      </c>
      <c r="C164" s="225" t="str">
        <v>2020</v>
      </c>
      <c r="D164" s="225" t="str">
        <v>PROPUESTA_INICIO_COINCIDENTE</v>
      </c>
      <c r="E164" s="225" t="n">
        <v>2</v>
      </c>
      <c r="F164" s="225" t="n">
        <v>1</v>
      </c>
    </row>
    <row r="165" ht="32" customHeight="1">
      <c r="A165" s="225" t="str">
        <v>TTMRE</v>
      </c>
      <c r="B165" s="225" t="str">
        <v>2</v>
      </c>
      <c r="C165" s="225" t="str">
        <v>2020</v>
      </c>
      <c r="D165" s="225" t="str">
        <v>PROPUESTA_INTERVALO_NO_ACREDITADO</v>
      </c>
      <c r="E165" s="225" t="n">
        <v>7</v>
      </c>
      <c r="F165" s="225" t="n">
        <v>5</v>
      </c>
    </row>
    <row r="166" ht="32" customHeight="1">
      <c r="A166" s="225" t="str">
        <v>TTMRE</v>
      </c>
      <c r="B166" s="225" t="str">
        <v>2</v>
      </c>
      <c r="C166" s="225" t="str">
        <v>2021</v>
      </c>
      <c r="D166" s="225" t="str">
        <v>PROPUESTA_INICIO_COINCIDENTE</v>
      </c>
      <c r="E166" s="225" t="n">
        <v>2</v>
      </c>
      <c r="F166" s="225" t="n">
        <v>1</v>
      </c>
    </row>
    <row r="167" ht="32" customHeight="1">
      <c r="A167" s="225" t="str">
        <v>TTMRE</v>
      </c>
      <c r="B167" s="225" t="str">
        <v>2</v>
      </c>
      <c r="C167" s="225" t="str">
        <v>2021</v>
      </c>
      <c r="D167" s="225" t="str">
        <v>PROPUESTA_INTERVALO_NO_ACREDITADO</v>
      </c>
      <c r="E167" s="225" t="n">
        <v>1</v>
      </c>
      <c r="F167" s="225" t="n">
        <v>1</v>
      </c>
    </row>
    <row r="168" ht="32" customHeight="1">
      <c r="A168" s="225" t="str">
        <v>TTMRE</v>
      </c>
      <c r="B168" s="225" t="str">
        <v>2</v>
      </c>
      <c r="C168" s="225" t="str">
        <v>2022</v>
      </c>
      <c r="D168" s="225" t="str">
        <v>PROPUESTA_INTERVALO_NO_ACREDITADO</v>
      </c>
      <c r="E168" s="225" t="n">
        <v>3</v>
      </c>
      <c r="F168" s="225" t="n">
        <v>2</v>
      </c>
    </row>
    <row r="169" ht="32" customHeight="1">
      <c r="A169" s="225" t="str">
        <v>TTMRE</v>
      </c>
      <c r="B169" s="225" t="str">
        <v>2</v>
      </c>
      <c r="C169" s="225" t="str">
        <v>2024</v>
      </c>
      <c r="D169" s="225" t="str">
        <v>PROPUESTA_INTERVALO_NO_ACREDITADO</v>
      </c>
      <c r="E169" s="225" t="n">
        <v>2</v>
      </c>
      <c r="F169" s="225" t="n">
        <v>2</v>
      </c>
    </row>
    <row r="170" ht="32" customHeight="1">
      <c r="A170" s="225" t="str">
        <v>TTMREOL</v>
      </c>
      <c r="B170" s="225" t="str">
        <v>4</v>
      </c>
      <c r="C170" s="225" t="str">
        <v>2019</v>
      </c>
      <c r="D170" s="225" t="str">
        <v>PROPUESTA_INICIO_COINCIDENTE</v>
      </c>
      <c r="E170" s="225" t="n">
        <v>1</v>
      </c>
      <c r="F170" s="225" t="n">
        <v>1</v>
      </c>
    </row>
    <row r="171" ht="32" customHeight="1">
      <c r="A171" s="225" t="str">
        <v>TTMREOL</v>
      </c>
      <c r="B171" s="225" t="str">
        <v>4</v>
      </c>
      <c r="C171" s="225" t="str">
        <v>2020</v>
      </c>
      <c r="D171" s="225" t="str">
        <v>PROPUESTA_INTERVALO_NO_ACREDITADO</v>
      </c>
      <c r="E171" s="225" t="n">
        <v>9</v>
      </c>
      <c r="F171" s="225" t="n">
        <v>8</v>
      </c>
    </row>
    <row r="172" ht="32" customHeight="1">
      <c r="A172" s="225" t="str">
        <v>TTMREOL</v>
      </c>
      <c r="B172" s="225" t="str">
        <v>4</v>
      </c>
      <c r="C172" s="225" t="str">
        <v>2021</v>
      </c>
      <c r="D172" s="225" t="str">
        <v>BLOQUEADO_COHORTE_ANTERIOR_INICIO_OFERTA</v>
      </c>
      <c r="E172" s="225" t="n">
        <v>1</v>
      </c>
      <c r="F172" s="225" t="n">
        <v>1</v>
      </c>
    </row>
    <row r="173" ht="32" customHeight="1">
      <c r="A173" s="225" t="str">
        <v>TTMREOL</v>
      </c>
      <c r="B173" s="225" t="str">
        <v>4</v>
      </c>
      <c r="C173" s="225" t="str">
        <v>2021</v>
      </c>
      <c r="D173" s="225" t="str">
        <v>PROPUESTA_INTERVALO_NO_ACREDITADO</v>
      </c>
      <c r="E173" s="225" t="n">
        <v>37</v>
      </c>
      <c r="F173" s="225" t="n">
        <v>20</v>
      </c>
    </row>
    <row r="174" ht="32" customHeight="1">
      <c r="A174" s="225" t="str">
        <v>TTMREOL</v>
      </c>
      <c r="B174" s="225" t="str">
        <v>4</v>
      </c>
      <c r="C174" s="225" t="str">
        <v>2022</v>
      </c>
      <c r="D174" s="225" t="str">
        <v>PROPUESTA_INTERVALO_NO_ACREDITADO</v>
      </c>
      <c r="E174" s="225" t="n">
        <v>23</v>
      </c>
      <c r="F174" s="225" t="n">
        <v>11</v>
      </c>
    </row>
    <row r="175" ht="32" customHeight="1">
      <c r="A175" s="225" t="str">
        <v>TTMREOL</v>
      </c>
      <c r="B175" s="225" t="str">
        <v>4</v>
      </c>
      <c r="C175" s="225" t="str">
        <v>2023</v>
      </c>
      <c r="D175" s="225" t="str">
        <v>PROPUESTA_INTERVALO_NO_ACREDITADO</v>
      </c>
      <c r="E175" s="225" t="n">
        <v>19</v>
      </c>
      <c r="F175" s="225" t="n">
        <v>8</v>
      </c>
    </row>
    <row r="176" ht="32" customHeight="1">
      <c r="A176" s="225" t="str">
        <v>TTMREOL</v>
      </c>
      <c r="B176" s="225" t="str">
        <v>4</v>
      </c>
      <c r="C176" s="225" t="str">
        <v>2024</v>
      </c>
      <c r="D176" s="225" t="str">
        <v>PROPUESTA_INTERVALO_NO_ACREDITADO</v>
      </c>
      <c r="E176" s="225" t="n">
        <v>7</v>
      </c>
      <c r="F176" s="225" t="n">
        <v>6</v>
      </c>
    </row>
    <row r="177" ht="32" customHeight="1">
      <c r="A177" s="225" t="str">
        <v>TTMREOL</v>
      </c>
      <c r="B177" s="225" t="str">
        <v>4</v>
      </c>
      <c r="C177" s="225" t="str">
        <v>2025</v>
      </c>
      <c r="D177" s="225" t="str">
        <v>PROPUESTA_INTERVALO_NO_ACREDITADO</v>
      </c>
      <c r="E177" s="225" t="n">
        <v>3</v>
      </c>
      <c r="F177" s="225" t="n">
        <v>3</v>
      </c>
    </row>
  </sheetData>
  <pageMargins left="0.7" right="0.7" top="0.75" bottom="0.75" header="0.3" footer="0.3"/>
</worksheet>
</file>

<file path=xl/worksheets/sheet45.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8" hidden="0" customWidth="1"/>
    <col min="2" max="2" width="22" hidden="0" customWidth="1"/>
    <col min="3" max="3" width="22" hidden="0" customWidth="1"/>
    <col min="4" max="4" width="90" hidden="0" customWidth="1"/>
  </cols>
  <sheetData>
    <row r="1" ht="48" customHeight="1">
      <c r="A1" s="237" t="str">
        <v>V9 · Validación separada · 23/10/2026</v>
      </c>
      <c r="B1" s="5"/>
      <c r="C1" s="5"/>
      <c r="D1" s="5"/>
    </row>
    <row r="2" ht="48" customHeight="1">
      <c r="A2" s="234" t="str">
        <v>811 con MU personal de otra fecha y1354 por perfil/cohorte. Escenario501 no aplicado.</v>
      </c>
      <c r="B2" s="2"/>
      <c r="C2" s="2"/>
      <c r="D2" s="2"/>
    </row>
    <row r="3" ht="48" customHeight="1">
      <c r="A3" s="234" t="str">
        <v>Regla existente FCU2026 reconocida solo como correspondencia interna; no envío SIES ni plan histórico.</v>
      </c>
      <c r="B3" s="2"/>
      <c r="C3" s="2"/>
      <c r="D3" s="2"/>
    </row>
    <row r="4" ht="48" customHeight="1">
      <c r="A4" s="239" t="str">
        <v>Indicador</v>
      </c>
      <c r="B4" s="239" t="str">
        <v>Antes</v>
      </c>
      <c r="C4" s="239" t="str">
        <v>Ahora</v>
      </c>
      <c r="D4" s="239" t="str">
        <v>Alcance</v>
      </c>
    </row>
    <row r="5" ht="48" customHeight="1">
      <c r="A5" s="234" t="str">
        <v>Observaciones foco</v>
      </c>
      <c r="B5" s="234" t="n">
        <v>2165</v>
      </c>
      <c r="C5" s="234" t="n">
        <v>2165</v>
      </c>
      <c r="D5" s="234" t="str">
        <v>811+1354; otras1048 pendientes intactas</v>
      </c>
    </row>
    <row r="6" ht="48" customHeight="1">
      <c r="A6" s="234" t="str">
        <v>Correspondencia interna por regla vigente</v>
      </c>
      <c r="B6" s="234" t="n">
        <v>0</v>
      </c>
      <c r="C6" s="234" t="n">
        <v>119</v>
      </c>
      <c r="D6" s="234" t="str">
        <v>IMDI99, IRHU14, NATP3, ISEP2, IFIN1; año2026</v>
      </c>
    </row>
    <row r="7" ht="48" customHeight="1">
      <c r="A7" s="234" t="str">
        <v>Personas adicionales completas internamente</v>
      </c>
      <c r="B7" s="234" t="n">
        <v>0</v>
      </c>
      <c r="C7" s="234" t="n">
        <v>87</v>
      </c>
      <c r="D7" s="234" t="str">
        <v>88 personas con regla:87 completas y1 parcial</v>
      </c>
    </row>
    <row r="8" ht="48" customHeight="1">
      <c r="A8" s="234" t="str">
        <v>Personas adicionales parciales internamente</v>
      </c>
      <c r="B8" s="234" t="n">
        <v>0</v>
      </c>
      <c r="C8" s="234" t="n">
        <v>1</v>
      </c>
      <c r="D8" s="234" t="str">
        <v>Conserva al menos una observación interna pendiente</v>
      </c>
    </row>
    <row r="9" ht="48" customHeight="1">
      <c r="A9" s="234" t="str">
        <v>Personas pendientes de correspondencia interna</v>
      </c>
      <c r="B9" s="234" t="n">
        <v>1838</v>
      </c>
      <c r="C9" s="234" t="n">
        <v>1751</v>
      </c>
      <c r="D9" s="234" t="str">
        <v>Universo5901; se reconoce regla existente, no escenario501</v>
      </c>
    </row>
    <row r="10" ht="48" customHeight="1">
      <c r="A10" s="234" t="str">
        <v>Proporción pendiente interna</v>
      </c>
      <c r="B10" s="240" t="n">
        <v>0.31147263175732925</v>
      </c>
      <c r="C10" s="240" t="n">
        <v>0.2967293679037451</v>
      </c>
      <c r="D10" s="234" t="str">
        <v>No confundir con indicador documental o retención</v>
      </c>
    </row>
    <row r="11" ht="48" customHeight="1">
      <c r="A11" s="234" t="str">
        <v>Observaciones internas pendientes</v>
      </c>
      <c r="B11" s="234" t="n">
        <v>3213</v>
      </c>
      <c r="C11" s="234" t="n">
        <v>3094</v>
      </c>
      <c r="D11" s="234" t="str">
        <v>119 reconocidas bajo equivalencia interna vigente</v>
      </c>
    </row>
    <row r="12" ht="48" customHeight="1">
      <c r="A12" s="234" t="str">
        <v>Personas con pendiente documental</v>
      </c>
      <c r="B12" s="234" t="n">
        <v>1838</v>
      </c>
      <c r="C12" s="234" t="n">
        <v>1838</v>
      </c>
      <c r="D12" s="234" t="str">
        <v>No nuevo vínculo individual aplicable al periodo</v>
      </c>
    </row>
    <row r="13" ht="48" customHeight="1">
      <c r="A13" s="234" t="str">
        <v>Observaciones documentales pendientes</v>
      </c>
      <c r="B13" s="234" t="n">
        <v>3213</v>
      </c>
      <c r="C13" s="234" t="n">
        <v>3213</v>
      </c>
      <c r="D13" s="234" t="str">
        <v>Código adoptado internamente no certifica envío</v>
      </c>
    </row>
    <row r="14" ht="48" customHeight="1">
      <c r="A14" s="234" t="str">
        <v>Propuestas condicionadas dentro del foco</v>
      </c>
      <c r="B14" s="2"/>
      <c r="C14" s="234" t="n">
        <v>1919</v>
      </c>
      <c r="D14" s="234" t="str">
        <v>684 grupo811;1235 grupo1354</v>
      </c>
    </row>
    <row r="15" ht="48" customHeight="1">
      <c r="A15" s="234" t="str">
        <v>Con alerta de ingreso MU/DA</v>
      </c>
      <c r="B15" s="2"/>
      <c r="C15" s="234" t="n">
        <v>127</v>
      </c>
      <c r="D15" s="234" t="str">
        <v>85 personas; resolver discrepancia antes de extrapolar</v>
      </c>
    </row>
    <row r="16" ht="48" customHeight="1">
      <c r="A16" s="234" t="str">
        <v>MU del código solo posterior al periodo</v>
      </c>
      <c r="B16" s="2"/>
      <c r="C16" s="234" t="n">
        <v>768</v>
      </c>
      <c r="D16" s="234" t="str">
        <v>Grupo811; no retrotraer automáticamente</v>
      </c>
    </row>
    <row r="17" ht="48" customHeight="1">
      <c r="A17" s="234" t="str">
        <v>MU del código solo anterior</v>
      </c>
      <c r="B17" s="2"/>
      <c r="C17" s="234" t="n">
        <v>41</v>
      </c>
      <c r="D17" s="234" t="str">
        <v>Grupo811; no prolongar automáticamente</v>
      </c>
    </row>
    <row r="18" ht="48" customHeight="1">
      <c r="A18" s="234" t="str">
        <v>MU a ambos lados del periodo</v>
      </c>
      <c r="B18" s="2"/>
      <c r="C18" s="234" t="n">
        <v>2</v>
      </c>
      <c r="D18" s="234" t="str">
        <v>No prueba continuidad del plan en el hueco</v>
      </c>
    </row>
    <row r="19" ht="48" customHeight="1">
      <c r="A19" s="234" t="str">
        <v>Plan con vigencia efectiva acreditada</v>
      </c>
      <c r="B19" s="2"/>
      <c r="C19" s="234" t="n">
        <v>0</v>
      </c>
      <c r="D19" s="234" t="str">
        <v>El catálogo sí confirma carrera/sede de todos los2165</v>
      </c>
    </row>
    <row r="20" ht="48" customHeight="1">
      <c r="A20" s="234" t="str">
        <v>Brecha original de dimensiones</v>
      </c>
      <c r="B20" s="240" t="n">
        <v>0.38095238095238093</v>
      </c>
      <c r="C20" s="240" t="n">
        <v>0.38095238095238093</v>
      </c>
      <c r="D20" s="234" t="str">
        <v>No se recalifican las63 dimensiones</v>
      </c>
    </row>
    <row r="21" ht="48" customHeight="1">
      <c r="A21" s="234" t="str">
        <v>Estado</v>
      </c>
      <c r="B21" s="2"/>
      <c r="C21" s="234" t="str">
        <v>PENDIENTE_APROBACION_GOBERNANZA</v>
      </c>
      <c r="D21" s="234" t="str">
        <v>Solo reglas ya existentes; canon y tasas intactos</v>
      </c>
    </row>
  </sheetData>
  <pageMargins left="0.7" right="0.7" top="0.75" bottom="0.75" header="0.3" footer="0.3"/>
</worksheet>
</file>

<file path=xl/worksheets/sheet46.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22" hidden="0" customWidth="1"/>
    <col min="6" max="6" width="22" hidden="0" customWidth="1"/>
    <col min="7" max="7" width="22" hidden="0" customWidth="1"/>
  </cols>
  <sheetData>
    <row r="1" ht="32" customHeight="1">
      <c r="A1" s="237" t="str">
        <v>Resultados por grupo y carrera</v>
      </c>
      <c r="B1" s="5"/>
      <c r="C1" s="5"/>
      <c r="D1" s="5"/>
      <c r="E1" s="5"/>
      <c r="F1" s="5"/>
      <c r="G1" s="5"/>
    </row>
    <row r="2" ht="32" customHeight="1">
      <c r="A2" s="234" t="str">
        <v>Personas no aditivas entre grupos</v>
      </c>
      <c r="B2" s="2"/>
      <c r="C2" s="2"/>
      <c r="D2" s="2"/>
      <c r="E2" s="2"/>
      <c r="F2" s="2"/>
      <c r="G2" s="2"/>
    </row>
    <row r="3" ht="32" customHeight="1">
      <c r="A3" s="2"/>
      <c r="B3" s="2"/>
      <c r="C3" s="2"/>
      <c r="D3" s="2"/>
      <c r="E3" s="2"/>
      <c r="F3" s="2"/>
      <c r="G3" s="2"/>
    </row>
    <row r="4" ht="32" customHeight="1">
      <c r="A4" s="239" t="str">
        <v>Grupo</v>
      </c>
      <c r="B4" s="239" t="str">
        <v>Carrera</v>
      </c>
      <c r="C4" s="239" t="str">
        <v>Jornada</v>
      </c>
      <c r="D4" s="239" t="str">
        <v>Ano</v>
      </c>
      <c r="E4" s="239" t="str">
        <v>Estado</v>
      </c>
      <c r="F4" s="239" t="str">
        <v>Observaciones</v>
      </c>
      <c r="G4" s="239" t="str">
        <v>Personas_no_aditivas</v>
      </c>
    </row>
    <row r="5" ht="32" customHeight="1">
      <c r="A5" s="234" t="str">
        <v>1354_PERFIL_COHORTE</v>
      </c>
      <c r="B5" s="234" t="str">
        <v>ADMP</v>
      </c>
      <c r="C5" s="234" t="str">
        <v>4</v>
      </c>
      <c r="D5" s="234" t="str">
        <v>2025</v>
      </c>
      <c r="E5" s="234" t="str">
        <v>PROPUESTA_CONDICIONADA</v>
      </c>
      <c r="F5" s="234" t="n">
        <v>33</v>
      </c>
      <c r="G5" s="234" t="n">
        <v>29</v>
      </c>
    </row>
    <row r="6" ht="32" customHeight="1">
      <c r="A6" s="234" t="str">
        <v>1354_PERFIL_COHORTE</v>
      </c>
      <c r="B6" s="234" t="str">
        <v>ADMP</v>
      </c>
      <c r="C6" s="234" t="str">
        <v>4</v>
      </c>
      <c r="D6" s="234" t="str">
        <v>2026</v>
      </c>
      <c r="E6" s="234" t="str">
        <v>PROPUESTA_CONDICIONADA</v>
      </c>
      <c r="F6" s="234" t="n">
        <v>28</v>
      </c>
      <c r="G6" s="234" t="n">
        <v>22</v>
      </c>
    </row>
    <row r="7" ht="32" customHeight="1">
      <c r="A7" s="234" t="str">
        <v>1354_PERFIL_COHORTE</v>
      </c>
      <c r="B7" s="234" t="str">
        <v>AUDT</v>
      </c>
      <c r="C7" s="234" t="str">
        <v>4</v>
      </c>
      <c r="D7" s="234" t="str">
        <v>2025</v>
      </c>
      <c r="E7" s="234" t="str">
        <v>PROPUESTA_CONDICIONADA</v>
      </c>
      <c r="F7" s="234" t="n">
        <v>14</v>
      </c>
      <c r="G7" s="234" t="n">
        <v>11</v>
      </c>
    </row>
    <row r="8" ht="32" customHeight="1">
      <c r="A8" s="234" t="str">
        <v>1354_PERFIL_COHORTE</v>
      </c>
      <c r="B8" s="234" t="str">
        <v>AUDT</v>
      </c>
      <c r="C8" s="234" t="str">
        <v>4</v>
      </c>
      <c r="D8" s="234" t="str">
        <v>2026</v>
      </c>
      <c r="E8" s="234" t="str">
        <v>PROPUESTA_CONDICIONADA</v>
      </c>
      <c r="F8" s="234" t="n">
        <v>23</v>
      </c>
      <c r="G8" s="234" t="n">
        <v>14</v>
      </c>
    </row>
    <row r="9" ht="32" customHeight="1">
      <c r="A9" s="234" t="str">
        <v>1354_PERFIL_COHORTE</v>
      </c>
      <c r="B9" s="234" t="str">
        <v>IADM</v>
      </c>
      <c r="C9" s="234" t="str">
        <v>4</v>
      </c>
      <c r="D9" s="234" t="str">
        <v>2024</v>
      </c>
      <c r="E9" s="234" t="str">
        <v>PROPUESTA_CONDICIONADA</v>
      </c>
      <c r="F9" s="234" t="n">
        <v>22</v>
      </c>
      <c r="G9" s="234" t="n">
        <v>19</v>
      </c>
    </row>
    <row r="10" ht="32" customHeight="1">
      <c r="A10" s="234" t="str">
        <v>1354_PERFIL_COHORTE</v>
      </c>
      <c r="B10" s="234" t="str">
        <v>IADM</v>
      </c>
      <c r="C10" s="234" t="str">
        <v>4</v>
      </c>
      <c r="D10" s="234" t="str">
        <v>2025</v>
      </c>
      <c r="E10" s="234" t="str">
        <v>PROPUESTA_CONDICIONADA</v>
      </c>
      <c r="F10" s="234" t="n">
        <v>47</v>
      </c>
      <c r="G10" s="234" t="n">
        <v>37</v>
      </c>
    </row>
    <row r="11" ht="32" customHeight="1">
      <c r="A11" s="234" t="str">
        <v>1354_PERFIL_COHORTE</v>
      </c>
      <c r="B11" s="234" t="str">
        <v>IADM</v>
      </c>
      <c r="C11" s="234" t="str">
        <v>4</v>
      </c>
      <c r="D11" s="234" t="str">
        <v>2026</v>
      </c>
      <c r="E11" s="234" t="str">
        <v>PROPUESTA_CONDICIONADA</v>
      </c>
      <c r="F11" s="234" t="n">
        <v>107</v>
      </c>
      <c r="G11" s="234" t="n">
        <v>83</v>
      </c>
    </row>
    <row r="12" ht="32" customHeight="1">
      <c r="A12" s="234" t="str">
        <v>1354_PERFIL_COHORTE</v>
      </c>
      <c r="B12" s="234" t="str">
        <v>ICDA</v>
      </c>
      <c r="C12" s="234" t="str">
        <v>4</v>
      </c>
      <c r="D12" s="234" t="str">
        <v>2025</v>
      </c>
      <c r="E12" s="234" t="str">
        <v>PROPUESTA_CONDICIONADA</v>
      </c>
      <c r="F12" s="234" t="n">
        <v>4</v>
      </c>
      <c r="G12" s="234" t="n">
        <v>2</v>
      </c>
    </row>
    <row r="13" ht="32" customHeight="1">
      <c r="A13" s="234" t="str">
        <v>1354_PERFIL_COHORTE</v>
      </c>
      <c r="B13" s="234" t="str">
        <v>ICDA</v>
      </c>
      <c r="C13" s="234" t="str">
        <v>4</v>
      </c>
      <c r="D13" s="234" t="str">
        <v>2026</v>
      </c>
      <c r="E13" s="234" t="str">
        <v>PROPUESTA_CONDICIONADA</v>
      </c>
      <c r="F13" s="234" t="n">
        <v>7</v>
      </c>
      <c r="G13" s="234" t="n">
        <v>3</v>
      </c>
    </row>
    <row r="14" ht="32" customHeight="1">
      <c r="A14" s="234" t="str">
        <v>1354_PERFIL_COHORTE</v>
      </c>
      <c r="B14" s="234" t="str">
        <v>ICIB</v>
      </c>
      <c r="C14" s="234" t="str">
        <v>2</v>
      </c>
      <c r="D14" s="234" t="str">
        <v>2024</v>
      </c>
      <c r="E14" s="234" t="str">
        <v>PROPUESTA_CONDICIONADA</v>
      </c>
      <c r="F14" s="234" t="n">
        <v>5</v>
      </c>
      <c r="G14" s="234" t="n">
        <v>2</v>
      </c>
    </row>
    <row r="15" ht="32" customHeight="1">
      <c r="A15" s="234" t="str">
        <v>1354_PERFIL_COHORTE</v>
      </c>
      <c r="B15" s="234" t="str">
        <v>ICIB</v>
      </c>
      <c r="C15" s="234" t="str">
        <v>2</v>
      </c>
      <c r="D15" s="234" t="str">
        <v>2025</v>
      </c>
      <c r="E15" s="234" t="str">
        <v>PROPUESTA_CONDICIONADA</v>
      </c>
      <c r="F15" s="234" t="n">
        <v>2</v>
      </c>
      <c r="G15" s="234" t="n">
        <v>1</v>
      </c>
    </row>
    <row r="16" ht="32" customHeight="1">
      <c r="A16" s="234" t="str">
        <v>1354_PERFIL_COHORTE</v>
      </c>
      <c r="B16" s="234" t="str">
        <v>ICIB</v>
      </c>
      <c r="C16" s="234" t="str">
        <v>2</v>
      </c>
      <c r="D16" s="234" t="str">
        <v>2026</v>
      </c>
      <c r="E16" s="234" t="str">
        <v>PROPUESTA_CONDICIONADA</v>
      </c>
      <c r="F16" s="234" t="n">
        <v>3</v>
      </c>
      <c r="G16" s="234" t="n">
        <v>1</v>
      </c>
    </row>
    <row r="17" ht="32" customHeight="1">
      <c r="A17" s="234" t="str">
        <v>1354_PERFIL_COHORTE</v>
      </c>
      <c r="B17" s="234" t="str">
        <v>ICIB</v>
      </c>
      <c r="C17" s="234" t="str">
        <v>4</v>
      </c>
      <c r="D17" s="234" t="str">
        <v>2024</v>
      </c>
      <c r="E17" s="234" t="str">
        <v>PROPUESTA_CONDICIONADA</v>
      </c>
      <c r="F17" s="234" t="n">
        <v>23</v>
      </c>
      <c r="G17" s="234" t="n">
        <v>14</v>
      </c>
    </row>
    <row r="18" ht="32" customHeight="1">
      <c r="A18" s="234" t="str">
        <v>1354_PERFIL_COHORTE</v>
      </c>
      <c r="B18" s="234" t="str">
        <v>ICIB</v>
      </c>
      <c r="C18" s="234" t="str">
        <v>4</v>
      </c>
      <c r="D18" s="234" t="str">
        <v>2025</v>
      </c>
      <c r="E18" s="234" t="str">
        <v>PROPUESTA_CONDICIONADA</v>
      </c>
      <c r="F18" s="234" t="n">
        <v>42</v>
      </c>
      <c r="G18" s="234" t="n">
        <v>34</v>
      </c>
    </row>
    <row r="19" ht="32" customHeight="1">
      <c r="A19" s="234" t="str">
        <v>1354_PERFIL_COHORTE</v>
      </c>
      <c r="B19" s="234" t="str">
        <v>ICIB</v>
      </c>
      <c r="C19" s="234" t="str">
        <v>4</v>
      </c>
      <c r="D19" s="234" t="str">
        <v>2026</v>
      </c>
      <c r="E19" s="234" t="str">
        <v>PROPUESTA_CONDICIONADA</v>
      </c>
      <c r="F19" s="234" t="n">
        <v>108</v>
      </c>
      <c r="G19" s="234" t="n">
        <v>74</v>
      </c>
    </row>
    <row r="20" ht="32" customHeight="1">
      <c r="A20" s="234" t="str">
        <v>1354_PERFIL_COHORTE</v>
      </c>
      <c r="B20" s="234" t="str">
        <v>ICRE</v>
      </c>
      <c r="C20" s="234" t="str">
        <v>4</v>
      </c>
      <c r="D20" s="234" t="str">
        <v>2024</v>
      </c>
      <c r="E20" s="234" t="str">
        <v>PROPUESTA_CONDICIONADA</v>
      </c>
      <c r="F20" s="234" t="n">
        <v>5</v>
      </c>
      <c r="G20" s="234" t="n">
        <v>5</v>
      </c>
    </row>
    <row r="21" ht="32" customHeight="1">
      <c r="A21" s="234" t="str">
        <v>1354_PERFIL_COHORTE</v>
      </c>
      <c r="B21" s="234" t="str">
        <v>ICRE</v>
      </c>
      <c r="C21" s="234" t="str">
        <v>4</v>
      </c>
      <c r="D21" s="234" t="str">
        <v>2025</v>
      </c>
      <c r="E21" s="234" t="str">
        <v>PROPUESTA_CONDICIONADA</v>
      </c>
      <c r="F21" s="234" t="n">
        <v>3</v>
      </c>
      <c r="G21" s="234" t="n">
        <v>1</v>
      </c>
    </row>
    <row r="22" ht="32" customHeight="1">
      <c r="A22" s="234" t="str">
        <v>1354_PERFIL_COHORTE</v>
      </c>
      <c r="B22" s="234" t="str">
        <v>ICRE</v>
      </c>
      <c r="C22" s="234" t="str">
        <v>4</v>
      </c>
      <c r="D22" s="234" t="str">
        <v>2026</v>
      </c>
      <c r="E22" s="234" t="str">
        <v>PROPUESTA_CONDICIONADA</v>
      </c>
      <c r="F22" s="234" t="n">
        <v>2</v>
      </c>
      <c r="G22" s="234" t="n">
        <v>2</v>
      </c>
    </row>
    <row r="23" ht="32" customHeight="1">
      <c r="A23" s="234" t="str">
        <v>1354_PERFIL_COHORTE</v>
      </c>
      <c r="B23" s="234" t="str">
        <v>IECSREOL</v>
      </c>
      <c r="C23" s="234" t="str">
        <v>4</v>
      </c>
      <c r="D23" s="234" t="str">
        <v>2021</v>
      </c>
      <c r="E23" s="234" t="str">
        <v>PROPUESTA_CONDICIONADA</v>
      </c>
      <c r="F23" s="234" t="n">
        <v>4</v>
      </c>
      <c r="G23" s="234" t="n">
        <v>3</v>
      </c>
    </row>
    <row r="24" ht="32" customHeight="1">
      <c r="A24" s="234" t="str">
        <v>1354_PERFIL_COHORTE</v>
      </c>
      <c r="B24" s="234" t="str">
        <v>IECSREOL</v>
      </c>
      <c r="C24" s="234" t="str">
        <v>4</v>
      </c>
      <c r="D24" s="234" t="str">
        <v>2022</v>
      </c>
      <c r="E24" s="234" t="str">
        <v>PROPUESTA_CONDICIONADA</v>
      </c>
      <c r="F24" s="234" t="n">
        <v>12</v>
      </c>
      <c r="G24" s="234" t="n">
        <v>11</v>
      </c>
    </row>
    <row r="25" ht="32" customHeight="1">
      <c r="A25" s="234" t="str">
        <v>1354_PERFIL_COHORTE</v>
      </c>
      <c r="B25" s="234" t="str">
        <v>IECSREOL</v>
      </c>
      <c r="C25" s="234" t="str">
        <v>4</v>
      </c>
      <c r="D25" s="234" t="str">
        <v>2023</v>
      </c>
      <c r="E25" s="234" t="str">
        <v>PROPUESTA_CONDICIONADA</v>
      </c>
      <c r="F25" s="234" t="n">
        <v>10</v>
      </c>
      <c r="G25" s="234" t="n">
        <v>9</v>
      </c>
    </row>
    <row r="26" ht="32" customHeight="1">
      <c r="A26" s="234" t="str">
        <v>1354_PERFIL_COHORTE</v>
      </c>
      <c r="B26" s="234" t="str">
        <v>IFIN</v>
      </c>
      <c r="C26" s="234" t="str">
        <v>4</v>
      </c>
      <c r="D26" s="234" t="str">
        <v>2026</v>
      </c>
      <c r="E26" s="234" t="str">
        <v>CORRESPONDENCIA_INTERNA_REGLA_VIGENTE</v>
      </c>
      <c r="F26" s="234" t="n">
        <v>1</v>
      </c>
      <c r="G26" s="234" t="n">
        <v>1</v>
      </c>
    </row>
    <row r="27" ht="32" customHeight="1">
      <c r="A27" s="234" t="str">
        <v>1354_PERFIL_COHORTE</v>
      </c>
      <c r="B27" s="234" t="str">
        <v>IINF</v>
      </c>
      <c r="C27" s="234" t="str">
        <v>4</v>
      </c>
      <c r="D27" s="234" t="str">
        <v>2024</v>
      </c>
      <c r="E27" s="234" t="str">
        <v>PROPUESTA_CONDICIONADA</v>
      </c>
      <c r="F27" s="234" t="n">
        <v>19</v>
      </c>
      <c r="G27" s="234" t="n">
        <v>13</v>
      </c>
    </row>
    <row r="28" ht="32" customHeight="1">
      <c r="A28" s="234" t="str">
        <v>1354_PERFIL_COHORTE</v>
      </c>
      <c r="B28" s="234" t="str">
        <v>IINF</v>
      </c>
      <c r="C28" s="234" t="str">
        <v>4</v>
      </c>
      <c r="D28" s="234" t="str">
        <v>2025</v>
      </c>
      <c r="E28" s="234" t="str">
        <v>PROPUESTA_CONDICIONADA</v>
      </c>
      <c r="F28" s="234" t="n">
        <v>31</v>
      </c>
      <c r="G28" s="234" t="n">
        <v>27</v>
      </c>
    </row>
    <row r="29" ht="32" customHeight="1">
      <c r="A29" s="234" t="str">
        <v>1354_PERFIL_COHORTE</v>
      </c>
      <c r="B29" s="234" t="str">
        <v>IINF</v>
      </c>
      <c r="C29" s="234" t="str">
        <v>4</v>
      </c>
      <c r="D29" s="234" t="str">
        <v>2026</v>
      </c>
      <c r="E29" s="234" t="str">
        <v>PROPUESTA_CONDICIONADA</v>
      </c>
      <c r="F29" s="234" t="n">
        <v>90</v>
      </c>
      <c r="G29" s="234" t="n">
        <v>65</v>
      </c>
    </row>
    <row r="30" ht="32" customHeight="1">
      <c r="A30" s="234" t="str">
        <v>1354_PERFIL_COHORTE</v>
      </c>
      <c r="B30" s="234" t="str">
        <v>ILOG</v>
      </c>
      <c r="C30" s="234" t="str">
        <v>4</v>
      </c>
      <c r="D30" s="234" t="str">
        <v>2025</v>
      </c>
      <c r="E30" s="234" t="str">
        <v>PROPUESTA_CONDICIONADA</v>
      </c>
      <c r="F30" s="234" t="n">
        <v>24</v>
      </c>
      <c r="G30" s="234" t="n">
        <v>19</v>
      </c>
    </row>
    <row r="31" ht="32" customHeight="1">
      <c r="A31" s="234" t="str">
        <v>1354_PERFIL_COHORTE</v>
      </c>
      <c r="B31" s="234" t="str">
        <v>ILOG</v>
      </c>
      <c r="C31" s="234" t="str">
        <v>4</v>
      </c>
      <c r="D31" s="234" t="str">
        <v>2026</v>
      </c>
      <c r="E31" s="234" t="str">
        <v>PROPUESTA_CONDICIONADA</v>
      </c>
      <c r="F31" s="234" t="n">
        <v>90</v>
      </c>
      <c r="G31" s="234" t="n">
        <v>70</v>
      </c>
    </row>
    <row r="32" ht="32" customHeight="1">
      <c r="A32" s="234" t="str">
        <v>1354_PERFIL_COHORTE</v>
      </c>
      <c r="B32" s="234" t="str">
        <v>IMDI</v>
      </c>
      <c r="C32" s="234" t="str">
        <v>4</v>
      </c>
      <c r="D32" s="234" t="str">
        <v>2026</v>
      </c>
      <c r="E32" s="234" t="str">
        <v>CORRESPONDENCIA_INTERNA_REGLA_VIGENTE</v>
      </c>
      <c r="F32" s="234" t="n">
        <v>99</v>
      </c>
      <c r="G32" s="234" t="n">
        <v>72</v>
      </c>
    </row>
    <row r="33" ht="32" customHeight="1">
      <c r="A33" s="234" t="str">
        <v>1354_PERFIL_COHORTE</v>
      </c>
      <c r="B33" s="234" t="str">
        <v>IRHU</v>
      </c>
      <c r="C33" s="234" t="str">
        <v>4</v>
      </c>
      <c r="D33" s="234" t="str">
        <v>2026</v>
      </c>
      <c r="E33" s="234" t="str">
        <v>CORRESPONDENCIA_INTERNA_REGLA_VIGENTE</v>
      </c>
      <c r="F33" s="234" t="n">
        <v>14</v>
      </c>
      <c r="G33" s="234" t="n">
        <v>10</v>
      </c>
    </row>
    <row r="34" ht="32" customHeight="1">
      <c r="A34" s="234" t="str">
        <v>1354_PERFIL_COHORTE</v>
      </c>
      <c r="B34" s="234" t="str">
        <v>ISEP</v>
      </c>
      <c r="C34" s="234" t="str">
        <v>4</v>
      </c>
      <c r="D34" s="234" t="str">
        <v>2026</v>
      </c>
      <c r="E34" s="234" t="str">
        <v>CORRESPONDENCIA_INTERNA_REGLA_VIGENTE</v>
      </c>
      <c r="F34" s="234" t="n">
        <v>2</v>
      </c>
      <c r="G34" s="234" t="n">
        <v>2</v>
      </c>
    </row>
    <row r="35" ht="32" customHeight="1">
      <c r="A35" s="234" t="str">
        <v>1354_PERFIL_COHORTE</v>
      </c>
      <c r="B35" s="234" t="str">
        <v>NATP</v>
      </c>
      <c r="C35" s="234" t="str">
        <v>2</v>
      </c>
      <c r="D35" s="234" t="str">
        <v>2026</v>
      </c>
      <c r="E35" s="234" t="str">
        <v>CORRESPONDENCIA_INTERNA_REGLA_VIGENTE</v>
      </c>
      <c r="F35" s="234" t="n">
        <v>3</v>
      </c>
      <c r="G35" s="234" t="n">
        <v>3</v>
      </c>
    </row>
    <row r="36" ht="32" customHeight="1">
      <c r="A36" s="234" t="str">
        <v>1354_PERFIL_COHORTE</v>
      </c>
      <c r="B36" s="234" t="str">
        <v>TAMD</v>
      </c>
      <c r="C36" s="234" t="str">
        <v>2</v>
      </c>
      <c r="D36" s="234" t="str">
        <v>2025</v>
      </c>
      <c r="E36" s="234" t="str">
        <v>PROPUESTA_CONDICIONADA</v>
      </c>
      <c r="F36" s="234" t="n">
        <v>6</v>
      </c>
      <c r="G36" s="234" t="n">
        <v>3</v>
      </c>
    </row>
    <row r="37" ht="32" customHeight="1">
      <c r="A37" s="234" t="str">
        <v>1354_PERFIL_COHORTE</v>
      </c>
      <c r="B37" s="234" t="str">
        <v>TAMD</v>
      </c>
      <c r="C37" s="234" t="str">
        <v>2</v>
      </c>
      <c r="D37" s="234" t="str">
        <v>2026</v>
      </c>
      <c r="E37" s="234" t="str">
        <v>PROPUESTA_CONDICIONADA</v>
      </c>
      <c r="F37" s="234" t="n">
        <v>3</v>
      </c>
      <c r="G37" s="234" t="n">
        <v>1</v>
      </c>
    </row>
    <row r="38" ht="32" customHeight="1">
      <c r="A38" s="234" t="str">
        <v>1354_PERFIL_COHORTE</v>
      </c>
      <c r="B38" s="234" t="str">
        <v>TAMD</v>
      </c>
      <c r="C38" s="234" t="str">
        <v>4</v>
      </c>
      <c r="D38" s="234" t="str">
        <v>2024</v>
      </c>
      <c r="E38" s="234" t="str">
        <v>PROPUESTA_CONDICIONADA</v>
      </c>
      <c r="F38" s="234" t="n">
        <v>5</v>
      </c>
      <c r="G38" s="234" t="n">
        <v>4</v>
      </c>
    </row>
    <row r="39" ht="32" customHeight="1">
      <c r="A39" s="234" t="str">
        <v>1354_PERFIL_COHORTE</v>
      </c>
      <c r="B39" s="234" t="str">
        <v>TAMD</v>
      </c>
      <c r="C39" s="234" t="str">
        <v>4</v>
      </c>
      <c r="D39" s="234" t="str">
        <v>2025</v>
      </c>
      <c r="E39" s="234" t="str">
        <v>PROPUESTA_CONDICIONADA</v>
      </c>
      <c r="F39" s="234" t="n">
        <v>3</v>
      </c>
      <c r="G39" s="234" t="n">
        <v>3</v>
      </c>
    </row>
    <row r="40" ht="32" customHeight="1">
      <c r="A40" s="234" t="str">
        <v>1354_PERFIL_COHORTE</v>
      </c>
      <c r="B40" s="234" t="str">
        <v>TAMD</v>
      </c>
      <c r="C40" s="234" t="str">
        <v>4</v>
      </c>
      <c r="D40" s="234" t="str">
        <v>2026</v>
      </c>
      <c r="E40" s="234" t="str">
        <v>PROPUESTA_CONDICIONADA</v>
      </c>
      <c r="F40" s="234" t="n">
        <v>87</v>
      </c>
      <c r="G40" s="234" t="n">
        <v>67</v>
      </c>
    </row>
    <row r="41" ht="32" customHeight="1">
      <c r="A41" s="234" t="str">
        <v>1354_PERFIL_COHORTE</v>
      </c>
      <c r="B41" s="234" t="str">
        <v>TCIB</v>
      </c>
      <c r="C41" s="234" t="str">
        <v>4</v>
      </c>
      <c r="D41" s="234" t="str">
        <v>2024</v>
      </c>
      <c r="E41" s="234" t="str">
        <v>PROPUESTA_CONDICIONADA</v>
      </c>
      <c r="F41" s="234" t="n">
        <v>11</v>
      </c>
      <c r="G41" s="234" t="n">
        <v>9</v>
      </c>
    </row>
    <row r="42" ht="32" customHeight="1">
      <c r="A42" s="234" t="str">
        <v>1354_PERFIL_COHORTE</v>
      </c>
      <c r="B42" s="234" t="str">
        <v>TCIB</v>
      </c>
      <c r="C42" s="234" t="str">
        <v>4</v>
      </c>
      <c r="D42" s="234" t="str">
        <v>2025</v>
      </c>
      <c r="E42" s="234" t="str">
        <v>PROPUESTA_CONDICIONADA</v>
      </c>
      <c r="F42" s="234" t="n">
        <v>8</v>
      </c>
      <c r="G42" s="234" t="n">
        <v>4</v>
      </c>
    </row>
    <row r="43" ht="32" customHeight="1">
      <c r="A43" s="234" t="str">
        <v>1354_PERFIL_COHORTE</v>
      </c>
      <c r="B43" s="234" t="str">
        <v>TCIB</v>
      </c>
      <c r="C43" s="234" t="str">
        <v>4</v>
      </c>
      <c r="D43" s="234" t="str">
        <v>2026</v>
      </c>
      <c r="E43" s="234" t="str">
        <v>PROPUESTA_CONDICIONADA</v>
      </c>
      <c r="F43" s="234" t="n">
        <v>55</v>
      </c>
      <c r="G43" s="234" t="n">
        <v>43</v>
      </c>
    </row>
    <row r="44" ht="32" customHeight="1">
      <c r="A44" s="234" t="str">
        <v>1354_PERFIL_COHORTE</v>
      </c>
      <c r="B44" s="234" t="str">
        <v>TCRE</v>
      </c>
      <c r="C44" s="234" t="str">
        <v>4</v>
      </c>
      <c r="D44" s="234" t="str">
        <v>2024</v>
      </c>
      <c r="E44" s="234" t="str">
        <v>PROPUESTA_CONDICIONADA</v>
      </c>
      <c r="F44" s="234" t="n">
        <v>3</v>
      </c>
      <c r="G44" s="234" t="n">
        <v>2</v>
      </c>
    </row>
    <row r="45" ht="32" customHeight="1">
      <c r="A45" s="234" t="str">
        <v>1354_PERFIL_COHORTE</v>
      </c>
      <c r="B45" s="234" t="str">
        <v>TCRE</v>
      </c>
      <c r="C45" s="234" t="str">
        <v>4</v>
      </c>
      <c r="D45" s="234" t="str">
        <v>2025</v>
      </c>
      <c r="E45" s="234" t="str">
        <v>PROPUESTA_CONDICIONADA</v>
      </c>
      <c r="F45" s="234" t="n">
        <v>3</v>
      </c>
      <c r="G45" s="234" t="n">
        <v>3</v>
      </c>
    </row>
    <row r="46" ht="32" customHeight="1">
      <c r="A46" s="234" t="str">
        <v>1354_PERFIL_COHORTE</v>
      </c>
      <c r="B46" s="234" t="str">
        <v>TCRE</v>
      </c>
      <c r="C46" s="234" t="str">
        <v>4</v>
      </c>
      <c r="D46" s="234" t="str">
        <v>2026</v>
      </c>
      <c r="E46" s="234" t="str">
        <v>PROPUESTA_CONDICIONADA</v>
      </c>
      <c r="F46" s="234" t="n">
        <v>2</v>
      </c>
      <c r="G46" s="234" t="n">
        <v>2</v>
      </c>
    </row>
    <row r="47" ht="32" customHeight="1">
      <c r="A47" s="234" t="str">
        <v>1354_PERFIL_COHORTE</v>
      </c>
      <c r="B47" s="234" t="str">
        <v>TCSREOL</v>
      </c>
      <c r="C47" s="234" t="str">
        <v>4</v>
      </c>
      <c r="D47" s="234" t="str">
        <v>2020</v>
      </c>
      <c r="E47" s="234" t="str">
        <v>PROPUESTA_CONDICIONADA</v>
      </c>
      <c r="F47" s="234" t="n">
        <v>2</v>
      </c>
      <c r="G47" s="234" t="n">
        <v>1</v>
      </c>
    </row>
    <row r="48" ht="32" customHeight="1">
      <c r="A48" s="234" t="str">
        <v>1354_PERFIL_COHORTE</v>
      </c>
      <c r="B48" s="234" t="str">
        <v>TCSREOL</v>
      </c>
      <c r="C48" s="234" t="str">
        <v>4</v>
      </c>
      <c r="D48" s="234" t="str">
        <v>2021</v>
      </c>
      <c r="E48" s="234" t="str">
        <v>PROPUESTA_CONDICIONADA</v>
      </c>
      <c r="F48" s="234" t="n">
        <v>7</v>
      </c>
      <c r="G48" s="234" t="n">
        <v>6</v>
      </c>
    </row>
    <row r="49" ht="32" customHeight="1">
      <c r="A49" s="234" t="str">
        <v>1354_PERFIL_COHORTE</v>
      </c>
      <c r="B49" s="234" t="str">
        <v>TCSREOL</v>
      </c>
      <c r="C49" s="234" t="str">
        <v>4</v>
      </c>
      <c r="D49" s="234" t="str">
        <v>2022</v>
      </c>
      <c r="E49" s="234" t="str">
        <v>PROPUESTA_CONDICIONADA</v>
      </c>
      <c r="F49" s="234" t="n">
        <v>6</v>
      </c>
      <c r="G49" s="234" t="n">
        <v>5</v>
      </c>
    </row>
    <row r="50" ht="32" customHeight="1">
      <c r="A50" s="234" t="str">
        <v>1354_PERFIL_COHORTE</v>
      </c>
      <c r="B50" s="234" t="str">
        <v>TCSREOL</v>
      </c>
      <c r="C50" s="234" t="str">
        <v>4</v>
      </c>
      <c r="D50" s="234" t="str">
        <v>2023</v>
      </c>
      <c r="E50" s="234" t="str">
        <v>PROPUESTA_CONDICIONADA</v>
      </c>
      <c r="F50" s="234" t="n">
        <v>16</v>
      </c>
      <c r="G50" s="234" t="n">
        <v>8</v>
      </c>
    </row>
    <row r="51" ht="32" customHeight="1">
      <c r="A51" s="234" t="str">
        <v>1354_PERFIL_COHORTE</v>
      </c>
      <c r="B51" s="234" t="str">
        <v>TLOG</v>
      </c>
      <c r="C51" s="234" t="str">
        <v>4</v>
      </c>
      <c r="D51" s="234" t="str">
        <v>2024</v>
      </c>
      <c r="E51" s="234" t="str">
        <v>PROPUESTA_CONDICIONADA</v>
      </c>
      <c r="F51" s="234" t="n">
        <v>4</v>
      </c>
      <c r="G51" s="234" t="n">
        <v>2</v>
      </c>
    </row>
    <row r="52" ht="32" customHeight="1">
      <c r="A52" s="234" t="str">
        <v>1354_PERFIL_COHORTE</v>
      </c>
      <c r="B52" s="234" t="str">
        <v>TLOG</v>
      </c>
      <c r="C52" s="234" t="str">
        <v>4</v>
      </c>
      <c r="D52" s="234" t="str">
        <v>2025</v>
      </c>
      <c r="E52" s="234" t="str">
        <v>PROPUESTA_CONDICIONADA</v>
      </c>
      <c r="F52" s="234" t="n">
        <v>8</v>
      </c>
      <c r="G52" s="234" t="n">
        <v>3</v>
      </c>
    </row>
    <row r="53" ht="32" customHeight="1">
      <c r="A53" s="234" t="str">
        <v>1354_PERFIL_COHORTE</v>
      </c>
      <c r="B53" s="234" t="str">
        <v>TLOG</v>
      </c>
      <c r="C53" s="234" t="str">
        <v>4</v>
      </c>
      <c r="D53" s="234" t="str">
        <v>2026</v>
      </c>
      <c r="E53" s="234" t="str">
        <v>PROPUESTA_CONDICIONADA</v>
      </c>
      <c r="F53" s="234" t="n">
        <v>60</v>
      </c>
      <c r="G53" s="234" t="n">
        <v>46</v>
      </c>
    </row>
    <row r="54" ht="32" customHeight="1">
      <c r="A54" s="234" t="str">
        <v>1354_PERFIL_COHORTE</v>
      </c>
      <c r="B54" s="234" t="str">
        <v>TPAREOL</v>
      </c>
      <c r="C54" s="234" t="str">
        <v>4</v>
      </c>
      <c r="D54" s="234" t="str">
        <v>2020</v>
      </c>
      <c r="E54" s="234" t="str">
        <v>PROPUESTA_CONDICIONADA</v>
      </c>
      <c r="F54" s="234" t="n">
        <v>1</v>
      </c>
      <c r="G54" s="234" t="n">
        <v>1</v>
      </c>
    </row>
    <row r="55" ht="32" customHeight="1">
      <c r="A55" s="234" t="str">
        <v>1354_PERFIL_COHORTE</v>
      </c>
      <c r="B55" s="234" t="str">
        <v>TPAREOL</v>
      </c>
      <c r="C55" s="234" t="str">
        <v>4</v>
      </c>
      <c r="D55" s="234" t="str">
        <v>2021</v>
      </c>
      <c r="E55" s="234" t="str">
        <v>PROPUESTA_CONDICIONADA</v>
      </c>
      <c r="F55" s="234" t="n">
        <v>15</v>
      </c>
      <c r="G55" s="234" t="n">
        <v>9</v>
      </c>
    </row>
    <row r="56" ht="32" customHeight="1">
      <c r="A56" s="234" t="str">
        <v>1354_PERFIL_COHORTE</v>
      </c>
      <c r="B56" s="234" t="str">
        <v>TPAREOL</v>
      </c>
      <c r="C56" s="234" t="str">
        <v>4</v>
      </c>
      <c r="D56" s="234" t="str">
        <v>2022</v>
      </c>
      <c r="E56" s="234" t="str">
        <v>PROPUESTA_CONDICIONADA</v>
      </c>
      <c r="F56" s="234" t="n">
        <v>16</v>
      </c>
      <c r="G56" s="234" t="n">
        <v>9</v>
      </c>
    </row>
    <row r="57" ht="32" customHeight="1">
      <c r="A57" s="234" t="str">
        <v>1354_PERFIL_COHORTE</v>
      </c>
      <c r="B57" s="234" t="str">
        <v>TPAREOL</v>
      </c>
      <c r="C57" s="234" t="str">
        <v>4</v>
      </c>
      <c r="D57" s="234" t="str">
        <v>2023</v>
      </c>
      <c r="E57" s="234" t="str">
        <v>PROPUESTA_CONDICIONADA</v>
      </c>
      <c r="F57" s="234" t="n">
        <v>33</v>
      </c>
      <c r="G57" s="234" t="n">
        <v>14</v>
      </c>
    </row>
    <row r="58" ht="32" customHeight="1">
      <c r="A58" s="234" t="str">
        <v>1354_PERFIL_COHORTE</v>
      </c>
      <c r="B58" s="234" t="str">
        <v>TPAS</v>
      </c>
      <c r="C58" s="234" t="str">
        <v>4</v>
      </c>
      <c r="D58" s="234" t="str">
        <v>2024</v>
      </c>
      <c r="E58" s="234" t="str">
        <v>PROPUESTA_CONDICIONADA</v>
      </c>
      <c r="F58" s="234" t="n">
        <v>17</v>
      </c>
      <c r="G58" s="234" t="n">
        <v>14</v>
      </c>
    </row>
    <row r="59" ht="32" customHeight="1">
      <c r="A59" s="234" t="str">
        <v>1354_PERFIL_COHORTE</v>
      </c>
      <c r="B59" s="234" t="str">
        <v>TPAS</v>
      </c>
      <c r="C59" s="234" t="str">
        <v>4</v>
      </c>
      <c r="D59" s="234" t="str">
        <v>2025</v>
      </c>
      <c r="E59" s="234" t="str">
        <v>PROPUESTA_CONDICIONADA</v>
      </c>
      <c r="F59" s="234" t="n">
        <v>25</v>
      </c>
      <c r="G59" s="234" t="n">
        <v>17</v>
      </c>
    </row>
    <row r="60" ht="32" customHeight="1">
      <c r="A60" s="234" t="str">
        <v>1354_PERFIL_COHORTE</v>
      </c>
      <c r="B60" s="234" t="str">
        <v>TPAS</v>
      </c>
      <c r="C60" s="234" t="str">
        <v>4</v>
      </c>
      <c r="D60" s="234" t="str">
        <v>2026</v>
      </c>
      <c r="E60" s="234" t="str">
        <v>PROPUESTA_CONDICIONADA</v>
      </c>
      <c r="F60" s="234" t="n">
        <v>81</v>
      </c>
      <c r="G60" s="234" t="n">
        <v>56</v>
      </c>
    </row>
    <row r="61" ht="32" customHeight="1">
      <c r="A61" s="234" t="str">
        <v>811_MU_PERSONAL_OTRO_ANO</v>
      </c>
      <c r="B61" s="234" t="str">
        <v>ADMP</v>
      </c>
      <c r="C61" s="234" t="str">
        <v>4</v>
      </c>
      <c r="D61" s="234" t="str">
        <v>2025</v>
      </c>
      <c r="E61" s="234" t="str">
        <v>PROPUESTA_CONDICIONADA</v>
      </c>
      <c r="F61" s="234" t="n">
        <v>9</v>
      </c>
      <c r="G61" s="234" t="n">
        <v>6</v>
      </c>
    </row>
    <row r="62" ht="32" customHeight="1">
      <c r="A62" s="234" t="str">
        <v>811_MU_PERSONAL_OTRO_ANO</v>
      </c>
      <c r="B62" s="234" t="str">
        <v>AUDT</v>
      </c>
      <c r="C62" s="234" t="str">
        <v>4</v>
      </c>
      <c r="D62" s="234" t="str">
        <v>2025</v>
      </c>
      <c r="E62" s="234" t="str">
        <v>PROPUESTA_CONDICIONADA</v>
      </c>
      <c r="F62" s="234" t="n">
        <v>24</v>
      </c>
      <c r="G62" s="234" t="n">
        <v>11</v>
      </c>
    </row>
    <row r="63" ht="32" customHeight="1">
      <c r="A63" s="234" t="str">
        <v>811_MU_PERSONAL_OTRO_ANO</v>
      </c>
      <c r="B63" s="234" t="str">
        <v>IADM</v>
      </c>
      <c r="C63" s="234" t="str">
        <v>4</v>
      </c>
      <c r="D63" s="234" t="str">
        <v>2024</v>
      </c>
      <c r="E63" s="234" t="str">
        <v>NO_DETERMINABLE_CON_ALERTA</v>
      </c>
      <c r="F63" s="234" t="n">
        <v>10</v>
      </c>
      <c r="G63" s="234" t="n">
        <v>8</v>
      </c>
    </row>
    <row r="64" ht="32" customHeight="1">
      <c r="A64" s="234" t="str">
        <v>811_MU_PERSONAL_OTRO_ANO</v>
      </c>
      <c r="B64" s="234" t="str">
        <v>IADM</v>
      </c>
      <c r="C64" s="234" t="str">
        <v>4</v>
      </c>
      <c r="D64" s="234" t="str">
        <v>2024</v>
      </c>
      <c r="E64" s="234" t="str">
        <v>PROPUESTA_CONDICIONADA</v>
      </c>
      <c r="F64" s="234" t="n">
        <v>1</v>
      </c>
      <c r="G64" s="234" t="n">
        <v>1</v>
      </c>
    </row>
    <row r="65" ht="32" customHeight="1">
      <c r="A65" s="234" t="str">
        <v>811_MU_PERSONAL_OTRO_ANO</v>
      </c>
      <c r="B65" s="234" t="str">
        <v>IADM</v>
      </c>
      <c r="C65" s="234" t="str">
        <v>4</v>
      </c>
      <c r="D65" s="234" t="str">
        <v>2025</v>
      </c>
      <c r="E65" s="234" t="str">
        <v>PROPUESTA_CONDICIONADA</v>
      </c>
      <c r="F65" s="234" t="n">
        <v>28</v>
      </c>
      <c r="G65" s="234" t="n">
        <v>19</v>
      </c>
    </row>
    <row r="66" ht="32" customHeight="1">
      <c r="A66" s="234" t="str">
        <v>811_MU_PERSONAL_OTRO_ANO</v>
      </c>
      <c r="B66" s="234" t="str">
        <v>ICIB</v>
      </c>
      <c r="C66" s="234" t="str">
        <v>2</v>
      </c>
      <c r="D66" s="234" t="str">
        <v>2024</v>
      </c>
      <c r="E66" s="234" t="str">
        <v>PROPUESTA_CONDICIONADA</v>
      </c>
      <c r="F66" s="234" t="n">
        <v>18</v>
      </c>
      <c r="G66" s="234" t="n">
        <v>6</v>
      </c>
    </row>
    <row r="67" ht="32" customHeight="1">
      <c r="A67" s="234" t="str">
        <v>811_MU_PERSONAL_OTRO_ANO</v>
      </c>
      <c r="B67" s="234" t="str">
        <v>ICIB</v>
      </c>
      <c r="C67" s="234" t="str">
        <v>2</v>
      </c>
      <c r="D67" s="234" t="str">
        <v>2025</v>
      </c>
      <c r="E67" s="234" t="str">
        <v>PROPUESTA_CONDICIONADA</v>
      </c>
      <c r="F67" s="234" t="n">
        <v>23</v>
      </c>
      <c r="G67" s="234" t="n">
        <v>9</v>
      </c>
    </row>
    <row r="68" ht="32" customHeight="1">
      <c r="A68" s="234" t="str">
        <v>811_MU_PERSONAL_OTRO_ANO</v>
      </c>
      <c r="B68" s="234" t="str">
        <v>ICIB</v>
      </c>
      <c r="C68" s="234" t="str">
        <v>2</v>
      </c>
      <c r="D68" s="234" t="str">
        <v>2026</v>
      </c>
      <c r="E68" s="234" t="str">
        <v>PROPUESTA_CONDICIONADA</v>
      </c>
      <c r="F68" s="234" t="n">
        <v>3</v>
      </c>
      <c r="G68" s="234" t="n">
        <v>1</v>
      </c>
    </row>
    <row r="69" ht="32" customHeight="1">
      <c r="A69" s="234" t="str">
        <v>811_MU_PERSONAL_OTRO_ANO</v>
      </c>
      <c r="B69" s="234" t="str">
        <v>ICIB</v>
      </c>
      <c r="C69" s="234" t="str">
        <v>4</v>
      </c>
      <c r="D69" s="234" t="str">
        <v>2024</v>
      </c>
      <c r="E69" s="234" t="str">
        <v>NO_DETERMINABLE_CON_ALERTA</v>
      </c>
      <c r="F69" s="234" t="n">
        <v>33</v>
      </c>
      <c r="G69" s="234" t="n">
        <v>22</v>
      </c>
    </row>
    <row r="70" ht="32" customHeight="1">
      <c r="A70" s="234" t="str">
        <v>811_MU_PERSONAL_OTRO_ANO</v>
      </c>
      <c r="B70" s="234" t="str">
        <v>ICIB</v>
      </c>
      <c r="C70" s="234" t="str">
        <v>4</v>
      </c>
      <c r="D70" s="234" t="str">
        <v>2024</v>
      </c>
      <c r="E70" s="234" t="str">
        <v>PROPUESTA_CONDICIONADA</v>
      </c>
      <c r="F70" s="234" t="n">
        <v>18</v>
      </c>
      <c r="G70" s="234" t="n">
        <v>6</v>
      </c>
    </row>
    <row r="71" ht="32" customHeight="1">
      <c r="A71" s="234" t="str">
        <v>811_MU_PERSONAL_OTRO_ANO</v>
      </c>
      <c r="B71" s="234" t="str">
        <v>ICIB</v>
      </c>
      <c r="C71" s="234" t="str">
        <v>4</v>
      </c>
      <c r="D71" s="234" t="str">
        <v>2025</v>
      </c>
      <c r="E71" s="234" t="str">
        <v>PROPUESTA_CONDICIONADA</v>
      </c>
      <c r="F71" s="234" t="n">
        <v>50</v>
      </c>
      <c r="G71" s="234" t="n">
        <v>26</v>
      </c>
    </row>
    <row r="72" ht="32" customHeight="1">
      <c r="A72" s="234" t="str">
        <v>811_MU_PERSONAL_OTRO_ANO</v>
      </c>
      <c r="B72" s="234" t="str">
        <v>ICIB</v>
      </c>
      <c r="C72" s="234" t="str">
        <v>4</v>
      </c>
      <c r="D72" s="234" t="str">
        <v>2026</v>
      </c>
      <c r="E72" s="234" t="str">
        <v>PROPUESTA_CONDICIONADA</v>
      </c>
      <c r="F72" s="234" t="n">
        <v>2</v>
      </c>
      <c r="G72" s="234" t="n">
        <v>1</v>
      </c>
    </row>
    <row r="73" ht="32" customHeight="1">
      <c r="A73" s="234" t="str">
        <v>811_MU_PERSONAL_OTRO_ANO</v>
      </c>
      <c r="B73" s="234" t="str">
        <v>ICRE</v>
      </c>
      <c r="C73" s="234" t="str">
        <v>4</v>
      </c>
      <c r="D73" s="234" t="str">
        <v>2024</v>
      </c>
      <c r="E73" s="234" t="str">
        <v>NO_DETERMINABLE_CON_ALERTA</v>
      </c>
      <c r="F73" s="234" t="n">
        <v>9</v>
      </c>
      <c r="G73" s="234" t="n">
        <v>5</v>
      </c>
    </row>
    <row r="74" ht="32" customHeight="1">
      <c r="A74" s="234" t="str">
        <v>811_MU_PERSONAL_OTRO_ANO</v>
      </c>
      <c r="B74" s="234" t="str">
        <v>ICRE</v>
      </c>
      <c r="C74" s="234" t="str">
        <v>4</v>
      </c>
      <c r="D74" s="234" t="str">
        <v>2024</v>
      </c>
      <c r="E74" s="234" t="str">
        <v>PROPUESTA_CONDICIONADA</v>
      </c>
      <c r="F74" s="234" t="n">
        <v>14</v>
      </c>
      <c r="G74" s="234" t="n">
        <v>5</v>
      </c>
    </row>
    <row r="75" ht="32" customHeight="1">
      <c r="A75" s="234" t="str">
        <v>811_MU_PERSONAL_OTRO_ANO</v>
      </c>
      <c r="B75" s="234" t="str">
        <v>ICRE</v>
      </c>
      <c r="C75" s="234" t="str">
        <v>4</v>
      </c>
      <c r="D75" s="234" t="str">
        <v>2025</v>
      </c>
      <c r="E75" s="234" t="str">
        <v>PROPUESTA_CONDICIONADA</v>
      </c>
      <c r="F75" s="234" t="n">
        <v>6</v>
      </c>
      <c r="G75" s="234" t="n">
        <v>2</v>
      </c>
    </row>
    <row r="76" ht="32" customHeight="1">
      <c r="A76" s="234" t="str">
        <v>811_MU_PERSONAL_OTRO_ANO</v>
      </c>
      <c r="B76" s="234" t="str">
        <v>ICRE</v>
      </c>
      <c r="C76" s="234" t="str">
        <v>4</v>
      </c>
      <c r="D76" s="234" t="str">
        <v>2026</v>
      </c>
      <c r="E76" s="234" t="str">
        <v>PROPUESTA_CONDICIONADA</v>
      </c>
      <c r="F76" s="234" t="n">
        <v>1</v>
      </c>
      <c r="G76" s="234" t="n">
        <v>1</v>
      </c>
    </row>
    <row r="77" ht="32" customHeight="1">
      <c r="A77" s="234" t="str">
        <v>811_MU_PERSONAL_OTRO_ANO</v>
      </c>
      <c r="B77" s="234" t="str">
        <v>IECIRE</v>
      </c>
      <c r="C77" s="234" t="str">
        <v>2</v>
      </c>
      <c r="D77" s="234" t="str">
        <v>2019</v>
      </c>
      <c r="E77" s="234" t="str">
        <v>PROPUESTA_CONDICIONADA</v>
      </c>
      <c r="F77" s="234" t="n">
        <v>8</v>
      </c>
      <c r="G77" s="234" t="n">
        <v>7</v>
      </c>
    </row>
    <row r="78" ht="32" customHeight="1">
      <c r="A78" s="234" t="str">
        <v>811_MU_PERSONAL_OTRO_ANO</v>
      </c>
      <c r="B78" s="234" t="str">
        <v>IECIRE</v>
      </c>
      <c r="C78" s="234" t="str">
        <v>2</v>
      </c>
      <c r="D78" s="234" t="str">
        <v>2020</v>
      </c>
      <c r="E78" s="234" t="str">
        <v>PROPUESTA_CONDICIONADA</v>
      </c>
      <c r="F78" s="234" t="n">
        <v>3</v>
      </c>
      <c r="G78" s="234" t="n">
        <v>3</v>
      </c>
    </row>
    <row r="79" ht="32" customHeight="1">
      <c r="A79" s="234" t="str">
        <v>811_MU_PERSONAL_OTRO_ANO</v>
      </c>
      <c r="B79" s="234" t="str">
        <v>IECSREOL</v>
      </c>
      <c r="C79" s="234" t="str">
        <v>4</v>
      </c>
      <c r="D79" s="234" t="str">
        <v>2021</v>
      </c>
      <c r="E79" s="234" t="str">
        <v>PROPUESTA_CONDICIONADA</v>
      </c>
      <c r="F79" s="234" t="n">
        <v>4</v>
      </c>
      <c r="G79" s="234" t="n">
        <v>2</v>
      </c>
    </row>
    <row r="80" ht="32" customHeight="1">
      <c r="A80" s="234" t="str">
        <v>811_MU_PERSONAL_OTRO_ANO</v>
      </c>
      <c r="B80" s="234" t="str">
        <v>IECSREOL</v>
      </c>
      <c r="C80" s="234" t="str">
        <v>4</v>
      </c>
      <c r="D80" s="234" t="str">
        <v>2022</v>
      </c>
      <c r="E80" s="234" t="str">
        <v>PROPUESTA_CONDICIONADA</v>
      </c>
      <c r="F80" s="234" t="n">
        <v>29</v>
      </c>
      <c r="G80" s="234" t="n">
        <v>14</v>
      </c>
    </row>
    <row r="81" ht="32" customHeight="1">
      <c r="A81" s="234" t="str">
        <v>811_MU_PERSONAL_OTRO_ANO</v>
      </c>
      <c r="B81" s="234" t="str">
        <v>IECSREOL</v>
      </c>
      <c r="C81" s="234" t="str">
        <v>4</v>
      </c>
      <c r="D81" s="234" t="str">
        <v>2023</v>
      </c>
      <c r="E81" s="234" t="str">
        <v>NO_DETERMINABLE_CON_ALERTA</v>
      </c>
      <c r="F81" s="234" t="n">
        <v>2</v>
      </c>
      <c r="G81" s="234" t="n">
        <v>1</v>
      </c>
    </row>
    <row r="82" ht="32" customHeight="1">
      <c r="A82" s="234" t="str">
        <v>811_MU_PERSONAL_OTRO_ANO</v>
      </c>
      <c r="B82" s="234" t="str">
        <v>IECSREOL</v>
      </c>
      <c r="C82" s="234" t="str">
        <v>4</v>
      </c>
      <c r="D82" s="234" t="str">
        <v>2023</v>
      </c>
      <c r="E82" s="234" t="str">
        <v>PROPUESTA_CONDICIONADA</v>
      </c>
      <c r="F82" s="234" t="n">
        <v>23</v>
      </c>
      <c r="G82" s="234" t="n">
        <v>12</v>
      </c>
    </row>
    <row r="83" ht="32" customHeight="1">
      <c r="A83" s="234" t="str">
        <v>811_MU_PERSONAL_OTRO_ANO</v>
      </c>
      <c r="B83" s="234" t="str">
        <v>IINF</v>
      </c>
      <c r="C83" s="234" t="str">
        <v>4</v>
      </c>
      <c r="D83" s="234" t="str">
        <v>2024</v>
      </c>
      <c r="E83" s="234" t="str">
        <v>NO_DETERMINABLE_CON_ALERTA</v>
      </c>
      <c r="F83" s="234" t="n">
        <v>12</v>
      </c>
      <c r="G83" s="234" t="n">
        <v>9</v>
      </c>
    </row>
    <row r="84" ht="32" customHeight="1">
      <c r="A84" s="234" t="str">
        <v>811_MU_PERSONAL_OTRO_ANO</v>
      </c>
      <c r="B84" s="234" t="str">
        <v>IINF</v>
      </c>
      <c r="C84" s="234" t="str">
        <v>4</v>
      </c>
      <c r="D84" s="234" t="str">
        <v>2024</v>
      </c>
      <c r="E84" s="234" t="str">
        <v>PROPUESTA_CONDICIONADA</v>
      </c>
      <c r="F84" s="234" t="n">
        <v>6</v>
      </c>
      <c r="G84" s="234" t="n">
        <v>2</v>
      </c>
    </row>
    <row r="85" ht="32" customHeight="1">
      <c r="A85" s="234" t="str">
        <v>811_MU_PERSONAL_OTRO_ANO</v>
      </c>
      <c r="B85" s="234" t="str">
        <v>IINF</v>
      </c>
      <c r="C85" s="234" t="str">
        <v>4</v>
      </c>
      <c r="D85" s="234" t="str">
        <v>2025</v>
      </c>
      <c r="E85" s="234" t="str">
        <v>PROPUESTA_CONDICIONADA</v>
      </c>
      <c r="F85" s="234" t="n">
        <v>66</v>
      </c>
      <c r="G85" s="234" t="n">
        <v>31</v>
      </c>
    </row>
    <row r="86" ht="32" customHeight="1">
      <c r="A86" s="234" t="str">
        <v>811_MU_PERSONAL_OTRO_ANO</v>
      </c>
      <c r="B86" s="234" t="str">
        <v>IINF</v>
      </c>
      <c r="C86" s="234" t="str">
        <v>4</v>
      </c>
      <c r="D86" s="234" t="str">
        <v>2026</v>
      </c>
      <c r="E86" s="234" t="str">
        <v>PROPUESTA_CONDICIONADA</v>
      </c>
      <c r="F86" s="234" t="n">
        <v>3</v>
      </c>
      <c r="G86" s="234" t="n">
        <v>1</v>
      </c>
    </row>
    <row r="87" ht="32" customHeight="1">
      <c r="A87" s="234" t="str">
        <v>811_MU_PERSONAL_OTRO_ANO</v>
      </c>
      <c r="B87" s="234" t="str">
        <v>ILOG</v>
      </c>
      <c r="C87" s="234" t="str">
        <v>4</v>
      </c>
      <c r="D87" s="234" t="str">
        <v>2024</v>
      </c>
      <c r="E87" s="234" t="str">
        <v>PROPUESTA_CONDICIONADA</v>
      </c>
      <c r="F87" s="234" t="n">
        <v>3</v>
      </c>
      <c r="G87" s="234" t="n">
        <v>1</v>
      </c>
    </row>
    <row r="88" ht="32" customHeight="1">
      <c r="A88" s="234" t="str">
        <v>811_MU_PERSONAL_OTRO_ANO</v>
      </c>
      <c r="B88" s="234" t="str">
        <v>ILOG</v>
      </c>
      <c r="C88" s="234" t="str">
        <v>4</v>
      </c>
      <c r="D88" s="234" t="str">
        <v>2025</v>
      </c>
      <c r="E88" s="234" t="str">
        <v>PROPUESTA_CONDICIONADA</v>
      </c>
      <c r="F88" s="234" t="n">
        <v>29</v>
      </c>
      <c r="G88" s="234" t="n">
        <v>16</v>
      </c>
    </row>
    <row r="89" ht="32" customHeight="1">
      <c r="A89" s="234" t="str">
        <v>811_MU_PERSONAL_OTRO_ANO</v>
      </c>
      <c r="B89" s="234" t="str">
        <v>TAMD</v>
      </c>
      <c r="C89" s="234" t="str">
        <v>4</v>
      </c>
      <c r="D89" s="234" t="str">
        <v>2024</v>
      </c>
      <c r="E89" s="234" t="str">
        <v>PROPUESTA_CONDICIONADA</v>
      </c>
      <c r="F89" s="234" t="n">
        <v>9</v>
      </c>
      <c r="G89" s="234" t="n">
        <v>3</v>
      </c>
    </row>
    <row r="90" ht="32" customHeight="1">
      <c r="A90" s="234" t="str">
        <v>811_MU_PERSONAL_OTRO_ANO</v>
      </c>
      <c r="B90" s="234" t="str">
        <v>TAMD</v>
      </c>
      <c r="C90" s="234" t="str">
        <v>4</v>
      </c>
      <c r="D90" s="234" t="str">
        <v>2025</v>
      </c>
      <c r="E90" s="234" t="str">
        <v>PROPUESTA_CONDICIONADA</v>
      </c>
      <c r="F90" s="234" t="n">
        <v>7</v>
      </c>
      <c r="G90" s="234" t="n">
        <v>3</v>
      </c>
    </row>
    <row r="91" ht="32" customHeight="1">
      <c r="A91" s="234" t="str">
        <v>811_MU_PERSONAL_OTRO_ANO</v>
      </c>
      <c r="B91" s="234" t="str">
        <v>TCIB</v>
      </c>
      <c r="C91" s="234" t="str">
        <v>4</v>
      </c>
      <c r="D91" s="234" t="str">
        <v>2024</v>
      </c>
      <c r="E91" s="234" t="str">
        <v>NO_DETERMINABLE_CON_ALERTA</v>
      </c>
      <c r="F91" s="234" t="n">
        <v>10</v>
      </c>
      <c r="G91" s="234" t="n">
        <v>6</v>
      </c>
    </row>
    <row r="92" ht="32" customHeight="1">
      <c r="A92" s="234" t="str">
        <v>811_MU_PERSONAL_OTRO_ANO</v>
      </c>
      <c r="B92" s="234" t="str">
        <v>TCIB</v>
      </c>
      <c r="C92" s="234" t="str">
        <v>4</v>
      </c>
      <c r="D92" s="234" t="str">
        <v>2024</v>
      </c>
      <c r="E92" s="234" t="str">
        <v>PROPUESTA_CONDICIONADA</v>
      </c>
      <c r="F92" s="234" t="n">
        <v>3</v>
      </c>
      <c r="G92" s="234" t="n">
        <v>1</v>
      </c>
    </row>
    <row r="93" ht="32" customHeight="1">
      <c r="A93" s="234" t="str">
        <v>811_MU_PERSONAL_OTRO_ANO</v>
      </c>
      <c r="B93" s="234" t="str">
        <v>TCIB</v>
      </c>
      <c r="C93" s="234" t="str">
        <v>4</v>
      </c>
      <c r="D93" s="234" t="str">
        <v>2025</v>
      </c>
      <c r="E93" s="234" t="str">
        <v>NO_DETERMINABLE_CON_ALERTA</v>
      </c>
      <c r="F93" s="234" t="n">
        <v>2</v>
      </c>
      <c r="G93" s="234" t="n">
        <v>1</v>
      </c>
    </row>
    <row r="94" ht="32" customHeight="1">
      <c r="A94" s="234" t="str">
        <v>811_MU_PERSONAL_OTRO_ANO</v>
      </c>
      <c r="B94" s="234" t="str">
        <v>TCIB</v>
      </c>
      <c r="C94" s="234" t="str">
        <v>4</v>
      </c>
      <c r="D94" s="234" t="str">
        <v>2025</v>
      </c>
      <c r="E94" s="234" t="str">
        <v>PROPUESTA_CONDICIONADA</v>
      </c>
      <c r="F94" s="234" t="n">
        <v>9</v>
      </c>
      <c r="G94" s="234" t="n">
        <v>3</v>
      </c>
    </row>
    <row r="95" ht="32" customHeight="1">
      <c r="A95" s="234" t="str">
        <v>811_MU_PERSONAL_OTRO_ANO</v>
      </c>
      <c r="B95" s="234" t="str">
        <v>TCIB</v>
      </c>
      <c r="C95" s="234" t="str">
        <v>4</v>
      </c>
      <c r="D95" s="234" t="str">
        <v>2026</v>
      </c>
      <c r="E95" s="234" t="str">
        <v>NO_DETERMINABLE_CON_ALERTA</v>
      </c>
      <c r="F95" s="234" t="n">
        <v>1</v>
      </c>
      <c r="G95" s="234" t="n">
        <v>1</v>
      </c>
    </row>
    <row r="96" ht="32" customHeight="1">
      <c r="A96" s="234" t="str">
        <v>811_MU_PERSONAL_OTRO_ANO</v>
      </c>
      <c r="B96" s="234" t="str">
        <v>TCRE</v>
      </c>
      <c r="C96" s="234" t="str">
        <v>4</v>
      </c>
      <c r="D96" s="234" t="str">
        <v>2024</v>
      </c>
      <c r="E96" s="234" t="str">
        <v>NO_DETERMINABLE_CON_ALERTA</v>
      </c>
      <c r="F96" s="234" t="n">
        <v>4</v>
      </c>
      <c r="G96" s="234" t="n">
        <v>2</v>
      </c>
    </row>
    <row r="97" ht="32" customHeight="1">
      <c r="A97" s="234" t="str">
        <v>811_MU_PERSONAL_OTRO_ANO</v>
      </c>
      <c r="B97" s="234" t="str">
        <v>TCSREOL</v>
      </c>
      <c r="C97" s="234" t="str">
        <v>4</v>
      </c>
      <c r="D97" s="234" t="str">
        <v>2020</v>
      </c>
      <c r="E97" s="234" t="str">
        <v>PROPUESTA_CONDICIONADA</v>
      </c>
      <c r="F97" s="234" t="n">
        <v>13</v>
      </c>
      <c r="G97" s="234" t="n">
        <v>9</v>
      </c>
    </row>
    <row r="98" ht="32" customHeight="1">
      <c r="A98" s="234" t="str">
        <v>811_MU_PERSONAL_OTRO_ANO</v>
      </c>
      <c r="B98" s="234" t="str">
        <v>TCSREOL</v>
      </c>
      <c r="C98" s="234" t="str">
        <v>4</v>
      </c>
      <c r="D98" s="234" t="str">
        <v>2021</v>
      </c>
      <c r="E98" s="234" t="str">
        <v>PROPUESTA_CONDICIONADA</v>
      </c>
      <c r="F98" s="234" t="n">
        <v>11</v>
      </c>
      <c r="G98" s="234" t="n">
        <v>11</v>
      </c>
    </row>
    <row r="99" ht="32" customHeight="1">
      <c r="A99" s="234" t="str">
        <v>811_MU_PERSONAL_OTRO_ANO</v>
      </c>
      <c r="B99" s="234" t="str">
        <v>TCSREOL</v>
      </c>
      <c r="C99" s="234" t="str">
        <v>4</v>
      </c>
      <c r="D99" s="234" t="str">
        <v>2022</v>
      </c>
      <c r="E99" s="234" t="str">
        <v>NO_DETERMINABLE_CON_ALERTA</v>
      </c>
      <c r="F99" s="234" t="n">
        <v>2</v>
      </c>
      <c r="G99" s="234" t="n">
        <v>1</v>
      </c>
    </row>
    <row r="100" ht="32" customHeight="1">
      <c r="A100" s="234" t="str">
        <v>811_MU_PERSONAL_OTRO_ANO</v>
      </c>
      <c r="B100" s="234" t="str">
        <v>TCSREOL</v>
      </c>
      <c r="C100" s="234" t="str">
        <v>4</v>
      </c>
      <c r="D100" s="234" t="str">
        <v>2022</v>
      </c>
      <c r="E100" s="234" t="str">
        <v>PROPUESTA_CONDICIONADA</v>
      </c>
      <c r="F100" s="234" t="n">
        <v>6</v>
      </c>
      <c r="G100" s="234" t="n">
        <v>3</v>
      </c>
    </row>
    <row r="101" ht="32" customHeight="1">
      <c r="A101" s="234" t="str">
        <v>811_MU_PERSONAL_OTRO_ANO</v>
      </c>
      <c r="B101" s="234" t="str">
        <v>TCSREOL</v>
      </c>
      <c r="C101" s="234" t="str">
        <v>4</v>
      </c>
      <c r="D101" s="234" t="str">
        <v>2023</v>
      </c>
      <c r="E101" s="234" t="str">
        <v>PROPUESTA_CONDICIONADA</v>
      </c>
      <c r="F101" s="234" t="n">
        <v>18</v>
      </c>
      <c r="G101" s="234" t="n">
        <v>6</v>
      </c>
    </row>
    <row r="102" ht="32" customHeight="1">
      <c r="A102" s="234" t="str">
        <v>811_MU_PERSONAL_OTRO_ANO</v>
      </c>
      <c r="B102" s="234" t="str">
        <v>TCSREOL</v>
      </c>
      <c r="C102" s="234" t="str">
        <v>4</v>
      </c>
      <c r="D102" s="234" t="str">
        <v>2024</v>
      </c>
      <c r="E102" s="234" t="str">
        <v>PROPUESTA_CONDICIONADA</v>
      </c>
      <c r="F102" s="234" t="n">
        <v>2</v>
      </c>
      <c r="G102" s="234" t="n">
        <v>2</v>
      </c>
    </row>
    <row r="103" ht="32" customHeight="1">
      <c r="A103" s="234" t="str">
        <v>811_MU_PERSONAL_OTRO_ANO</v>
      </c>
      <c r="B103" s="234" t="str">
        <v>TLOG</v>
      </c>
      <c r="C103" s="234" t="str">
        <v>4</v>
      </c>
      <c r="D103" s="234" t="str">
        <v>2025</v>
      </c>
      <c r="E103" s="234" t="str">
        <v>PROPUESTA_CONDICIONADA</v>
      </c>
      <c r="F103" s="234" t="n">
        <v>6</v>
      </c>
      <c r="G103" s="234" t="n">
        <v>2</v>
      </c>
    </row>
    <row r="104" ht="32" customHeight="1">
      <c r="A104" s="234" t="str">
        <v>811_MU_PERSONAL_OTRO_ANO</v>
      </c>
      <c r="B104" s="234" t="str">
        <v>TPAREOL</v>
      </c>
      <c r="C104" s="234" t="str">
        <v>4</v>
      </c>
      <c r="D104" s="234" t="str">
        <v>2020</v>
      </c>
      <c r="E104" s="234" t="str">
        <v>PROPUESTA_CONDICIONADA</v>
      </c>
      <c r="F104" s="234" t="n">
        <v>8</v>
      </c>
      <c r="G104" s="234" t="n">
        <v>8</v>
      </c>
    </row>
    <row r="105" ht="32" customHeight="1">
      <c r="A105" s="234" t="str">
        <v>811_MU_PERSONAL_OTRO_ANO</v>
      </c>
      <c r="B105" s="234" t="str">
        <v>TPAREOL</v>
      </c>
      <c r="C105" s="234" t="str">
        <v>4</v>
      </c>
      <c r="D105" s="234" t="str">
        <v>2021</v>
      </c>
      <c r="E105" s="234" t="str">
        <v>PROPUESTA_CONDICIONADA</v>
      </c>
      <c r="F105" s="234" t="n">
        <v>31</v>
      </c>
      <c r="G105" s="234" t="n">
        <v>16</v>
      </c>
    </row>
    <row r="106" ht="32" customHeight="1">
      <c r="A106" s="234" t="str">
        <v>811_MU_PERSONAL_OTRO_ANO</v>
      </c>
      <c r="B106" s="234" t="str">
        <v>TPAREOL</v>
      </c>
      <c r="C106" s="234" t="str">
        <v>4</v>
      </c>
      <c r="D106" s="234" t="str">
        <v>2022</v>
      </c>
      <c r="E106" s="234" t="str">
        <v>NO_DETERMINABLE_CON_ALERTA</v>
      </c>
      <c r="F106" s="234" t="n">
        <v>2</v>
      </c>
      <c r="G106" s="234" t="n">
        <v>1</v>
      </c>
    </row>
    <row r="107" ht="32" customHeight="1">
      <c r="A107" s="234" t="str">
        <v>811_MU_PERSONAL_OTRO_ANO</v>
      </c>
      <c r="B107" s="234" t="str">
        <v>TPAREOL</v>
      </c>
      <c r="C107" s="234" t="str">
        <v>4</v>
      </c>
      <c r="D107" s="234" t="str">
        <v>2022</v>
      </c>
      <c r="E107" s="234" t="str">
        <v>PROPUESTA_CONDICIONADA</v>
      </c>
      <c r="F107" s="234" t="n">
        <v>45</v>
      </c>
      <c r="G107" s="234" t="n">
        <v>20</v>
      </c>
    </row>
    <row r="108" ht="32" customHeight="1">
      <c r="A108" s="234" t="str">
        <v>811_MU_PERSONAL_OTRO_ANO</v>
      </c>
      <c r="B108" s="234" t="str">
        <v>TPAREOL</v>
      </c>
      <c r="C108" s="234" t="str">
        <v>4</v>
      </c>
      <c r="D108" s="234" t="str">
        <v>2023</v>
      </c>
      <c r="E108" s="234" t="str">
        <v>PROPUESTA_CONDICIONADA</v>
      </c>
      <c r="F108" s="234" t="n">
        <v>69</v>
      </c>
      <c r="G108" s="234" t="n">
        <v>26</v>
      </c>
    </row>
    <row r="109" ht="32" customHeight="1">
      <c r="A109" s="234" t="str">
        <v>811_MU_PERSONAL_OTRO_ANO</v>
      </c>
      <c r="B109" s="234" t="str">
        <v>TPAREOL</v>
      </c>
      <c r="C109" s="234" t="str">
        <v>4</v>
      </c>
      <c r="D109" s="234" t="str">
        <v>2024</v>
      </c>
      <c r="E109" s="234" t="str">
        <v>NO_DETERMINABLE_CON_ALERTA</v>
      </c>
      <c r="F109" s="234" t="n">
        <v>1</v>
      </c>
      <c r="G109" s="234" t="n">
        <v>1</v>
      </c>
    </row>
    <row r="110" ht="32" customHeight="1">
      <c r="A110" s="234" t="str">
        <v>811_MU_PERSONAL_OTRO_ANO</v>
      </c>
      <c r="B110" s="234" t="str">
        <v>TPAREOL</v>
      </c>
      <c r="C110" s="234" t="str">
        <v>4</v>
      </c>
      <c r="D110" s="234" t="str">
        <v>2024</v>
      </c>
      <c r="E110" s="234" t="str">
        <v>PROPUESTA_CONDICIONADA</v>
      </c>
      <c r="F110" s="234" t="n">
        <v>5</v>
      </c>
      <c r="G110" s="234" t="n">
        <v>5</v>
      </c>
    </row>
    <row r="111" ht="32" customHeight="1">
      <c r="A111" s="234" t="str">
        <v>811_MU_PERSONAL_OTRO_ANO</v>
      </c>
      <c r="B111" s="234" t="str">
        <v>TPAREOL</v>
      </c>
      <c r="C111" s="234" t="str">
        <v>4</v>
      </c>
      <c r="D111" s="234" t="str">
        <v>2025</v>
      </c>
      <c r="E111" s="234" t="str">
        <v>PROPUESTA_CONDICIONADA</v>
      </c>
      <c r="F111" s="234" t="n">
        <v>2</v>
      </c>
      <c r="G111" s="234" t="n">
        <v>1</v>
      </c>
    </row>
    <row r="112" ht="32" customHeight="1">
      <c r="A112" s="234" t="str">
        <v>811_MU_PERSONAL_OTRO_ANO</v>
      </c>
      <c r="B112" s="234" t="str">
        <v>TPAS</v>
      </c>
      <c r="C112" s="234" t="str">
        <v>4</v>
      </c>
      <c r="D112" s="234" t="str">
        <v>2021</v>
      </c>
      <c r="E112" s="234" t="str">
        <v>PROPUESTA_CONDICIONADA</v>
      </c>
      <c r="F112" s="234" t="n">
        <v>1</v>
      </c>
      <c r="G112" s="234" t="n">
        <v>1</v>
      </c>
    </row>
    <row r="113" ht="32" customHeight="1">
      <c r="A113" s="234" t="str">
        <v>811_MU_PERSONAL_OTRO_ANO</v>
      </c>
      <c r="B113" s="234" t="str">
        <v>TPAS</v>
      </c>
      <c r="C113" s="234" t="str">
        <v>4</v>
      </c>
      <c r="D113" s="234" t="str">
        <v>2022</v>
      </c>
      <c r="E113" s="234" t="str">
        <v>PROPUESTA_CONDICIONADA</v>
      </c>
      <c r="F113" s="234" t="n">
        <v>1</v>
      </c>
      <c r="G113" s="234" t="n">
        <v>1</v>
      </c>
    </row>
    <row r="114" ht="32" customHeight="1">
      <c r="A114" s="234" t="str">
        <v>811_MU_PERSONAL_OTRO_ANO</v>
      </c>
      <c r="B114" s="234" t="str">
        <v>TPAS</v>
      </c>
      <c r="C114" s="234" t="str">
        <v>4</v>
      </c>
      <c r="D114" s="234" t="str">
        <v>2024</v>
      </c>
      <c r="E114" s="234" t="str">
        <v>NO_DETERMINABLE_CON_ALERTA</v>
      </c>
      <c r="F114" s="234" t="n">
        <v>39</v>
      </c>
      <c r="G114" s="234" t="n">
        <v>30</v>
      </c>
    </row>
    <row r="115" ht="32" customHeight="1">
      <c r="A115" s="234" t="str">
        <v>811_MU_PERSONAL_OTRO_ANO</v>
      </c>
      <c r="B115" s="234" t="str">
        <v>TPAS</v>
      </c>
      <c r="C115" s="234" t="str">
        <v>4</v>
      </c>
      <c r="D115" s="234" t="str">
        <v>2024</v>
      </c>
      <c r="E115" s="234" t="str">
        <v>PROPUESTA_CONDICIONADA</v>
      </c>
      <c r="F115" s="234" t="n">
        <v>16</v>
      </c>
      <c r="G115" s="234" t="n">
        <v>7</v>
      </c>
    </row>
    <row r="116" ht="32" customHeight="1">
      <c r="A116" s="234" t="str">
        <v>811_MU_PERSONAL_OTRO_ANO</v>
      </c>
      <c r="B116" s="234" t="str">
        <v>TPAS</v>
      </c>
      <c r="C116" s="234" t="str">
        <v>4</v>
      </c>
      <c r="D116" s="234" t="str">
        <v>2025</v>
      </c>
      <c r="E116" s="234" t="str">
        <v>PROPUESTA_CONDICIONADA</v>
      </c>
      <c r="F116" s="234" t="n">
        <v>45</v>
      </c>
      <c r="G116" s="234" t="n">
        <v>23</v>
      </c>
    </row>
    <row r="117" ht="32" customHeight="1">
      <c r="A117" s="234" t="str">
        <v>811_MU_PERSONAL_OTRO_ANO</v>
      </c>
      <c r="B117" s="234" t="str">
        <v>TPAS</v>
      </c>
      <c r="C117" s="234" t="str">
        <v>4</v>
      </c>
      <c r="D117" s="234" t="str">
        <v>2026</v>
      </c>
      <c r="E117" s="234" t="str">
        <v>PROPUESTA_CONDICIONADA</v>
      </c>
      <c r="F117" s="234" t="n">
        <v>3</v>
      </c>
      <c r="G117" s="234" t="n">
        <v>1</v>
      </c>
    </row>
    <row r="118" ht="32" customHeight="1">
      <c r="A118" s="234" t="str">
        <v>811_MU_PERSONAL_OTRO_ANO</v>
      </c>
      <c r="B118" s="234" t="str">
        <v>TPCRE</v>
      </c>
      <c r="C118" s="234" t="str">
        <v>1</v>
      </c>
      <c r="D118" s="234" t="str">
        <v>2020</v>
      </c>
      <c r="E118" s="234" t="str">
        <v>PROPUESTA_CONDICIONADA</v>
      </c>
      <c r="F118" s="234" t="n">
        <v>1</v>
      </c>
      <c r="G118" s="234" t="n">
        <v>1</v>
      </c>
    </row>
    <row r="119" ht="32" customHeight="1">
      <c r="A119" s="234" t="str">
        <v>811_MU_PERSONAL_OTRO_ANO</v>
      </c>
      <c r="B119" s="234" t="str">
        <v>TPCRE</v>
      </c>
      <c r="C119" s="234" t="str">
        <v>2</v>
      </c>
      <c r="D119" s="234" t="str">
        <v>2019</v>
      </c>
      <c r="E119" s="234" t="str">
        <v>PROPUESTA_CONDICIONADA</v>
      </c>
      <c r="F119" s="234" t="n">
        <v>1</v>
      </c>
      <c r="G119" s="234" t="n">
        <v>1</v>
      </c>
    </row>
    <row r="120" ht="32" customHeight="1">
      <c r="A120" s="234" t="str">
        <v>811_MU_PERSONAL_OTRO_ANO</v>
      </c>
      <c r="B120" s="234" t="str">
        <v>TPCRE</v>
      </c>
      <c r="C120" s="234" t="str">
        <v>2</v>
      </c>
      <c r="D120" s="234" t="str">
        <v>2020</v>
      </c>
      <c r="E120" s="234" t="str">
        <v>PROPUESTA_CONDICIONADA</v>
      </c>
      <c r="F120" s="234" t="n">
        <v>1</v>
      </c>
      <c r="G120" s="234" t="n">
        <v>1</v>
      </c>
    </row>
  </sheetData>
  <pageMargins left="0.7" right="0.7" top="0.75" bottom="0.75" header="0.3" footer="0.3"/>
</worksheet>
</file>

<file path=xl/worksheets/sheet47.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8" hidden="0" customWidth="1"/>
    <col min="2" max="2" width="22" hidden="0" customWidth="1"/>
    <col min="3" max="3" width="22" hidden="0" customWidth="1"/>
    <col min="4" max="4" width="90" hidden="0" customWidth="1"/>
  </cols>
  <sheetData>
    <row r="1" ht="48" customHeight="1">
      <c r="A1" s="246" t="str">
        <v>V10 · Cohorte y oferta para nuevos ingresos</v>
      </c>
      <c r="B1" s="5"/>
      <c r="C1" s="5"/>
      <c r="D1" s="5"/>
    </row>
    <row r="2" ht="48" customHeight="1">
      <c r="A2" s="243" t="str">
        <v>Prueba de fechas registradas; fecha efectiva de ingreso al plan no acreditada.</v>
      </c>
      <c r="B2" s="2"/>
      <c r="C2" s="2"/>
      <c r="D2" s="2"/>
    </row>
    <row r="3" ht="48" customHeight="1">
      <c r="A3" s="243" t="str">
        <v>Conserva cierres V7/V9. No aplica regla último debut ni año +1 = V2.</v>
      </c>
      <c r="B3" s="2"/>
      <c r="C3" s="2"/>
      <c r="D3" s="2"/>
    </row>
    <row r="4" ht="48" customHeight="1">
      <c r="A4" s="248" t="str">
        <v>Indicador</v>
      </c>
      <c r="B4" s="248" t="str">
        <v>Antes V9</v>
      </c>
      <c r="C4" s="248" t="str">
        <v>Ahora V10</v>
      </c>
      <c r="D4" s="248" t="str">
        <v>Alcance</v>
      </c>
    </row>
    <row r="5" ht="48" customHeight="1">
      <c r="A5" s="243" t="str">
        <v>Observaciones internas pendientes</v>
      </c>
      <c r="B5" s="243" t="n">
        <v>3094</v>
      </c>
      <c r="C5" s="243" t="n">
        <v>3094</v>
      </c>
      <c r="D5" s="243" t="str">
        <v>Mismo universo focal</v>
      </c>
    </row>
    <row r="6" ht="48" customHeight="1">
      <c r="A6" s="243" t="str">
        <v>Personas internas pendientes</v>
      </c>
      <c r="B6" s="243" t="n">
        <v>1751</v>
      </c>
      <c r="C6" s="243" t="n">
        <v>1751</v>
      </c>
      <c r="D6" s="243" t="str">
        <v>Universo de 5901 personas</v>
      </c>
    </row>
    <row r="7" ht="48" customHeight="1">
      <c r="A7" s="243" t="str">
        <v>Proporción interna pendiente</v>
      </c>
      <c r="B7" s="249" t="n">
        <v>0.2967293679037451</v>
      </c>
      <c r="C7" s="249" t="n">
        <v>0.2967293679037451</v>
      </c>
      <c r="D7" s="243" t="str">
        <v>Conciliación interna, no retención</v>
      </c>
    </row>
    <row r="8" ht="48" customHeight="1">
      <c r="A8" s="243" t="str">
        <v>Nuevas personas completamente resueltas</v>
      </c>
      <c r="B8" s="243" t="n">
        <v>0</v>
      </c>
      <c r="C8" s="243" t="n">
        <v>0</v>
      </c>
      <c r="D8" s="243" t="str">
        <v>No se adopta automáticamente candidato único</v>
      </c>
    </row>
    <row r="9" ht="48" customHeight="1">
      <c r="A9" s="243" t="str">
        <v>Nuevas personas parcialmente resueltas</v>
      </c>
      <c r="B9" s="243" t="n">
        <v>0</v>
      </c>
      <c r="C9" s="243" t="n">
        <v>0</v>
      </c>
      <c r="D9" s="243" t="str">
        <v>Cierres previos intactos</v>
      </c>
    </row>
    <row r="10" ht="48" customHeight="1">
      <c r="A10" s="243" t="str">
        <v>Personas pendientes documentales</v>
      </c>
      <c r="B10" s="243" t="n">
        <v>1838</v>
      </c>
      <c r="C10" s="243" t="n">
        <v>1838</v>
      </c>
      <c r="D10" s="243" t="str">
        <v>Indicador separado; no acredita envío por cálculo</v>
      </c>
    </row>
    <row r="11" ht="48" customHeight="1">
      <c r="A11" s="243" t="str">
        <v>Candidatos únicos condicionados</v>
      </c>
      <c r="B11" s="2"/>
      <c r="C11" s="243" t="n">
        <v>2695</v>
      </c>
      <c r="D11" s="243" t="str">
        <v>Fecha registrada + perfil de grupo + oferta con nuevos; falta vínculo efectivo con plan</v>
      </c>
    </row>
    <row r="12" ht="48" customHeight="1">
      <c r="A12" s="243" t="str">
        <v>Otros registros no determinables</v>
      </c>
      <c r="B12" s="2"/>
      <c r="C12" s="243" t="n">
        <v>399</v>
      </c>
      <c r="D12" s="243" t="str">
        <v>32 fecha;203 perfil;19 sin oferta compatible;94 empates;51 grupo</v>
      </c>
    </row>
    <row r="13" ht="48" customHeight="1">
      <c r="A13" s="243" t="str">
        <v>Fecha original efectiva del plan acreditada</v>
      </c>
      <c r="B13" s="2"/>
      <c r="C13" s="243" t="n">
        <v>0</v>
      </c>
      <c r="D13" s="243" t="str">
        <v>No equivale a ANOINGRESO DA ni ANIO_ING_ACT/ORI MU</v>
      </c>
    </row>
    <row r="14" ht="48" customHeight="1">
      <c r="A14" s="243" t="str">
        <v>Retrospectiva regular MU ingreso actual: aciertos</v>
      </c>
      <c r="B14" s="2"/>
      <c r="C14" s="243" t="n">
        <v>15029</v>
      </c>
      <c r="D14" s="243" t="str">
        <v>17826 observaciones; objetivo oculto al seleccionar</v>
      </c>
    </row>
    <row r="15" ht="48" customHeight="1">
      <c r="A15" s="243" t="str">
        <v>Retrospectiva regular: diferencias</v>
      </c>
      <c r="B15" s="2"/>
      <c r="C15" s="243" t="n">
        <v>1494</v>
      </c>
      <c r="D15" s="243" t="str">
        <v>No prueba que hipótesis de cohorte original sea falsa</v>
      </c>
    </row>
    <row r="16" ht="48" customHeight="1">
      <c r="A16" s="243" t="str">
        <v>Retrospectiva regular: empates</v>
      </c>
      <c r="B16" s="2"/>
      <c r="C16" s="243" t="n">
        <v>1044</v>
      </c>
      <c r="D16" s="243" t="str">
        <v>Versiones compatibles concurrentes para nuevos</v>
      </c>
    </row>
    <row r="17" ht="48" customHeight="1">
      <c r="A17" s="243" t="str">
        <v>Retrospectiva regular: sin candidato/fecha</v>
      </c>
      <c r="B17" s="2"/>
      <c r="C17" s="243" t="n">
        <v>259</v>
      </c>
      <c r="D17" s="243" t="str">
        <v>257 sin oferta compatible y2 fecha ausente/múltiple</v>
      </c>
    </row>
    <row r="18" ht="48" customHeight="1">
      <c r="A18" s="243" t="str">
        <v>Brecha original dimensiones</v>
      </c>
      <c r="B18" s="249" t="n">
        <v>0.38095238095238093</v>
      </c>
      <c r="C18" s="249" t="n">
        <v>0.38095238095238093</v>
      </c>
      <c r="D18" s="243" t="str">
        <v>No recalificada; escenario mixto sigue no aprobado</v>
      </c>
    </row>
    <row r="19" ht="48" customHeight="1">
      <c r="A19" s="243" t="str">
        <v>Estado</v>
      </c>
      <c r="B19" s="2"/>
      <c r="C19" s="243" t="str">
        <v>PENDIENTE_APROBACION_GOBERNANZA</v>
      </c>
      <c r="D19" s="243" t="str">
        <v>Sin regla nueva ni cambios de tasas</v>
      </c>
    </row>
  </sheetData>
  <pageMargins left="0.7" right="0.7" top="0.75" bottom="0.75" header="0.3" footer="0.3"/>
</worksheet>
</file>

<file path=xl/worksheets/sheet48.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44" hidden="0" customWidth="1"/>
    <col min="2" max="2" width="22" hidden="0" customWidth="1"/>
    <col min="3" max="3" width="22" hidden="0" customWidth="1"/>
    <col min="4" max="4" width="22" hidden="0" customWidth="1"/>
    <col min="5" max="5" width="22" hidden="0" customWidth="1"/>
  </cols>
  <sheetData>
    <row r="1" ht="32" customHeight="1">
      <c r="A1" s="246" t="str">
        <v>Contraste sin usar código objetivo para escoger</v>
      </c>
      <c r="B1" s="5"/>
      <c r="C1" s="5"/>
      <c r="D1" s="5"/>
      <c r="E1" s="5"/>
    </row>
    <row r="2" ht="32" customHeight="1">
      <c r="A2" s="243" t="str">
        <v>Ingreso registrado no acredita asignación efectiva al plan; personas no sumables</v>
      </c>
      <c r="B2" s="2"/>
      <c r="C2" s="2"/>
      <c r="D2" s="2"/>
      <c r="E2" s="2"/>
    </row>
    <row r="3" ht="32" customHeight="1">
      <c r="A3" s="2"/>
      <c r="B3" s="2"/>
      <c r="C3" s="2"/>
      <c r="D3" s="2"/>
      <c r="E3" s="2"/>
    </row>
    <row r="4" ht="32" customHeight="1">
      <c r="A4" s="248" t="str">
        <v>Fecha</v>
      </c>
      <c r="B4" s="248" t="str">
        <v>Grupo</v>
      </c>
      <c r="C4" s="248" t="str">
        <v>Resultado</v>
      </c>
      <c r="D4" s="248" t="str">
        <v>Observaciones</v>
      </c>
      <c r="E4" s="248" t="str">
        <v>Personas no aditivas</v>
      </c>
    </row>
    <row r="5" ht="32" customHeight="1">
      <c r="A5" s="243" t="str">
        <v>DA_ANOINGRESO</v>
      </c>
      <c r="B5" s="243" t="str">
        <v>REGULAR</v>
      </c>
      <c r="C5" s="243" t="str">
        <v>ACIERTO</v>
      </c>
      <c r="D5" s="243" t="n">
        <v>15069</v>
      </c>
      <c r="E5" s="243" t="n">
        <v>3590</v>
      </c>
    </row>
    <row r="6" ht="32" customHeight="1">
      <c r="A6" s="243" t="str">
        <v>DA_ANOINGRESO</v>
      </c>
      <c r="B6" s="243" t="str">
        <v>REGULAR</v>
      </c>
      <c r="C6" s="243" t="str">
        <v>ERROR</v>
      </c>
      <c r="D6" s="243" t="n">
        <v>1497</v>
      </c>
      <c r="E6" s="243" t="n">
        <v>329</v>
      </c>
    </row>
    <row r="7" ht="32" customHeight="1">
      <c r="A7" s="243" t="str">
        <v>DA_ANOINGRESO</v>
      </c>
      <c r="B7" s="243" t="str">
        <v>REGULAR</v>
      </c>
      <c r="C7" s="243" t="str">
        <v>EMPATE_NUEVOS</v>
      </c>
      <c r="D7" s="243" t="n">
        <v>1040</v>
      </c>
      <c r="E7" s="243" t="n">
        <v>162</v>
      </c>
    </row>
    <row r="8" ht="32" customHeight="1">
      <c r="A8" s="243" t="str">
        <v>DA_ANOINGRESO</v>
      </c>
      <c r="B8" s="243" t="str">
        <v>REGULAR</v>
      </c>
      <c r="C8" s="243" t="str">
        <v>FECHA_AUSENTE_O_MULTIPLE</v>
      </c>
      <c r="D8" s="243" t="n">
        <v>2</v>
      </c>
      <c r="E8" s="243" t="n">
        <v>1</v>
      </c>
    </row>
    <row r="9" ht="32" customHeight="1">
      <c r="A9" s="243" t="str">
        <v>DA_ANOINGRESO</v>
      </c>
      <c r="B9" s="243" t="str">
        <v>REGULAR</v>
      </c>
      <c r="C9" s="243" t="str">
        <v>SIN_OFERTA_NUEVOS_COMPATIBLE</v>
      </c>
      <c r="D9" s="243" t="n">
        <v>218</v>
      </c>
      <c r="E9" s="243" t="n">
        <v>36</v>
      </c>
    </row>
    <row r="10" ht="32" customHeight="1">
      <c r="A10" s="243" t="str">
        <v>MU_INGRESO_ACTUAL</v>
      </c>
      <c r="B10" s="243" t="str">
        <v>REGULAR</v>
      </c>
      <c r="C10" s="243" t="str">
        <v>ACIERTO</v>
      </c>
      <c r="D10" s="243" t="n">
        <v>15029</v>
      </c>
      <c r="E10" s="243" t="n">
        <v>3584</v>
      </c>
    </row>
    <row r="11" ht="32" customHeight="1">
      <c r="A11" s="243" t="str">
        <v>MU_INGRESO_ACTUAL</v>
      </c>
      <c r="B11" s="243" t="str">
        <v>REGULAR</v>
      </c>
      <c r="C11" s="243" t="str">
        <v>SIN_OFERTA_NUEVOS_COMPATIBLE</v>
      </c>
      <c r="D11" s="243" t="n">
        <v>257</v>
      </c>
      <c r="E11" s="243" t="n">
        <v>51</v>
      </c>
    </row>
    <row r="12" ht="32" customHeight="1">
      <c r="A12" s="243" t="str">
        <v>MU_INGRESO_ACTUAL</v>
      </c>
      <c r="B12" s="243" t="str">
        <v>REGULAR</v>
      </c>
      <c r="C12" s="243" t="str">
        <v>ERROR</v>
      </c>
      <c r="D12" s="243" t="n">
        <v>1494</v>
      </c>
      <c r="E12" s="243" t="n">
        <v>325</v>
      </c>
    </row>
    <row r="13" ht="32" customHeight="1">
      <c r="A13" s="243" t="str">
        <v>MU_INGRESO_ACTUAL</v>
      </c>
      <c r="B13" s="243" t="str">
        <v>REGULAR</v>
      </c>
      <c r="C13" s="243" t="str">
        <v>EMPATE_NUEVOS</v>
      </c>
      <c r="D13" s="243" t="n">
        <v>1044</v>
      </c>
      <c r="E13" s="243" t="n">
        <v>161</v>
      </c>
    </row>
    <row r="14" ht="32" customHeight="1">
      <c r="A14" s="243" t="str">
        <v>MU_INGRESO_ACTUAL</v>
      </c>
      <c r="B14" s="243" t="str">
        <v>REGULAR</v>
      </c>
      <c r="C14" s="243" t="str">
        <v>FECHA_AUSENTE_O_MULTIPLE</v>
      </c>
      <c r="D14" s="243" t="n">
        <v>2</v>
      </c>
      <c r="E14" s="243" t="n">
        <v>1</v>
      </c>
    </row>
    <row r="15" ht="32" customHeight="1">
      <c r="A15" s="243" t="str">
        <v>MU_INGRESO_ORIGEN</v>
      </c>
      <c r="B15" s="243" t="str">
        <v>REGULAR</v>
      </c>
      <c r="C15" s="243" t="str">
        <v>ACIERTO</v>
      </c>
      <c r="D15" s="243" t="n">
        <v>14214</v>
      </c>
      <c r="E15" s="243" t="n">
        <v>3513</v>
      </c>
    </row>
    <row r="16" ht="32" customHeight="1">
      <c r="A16" s="243" t="str">
        <v>MU_INGRESO_ORIGEN</v>
      </c>
      <c r="B16" s="243" t="str">
        <v>REGULAR</v>
      </c>
      <c r="C16" s="243" t="str">
        <v>SIN_OFERTA_NUEVOS_COMPATIBLE</v>
      </c>
      <c r="D16" s="243" t="n">
        <v>494</v>
      </c>
      <c r="E16" s="243" t="n">
        <v>139</v>
      </c>
    </row>
    <row r="17" ht="32" customHeight="1">
      <c r="A17" s="243" t="str">
        <v>MU_INGRESO_ORIGEN</v>
      </c>
      <c r="B17" s="243" t="str">
        <v>REGULAR</v>
      </c>
      <c r="C17" s="243" t="str">
        <v>FECHA_AUSENTE_O_MULTIPLE</v>
      </c>
      <c r="D17" s="243" t="n">
        <v>723</v>
      </c>
      <c r="E17" s="243" t="n">
        <v>104</v>
      </c>
    </row>
    <row r="18" ht="32" customHeight="1">
      <c r="A18" s="243" t="str">
        <v>MU_INGRESO_ORIGEN</v>
      </c>
      <c r="B18" s="243" t="str">
        <v>REGULAR</v>
      </c>
      <c r="C18" s="243" t="str">
        <v>ERROR</v>
      </c>
      <c r="D18" s="243" t="n">
        <v>1417</v>
      </c>
      <c r="E18" s="243" t="n">
        <v>332</v>
      </c>
    </row>
    <row r="19" ht="32" customHeight="1">
      <c r="A19" s="243" t="str">
        <v>MU_INGRESO_ORIGEN</v>
      </c>
      <c r="B19" s="243" t="str">
        <v>REGULAR</v>
      </c>
      <c r="C19" s="243" t="str">
        <v>EMPATE_NUEVOS</v>
      </c>
      <c r="D19" s="243" t="n">
        <v>978</v>
      </c>
      <c r="E19" s="243" t="n">
        <v>151</v>
      </c>
    </row>
    <row r="20" ht="32" customHeight="1">
      <c r="A20" s="243" t="str">
        <v>DA_ANOINGRESO</v>
      </c>
      <c r="B20" s="243" t="str">
        <v>TIPO_NO_UNICO</v>
      </c>
      <c r="C20" s="243" t="str">
        <v>SIN_PERFIL</v>
      </c>
      <c r="D20" s="243" t="n">
        <v>3112</v>
      </c>
      <c r="E20" s="243" t="n">
        <v>704</v>
      </c>
    </row>
    <row r="21" ht="32" customHeight="1">
      <c r="A21" s="243" t="str">
        <v>DA_ANOINGRESO</v>
      </c>
      <c r="B21" s="243" t="str">
        <v>TIPO_NO_UNICO</v>
      </c>
      <c r="C21" s="243" t="str">
        <v>SIN_GRUPO</v>
      </c>
      <c r="D21" s="243" t="n">
        <v>267</v>
      </c>
      <c r="E21" s="243" t="n">
        <v>76</v>
      </c>
    </row>
    <row r="22" ht="32" customHeight="1">
      <c r="A22" s="243" t="str">
        <v>DA_ANOINGRESO</v>
      </c>
      <c r="B22" s="243" t="str">
        <v>TIPO_NO_UNICO</v>
      </c>
      <c r="C22" s="243" t="str">
        <v>ACIERTO</v>
      </c>
      <c r="D22" s="243" t="n">
        <v>138</v>
      </c>
      <c r="E22" s="243" t="n">
        <v>65</v>
      </c>
    </row>
    <row r="23" ht="32" customHeight="1">
      <c r="A23" s="243" t="str">
        <v>DA_ANOINGRESO</v>
      </c>
      <c r="B23" s="243" t="str">
        <v>TIPO_NO_UNICO</v>
      </c>
      <c r="C23" s="243" t="str">
        <v>ERROR</v>
      </c>
      <c r="D23" s="243" t="n">
        <v>45</v>
      </c>
      <c r="E23" s="243" t="n">
        <v>17</v>
      </c>
    </row>
    <row r="24" ht="32" customHeight="1">
      <c r="A24" s="243" t="str">
        <v>MU_INGRESO_ACTUAL</v>
      </c>
      <c r="B24" s="243" t="str">
        <v>TIPO_NO_UNICO</v>
      </c>
      <c r="C24" s="243" t="str">
        <v>SIN_PERFIL</v>
      </c>
      <c r="D24" s="243" t="n">
        <v>3112</v>
      </c>
      <c r="E24" s="243" t="n">
        <v>704</v>
      </c>
    </row>
    <row r="25" ht="32" customHeight="1">
      <c r="A25" s="243" t="str">
        <v>MU_INGRESO_ACTUAL</v>
      </c>
      <c r="B25" s="243" t="str">
        <v>TIPO_NO_UNICO</v>
      </c>
      <c r="C25" s="243" t="str">
        <v>SIN_GRUPO</v>
      </c>
      <c r="D25" s="243" t="n">
        <v>267</v>
      </c>
      <c r="E25" s="243" t="n">
        <v>76</v>
      </c>
    </row>
    <row r="26" ht="32" customHeight="1">
      <c r="A26" s="243" t="str">
        <v>MU_INGRESO_ACTUAL</v>
      </c>
      <c r="B26" s="243" t="str">
        <v>TIPO_NO_UNICO</v>
      </c>
      <c r="C26" s="243" t="str">
        <v>ACIERTO</v>
      </c>
      <c r="D26" s="243" t="n">
        <v>138</v>
      </c>
      <c r="E26" s="243" t="n">
        <v>65</v>
      </c>
    </row>
    <row r="27" ht="32" customHeight="1">
      <c r="A27" s="243" t="str">
        <v>MU_INGRESO_ACTUAL</v>
      </c>
      <c r="B27" s="243" t="str">
        <v>TIPO_NO_UNICO</v>
      </c>
      <c r="C27" s="243" t="str">
        <v>ERROR</v>
      </c>
      <c r="D27" s="243" t="n">
        <v>45</v>
      </c>
      <c r="E27" s="243" t="n">
        <v>17</v>
      </c>
    </row>
    <row r="28" ht="32" customHeight="1">
      <c r="A28" s="243" t="str">
        <v>MU_INGRESO_ORIGEN</v>
      </c>
      <c r="B28" s="243" t="str">
        <v>TIPO_NO_UNICO</v>
      </c>
      <c r="C28" s="243" t="str">
        <v>SIN_PERFIL</v>
      </c>
      <c r="D28" s="243" t="n">
        <v>2913</v>
      </c>
      <c r="E28" s="243" t="n">
        <v>676</v>
      </c>
    </row>
    <row r="29" ht="32" customHeight="1">
      <c r="A29" s="243" t="str">
        <v>MU_INGRESO_ORIGEN</v>
      </c>
      <c r="B29" s="243" t="str">
        <v>TIPO_NO_UNICO</v>
      </c>
      <c r="C29" s="243" t="str">
        <v>FECHA_AUSENTE_O_MULTIPLE</v>
      </c>
      <c r="D29" s="243" t="n">
        <v>199</v>
      </c>
      <c r="E29" s="243" t="n">
        <v>38</v>
      </c>
    </row>
    <row r="30" ht="32" customHeight="1">
      <c r="A30" s="243" t="str">
        <v>MU_INGRESO_ORIGEN</v>
      </c>
      <c r="B30" s="243" t="str">
        <v>TIPO_NO_UNICO</v>
      </c>
      <c r="C30" s="243" t="str">
        <v>SIN_GRUPO</v>
      </c>
      <c r="D30" s="243" t="n">
        <v>267</v>
      </c>
      <c r="E30" s="243" t="n">
        <v>76</v>
      </c>
    </row>
    <row r="31" ht="32" customHeight="1">
      <c r="A31" s="243" t="str">
        <v>MU_INGRESO_ORIGEN</v>
      </c>
      <c r="B31" s="243" t="str">
        <v>TIPO_NO_UNICO</v>
      </c>
      <c r="C31" s="243" t="str">
        <v>ACIERTO</v>
      </c>
      <c r="D31" s="243" t="n">
        <v>135</v>
      </c>
      <c r="E31" s="243" t="n">
        <v>64</v>
      </c>
    </row>
    <row r="32" ht="32" customHeight="1">
      <c r="A32" s="243" t="str">
        <v>MU_INGRESO_ORIGEN</v>
      </c>
      <c r="B32" s="243" t="str">
        <v>TIPO_NO_UNICO</v>
      </c>
      <c r="C32" s="243" t="str">
        <v>ERROR</v>
      </c>
      <c r="D32" s="243" t="n">
        <v>48</v>
      </c>
      <c r="E32" s="243" t="n">
        <v>18</v>
      </c>
    </row>
    <row r="33" ht="32" customHeight="1">
      <c r="A33" s="243" t="str">
        <v>DA_ANOINGRESO</v>
      </c>
      <c r="B33" s="243" t="str">
        <v>CONTINUIDAD</v>
      </c>
      <c r="C33" s="243" t="str">
        <v>EXCLUIDO_FECHA_NO_PROPIA_CONTINUIDAD</v>
      </c>
      <c r="D33" s="243" t="n">
        <v>173</v>
      </c>
      <c r="E33" s="243" t="n">
        <v>42</v>
      </c>
    </row>
    <row r="34" ht="32" customHeight="1">
      <c r="A34" s="243" t="str">
        <v>MU_INGRESO_ACTUAL</v>
      </c>
      <c r="B34" s="243" t="str">
        <v>CONTINUIDAD</v>
      </c>
      <c r="C34" s="243" t="str">
        <v>SIN_OFERTA_NUEVOS_COMPATIBLE</v>
      </c>
      <c r="D34" s="243" t="n">
        <v>173</v>
      </c>
      <c r="E34" s="243" t="n">
        <v>42</v>
      </c>
    </row>
    <row r="35" ht="32" customHeight="1">
      <c r="A35" s="243" t="str">
        <v>MU_INGRESO_ORIGEN</v>
      </c>
      <c r="B35" s="243" t="str">
        <v>CONTINUIDAD</v>
      </c>
      <c r="C35" s="243" t="str">
        <v>EXCLUIDO_FECHA_NO_PROPIA_CONTINUIDAD</v>
      </c>
      <c r="D35" s="243" t="n">
        <v>173</v>
      </c>
      <c r="E35" s="243" t="n">
        <v>42</v>
      </c>
    </row>
  </sheetData>
  <pageMargins left="0.7" right="0.7" top="0.75" bottom="0.75" header="0.3" footer="0.3"/>
</worksheet>
</file>

<file path=xl/worksheets/sheet49.xml><?xml version="1.0" encoding="utf-8"?>
<worksheet xmlns="http://schemas.openxmlformats.org/spreadsheetml/2006/main">
  <sheetPr>
    <tabColor rgb="FFCFB47C"/>
  </sheetPr>
  <sheetViews>
    <sheetView showGridLines="0" workbookViewId="0">
      <pane ySplit="4" topLeftCell="A5" activePane="bottomLeft" state="frozen"/>
    </sheetView>
  </sheetViews>
  <sheetFormatPr defaultRowHeight="15"/>
  <cols>
    <col min="1" max="1" width="46" hidden="0" customWidth="1"/>
    <col min="2" max="2" width="23" hidden="0" customWidth="1"/>
    <col min="3" max="3" width="23" hidden="0" customWidth="1"/>
    <col min="4" max="4" width="23" hidden="0" customWidth="1"/>
    <col min="5" max="5" width="40" hidden="0" customWidth="1"/>
  </cols>
  <sheetData>
    <row r="1" ht="40" customHeight="1">
      <c r="A1" s="256" t="str">
        <v>Conciliación UMAS–SIES | reproducción V10</v>
      </c>
      <c r="B1" s="6"/>
      <c r="C1" s="6"/>
      <c r="D1" s="6"/>
      <c r="E1" s="6"/>
    </row>
    <row r="2" ht="44" customHeight="1">
      <c r="A2" s="257" t="str">
        <v>B/C · 5.901 personas · 6.622 expedientes · 24.774 observaciones. Códigos y tasas anteriores conservados.</v>
      </c>
      <c r="B2" s="7"/>
      <c r="C2" s="7"/>
      <c r="D2" s="7"/>
      <c r="E2" s="7"/>
    </row>
    <row r="3" ht="44" customHeight="1">
      <c r="A3" s="257" t="str">
        <v>La correspondencia interna no acredita envío ni aceptación SIES. Esta auditoría no calcula una nueva tasa de retención.</v>
      </c>
      <c r="B3" s="7"/>
      <c r="C3" s="7"/>
      <c r="D3" s="7"/>
      <c r="E3" s="7"/>
    </row>
    <row r="4" ht="40" customHeight="1">
      <c r="A4" s="256" t="str">
        <v>Personas: categorías disjuntas</v>
      </c>
      <c r="B4" s="256" t="str">
        <v>Documental</v>
      </c>
      <c r="C4" s="256" t="str">
        <v>Interno vigente</v>
      </c>
      <c r="D4" s="256" t="str">
        <v>Diferencia</v>
      </c>
      <c r="E4" s="256" t="str">
        <v>Clasificación</v>
      </c>
    </row>
    <row r="5" ht="34" customHeight="1">
      <c r="A5" s="253" t="str">
        <v>Sin observaciones pendientes</v>
      </c>
      <c r="B5" s="258" t="n">
        <v>4063</v>
      </c>
      <c r="C5" s="258" t="n">
        <v>4150</v>
      </c>
      <c r="D5" s="258" t="n">
        <f>C5-B5</f>
        <v>87</v>
      </c>
      <c r="E5" s="253" t="str">
        <v>C</v>
      </c>
    </row>
    <row r="6" ht="34" customHeight="1">
      <c r="A6" s="257" t="str">
        <v>Parcialmente resueltas</v>
      </c>
      <c r="B6" s="259" t="n">
        <v>699</v>
      </c>
      <c r="C6" s="259" t="n">
        <v>699</v>
      </c>
      <c r="D6" s="259" t="n">
        <f>C6-B6</f>
        <v>0</v>
      </c>
      <c r="E6" s="257" t="str">
        <v>C</v>
      </c>
    </row>
    <row r="7" ht="34" customHeight="1">
      <c r="A7" s="253" t="str">
        <v>Ninguna observación resuelta</v>
      </c>
      <c r="B7" s="258" t="n">
        <v>1139</v>
      </c>
      <c r="C7" s="258" t="n">
        <v>1052</v>
      </c>
      <c r="D7" s="258" t="n">
        <f>C7-B7</f>
        <v>-87</v>
      </c>
      <c r="E7" s="253" t="str">
        <v>C</v>
      </c>
    </row>
    <row r="8" ht="34" customHeight="1">
      <c r="A8" s="257" t="str">
        <v>Total de personas</v>
      </c>
      <c r="B8" s="259" t="n">
        <f>SUM(B5:B7)</f>
        <v>5901</v>
      </c>
      <c r="C8" s="259" t="n">
        <f>SUM(C5:C7)</f>
        <v>5901</v>
      </c>
      <c r="D8" s="259" t="n">
        <f>C8-B8</f>
        <v>0</v>
      </c>
      <c r="E8" s="257" t="str">
        <v>C · suma de tres categorías</v>
      </c>
    </row>
    <row r="9" ht="34" customHeight="1">
      <c r="A9" s="264" t="str">
        <v>Con algún pendiente</v>
      </c>
      <c r="B9" s="265" t="n">
        <f>SUM(B6:B7)</f>
        <v>1838</v>
      </c>
      <c r="C9" s="265" t="n">
        <f>SUM(C6:C7)</f>
        <v>1751</v>
      </c>
      <c r="D9" s="265" t="n">
        <f>C9-B9</f>
        <v>-87</v>
      </c>
      <c r="E9" s="264" t="str">
        <v>C · parcial + ninguna; no sumar al total</v>
      </c>
    </row>
    <row r="10" ht="34" customHeight="1">
      <c r="A10" s="264" t="str">
        <v>Porcentaje con algún pendiente</v>
      </c>
      <c r="B10" s="266" t="n">
        <f>B9/B8</f>
        <v>0.31147263175732925</v>
      </c>
      <c r="C10" s="266" t="n">
        <f>C9/C8</f>
        <v>0.2967293679037451</v>
      </c>
      <c r="D10" s="267" t="n">
        <f>(C10-B10)*100</f>
        <v>-1.4743263853584154</v>
      </c>
      <c r="E10" s="264" t="str">
        <v>C · personas pendientes / personas</v>
      </c>
    </row>
    <row r="11" ht="34" customHeight="1">
      <c r="A11" s="3"/>
      <c r="B11" s="8"/>
      <c r="C11" s="8"/>
      <c r="D11" s="8"/>
      <c r="E11" s="3"/>
    </row>
    <row r="12" ht="34" customHeight="1">
      <c r="A12" s="270" t="str">
        <v>Observaciones: unidad distinta</v>
      </c>
      <c r="B12" s="271" t="str">
        <v>Documental</v>
      </c>
      <c r="C12" s="271" t="str">
        <v>Interno vigente</v>
      </c>
      <c r="D12" s="271" t="str">
        <v>Diferencia</v>
      </c>
      <c r="E12" s="270" t="str">
        <v>Clasificación</v>
      </c>
    </row>
    <row r="13" ht="34" customHeight="1">
      <c r="A13" s="253" t="str">
        <v>Observaciones pendientes</v>
      </c>
      <c r="B13" s="258" t="n">
        <v>3213</v>
      </c>
      <c r="C13" s="258" t="n">
        <v>3094</v>
      </c>
      <c r="D13" s="258" t="n">
        <f>C13-B13</f>
        <v>-119</v>
      </c>
      <c r="E13" s="253" t="str">
        <v>B/C</v>
      </c>
    </row>
    <row r="14" ht="34" customHeight="1">
      <c r="A14" s="257" t="str">
        <v>Total de observaciones</v>
      </c>
      <c r="B14" s="259" t="n">
        <v>24774</v>
      </c>
      <c r="C14" s="259" t="n">
        <v>24774</v>
      </c>
      <c r="D14" s="259" t="n">
        <f>C14-B14</f>
        <v>0</v>
      </c>
      <c r="E14" s="257" t="str">
        <v>B</v>
      </c>
    </row>
    <row r="15" ht="34" customHeight="1">
      <c r="A15" s="253" t="str">
        <v>Porcentaje de observaciones pendientes</v>
      </c>
      <c r="B15" s="262" t="n">
        <f>B13/B14</f>
        <v>0.12969241947202712</v>
      </c>
      <c r="C15" s="262" t="n">
        <f>C13/C14</f>
        <v>0.1248889965286187</v>
      </c>
      <c r="D15" s="263" t="n">
        <f>(C15-B15)*100</f>
        <v>-0.48034229434084086</v>
      </c>
      <c r="E15" s="253" t="str">
        <v>C</v>
      </c>
    </row>
    <row r="16" ht="34" customHeight="1">
      <c r="A16" s="257" t="str">
        <v>Nuevos cierres frente a V10</v>
      </c>
      <c r="B16" s="259" t="n">
        <v>0</v>
      </c>
      <c r="C16" s="259" t="n">
        <v>0</v>
      </c>
      <c r="D16" s="259" t="n">
        <f>C16-B16</f>
        <v>0</v>
      </c>
      <c r="E16" s="257" t="str">
        <v>C · comparación por clave</v>
      </c>
    </row>
    <row r="17" ht="34" customHeight="1">
      <c r="A17" s="3"/>
      <c r="B17" s="8"/>
      <c r="C17" s="8"/>
      <c r="D17" s="8"/>
      <c r="E17" s="3"/>
    </row>
    <row r="18" ht="34" customHeight="1">
      <c r="A18" s="253" t="str">
        <v>Lectura del resultado</v>
      </c>
      <c r="B18" s="8"/>
      <c r="C18" s="8"/>
      <c r="D18" s="8"/>
      <c r="E18" s="3"/>
    </row>
    <row r="19" ht="48" customHeight="1">
      <c r="A19" s="253" t="str">
        <v>D · 119 equivalencias FCU2026 ya vigentes: IMDI 99; IRHU 14; NATP 3; ISEP 2; IFIN 1. No son nuevas reglas.</v>
      </c>
      <c r="B19" s="8"/>
      <c r="C19" s="8"/>
      <c r="D19" s="8"/>
      <c r="E19" s="3"/>
    </row>
    <row r="20" ht="48" customHeight="1">
      <c r="A20" s="253" t="str">
        <v>E · 2.695 candidatos únicos dentro de 3.094 observaciones pendientes internas. Son propuestas: falta acreditar plan y vigencia temporal.</v>
      </c>
      <c r="B20" s="8"/>
      <c r="C20" s="8"/>
      <c r="D20" s="8"/>
      <c r="E20" s="3"/>
    </row>
    <row r="21" ht="48" customHeight="1">
      <c r="A21" s="253" t="str">
        <v>E · No se acreditó fecha efectiva de asignación/migración del plan. Primera actividad observada y ANOINGRESO no la sustituyen.</v>
      </c>
      <c r="B21" s="8"/>
      <c r="C21" s="8"/>
      <c r="D21" s="8"/>
      <c r="E21" s="3"/>
    </row>
    <row r="22" ht="48" customHeight="1">
      <c r="A22" s="253" t="str">
        <v>E · 24/63 combinaciones, 38,10%, usa otra unidad; no compararlo con porcentajes de personas. Escenario 501 personas no adoptado.</v>
      </c>
      <c r="B22" s="8"/>
      <c r="C22" s="8"/>
      <c r="D22" s="8"/>
      <c r="E22" s="3"/>
    </row>
    <row r="23" ht="48" customHeight="1">
      <c r="A23" s="253" t="str">
        <v>Advertencia heredada: hoja 31 conserva 1.360 / 1.471 con tasa 92,7062%; ese cociente es 92,4541%. No corregido sin decisión.</v>
      </c>
      <c r="B23" s="8"/>
      <c r="C23" s="8"/>
      <c r="D23" s="8"/>
      <c r="E23" s="3"/>
    </row>
    <row r="24" ht="48" customHeight="1">
      <c r="A24" s="253" t="str">
        <v>Fuentes: RESULTADOS_QA.json, QA_TRANSICIONES.json y registro privado por observación. Manifiesto de esta entrega: hashes y rutas.</v>
      </c>
      <c r="B24" s="8"/>
      <c r="C24" s="8"/>
      <c r="D24" s="8"/>
      <c r="E24" s="3"/>
    </row>
    <row r="25" ht="48" customHeight="1">
      <c r="A25" s="253" t="str">
        <v>B/C · 374 personas reúnen varios expedientes/planes dentro de una familia (377 relaciones persona–familia). E · Esto no acredita migración ni su fecha efectiva.</v>
      </c>
      <c r="B25" s="8"/>
      <c r="C25" s="8"/>
      <c r="D25" s="8"/>
      <c r="E25" s="3"/>
    </row>
  </sheetData>
  <mergeCells>
    <mergeCell ref="A1:E1"/>
    <mergeCell ref="A2:E2"/>
    <mergeCell ref="A3:E3"/>
    <mergeCell ref="A18:E18"/>
    <mergeCell ref="A19:E19"/>
    <mergeCell ref="A20:E20"/>
    <mergeCell ref="A21:E21"/>
    <mergeCell ref="A22:E22"/>
    <mergeCell ref="A23:E23"/>
    <mergeCell ref="A24:E24"/>
    <mergeCell ref="A25:E25"/>
  </mergeCells>
  <pageMargins left="0.7" right="0.7" top="0.75" bottom="0.75" header="0.3" footer="0.3"/>
</worksheet>
</file>

<file path=xl/worksheets/sheet50.xml><?xml version="1.0" encoding="utf-8"?>
<worksheet xmlns="http://schemas.openxmlformats.org/spreadsheetml/2006/main">
  <sheetPr>
    <tabColor rgb="FFCFB47C"/>
  </sheetPr>
  <sheetViews>
    <sheetView showGridLines="0" workbookViewId="0">
      <pane ySplit="4" topLeftCell="A5" activePane="bottomLeft" state="frozen"/>
    </sheetView>
  </sheetViews>
  <sheetFormatPr defaultRowHeight="15"/>
  <cols>
    <col min="1" max="1" width="46" hidden="0" customWidth="1"/>
    <col min="2" max="2" width="23" hidden="0" customWidth="1"/>
    <col min="3" max="3" width="23" hidden="0" customWidth="1"/>
    <col min="4" max="4" width="23" hidden="0" customWidth="1"/>
    <col min="5" max="5" width="40" hidden="0" customWidth="1"/>
  </cols>
  <sheetData>
    <row r="1" ht="40" customHeight="1">
      <c r="A1" s="256" t="str">
        <v>Prueba retrospectiva | selección sin código objetivo</v>
      </c>
      <c r="B1" s="6"/>
      <c r="C1" s="6"/>
      <c r="D1" s="6"/>
      <c r="E1" s="6"/>
    </row>
    <row r="2" ht="44" customHeight="1">
      <c r="A2" s="257" t="str">
        <v>C · 17.826 observaciones regulares documentadas. Se evalúa después de seleccionar el candidato.</v>
      </c>
      <c r="B2" s="7"/>
      <c r="C2" s="7"/>
      <c r="D2" s="7"/>
      <c r="E2" s="7"/>
    </row>
    <row r="3" ht="44" customHeight="1">
      <c r="A3" s="257" t="str">
        <v>No es validación externa ni prospectiva: familias heredadas; entrenamiento retrospectivo sin separación temporal.</v>
      </c>
      <c r="B3" s="7"/>
      <c r="C3" s="7"/>
      <c r="D3" s="7"/>
      <c r="E3" s="7"/>
    </row>
    <row r="4" ht="40" customHeight="1">
      <c r="A4" s="256" t="str">
        <v>Resultado</v>
      </c>
      <c r="B4" s="256" t="str">
        <v>MU ingreso actual (V10)</v>
      </c>
      <c r="C4" s="256" t="str">
        <v>5 particiones por persona</v>
      </c>
      <c r="D4" s="256" t="str">
        <v>Diferencia</v>
      </c>
      <c r="E4" s="256" t="str">
        <v>Clasificación</v>
      </c>
    </row>
    <row r="5" ht="34" customHeight="1">
      <c r="A5" s="253" t="str">
        <v>ACIERTO</v>
      </c>
      <c r="B5" s="258" t="n">
        <v>15029</v>
      </c>
      <c r="C5" s="258" t="n">
        <v>15171</v>
      </c>
      <c r="D5" s="258" t="n">
        <f>C5-B5</f>
        <v>142</v>
      </c>
      <c r="E5" s="253" t="str">
        <v>C</v>
      </c>
    </row>
    <row r="6" ht="34" customHeight="1">
      <c r="A6" s="257" t="str">
        <v>ERROR</v>
      </c>
      <c r="B6" s="259" t="n">
        <v>1494</v>
      </c>
      <c r="C6" s="259" t="n">
        <v>1387</v>
      </c>
      <c r="D6" s="259" t="n">
        <f>C6-B6</f>
        <v>-107</v>
      </c>
      <c r="E6" s="257" t="str">
        <v>C</v>
      </c>
    </row>
    <row r="7" ht="34" customHeight="1">
      <c r="A7" s="253" t="str">
        <v>EMPATE_NUEVOS</v>
      </c>
      <c r="B7" s="258" t="n">
        <v>1044</v>
      </c>
      <c r="C7" s="258" t="n">
        <v>1228</v>
      </c>
      <c r="D7" s="258" t="n">
        <f>C7-B7</f>
        <v>184</v>
      </c>
      <c r="E7" s="253" t="str">
        <v>C</v>
      </c>
    </row>
    <row r="8" ht="34" customHeight="1">
      <c r="A8" s="257" t="str">
        <v>SIN_OFERTA_NUEVOS_COMPATIBLE</v>
      </c>
      <c r="B8" s="259" t="n">
        <v>257</v>
      </c>
      <c r="C8" s="259" t="n">
        <v>34</v>
      </c>
      <c r="D8" s="259" t="n">
        <f>C8-B8</f>
        <v>-223</v>
      </c>
      <c r="E8" s="257" t="str">
        <v>C</v>
      </c>
    </row>
    <row r="9" ht="34" customHeight="1">
      <c r="A9" s="253" t="str">
        <v>SIN_PERFIL</v>
      </c>
      <c r="B9" s="258" t="n">
        <v>0</v>
      </c>
      <c r="C9" s="258" t="n">
        <v>4</v>
      </c>
      <c r="D9" s="258" t="n">
        <f>C9-B9</f>
        <v>4</v>
      </c>
      <c r="E9" s="253" t="str">
        <v>C</v>
      </c>
    </row>
    <row r="10" ht="34" customHeight="1">
      <c r="A10" s="257" t="str">
        <v>FECHA_AUSENTE_O_MULTIPLE</v>
      </c>
      <c r="B10" s="259" t="n">
        <v>2</v>
      </c>
      <c r="C10" s="259" t="n">
        <v>2</v>
      </c>
      <c r="D10" s="259" t="n">
        <f>C10-B10</f>
        <v>0</v>
      </c>
      <c r="E10" s="257" t="str">
        <v>C</v>
      </c>
    </row>
    <row r="11" ht="34" customHeight="1">
      <c r="A11" s="253" t="str">
        <v>Total</v>
      </c>
      <c r="B11" s="258" t="n">
        <f>SUM(B5:B10)</f>
        <v>17826</v>
      </c>
      <c r="C11" s="258" t="n">
        <f>SUM(C5:C10)</f>
        <v>17826</v>
      </c>
      <c r="D11" s="258" t="n">
        <f>C11-B11</f>
        <v>0</v>
      </c>
      <c r="E11" s="253" t="str">
        <v>C</v>
      </c>
    </row>
    <row r="12" ht="34" customHeight="1">
      <c r="A12" s="257" t="str">
        <v>Aciertos / total evaluado</v>
      </c>
      <c r="B12" s="260" t="n">
        <f>B5/B11</f>
        <v>0.8430943565578368</v>
      </c>
      <c r="C12" s="260" t="n">
        <f>C5/C11</f>
        <v>0.8510602490743857</v>
      </c>
      <c r="D12" s="261" t="n">
        <f>(C12-B12)*100</f>
        <v>0.7965892516548889</v>
      </c>
      <c r="E12" s="257" t="str">
        <v>C · incluye no seleccionados</v>
      </c>
    </row>
    <row r="13" ht="34" customHeight="1">
      <c r="A13" s="3"/>
      <c r="B13" s="8"/>
      <c r="C13" s="8"/>
      <c r="D13" s="8"/>
      <c r="E13" s="3"/>
    </row>
    <row r="14" ht="34" customHeight="1">
      <c r="A14" s="253" t="str">
        <v>Interpretación</v>
      </c>
      <c r="B14" s="8"/>
      <c r="C14" s="8"/>
      <c r="D14" s="8"/>
      <c r="E14" s="3"/>
    </row>
    <row r="15" ht="34" customHeight="1">
      <c r="A15" s="253" t="str">
        <v>C · Todas las observaciones de una persona quedan en una misma partición. Su perfil de entrenamiento proviene de otras personas.</v>
      </c>
      <c r="B15" s="8"/>
      <c r="C15" s="8"/>
      <c r="D15" s="8"/>
      <c r="E15" s="3"/>
    </row>
    <row r="16" ht="34" customHeight="1">
      <c r="A16" s="253" t="str">
        <v>E · 1.387 diferencias impiden usar la regla como equivalencia universal. No refutan la hipótesis de ingreso original al plan, cuya fecha falta.</v>
      </c>
      <c r="B16" s="8"/>
      <c r="C16" s="8"/>
      <c r="D16" s="8"/>
      <c r="E16" s="3"/>
    </row>
    <row r="17" ht="34" customHeight="1">
      <c r="A17" s="253" t="str">
        <v>C · 2.695 candidatos únicos no adoptados; 399 casos sin candidato único. Sin nuevos cierres documentales o internos.</v>
      </c>
      <c r="B17" s="8"/>
      <c r="C17" s="8"/>
      <c r="D17" s="8"/>
      <c r="E17" s="3"/>
    </row>
    <row r="18" ht="34" customHeight="1">
      <c r="A18" s="253" t="str">
        <v>A · Manual Oferta/Acceso 2027, pp. 65–66: estructura de código y cambios que afectan versión. Alcance 2027; no retroactividad supuesta.</v>
      </c>
      <c r="B18" s="8"/>
      <c r="C18" s="8"/>
      <c r="D18" s="8"/>
      <c r="E18" s="3"/>
    </row>
    <row r="19" ht="34" customHeight="1">
      <c r="A19" s="253" t="str">
        <v>Fuentes: RESULTADOS_QA.json; scripts reproducibles del proyecto; datos privados por observación y partición.</v>
      </c>
      <c r="B19" s="8"/>
      <c r="C19" s="8"/>
      <c r="D19" s="8"/>
      <c r="E19" s="3"/>
    </row>
  </sheetData>
  <mergeCells>
    <mergeCell ref="A1:E1"/>
    <mergeCell ref="A2:E2"/>
    <mergeCell ref="A3:E3"/>
    <mergeCell ref="A14:E14"/>
    <mergeCell ref="A15:E15"/>
    <mergeCell ref="A16:E16"/>
    <mergeCell ref="A17:E17"/>
    <mergeCell ref="A18:E18"/>
    <mergeCell ref="A19:E19"/>
  </mergeCells>
  <pageMargins left="0.7" right="0.7" top="0.75" bottom="0.75" header="0.3" footer="0.3"/>
</worksheet>
</file>

<file path=xl/worksheets/sheet51.xml><?xml version="1.0" encoding="utf-8"?>
<worksheet xmlns="http://schemas.openxmlformats.org/spreadsheetml/2006/main">
  <sheetPr>
    <tabColor rgb="FFCFB47C"/>
  </sheetPr>
  <sheetViews>
    <sheetView showGridLines="0" workbookViewId="0">
      <pane ySplit="4" topLeftCell="A5" activePane="bottomLeft" state="frozen"/>
    </sheetView>
  </sheetViews>
  <sheetFormatPr defaultRowHeight="15"/>
  <cols>
    <col min="1" max="1" width="65" hidden="0" customWidth="1"/>
    <col min="2" max="2" width="23" hidden="0" customWidth="1"/>
    <col min="3" max="3" width="23" hidden="0" customWidth="1"/>
    <col min="4" max="4" width="42" hidden="0" customWidth="1"/>
    <col min="5" max="5" width="40" hidden="0" customWidth="1"/>
  </cols>
  <sheetData>
    <row r="1" ht="40" customHeight="1">
      <c r="A1" s="256" t="str">
        <v>Evidencia releída | alcance y límites</v>
      </c>
      <c r="B1" s="6"/>
      <c r="C1" s="6"/>
      <c r="D1" s="6"/>
      <c r="E1" s="6"/>
    </row>
    <row r="2" ht="44" customHeight="1">
      <c r="A2" s="257" t="str">
        <v>B · Localizadores completos verificados contra fila original; no equivalen a personas ni a aceptación SIES.</v>
      </c>
      <c r="B2" s="7"/>
      <c r="C2" s="7"/>
      <c r="D2" s="7"/>
      <c r="E2" s="7"/>
    </row>
    <row r="3" ht="44" customHeight="1">
      <c r="A3" s="257" t="str">
        <v>Cortes efectivos de DATOSDEALUMNOS no acreditados. Años contenidos y fechas de archivo son conceptos distintos.</v>
      </c>
      <c r="B3" s="7"/>
      <c r="C3" s="7"/>
      <c r="D3" s="7"/>
      <c r="E3" s="7"/>
    </row>
    <row r="4" ht="40" customHeight="1">
      <c r="A4" s="256" t="str">
        <v>Archivo / hoja</v>
      </c>
      <c r="B4" s="256" t="str">
        <v>Filas o evidencias</v>
      </c>
      <c r="C4" s="256" t="str">
        <v>Verificadas</v>
      </c>
      <c r="D4" s="256" t="str">
        <v>SHA-256</v>
      </c>
      <c r="E4" s="256" t="str">
        <v>Alcance</v>
      </c>
    </row>
    <row r="5" ht="96" customHeight="1">
      <c r="A5" s="253" t="str">
        <v>/Users/alexi/Library/CloudStorage/OneDrive-InstitutoProfesionalSanSebastián/Datos DAI (RAW) - 1.1 Datos crudos/1.2.1 Datos Institucionales/1.2.1.1 SIES/Enviados/Avance Curricular/2022/Matrícula_Avance_Curricular_2022.csv</v>
      </c>
      <c r="B5" s="258" t="n">
        <v>996</v>
      </c>
      <c r="C5" s="258" t="n">
        <v>996</v>
      </c>
      <c r="D5" s="258" t="str">
        <v>061c3c7ac832c9ed1008c648a50d552d1c7187586f9c434b895a76df3f0874da</v>
      </c>
      <c r="E5" s="253" t="str">
        <v>B · identidad + código; revisar período/expediente por separado</v>
      </c>
    </row>
    <row r="6" ht="96" customHeight="1">
      <c r="A6" s="253" t="str">
        <v>/Users/alexi/Library/CloudStorage/OneDrive-InstitutoProfesionalSanSebastián/Datos DAI (RAW) - 1.1 Datos crudos/1.2.1 Datos Institucionales/1.2.1.1 SIES/Enviados/Avance Curricular/2023/Matrícula_Avance_Curricular_2023.csv</v>
      </c>
      <c r="B6" s="258" t="n">
        <v>942</v>
      </c>
      <c r="C6" s="258" t="n">
        <v>942</v>
      </c>
      <c r="D6" s="258" t="str">
        <v>bc977e518ea78cbd34bc48cf8a45275d422d596fdf98ac34928e08ccb2220f88</v>
      </c>
      <c r="E6" s="253" t="str">
        <v>B · identidad + código; revisar período/expediente por separado</v>
      </c>
    </row>
    <row r="7" ht="96" customHeight="1">
      <c r="A7" s="253" t="str">
        <v>/Users/alexi/Library/CloudStorage/OneDrive-InstitutoProfesionalSanSebastián/Datos DAI (RAW) - 1.1 Datos crudos/1.2.1 Datos Institucionales/1.2.1.1 SIES/Enviados/Avance Curricular/2024/A.C Matrícula.xlsx</v>
      </c>
      <c r="B7" s="258" t="n">
        <v>1279</v>
      </c>
      <c r="C7" s="258" t="n">
        <v>1279</v>
      </c>
      <c r="D7" s="258" t="str">
        <v>6bbf41e77b79faccd5c761935c56038ae11eee6c7bf659a2ff35d99469e6f380</v>
      </c>
      <c r="E7" s="253" t="str">
        <v>B · identidad + código; revisar período/expediente por separado</v>
      </c>
    </row>
    <row r="8" ht="96" customHeight="1">
      <c r="A8" s="253" t="str">
        <v>/Users/alexi/Library/CloudStorage/OneDrive-InstitutoProfesionalSanSebastián/Datos DAI (RAW) - 1.1 Datos crudos/1.2.1 Datos Institucionales/1.2.1.1 SIES/Enviados/Avance Curricular/2024/A.C Matrícula2.xlsx</v>
      </c>
      <c r="B8" s="258" t="n">
        <v>1279</v>
      </c>
      <c r="C8" s="258" t="n">
        <v>1279</v>
      </c>
      <c r="D8" s="258" t="str">
        <v>73d03ad65f0a222907e2e795f3520be10b814dfcca0dd7c5662c3929901b45c8</v>
      </c>
      <c r="E8" s="253" t="str">
        <v>B · identidad + código; revisar período/expediente por separado</v>
      </c>
    </row>
    <row r="9" ht="96" customHeight="1">
      <c r="A9" s="253" t="str">
        <v>/Users/alexi/Library/CloudStorage/OneDrive-InstitutoProfesionalSanSebastián/Datos DAI (RAW) - 1.1 Datos crudos/1.2.1 Datos Institucionales/1.2.1.1 SIES/Enviados/Avance Curricular/2026/5809_Precarga Matrícula Avance Curricular 2026.csv</v>
      </c>
      <c r="B9" s="258" t="n">
        <v>1774</v>
      </c>
      <c r="C9" s="258" t="n">
        <v>1774</v>
      </c>
      <c r="D9" s="258" t="str">
        <v>f86e805ca2909f0f8e3dd439a5afb7fc15939a8078b17e13ef33b5cdec2490ed</v>
      </c>
      <c r="E9" s="253" t="str">
        <v>B · identidad + código; revisar período/expediente por separado</v>
      </c>
    </row>
    <row r="10" ht="96" customHeight="1">
      <c r="A10" s="253" t="str">
        <v>/Users/alexi/Library/CloudStorage/OneDrive-InstitutoProfesionalSanSebastián/Datos DAI (RAW) - 1.1 Datos crudos/1.2.1 Datos Institucionales/1.2.1.1 SIES/Enviados/Matrícula Unificada/1. MATRICULA - RETENCION - TITULACION SIES _IP_CIISA_2010_20XX.xlsx</v>
      </c>
      <c r="B10" s="258" t="n">
        <v>14809</v>
      </c>
      <c r="C10" s="258" t="n">
        <v>14809</v>
      </c>
      <c r="D10" s="258" t="str">
        <v>64b28663f43d842ed2c0605067b8a513c35fdfd86f399485aced8cf2e6c7c3ec</v>
      </c>
      <c r="E10" s="253" t="str">
        <v>B · identidad + código; revisar período/expediente por separado</v>
      </c>
    </row>
    <row r="11" ht="96" customHeight="1">
      <c r="A11" s="253" t="str">
        <v>/Users/alexi/Library/CloudStorage/OneDrive-InstitutoProfesionalSanSebastián/Datos DAI (RAW) - 1.1 Datos crudos/1.2.1 Datos Institucionales/1.2.1.1 SIES/Enviados/Titulación Unificada/2022/TIT_2022_162_def (1 de marzo de 2021 hasta el 28 de febrero de 2022).csv</v>
      </c>
      <c r="B11" s="258" t="n">
        <v>190</v>
      </c>
      <c r="C11" s="258" t="n">
        <v>190</v>
      </c>
      <c r="D11" s="258" t="str">
        <v>451dcc2ca39b9a5dfb6072282d32fb8a5440a2af21d8cf667e1e9ee62bf1e60d</v>
      </c>
      <c r="E11" s="253" t="str">
        <v>B · identidad + código; revisar período/expediente por separado</v>
      </c>
    </row>
    <row r="12" ht="96" customHeight="1">
      <c r="A12" s="253" t="str">
        <v>/Users/alexi/Library/CloudStorage/OneDrive-InstitutoProfesionalSanSebastián/Datos DAI (RAW) - 1.1 Datos crudos/1.2.1 Datos Institucionales/1.2.1.1 SIES/Enviados/Titulación Unificada/2023/TIT_IP_CIISA_2023 (1 de marzo de 2022 hasta el 28 de febrero de 2023).csv</v>
      </c>
      <c r="B12" s="258" t="n">
        <v>262</v>
      </c>
      <c r="C12" s="258" t="n">
        <v>262</v>
      </c>
      <c r="D12" s="258" t="str">
        <v>c590811b196bde2b5aaa9d060bd09ea65f532129515ea31bd326a569e71d61bd</v>
      </c>
      <c r="E12" s="253" t="str">
        <v>B · identidad + código; revisar período/expediente por separado</v>
      </c>
    </row>
    <row r="13" ht="96" customHeight="1">
      <c r="A13" s="253" t="str">
        <v>/Users/alexi/Library/CloudStorage/OneDrive-InstitutoProfesionalSanSebastián/Datos DAI (RAW) - 1.1 Datos crudos/1.2.1 Datos Institucionales/1.2.1.1 SIES/Enviados/Titulación Unificada/2026/5319 Titulados Históricos 2007-2025.csv</v>
      </c>
      <c r="B13" s="258" t="n">
        <v>1308</v>
      </c>
      <c r="C13" s="258" t="n">
        <v>1308</v>
      </c>
      <c r="D13" s="258" t="str">
        <v>08df93d633765d5b5b6ec9fafd89cb88898d9475e9e1696626fe352c669b4a56</v>
      </c>
      <c r="E13" s="253" t="str">
        <v>B · identidad + código; revisar período/expediente por separado</v>
      </c>
    </row>
    <row r="14" ht="96" customHeight="1">
      <c r="A14" s="253" t="str">
        <v>/Users/alexi/Library/CloudStorage/OneDrive-InstitutoProfesionalSanSebastián/Datos DAI (RAW) - 1.1 Datos crudos/1.2.1 Datos Institucionales/1.2.1.1 SIES/Publicados/Avance Curricular/AVC_IP_CIISA_PROCESO_2020.xlsx</v>
      </c>
      <c r="B14" s="258" t="n">
        <v>1462</v>
      </c>
      <c r="C14" s="258" t="n">
        <v>1462</v>
      </c>
      <c r="D14" s="258" t="str">
        <v>b044a6c1f658e903fe14e698431b3ad978f3f85200ef1524ab704ba9343791b2</v>
      </c>
      <c r="E14" s="253" t="str">
        <v>B · identidad + código; revisar período/expediente por separado</v>
      </c>
    </row>
    <row r="15" ht="96" customHeight="1">
      <c r="A15" s="253" t="str">
        <v>/Users/alexi/Library/CloudStorage/OneDrive-InstitutoProfesionalSanSebastián/Datos DAI (RAW) - 1.1 Datos crudos/1.2.1 Datos Institucionales/1.2.1.1 SIES/Publicados/Avance Curricular/AVC_IP_CIISA_PROCESO_2021.xlsx</v>
      </c>
      <c r="B15" s="258" t="n">
        <v>1572</v>
      </c>
      <c r="C15" s="258" t="n">
        <v>1572</v>
      </c>
      <c r="D15" s="258" t="str">
        <v>0fdea266ad59ee9c75d4f92fe5fd42d4f75fd0c8b9b728b29b34a7cc100b714c</v>
      </c>
      <c r="E15" s="253" t="str">
        <v>B · identidad + código; revisar período/expediente por separado</v>
      </c>
    </row>
    <row r="16" ht="96" customHeight="1">
      <c r="A16" s="253" t="str">
        <v>/Users/alexi/Library/CloudStorage/OneDrive-InstitutoProfesionalSanSebastián/Datos DAI (RAW) - 1.1 Datos crudos/1.2.1 Datos Institucionales/1.2.1.1 SIES/Publicados/Avance Curricular/AVC_IP_CIISA_PROCESO_2022.xlsx</v>
      </c>
      <c r="B16" s="258" t="n">
        <v>1992</v>
      </c>
      <c r="C16" s="258" t="n">
        <v>1992</v>
      </c>
      <c r="D16" s="258" t="str">
        <v>cfb3774adeab079c45fe2ed7e15cf2f217ca259d1330a4b0e0a422014b148341</v>
      </c>
      <c r="E16" s="253" t="str">
        <v>B · identidad + código; revisar período/expediente por separado</v>
      </c>
    </row>
    <row r="17" ht="96" customHeight="1">
      <c r="A17" s="253" t="str">
        <v>/Users/alexi/Library/CloudStorage/OneDrive-InstitutoProfesionalSanSebastián/Datos DAI (RAW) - 1.1 Datos crudos/1.2.1 Datos Institucionales/1.2.1.1 SIES/Publicados/Avance Curricular/A_CURRICULAR_2017_2022_162.xlsx</v>
      </c>
      <c r="B17" s="258" t="n">
        <v>5817</v>
      </c>
      <c r="C17" s="258" t="n">
        <v>5817</v>
      </c>
      <c r="D17" s="258" t="str">
        <v>25cf4187df02c23786fe3192caabe7632f6feff330e0af0db7b93418dc3634bc</v>
      </c>
      <c r="E17" s="253" t="str">
        <v>B · identidad + código; revisar período/expediente por separado</v>
      </c>
    </row>
    <row r="18" ht="96" customHeight="1">
      <c r="A18" s="253" t="str">
        <v>/Users/alexi/Library/CloudStorage/OneDrive-InstitutoProfesionalSanSebastián/Datos DAI (RAW) - 1.1 Datos crudos/1.2.1 Datos Institucionales/1.2.1.1 SIES/Publicados/Titulación Unificada/TIT_IP_CIISA_2010_2022.xlsx</v>
      </c>
      <c r="B18" s="258" t="n">
        <v>737</v>
      </c>
      <c r="C18" s="258" t="n">
        <v>737</v>
      </c>
      <c r="D18" s="258" t="str">
        <v>dae1c017b30bc0d728e19e6863266302cf18e6faea48337ea9e56a0106f04f38</v>
      </c>
      <c r="E18" s="253" t="str">
        <v>B · identidad + código; revisar período/expediente por separado</v>
      </c>
    </row>
    <row r="19" ht="96" customHeight="1">
      <c r="A19" s="253" t="str">
        <v>/Users/alexi/Library/CloudStorage/OneDrive-InstitutoProfesionalSanSebastián/Datos DAI (RAW) - 1.1 Datos crudos/1.2.1 Datos Institucionales/1.2.1.1 SIES/Publicados/Titulación Unificada/TIT_IP_CIISA_2010_al_2015.xlsx</v>
      </c>
      <c r="B19" s="258" t="n">
        <v>43</v>
      </c>
      <c r="C19" s="258" t="n">
        <v>43</v>
      </c>
      <c r="D19" s="258" t="str">
        <v>cc71550e2d698dc1845733a82a8a91c7b23f31275993ed3b955f27575f7bc4dd</v>
      </c>
      <c r="E19" s="253" t="str">
        <v>B · identidad + código; revisar período/expediente por separado</v>
      </c>
    </row>
    <row r="20" ht="96" customHeight="1">
      <c r="A20" s="253" t="str">
        <v>/Users/alexi/Library/CloudStorage/OneDrive-InstitutoProfesionalSanSebastián/Datos DAI (RAW) - 1.1 Datos crudos/1.2.1 Datos Institucionales/1.2.1.1 SIES/Publicados/Titulación Unificada/TIT_IP_CIISA_2016_al_2020.xlsx</v>
      </c>
      <c r="B20" s="258" t="n">
        <v>242</v>
      </c>
      <c r="C20" s="258" t="n">
        <v>242</v>
      </c>
      <c r="D20" s="258" t="str">
        <v>25f131e1d59ce68a0a515fc201b475c2c6a077bb93d07bfdc8deea10eed2fa42</v>
      </c>
      <c r="E20" s="253" t="str">
        <v>B · identidad + código; revisar período/expediente por separado</v>
      </c>
    </row>
    <row r="21" ht="96" customHeight="1">
      <c r="A21" s="253" t="str">
        <v>/Users/alexi/Library/CloudStorage/OneDrive-InstitutoProfesionalSanSebastián/Datos DAI (RAW) - 1.1 Datos crudos/1.2.1 Datos Institucionales/1.2.1.1 SIES/Publicados/Titulación Unificada/TIT_IP_CIISA_2021_al_2022.xlsx</v>
      </c>
      <c r="B21" s="258" t="n">
        <v>452</v>
      </c>
      <c r="C21" s="258" t="n">
        <v>452</v>
      </c>
      <c r="D21" s="258" t="str">
        <v>68cad0d65899f64dc8791401a8dbd92634a417ada0b6a37a2dd296d7b4926b6e</v>
      </c>
      <c r="E21" s="253" t="str">
        <v>B · identidad + código; revisar período/expediente por separado</v>
      </c>
    </row>
    <row r="22" ht="96" customHeight="1">
      <c r="A22" s="253" t="str">
        <v>/Users/alexi/Library/CloudStorage/OneDrive-InstitutoProfesionalSanSebastián/Datos DAI (RAW) - 1.1 Datos crudos/1.2.1 Datos Institucionales/1.2.1.1 SIES/Publicados/Titulación Unificada/TIT_IP_CIISA_2024.xlsx</v>
      </c>
      <c r="B22" s="258" t="n">
        <v>345</v>
      </c>
      <c r="C22" s="258" t="n">
        <v>345</v>
      </c>
      <c r="D22" s="258" t="str">
        <v>fc4ec093991ee4234cec9706afd4409b6ec138bdea1a4a8abb3488fad653ee8c</v>
      </c>
      <c r="E22" s="253" t="str">
        <v>B · identidad + código; revisar período/expediente por separado</v>
      </c>
    </row>
    <row r="23" ht="96" customHeight="1">
      <c r="A23" s="253" t="str">
        <v>/Users/alexi/Library/CloudStorage/OneDrive-InstitutoProfesionalSanSebastián/Datos DAI (RAW) - 1.1 Datos crudos/1.2.1 Datos Institucionales/1.2.1.1 SIES/Publicados/Matrícula Unificada/MAT_IP_CIISA_2010.xlsx</v>
      </c>
      <c r="B23" s="258" t="n">
        <v>43</v>
      </c>
      <c r="C23" s="258" t="n">
        <v>43</v>
      </c>
      <c r="D23" s="258" t="str">
        <v>6769b4b114a8e89e6bed8d73aea2a584f45daa4f015a1d138dfceafa8baba44d</v>
      </c>
      <c r="E23" s="253" t="str">
        <v>B · identidad + código; revisar período/expediente por separado</v>
      </c>
    </row>
    <row r="24" ht="96" customHeight="1">
      <c r="A24" s="253" t="str">
        <v>/Users/alexi/Library/CloudStorage/OneDrive-InstitutoProfesionalSanSebastián/Datos DAI (RAW) - 1.1 Datos crudos/1.2.1 Datos Institucionales/1.2.1.1 SIES/Publicados/Matrícula Unificada/MAT_IP_CIISA_2011.xlsx</v>
      </c>
      <c r="B24" s="258" t="n">
        <v>50</v>
      </c>
      <c r="C24" s="258" t="n">
        <v>50</v>
      </c>
      <c r="D24" s="258" t="str">
        <v>3ab0486e4ee7eed450939d673fe80caf4da96edf29b144404840b728c3c45861</v>
      </c>
      <c r="E24" s="253" t="str">
        <v>B · identidad + código; revisar período/expediente por separado</v>
      </c>
    </row>
    <row r="25" ht="96" customHeight="1">
      <c r="A25" s="253" t="str">
        <v>/Users/alexi/Library/CloudStorage/OneDrive-InstitutoProfesionalSanSebastián/Datos DAI (RAW) - 1.1 Datos crudos/1.2.1 Datos Institucionales/1.2.1.1 SIES/Publicados/Matrícula Unificada/MAT_IP_CIISA_2012.xlsx</v>
      </c>
      <c r="B25" s="258" t="n">
        <v>58</v>
      </c>
      <c r="C25" s="258" t="n">
        <v>58</v>
      </c>
      <c r="D25" s="258" t="str">
        <v>7292be74097a2f9ce438e75e977b3dc4f1bc7e7c2f1fa1fd3860b45eabea16d1</v>
      </c>
      <c r="E25" s="253" t="str">
        <v>B · identidad + código; revisar período/expediente por separado</v>
      </c>
    </row>
    <row r="26" ht="96" customHeight="1">
      <c r="A26" s="253" t="str">
        <v>/Users/alexi/Library/CloudStorage/OneDrive-InstitutoProfesionalSanSebastián/Datos DAI (RAW) - 1.1 Datos crudos/1.2.1 Datos Institucionales/1.2.1.1 SIES/Publicados/Matrícula Unificada/MAT_IP_CIISA_2013.xlsx</v>
      </c>
      <c r="B26" s="258" t="n">
        <v>73</v>
      </c>
      <c r="C26" s="258" t="n">
        <v>73</v>
      </c>
      <c r="D26" s="258" t="str">
        <v>e2cf74996307a802793ae42fa7f0605b2fa0da283e7628d54c1766280ab9cada</v>
      </c>
      <c r="E26" s="253" t="str">
        <v>B · identidad + código; revisar período/expediente por separado</v>
      </c>
    </row>
    <row r="27" ht="96" customHeight="1">
      <c r="A27" s="253" t="str">
        <v>/Users/alexi/Library/CloudStorage/OneDrive-InstitutoProfesionalSanSebastián/Datos DAI (RAW) - 1.1 Datos crudos/1.2.1 Datos Institucionales/1.2.1.1 SIES/Publicados/Matrícula Unificada/MAT_IP_CIISA_2014.xlsx</v>
      </c>
      <c r="B27" s="258" t="n">
        <v>83</v>
      </c>
      <c r="C27" s="258" t="n">
        <v>83</v>
      </c>
      <c r="D27" s="258" t="str">
        <v>b1a012c3ea3779c49f720b0af7cfacd3a4964028818d89337f94ff485af8e4db</v>
      </c>
      <c r="E27" s="253" t="str">
        <v>B · identidad + código; revisar período/expediente por separado</v>
      </c>
    </row>
    <row r="28" ht="96" customHeight="1">
      <c r="A28" s="253" t="str">
        <v>/Users/alexi/Library/CloudStorage/OneDrive-InstitutoProfesionalSanSebastián/Datos DAI (RAW) - 1.1 Datos crudos/1.2.1 Datos Institucionales/1.2.1.1 SIES/Publicados/Matrícula Unificada/MAT_IP_CIISA_2015.xlsx</v>
      </c>
      <c r="B28" s="258" t="n">
        <v>107</v>
      </c>
      <c r="C28" s="258" t="n">
        <v>107</v>
      </c>
      <c r="D28" s="258" t="str">
        <v>b491836f66c0093d43a3d15d7ae0ee0b4c2732d3c8f940bd8279f54e1a791d98</v>
      </c>
      <c r="E28" s="253" t="str">
        <v>B · identidad + código; revisar período/expediente por separado</v>
      </c>
    </row>
    <row r="29" ht="96" customHeight="1">
      <c r="A29" s="253" t="str">
        <v>/Users/alexi/Library/CloudStorage/OneDrive-InstitutoProfesionalSanSebastián/Datos DAI (RAW) - 1.1 Datos crudos/1.2.1 Datos Institucionales/1.2.1.1 SIES/Publicados/Matrícula Unificada/MAT_IP_CIISA_2016.xlsx</v>
      </c>
      <c r="B29" s="258" t="n">
        <v>159</v>
      </c>
      <c r="C29" s="258" t="n">
        <v>159</v>
      </c>
      <c r="D29" s="258" t="str">
        <v>b04e7ec14737e267b8df256d40704e7e92b082ba354a4d55a27f1d3d5e9d5887</v>
      </c>
      <c r="E29" s="253" t="str">
        <v>B · identidad + código; revisar período/expediente por separado</v>
      </c>
    </row>
    <row r="30" ht="96" customHeight="1">
      <c r="A30" s="253" t="str">
        <v>/Users/alexi/Library/CloudStorage/OneDrive-InstitutoProfesionalSanSebastián/Datos DAI (RAW) - 1.1 Datos crudos/1.2.1 Datos Institucionales/1.2.1.1 SIES/Publicados/Matrícula Unificada/MAT_IP_CIISA_2017.xlsx</v>
      </c>
      <c r="B30" s="258" t="n">
        <v>235</v>
      </c>
      <c r="C30" s="258" t="n">
        <v>235</v>
      </c>
      <c r="D30" s="258" t="str">
        <v>9fd1e60f3104113acb05149fbb0fa85321b894a4775fc1a6e3c91dbbf1d17b0b</v>
      </c>
      <c r="E30" s="253" t="str">
        <v>B · identidad + código; revisar período/expediente por separado</v>
      </c>
    </row>
    <row r="31" ht="96" customHeight="1">
      <c r="A31" s="253" t="str">
        <v>/Users/alexi/Library/CloudStorage/OneDrive-InstitutoProfesionalSanSebastián/Datos DAI (RAW) - 1.1 Datos crudos/1.2.1 Datos Institucionales/1.2.1.1 SIES/Publicados/Matrícula Unificada/MAT_IP_CIISA_2018.xlsx</v>
      </c>
      <c r="B31" s="258" t="n">
        <v>397</v>
      </c>
      <c r="C31" s="258" t="n">
        <v>397</v>
      </c>
      <c r="D31" s="258" t="str">
        <v>928139183ed6a4f6527809c52283e9f772a3d4593c56290d1640ec576452eb2c</v>
      </c>
      <c r="E31" s="253" t="str">
        <v>B · identidad + código; revisar período/expediente por separado</v>
      </c>
    </row>
    <row r="32" ht="96" customHeight="1">
      <c r="A32" s="253" t="str">
        <v>/Users/alexi/Library/CloudStorage/OneDrive-InstitutoProfesionalSanSebastián/Datos DAI (RAW) - 1.1 Datos crudos/1.2.1 Datos Institucionales/1.2.1.1 SIES/Publicados/Matrícula Unificada/MAT_IP_CIISA_2019.xlsx</v>
      </c>
      <c r="B32" s="258" t="n">
        <v>732</v>
      </c>
      <c r="C32" s="258" t="n">
        <v>732</v>
      </c>
      <c r="D32" s="258" t="str">
        <v>02fb4af6dbcbe4efbb5410a410c58c0546d303dd3d33e43217110e2e1a4cf7c8</v>
      </c>
      <c r="E32" s="253" t="str">
        <v>B · identidad + código; revisar período/expediente por separado</v>
      </c>
    </row>
    <row r="33" ht="96" customHeight="1">
      <c r="A33" s="253" t="str">
        <v>/Users/alexi/Library/CloudStorage/OneDrive-InstitutoProfesionalSanSebastián/Datos DAI (RAW) - 1.1 Datos crudos/1.2.1 Datos Institucionales/1.2.1.1 SIES/Publicados/Matrícula Unificada/MAT_IP_CIISA_2020.xlsx</v>
      </c>
      <c r="B33" s="258" t="n">
        <v>786</v>
      </c>
      <c r="C33" s="258" t="n">
        <v>786</v>
      </c>
      <c r="D33" s="258" t="str">
        <v>a74cfc67d9129d185d098a789923b4588e5ebb4e02b152f7af43caaf16483b27</v>
      </c>
      <c r="E33" s="253" t="str">
        <v>B · identidad + código; revisar período/expediente por separado</v>
      </c>
    </row>
    <row r="34" ht="96" customHeight="1">
      <c r="A34" s="253" t="str">
        <v>/Users/alexi/Library/CloudStorage/OneDrive-InstitutoProfesionalSanSebastián/Datos DAI (RAW) - 1.1 Datos crudos/1.2.1 Datos Institucionales/1.2.1.1 SIES/Publicados/Matrícula Unificada/MAT_IP_CIISA_2021.xlsx</v>
      </c>
      <c r="B34" s="258" t="n">
        <v>996</v>
      </c>
      <c r="C34" s="258" t="n">
        <v>996</v>
      </c>
      <c r="D34" s="258" t="str">
        <v>8f14b670f00f725412d9dadffea5db9ad2de97b536c88dad992d4370252c401e</v>
      </c>
      <c r="E34" s="253" t="str">
        <v>B · identidad + código; revisar período/expediente por separado</v>
      </c>
    </row>
    <row r="35" ht="96" customHeight="1">
      <c r="A35" s="253" t="str">
        <v>/Users/alexi/Documents/GitHub/avance_curricular/outputs/base_retencion_matricula_unificada_2022_2026/20260901_142342/BASE_RETENCION_MATRICULA_UNIFICADA_INFORMADA_SIES_2022_2026_20260901_142342.xlsx</v>
      </c>
      <c r="B35" s="258" t="n">
        <v>7602</v>
      </c>
      <c r="C35" s="258" t="n">
        <v>7602</v>
      </c>
      <c r="D35" s="258" t="str">
        <v>19cf33ae4925a7c13ec4745394141a297f4f64be4052a240cb0d2c42ffeb53bd</v>
      </c>
      <c r="E35" s="253" t="str">
        <v>B · identidad + código; revisar período/expediente por separado</v>
      </c>
    </row>
    <row r="36" ht="96" customHeight="1">
      <c r="A36" s="253" t="str">
        <v>/Users/alexi/Library/CloudStorage/OneDrive-InstitutoProfesionalSanSebastián/Datos DAI (RAW) - 1.1 Datos crudos/1.2.1 Datos Institucionales/1.2.1.1 SIES/Enviados/Titulación Unificada/2026/titulación unificada 2026.xlsx</v>
      </c>
      <c r="B36" s="258" t="n">
        <v>378</v>
      </c>
      <c r="C36" s="258" t="n">
        <v>378</v>
      </c>
      <c r="D36" s="258" t="str">
        <v>33ceda0c3cd3bfbc9da37c1d5920e7ef7330cf0be1af5ab336b6d1dea424fa27</v>
      </c>
      <c r="E36" s="253" t="str">
        <v>B · identidad + código; revisar período/expediente por separado</v>
      </c>
    </row>
    <row r="37" ht="96" customHeight="1">
      <c r="A37" s="253" t="str">
        <v>/Users/alexi/Library/CloudStorage/OneDrive-InstitutoProfesionalSanSebastián/Datos DAI (RAW) - 1.1 Datos crudos/1.2.1 Datos Institucionales/1.2.1.1 SIES/Enviados/Avance Curricular/2026/5809_MATRICULA_AVANCE_CURRICULAR_2026_REVISION_H114B_CORREGIDO_PLAN.xlsx</v>
      </c>
      <c r="B37" s="258" t="n">
        <v>2018</v>
      </c>
      <c r="C37" s="258" t="n">
        <v>2018</v>
      </c>
      <c r="D37" s="258" t="str">
        <v>547c54ed40d074eae4af56e5b6e125351ff6b2d30b3f2a9259e8c21efd255453</v>
      </c>
      <c r="E37" s="253" t="str">
        <v>B · identidad + código; revisar período/expediente por separado</v>
      </c>
    </row>
    <row r="38" ht="96" customHeight="1">
      <c r="A38" s="253" t="str">
        <v>TOTAL LOCALIZADORES</v>
      </c>
      <c r="B38" s="258" t="n">
        <f>SUM(B5:B37)</f>
        <v>49218</v>
      </c>
      <c r="C38" s="258" t="n">
        <f>SUM(C5:C37)</f>
        <v>49218</v>
      </c>
      <c r="D38" s="8" t="str"/>
      <c r="E38" s="253" t="str">
        <v>C · no personas</v>
      </c>
    </row>
    <row r="39" ht="96" customHeight="1">
      <c r="A39" s="3"/>
      <c r="B39" s="8"/>
      <c r="C39" s="8"/>
      <c r="D39" s="8"/>
      <c r="E39" s="3"/>
    </row>
    <row r="40" ht="96" customHeight="1">
      <c r="A40" s="253" t="str">
        <v>Fuentes de reconstrucción del universo: ver INVENTARIO_FUENTES.csv (encabezados, hojas, años, hashes y límites de corte).</v>
      </c>
      <c r="B40" s="8"/>
      <c r="C40" s="8"/>
      <c r="D40" s="8"/>
      <c r="E40" s="3"/>
    </row>
    <row r="41" ht="96" customHeight="1">
      <c r="A41" s="253" t="str">
        <v>B · PROMEDIOS: 70.000 filas, 57.131 en dimensiones seleccionadas; 24.774 observaciones únicas. Actividad 2019–2026.</v>
      </c>
      <c r="B41" s="8"/>
      <c r="C41" s="8"/>
      <c r="D41" s="8"/>
      <c r="E41" s="3"/>
    </row>
    <row r="42" ht="96" customHeight="1">
      <c r="A42" s="253" t="str">
        <v>E · Un plan observado por expediente no demuestra ausencia de migraciones históricas. Requiere registro con plan anterior/nuevo y fecha efectiva.</v>
      </c>
      <c r="B42" s="8"/>
      <c r="C42" s="8"/>
      <c r="D42" s="8"/>
      <c r="E42" s="3"/>
    </row>
    <row r="43" ht="96" customHeight="1">
      <c r="A43" s="253" t="str">
        <v>E · Base 2022–2026 derivada: el manifiesto de construcción conserva selección de RAW; no equivale a prueba de aceptación de cada fila.</v>
      </c>
      <c r="B43" s="8"/>
      <c r="C43" s="8"/>
      <c r="D43" s="8"/>
      <c r="E43" s="3"/>
    </row>
  </sheetData>
  <mergeCells>
    <mergeCell ref="A1:E1"/>
    <mergeCell ref="A2:E2"/>
    <mergeCell ref="A3:E3"/>
    <mergeCell ref="A40:E40"/>
    <mergeCell ref="A41:E41"/>
    <mergeCell ref="A42:E42"/>
    <mergeCell ref="A43:E43"/>
  </mergeCells>
  <pageMargins left="0.7" right="0.7" top="0.75" bottom="0.75" header="0.3" footer="0.3"/>
</worksheet>
</file>

<file path=xl/worksheets/sheet52.xml><?xml version="1.0" encoding="utf-8"?>
<worksheet xmlns="http://schemas.openxmlformats.org/spreadsheetml/2006/main">
  <sheetPr>
    <tabColor rgb="FFCFB47C"/>
  </sheetPr>
  <sheetViews>
    <sheetView showGridLines="0" workbookViewId="0">
      <pane ySplit="5" topLeftCell="A6" activePane="bottomLeft" state="frozen"/>
    </sheetView>
  </sheetViews>
  <sheetFormatPr defaultRowHeight="15"/>
  <cols>
    <col min="1" max="1" width="15" hidden="0" customWidth="1"/>
    <col min="2" max="2" width="15" hidden="0" customWidth="1"/>
    <col min="3" max="3" width="15" hidden="0" customWidth="1"/>
    <col min="4" max="4" width="21" hidden="0" customWidth="1"/>
    <col min="5" max="5" width="21" hidden="0" customWidth="1"/>
    <col min="6" max="6" width="21" hidden="0" customWidth="1"/>
    <col min="7" max="7" width="21" hidden="0" customWidth="1"/>
    <col min="8" max="8" width="35" hidden="0" customWidth="1"/>
    <col min="9" max="9" width="50" hidden="0" customWidth="1"/>
  </cols>
  <sheetData>
    <row r="1" ht="26" customHeight="1">
      <c r="A1" s="301" t="str">
        <v>52 · Seguimiento de T1 en T2 y T3 hasta 2026
C/D · Se conserva el código T1, las bases y los denominadores. V15 completa los auxiliares PROMEDIOS de 2025 con documentos R/P. La revisión del código SIES permanece separada.</v>
      </c>
      <c r="B1" s="8"/>
      <c r="C1" s="8"/>
      <c r="D1" s="8"/>
      <c r="E1" s="8"/>
      <c r="F1" s="8"/>
      <c r="G1" s="8"/>
      <c r="H1" s="8"/>
      <c r="I1" s="8"/>
    </row>
    <row r="2" ht="26" customHeight="1">
      <c r="A2" s="8"/>
      <c r="B2" s="8"/>
      <c r="C2" s="8"/>
      <c r="D2" s="8"/>
      <c r="E2" s="8"/>
      <c r="F2" s="8"/>
      <c r="G2" s="8"/>
      <c r="H2" s="8"/>
      <c r="I2" s="8"/>
    </row>
    <row r="3" ht="26" customHeight="1">
      <c r="A3" s="8"/>
      <c r="B3" s="8"/>
      <c r="C3" s="8"/>
      <c r="D3" s="8"/>
      <c r="E3" s="8"/>
      <c r="F3" s="8"/>
      <c r="G3" s="8"/>
      <c r="H3" s="8"/>
      <c r="I3" s="8"/>
    </row>
    <row r="4" ht="42" customHeight="1">
      <c r="A4" s="4"/>
      <c r="B4" s="4"/>
      <c r="C4" s="4"/>
      <c r="D4" s="4"/>
      <c r="E4" s="4"/>
      <c r="F4" s="4"/>
      <c r="G4" s="4"/>
      <c r="H4" s="4"/>
      <c r="I4" s="4"/>
    </row>
    <row r="5" ht="48" customHeight="1">
      <c r="A5" s="304" t="str">
        <v>Cohorte T1</v>
      </c>
      <c r="B5" s="304" t="str">
        <v>Año observado</v>
      </c>
      <c r="C5" s="304" t="str">
        <v>Período</v>
      </c>
      <c r="D5" s="304" t="str">
        <v>Estudiantes de origen</v>
      </c>
      <c r="E5" s="304" t="str">
        <v>Numerador existente</v>
      </c>
      <c r="F5" s="304" t="str">
        <v>Denominador de la tasa</v>
      </c>
      <c r="G5" s="304" t="str">
        <v>Resultado existente</v>
      </c>
      <c r="H5" s="304" t="str">
        <v>Tipo de evidencia</v>
      </c>
      <c r="I5" s="304" t="str">
        <v>Estado / fuente original</v>
      </c>
    </row>
    <row r="6" ht="42" customHeight="1">
      <c r="A6" s="311" t="n">
        <v>2024</v>
      </c>
      <c r="B6" s="311" t="n">
        <v>2025</v>
      </c>
      <c r="C6" s="311" t="n">
        <v>2</v>
      </c>
      <c r="D6" s="312" t="n">
        <f>SUMIFS('53_Codigos_T1_Confirmados'!$F$6:$F$223,'53_Codigos_T1_Confirmados'!$A$6:$A$223,A6,'53_Codigos_T1_Confirmados'!$C$6:$C$223,C6)</f>
        <v>558</v>
      </c>
      <c r="E6" s="312" t="n">
        <f>SUMIFS('53_Codigos_T1_Confirmados'!$G$6:$G$223,'53_Codigos_T1_Confirmados'!$A$6:$A$223,A6,'53_Codigos_T1_Confirmados'!$C$6:$C$223,C6)</f>
        <v>160</v>
      </c>
      <c r="F6" s="312" t="n">
        <f>SUMIFS('53_Codigos_T1_Confirmados'!$H$6:$H$223,'53_Codigos_T1_Confirmados'!$A$6:$A$223,A6,'53_Codigos_T1_Confirmados'!$C$6:$C$223,C6)</f>
        <v>558</v>
      </c>
      <c r="G6" s="313" t="n">
        <f>IF(F6&gt;0,E6/F6,"Pendiente")</f>
        <v>0.2867383512544803</v>
      </c>
      <c r="H6" s="311" t="str">
        <v>C/E · Proxy de actividad y estado</v>
      </c>
      <c r="I6" s="311" t="str">
        <v>B/C · Conciliado con hoja 18 E7</v>
      </c>
    </row>
    <row r="7" ht="42" customHeight="1">
      <c r="A7" s="297" t="n">
        <v>2024</v>
      </c>
      <c r="B7" s="297" t="n">
        <v>2025</v>
      </c>
      <c r="C7" s="297" t="n">
        <v>3</v>
      </c>
      <c r="D7" s="306" t="n">
        <f>SUMIFS('53_Codigos_T1_Confirmados'!$F$6:$F$223,'53_Codigos_T1_Confirmados'!$A$6:$A$223,A7,'53_Codigos_T1_Confirmados'!$C$6:$C$223,C7)</f>
        <v>558</v>
      </c>
      <c r="E7" s="306" t="n">
        <f>SUMIFS('53_Codigos_T1_Confirmados'!$G$6:$G$223,'53_Codigos_T1_Confirmados'!$A$6:$A$223,A7,'53_Codigos_T1_Confirmados'!$C$6:$C$223,C7)</f>
        <v>175</v>
      </c>
      <c r="F7" s="306" t="n">
        <f>SUMIFS('53_Codigos_T1_Confirmados'!$H$6:$H$223,'53_Codigos_T1_Confirmados'!$A$6:$A$223,A7,'53_Codigos_T1_Confirmados'!$C$6:$C$223,C7)</f>
        <v>558</v>
      </c>
      <c r="G7" s="308" t="n">
        <f>IF(F7&gt;0,E7/F7,"Pendiente")</f>
        <v>0.31362007168458783</v>
      </c>
      <c r="H7" s="297" t="str">
        <v>C/E · Proxy de actividad y estado</v>
      </c>
      <c r="I7" s="297" t="str">
        <v>B/C · Conciliado con hoja 18 G7</v>
      </c>
    </row>
    <row r="8" ht="42" customHeight="1">
      <c r="A8" s="311" t="n">
        <v>2025</v>
      </c>
      <c r="B8" s="311" t="n">
        <v>2025</v>
      </c>
      <c r="C8" s="311" t="n">
        <v>2</v>
      </c>
      <c r="D8" s="312" t="n">
        <f>SUMIFS('53_Codigos_T1_Confirmados'!$F$6:$F$223,'53_Codigos_T1_Confirmados'!$A$6:$A$223,A8,'53_Codigos_T1_Confirmados'!$C$6:$C$223,C8)</f>
        <v>1150</v>
      </c>
      <c r="E8" s="312" t="n">
        <f>'18_Foto_Intertrimestral'!E8</f>
        <v>611</v>
      </c>
      <c r="F8" s="312" t="n">
        <f>SUMIFS('53_Codigos_T1_Confirmados'!$H$6:$H$223,'53_Codigos_T1_Confirmados'!$A$6:$A$223,A8,'53_Codigos_T1_Confirmados'!$C$6:$C$223,C8)</f>
        <v>1150</v>
      </c>
      <c r="G8" s="313" t="n">
        <f>IF(F8&gt;0,E8/F8,"Pendiente")</f>
        <v>0.5313043478260869</v>
      </c>
      <c r="H8" s="311" t="str">
        <v>C/E · Proxy de actividad y estado</v>
      </c>
      <c r="I8" s="305" t="str">
        <v>B/C · 611 por cruce R/P; desglose conciliado con hoja 53</v>
      </c>
    </row>
    <row r="9" ht="42" customHeight="1">
      <c r="A9" s="297" t="n">
        <v>2025</v>
      </c>
      <c r="B9" s="297" t="n">
        <v>2025</v>
      </c>
      <c r="C9" s="297" t="n">
        <v>3</v>
      </c>
      <c r="D9" s="306" t="n">
        <f>SUMIFS('53_Codigos_T1_Confirmados'!$F$6:$F$223,'53_Codigos_T1_Confirmados'!$A$6:$A$223,A9,'53_Codigos_T1_Confirmados'!$C$6:$C$223,C9)</f>
        <v>1150</v>
      </c>
      <c r="E9" s="306" t="n">
        <f>SUMIFS('53_Codigos_T1_Confirmados'!$G$6:$G$223,'53_Codigos_T1_Confirmados'!$A$6:$A$223,A9,'53_Codigos_T1_Confirmados'!$C$6:$C$223,C9)</f>
        <v>1023</v>
      </c>
      <c r="F9" s="306" t="n">
        <f>SUMIFS('53_Codigos_T1_Confirmados'!$H$6:$H$223,'53_Codigos_T1_Confirmados'!$A$6:$A$223,A9,'53_Codigos_T1_Confirmados'!$C$6:$C$223,C9)</f>
        <v>1150</v>
      </c>
      <c r="G9" s="308" t="n">
        <f>IF(F9&gt;0,E9/F9,"Pendiente")</f>
        <v>0.8895652173913043</v>
      </c>
      <c r="H9" s="297" t="str">
        <v>B/C · Foto de matrícula T3</v>
      </c>
      <c r="I9" s="297" t="str">
        <v>B/C · Conciliado con hoja 18 G8</v>
      </c>
    </row>
    <row r="10" ht="42" customHeight="1">
      <c r="A10" s="311" t="n">
        <v>2026</v>
      </c>
      <c r="B10" s="311" t="n">
        <v>2026</v>
      </c>
      <c r="C10" s="311" t="n">
        <v>2</v>
      </c>
      <c r="D10" s="312" t="n">
        <f>SUMIFS('53_Codigos_T1_Confirmados'!$F$6:$F$223,'53_Codigos_T1_Confirmados'!$A$6:$A$223,A10,'53_Codigos_T1_Confirmados'!$C$6:$C$223,C10)</f>
        <v>1471</v>
      </c>
      <c r="E10" s="312" t="n">
        <f>SUMIFS('53_Codigos_T1_Confirmados'!$G$6:$G$223,'53_Codigos_T1_Confirmados'!$A$6:$A$223,A10,'53_Codigos_T1_Confirmados'!$C$6:$C$223,C10)</f>
        <v>1042</v>
      </c>
      <c r="F10" s="312" t="n">
        <f>SUMIFS('53_Codigos_T1_Confirmados'!$H$6:$H$223,'53_Codigos_T1_Confirmados'!$A$6:$A$223,A10,'53_Codigos_T1_Confirmados'!$C$6:$C$223,C10)</f>
        <v>1471</v>
      </c>
      <c r="G10" s="313" t="n">
        <f>IF(F10&gt;0,E10/F10,"Pendiente")</f>
        <v>0.708361658735554</v>
      </c>
      <c r="H10" s="311" t="str">
        <v>C/E · Proxy de actividad y estado</v>
      </c>
      <c r="I10" s="311" t="str">
        <v>B/C · Conciliado con hoja 18 E11</v>
      </c>
    </row>
    <row r="11" ht="42" customHeight="1">
      <c r="A11" s="297" t="n">
        <v>2026</v>
      </c>
      <c r="B11" s="297" t="n">
        <v>2026</v>
      </c>
      <c r="C11" s="297" t="n">
        <v>3</v>
      </c>
      <c r="D11" s="306" t="n">
        <f>SUMIFS('53_Codigos_T1_Confirmados'!$F$6:$F$223,'53_Codigos_T1_Confirmados'!$A$6:$A$223,A11,'53_Codigos_T1_Confirmados'!$C$6:$C$223,C11)</f>
        <v>1471</v>
      </c>
      <c r="E11" s="306" t="n">
        <f>SUMIFS('53_Codigos_T1_Confirmados'!$G$6:$G$223,'53_Codigos_T1_Confirmados'!$A$6:$A$223,A11,'53_Codigos_T1_Confirmados'!$C$6:$C$223,C11)</f>
        <v>1360</v>
      </c>
      <c r="F11" s="306" t="n">
        <f>SUMIFS('53_Codigos_T1_Confirmados'!$H$6:$H$223,'53_Codigos_T1_Confirmados'!$A$6:$A$223,A11,'53_Codigos_T1_Confirmados'!$C$6:$C$223,C11)</f>
        <v>1467</v>
      </c>
      <c r="G11" s="308" t="n">
        <f>IF(F11&gt;0,E11/F11,"Pendiente")</f>
        <v>0.9270620313565099</v>
      </c>
      <c r="H11" s="297" t="str">
        <v>B/C · Foto de matrícula T3</v>
      </c>
      <c r="I11" s="297" t="str">
        <v>B/C · Conciliado con hoja 18 G11</v>
      </c>
    </row>
    <row r="12" ht="42" customHeight="1">
      <c r="A12" s="4"/>
      <c r="B12" s="4"/>
      <c r="C12" s="4"/>
      <c r="D12" s="4"/>
      <c r="E12" s="4"/>
      <c r="F12" s="4"/>
      <c r="G12" s="4"/>
      <c r="H12" s="4"/>
      <c r="I12" s="4"/>
    </row>
    <row r="13" ht="43" customHeight="1">
      <c r="A13" s="311" t="str">
        <v>Cómo leer: la tasa total es numerador ÷ denominador; no promedie porcentajes por carrera. La fila 2024 conserva el seguimiento en 2025. En 2026-T3 hay 1.471 integrantes y 1.467 incluidos en la tasa, según la regla heredada.</v>
      </c>
      <c r="B13" s="18"/>
      <c r="C13" s="18"/>
      <c r="D13" s="18"/>
      <c r="E13" s="18"/>
      <c r="F13" s="18"/>
      <c r="G13" s="18"/>
      <c r="H13" s="18"/>
      <c r="I13" s="18"/>
    </row>
    <row r="14" ht="43" customHeight="1">
      <c r="A14" s="311" t="str">
        <v>C · PROMEDIOS 2025: T2=611/1.150 y T3=546/1.150 (hoja 26). D · Actividad del período + estado VIGENTE del extracto; no se exige fecha histórica para este análisis interno. Foto de matrícula T3: 1.023/1.150.</v>
      </c>
      <c r="B14" s="18"/>
      <c r="C14" s="18"/>
      <c r="D14" s="18"/>
      <c r="E14" s="18"/>
      <c r="F14" s="18"/>
      <c r="G14" s="18"/>
      <c r="H14" s="18"/>
      <c r="I14" s="18"/>
    </row>
    <row r="15" ht="42" customHeight="1">
      <c r="A15" s="4"/>
      <c r="B15" s="4"/>
      <c r="C15" s="4"/>
      <c r="D15" s="4"/>
      <c r="E15" s="4"/>
      <c r="F15" s="4"/>
      <c r="G15" s="4"/>
      <c r="H15" s="4"/>
      <c r="I15" s="4"/>
    </row>
    <row r="16" ht="48" customHeight="1">
      <c r="A16" s="304" t="str">
        <v>Cohorte T1</v>
      </c>
      <c r="B16" s="304" t="str">
        <v>Año observado</v>
      </c>
      <c r="C16" s="304" t="str">
        <v>Período nativo</v>
      </c>
      <c r="D16" s="304" t="str">
        <v>Con contexto</v>
      </c>
      <c r="E16" s="304" t="str">
        <v>Sin contexto localizado</v>
      </c>
      <c r="F16" s="304" t="str">
        <v>Código documental anual</v>
      </c>
      <c r="G16" s="304" t="str">
        <v>Código interno aprobado</v>
      </c>
      <c r="H16" s="304" t="str">
        <v>Código pendiente</v>
      </c>
      <c r="I16" s="304" t="str">
        <v>Total observaciones</v>
      </c>
    </row>
    <row r="17" ht="42" customHeight="1">
      <c r="A17" s="311" t="n">
        <f>A6</f>
        <v>2024</v>
      </c>
      <c r="B17" s="311" t="n">
        <f>B6</f>
        <v>2025</v>
      </c>
      <c r="C17" s="311" t="n">
        <f>C6</f>
        <v>2</v>
      </c>
      <c r="D17" s="312" t="n">
        <f>SUMIFS('53_Codigos_T1_Confirmados'!$M$6:$M$223,'53_Codigos_T1_Confirmados'!$A$6:$A$223,A17,'53_Codigos_T1_Confirmados'!$C$6:$C$223,C17)</f>
        <v>245</v>
      </c>
      <c r="E17" s="312" t="n">
        <f>SUMIFS('53_Codigos_T1_Confirmados'!$K$6:$K$223,'53_Codigos_T1_Confirmados'!$A$6:$A$223,A17,'53_Codigos_T1_Confirmados'!$C$6:$C$223,C17)</f>
        <v>313</v>
      </c>
      <c r="F17" s="312" t="n">
        <f>SUMIFS('54_Contextos_y_Pendientes'!$N$6:$N$228,'54_Contextos_y_Pendientes'!$A$6:$A$228,A17,'54_Contextos_y_Pendientes'!$C$6:$C$228,C17,'54_Contextos_y_Pendientes'!$I$6:$I$228,"B/C Documental anual")</f>
        <v>225</v>
      </c>
      <c r="G17" s="312" t="n">
        <f>SUMIFS('54_Contextos_y_Pendientes'!$N$6:$N$228,'54_Contextos_y_Pendientes'!$A$6:$A$228,A17,'54_Contextos_y_Pendientes'!$C$6:$C$228,C17,'54_Contextos_y_Pendientes'!$I$6:$I$228,"D Interno aprobado")</f>
        <v>0</v>
      </c>
      <c r="H17" s="312" t="n">
        <f>SUMIFS('54_Contextos_y_Pendientes'!$N$6:$N$228,'54_Contextos_y_Pendientes'!$A$6:$A$228,A17,'54_Contextos_y_Pendientes'!$C$6:$C$228,C17,'54_Contextos_y_Pendientes'!$I$6:$I$228,"E Pendiente")</f>
        <v>27</v>
      </c>
      <c r="I17" s="312" t="n">
        <f>SUM(F17:H17)</f>
        <v>252</v>
      </c>
    </row>
    <row r="18" ht="42" customHeight="1">
      <c r="A18" s="297" t="n">
        <f>A7</f>
        <v>2024</v>
      </c>
      <c r="B18" s="297" t="n">
        <f>B7</f>
        <v>2025</v>
      </c>
      <c r="C18" s="297" t="n">
        <f>C7</f>
        <v>3</v>
      </c>
      <c r="D18" s="306" t="n">
        <f>SUMIFS('53_Codigos_T1_Confirmados'!$M$6:$M$223,'53_Codigos_T1_Confirmados'!$A$6:$A$223,A18,'53_Codigos_T1_Confirmados'!$C$6:$C$223,C18)</f>
        <v>269</v>
      </c>
      <c r="E18" s="306" t="n">
        <f>SUMIFS('53_Codigos_T1_Confirmados'!$K$6:$K$223,'53_Codigos_T1_Confirmados'!$A$6:$A$223,A18,'53_Codigos_T1_Confirmados'!$C$6:$C$223,C18)</f>
        <v>289</v>
      </c>
      <c r="F18" s="306" t="n">
        <f>SUMIFS('54_Contextos_y_Pendientes'!$N$6:$N$228,'54_Contextos_y_Pendientes'!$A$6:$A$228,A18,'54_Contextos_y_Pendientes'!$C$6:$C$228,C18,'54_Contextos_y_Pendientes'!$I$6:$I$228,"B/C Documental anual")</f>
        <v>246</v>
      </c>
      <c r="G18" s="306" t="n">
        <f>SUMIFS('54_Contextos_y_Pendientes'!$N$6:$N$228,'54_Contextos_y_Pendientes'!$A$6:$A$228,A18,'54_Contextos_y_Pendientes'!$C$6:$C$228,C18,'54_Contextos_y_Pendientes'!$I$6:$I$228,"D Interno aprobado")</f>
        <v>0</v>
      </c>
      <c r="H18" s="306" t="n">
        <f>SUMIFS('54_Contextos_y_Pendientes'!$N$6:$N$228,'54_Contextos_y_Pendientes'!$A$6:$A$228,A18,'54_Contextos_y_Pendientes'!$C$6:$C$228,C18,'54_Contextos_y_Pendientes'!$I$6:$I$228,"E Pendiente")</f>
        <v>30</v>
      </c>
      <c r="I18" s="306" t="n">
        <f>SUM(F18:H18)</f>
        <v>276</v>
      </c>
    </row>
    <row r="19" ht="42" customHeight="1">
      <c r="A19" s="311" t="n">
        <f>A8</f>
        <v>2025</v>
      </c>
      <c r="B19" s="311" t="n">
        <f>B8</f>
        <v>2025</v>
      </c>
      <c r="C19" s="311" t="n">
        <f>C8</f>
        <v>2</v>
      </c>
      <c r="D19" s="312" t="n">
        <f>SUMIFS('53_Codigos_T1_Confirmados'!$M$6:$M$223,'53_Codigos_T1_Confirmados'!$A$6:$A$223,A19,'53_Codigos_T1_Confirmados'!$C$6:$C$223,C19)</f>
        <v>542</v>
      </c>
      <c r="E19" s="312" t="n">
        <f>SUMIFS('53_Codigos_T1_Confirmados'!$K$6:$K$223,'53_Codigos_T1_Confirmados'!$A$6:$A$223,A19,'53_Codigos_T1_Confirmados'!$C$6:$C$223,C19)</f>
        <v>608</v>
      </c>
      <c r="F19" s="312" t="n">
        <f>SUMIFS('54_Contextos_y_Pendientes'!$N$6:$N$228,'54_Contextos_y_Pendientes'!$A$6:$A$228,A19,'54_Contextos_y_Pendientes'!$C$6:$C$228,C19,'54_Contextos_y_Pendientes'!$I$6:$I$228,"B/C Documental anual")</f>
        <v>528</v>
      </c>
      <c r="G19" s="312" t="n">
        <f>SUMIFS('54_Contextos_y_Pendientes'!$N$6:$N$228,'54_Contextos_y_Pendientes'!$A$6:$A$228,A19,'54_Contextos_y_Pendientes'!$C$6:$C$228,C19,'54_Contextos_y_Pendientes'!$I$6:$I$228,"D Interno aprobado")</f>
        <v>4</v>
      </c>
      <c r="H19" s="312" t="n">
        <f>SUMIFS('54_Contextos_y_Pendientes'!$N$6:$N$228,'54_Contextos_y_Pendientes'!$A$6:$A$228,A19,'54_Contextos_y_Pendientes'!$C$6:$C$228,C19,'54_Contextos_y_Pendientes'!$I$6:$I$228,"E Pendiente")</f>
        <v>10</v>
      </c>
      <c r="I19" s="312" t="n">
        <f>SUM(F19:H19)</f>
        <v>542</v>
      </c>
    </row>
    <row r="20" ht="42" customHeight="1">
      <c r="A20" s="297" t="n">
        <f>A9</f>
        <v>2025</v>
      </c>
      <c r="B20" s="297" t="n">
        <f>B9</f>
        <v>2025</v>
      </c>
      <c r="C20" s="297" t="n">
        <f>C9</f>
        <v>3</v>
      </c>
      <c r="D20" s="306" t="n">
        <f>SUMIFS('53_Codigos_T1_Confirmados'!$M$6:$M$223,'53_Codigos_T1_Confirmados'!$A$6:$A$223,A20,'53_Codigos_T1_Confirmados'!$C$6:$C$223,C20)</f>
        <v>462</v>
      </c>
      <c r="E20" s="306" t="n">
        <f>SUMIFS('53_Codigos_T1_Confirmados'!$K$6:$K$223,'53_Codigos_T1_Confirmados'!$A$6:$A$223,A20,'53_Codigos_T1_Confirmados'!$C$6:$C$223,C20)</f>
        <v>688</v>
      </c>
      <c r="F20" s="306" t="n">
        <f>SUMIFS('54_Contextos_y_Pendientes'!$N$6:$N$228,'54_Contextos_y_Pendientes'!$A$6:$A$228,A20,'54_Contextos_y_Pendientes'!$C$6:$C$228,C20,'54_Contextos_y_Pendientes'!$I$6:$I$228,"B/C Documental anual")</f>
        <v>451</v>
      </c>
      <c r="G20" s="306" t="n">
        <f>SUMIFS('54_Contextos_y_Pendientes'!$N$6:$N$228,'54_Contextos_y_Pendientes'!$A$6:$A$228,A20,'54_Contextos_y_Pendientes'!$C$6:$C$228,C20,'54_Contextos_y_Pendientes'!$I$6:$I$228,"D Interno aprobado")</f>
        <v>3</v>
      </c>
      <c r="H20" s="306" t="n">
        <f>SUMIFS('54_Contextos_y_Pendientes'!$N$6:$N$228,'54_Contextos_y_Pendientes'!$A$6:$A$228,A20,'54_Contextos_y_Pendientes'!$C$6:$C$228,C20,'54_Contextos_y_Pendientes'!$I$6:$I$228,"E Pendiente")</f>
        <v>8</v>
      </c>
      <c r="I20" s="306" t="n">
        <f>SUM(F20:H20)</f>
        <v>462</v>
      </c>
    </row>
    <row r="21" ht="42" customHeight="1">
      <c r="A21" s="311" t="n">
        <f>A10</f>
        <v>2026</v>
      </c>
      <c r="B21" s="311" t="n">
        <f>B10</f>
        <v>2026</v>
      </c>
      <c r="C21" s="311" t="n">
        <f>C10</f>
        <v>2</v>
      </c>
      <c r="D21" s="312" t="n">
        <f>SUMIFS('53_Codigos_T1_Confirmados'!$M$6:$M$223,'53_Codigos_T1_Confirmados'!$A$6:$A$223,A21,'53_Codigos_T1_Confirmados'!$C$6:$C$223,C21)</f>
        <v>682</v>
      </c>
      <c r="E21" s="312" t="n">
        <f>SUMIFS('53_Codigos_T1_Confirmados'!$K$6:$K$223,'53_Codigos_T1_Confirmados'!$A$6:$A$223,A21,'53_Codigos_T1_Confirmados'!$C$6:$C$223,C21)</f>
        <v>789</v>
      </c>
      <c r="F21" s="312" t="n">
        <f>SUMIFS('54_Contextos_y_Pendientes'!$N$6:$N$228,'54_Contextos_y_Pendientes'!$A$6:$A$228,A21,'54_Contextos_y_Pendientes'!$C$6:$C$228,C21,'54_Contextos_y_Pendientes'!$I$6:$I$228,"B/C Documental anual")</f>
        <v>665</v>
      </c>
      <c r="G21" s="312" t="n">
        <f>SUMIFS('54_Contextos_y_Pendientes'!$N$6:$N$228,'54_Contextos_y_Pendientes'!$A$6:$A$228,A21,'54_Contextos_y_Pendientes'!$C$6:$C$228,C21,'54_Contextos_y_Pendientes'!$I$6:$I$228,"D Interno aprobado")</f>
        <v>3</v>
      </c>
      <c r="H21" s="312" t="n">
        <f>SUMIFS('54_Contextos_y_Pendientes'!$N$6:$N$228,'54_Contextos_y_Pendientes'!$A$6:$A$228,A21,'54_Contextos_y_Pendientes'!$C$6:$C$228,C21,'54_Contextos_y_Pendientes'!$I$6:$I$228,"E Pendiente")</f>
        <v>15</v>
      </c>
      <c r="I21" s="312" t="n">
        <f>SUM(F21:H21)</f>
        <v>683</v>
      </c>
    </row>
    <row r="22" ht="42" customHeight="1">
      <c r="A22" s="297" t="n">
        <f>A11</f>
        <v>2026</v>
      </c>
      <c r="B22" s="297" t="n">
        <f>B11</f>
        <v>2026</v>
      </c>
      <c r="C22" s="297" t="n">
        <f>C11</f>
        <v>3</v>
      </c>
      <c r="D22" s="306" t="n">
        <f>SUMIFS('53_Codigos_T1_Confirmados'!$M$6:$M$223,'53_Codigos_T1_Confirmados'!$A$6:$A$223,A22,'53_Codigos_T1_Confirmados'!$C$6:$C$223,C22)</f>
        <v>638</v>
      </c>
      <c r="E22" s="306" t="n">
        <f>SUMIFS('53_Codigos_T1_Confirmados'!$K$6:$K$223,'53_Codigos_T1_Confirmados'!$A$6:$A$223,A22,'53_Codigos_T1_Confirmados'!$C$6:$C$223,C22)</f>
        <v>833</v>
      </c>
      <c r="F22" s="306" t="n">
        <f>SUMIFS('54_Contextos_y_Pendientes'!$N$6:$N$228,'54_Contextos_y_Pendientes'!$A$6:$A$228,A22,'54_Contextos_y_Pendientes'!$C$6:$C$228,C22,'54_Contextos_y_Pendientes'!$I$6:$I$228,"B/C Documental anual")</f>
        <v>622</v>
      </c>
      <c r="G22" s="306" t="n">
        <f>SUMIFS('54_Contextos_y_Pendientes'!$N$6:$N$228,'54_Contextos_y_Pendientes'!$A$6:$A$228,A22,'54_Contextos_y_Pendientes'!$C$6:$C$228,C22,'54_Contextos_y_Pendientes'!$I$6:$I$228,"D Interno aprobado")</f>
        <v>3</v>
      </c>
      <c r="H22" s="306" t="n">
        <f>SUMIFS('54_Contextos_y_Pendientes'!$N$6:$N$228,'54_Contextos_y_Pendientes'!$A$6:$A$228,A22,'54_Contextos_y_Pendientes'!$C$6:$C$228,C22,'54_Contextos_y_Pendientes'!$I$6:$I$228,"E Pendiente")</f>
        <v>14</v>
      </c>
      <c r="I22" s="306" t="n">
        <f>SUM(F22:H22)</f>
        <v>639</v>
      </c>
    </row>
    <row r="23" ht="42" customHeight="1">
      <c r="A23" s="4"/>
      <c r="B23" s="4"/>
      <c r="C23" s="4"/>
      <c r="D23" s="13"/>
      <c r="E23" s="13"/>
      <c r="F23" s="13"/>
      <c r="G23" s="13"/>
      <c r="H23" s="13"/>
      <c r="I23" s="13"/>
    </row>
    <row r="24" ht="42" customHeight="1">
      <c r="A24" s="310" t="str">
        <v>C · Total registros origen×período / observaciones</v>
      </c>
      <c r="B24" s="17"/>
      <c r="C24" s="17"/>
      <c r="D24" s="314" t="n">
        <f>SUM(D17:D22)</f>
        <v>2838</v>
      </c>
      <c r="E24" s="314" t="n">
        <f>SUM(E17:E22)</f>
        <v>3520</v>
      </c>
      <c r="F24" s="314" t="n">
        <f>SUM(F17:F22)</f>
        <v>2737</v>
      </c>
      <c r="G24" s="314" t="n">
        <f>SUM(G17:G22)</f>
        <v>13</v>
      </c>
      <c r="H24" s="314" t="n">
        <f>SUM(H17:H22)</f>
        <v>104</v>
      </c>
      <c r="I24" s="314" t="n">
        <f>SUM(I17:I22)</f>
        <v>2854</v>
      </c>
    </row>
    <row r="25" ht="42" customHeight="1">
      <c r="A25" s="4"/>
      <c r="B25" s="4"/>
      <c r="C25" s="4"/>
      <c r="D25" s="4"/>
      <c r="E25" s="4"/>
      <c r="F25" s="4"/>
      <c r="G25" s="4"/>
      <c r="H25" s="4"/>
      <c r="I25" s="4"/>
    </row>
    <row r="26" ht="43" customHeight="1">
      <c r="A26" s="311" t="str">
        <v>Los 3.179 registros T1 conservan su código documentado (558 de 2024; 1.150 de 2025; 1.471 de 2026). Los controles anteriores cuentan 6.358 registros origen×período y 2.854 observaciones: no son personas únicas ni tasas de retención.</v>
      </c>
      <c r="B26" s="18"/>
      <c r="C26" s="18"/>
      <c r="D26" s="18"/>
      <c r="E26" s="18"/>
      <c r="F26" s="18"/>
      <c r="G26" s="18"/>
      <c r="H26" s="18"/>
      <c r="I26" s="18"/>
    </row>
    <row r="27" ht="43" customHeight="1">
      <c r="A27" s="311" t="str">
        <v>B/C/D/E · En los períodos consultados: 2.713 contextos conservan el código T1, 37 tienen un código distinto respaldado y 104 siguen pendientes. No se adjudicó ninguna versión nueva. Las 13 correspondencias internas conservan su atribución documental pendiente.</v>
      </c>
      <c r="B27" s="18"/>
      <c r="C27" s="18"/>
      <c r="D27" s="18"/>
      <c r="E27" s="18"/>
      <c r="F27" s="18"/>
      <c r="G27" s="18"/>
      <c r="H27" s="18"/>
      <c r="I27" s="18"/>
    </row>
    <row r="28" ht="43" customHeight="1">
      <c r="A28" s="311" t="str">
        <v>B/C/D/E · Foco de carreras multiversión: 1.077 contextos, de los cuales 1.040 tienen código documental anual, 13 correspondencia interna aprobada y 24 quedan pendientes. La condición multiversión conserva la bandera de V12; no se cambió su definición.</v>
      </c>
      <c r="B28" s="18"/>
      <c r="C28" s="18"/>
      <c r="D28" s="18"/>
      <c r="E28" s="18"/>
      <c r="F28" s="18"/>
      <c r="G28" s="18"/>
      <c r="H28" s="18"/>
      <c r="I28" s="18"/>
    </row>
    <row r="29" ht="43" customHeight="1">
      <c r="A29" s="311" t="str">
        <v>Para revisar solo excepciones, abra la hoja 54 y filtre «Relación o excepción»; para concentrarse en carreras con varias versiones, filtre «Origen multiversión» = Sí. El código de origen nunca se sustituye por un candidato ni se usa el pendiente como causa de deserción.</v>
      </c>
      <c r="B29" s="18"/>
      <c r="C29" s="18"/>
      <c r="D29" s="18"/>
      <c r="E29" s="18"/>
      <c r="F29" s="18"/>
      <c r="G29" s="18"/>
      <c r="H29" s="18"/>
      <c r="I29" s="18"/>
    </row>
    <row r="30" ht="43" customHeight="1">
      <c r="A30" s="311" t="str">
        <v>B/C · 2.828 contextos muestran el mismo plan que el contexto nativo 1 del año de origen; en 26 no se localizó ese contexto del mismo expediente. Esto no acredita una fecha de migración. El período nativo de PROMEDIOS no equivale automáticamente a una foto de cierre.</v>
      </c>
      <c r="B30" s="18"/>
      <c r="C30" s="18"/>
      <c r="D30" s="18"/>
      <c r="E30" s="18"/>
      <c r="F30" s="18"/>
      <c r="G30" s="18"/>
      <c r="H30" s="18"/>
      <c r="I30" s="18"/>
    </row>
    <row r="31" ht="42" customHeight="1">
      <c r="A31" s="4"/>
      <c r="B31" s="4"/>
      <c r="C31" s="4"/>
      <c r="D31" s="4"/>
      <c r="E31" s="4"/>
      <c r="F31" s="4"/>
      <c r="G31" s="4"/>
      <c r="H31" s="4"/>
      <c r="I31" s="4"/>
    </row>
    <row r="32" ht="43" customHeight="1">
      <c r="A32" s="311" t="str">
        <v>C · V15 conserva diccionario v7, denominadores, tablas y gráficos. Corrige el auxiliar T3-2025 mediante el puente R/P y normaliza los estilos que Excel reparaba. La foto T3 no cambia.</v>
      </c>
      <c r="B32" s="18"/>
      <c r="C32" s="18"/>
      <c r="D32" s="18"/>
      <c r="E32" s="18"/>
      <c r="F32" s="18"/>
      <c r="G32" s="18"/>
      <c r="H32" s="18"/>
      <c r="I32" s="18"/>
    </row>
    <row r="33" ht="43" customHeight="1">
      <c r="A33" s="311" t="str">
        <v>Fuentes y reproducción: MANIFEST_SEGUIMIENTO.json, INDICADORES_AGREGADOS.json y QA_EXCEL.json junto al libro. A = oficial; B = observado; C = cálculo; D = decisión interna; E = pendiente. Este resumen no declara aceptación individual SIES.</v>
      </c>
      <c r="B33" s="18"/>
      <c r="C33" s="18"/>
      <c r="D33" s="18"/>
      <c r="E33" s="18"/>
      <c r="F33" s="18"/>
      <c r="G33" s="18"/>
      <c r="H33" s="18"/>
      <c r="I33" s="18"/>
    </row>
    <row r="34" ht="42" customHeight="1">
      <c r="A34" s="4"/>
      <c r="B34" s="4"/>
      <c r="C34" s="4"/>
      <c r="D34" s="4"/>
      <c r="E34" s="4"/>
      <c r="F34" s="4"/>
      <c r="G34" s="4"/>
      <c r="H34" s="4"/>
      <c r="I34" s="4"/>
    </row>
    <row r="35" ht="42" customHeight="1">
      <c r="A35" s="4"/>
      <c r="B35" s="4"/>
      <c r="C35" s="4"/>
      <c r="D35" s="4"/>
      <c r="E35" s="4"/>
      <c r="F35" s="4"/>
      <c r="G35" s="4"/>
      <c r="H35" s="4"/>
      <c r="I35" s="4"/>
    </row>
    <row r="36" ht="42" customHeight="1">
      <c r="A36" s="4"/>
      <c r="B36" s="4"/>
      <c r="C36" s="4"/>
      <c r="D36" s="4"/>
      <c r="E36" s="4"/>
      <c r="F36" s="4"/>
      <c r="G36" s="4"/>
      <c r="H36" s="4"/>
      <c r="I36" s="4"/>
    </row>
    <row r="37" ht="42" customHeight="1">
      <c r="A37" s="4"/>
      <c r="B37" s="4"/>
      <c r="C37" s="4"/>
      <c r="D37" s="4"/>
      <c r="E37" s="4"/>
      <c r="F37" s="4"/>
      <c r="G37" s="4"/>
      <c r="H37" s="4"/>
      <c r="I37" s="4"/>
    </row>
    <row r="38" ht="42" customHeight="1">
      <c r="A38" s="4"/>
      <c r="B38" s="4"/>
      <c r="C38" s="4"/>
      <c r="D38" s="4"/>
      <c r="E38" s="4"/>
      <c r="F38" s="4"/>
      <c r="G38" s="4"/>
      <c r="H38" s="4"/>
      <c r="I38" s="4"/>
    </row>
    <row r="39" ht="42" customHeight="1">
      <c r="A39" s="4"/>
      <c r="B39" s="4"/>
      <c r="C39" s="4"/>
      <c r="D39" s="4"/>
      <c r="E39" s="4"/>
      <c r="F39" s="4"/>
      <c r="G39" s="4"/>
      <c r="H39" s="4"/>
      <c r="I39" s="4"/>
    </row>
    <row r="40" ht="42" customHeight="1">
      <c r="A40" s="4"/>
      <c r="B40" s="4"/>
      <c r="C40" s="4"/>
      <c r="D40" s="4"/>
      <c r="E40" s="4"/>
      <c r="F40" s="4"/>
      <c r="G40" s="4"/>
      <c r="H40" s="4"/>
      <c r="I40" s="4"/>
    </row>
    <row r="41" ht="42" customHeight="1">
      <c r="A41" s="4"/>
      <c r="B41" s="4"/>
      <c r="C41" s="4"/>
      <c r="D41" s="4"/>
      <c r="E41" s="4"/>
      <c r="F41" s="4"/>
      <c r="G41" s="4"/>
      <c r="H41" s="4"/>
      <c r="I41" s="4"/>
    </row>
    <row r="42" ht="42" customHeight="1">
      <c r="A42" s="4"/>
      <c r="B42" s="4"/>
      <c r="C42" s="4"/>
      <c r="D42" s="4"/>
      <c r="E42" s="4"/>
      <c r="F42" s="4"/>
      <c r="G42" s="4"/>
      <c r="H42" s="4"/>
      <c r="I42" s="4"/>
    </row>
    <row r="43" ht="42" customHeight="1">
      <c r="A43" s="4"/>
      <c r="B43" s="4"/>
      <c r="C43" s="4"/>
      <c r="D43" s="4"/>
      <c r="E43" s="4"/>
      <c r="F43" s="4"/>
      <c r="G43" s="4"/>
      <c r="H43" s="4"/>
      <c r="I43" s="4"/>
    </row>
    <row r="44" ht="42" customHeight="1">
      <c r="A44" s="4"/>
      <c r="B44" s="4"/>
      <c r="C44" s="4"/>
      <c r="D44" s="4"/>
      <c r="E44" s="4"/>
      <c r="F44" s="4"/>
      <c r="G44" s="4"/>
      <c r="H44" s="4"/>
      <c r="I44" s="4"/>
    </row>
    <row r="45" ht="42" customHeight="1">
      <c r="A45" s="4"/>
      <c r="B45" s="4"/>
      <c r="C45" s="4"/>
      <c r="D45" s="4"/>
      <c r="E45" s="4"/>
      <c r="F45" s="4"/>
      <c r="G45" s="4"/>
      <c r="H45" s="4"/>
      <c r="I45" s="4"/>
    </row>
    <row r="46" ht="42" customHeight="1">
      <c r="A46" s="4"/>
      <c r="B46" s="4"/>
      <c r="C46" s="4"/>
      <c r="D46" s="4"/>
      <c r="E46" s="4"/>
      <c r="F46" s="4"/>
      <c r="G46" s="4"/>
      <c r="H46" s="4"/>
      <c r="I46" s="4"/>
    </row>
    <row r="47" ht="42" customHeight="1">
      <c r="A47" s="4"/>
      <c r="B47" s="4"/>
      <c r="C47" s="4"/>
      <c r="D47" s="4"/>
      <c r="E47" s="4"/>
      <c r="F47" s="4"/>
      <c r="G47" s="4"/>
      <c r="H47" s="4"/>
      <c r="I47" s="4"/>
    </row>
    <row r="48" ht="42" customHeight="1">
      <c r="A48" s="4"/>
      <c r="B48" s="4"/>
      <c r="C48" s="4"/>
      <c r="D48" s="4"/>
      <c r="E48" s="4"/>
      <c r="F48" s="4"/>
      <c r="G48" s="4"/>
      <c r="H48" s="4"/>
      <c r="I48" s="4"/>
    </row>
    <row r="49" ht="42" customHeight="1">
      <c r="A49" s="4"/>
      <c r="B49" s="4"/>
      <c r="C49" s="4"/>
      <c r="D49" s="4"/>
      <c r="E49" s="4"/>
      <c r="F49" s="4"/>
      <c r="G49" s="4"/>
      <c r="H49" s="4"/>
      <c r="I49" s="4"/>
    </row>
    <row r="50" ht="42" customHeight="1">
      <c r="A50" s="4"/>
      <c r="B50" s="4"/>
      <c r="C50" s="4"/>
      <c r="D50" s="4"/>
      <c r="E50" s="4"/>
      <c r="F50" s="4"/>
      <c r="G50" s="4"/>
      <c r="H50" s="4"/>
      <c r="I50" s="4"/>
    </row>
  </sheetData>
  <mergeCells>
    <mergeCell ref="A1:I3"/>
    <mergeCell ref="A13:I13"/>
    <mergeCell ref="A14:I14"/>
    <mergeCell ref="A24:C24"/>
    <mergeCell ref="A26:I26"/>
    <mergeCell ref="A27:I27"/>
    <mergeCell ref="A28:I28"/>
    <mergeCell ref="A29:I29"/>
    <mergeCell ref="A30:I30"/>
    <mergeCell ref="A32:I32"/>
    <mergeCell ref="A33:I33"/>
  </mergeCells>
  <pageMargins left="0.7" right="0.7" top="0.75" bottom="0.75" header="0.3" footer="0.3"/>
</worksheet>
</file>

<file path=xl/worksheets/sheet53.xml><?xml version="1.0" encoding="utf-8"?>
<worksheet xmlns="http://schemas.openxmlformats.org/spreadsheetml/2006/main">
  <sheetPr>
    <tabColor rgb="FFCFB47C"/>
  </sheetPr>
  <sheetViews>
    <sheetView showGridLines="0" workbookViewId="0">
      <pane ySplit="5" topLeftCell="A6" activePane="bottomLeft" state="frozen"/>
    </sheetView>
  </sheetViews>
  <sheetFormatPr defaultRowHeight="15"/>
  <cols>
    <col min="1" max="1" width="14" hidden="0" customWidth="1"/>
    <col min="2" max="2" width="14" hidden="0" customWidth="1"/>
    <col min="3" max="3" width="14" hidden="0" customWidth="1"/>
    <col min="4" max="4" width="42" hidden="0" customWidth="1"/>
    <col min="5" max="5" width="25" hidden="0" customWidth="1"/>
    <col min="6" max="6" width="19" hidden="0" customWidth="1"/>
    <col min="7" max="7" width="19" hidden="0" customWidth="1"/>
    <col min="8" max="8" width="19" hidden="0" customWidth="1"/>
    <col min="9" max="9" width="19" hidden="0" customWidth="1"/>
    <col min="10" max="10" width="51" hidden="0" customWidth="1"/>
    <col min="11" max="11" width="23" hidden="0" customWidth="1"/>
    <col min="12" max="12" width="23" hidden="0" customWidth="1"/>
    <col min="13" max="13" width="23" hidden="0" customWidth="1"/>
  </cols>
  <sheetData>
    <row r="1" ht="26" customHeight="1">
      <c r="A1" s="301" t="str">
        <v>53 · Seguimiento por código SIES de origen T1
B/C · Un grupo por código T1 y período. El código de origen se conserva aunque después cambie carrera, jornada o plan. E · Sin contexto no significa deserción.</v>
      </c>
      <c r="B1" s="8"/>
      <c r="C1" s="8"/>
      <c r="D1" s="8"/>
      <c r="E1" s="8"/>
      <c r="F1" s="8"/>
      <c r="G1" s="8"/>
      <c r="H1" s="8"/>
      <c r="I1" s="8"/>
      <c r="J1" s="8"/>
      <c r="K1" s="8"/>
      <c r="L1" s="8"/>
      <c r="M1" s="8"/>
    </row>
    <row r="2" ht="26" customHeight="1">
      <c r="A2" s="8"/>
      <c r="B2" s="8"/>
      <c r="C2" s="8"/>
      <c r="D2" s="8"/>
      <c r="E2" s="8"/>
      <c r="F2" s="8"/>
      <c r="G2" s="8"/>
      <c r="H2" s="8"/>
      <c r="I2" s="8"/>
      <c r="J2" s="8"/>
      <c r="K2" s="8"/>
      <c r="L2" s="8"/>
      <c r="M2" s="8"/>
    </row>
    <row r="3" ht="26" customHeight="1">
      <c r="A3" s="8"/>
      <c r="B3" s="8"/>
      <c r="C3" s="8"/>
      <c r="D3" s="8"/>
      <c r="E3" s="8"/>
      <c r="F3" s="8"/>
      <c r="G3" s="8"/>
      <c r="H3" s="8"/>
      <c r="I3" s="8"/>
      <c r="J3" s="8"/>
      <c r="K3" s="8"/>
      <c r="L3" s="8"/>
      <c r="M3" s="8"/>
    </row>
    <row r="4" ht="42" customHeight="1">
      <c r="A4" s="4"/>
      <c r="B4" s="4"/>
      <c r="C4" s="4"/>
      <c r="D4" s="4"/>
      <c r="E4" s="4"/>
      <c r="F4" s="4"/>
      <c r="G4" s="4"/>
      <c r="H4" s="4"/>
      <c r="I4" s="4"/>
      <c r="J4" s="4"/>
      <c r="K4" s="4"/>
      <c r="L4" s="4"/>
      <c r="M4" s="4"/>
    </row>
    <row r="5" ht="48" customHeight="1">
      <c r="A5" s="304" t="str">
        <v>Año cohorte T1</v>
      </c>
      <c r="B5" s="304" t="str">
        <v>Año observado</v>
      </c>
      <c r="C5" s="304" t="str">
        <v>Período nativo</v>
      </c>
      <c r="D5" s="304" t="str">
        <v>Carrera de origen T1</v>
      </c>
      <c r="E5" s="304" t="str">
        <v>Código SIES de origen T1</v>
      </c>
      <c r="F5" s="304" t="str">
        <v>Estudiantes de origen</v>
      </c>
      <c r="G5" s="304" t="str">
        <v>Numerador existente</v>
      </c>
      <c r="H5" s="304" t="str">
        <v>Denominador de la tasa</v>
      </c>
      <c r="I5" s="304" t="str">
        <v>Resultado existente</v>
      </c>
      <c r="J5" s="304" t="str">
        <v>Fuente y alcance</v>
      </c>
      <c r="K5" s="304" t="str">
        <v>Sin contexto en diccionario</v>
      </c>
      <c r="L5" s="304" t="str">
        <v>Origen multiversión</v>
      </c>
      <c r="M5" s="304" t="str">
        <v>Con contexto en diccionario</v>
      </c>
    </row>
    <row r="6" ht="42" customHeight="1">
      <c r="A6" s="297" t="n">
        <v>2024</v>
      </c>
      <c r="B6" s="297" t="n">
        <v>2025</v>
      </c>
      <c r="C6" s="297" t="n">
        <v>2</v>
      </c>
      <c r="D6" s="297" t="str">
        <v>Ingeniería en Informática</v>
      </c>
      <c r="E6" s="297" t="str">
        <v>I162S2C1J1V2</v>
      </c>
      <c r="F6" s="306" t="n">
        <v>15</v>
      </c>
      <c r="G6" s="306" t="n">
        <v>9</v>
      </c>
      <c r="H6" s="306" t="n">
        <v>15</v>
      </c>
      <c r="I6" s="308" t="n">
        <f>IF(ISNUMBER(G6),IF(H6&gt;0,G6/H6,"No aplica"),"Pendiente")</f>
        <v>0.6</v>
      </c>
      <c r="J6" s="297" t="str">
        <v>Proxy actividad y estado académico VIGENTE en PROMEDIOS; no foto de cierre</v>
      </c>
      <c r="K6" s="297" t="n">
        <v>6</v>
      </c>
      <c r="L6" s="297" t="str">
        <v>Sí</v>
      </c>
      <c r="M6" s="297" t="n">
        <v>9</v>
      </c>
    </row>
    <row r="7" ht="42" customHeight="1">
      <c r="A7" s="297" t="n">
        <v>2024</v>
      </c>
      <c r="B7" s="297" t="n">
        <v>2025</v>
      </c>
      <c r="C7" s="297" t="n">
        <v>3</v>
      </c>
      <c r="D7" s="297" t="str">
        <v>Ingeniería en Informática</v>
      </c>
      <c r="E7" s="297" t="str">
        <v>I162S2C1J1V2</v>
      </c>
      <c r="F7" s="306" t="n">
        <v>15</v>
      </c>
      <c r="G7" s="306" t="n">
        <v>11</v>
      </c>
      <c r="H7" s="306" t="n">
        <v>15</v>
      </c>
      <c r="I7" s="308" t="n">
        <f>IF(ISNUMBER(G7),IF(H7&gt;0,G7/H7,"No aplica"),"Pendiente")</f>
        <v>0.7333333333333333</v>
      </c>
      <c r="J7" s="297" t="str">
        <v>Proxy actividad y estado académico VIGENTE en PROMEDIOS; no foto de cierre</v>
      </c>
      <c r="K7" s="297" t="n">
        <v>4</v>
      </c>
      <c r="L7" s="297" t="str">
        <v>Sí</v>
      </c>
      <c r="M7" s="297" t="n">
        <v>11</v>
      </c>
    </row>
    <row r="8" ht="42" customHeight="1">
      <c r="A8" s="297" t="n">
        <v>2024</v>
      </c>
      <c r="B8" s="297" t="n">
        <v>2025</v>
      </c>
      <c r="C8" s="297" t="n">
        <v>2</v>
      </c>
      <c r="D8" s="297" t="str">
        <v>Ingeniería en Informática</v>
      </c>
      <c r="E8" s="297" t="str">
        <v>I162S2C1J2V4</v>
      </c>
      <c r="F8" s="306" t="n">
        <v>12</v>
      </c>
      <c r="G8" s="306" t="n">
        <v>6</v>
      </c>
      <c r="H8" s="306" t="n">
        <v>12</v>
      </c>
      <c r="I8" s="308" t="n">
        <f>IF(ISNUMBER(G8),IF(H8&gt;0,G8/H8,"No aplica"),"Pendiente")</f>
        <v>0.5</v>
      </c>
      <c r="J8" s="297" t="str">
        <v>Proxy actividad y estado académico VIGENTE en PROMEDIOS; no foto de cierre</v>
      </c>
      <c r="K8" s="297" t="n">
        <v>6</v>
      </c>
      <c r="L8" s="297" t="str">
        <v>Sí</v>
      </c>
      <c r="M8" s="297" t="n">
        <v>6</v>
      </c>
    </row>
    <row r="9" ht="42" customHeight="1">
      <c r="A9" s="297" t="n">
        <v>2024</v>
      </c>
      <c r="B9" s="297" t="n">
        <v>2025</v>
      </c>
      <c r="C9" s="297" t="n">
        <v>3</v>
      </c>
      <c r="D9" s="297" t="str">
        <v>Ingeniería en Informática</v>
      </c>
      <c r="E9" s="297" t="str">
        <v>I162S2C1J2V4</v>
      </c>
      <c r="F9" s="306" t="n">
        <v>12</v>
      </c>
      <c r="G9" s="306" t="n">
        <v>7</v>
      </c>
      <c r="H9" s="306" t="n">
        <v>12</v>
      </c>
      <c r="I9" s="308" t="n">
        <f>IF(ISNUMBER(G9),IF(H9&gt;0,G9/H9,"No aplica"),"Pendiente")</f>
        <v>0.5833333333333334</v>
      </c>
      <c r="J9" s="297" t="str">
        <v>Proxy actividad y estado académico VIGENTE en PROMEDIOS; no foto de cierre</v>
      </c>
      <c r="K9" s="297" t="n">
        <v>5</v>
      </c>
      <c r="L9" s="297" t="str">
        <v>Sí</v>
      </c>
      <c r="M9" s="297" t="n">
        <v>7</v>
      </c>
    </row>
    <row r="10" ht="42" customHeight="1">
      <c r="A10" s="297" t="n">
        <v>2024</v>
      </c>
      <c r="B10" s="297" t="n">
        <v>2025</v>
      </c>
      <c r="C10" s="297" t="n">
        <v>2</v>
      </c>
      <c r="D10" s="297" t="str">
        <v>Ingeniería en Informática</v>
      </c>
      <c r="E10" s="297" t="str">
        <v>I162S2C1J4V2</v>
      </c>
      <c r="F10" s="306" t="n">
        <v>80</v>
      </c>
      <c r="G10" s="306" t="n">
        <v>33</v>
      </c>
      <c r="H10" s="306" t="n">
        <v>80</v>
      </c>
      <c r="I10" s="308" t="n">
        <f>IF(ISNUMBER(G10),IF(H10&gt;0,G10/H10,"No aplica"),"Pendiente")</f>
        <v>0.4125</v>
      </c>
      <c r="J10" s="297" t="str">
        <v>Proxy actividad y estado académico VIGENTE en PROMEDIOS; no foto de cierre</v>
      </c>
      <c r="K10" s="297" t="n">
        <v>39</v>
      </c>
      <c r="L10" s="297" t="str">
        <v>Sí</v>
      </c>
      <c r="M10" s="297" t="n">
        <v>41</v>
      </c>
    </row>
    <row r="11" ht="42" customHeight="1">
      <c r="A11" s="297" t="n">
        <v>2024</v>
      </c>
      <c r="B11" s="297" t="n">
        <v>2025</v>
      </c>
      <c r="C11" s="297" t="n">
        <v>3</v>
      </c>
      <c r="D11" s="297" t="str">
        <v>Ingeniería en Informática</v>
      </c>
      <c r="E11" s="297" t="str">
        <v>I162S2C1J4V2</v>
      </c>
      <c r="F11" s="306" t="n">
        <v>80</v>
      </c>
      <c r="G11" s="306" t="n">
        <v>38</v>
      </c>
      <c r="H11" s="306" t="n">
        <v>80</v>
      </c>
      <c r="I11" s="308" t="n">
        <f>IF(ISNUMBER(G11),IF(H11&gt;0,G11/H11,"No aplica"),"Pendiente")</f>
        <v>0.475</v>
      </c>
      <c r="J11" s="297" t="str">
        <v>Proxy actividad y estado académico VIGENTE en PROMEDIOS; no foto de cierre</v>
      </c>
      <c r="K11" s="297" t="n">
        <v>36</v>
      </c>
      <c r="L11" s="297" t="str">
        <v>Sí</v>
      </c>
      <c r="M11" s="297" t="n">
        <v>44</v>
      </c>
    </row>
    <row r="12" ht="42" customHeight="1">
      <c r="A12" s="297" t="n">
        <v>2024</v>
      </c>
      <c r="B12" s="297" t="n">
        <v>2025</v>
      </c>
      <c r="C12" s="297" t="n">
        <v>2</v>
      </c>
      <c r="D12" s="297" t="str">
        <v>Ingeniería en Conectividad y Redes</v>
      </c>
      <c r="E12" s="297" t="str">
        <v>I162S2C3J2V4</v>
      </c>
      <c r="F12" s="306" t="n">
        <v>6</v>
      </c>
      <c r="G12" s="306" t="n">
        <v>3</v>
      </c>
      <c r="H12" s="306" t="n">
        <v>6</v>
      </c>
      <c r="I12" s="308" t="n">
        <f>IF(ISNUMBER(G12),IF(H12&gt;0,G12/H12,"No aplica"),"Pendiente")</f>
        <v>0.5</v>
      </c>
      <c r="J12" s="297" t="str">
        <v>Proxy actividad y estado académico VIGENTE en PROMEDIOS; no foto de cierre</v>
      </c>
      <c r="K12" s="297" t="n">
        <v>2</v>
      </c>
      <c r="L12" s="297" t="str">
        <v>Sí</v>
      </c>
      <c r="M12" s="297" t="n">
        <v>4</v>
      </c>
    </row>
    <row r="13" ht="42" customHeight="1">
      <c r="A13" s="297" t="n">
        <v>2024</v>
      </c>
      <c r="B13" s="297" t="n">
        <v>2025</v>
      </c>
      <c r="C13" s="297" t="n">
        <v>3</v>
      </c>
      <c r="D13" s="297" t="str">
        <v>Ingeniería en Conectividad y Redes</v>
      </c>
      <c r="E13" s="297" t="str">
        <v>I162S2C3J2V4</v>
      </c>
      <c r="F13" s="306" t="n">
        <v>6</v>
      </c>
      <c r="G13" s="306" t="n">
        <v>3</v>
      </c>
      <c r="H13" s="306" t="n">
        <v>6</v>
      </c>
      <c r="I13" s="308" t="n">
        <f>IF(ISNUMBER(G13),IF(H13&gt;0,G13/H13,"No aplica"),"Pendiente")</f>
        <v>0.5</v>
      </c>
      <c r="J13" s="297" t="str">
        <v>Proxy actividad y estado académico VIGENTE en PROMEDIOS; no foto de cierre</v>
      </c>
      <c r="K13" s="297" t="n">
        <v>2</v>
      </c>
      <c r="L13" s="297" t="str">
        <v>Sí</v>
      </c>
      <c r="M13" s="297" t="n">
        <v>4</v>
      </c>
    </row>
    <row r="14" ht="42" customHeight="1">
      <c r="A14" s="297" t="n">
        <v>2024</v>
      </c>
      <c r="B14" s="297" t="n">
        <v>2025</v>
      </c>
      <c r="C14" s="297" t="n">
        <v>2</v>
      </c>
      <c r="D14" s="297" t="str">
        <v>Ingeniería en Conectividad y Redes</v>
      </c>
      <c r="E14" s="297" t="str">
        <v>I162S2C3J4V2</v>
      </c>
      <c r="F14" s="306" t="n">
        <v>62</v>
      </c>
      <c r="G14" s="306" t="n">
        <v>34</v>
      </c>
      <c r="H14" s="306" t="n">
        <v>62</v>
      </c>
      <c r="I14" s="308" t="n">
        <f>IF(ISNUMBER(G14),IF(H14&gt;0,G14/H14,"No aplica"),"Pendiente")</f>
        <v>0.5483870967741935</v>
      </c>
      <c r="J14" s="297" t="str">
        <v>Proxy actividad y estado académico VIGENTE en PROMEDIOS; no foto de cierre</v>
      </c>
      <c r="K14" s="297" t="n">
        <v>27</v>
      </c>
      <c r="L14" s="297" t="str">
        <v>Sí</v>
      </c>
      <c r="M14" s="297" t="n">
        <v>35</v>
      </c>
    </row>
    <row r="15" ht="42" customHeight="1">
      <c r="A15" s="297" t="n">
        <v>2024</v>
      </c>
      <c r="B15" s="297" t="n">
        <v>2025</v>
      </c>
      <c r="C15" s="297" t="n">
        <v>3</v>
      </c>
      <c r="D15" s="297" t="str">
        <v>Ingeniería en Conectividad y Redes</v>
      </c>
      <c r="E15" s="297" t="str">
        <v>I162S2C3J4V2</v>
      </c>
      <c r="F15" s="306" t="n">
        <v>62</v>
      </c>
      <c r="G15" s="306" t="n">
        <v>37</v>
      </c>
      <c r="H15" s="306" t="n">
        <v>62</v>
      </c>
      <c r="I15" s="308" t="n">
        <f>IF(ISNUMBER(G15),IF(H15&gt;0,G15/H15,"No aplica"),"Pendiente")</f>
        <v>0.5967741935483871</v>
      </c>
      <c r="J15" s="297" t="str">
        <v>Proxy actividad y estado académico VIGENTE en PROMEDIOS; no foto de cierre</v>
      </c>
      <c r="K15" s="297" t="n">
        <v>24</v>
      </c>
      <c r="L15" s="297" t="str">
        <v>Sí</v>
      </c>
      <c r="M15" s="297" t="n">
        <v>38</v>
      </c>
    </row>
    <row r="16" ht="42" customHeight="1">
      <c r="A16" s="297" t="n">
        <v>2024</v>
      </c>
      <c r="B16" s="297" t="n">
        <v>2025</v>
      </c>
      <c r="C16" s="297" t="n">
        <v>2</v>
      </c>
      <c r="D16" s="297" t="str">
        <v>Ingeniería en Ciberseguridad</v>
      </c>
      <c r="E16" s="297" t="str">
        <v>I162S2C46J1V1</v>
      </c>
      <c r="F16" s="306" t="n">
        <v>21</v>
      </c>
      <c r="G16" s="306" t="n">
        <v>14</v>
      </c>
      <c r="H16" s="306" t="n">
        <v>21</v>
      </c>
      <c r="I16" s="308" t="n">
        <f>IF(ISNUMBER(G16),IF(H16&gt;0,G16/H16,"No aplica"),"Pendiente")</f>
        <v>0.6666666666666666</v>
      </c>
      <c r="J16" s="297" t="str">
        <v>Proxy actividad y estado académico VIGENTE en PROMEDIOS; no foto de cierre</v>
      </c>
      <c r="K16" s="297" t="n">
        <v>12</v>
      </c>
      <c r="L16" s="297" t="str">
        <v>No</v>
      </c>
      <c r="M16" s="297" t="n">
        <v>9</v>
      </c>
    </row>
    <row r="17" ht="42" customHeight="1">
      <c r="A17" s="297" t="n">
        <v>2024</v>
      </c>
      <c r="B17" s="297" t="n">
        <v>2025</v>
      </c>
      <c r="C17" s="297" t="n">
        <v>3</v>
      </c>
      <c r="D17" s="297" t="str">
        <v>Ingeniería en Ciberseguridad</v>
      </c>
      <c r="E17" s="297" t="str">
        <v>I162S2C46J1V1</v>
      </c>
      <c r="F17" s="306" t="n">
        <v>21</v>
      </c>
      <c r="G17" s="306" t="n">
        <v>14</v>
      </c>
      <c r="H17" s="306" t="n">
        <v>21</v>
      </c>
      <c r="I17" s="308" t="n">
        <f>IF(ISNUMBER(G17),IF(H17&gt;0,G17/H17,"No aplica"),"Pendiente")</f>
        <v>0.6666666666666666</v>
      </c>
      <c r="J17" s="297" t="str">
        <v>Proxy actividad y estado académico VIGENTE en PROMEDIOS; no foto de cierre</v>
      </c>
      <c r="K17" s="297" t="n">
        <v>12</v>
      </c>
      <c r="L17" s="297" t="str">
        <v>No</v>
      </c>
      <c r="M17" s="297" t="n">
        <v>9</v>
      </c>
    </row>
    <row r="18" ht="42" customHeight="1">
      <c r="A18" s="297" t="n">
        <v>2024</v>
      </c>
      <c r="B18" s="297" t="n">
        <v>2025</v>
      </c>
      <c r="C18" s="297" t="n">
        <v>2</v>
      </c>
      <c r="D18" s="297" t="str">
        <v>Ingeniería en Ciberseguridad</v>
      </c>
      <c r="E18" s="297" t="str">
        <v>I162S2C46J2V1</v>
      </c>
      <c r="F18" s="306" t="n">
        <v>14</v>
      </c>
      <c r="G18" s="306" t="n">
        <v>8</v>
      </c>
      <c r="H18" s="306" t="n">
        <v>14</v>
      </c>
      <c r="I18" s="308" t="n">
        <f>IF(ISNUMBER(G18),IF(H18&gt;0,G18/H18,"No aplica"),"Pendiente")</f>
        <v>0.5714285714285714</v>
      </c>
      <c r="J18" s="297" t="str">
        <v>Proxy actividad y estado académico VIGENTE en PROMEDIOS; no foto de cierre</v>
      </c>
      <c r="K18" s="297" t="n">
        <v>5</v>
      </c>
      <c r="L18" s="297" t="str">
        <v>Sí</v>
      </c>
      <c r="M18" s="297" t="n">
        <v>9</v>
      </c>
    </row>
    <row r="19" ht="42" customHeight="1">
      <c r="A19" s="297" t="n">
        <v>2024</v>
      </c>
      <c r="B19" s="297" t="n">
        <v>2025</v>
      </c>
      <c r="C19" s="297" t="n">
        <v>3</v>
      </c>
      <c r="D19" s="297" t="str">
        <v>Ingeniería en Ciberseguridad</v>
      </c>
      <c r="E19" s="297" t="str">
        <v>I162S2C46J2V1</v>
      </c>
      <c r="F19" s="306" t="n">
        <v>14</v>
      </c>
      <c r="G19" s="306" t="n">
        <v>8</v>
      </c>
      <c r="H19" s="306" t="n">
        <v>14</v>
      </c>
      <c r="I19" s="308" t="n">
        <f>IF(ISNUMBER(G19),IF(H19&gt;0,G19/H19,"No aplica"),"Pendiente")</f>
        <v>0.5714285714285714</v>
      </c>
      <c r="J19" s="297" t="str">
        <v>Proxy actividad y estado académico VIGENTE en PROMEDIOS; no foto de cierre</v>
      </c>
      <c r="K19" s="297" t="n">
        <v>5</v>
      </c>
      <c r="L19" s="297" t="str">
        <v>Sí</v>
      </c>
      <c r="M19" s="297" t="n">
        <v>9</v>
      </c>
    </row>
    <row r="20" ht="42" customHeight="1">
      <c r="A20" s="297" t="n">
        <v>2024</v>
      </c>
      <c r="B20" s="297" t="n">
        <v>2025</v>
      </c>
      <c r="C20" s="297" t="n">
        <v>2</v>
      </c>
      <c r="D20" s="297" t="str">
        <v>Ingeniería en Ciberseguridad</v>
      </c>
      <c r="E20" s="297" t="str">
        <v>I162S2C46J4V3</v>
      </c>
      <c r="F20" s="306" t="n">
        <v>54</v>
      </c>
      <c r="G20" s="306" t="n">
        <v>20</v>
      </c>
      <c r="H20" s="306" t="n">
        <v>54</v>
      </c>
      <c r="I20" s="308" t="n">
        <f>IF(ISNUMBER(G20),IF(H20&gt;0,G20/H20,"No aplica"),"Pendiente")</f>
        <v>0.37037037037037035</v>
      </c>
      <c r="J20" s="297" t="str">
        <v>Proxy actividad y estado académico VIGENTE en PROMEDIOS; no foto de cierre</v>
      </c>
      <c r="K20" s="297" t="n">
        <v>32</v>
      </c>
      <c r="L20" s="297" t="str">
        <v>Sí</v>
      </c>
      <c r="M20" s="297" t="n">
        <v>22</v>
      </c>
    </row>
    <row r="21" ht="42" customHeight="1">
      <c r="A21" s="297" t="n">
        <v>2024</v>
      </c>
      <c r="B21" s="297" t="n">
        <v>2025</v>
      </c>
      <c r="C21" s="297" t="n">
        <v>3</v>
      </c>
      <c r="D21" s="297" t="str">
        <v>Ingeniería en Ciberseguridad</v>
      </c>
      <c r="E21" s="297" t="str">
        <v>I162S2C46J4V3</v>
      </c>
      <c r="F21" s="306" t="n">
        <v>54</v>
      </c>
      <c r="G21" s="306" t="n">
        <v>20</v>
      </c>
      <c r="H21" s="306" t="n">
        <v>54</v>
      </c>
      <c r="I21" s="308" t="n">
        <f>IF(ISNUMBER(G21),IF(H21&gt;0,G21/H21,"No aplica"),"Pendiente")</f>
        <v>0.37037037037037035</v>
      </c>
      <c r="J21" s="297" t="str">
        <v>Proxy actividad y estado académico VIGENTE en PROMEDIOS; no foto de cierre</v>
      </c>
      <c r="K21" s="297" t="n">
        <v>32</v>
      </c>
      <c r="L21" s="297" t="str">
        <v>Sí</v>
      </c>
      <c r="M21" s="297" t="n">
        <v>22</v>
      </c>
    </row>
    <row r="22" ht="42" customHeight="1">
      <c r="A22" s="297" t="n">
        <v>2024</v>
      </c>
      <c r="B22" s="297" t="n">
        <v>2025</v>
      </c>
      <c r="C22" s="297" t="n">
        <v>2</v>
      </c>
      <c r="D22" s="297" t="str">
        <v>Técnico en Ciberseguridad</v>
      </c>
      <c r="E22" s="297" t="str">
        <v>I162S2C47J1V1</v>
      </c>
      <c r="F22" s="306" t="n">
        <v>5</v>
      </c>
      <c r="G22" s="306" t="n">
        <v>0</v>
      </c>
      <c r="H22" s="306" t="n">
        <v>5</v>
      </c>
      <c r="I22" s="308" t="n">
        <f>IF(ISNUMBER(G22),IF(H22&gt;0,G22/H22,"No aplica"),"Pendiente")</f>
        <v>0</v>
      </c>
      <c r="J22" s="297" t="str">
        <v>Proxy actividad y estado académico VIGENTE en PROMEDIOS; no foto de cierre</v>
      </c>
      <c r="K22" s="297" t="n">
        <v>5</v>
      </c>
      <c r="L22" s="297" t="str">
        <v>No</v>
      </c>
      <c r="M22" s="297" t="n">
        <v>0</v>
      </c>
    </row>
    <row r="23" ht="42" customHeight="1">
      <c r="A23" s="297" t="n">
        <v>2024</v>
      </c>
      <c r="B23" s="297" t="n">
        <v>2025</v>
      </c>
      <c r="C23" s="297" t="n">
        <v>3</v>
      </c>
      <c r="D23" s="297" t="str">
        <v>Técnico en Ciberseguridad</v>
      </c>
      <c r="E23" s="297" t="str">
        <v>I162S2C47J1V1</v>
      </c>
      <c r="F23" s="306" t="n">
        <v>5</v>
      </c>
      <c r="G23" s="306" t="n">
        <v>0</v>
      </c>
      <c r="H23" s="306" t="n">
        <v>5</v>
      </c>
      <c r="I23" s="308" t="n">
        <f>IF(ISNUMBER(G23),IF(H23&gt;0,G23/H23,"No aplica"),"Pendiente")</f>
        <v>0</v>
      </c>
      <c r="J23" s="297" t="str">
        <v>Proxy actividad y estado académico VIGENTE en PROMEDIOS; no foto de cierre</v>
      </c>
      <c r="K23" s="297" t="n">
        <v>5</v>
      </c>
      <c r="L23" s="297" t="str">
        <v>No</v>
      </c>
      <c r="M23" s="297" t="n">
        <v>0</v>
      </c>
    </row>
    <row r="24" ht="42" customHeight="1">
      <c r="A24" s="297" t="n">
        <v>2024</v>
      </c>
      <c r="B24" s="297" t="n">
        <v>2025</v>
      </c>
      <c r="C24" s="297" t="n">
        <v>2</v>
      </c>
      <c r="D24" s="297" t="str">
        <v>Técnico en Ciberseguridad</v>
      </c>
      <c r="E24" s="297" t="str">
        <v>I162S2C47J2V1</v>
      </c>
      <c r="F24" s="306" t="n">
        <v>11</v>
      </c>
      <c r="G24" s="306" t="n">
        <v>1</v>
      </c>
      <c r="H24" s="306" t="n">
        <v>11</v>
      </c>
      <c r="I24" s="308" t="n">
        <f>IF(ISNUMBER(G24),IF(H24&gt;0,G24/H24,"No aplica"),"Pendiente")</f>
        <v>0.09090909090909091</v>
      </c>
      <c r="J24" s="297" t="str">
        <v>Proxy actividad y estado académico VIGENTE en PROMEDIOS; no foto de cierre</v>
      </c>
      <c r="K24" s="297" t="n">
        <v>10</v>
      </c>
      <c r="L24" s="297" t="str">
        <v>No</v>
      </c>
      <c r="M24" s="297" t="n">
        <v>1</v>
      </c>
    </row>
    <row r="25" ht="42" customHeight="1">
      <c r="A25" s="297" t="n">
        <v>2024</v>
      </c>
      <c r="B25" s="297" t="n">
        <v>2025</v>
      </c>
      <c r="C25" s="297" t="n">
        <v>3</v>
      </c>
      <c r="D25" s="297" t="str">
        <v>Técnico en Ciberseguridad</v>
      </c>
      <c r="E25" s="297" t="str">
        <v>I162S2C47J2V1</v>
      </c>
      <c r="F25" s="306" t="n">
        <v>11</v>
      </c>
      <c r="G25" s="306" t="n">
        <v>1</v>
      </c>
      <c r="H25" s="306" t="n">
        <v>11</v>
      </c>
      <c r="I25" s="308" t="n">
        <f>IF(ISNUMBER(G25),IF(H25&gt;0,G25/H25,"No aplica"),"Pendiente")</f>
        <v>0.09090909090909091</v>
      </c>
      <c r="J25" s="297" t="str">
        <v>Proxy actividad y estado académico VIGENTE en PROMEDIOS; no foto de cierre</v>
      </c>
      <c r="K25" s="297" t="n">
        <v>10</v>
      </c>
      <c r="L25" s="297" t="str">
        <v>No</v>
      </c>
      <c r="M25" s="297" t="n">
        <v>1</v>
      </c>
    </row>
    <row r="26" ht="42" customHeight="1">
      <c r="A26" s="297" t="n">
        <v>2024</v>
      </c>
      <c r="B26" s="297" t="n">
        <v>2025</v>
      </c>
      <c r="C26" s="297" t="n">
        <v>2</v>
      </c>
      <c r="D26" s="297" t="str">
        <v>Técnico en Ciberseguridad</v>
      </c>
      <c r="E26" s="297" t="str">
        <v>I162S2C47J4V1</v>
      </c>
      <c r="F26" s="306" t="n">
        <v>55</v>
      </c>
      <c r="G26" s="306" t="n">
        <v>3</v>
      </c>
      <c r="H26" s="306" t="n">
        <v>55</v>
      </c>
      <c r="I26" s="308" t="n">
        <f>IF(ISNUMBER(G26),IF(H26&gt;0,G26/H26,"No aplica"),"Pendiente")</f>
        <v>0.05454545454545454</v>
      </c>
      <c r="J26" s="297" t="str">
        <v>Proxy actividad y estado académico VIGENTE en PROMEDIOS; no foto de cierre</v>
      </c>
      <c r="K26" s="297" t="n">
        <v>29</v>
      </c>
      <c r="L26" s="297" t="str">
        <v>No</v>
      </c>
      <c r="M26" s="297" t="n">
        <v>26</v>
      </c>
    </row>
    <row r="27" ht="42" customHeight="1">
      <c r="A27" s="297" t="n">
        <v>2024</v>
      </c>
      <c r="B27" s="297" t="n">
        <v>2025</v>
      </c>
      <c r="C27" s="297" t="n">
        <v>3</v>
      </c>
      <c r="D27" s="297" t="str">
        <v>Técnico en Ciberseguridad</v>
      </c>
      <c r="E27" s="297" t="str">
        <v>I162S2C47J4V1</v>
      </c>
      <c r="F27" s="306" t="n">
        <v>55</v>
      </c>
      <c r="G27" s="306" t="n">
        <v>3</v>
      </c>
      <c r="H27" s="306" t="n">
        <v>55</v>
      </c>
      <c r="I27" s="308" t="n">
        <f>IF(ISNUMBER(G27),IF(H27&gt;0,G27/H27,"No aplica"),"Pendiente")</f>
        <v>0.05454545454545454</v>
      </c>
      <c r="J27" s="297" t="str">
        <v>Proxy actividad y estado académico VIGENTE en PROMEDIOS; no foto de cierre</v>
      </c>
      <c r="K27" s="297" t="n">
        <v>27</v>
      </c>
      <c r="L27" s="297" t="str">
        <v>No</v>
      </c>
      <c r="M27" s="297" t="n">
        <v>28</v>
      </c>
    </row>
    <row r="28" ht="42" customHeight="1">
      <c r="A28" s="297" t="n">
        <v>2024</v>
      </c>
      <c r="B28" s="297" t="n">
        <v>2025</v>
      </c>
      <c r="C28" s="297" t="n">
        <v>2</v>
      </c>
      <c r="D28" s="297" t="str">
        <v>Técnico en Programación y Análisis de Sistemas</v>
      </c>
      <c r="E28" s="297" t="str">
        <v>I162S2C57J1V1</v>
      </c>
      <c r="F28" s="306" t="n">
        <v>11</v>
      </c>
      <c r="G28" s="306" t="n">
        <v>1</v>
      </c>
      <c r="H28" s="306" t="n">
        <v>11</v>
      </c>
      <c r="I28" s="308" t="n">
        <f>IF(ISNUMBER(G28),IF(H28&gt;0,G28/H28,"No aplica"),"Pendiente")</f>
        <v>0.09090909090909091</v>
      </c>
      <c r="J28" s="297" t="str">
        <v>Proxy actividad y estado académico VIGENTE en PROMEDIOS; no foto de cierre</v>
      </c>
      <c r="K28" s="297" t="n">
        <v>10</v>
      </c>
      <c r="L28" s="297" t="str">
        <v>No</v>
      </c>
      <c r="M28" s="297" t="n">
        <v>1</v>
      </c>
    </row>
    <row r="29" ht="42" customHeight="1">
      <c r="A29" s="297" t="n">
        <v>2024</v>
      </c>
      <c r="B29" s="297" t="n">
        <v>2025</v>
      </c>
      <c r="C29" s="297" t="n">
        <v>3</v>
      </c>
      <c r="D29" s="297" t="str">
        <v>Técnico en Programación y Análisis de Sistemas</v>
      </c>
      <c r="E29" s="297" t="str">
        <v>I162S2C57J1V1</v>
      </c>
      <c r="F29" s="306" t="n">
        <v>11</v>
      </c>
      <c r="G29" s="306" t="n">
        <v>3</v>
      </c>
      <c r="H29" s="306" t="n">
        <v>11</v>
      </c>
      <c r="I29" s="308" t="n">
        <f>IF(ISNUMBER(G29),IF(H29&gt;0,G29/H29,"No aplica"),"Pendiente")</f>
        <v>0.2727272727272727</v>
      </c>
      <c r="J29" s="297" t="str">
        <v>Proxy actividad y estado académico VIGENTE en PROMEDIOS; no foto de cierre</v>
      </c>
      <c r="K29" s="297" t="n">
        <v>8</v>
      </c>
      <c r="L29" s="297" t="str">
        <v>No</v>
      </c>
      <c r="M29" s="297" t="n">
        <v>3</v>
      </c>
    </row>
    <row r="30" ht="42" customHeight="1">
      <c r="A30" s="297" t="n">
        <v>2024</v>
      </c>
      <c r="B30" s="297" t="n">
        <v>2025</v>
      </c>
      <c r="C30" s="297" t="n">
        <v>2</v>
      </c>
      <c r="D30" s="297" t="str">
        <v>Técnico en Programación y Análisis de Sistemas</v>
      </c>
      <c r="E30" s="297" t="str">
        <v>I162S2C57J2V1</v>
      </c>
      <c r="F30" s="306" t="n">
        <v>17</v>
      </c>
      <c r="G30" s="306" t="n">
        <v>1</v>
      </c>
      <c r="H30" s="306" t="n">
        <v>17</v>
      </c>
      <c r="I30" s="308" t="n">
        <f>IF(ISNUMBER(G30),IF(H30&gt;0,G30/H30,"No aplica"),"Pendiente")</f>
        <v>0.058823529411764705</v>
      </c>
      <c r="J30" s="297" t="str">
        <v>Proxy actividad y estado académico VIGENTE en PROMEDIOS; no foto de cierre</v>
      </c>
      <c r="K30" s="297" t="n">
        <v>14</v>
      </c>
      <c r="L30" s="297" t="str">
        <v>No</v>
      </c>
      <c r="M30" s="297" t="n">
        <v>3</v>
      </c>
    </row>
    <row r="31" ht="42" customHeight="1">
      <c r="A31" s="297" t="n">
        <v>2024</v>
      </c>
      <c r="B31" s="297" t="n">
        <v>2025</v>
      </c>
      <c r="C31" s="297" t="n">
        <v>3</v>
      </c>
      <c r="D31" s="297" t="str">
        <v>Técnico en Programación y Análisis de Sistemas</v>
      </c>
      <c r="E31" s="297" t="str">
        <v>I162S2C57J2V1</v>
      </c>
      <c r="F31" s="306" t="n">
        <v>17</v>
      </c>
      <c r="G31" s="306" t="n">
        <v>1</v>
      </c>
      <c r="H31" s="306" t="n">
        <v>17</v>
      </c>
      <c r="I31" s="308" t="n">
        <f>IF(ISNUMBER(G31),IF(H31&gt;0,G31/H31,"No aplica"),"Pendiente")</f>
        <v>0.058823529411764705</v>
      </c>
      <c r="J31" s="297" t="str">
        <v>Proxy actividad y estado académico VIGENTE en PROMEDIOS; no foto de cierre</v>
      </c>
      <c r="K31" s="297" t="n">
        <v>13</v>
      </c>
      <c r="L31" s="297" t="str">
        <v>No</v>
      </c>
      <c r="M31" s="297" t="n">
        <v>4</v>
      </c>
    </row>
    <row r="32" ht="42" customHeight="1">
      <c r="A32" s="297" t="n">
        <v>2024</v>
      </c>
      <c r="B32" s="297" t="n">
        <v>2025</v>
      </c>
      <c r="C32" s="297" t="n">
        <v>2</v>
      </c>
      <c r="D32" s="297" t="str">
        <v>Técnico en Programación y Análisis de Sistemas</v>
      </c>
      <c r="E32" s="297" t="str">
        <v>I162S2C57J4V1</v>
      </c>
      <c r="F32" s="306" t="n">
        <v>109</v>
      </c>
      <c r="G32" s="306" t="n">
        <v>14</v>
      </c>
      <c r="H32" s="306" t="n">
        <v>109</v>
      </c>
      <c r="I32" s="308" t="n">
        <f>IF(ISNUMBER(G32),IF(H32&gt;0,G32/H32,"No aplica"),"Pendiente")</f>
        <v>0.12844036697247707</v>
      </c>
      <c r="J32" s="297" t="str">
        <v>Proxy actividad y estado académico VIGENTE en PROMEDIOS; no foto de cierre</v>
      </c>
      <c r="K32" s="297" t="n">
        <v>57</v>
      </c>
      <c r="L32" s="297" t="str">
        <v>No</v>
      </c>
      <c r="M32" s="297" t="n">
        <v>52</v>
      </c>
    </row>
    <row r="33" ht="42" customHeight="1">
      <c r="A33" s="297" t="n">
        <v>2024</v>
      </c>
      <c r="B33" s="297" t="n">
        <v>2025</v>
      </c>
      <c r="C33" s="297" t="n">
        <v>3</v>
      </c>
      <c r="D33" s="297" t="str">
        <v>Técnico en Programación y Análisis de Sistemas</v>
      </c>
      <c r="E33" s="297" t="str">
        <v>I162S2C57J4V1</v>
      </c>
      <c r="F33" s="306" t="n">
        <v>109</v>
      </c>
      <c r="G33" s="306" t="n">
        <v>16</v>
      </c>
      <c r="H33" s="306" t="n">
        <v>109</v>
      </c>
      <c r="I33" s="308" t="n">
        <f>IF(ISNUMBER(G33),IF(H33&gt;0,G33/H33,"No aplica"),"Pendiente")</f>
        <v>0.14678899082568808</v>
      </c>
      <c r="J33" s="297" t="str">
        <v>Proxy actividad y estado académico VIGENTE en PROMEDIOS; no foto de cierre</v>
      </c>
      <c r="K33" s="297" t="n">
        <v>46</v>
      </c>
      <c r="L33" s="297" t="str">
        <v>No</v>
      </c>
      <c r="M33" s="297" t="n">
        <v>63</v>
      </c>
    </row>
    <row r="34" ht="42" customHeight="1">
      <c r="A34" s="297" t="n">
        <v>2024</v>
      </c>
      <c r="B34" s="297" t="n">
        <v>2025</v>
      </c>
      <c r="C34" s="297" t="n">
        <v>2</v>
      </c>
      <c r="D34" s="297" t="str">
        <v>Técnico en Conectividad y Redes</v>
      </c>
      <c r="E34" s="297" t="str">
        <v>I162S2C6J2V2</v>
      </c>
      <c r="F34" s="306" t="n">
        <v>2</v>
      </c>
      <c r="G34" s="306" t="n">
        <v>0</v>
      </c>
      <c r="H34" s="306" t="n">
        <v>2</v>
      </c>
      <c r="I34" s="308" t="n">
        <f>IF(ISNUMBER(G34),IF(H34&gt;0,G34/H34,"No aplica"),"Pendiente")</f>
        <v>0</v>
      </c>
      <c r="J34" s="297" t="str">
        <v>Proxy actividad y estado académico VIGENTE en PROMEDIOS; no foto de cierre</v>
      </c>
      <c r="K34" s="297" t="n">
        <v>2</v>
      </c>
      <c r="L34" s="297" t="str">
        <v>Sí</v>
      </c>
      <c r="M34" s="297" t="n">
        <v>0</v>
      </c>
    </row>
    <row r="35" ht="42" customHeight="1">
      <c r="A35" s="297" t="n">
        <v>2024</v>
      </c>
      <c r="B35" s="297" t="n">
        <v>2025</v>
      </c>
      <c r="C35" s="297" t="n">
        <v>3</v>
      </c>
      <c r="D35" s="297" t="str">
        <v>Técnico en Conectividad y Redes</v>
      </c>
      <c r="E35" s="297" t="str">
        <v>I162S2C6J2V2</v>
      </c>
      <c r="F35" s="306" t="n">
        <v>2</v>
      </c>
      <c r="G35" s="306" t="n">
        <v>1</v>
      </c>
      <c r="H35" s="306" t="n">
        <v>2</v>
      </c>
      <c r="I35" s="308" t="n">
        <f>IF(ISNUMBER(G35),IF(H35&gt;0,G35/H35,"No aplica"),"Pendiente")</f>
        <v>0.5</v>
      </c>
      <c r="J35" s="297" t="str">
        <v>Proxy actividad y estado académico VIGENTE en PROMEDIOS; no foto de cierre</v>
      </c>
      <c r="K35" s="297" t="n">
        <v>1</v>
      </c>
      <c r="L35" s="297" t="str">
        <v>Sí</v>
      </c>
      <c r="M35" s="297" t="n">
        <v>1</v>
      </c>
    </row>
    <row r="36" ht="42" customHeight="1">
      <c r="A36" s="297" t="n">
        <v>2024</v>
      </c>
      <c r="B36" s="297" t="n">
        <v>2025</v>
      </c>
      <c r="C36" s="297" t="n">
        <v>2</v>
      </c>
      <c r="D36" s="297" t="str">
        <v>Técnico en Conectividad y Redes</v>
      </c>
      <c r="E36" s="297" t="str">
        <v>I162S2C6J4V2</v>
      </c>
      <c r="F36" s="306" t="n">
        <v>23</v>
      </c>
      <c r="G36" s="306" t="n">
        <v>2</v>
      </c>
      <c r="H36" s="306" t="n">
        <v>23</v>
      </c>
      <c r="I36" s="308" t="n">
        <f>IF(ISNUMBER(G36),IF(H36&gt;0,G36/H36,"No aplica"),"Pendiente")</f>
        <v>0.08695652173913043</v>
      </c>
      <c r="J36" s="297" t="str">
        <v>Proxy actividad y estado académico VIGENTE en PROMEDIOS; no foto de cierre</v>
      </c>
      <c r="K36" s="297" t="n">
        <v>17</v>
      </c>
      <c r="L36" s="297" t="str">
        <v>Sí</v>
      </c>
      <c r="M36" s="297" t="n">
        <v>6</v>
      </c>
    </row>
    <row r="37" ht="42" customHeight="1">
      <c r="A37" s="297" t="n">
        <v>2024</v>
      </c>
      <c r="B37" s="297" t="n">
        <v>2025</v>
      </c>
      <c r="C37" s="297" t="n">
        <v>3</v>
      </c>
      <c r="D37" s="297" t="str">
        <v>Técnico en Conectividad y Redes</v>
      </c>
      <c r="E37" s="297" t="str">
        <v>I162S2C6J4V2</v>
      </c>
      <c r="F37" s="306" t="n">
        <v>23</v>
      </c>
      <c r="G37" s="306" t="n">
        <v>1</v>
      </c>
      <c r="H37" s="306" t="n">
        <v>23</v>
      </c>
      <c r="I37" s="308" t="n">
        <f>IF(ISNUMBER(G37),IF(H37&gt;0,G37/H37,"No aplica"),"Pendiente")</f>
        <v>0.043478260869565216</v>
      </c>
      <c r="J37" s="297" t="str">
        <v>Proxy actividad y estado académico VIGENTE en PROMEDIOS; no foto de cierre</v>
      </c>
      <c r="K37" s="297" t="n">
        <v>17</v>
      </c>
      <c r="L37" s="297" t="str">
        <v>Sí</v>
      </c>
      <c r="M37" s="297" t="n">
        <v>6</v>
      </c>
    </row>
    <row r="38" ht="42" customHeight="1">
      <c r="A38" s="297" t="n">
        <v>2024</v>
      </c>
      <c r="B38" s="297" t="n">
        <v>2025</v>
      </c>
      <c r="C38" s="297" t="n">
        <v>2</v>
      </c>
      <c r="D38" s="297" t="str">
        <v>Ingeniería en Administración de Empresas</v>
      </c>
      <c r="E38" s="297" t="str">
        <v>I162S2C76J2V1</v>
      </c>
      <c r="F38" s="306" t="n">
        <v>1</v>
      </c>
      <c r="G38" s="306" t="n">
        <v>0</v>
      </c>
      <c r="H38" s="306" t="n">
        <v>1</v>
      </c>
      <c r="I38" s="308" t="n">
        <f>IF(ISNUMBER(G38),IF(H38&gt;0,G38/H38,"No aplica"),"Pendiente")</f>
        <v>0</v>
      </c>
      <c r="J38" s="297" t="str">
        <v>Proxy actividad y estado académico VIGENTE en PROMEDIOS; no foto de cierre</v>
      </c>
      <c r="K38" s="297" t="n">
        <v>1</v>
      </c>
      <c r="L38" s="297" t="str">
        <v>No</v>
      </c>
      <c r="M38" s="297" t="n">
        <v>0</v>
      </c>
    </row>
    <row r="39" ht="42" customHeight="1">
      <c r="A39" s="297" t="n">
        <v>2024</v>
      </c>
      <c r="B39" s="297" t="n">
        <v>2025</v>
      </c>
      <c r="C39" s="297" t="n">
        <v>3</v>
      </c>
      <c r="D39" s="297" t="str">
        <v>Ingeniería en Administración de Empresas</v>
      </c>
      <c r="E39" s="297" t="str">
        <v>I162S2C76J2V1</v>
      </c>
      <c r="F39" s="306" t="n">
        <v>1</v>
      </c>
      <c r="G39" s="306" t="n">
        <v>0</v>
      </c>
      <c r="H39" s="306" t="n">
        <v>1</v>
      </c>
      <c r="I39" s="308" t="n">
        <f>IF(ISNUMBER(G39),IF(H39&gt;0,G39/H39,"No aplica"),"Pendiente")</f>
        <v>0</v>
      </c>
      <c r="J39" s="297" t="str">
        <v>Proxy actividad y estado académico VIGENTE en PROMEDIOS; no foto de cierre</v>
      </c>
      <c r="K39" s="297" t="n">
        <v>1</v>
      </c>
      <c r="L39" s="297" t="str">
        <v>No</v>
      </c>
      <c r="M39" s="297" t="n">
        <v>0</v>
      </c>
    </row>
    <row r="40" ht="42" customHeight="1">
      <c r="A40" s="297" t="n">
        <v>2024</v>
      </c>
      <c r="B40" s="297" t="n">
        <v>2025</v>
      </c>
      <c r="C40" s="297" t="n">
        <v>2</v>
      </c>
      <c r="D40" s="297" t="str">
        <v>Ingeniería en Administración de Empresas</v>
      </c>
      <c r="E40" s="297" t="str">
        <v>I162S2C76J4V1</v>
      </c>
      <c r="F40" s="306" t="n">
        <v>7</v>
      </c>
      <c r="G40" s="306" t="n">
        <v>3</v>
      </c>
      <c r="H40" s="306" t="n">
        <v>7</v>
      </c>
      <c r="I40" s="308" t="n">
        <f>IF(ISNUMBER(G40),IF(H40&gt;0,G40/H40,"No aplica"),"Pendiente")</f>
        <v>0.42857142857142855</v>
      </c>
      <c r="J40" s="297" t="str">
        <v>Proxy actividad y estado académico VIGENTE en PROMEDIOS; no foto de cierre</v>
      </c>
      <c r="K40" s="297" t="n">
        <v>4</v>
      </c>
      <c r="L40" s="297" t="str">
        <v>No</v>
      </c>
      <c r="M40" s="297" t="n">
        <v>3</v>
      </c>
    </row>
    <row r="41" ht="42" customHeight="1">
      <c r="A41" s="297" t="n">
        <v>2024</v>
      </c>
      <c r="B41" s="297" t="n">
        <v>2025</v>
      </c>
      <c r="C41" s="297" t="n">
        <v>3</v>
      </c>
      <c r="D41" s="297" t="str">
        <v>Ingeniería en Administración de Empresas</v>
      </c>
      <c r="E41" s="297" t="str">
        <v>I162S2C76J4V1</v>
      </c>
      <c r="F41" s="306" t="n">
        <v>7</v>
      </c>
      <c r="G41" s="306" t="n">
        <v>3</v>
      </c>
      <c r="H41" s="306" t="n">
        <v>7</v>
      </c>
      <c r="I41" s="308" t="n">
        <f>IF(ISNUMBER(G41),IF(H41&gt;0,G41/H41,"No aplica"),"Pendiente")</f>
        <v>0.42857142857142855</v>
      </c>
      <c r="J41" s="297" t="str">
        <v>Proxy actividad y estado académico VIGENTE en PROMEDIOS; no foto de cierre</v>
      </c>
      <c r="K41" s="297" t="n">
        <v>4</v>
      </c>
      <c r="L41" s="297" t="str">
        <v>No</v>
      </c>
      <c r="M41" s="297" t="n">
        <v>3</v>
      </c>
    </row>
    <row r="42" ht="42" customHeight="1">
      <c r="A42" s="297" t="n">
        <v>2024</v>
      </c>
      <c r="B42" s="297" t="n">
        <v>2025</v>
      </c>
      <c r="C42" s="297" t="n">
        <v>2</v>
      </c>
      <c r="D42" s="297" t="str">
        <v>Ingeniería en Logística</v>
      </c>
      <c r="E42" s="297" t="str">
        <v>I162S2C77J2V1</v>
      </c>
      <c r="F42" s="306" t="n">
        <v>6</v>
      </c>
      <c r="G42" s="306" t="n">
        <v>2</v>
      </c>
      <c r="H42" s="306" t="n">
        <v>6</v>
      </c>
      <c r="I42" s="308" t="n">
        <f>IF(ISNUMBER(G42),IF(H42&gt;0,G42/H42,"No aplica"),"Pendiente")</f>
        <v>0.3333333333333333</v>
      </c>
      <c r="J42" s="297" t="str">
        <v>Proxy actividad y estado académico VIGENTE en PROMEDIOS; no foto de cierre</v>
      </c>
      <c r="K42" s="297" t="n">
        <v>5</v>
      </c>
      <c r="L42" s="297" t="str">
        <v>No</v>
      </c>
      <c r="M42" s="297" t="n">
        <v>1</v>
      </c>
    </row>
    <row r="43" ht="42" customHeight="1">
      <c r="A43" s="297" t="n">
        <v>2024</v>
      </c>
      <c r="B43" s="297" t="n">
        <v>2025</v>
      </c>
      <c r="C43" s="297" t="n">
        <v>3</v>
      </c>
      <c r="D43" s="297" t="str">
        <v>Ingeniería en Logística</v>
      </c>
      <c r="E43" s="297" t="str">
        <v>I162S2C77J2V1</v>
      </c>
      <c r="F43" s="306" t="n">
        <v>6</v>
      </c>
      <c r="G43" s="306" t="n">
        <v>2</v>
      </c>
      <c r="H43" s="306" t="n">
        <v>6</v>
      </c>
      <c r="I43" s="308" t="n">
        <f>IF(ISNUMBER(G43),IF(H43&gt;0,G43/H43,"No aplica"),"Pendiente")</f>
        <v>0.3333333333333333</v>
      </c>
      <c r="J43" s="297" t="str">
        <v>Proxy actividad y estado académico VIGENTE en PROMEDIOS; no foto de cierre</v>
      </c>
      <c r="K43" s="297" t="n">
        <v>5</v>
      </c>
      <c r="L43" s="297" t="str">
        <v>No</v>
      </c>
      <c r="M43" s="297" t="n">
        <v>1</v>
      </c>
    </row>
    <row r="44" ht="42" customHeight="1">
      <c r="A44" s="297" t="n">
        <v>2024</v>
      </c>
      <c r="B44" s="297" t="n">
        <v>2025</v>
      </c>
      <c r="C44" s="297" t="n">
        <v>2</v>
      </c>
      <c r="D44" s="297" t="str">
        <v>Ingeniería en Logística</v>
      </c>
      <c r="E44" s="297" t="str">
        <v>I162S2C77J4V1</v>
      </c>
      <c r="F44" s="306" t="n">
        <v>9</v>
      </c>
      <c r="G44" s="306" t="n">
        <v>4</v>
      </c>
      <c r="H44" s="306" t="n">
        <v>9</v>
      </c>
      <c r="I44" s="308" t="n">
        <f>IF(ISNUMBER(G44),IF(H44&gt;0,G44/H44,"No aplica"),"Pendiente")</f>
        <v>0.4444444444444444</v>
      </c>
      <c r="J44" s="297" t="str">
        <v>Proxy actividad y estado académico VIGENTE en PROMEDIOS; no foto de cierre</v>
      </c>
      <c r="K44" s="297" t="n">
        <v>5</v>
      </c>
      <c r="L44" s="297" t="str">
        <v>No</v>
      </c>
      <c r="M44" s="297" t="n">
        <v>4</v>
      </c>
    </row>
    <row r="45" ht="42" customHeight="1">
      <c r="A45" s="297" t="n">
        <v>2024</v>
      </c>
      <c r="B45" s="297" t="n">
        <v>2025</v>
      </c>
      <c r="C45" s="297" t="n">
        <v>3</v>
      </c>
      <c r="D45" s="297" t="str">
        <v>Ingeniería en Logística</v>
      </c>
      <c r="E45" s="297" t="str">
        <v>I162S2C77J4V1</v>
      </c>
      <c r="F45" s="306" t="n">
        <v>9</v>
      </c>
      <c r="G45" s="306" t="n">
        <v>4</v>
      </c>
      <c r="H45" s="306" t="n">
        <v>9</v>
      </c>
      <c r="I45" s="308" t="n">
        <f>IF(ISNUMBER(G45),IF(H45&gt;0,G45/H45,"No aplica"),"Pendiente")</f>
        <v>0.4444444444444444</v>
      </c>
      <c r="J45" s="297" t="str">
        <v>Proxy actividad y estado académico VIGENTE en PROMEDIOS; no foto de cierre</v>
      </c>
      <c r="K45" s="297" t="n">
        <v>5</v>
      </c>
      <c r="L45" s="297" t="str">
        <v>No</v>
      </c>
      <c r="M45" s="297" t="n">
        <v>4</v>
      </c>
    </row>
    <row r="46" ht="42" customHeight="1">
      <c r="A46" s="297" t="n">
        <v>2024</v>
      </c>
      <c r="B46" s="297" t="n">
        <v>2025</v>
      </c>
      <c r="C46" s="297" t="n">
        <v>2</v>
      </c>
      <c r="D46" s="297" t="str">
        <v>Técnico en Administración de Empresas</v>
      </c>
      <c r="E46" s="297" t="str">
        <v>I162S2C78J2V1</v>
      </c>
      <c r="F46" s="306" t="n">
        <v>7</v>
      </c>
      <c r="G46" s="306" t="n">
        <v>0</v>
      </c>
      <c r="H46" s="306" t="n">
        <v>7</v>
      </c>
      <c r="I46" s="308" t="n">
        <f>IF(ISNUMBER(G46),IF(H46&gt;0,G46/H46,"No aplica"),"Pendiente")</f>
        <v>0</v>
      </c>
      <c r="J46" s="297" t="str">
        <v>Proxy actividad y estado académico VIGENTE en PROMEDIOS; no foto de cierre</v>
      </c>
      <c r="K46" s="297" t="n">
        <v>5</v>
      </c>
      <c r="L46" s="297" t="str">
        <v>No</v>
      </c>
      <c r="M46" s="297" t="n">
        <v>2</v>
      </c>
    </row>
    <row r="47" ht="42" customHeight="1">
      <c r="A47" s="297" t="n">
        <v>2024</v>
      </c>
      <c r="B47" s="297" t="n">
        <v>2025</v>
      </c>
      <c r="C47" s="297" t="n">
        <v>3</v>
      </c>
      <c r="D47" s="297" t="str">
        <v>Técnico en Administración de Empresas</v>
      </c>
      <c r="E47" s="297" t="str">
        <v>I162S2C78J2V1</v>
      </c>
      <c r="F47" s="306" t="n">
        <v>7</v>
      </c>
      <c r="G47" s="306" t="n">
        <v>0</v>
      </c>
      <c r="H47" s="306" t="n">
        <v>7</v>
      </c>
      <c r="I47" s="308" t="n">
        <f>IF(ISNUMBER(G47),IF(H47&gt;0,G47/H47,"No aplica"),"Pendiente")</f>
        <v>0</v>
      </c>
      <c r="J47" s="297" t="str">
        <v>Proxy actividad y estado académico VIGENTE en PROMEDIOS; no foto de cierre</v>
      </c>
      <c r="K47" s="297" t="n">
        <v>5</v>
      </c>
      <c r="L47" s="297" t="str">
        <v>No</v>
      </c>
      <c r="M47" s="297" t="n">
        <v>2</v>
      </c>
    </row>
    <row r="48" ht="42" customHeight="1">
      <c r="A48" s="297" t="n">
        <v>2024</v>
      </c>
      <c r="B48" s="297" t="n">
        <v>2025</v>
      </c>
      <c r="C48" s="297" t="n">
        <v>2</v>
      </c>
      <c r="D48" s="297" t="str">
        <v>Técnico en Administración de Empresas</v>
      </c>
      <c r="E48" s="297" t="str">
        <v>I162S2C78J4V1</v>
      </c>
      <c r="F48" s="306" t="n">
        <v>8</v>
      </c>
      <c r="G48" s="306" t="n">
        <v>0</v>
      </c>
      <c r="H48" s="306" t="n">
        <v>8</v>
      </c>
      <c r="I48" s="308" t="n">
        <f>IF(ISNUMBER(G48),IF(H48&gt;0,G48/H48,"No aplica"),"Pendiente")</f>
        <v>0</v>
      </c>
      <c r="J48" s="297" t="str">
        <v>Proxy actividad y estado académico VIGENTE en PROMEDIOS; no foto de cierre</v>
      </c>
      <c r="K48" s="297" t="n">
        <v>4</v>
      </c>
      <c r="L48" s="297" t="str">
        <v>No</v>
      </c>
      <c r="M48" s="297" t="n">
        <v>4</v>
      </c>
    </row>
    <row r="49" ht="42" customHeight="1">
      <c r="A49" s="297" t="n">
        <v>2024</v>
      </c>
      <c r="B49" s="297" t="n">
        <v>2025</v>
      </c>
      <c r="C49" s="297" t="n">
        <v>3</v>
      </c>
      <c r="D49" s="297" t="str">
        <v>Técnico en Administración de Empresas</v>
      </c>
      <c r="E49" s="297" t="str">
        <v>I162S2C78J4V1</v>
      </c>
      <c r="F49" s="306" t="n">
        <v>8</v>
      </c>
      <c r="G49" s="306" t="n">
        <v>0</v>
      </c>
      <c r="H49" s="306" t="n">
        <v>8</v>
      </c>
      <c r="I49" s="308" t="n">
        <f>IF(ISNUMBER(G49),IF(H49&gt;0,G49/H49,"No aplica"),"Pendiente")</f>
        <v>0</v>
      </c>
      <c r="J49" s="297" t="str">
        <v>Proxy actividad y estado académico VIGENTE en PROMEDIOS; no foto de cierre</v>
      </c>
      <c r="K49" s="297" t="n">
        <v>4</v>
      </c>
      <c r="L49" s="297" t="str">
        <v>No</v>
      </c>
      <c r="M49" s="297" t="n">
        <v>4</v>
      </c>
    </row>
    <row r="50" ht="42" customHeight="1">
      <c r="A50" s="297" t="n">
        <v>2024</v>
      </c>
      <c r="B50" s="297" t="n">
        <v>2025</v>
      </c>
      <c r="C50" s="297" t="n">
        <v>2</v>
      </c>
      <c r="D50" s="297" t="str">
        <v>Técnico en Logística</v>
      </c>
      <c r="E50" s="297" t="str">
        <v>I162S2C79J2V1</v>
      </c>
      <c r="F50" s="306" t="n">
        <v>8</v>
      </c>
      <c r="G50" s="306" t="n">
        <v>0</v>
      </c>
      <c r="H50" s="306" t="n">
        <v>8</v>
      </c>
      <c r="I50" s="308" t="n">
        <f>IF(ISNUMBER(G50),IF(H50&gt;0,G50/H50,"No aplica"),"Pendiente")</f>
        <v>0</v>
      </c>
      <c r="J50" s="297" t="str">
        <v>Proxy actividad y estado académico VIGENTE en PROMEDIOS; no foto de cierre</v>
      </c>
      <c r="K50" s="297" t="n">
        <v>8</v>
      </c>
      <c r="L50" s="297" t="str">
        <v>No</v>
      </c>
      <c r="M50" s="297" t="n">
        <v>0</v>
      </c>
    </row>
    <row r="51" ht="42" customHeight="1">
      <c r="A51" s="297" t="n">
        <v>2024</v>
      </c>
      <c r="B51" s="297" t="n">
        <v>2025</v>
      </c>
      <c r="C51" s="297" t="n">
        <v>3</v>
      </c>
      <c r="D51" s="297" t="str">
        <v>Técnico en Logística</v>
      </c>
      <c r="E51" s="297" t="str">
        <v>I162S2C79J2V1</v>
      </c>
      <c r="F51" s="306" t="n">
        <v>8</v>
      </c>
      <c r="G51" s="306" t="n">
        <v>0</v>
      </c>
      <c r="H51" s="306" t="n">
        <v>8</v>
      </c>
      <c r="I51" s="308" t="n">
        <f>IF(ISNUMBER(G51),IF(H51&gt;0,G51/H51,"No aplica"),"Pendiente")</f>
        <v>0</v>
      </c>
      <c r="J51" s="297" t="str">
        <v>Proxy actividad y estado académico VIGENTE en PROMEDIOS; no foto de cierre</v>
      </c>
      <c r="K51" s="297" t="n">
        <v>8</v>
      </c>
      <c r="L51" s="297" t="str">
        <v>No</v>
      </c>
      <c r="M51" s="297" t="n">
        <v>0</v>
      </c>
    </row>
    <row r="52" ht="42" customHeight="1">
      <c r="A52" s="297" t="n">
        <v>2024</v>
      </c>
      <c r="B52" s="297" t="n">
        <v>2025</v>
      </c>
      <c r="C52" s="297" t="n">
        <v>2</v>
      </c>
      <c r="D52" s="297" t="str">
        <v>Técnico en Logística</v>
      </c>
      <c r="E52" s="297" t="str">
        <v>I162S2C79J4V1</v>
      </c>
      <c r="F52" s="306" t="n">
        <v>15</v>
      </c>
      <c r="G52" s="306" t="n">
        <v>2</v>
      </c>
      <c r="H52" s="306" t="n">
        <v>15</v>
      </c>
      <c r="I52" s="308" t="n">
        <f>IF(ISNUMBER(G52),IF(H52&gt;0,G52/H52,"No aplica"),"Pendiente")</f>
        <v>0.13333333333333333</v>
      </c>
      <c r="J52" s="297" t="str">
        <v>Proxy actividad y estado académico VIGENTE en PROMEDIOS; no foto de cierre</v>
      </c>
      <c r="K52" s="297" t="n">
        <v>8</v>
      </c>
      <c r="L52" s="297" t="str">
        <v>No</v>
      </c>
      <c r="M52" s="297" t="n">
        <v>7</v>
      </c>
    </row>
    <row r="53" ht="42" customHeight="1">
      <c r="A53" s="297" t="n">
        <v>2024</v>
      </c>
      <c r="B53" s="297" t="n">
        <v>2025</v>
      </c>
      <c r="C53" s="297" t="n">
        <v>3</v>
      </c>
      <c r="D53" s="297" t="str">
        <v>Técnico en Logística</v>
      </c>
      <c r="E53" s="297" t="str">
        <v>I162S2C79J4V1</v>
      </c>
      <c r="F53" s="306" t="n">
        <v>15</v>
      </c>
      <c r="G53" s="306" t="n">
        <v>2</v>
      </c>
      <c r="H53" s="306" t="n">
        <v>15</v>
      </c>
      <c r="I53" s="308" t="n">
        <f>IF(ISNUMBER(G53),IF(H53&gt;0,G53/H53,"No aplica"),"Pendiente")</f>
        <v>0.13333333333333333</v>
      </c>
      <c r="J53" s="297" t="str">
        <v>Proxy actividad y estado académico VIGENTE en PROMEDIOS; no foto de cierre</v>
      </c>
      <c r="K53" s="297" t="n">
        <v>10</v>
      </c>
      <c r="L53" s="297" t="str">
        <v>No</v>
      </c>
      <c r="M53" s="297" t="n">
        <v>5</v>
      </c>
    </row>
    <row r="54" ht="42" customHeight="1">
      <c r="A54" s="297" t="n">
        <v>2025</v>
      </c>
      <c r="B54" s="297" t="n">
        <v>2025</v>
      </c>
      <c r="C54" s="297" t="n">
        <v>2</v>
      </c>
      <c r="D54" s="297" t="str">
        <v>Ingeniería en Informática</v>
      </c>
      <c r="E54" s="297" t="str">
        <v>I162S2C1J1V1</v>
      </c>
      <c r="F54" s="306" t="n">
        <v>3</v>
      </c>
      <c r="G54" s="307" t="n">
        <v>3</v>
      </c>
      <c r="H54" s="307" t="n">
        <v>3</v>
      </c>
      <c r="I54" s="309" t="n">
        <f>IF(ISNUMBER(G54),IF(H54&gt;0,G54/H54,"No aplica"),"Pendiente")</f>
        <v>1</v>
      </c>
      <c r="J54" s="297" t="str">
        <v>C · Actividad 2025-T2 y estado VIGENTE; R/P. No foto de cierre.</v>
      </c>
      <c r="K54" s="297" t="n">
        <v>0</v>
      </c>
      <c r="L54" s="297" t="str">
        <v>Sí</v>
      </c>
      <c r="M54" s="297" t="n">
        <v>3</v>
      </c>
    </row>
    <row r="55" ht="42" customHeight="1">
      <c r="A55" s="297" t="n">
        <v>2025</v>
      </c>
      <c r="B55" s="297" t="n">
        <v>2025</v>
      </c>
      <c r="C55" s="297" t="n">
        <v>3</v>
      </c>
      <c r="D55" s="297" t="str">
        <v>Ingeniería en Informática</v>
      </c>
      <c r="E55" s="297" t="str">
        <v>I162S2C1J1V1</v>
      </c>
      <c r="F55" s="306" t="n">
        <v>3</v>
      </c>
      <c r="G55" s="306" t="n">
        <v>3</v>
      </c>
      <c r="H55" s="306" t="n">
        <v>3</v>
      </c>
      <c r="I55" s="308" t="n">
        <f>IF(ISNUMBER(G55),IF(H55&gt;0,G55/H55,"No aplica"),"Pendiente")</f>
        <v>1</v>
      </c>
      <c r="J55" s="297" t="str">
        <v>Foto de matrícula, indicadores Q/R heredados de hoja20</v>
      </c>
      <c r="K55" s="297" t="n">
        <v>1</v>
      </c>
      <c r="L55" s="297" t="str">
        <v>Sí</v>
      </c>
      <c r="M55" s="297" t="n">
        <v>2</v>
      </c>
    </row>
    <row r="56" ht="42" customHeight="1">
      <c r="A56" s="297" t="n">
        <v>2025</v>
      </c>
      <c r="B56" s="297" t="n">
        <v>2025</v>
      </c>
      <c r="C56" s="297" t="n">
        <v>2</v>
      </c>
      <c r="D56" s="297" t="str">
        <v>Ingeniería en Informática</v>
      </c>
      <c r="E56" s="297" t="str">
        <v>I162S2C1J1V2</v>
      </c>
      <c r="F56" s="306" t="n">
        <v>11</v>
      </c>
      <c r="G56" s="307" t="n">
        <v>8</v>
      </c>
      <c r="H56" s="307" t="n">
        <v>11</v>
      </c>
      <c r="I56" s="309" t="n">
        <f>IF(ISNUMBER(G56),IF(H56&gt;0,G56/H56,"No aplica"),"Pendiente")</f>
        <v>0.7272727272727273</v>
      </c>
      <c r="J56" s="297" t="str">
        <v>C · Actividad 2025-T2 y estado VIGENTE; R/P. No foto de cierre.</v>
      </c>
      <c r="K56" s="297" t="n">
        <v>3</v>
      </c>
      <c r="L56" s="297" t="str">
        <v>Sí</v>
      </c>
      <c r="M56" s="297" t="n">
        <v>8</v>
      </c>
    </row>
    <row r="57" ht="42" customHeight="1">
      <c r="A57" s="297" t="n">
        <v>2025</v>
      </c>
      <c r="B57" s="297" t="n">
        <v>2025</v>
      </c>
      <c r="C57" s="297" t="n">
        <v>3</v>
      </c>
      <c r="D57" s="297" t="str">
        <v>Ingeniería en Informática</v>
      </c>
      <c r="E57" s="297" t="str">
        <v>I162S2C1J1V2</v>
      </c>
      <c r="F57" s="306" t="n">
        <v>11</v>
      </c>
      <c r="G57" s="306" t="n">
        <v>9</v>
      </c>
      <c r="H57" s="306" t="n">
        <v>11</v>
      </c>
      <c r="I57" s="308" t="n">
        <f>IF(ISNUMBER(G57),IF(H57&gt;0,G57/H57,"No aplica"),"Pendiente")</f>
        <v>0.8181818181818182</v>
      </c>
      <c r="J57" s="297" t="str">
        <v>Foto de matrícula, indicadores Q/R heredados de hoja20</v>
      </c>
      <c r="K57" s="297" t="n">
        <v>3</v>
      </c>
      <c r="L57" s="297" t="str">
        <v>Sí</v>
      </c>
      <c r="M57" s="297" t="n">
        <v>8</v>
      </c>
    </row>
    <row r="58" ht="42" customHeight="1">
      <c r="A58" s="297" t="n">
        <v>2025</v>
      </c>
      <c r="B58" s="297" t="n">
        <v>2025</v>
      </c>
      <c r="C58" s="297" t="n">
        <v>2</v>
      </c>
      <c r="D58" s="297" t="str">
        <v>Ingeniería en Informática</v>
      </c>
      <c r="E58" s="297" t="str">
        <v>I162S2C1J2V1</v>
      </c>
      <c r="F58" s="306" t="n">
        <v>4</v>
      </c>
      <c r="G58" s="307" t="n">
        <v>3</v>
      </c>
      <c r="H58" s="307" t="n">
        <v>4</v>
      </c>
      <c r="I58" s="309" t="n">
        <f>IF(ISNUMBER(G58),IF(H58&gt;0,G58/H58,"No aplica"),"Pendiente")</f>
        <v>0.75</v>
      </c>
      <c r="J58" s="297" t="str">
        <v>C · Actividad 2025-T2 y estado VIGENTE; R/P. No foto de cierre.</v>
      </c>
      <c r="K58" s="297" t="n">
        <v>1</v>
      </c>
      <c r="L58" s="297" t="str">
        <v>Sí</v>
      </c>
      <c r="M58" s="297" t="n">
        <v>3</v>
      </c>
    </row>
    <row r="59" ht="42" customHeight="1">
      <c r="A59" s="297" t="n">
        <v>2025</v>
      </c>
      <c r="B59" s="297" t="n">
        <v>2025</v>
      </c>
      <c r="C59" s="297" t="n">
        <v>3</v>
      </c>
      <c r="D59" s="297" t="str">
        <v>Ingeniería en Informática</v>
      </c>
      <c r="E59" s="297" t="str">
        <v>I162S2C1J2V1</v>
      </c>
      <c r="F59" s="306" t="n">
        <v>4</v>
      </c>
      <c r="G59" s="306" t="n">
        <v>3</v>
      </c>
      <c r="H59" s="306" t="n">
        <v>4</v>
      </c>
      <c r="I59" s="308" t="n">
        <f>IF(ISNUMBER(G59),IF(H59&gt;0,G59/H59,"No aplica"),"Pendiente")</f>
        <v>0.75</v>
      </c>
      <c r="J59" s="297" t="str">
        <v>Foto de matrícula, indicadores Q/R heredados de hoja20</v>
      </c>
      <c r="K59" s="297" t="n">
        <v>1</v>
      </c>
      <c r="L59" s="297" t="str">
        <v>Sí</v>
      </c>
      <c r="M59" s="297" t="n">
        <v>3</v>
      </c>
    </row>
    <row r="60" ht="42" customHeight="1">
      <c r="A60" s="297" t="n">
        <v>2025</v>
      </c>
      <c r="B60" s="297" t="n">
        <v>2025</v>
      </c>
      <c r="C60" s="297" t="n">
        <v>2</v>
      </c>
      <c r="D60" s="297" t="str">
        <v>Ingeniería en Informática</v>
      </c>
      <c r="E60" s="297" t="str">
        <v>I162S2C1J2V4</v>
      </c>
      <c r="F60" s="306" t="n">
        <v>9</v>
      </c>
      <c r="G60" s="307" t="n">
        <v>5</v>
      </c>
      <c r="H60" s="307" t="n">
        <v>9</v>
      </c>
      <c r="I60" s="309" t="n">
        <f>IF(ISNUMBER(G60),IF(H60&gt;0,G60/H60,"No aplica"),"Pendiente")</f>
        <v>0.5555555555555556</v>
      </c>
      <c r="J60" s="297" t="str">
        <v>C · Actividad 2025-T2 y estado VIGENTE; R/P. No foto de cierre.</v>
      </c>
      <c r="K60" s="297" t="n">
        <v>2</v>
      </c>
      <c r="L60" s="297" t="str">
        <v>Sí</v>
      </c>
      <c r="M60" s="297" t="n">
        <v>7</v>
      </c>
    </row>
    <row r="61" ht="42" customHeight="1">
      <c r="A61" s="297" t="n">
        <v>2025</v>
      </c>
      <c r="B61" s="297" t="n">
        <v>2025</v>
      </c>
      <c r="C61" s="297" t="n">
        <v>3</v>
      </c>
      <c r="D61" s="297" t="str">
        <v>Ingeniería en Informática</v>
      </c>
      <c r="E61" s="297" t="str">
        <v>I162S2C1J2V4</v>
      </c>
      <c r="F61" s="306" t="n">
        <v>9</v>
      </c>
      <c r="G61" s="306" t="n">
        <v>8</v>
      </c>
      <c r="H61" s="306" t="n">
        <v>9</v>
      </c>
      <c r="I61" s="308" t="n">
        <f>IF(ISNUMBER(G61),IF(H61&gt;0,G61/H61,"No aplica"),"Pendiente")</f>
        <v>0.8888888888888888</v>
      </c>
      <c r="J61" s="297" t="str">
        <v>Foto de matrícula, indicadores Q/R heredados de hoja20</v>
      </c>
      <c r="K61" s="297" t="n">
        <v>4</v>
      </c>
      <c r="L61" s="297" t="str">
        <v>Sí</v>
      </c>
      <c r="M61" s="297" t="n">
        <v>5</v>
      </c>
    </row>
    <row r="62" ht="42" customHeight="1">
      <c r="A62" s="297" t="n">
        <v>2025</v>
      </c>
      <c r="B62" s="297" t="n">
        <v>2025</v>
      </c>
      <c r="C62" s="297" t="n">
        <v>2</v>
      </c>
      <c r="D62" s="297" t="str">
        <v>Ingeniería en Informática</v>
      </c>
      <c r="E62" s="297" t="str">
        <v>I162S2C1J4V2</v>
      </c>
      <c r="F62" s="306" t="n">
        <v>91</v>
      </c>
      <c r="G62" s="307" t="n">
        <v>53</v>
      </c>
      <c r="H62" s="307" t="n">
        <v>91</v>
      </c>
      <c r="I62" s="309" t="n">
        <f>IF(ISNUMBER(G62),IF(H62&gt;0,G62/H62,"No aplica"),"Pendiente")</f>
        <v>0.5824175824175825</v>
      </c>
      <c r="J62" s="297" t="str">
        <v>C · Actividad 2025-T2 y estado VIGENTE; R/P. No foto de cierre.</v>
      </c>
      <c r="K62" s="297" t="n">
        <v>33</v>
      </c>
      <c r="L62" s="297" t="str">
        <v>Sí</v>
      </c>
      <c r="M62" s="297" t="n">
        <v>58</v>
      </c>
    </row>
    <row r="63" ht="42" customHeight="1">
      <c r="A63" s="297" t="n">
        <v>2025</v>
      </c>
      <c r="B63" s="297" t="n">
        <v>2025</v>
      </c>
      <c r="C63" s="297" t="n">
        <v>3</v>
      </c>
      <c r="D63" s="297" t="str">
        <v>Ingeniería en Informática</v>
      </c>
      <c r="E63" s="297" t="str">
        <v>I162S2C1J4V2</v>
      </c>
      <c r="F63" s="306" t="n">
        <v>91</v>
      </c>
      <c r="G63" s="306" t="n">
        <v>78</v>
      </c>
      <c r="H63" s="306" t="n">
        <v>91</v>
      </c>
      <c r="I63" s="308" t="n">
        <f>IF(ISNUMBER(G63),IF(H63&gt;0,G63/H63,"No aplica"),"Pendiente")</f>
        <v>0.8571428571428571</v>
      </c>
      <c r="J63" s="297" t="str">
        <v>Foto de matrícula, indicadores Q/R heredados de hoja20</v>
      </c>
      <c r="K63" s="297" t="n">
        <v>37</v>
      </c>
      <c r="L63" s="297" t="str">
        <v>Sí</v>
      </c>
      <c r="M63" s="297" t="n">
        <v>54</v>
      </c>
    </row>
    <row r="64" ht="42" customHeight="1">
      <c r="A64" s="297" t="n">
        <v>2025</v>
      </c>
      <c r="B64" s="297" t="n">
        <v>2025</v>
      </c>
      <c r="C64" s="297" t="n">
        <v>2</v>
      </c>
      <c r="D64" s="297" t="str">
        <v>Ingeniería en Conectividad y Redes</v>
      </c>
      <c r="E64" s="297" t="str">
        <v>I162S2C3J2V1</v>
      </c>
      <c r="F64" s="306" t="n">
        <v>3</v>
      </c>
      <c r="G64" s="307" t="n">
        <v>1</v>
      </c>
      <c r="H64" s="307" t="n">
        <v>3</v>
      </c>
      <c r="I64" s="309" t="n">
        <f>IF(ISNUMBER(G64),IF(H64&gt;0,G64/H64,"No aplica"),"Pendiente")</f>
        <v>0.3333333333333333</v>
      </c>
      <c r="J64" s="297" t="str">
        <v>C · Actividad 2025-T2 y estado VIGENTE; R/P. No foto de cierre.</v>
      </c>
      <c r="K64" s="297" t="n">
        <v>0</v>
      </c>
      <c r="L64" s="297" t="str">
        <v>Sí</v>
      </c>
      <c r="M64" s="297" t="n">
        <v>3</v>
      </c>
    </row>
    <row r="65" ht="42" customHeight="1">
      <c r="A65" s="297" t="n">
        <v>2025</v>
      </c>
      <c r="B65" s="297" t="n">
        <v>2025</v>
      </c>
      <c r="C65" s="297" t="n">
        <v>3</v>
      </c>
      <c r="D65" s="297" t="str">
        <v>Ingeniería en Conectividad y Redes</v>
      </c>
      <c r="E65" s="297" t="str">
        <v>I162S2C3J2V1</v>
      </c>
      <c r="F65" s="306" t="n">
        <v>3</v>
      </c>
      <c r="G65" s="306" t="n">
        <v>3</v>
      </c>
      <c r="H65" s="306" t="n">
        <v>3</v>
      </c>
      <c r="I65" s="308" t="n">
        <f>IF(ISNUMBER(G65),IF(H65&gt;0,G65/H65,"No aplica"),"Pendiente")</f>
        <v>1</v>
      </c>
      <c r="J65" s="297" t="str">
        <v>Foto de matrícula, indicadores Q/R heredados de hoja20</v>
      </c>
      <c r="K65" s="297" t="n">
        <v>0</v>
      </c>
      <c r="L65" s="297" t="str">
        <v>Sí</v>
      </c>
      <c r="M65" s="297" t="n">
        <v>3</v>
      </c>
    </row>
    <row r="66" ht="42" customHeight="1">
      <c r="A66" s="297" t="n">
        <v>2025</v>
      </c>
      <c r="B66" s="297" t="n">
        <v>2025</v>
      </c>
      <c r="C66" s="297" t="n">
        <v>2</v>
      </c>
      <c r="D66" s="297" t="str">
        <v>Ingeniería en Conectividad y Redes</v>
      </c>
      <c r="E66" s="297" t="str">
        <v>I162S2C3J2V4</v>
      </c>
      <c r="F66" s="306" t="n">
        <v>6</v>
      </c>
      <c r="G66" s="307" t="n">
        <v>6</v>
      </c>
      <c r="H66" s="307" t="n">
        <v>6</v>
      </c>
      <c r="I66" s="309" t="n">
        <f>IF(ISNUMBER(G66),IF(H66&gt;0,G66/H66,"No aplica"),"Pendiente")</f>
        <v>1</v>
      </c>
      <c r="J66" s="297" t="str">
        <v>C · Actividad 2025-T2 y estado VIGENTE; R/P. No foto de cierre.</v>
      </c>
      <c r="K66" s="297" t="n">
        <v>1</v>
      </c>
      <c r="L66" s="297" t="str">
        <v>Sí</v>
      </c>
      <c r="M66" s="297" t="n">
        <v>5</v>
      </c>
    </row>
    <row r="67" ht="42" customHeight="1">
      <c r="A67" s="297" t="n">
        <v>2025</v>
      </c>
      <c r="B67" s="297" t="n">
        <v>2025</v>
      </c>
      <c r="C67" s="297" t="n">
        <v>3</v>
      </c>
      <c r="D67" s="297" t="str">
        <v>Ingeniería en Conectividad y Redes</v>
      </c>
      <c r="E67" s="297" t="str">
        <v>I162S2C3J2V4</v>
      </c>
      <c r="F67" s="306" t="n">
        <v>6</v>
      </c>
      <c r="G67" s="306" t="n">
        <v>6</v>
      </c>
      <c r="H67" s="306" t="n">
        <v>6</v>
      </c>
      <c r="I67" s="308" t="n">
        <f>IF(ISNUMBER(G67),IF(H67&gt;0,G67/H67,"No aplica"),"Pendiente")</f>
        <v>1</v>
      </c>
      <c r="J67" s="297" t="str">
        <v>Foto de matrícula, indicadores Q/R heredados de hoja20</v>
      </c>
      <c r="K67" s="297" t="n">
        <v>1</v>
      </c>
      <c r="L67" s="297" t="str">
        <v>Sí</v>
      </c>
      <c r="M67" s="297" t="n">
        <v>5</v>
      </c>
    </row>
    <row r="68" ht="42" customHeight="1">
      <c r="A68" s="297" t="n">
        <v>2025</v>
      </c>
      <c r="B68" s="297" t="n">
        <v>2025</v>
      </c>
      <c r="C68" s="297" t="n">
        <v>2</v>
      </c>
      <c r="D68" s="297" t="str">
        <v>Ingeniería en Conectividad y Redes</v>
      </c>
      <c r="E68" s="297" t="str">
        <v>I162S2C3J4V2</v>
      </c>
      <c r="F68" s="306" t="n">
        <v>54</v>
      </c>
      <c r="G68" s="307" t="n">
        <v>37</v>
      </c>
      <c r="H68" s="307" t="n">
        <v>54</v>
      </c>
      <c r="I68" s="309" t="n">
        <f>IF(ISNUMBER(G68),IF(H68&gt;0,G68/H68,"No aplica"),"Pendiente")</f>
        <v>0.6851851851851852</v>
      </c>
      <c r="J68" s="297" t="str">
        <v>C · Actividad 2025-T2 y estado VIGENTE; R/P. No foto de cierre.</v>
      </c>
      <c r="K68" s="297" t="n">
        <v>14</v>
      </c>
      <c r="L68" s="297" t="str">
        <v>Sí</v>
      </c>
      <c r="M68" s="297" t="n">
        <v>40</v>
      </c>
    </row>
    <row r="69" ht="42" customHeight="1">
      <c r="A69" s="297" t="n">
        <v>2025</v>
      </c>
      <c r="B69" s="297" t="n">
        <v>2025</v>
      </c>
      <c r="C69" s="297" t="n">
        <v>3</v>
      </c>
      <c r="D69" s="297" t="str">
        <v>Ingeniería en Conectividad y Redes</v>
      </c>
      <c r="E69" s="297" t="str">
        <v>I162S2C3J4V2</v>
      </c>
      <c r="F69" s="306" t="n">
        <v>54</v>
      </c>
      <c r="G69" s="306" t="n">
        <v>48</v>
      </c>
      <c r="H69" s="306" t="n">
        <v>54</v>
      </c>
      <c r="I69" s="308" t="n">
        <f>IF(ISNUMBER(G69),IF(H69&gt;0,G69/H69,"No aplica"),"Pendiente")</f>
        <v>0.8888888888888888</v>
      </c>
      <c r="J69" s="297" t="str">
        <v>Foto de matrícula, indicadores Q/R heredados de hoja20</v>
      </c>
      <c r="K69" s="297" t="n">
        <v>21</v>
      </c>
      <c r="L69" s="297" t="str">
        <v>Sí</v>
      </c>
      <c r="M69" s="297" t="n">
        <v>33</v>
      </c>
    </row>
    <row r="70" ht="42" customHeight="1">
      <c r="A70" s="297" t="n">
        <v>2025</v>
      </c>
      <c r="B70" s="297" t="n">
        <v>2025</v>
      </c>
      <c r="C70" s="297" t="n">
        <v>2</v>
      </c>
      <c r="D70" s="297" t="str">
        <v>Ingeniería en Ciberseguridad</v>
      </c>
      <c r="E70" s="297" t="str">
        <v>I162S2C46J1V1</v>
      </c>
      <c r="F70" s="306" t="n">
        <v>18</v>
      </c>
      <c r="G70" s="307" t="n">
        <v>16</v>
      </c>
      <c r="H70" s="307" t="n">
        <v>18</v>
      </c>
      <c r="I70" s="309" t="n">
        <f>IF(ISNUMBER(G70),IF(H70&gt;0,G70/H70,"No aplica"),"Pendiente")</f>
        <v>0.8888888888888888</v>
      </c>
      <c r="J70" s="297" t="str">
        <v>C · Actividad 2025-T2 y estado VIGENTE; R/P. No foto de cierre.</v>
      </c>
      <c r="K70" s="297" t="n">
        <v>18</v>
      </c>
      <c r="L70" s="297" t="str">
        <v>No</v>
      </c>
      <c r="M70" s="297" t="n">
        <v>0</v>
      </c>
    </row>
    <row r="71" ht="42" customHeight="1">
      <c r="A71" s="297" t="n">
        <v>2025</v>
      </c>
      <c r="B71" s="297" t="n">
        <v>2025</v>
      </c>
      <c r="C71" s="297" t="n">
        <v>3</v>
      </c>
      <c r="D71" s="297" t="str">
        <v>Ingeniería en Ciberseguridad</v>
      </c>
      <c r="E71" s="297" t="str">
        <v>I162S2C46J1V1</v>
      </c>
      <c r="F71" s="306" t="n">
        <v>18</v>
      </c>
      <c r="G71" s="306" t="n">
        <v>16</v>
      </c>
      <c r="H71" s="306" t="n">
        <v>18</v>
      </c>
      <c r="I71" s="308" t="n">
        <f>IF(ISNUMBER(G71),IF(H71&gt;0,G71/H71,"No aplica"),"Pendiente")</f>
        <v>0.8888888888888888</v>
      </c>
      <c r="J71" s="297" t="str">
        <v>Foto de matrícula, indicadores Q/R heredados de hoja20</v>
      </c>
      <c r="K71" s="297" t="n">
        <v>18</v>
      </c>
      <c r="L71" s="297" t="str">
        <v>No</v>
      </c>
      <c r="M71" s="297" t="n">
        <v>0</v>
      </c>
    </row>
    <row r="72" ht="42" customHeight="1">
      <c r="A72" s="297" t="n">
        <v>2025</v>
      </c>
      <c r="B72" s="297" t="n">
        <v>2025</v>
      </c>
      <c r="C72" s="297" t="n">
        <v>2</v>
      </c>
      <c r="D72" s="297" t="str">
        <v>Ingeniería en Ciberseguridad</v>
      </c>
      <c r="E72" s="297" t="str">
        <v>I162S2C46J2V1</v>
      </c>
      <c r="F72" s="306" t="n">
        <v>11</v>
      </c>
      <c r="G72" s="307" t="n">
        <v>3</v>
      </c>
      <c r="H72" s="307" t="n">
        <v>11</v>
      </c>
      <c r="I72" s="309" t="n">
        <f>IF(ISNUMBER(G72),IF(H72&gt;0,G72/H72,"No aplica"),"Pendiente")</f>
        <v>0.2727272727272727</v>
      </c>
      <c r="J72" s="297" t="str">
        <v>C · Actividad 2025-T2 y estado VIGENTE; R/P. No foto de cierre.</v>
      </c>
      <c r="K72" s="297" t="n">
        <v>8</v>
      </c>
      <c r="L72" s="297" t="str">
        <v>Sí</v>
      </c>
      <c r="M72" s="297" t="n">
        <v>3</v>
      </c>
    </row>
    <row r="73" ht="42" customHeight="1">
      <c r="A73" s="297" t="n">
        <v>2025</v>
      </c>
      <c r="B73" s="297" t="n">
        <v>2025</v>
      </c>
      <c r="C73" s="297" t="n">
        <v>3</v>
      </c>
      <c r="D73" s="297" t="str">
        <v>Ingeniería en Ciberseguridad</v>
      </c>
      <c r="E73" s="297" t="str">
        <v>I162S2C46J2V1</v>
      </c>
      <c r="F73" s="306" t="n">
        <v>11</v>
      </c>
      <c r="G73" s="306" t="n">
        <v>10</v>
      </c>
      <c r="H73" s="306" t="n">
        <v>11</v>
      </c>
      <c r="I73" s="308" t="n">
        <f>IF(ISNUMBER(G73),IF(H73&gt;0,G73/H73,"No aplica"),"Pendiente")</f>
        <v>0.9090909090909091</v>
      </c>
      <c r="J73" s="297" t="str">
        <v>Foto de matrícula, indicadores Q/R heredados de hoja20</v>
      </c>
      <c r="K73" s="297" t="n">
        <v>8</v>
      </c>
      <c r="L73" s="297" t="str">
        <v>Sí</v>
      </c>
      <c r="M73" s="297" t="n">
        <v>3</v>
      </c>
    </row>
    <row r="74" ht="42" customHeight="1">
      <c r="A74" s="297" t="n">
        <v>2025</v>
      </c>
      <c r="B74" s="297" t="n">
        <v>2025</v>
      </c>
      <c r="C74" s="297" t="n">
        <v>2</v>
      </c>
      <c r="D74" s="297" t="str">
        <v>Ingeniería en Ciberseguridad</v>
      </c>
      <c r="E74" s="297" t="str">
        <v>I162S2C46J4V3</v>
      </c>
      <c r="F74" s="306" t="n">
        <v>73</v>
      </c>
      <c r="G74" s="307" t="n">
        <v>40</v>
      </c>
      <c r="H74" s="307" t="n">
        <v>73</v>
      </c>
      <c r="I74" s="309" t="n">
        <f>IF(ISNUMBER(G74),IF(H74&gt;0,G74/H74,"No aplica"),"Pendiente")</f>
        <v>0.547945205479452</v>
      </c>
      <c r="J74" s="297" t="str">
        <v>C · Actividad 2025-T2 y estado VIGENTE; R/P. No foto de cierre.</v>
      </c>
      <c r="K74" s="297" t="n">
        <v>25</v>
      </c>
      <c r="L74" s="297" t="str">
        <v>Sí</v>
      </c>
      <c r="M74" s="297" t="n">
        <v>48</v>
      </c>
    </row>
    <row r="75" ht="42" customHeight="1">
      <c r="A75" s="297" t="n">
        <v>2025</v>
      </c>
      <c r="B75" s="297" t="n">
        <v>2025</v>
      </c>
      <c r="C75" s="297" t="n">
        <v>3</v>
      </c>
      <c r="D75" s="297" t="str">
        <v>Ingeniería en Ciberseguridad</v>
      </c>
      <c r="E75" s="297" t="str">
        <v>I162S2C46J4V3</v>
      </c>
      <c r="F75" s="306" t="n">
        <v>73</v>
      </c>
      <c r="G75" s="306" t="n">
        <v>61</v>
      </c>
      <c r="H75" s="306" t="n">
        <v>73</v>
      </c>
      <c r="I75" s="308" t="n">
        <f>IF(ISNUMBER(G75),IF(H75&gt;0,G75/H75,"No aplica"),"Pendiente")</f>
        <v>0.8356164383561644</v>
      </c>
      <c r="J75" s="297" t="str">
        <v>Foto de matrícula, indicadores Q/R heredados de hoja20</v>
      </c>
      <c r="K75" s="297" t="n">
        <v>34</v>
      </c>
      <c r="L75" s="297" t="str">
        <v>Sí</v>
      </c>
      <c r="M75" s="297" t="n">
        <v>39</v>
      </c>
    </row>
    <row r="76" ht="42" customHeight="1">
      <c r="A76" s="297" t="n">
        <v>2025</v>
      </c>
      <c r="B76" s="297" t="n">
        <v>2025</v>
      </c>
      <c r="C76" s="297" t="n">
        <v>2</v>
      </c>
      <c r="D76" s="297" t="str">
        <v>Técnico en Ciberseguridad</v>
      </c>
      <c r="E76" s="297" t="str">
        <v>I162S2C47J1V1</v>
      </c>
      <c r="F76" s="306" t="n">
        <v>8</v>
      </c>
      <c r="G76" s="307" t="n">
        <v>6</v>
      </c>
      <c r="H76" s="307" t="n">
        <v>8</v>
      </c>
      <c r="I76" s="309" t="n">
        <f>IF(ISNUMBER(G76),IF(H76&gt;0,G76/H76,"No aplica"),"Pendiente")</f>
        <v>0.75</v>
      </c>
      <c r="J76" s="297" t="str">
        <v>C · Actividad 2025-T2 y estado VIGENTE; R/P. No foto de cierre.</v>
      </c>
      <c r="K76" s="297" t="n">
        <v>8</v>
      </c>
      <c r="L76" s="297" t="str">
        <v>No</v>
      </c>
      <c r="M76" s="297" t="n">
        <v>0</v>
      </c>
    </row>
    <row r="77" ht="42" customHeight="1">
      <c r="A77" s="297" t="n">
        <v>2025</v>
      </c>
      <c r="B77" s="297" t="n">
        <v>2025</v>
      </c>
      <c r="C77" s="297" t="n">
        <v>3</v>
      </c>
      <c r="D77" s="297" t="str">
        <v>Técnico en Ciberseguridad</v>
      </c>
      <c r="E77" s="297" t="str">
        <v>I162S2C47J1V1</v>
      </c>
      <c r="F77" s="306" t="n">
        <v>8</v>
      </c>
      <c r="G77" s="306" t="n">
        <v>8</v>
      </c>
      <c r="H77" s="306" t="n">
        <v>8</v>
      </c>
      <c r="I77" s="308" t="n">
        <f>IF(ISNUMBER(G77),IF(H77&gt;0,G77/H77,"No aplica"),"Pendiente")</f>
        <v>1</v>
      </c>
      <c r="J77" s="297" t="str">
        <v>Foto de matrícula, indicadores Q/R heredados de hoja20</v>
      </c>
      <c r="K77" s="297" t="n">
        <v>8</v>
      </c>
      <c r="L77" s="297" t="str">
        <v>No</v>
      </c>
      <c r="M77" s="297" t="n">
        <v>0</v>
      </c>
    </row>
    <row r="78" ht="42" customHeight="1">
      <c r="A78" s="297" t="n">
        <v>2025</v>
      </c>
      <c r="B78" s="297" t="n">
        <v>2025</v>
      </c>
      <c r="C78" s="297" t="n">
        <v>2</v>
      </c>
      <c r="D78" s="297" t="str">
        <v>Técnico en Ciberseguridad</v>
      </c>
      <c r="E78" s="297" t="str">
        <v>I162S2C47J2V1</v>
      </c>
      <c r="F78" s="306" t="n">
        <v>7</v>
      </c>
      <c r="G78" s="307" t="n">
        <v>5</v>
      </c>
      <c r="H78" s="307" t="n">
        <v>7</v>
      </c>
      <c r="I78" s="309" t="n">
        <f>IF(ISNUMBER(G78),IF(H78&gt;0,G78/H78,"No aplica"),"Pendiente")</f>
        <v>0.7142857142857143</v>
      </c>
      <c r="J78" s="297" t="str">
        <v>C · Actividad 2025-T2 y estado VIGENTE; R/P. No foto de cierre.</v>
      </c>
      <c r="K78" s="297" t="n">
        <v>7</v>
      </c>
      <c r="L78" s="297" t="str">
        <v>No</v>
      </c>
      <c r="M78" s="297" t="n">
        <v>0</v>
      </c>
    </row>
    <row r="79" ht="42" customHeight="1">
      <c r="A79" s="297" t="n">
        <v>2025</v>
      </c>
      <c r="B79" s="297" t="n">
        <v>2025</v>
      </c>
      <c r="C79" s="297" t="n">
        <v>3</v>
      </c>
      <c r="D79" s="297" t="str">
        <v>Técnico en Ciberseguridad</v>
      </c>
      <c r="E79" s="297" t="str">
        <v>I162S2C47J2V1</v>
      </c>
      <c r="F79" s="306" t="n">
        <v>7</v>
      </c>
      <c r="G79" s="306" t="n">
        <v>7</v>
      </c>
      <c r="H79" s="306" t="n">
        <v>7</v>
      </c>
      <c r="I79" s="308" t="n">
        <f>IF(ISNUMBER(G79),IF(H79&gt;0,G79/H79,"No aplica"),"Pendiente")</f>
        <v>1</v>
      </c>
      <c r="J79" s="297" t="str">
        <v>Foto de matrícula, indicadores Q/R heredados de hoja20</v>
      </c>
      <c r="K79" s="297" t="n">
        <v>7</v>
      </c>
      <c r="L79" s="297" t="str">
        <v>No</v>
      </c>
      <c r="M79" s="297" t="n">
        <v>0</v>
      </c>
    </row>
    <row r="80" ht="42" customHeight="1">
      <c r="A80" s="297" t="n">
        <v>2025</v>
      </c>
      <c r="B80" s="297" t="n">
        <v>2025</v>
      </c>
      <c r="C80" s="297" t="n">
        <v>2</v>
      </c>
      <c r="D80" s="297" t="str">
        <v>Técnico en Ciberseguridad</v>
      </c>
      <c r="E80" s="297" t="str">
        <v>I162S2C47J4V1</v>
      </c>
      <c r="F80" s="306" t="n">
        <v>65</v>
      </c>
      <c r="G80" s="307" t="n">
        <v>36</v>
      </c>
      <c r="H80" s="307" t="n">
        <v>65</v>
      </c>
      <c r="I80" s="309" t="n">
        <f>IF(ISNUMBER(G80),IF(H80&gt;0,G80/H80,"No aplica"),"Pendiente")</f>
        <v>0.5538461538461539</v>
      </c>
      <c r="J80" s="297" t="str">
        <v>C · Actividad 2025-T2 y estado VIGENTE; R/P. No foto de cierre.</v>
      </c>
      <c r="K80" s="297" t="n">
        <v>25</v>
      </c>
      <c r="L80" s="297" t="str">
        <v>No</v>
      </c>
      <c r="M80" s="297" t="n">
        <v>40</v>
      </c>
    </row>
    <row r="81" ht="42" customHeight="1">
      <c r="A81" s="297" t="n">
        <v>2025</v>
      </c>
      <c r="B81" s="297" t="n">
        <v>2025</v>
      </c>
      <c r="C81" s="297" t="n">
        <v>3</v>
      </c>
      <c r="D81" s="297" t="str">
        <v>Técnico en Ciberseguridad</v>
      </c>
      <c r="E81" s="297" t="str">
        <v>I162S2C47J4V1</v>
      </c>
      <c r="F81" s="306" t="n">
        <v>65</v>
      </c>
      <c r="G81" s="306" t="n">
        <v>58</v>
      </c>
      <c r="H81" s="306" t="n">
        <v>65</v>
      </c>
      <c r="I81" s="308" t="n">
        <f>IF(ISNUMBER(G81),IF(H81&gt;0,G81/H81,"No aplica"),"Pendiente")</f>
        <v>0.8923076923076924</v>
      </c>
      <c r="J81" s="297" t="str">
        <v>Foto de matrícula, indicadores Q/R heredados de hoja20</v>
      </c>
      <c r="K81" s="297" t="n">
        <v>28</v>
      </c>
      <c r="L81" s="297" t="str">
        <v>No</v>
      </c>
      <c r="M81" s="297" t="n">
        <v>37</v>
      </c>
    </row>
    <row r="82" ht="42" customHeight="1">
      <c r="A82" s="297" t="n">
        <v>2025</v>
      </c>
      <c r="B82" s="297" t="n">
        <v>2025</v>
      </c>
      <c r="C82" s="297" t="n">
        <v>2</v>
      </c>
      <c r="D82" s="297" t="str">
        <v>Técnico en Programación y Análisis de Sistemas</v>
      </c>
      <c r="E82" s="297" t="str">
        <v>I162S2C57J1V1</v>
      </c>
      <c r="F82" s="306" t="n">
        <v>15</v>
      </c>
      <c r="G82" s="307" t="n">
        <v>9</v>
      </c>
      <c r="H82" s="307" t="n">
        <v>15</v>
      </c>
      <c r="I82" s="309" t="n">
        <f>IF(ISNUMBER(G82),IF(H82&gt;0,G82/H82,"No aplica"),"Pendiente")</f>
        <v>0.6</v>
      </c>
      <c r="J82" s="297" t="str">
        <v>C · Actividad 2025-T2 y estado VIGENTE; R/P. No foto de cierre.</v>
      </c>
      <c r="K82" s="297" t="n">
        <v>14</v>
      </c>
      <c r="L82" s="297" t="str">
        <v>No</v>
      </c>
      <c r="M82" s="297" t="n">
        <v>1</v>
      </c>
    </row>
    <row r="83" ht="42" customHeight="1">
      <c r="A83" s="297" t="n">
        <v>2025</v>
      </c>
      <c r="B83" s="297" t="n">
        <v>2025</v>
      </c>
      <c r="C83" s="297" t="n">
        <v>3</v>
      </c>
      <c r="D83" s="297" t="str">
        <v>Técnico en Programación y Análisis de Sistemas</v>
      </c>
      <c r="E83" s="297" t="str">
        <v>I162S2C57J1V1</v>
      </c>
      <c r="F83" s="306" t="n">
        <v>15</v>
      </c>
      <c r="G83" s="306" t="n">
        <v>13</v>
      </c>
      <c r="H83" s="306" t="n">
        <v>15</v>
      </c>
      <c r="I83" s="308" t="n">
        <f>IF(ISNUMBER(G83),IF(H83&gt;0,G83/H83,"No aplica"),"Pendiente")</f>
        <v>0.8666666666666667</v>
      </c>
      <c r="J83" s="297" t="str">
        <v>Foto de matrícula, indicadores Q/R heredados de hoja20</v>
      </c>
      <c r="K83" s="297" t="n">
        <v>14</v>
      </c>
      <c r="L83" s="297" t="str">
        <v>No</v>
      </c>
      <c r="M83" s="297" t="n">
        <v>1</v>
      </c>
    </row>
    <row r="84" ht="42" customHeight="1">
      <c r="A84" s="297" t="n">
        <v>2025</v>
      </c>
      <c r="B84" s="297" t="n">
        <v>2025</v>
      </c>
      <c r="C84" s="297" t="n">
        <v>2</v>
      </c>
      <c r="D84" s="297" t="str">
        <v>Técnico en Programación y Análisis de Sistemas</v>
      </c>
      <c r="E84" s="297" t="str">
        <v>I162S2C57J2V1</v>
      </c>
      <c r="F84" s="306" t="n">
        <v>9</v>
      </c>
      <c r="G84" s="307" t="n">
        <v>3</v>
      </c>
      <c r="H84" s="307" t="n">
        <v>9</v>
      </c>
      <c r="I84" s="309" t="n">
        <f>IF(ISNUMBER(G84),IF(H84&gt;0,G84/H84,"No aplica"),"Pendiente")</f>
        <v>0.3333333333333333</v>
      </c>
      <c r="J84" s="297" t="str">
        <v>C · Actividad 2025-T2 y estado VIGENTE; R/P. No foto de cierre.</v>
      </c>
      <c r="K84" s="297" t="n">
        <v>9</v>
      </c>
      <c r="L84" s="297" t="str">
        <v>No</v>
      </c>
      <c r="M84" s="297" t="n">
        <v>0</v>
      </c>
    </row>
    <row r="85" ht="42" customHeight="1">
      <c r="A85" s="297" t="n">
        <v>2025</v>
      </c>
      <c r="B85" s="297" t="n">
        <v>2025</v>
      </c>
      <c r="C85" s="297" t="n">
        <v>3</v>
      </c>
      <c r="D85" s="297" t="str">
        <v>Técnico en Programación y Análisis de Sistemas</v>
      </c>
      <c r="E85" s="297" t="str">
        <v>I162S2C57J2V1</v>
      </c>
      <c r="F85" s="306" t="n">
        <v>9</v>
      </c>
      <c r="G85" s="306" t="n">
        <v>8</v>
      </c>
      <c r="H85" s="306" t="n">
        <v>9</v>
      </c>
      <c r="I85" s="308" t="n">
        <f>IF(ISNUMBER(G85),IF(H85&gt;0,G85/H85,"No aplica"),"Pendiente")</f>
        <v>0.8888888888888888</v>
      </c>
      <c r="J85" s="297" t="str">
        <v>Foto de matrícula, indicadores Q/R heredados de hoja20</v>
      </c>
      <c r="K85" s="297" t="n">
        <v>9</v>
      </c>
      <c r="L85" s="297" t="str">
        <v>No</v>
      </c>
      <c r="M85" s="297" t="n">
        <v>0</v>
      </c>
    </row>
    <row r="86" ht="42" customHeight="1">
      <c r="A86" s="297" t="n">
        <v>2025</v>
      </c>
      <c r="B86" s="297" t="n">
        <v>2025</v>
      </c>
      <c r="C86" s="297" t="n">
        <v>2</v>
      </c>
      <c r="D86" s="297" t="str">
        <v>Técnico en Programación y Análisis de Sistemas</v>
      </c>
      <c r="E86" s="297" t="str">
        <v>I162S2C57J4V1</v>
      </c>
      <c r="F86" s="306" t="n">
        <v>106</v>
      </c>
      <c r="G86" s="307" t="n">
        <v>59</v>
      </c>
      <c r="H86" s="307" t="n">
        <v>106</v>
      </c>
      <c r="I86" s="309" t="n">
        <f>IF(ISNUMBER(G86),IF(H86&gt;0,G86/H86,"No aplica"),"Pendiente")</f>
        <v>0.5566037735849056</v>
      </c>
      <c r="J86" s="297" t="str">
        <v>C · Actividad 2025-T2 y estado VIGENTE; R/P. No foto de cierre.</v>
      </c>
      <c r="K86" s="297" t="n">
        <v>38</v>
      </c>
      <c r="L86" s="297" t="str">
        <v>No</v>
      </c>
      <c r="M86" s="297" t="n">
        <v>68</v>
      </c>
    </row>
    <row r="87" ht="42" customHeight="1">
      <c r="A87" s="297" t="n">
        <v>2025</v>
      </c>
      <c r="B87" s="297" t="n">
        <v>2025</v>
      </c>
      <c r="C87" s="297" t="n">
        <v>3</v>
      </c>
      <c r="D87" s="297" t="str">
        <v>Técnico en Programación y Análisis de Sistemas</v>
      </c>
      <c r="E87" s="297" t="str">
        <v>I162S2C57J4V1</v>
      </c>
      <c r="F87" s="306" t="n">
        <v>106</v>
      </c>
      <c r="G87" s="306" t="n">
        <v>90</v>
      </c>
      <c r="H87" s="306" t="n">
        <v>106</v>
      </c>
      <c r="I87" s="308" t="n">
        <f>IF(ISNUMBER(G87),IF(H87&gt;0,G87/H87,"No aplica"),"Pendiente")</f>
        <v>0.8490566037735849</v>
      </c>
      <c r="J87" s="297" t="str">
        <v>Foto de matrícula, indicadores Q/R heredados de hoja20</v>
      </c>
      <c r="K87" s="297" t="n">
        <v>49</v>
      </c>
      <c r="L87" s="297" t="str">
        <v>No</v>
      </c>
      <c r="M87" s="297" t="n">
        <v>57</v>
      </c>
    </row>
    <row r="88" ht="42" customHeight="1">
      <c r="A88" s="297" t="n">
        <v>2025</v>
      </c>
      <c r="B88" s="297" t="n">
        <v>2025</v>
      </c>
      <c r="C88" s="297" t="n">
        <v>2</v>
      </c>
      <c r="D88" s="297" t="str">
        <v>Técnico en Conectividad y Redes</v>
      </c>
      <c r="E88" s="297" t="str">
        <v>I162S2C6J2V1</v>
      </c>
      <c r="F88" s="306" t="n">
        <v>2</v>
      </c>
      <c r="G88" s="307" t="n">
        <v>1</v>
      </c>
      <c r="H88" s="307" t="n">
        <v>2</v>
      </c>
      <c r="I88" s="309" t="n">
        <f>IF(ISNUMBER(G88),IF(H88&gt;0,G88/H88,"No aplica"),"Pendiente")</f>
        <v>0.5</v>
      </c>
      <c r="J88" s="297" t="str">
        <v>C · Actividad 2025-T2 y estado VIGENTE; R/P. No foto de cierre.</v>
      </c>
      <c r="K88" s="297" t="n">
        <v>0</v>
      </c>
      <c r="L88" s="297" t="str">
        <v>Sí</v>
      </c>
      <c r="M88" s="297" t="n">
        <v>2</v>
      </c>
    </row>
    <row r="89" ht="42" customHeight="1">
      <c r="A89" s="297" t="n">
        <v>2025</v>
      </c>
      <c r="B89" s="297" t="n">
        <v>2025</v>
      </c>
      <c r="C89" s="297" t="n">
        <v>3</v>
      </c>
      <c r="D89" s="297" t="str">
        <v>Técnico en Conectividad y Redes</v>
      </c>
      <c r="E89" s="297" t="str">
        <v>I162S2C6J2V1</v>
      </c>
      <c r="F89" s="306" t="n">
        <v>2</v>
      </c>
      <c r="G89" s="306" t="n">
        <v>2</v>
      </c>
      <c r="H89" s="306" t="n">
        <v>2</v>
      </c>
      <c r="I89" s="308" t="n">
        <f>IF(ISNUMBER(G89),IF(H89&gt;0,G89/H89,"No aplica"),"Pendiente")</f>
        <v>1</v>
      </c>
      <c r="J89" s="297" t="str">
        <v>Foto de matrícula, indicadores Q/R heredados de hoja20</v>
      </c>
      <c r="K89" s="297" t="n">
        <v>1</v>
      </c>
      <c r="L89" s="297" t="str">
        <v>Sí</v>
      </c>
      <c r="M89" s="297" t="n">
        <v>1</v>
      </c>
    </row>
    <row r="90" ht="42" customHeight="1">
      <c r="A90" s="297" t="n">
        <v>2025</v>
      </c>
      <c r="B90" s="297" t="n">
        <v>2025</v>
      </c>
      <c r="C90" s="297" t="n">
        <v>2</v>
      </c>
      <c r="D90" s="297" t="str">
        <v>Técnico en Conectividad y Redes</v>
      </c>
      <c r="E90" s="297" t="str">
        <v>I162S2C6J2V2</v>
      </c>
      <c r="F90" s="306" t="n">
        <v>5</v>
      </c>
      <c r="G90" s="307" t="n">
        <v>2</v>
      </c>
      <c r="H90" s="307" t="n">
        <v>5</v>
      </c>
      <c r="I90" s="309" t="n">
        <f>IF(ISNUMBER(G90),IF(H90&gt;0,G90/H90,"No aplica"),"Pendiente")</f>
        <v>0.4</v>
      </c>
      <c r="J90" s="297" t="str">
        <v>C · Actividad 2025-T2 y estado VIGENTE; R/P. No foto de cierre.</v>
      </c>
      <c r="K90" s="297" t="n">
        <v>3</v>
      </c>
      <c r="L90" s="297" t="str">
        <v>Sí</v>
      </c>
      <c r="M90" s="297" t="n">
        <v>2</v>
      </c>
    </row>
    <row r="91" ht="42" customHeight="1">
      <c r="A91" s="297" t="n">
        <v>2025</v>
      </c>
      <c r="B91" s="297" t="n">
        <v>2025</v>
      </c>
      <c r="C91" s="297" t="n">
        <v>3</v>
      </c>
      <c r="D91" s="297" t="str">
        <v>Técnico en Conectividad y Redes</v>
      </c>
      <c r="E91" s="297" t="str">
        <v>I162S2C6J2V2</v>
      </c>
      <c r="F91" s="306" t="n">
        <v>5</v>
      </c>
      <c r="G91" s="306" t="n">
        <v>5</v>
      </c>
      <c r="H91" s="306" t="n">
        <v>5</v>
      </c>
      <c r="I91" s="308" t="n">
        <f>IF(ISNUMBER(G91),IF(H91&gt;0,G91/H91,"No aplica"),"Pendiente")</f>
        <v>1</v>
      </c>
      <c r="J91" s="297" t="str">
        <v>Foto de matrícula, indicadores Q/R heredados de hoja20</v>
      </c>
      <c r="K91" s="297" t="n">
        <v>3</v>
      </c>
      <c r="L91" s="297" t="str">
        <v>Sí</v>
      </c>
      <c r="M91" s="297" t="n">
        <v>2</v>
      </c>
    </row>
    <row r="92" ht="42" customHeight="1">
      <c r="A92" s="297" t="n">
        <v>2025</v>
      </c>
      <c r="B92" s="297" t="n">
        <v>2025</v>
      </c>
      <c r="C92" s="297" t="n">
        <v>2</v>
      </c>
      <c r="D92" s="297" t="str">
        <v>Técnico en Conectividad y Redes</v>
      </c>
      <c r="E92" s="297" t="str">
        <v>I162S2C6J4V2</v>
      </c>
      <c r="F92" s="306" t="n">
        <v>35</v>
      </c>
      <c r="G92" s="307" t="n">
        <v>20</v>
      </c>
      <c r="H92" s="307" t="n">
        <v>35</v>
      </c>
      <c r="I92" s="309" t="n">
        <f>IF(ISNUMBER(G92),IF(H92&gt;0,G92/H92,"No aplica"),"Pendiente")</f>
        <v>0.5714285714285714</v>
      </c>
      <c r="J92" s="297" t="str">
        <v>C · Actividad 2025-T2 y estado VIGENTE; R/P. No foto de cierre.</v>
      </c>
      <c r="K92" s="297" t="n">
        <v>12</v>
      </c>
      <c r="L92" s="297" t="str">
        <v>Sí</v>
      </c>
      <c r="M92" s="297" t="n">
        <v>23</v>
      </c>
    </row>
    <row r="93" ht="42" customHeight="1">
      <c r="A93" s="297" t="n">
        <v>2025</v>
      </c>
      <c r="B93" s="297" t="n">
        <v>2025</v>
      </c>
      <c r="C93" s="297" t="n">
        <v>3</v>
      </c>
      <c r="D93" s="297" t="str">
        <v>Técnico en Conectividad y Redes</v>
      </c>
      <c r="E93" s="297" t="str">
        <v>I162S2C6J4V2</v>
      </c>
      <c r="F93" s="306" t="n">
        <v>35</v>
      </c>
      <c r="G93" s="306" t="n">
        <v>29</v>
      </c>
      <c r="H93" s="306" t="n">
        <v>35</v>
      </c>
      <c r="I93" s="308" t="n">
        <f>IF(ISNUMBER(G93),IF(H93&gt;0,G93/H93,"No aplica"),"Pendiente")</f>
        <v>0.8285714285714286</v>
      </c>
      <c r="J93" s="297" t="str">
        <v>Foto de matrícula, indicadores Q/R heredados de hoja20</v>
      </c>
      <c r="K93" s="297" t="n">
        <v>19</v>
      </c>
      <c r="L93" s="297" t="str">
        <v>Sí</v>
      </c>
      <c r="M93" s="297" t="n">
        <v>16</v>
      </c>
    </row>
    <row r="94" ht="42" customHeight="1">
      <c r="A94" s="297" t="n">
        <v>2025</v>
      </c>
      <c r="B94" s="297" t="n">
        <v>2025</v>
      </c>
      <c r="C94" s="297" t="n">
        <v>2</v>
      </c>
      <c r="D94" s="297" t="str">
        <v>Ingeniería en Administración de Empresas</v>
      </c>
      <c r="E94" s="297" t="str">
        <v>I162S2C76J2V1</v>
      </c>
      <c r="F94" s="306" t="n">
        <v>19</v>
      </c>
      <c r="G94" s="307" t="n">
        <v>8</v>
      </c>
      <c r="H94" s="307" t="n">
        <v>19</v>
      </c>
      <c r="I94" s="309" t="n">
        <f>IF(ISNUMBER(G94),IF(H94&gt;0,G94/H94,"No aplica"),"Pendiente")</f>
        <v>0.42105263157894735</v>
      </c>
      <c r="J94" s="297" t="str">
        <v>C · Actividad 2025-T2 y estado VIGENTE; R/P. No foto de cierre.</v>
      </c>
      <c r="K94" s="297" t="n">
        <v>16</v>
      </c>
      <c r="L94" s="297" t="str">
        <v>No</v>
      </c>
      <c r="M94" s="297" t="n">
        <v>3</v>
      </c>
    </row>
    <row r="95" ht="42" customHeight="1">
      <c r="A95" s="297" t="n">
        <v>2025</v>
      </c>
      <c r="B95" s="297" t="n">
        <v>2025</v>
      </c>
      <c r="C95" s="297" t="n">
        <v>3</v>
      </c>
      <c r="D95" s="297" t="str">
        <v>Ingeniería en Administración de Empresas</v>
      </c>
      <c r="E95" s="297" t="str">
        <v>I162S2C76J2V1</v>
      </c>
      <c r="F95" s="306" t="n">
        <v>19</v>
      </c>
      <c r="G95" s="306" t="n">
        <v>16</v>
      </c>
      <c r="H95" s="306" t="n">
        <v>19</v>
      </c>
      <c r="I95" s="308" t="n">
        <f>IF(ISNUMBER(G95),IF(H95&gt;0,G95/H95,"No aplica"),"Pendiente")</f>
        <v>0.8421052631578947</v>
      </c>
      <c r="J95" s="297" t="str">
        <v>Foto de matrícula, indicadores Q/R heredados de hoja20</v>
      </c>
      <c r="K95" s="297" t="n">
        <v>16</v>
      </c>
      <c r="L95" s="297" t="str">
        <v>No</v>
      </c>
      <c r="M95" s="297" t="n">
        <v>3</v>
      </c>
    </row>
    <row r="96" ht="42" customHeight="1">
      <c r="A96" s="297" t="n">
        <v>2025</v>
      </c>
      <c r="B96" s="297" t="n">
        <v>2025</v>
      </c>
      <c r="C96" s="297" t="n">
        <v>2</v>
      </c>
      <c r="D96" s="297" t="str">
        <v>Ingeniería en Administración de Empresas</v>
      </c>
      <c r="E96" s="297" t="str">
        <v>I162S2C76J4V1</v>
      </c>
      <c r="F96" s="306" t="n">
        <v>72</v>
      </c>
      <c r="G96" s="307" t="n">
        <v>36</v>
      </c>
      <c r="H96" s="307" t="n">
        <v>72</v>
      </c>
      <c r="I96" s="309" t="n">
        <f>IF(ISNUMBER(G96),IF(H96&gt;0,G96/H96,"No aplica"),"Pendiente")</f>
        <v>0.5</v>
      </c>
      <c r="J96" s="297" t="str">
        <v>C · Actividad 2025-T2 y estado VIGENTE; R/P. No foto de cierre.</v>
      </c>
      <c r="K96" s="297" t="n">
        <v>30</v>
      </c>
      <c r="L96" s="297" t="str">
        <v>No</v>
      </c>
      <c r="M96" s="297" t="n">
        <v>42</v>
      </c>
    </row>
    <row r="97" ht="42" customHeight="1">
      <c r="A97" s="297" t="n">
        <v>2025</v>
      </c>
      <c r="B97" s="297" t="n">
        <v>2025</v>
      </c>
      <c r="C97" s="297" t="n">
        <v>3</v>
      </c>
      <c r="D97" s="297" t="str">
        <v>Ingeniería en Administración de Empresas</v>
      </c>
      <c r="E97" s="297" t="str">
        <v>I162S2C76J4V1</v>
      </c>
      <c r="F97" s="306" t="n">
        <v>72</v>
      </c>
      <c r="G97" s="306" t="n">
        <v>67</v>
      </c>
      <c r="H97" s="306" t="n">
        <v>72</v>
      </c>
      <c r="I97" s="308" t="n">
        <f>IF(ISNUMBER(G97),IF(H97&gt;0,G97/H97,"No aplica"),"Pendiente")</f>
        <v>0.9305555555555556</v>
      </c>
      <c r="J97" s="297" t="str">
        <v>Foto de matrícula, indicadores Q/R heredados de hoja20</v>
      </c>
      <c r="K97" s="297" t="n">
        <v>40</v>
      </c>
      <c r="L97" s="297" t="str">
        <v>No</v>
      </c>
      <c r="M97" s="297" t="n">
        <v>32</v>
      </c>
    </row>
    <row r="98" ht="42" customHeight="1">
      <c r="A98" s="297" t="n">
        <v>2025</v>
      </c>
      <c r="B98" s="297" t="n">
        <v>2025</v>
      </c>
      <c r="C98" s="297" t="n">
        <v>2</v>
      </c>
      <c r="D98" s="297" t="str">
        <v>Ingeniería en Logística</v>
      </c>
      <c r="E98" s="297" t="str">
        <v>I162S2C77J2V1</v>
      </c>
      <c r="F98" s="306" t="n">
        <v>9</v>
      </c>
      <c r="G98" s="307" t="n">
        <v>3</v>
      </c>
      <c r="H98" s="307" t="n">
        <v>9</v>
      </c>
      <c r="I98" s="309" t="n">
        <f>IF(ISNUMBER(G98),IF(H98&gt;0,G98/H98,"No aplica"),"Pendiente")</f>
        <v>0.3333333333333333</v>
      </c>
      <c r="J98" s="297" t="str">
        <v>C · Actividad 2025-T2 y estado VIGENTE; R/P. No foto de cierre.</v>
      </c>
      <c r="K98" s="297" t="n">
        <v>9</v>
      </c>
      <c r="L98" s="297" t="str">
        <v>No</v>
      </c>
      <c r="M98" s="297" t="n">
        <v>0</v>
      </c>
    </row>
    <row r="99" ht="42" customHeight="1">
      <c r="A99" s="297" t="n">
        <v>2025</v>
      </c>
      <c r="B99" s="297" t="n">
        <v>2025</v>
      </c>
      <c r="C99" s="297" t="n">
        <v>3</v>
      </c>
      <c r="D99" s="297" t="str">
        <v>Ingeniería en Logística</v>
      </c>
      <c r="E99" s="297" t="str">
        <v>I162S2C77J2V1</v>
      </c>
      <c r="F99" s="306" t="n">
        <v>9</v>
      </c>
      <c r="G99" s="306" t="n">
        <v>9</v>
      </c>
      <c r="H99" s="306" t="n">
        <v>9</v>
      </c>
      <c r="I99" s="308" t="n">
        <f>IF(ISNUMBER(G99),IF(H99&gt;0,G99/H99,"No aplica"),"Pendiente")</f>
        <v>1</v>
      </c>
      <c r="J99" s="297" t="str">
        <v>Foto de matrícula, indicadores Q/R heredados de hoja20</v>
      </c>
      <c r="K99" s="297" t="n">
        <v>9</v>
      </c>
      <c r="L99" s="297" t="str">
        <v>No</v>
      </c>
      <c r="M99" s="297" t="n">
        <v>0</v>
      </c>
    </row>
    <row r="100" ht="42" customHeight="1">
      <c r="A100" s="297" t="n">
        <v>2025</v>
      </c>
      <c r="B100" s="297" t="n">
        <v>2025</v>
      </c>
      <c r="C100" s="297" t="n">
        <v>2</v>
      </c>
      <c r="D100" s="297" t="str">
        <v>Ingeniería en Logística</v>
      </c>
      <c r="E100" s="297" t="str">
        <v>I162S2C77J4V1</v>
      </c>
      <c r="F100" s="306" t="n">
        <v>52</v>
      </c>
      <c r="G100" s="307" t="n">
        <v>32</v>
      </c>
      <c r="H100" s="307" t="n">
        <v>52</v>
      </c>
      <c r="I100" s="309" t="n">
        <f>IF(ISNUMBER(G100),IF(H100&gt;0,G100/H100,"No aplica"),"Pendiente")</f>
        <v>0.6153846153846154</v>
      </c>
      <c r="J100" s="297" t="str">
        <v>C · Actividad 2025-T2 y estado VIGENTE; R/P. No foto de cierre.</v>
      </c>
      <c r="K100" s="297" t="n">
        <v>19</v>
      </c>
      <c r="L100" s="297" t="str">
        <v>No</v>
      </c>
      <c r="M100" s="297" t="n">
        <v>33</v>
      </c>
    </row>
    <row r="101" ht="42" customHeight="1">
      <c r="A101" s="297" t="n">
        <v>2025</v>
      </c>
      <c r="B101" s="297" t="n">
        <v>2025</v>
      </c>
      <c r="C101" s="297" t="n">
        <v>3</v>
      </c>
      <c r="D101" s="297" t="str">
        <v>Ingeniería en Logística</v>
      </c>
      <c r="E101" s="297" t="str">
        <v>I162S2C77J4V1</v>
      </c>
      <c r="F101" s="306" t="n">
        <v>52</v>
      </c>
      <c r="G101" s="306" t="n">
        <v>51</v>
      </c>
      <c r="H101" s="306" t="n">
        <v>52</v>
      </c>
      <c r="I101" s="308" t="n">
        <f>IF(ISNUMBER(G101),IF(H101&gt;0,G101/H101,"No aplica"),"Pendiente")</f>
        <v>0.9807692307692307</v>
      </c>
      <c r="J101" s="297" t="str">
        <v>Foto de matrícula, indicadores Q/R heredados de hoja20</v>
      </c>
      <c r="K101" s="297" t="n">
        <v>23</v>
      </c>
      <c r="L101" s="297" t="str">
        <v>No</v>
      </c>
      <c r="M101" s="297" t="n">
        <v>29</v>
      </c>
    </row>
    <row r="102" ht="42" customHeight="1">
      <c r="A102" s="297" t="n">
        <v>2025</v>
      </c>
      <c r="B102" s="297" t="n">
        <v>2025</v>
      </c>
      <c r="C102" s="297" t="n">
        <v>2</v>
      </c>
      <c r="D102" s="297" t="str">
        <v>Técnico en Administración de Empresas</v>
      </c>
      <c r="E102" s="297" t="str">
        <v>I162S2C78J2V1</v>
      </c>
      <c r="F102" s="306" t="n">
        <v>9</v>
      </c>
      <c r="G102" s="307" t="n">
        <v>6</v>
      </c>
      <c r="H102" s="307" t="n">
        <v>9</v>
      </c>
      <c r="I102" s="309" t="n">
        <f>IF(ISNUMBER(G102),IF(H102&gt;0,G102/H102,"No aplica"),"Pendiente")</f>
        <v>0.6666666666666666</v>
      </c>
      <c r="J102" s="297" t="str">
        <v>C · Actividad 2025-T2 y estado VIGENTE; R/P. No foto de cierre.</v>
      </c>
      <c r="K102" s="297" t="n">
        <v>3</v>
      </c>
      <c r="L102" s="297" t="str">
        <v>No</v>
      </c>
      <c r="M102" s="297" t="n">
        <v>6</v>
      </c>
    </row>
    <row r="103" ht="42" customHeight="1">
      <c r="A103" s="297" t="n">
        <v>2025</v>
      </c>
      <c r="B103" s="297" t="n">
        <v>2025</v>
      </c>
      <c r="C103" s="297" t="n">
        <v>3</v>
      </c>
      <c r="D103" s="297" t="str">
        <v>Técnico en Administración de Empresas</v>
      </c>
      <c r="E103" s="297" t="str">
        <v>I162S2C78J2V1</v>
      </c>
      <c r="F103" s="306" t="n">
        <v>9</v>
      </c>
      <c r="G103" s="306" t="n">
        <v>8</v>
      </c>
      <c r="H103" s="306" t="n">
        <v>9</v>
      </c>
      <c r="I103" s="308" t="n">
        <f>IF(ISNUMBER(G103),IF(H103&gt;0,G103/H103,"No aplica"),"Pendiente")</f>
        <v>0.8888888888888888</v>
      </c>
      <c r="J103" s="297" t="str">
        <v>Foto de matrícula, indicadores Q/R heredados de hoja20</v>
      </c>
      <c r="K103" s="297" t="n">
        <v>5</v>
      </c>
      <c r="L103" s="297" t="str">
        <v>No</v>
      </c>
      <c r="M103" s="297" t="n">
        <v>4</v>
      </c>
    </row>
    <row r="104" ht="42" customHeight="1">
      <c r="A104" s="297" t="n">
        <v>2025</v>
      </c>
      <c r="B104" s="297" t="n">
        <v>2025</v>
      </c>
      <c r="C104" s="297" t="n">
        <v>2</v>
      </c>
      <c r="D104" s="297" t="str">
        <v>Técnico en Administración de Empresas</v>
      </c>
      <c r="E104" s="297" t="str">
        <v>I162S2C78J4V1</v>
      </c>
      <c r="F104" s="306" t="n">
        <v>64</v>
      </c>
      <c r="G104" s="307" t="n">
        <v>26</v>
      </c>
      <c r="H104" s="307" t="n">
        <v>64</v>
      </c>
      <c r="I104" s="309" t="n">
        <f>IF(ISNUMBER(G104),IF(H104&gt;0,G104/H104,"No aplica"),"Pendiente")</f>
        <v>0.40625</v>
      </c>
      <c r="J104" s="297" t="str">
        <v>C · Actividad 2025-T2 y estado VIGENTE; R/P. No foto de cierre.</v>
      </c>
      <c r="K104" s="297" t="n">
        <v>37</v>
      </c>
      <c r="L104" s="297" t="str">
        <v>No</v>
      </c>
      <c r="M104" s="297" t="n">
        <v>27</v>
      </c>
    </row>
    <row r="105" ht="42" customHeight="1">
      <c r="A105" s="297" t="n">
        <v>2025</v>
      </c>
      <c r="B105" s="297" t="n">
        <v>2025</v>
      </c>
      <c r="C105" s="297" t="n">
        <v>3</v>
      </c>
      <c r="D105" s="297" t="str">
        <v>Técnico en Administración de Empresas</v>
      </c>
      <c r="E105" s="297" t="str">
        <v>I162S2C78J4V1</v>
      </c>
      <c r="F105" s="306" t="n">
        <v>64</v>
      </c>
      <c r="G105" s="306" t="n">
        <v>56</v>
      </c>
      <c r="H105" s="306" t="n">
        <v>64</v>
      </c>
      <c r="I105" s="308" t="n">
        <f>IF(ISNUMBER(G105),IF(H105&gt;0,G105/H105,"No aplica"),"Pendiente")</f>
        <v>0.875</v>
      </c>
      <c r="J105" s="297" t="str">
        <v>Foto de matrícula, indicadores Q/R heredados de hoja20</v>
      </c>
      <c r="K105" s="297" t="n">
        <v>43</v>
      </c>
      <c r="L105" s="297" t="str">
        <v>No</v>
      </c>
      <c r="M105" s="297" t="n">
        <v>21</v>
      </c>
    </row>
    <row r="106" ht="42" customHeight="1">
      <c r="A106" s="297" t="n">
        <v>2025</v>
      </c>
      <c r="B106" s="297" t="n">
        <v>2025</v>
      </c>
      <c r="C106" s="297" t="n">
        <v>2</v>
      </c>
      <c r="D106" s="297" t="str">
        <v>Técnico en Logística</v>
      </c>
      <c r="E106" s="297" t="str">
        <v>I162S2C79J2V1</v>
      </c>
      <c r="F106" s="306" t="n">
        <v>17</v>
      </c>
      <c r="G106" s="307" t="n">
        <v>6</v>
      </c>
      <c r="H106" s="307" t="n">
        <v>17</v>
      </c>
      <c r="I106" s="309" t="n">
        <f>IF(ISNUMBER(G106),IF(H106&gt;0,G106/H106,"No aplica"),"Pendiente")</f>
        <v>0.35294117647058826</v>
      </c>
      <c r="J106" s="297" t="str">
        <v>C · Actividad 2025-T2 y estado VIGENTE; R/P. No foto de cierre.</v>
      </c>
      <c r="K106" s="297" t="n">
        <v>15</v>
      </c>
      <c r="L106" s="297" t="str">
        <v>No</v>
      </c>
      <c r="M106" s="297" t="n">
        <v>2</v>
      </c>
    </row>
    <row r="107" ht="42" customHeight="1">
      <c r="A107" s="297" t="n">
        <v>2025</v>
      </c>
      <c r="B107" s="297" t="n">
        <v>2025</v>
      </c>
      <c r="C107" s="297" t="n">
        <v>3</v>
      </c>
      <c r="D107" s="297" t="str">
        <v>Técnico en Logística</v>
      </c>
      <c r="E107" s="297" t="str">
        <v>I162S2C79J2V1</v>
      </c>
      <c r="F107" s="306" t="n">
        <v>17</v>
      </c>
      <c r="G107" s="306" t="n">
        <v>14</v>
      </c>
      <c r="H107" s="306" t="n">
        <v>17</v>
      </c>
      <c r="I107" s="308" t="n">
        <f>IF(ISNUMBER(G107),IF(H107&gt;0,G107/H107,"No aplica"),"Pendiente")</f>
        <v>0.8235294117647058</v>
      </c>
      <c r="J107" s="297" t="str">
        <v>Foto de matrícula, indicadores Q/R heredados de hoja20</v>
      </c>
      <c r="K107" s="297" t="n">
        <v>15</v>
      </c>
      <c r="L107" s="297" t="str">
        <v>No</v>
      </c>
      <c r="M107" s="297" t="n">
        <v>2</v>
      </c>
    </row>
    <row r="108" ht="42" customHeight="1">
      <c r="A108" s="297" t="n">
        <v>2025</v>
      </c>
      <c r="B108" s="297" t="n">
        <v>2025</v>
      </c>
      <c r="C108" s="297" t="n">
        <v>2</v>
      </c>
      <c r="D108" s="297" t="str">
        <v>Técnico en Logística</v>
      </c>
      <c r="E108" s="297" t="str">
        <v>I162S2C79J4V1</v>
      </c>
      <c r="F108" s="306" t="n">
        <v>65</v>
      </c>
      <c r="G108" s="307" t="n">
        <v>38</v>
      </c>
      <c r="H108" s="307" t="n">
        <v>65</v>
      </c>
      <c r="I108" s="309" t="n">
        <f>IF(ISNUMBER(G108),IF(H108&gt;0,G108/H108,"No aplica"),"Pendiente")</f>
        <v>0.5846153846153846</v>
      </c>
      <c r="J108" s="297" t="str">
        <v>C · Actividad 2025-T2 y estado VIGENTE; R/P. No foto de cierre.</v>
      </c>
      <c r="K108" s="297" t="n">
        <v>26</v>
      </c>
      <c r="L108" s="297" t="str">
        <v>No</v>
      </c>
      <c r="M108" s="297" t="n">
        <v>39</v>
      </c>
    </row>
    <row r="109" ht="42" customHeight="1">
      <c r="A109" s="297" t="n">
        <v>2025</v>
      </c>
      <c r="B109" s="297" t="n">
        <v>2025</v>
      </c>
      <c r="C109" s="297" t="n">
        <v>3</v>
      </c>
      <c r="D109" s="297" t="str">
        <v>Técnico en Logística</v>
      </c>
      <c r="E109" s="297" t="str">
        <v>I162S2C79J4V1</v>
      </c>
      <c r="F109" s="306" t="n">
        <v>65</v>
      </c>
      <c r="G109" s="306" t="n">
        <v>63</v>
      </c>
      <c r="H109" s="306" t="n">
        <v>65</v>
      </c>
      <c r="I109" s="308" t="n">
        <f>IF(ISNUMBER(G109),IF(H109&gt;0,G109/H109,"No aplica"),"Pendiente")</f>
        <v>0.9692307692307692</v>
      </c>
      <c r="J109" s="297" t="str">
        <v>Foto de matrícula, indicadores Q/R heredados de hoja20</v>
      </c>
      <c r="K109" s="297" t="n">
        <v>31</v>
      </c>
      <c r="L109" s="297" t="str">
        <v>No</v>
      </c>
      <c r="M109" s="297" t="n">
        <v>34</v>
      </c>
    </row>
    <row r="110" ht="42" customHeight="1">
      <c r="A110" s="297" t="n">
        <v>2025</v>
      </c>
      <c r="B110" s="297" t="n">
        <v>2025</v>
      </c>
      <c r="C110" s="297" t="n">
        <v>2</v>
      </c>
      <c r="D110" s="297" t="str">
        <v>Administración Pública</v>
      </c>
      <c r="E110" s="297" t="str">
        <v>I162S2C83J4V1</v>
      </c>
      <c r="F110" s="306" t="n">
        <v>70</v>
      </c>
      <c r="G110" s="307" t="n">
        <v>23</v>
      </c>
      <c r="H110" s="307" t="n">
        <v>70</v>
      </c>
      <c r="I110" s="309" t="n">
        <f>IF(ISNUMBER(G110),IF(H110&gt;0,G110/H110,"No aplica"),"Pendiente")</f>
        <v>0.32857142857142857</v>
      </c>
      <c r="J110" s="297" t="str">
        <v>C · Actividad 2025-T2 y estado VIGENTE; R/P. No foto de cierre.</v>
      </c>
      <c r="K110" s="297" t="n">
        <v>41</v>
      </c>
      <c r="L110" s="297" t="str">
        <v>No</v>
      </c>
      <c r="M110" s="297" t="n">
        <v>29</v>
      </c>
    </row>
    <row r="111" ht="42" customHeight="1">
      <c r="A111" s="297" t="n">
        <v>2025</v>
      </c>
      <c r="B111" s="297" t="n">
        <v>2025</v>
      </c>
      <c r="C111" s="297" t="n">
        <v>3</v>
      </c>
      <c r="D111" s="297" t="str">
        <v>Administración Pública</v>
      </c>
      <c r="E111" s="297" t="str">
        <v>I162S2C83J4V1</v>
      </c>
      <c r="F111" s="306" t="n">
        <v>70</v>
      </c>
      <c r="G111" s="306" t="n">
        <v>65</v>
      </c>
      <c r="H111" s="306" t="n">
        <v>70</v>
      </c>
      <c r="I111" s="308" t="n">
        <f>IF(ISNUMBER(G111),IF(H111&gt;0,G111/H111,"No aplica"),"Pendiente")</f>
        <v>0.9285714285714286</v>
      </c>
      <c r="J111" s="297" t="str">
        <v>Foto de matrícula, indicadores Q/R heredados de hoja20</v>
      </c>
      <c r="K111" s="297" t="n">
        <v>42</v>
      </c>
      <c r="L111" s="297" t="str">
        <v>No</v>
      </c>
      <c r="M111" s="297" t="n">
        <v>28</v>
      </c>
    </row>
    <row r="112" ht="42" customHeight="1">
      <c r="A112" s="297" t="n">
        <v>2025</v>
      </c>
      <c r="B112" s="297" t="n">
        <v>2025</v>
      </c>
      <c r="C112" s="297" t="n">
        <v>2</v>
      </c>
      <c r="D112" s="297" t="str">
        <v>Técnico en Administración Pública</v>
      </c>
      <c r="E112" s="297" t="str">
        <v>I162S2C84J4V1</v>
      </c>
      <c r="F112" s="306" t="n">
        <v>22</v>
      </c>
      <c r="G112" s="307" t="n">
        <v>9</v>
      </c>
      <c r="H112" s="307" t="n">
        <v>22</v>
      </c>
      <c r="I112" s="309" t="n">
        <f>IF(ISNUMBER(G112),IF(H112&gt;0,G112/H112,"No aplica"),"Pendiente")</f>
        <v>0.4090909090909091</v>
      </c>
      <c r="J112" s="297" t="str">
        <v>C · Actividad 2025-T2 y estado VIGENTE; R/P. No foto de cierre.</v>
      </c>
      <c r="K112" s="297" t="n">
        <v>22</v>
      </c>
      <c r="L112" s="297" t="str">
        <v>No</v>
      </c>
      <c r="M112" s="297" t="n">
        <v>0</v>
      </c>
    </row>
    <row r="113" ht="42" customHeight="1">
      <c r="A113" s="297" t="n">
        <v>2025</v>
      </c>
      <c r="B113" s="297" t="n">
        <v>2025</v>
      </c>
      <c r="C113" s="297" t="n">
        <v>3</v>
      </c>
      <c r="D113" s="297" t="str">
        <v>Técnico en Administración Pública</v>
      </c>
      <c r="E113" s="297" t="str">
        <v>I162S2C84J4V1</v>
      </c>
      <c r="F113" s="306" t="n">
        <v>22</v>
      </c>
      <c r="G113" s="306" t="n">
        <v>18</v>
      </c>
      <c r="H113" s="306" t="n">
        <v>22</v>
      </c>
      <c r="I113" s="308" t="n">
        <f>IF(ISNUMBER(G113),IF(H113&gt;0,G113/H113,"No aplica"),"Pendiente")</f>
        <v>0.8181818181818182</v>
      </c>
      <c r="J113" s="297" t="str">
        <v>Foto de matrícula, indicadores Q/R heredados de hoja20</v>
      </c>
      <c r="K113" s="297" t="n">
        <v>22</v>
      </c>
      <c r="L113" s="297" t="str">
        <v>No</v>
      </c>
      <c r="M113" s="297" t="n">
        <v>0</v>
      </c>
    </row>
    <row r="114" ht="42" customHeight="1">
      <c r="A114" s="297" t="n">
        <v>2025</v>
      </c>
      <c r="B114" s="297" t="n">
        <v>2025</v>
      </c>
      <c r="C114" s="297" t="n">
        <v>2</v>
      </c>
      <c r="D114" s="297" t="str">
        <v>Contabilidad General</v>
      </c>
      <c r="E114" s="297" t="str">
        <v>I162S2C85J4V1</v>
      </c>
      <c r="F114" s="306" t="n">
        <v>38</v>
      </c>
      <c r="G114" s="307" t="n">
        <v>20</v>
      </c>
      <c r="H114" s="307" t="n">
        <v>38</v>
      </c>
      <c r="I114" s="309" t="n">
        <f>IF(ISNUMBER(G114),IF(H114&gt;0,G114/H114,"No aplica"),"Pendiente")</f>
        <v>0.5263157894736842</v>
      </c>
      <c r="J114" s="297" t="str">
        <v>C · Actividad 2025-T2 y estado VIGENTE; R/P. No foto de cierre.</v>
      </c>
      <c r="K114" s="297" t="n">
        <v>38</v>
      </c>
      <c r="L114" s="297" t="str">
        <v>No</v>
      </c>
      <c r="M114" s="297" t="n">
        <v>0</v>
      </c>
    </row>
    <row r="115" ht="42" customHeight="1">
      <c r="A115" s="297" t="n">
        <v>2025</v>
      </c>
      <c r="B115" s="297" t="n">
        <v>2025</v>
      </c>
      <c r="C115" s="297" t="n">
        <v>3</v>
      </c>
      <c r="D115" s="297" t="str">
        <v>Contabilidad General</v>
      </c>
      <c r="E115" s="297" t="str">
        <v>I162S2C85J4V1</v>
      </c>
      <c r="F115" s="306" t="n">
        <v>38</v>
      </c>
      <c r="G115" s="306" t="n">
        <v>35</v>
      </c>
      <c r="H115" s="306" t="n">
        <v>38</v>
      </c>
      <c r="I115" s="308" t="n">
        <f>IF(ISNUMBER(G115),IF(H115&gt;0,G115/H115,"No aplica"),"Pendiente")</f>
        <v>0.9210526315789473</v>
      </c>
      <c r="J115" s="297" t="str">
        <v>Foto de matrícula, indicadores Q/R heredados de hoja20</v>
      </c>
      <c r="K115" s="297" t="n">
        <v>38</v>
      </c>
      <c r="L115" s="297" t="str">
        <v>No</v>
      </c>
      <c r="M115" s="297" t="n">
        <v>0</v>
      </c>
    </row>
    <row r="116" ht="42" customHeight="1">
      <c r="A116" s="297" t="n">
        <v>2025</v>
      </c>
      <c r="B116" s="297" t="n">
        <v>2025</v>
      </c>
      <c r="C116" s="297" t="n">
        <v>2</v>
      </c>
      <c r="D116" s="297" t="str">
        <v>Auditoría</v>
      </c>
      <c r="E116" s="297" t="str">
        <v>I162S2C86J4V1</v>
      </c>
      <c r="F116" s="306" t="n">
        <v>40</v>
      </c>
      <c r="G116" s="307" t="n">
        <v>21</v>
      </c>
      <c r="H116" s="307" t="n">
        <v>40</v>
      </c>
      <c r="I116" s="309" t="n">
        <f>IF(ISNUMBER(G116),IF(H116&gt;0,G116/H116,"No aplica"),"Pendiente")</f>
        <v>0.525</v>
      </c>
      <c r="J116" s="297" t="str">
        <v>C · Actividad 2025-T2 y estado VIGENTE; R/P. No foto de cierre.</v>
      </c>
      <c r="K116" s="297" t="n">
        <v>18</v>
      </c>
      <c r="L116" s="297" t="str">
        <v>No</v>
      </c>
      <c r="M116" s="297" t="n">
        <v>22</v>
      </c>
    </row>
    <row r="117" ht="42" customHeight="1">
      <c r="A117" s="297" t="n">
        <v>2025</v>
      </c>
      <c r="B117" s="297" t="n">
        <v>2025</v>
      </c>
      <c r="C117" s="297" t="n">
        <v>3</v>
      </c>
      <c r="D117" s="297" t="str">
        <v>Auditoría</v>
      </c>
      <c r="E117" s="297" t="str">
        <v>I162S2C86J4V1</v>
      </c>
      <c r="F117" s="306" t="n">
        <v>40</v>
      </c>
      <c r="G117" s="306" t="n">
        <v>36</v>
      </c>
      <c r="H117" s="306" t="n">
        <v>40</v>
      </c>
      <c r="I117" s="308" t="n">
        <f>IF(ISNUMBER(G117),IF(H117&gt;0,G117/H117,"No aplica"),"Pendiente")</f>
        <v>0.9</v>
      </c>
      <c r="J117" s="297" t="str">
        <v>Foto de matrícula, indicadores Q/R heredados de hoja20</v>
      </c>
      <c r="K117" s="297" t="n">
        <v>21</v>
      </c>
      <c r="L117" s="297" t="str">
        <v>No</v>
      </c>
      <c r="M117" s="297" t="n">
        <v>19</v>
      </c>
    </row>
    <row r="118" ht="42" customHeight="1">
      <c r="A118" s="297" t="n">
        <v>2025</v>
      </c>
      <c r="B118" s="297" t="n">
        <v>2025</v>
      </c>
      <c r="C118" s="297" t="n">
        <v>2</v>
      </c>
      <c r="D118" s="297" t="str">
        <v>Ingeniería en Ciencia de Datos</v>
      </c>
      <c r="E118" s="297" t="str">
        <v>I162S2C88J4V1</v>
      </c>
      <c r="F118" s="306" t="n">
        <v>40</v>
      </c>
      <c r="G118" s="307" t="n">
        <v>20</v>
      </c>
      <c r="H118" s="307" t="n">
        <v>40</v>
      </c>
      <c r="I118" s="309" t="n">
        <f>IF(ISNUMBER(G118),IF(H118&gt;0,G118/H118,"No aplica"),"Pendiente")</f>
        <v>0.5</v>
      </c>
      <c r="J118" s="297" t="str">
        <v>C · Actividad 2025-T2 y estado VIGENTE; R/P. No foto de cierre.</v>
      </c>
      <c r="K118" s="297" t="n">
        <v>15</v>
      </c>
      <c r="L118" s="297" t="str">
        <v>No</v>
      </c>
      <c r="M118" s="297" t="n">
        <v>25</v>
      </c>
    </row>
    <row r="119" ht="42" customHeight="1">
      <c r="A119" s="297" t="n">
        <v>2025</v>
      </c>
      <c r="B119" s="297" t="n">
        <v>2025</v>
      </c>
      <c r="C119" s="297" t="n">
        <v>3</v>
      </c>
      <c r="D119" s="297" t="str">
        <v>Ingeniería en Ciencia de Datos</v>
      </c>
      <c r="E119" s="297" t="str">
        <v>I162S2C88J4V1</v>
      </c>
      <c r="F119" s="306" t="n">
        <v>40</v>
      </c>
      <c r="G119" s="306" t="n">
        <v>39</v>
      </c>
      <c r="H119" s="306" t="n">
        <v>40</v>
      </c>
      <c r="I119" s="308" t="n">
        <f>IF(ISNUMBER(G119),IF(H119&gt;0,G119/H119,"No aplica"),"Pendiente")</f>
        <v>0.975</v>
      </c>
      <c r="J119" s="297" t="str">
        <v>Foto de matrícula, indicadores Q/R heredados de hoja20</v>
      </c>
      <c r="K119" s="297" t="n">
        <v>19</v>
      </c>
      <c r="L119" s="297" t="str">
        <v>No</v>
      </c>
      <c r="M119" s="297" t="n">
        <v>21</v>
      </c>
    </row>
    <row r="120" ht="42" customHeight="1">
      <c r="A120" s="297" t="n">
        <v>2025</v>
      </c>
      <c r="B120" s="297" t="n">
        <v>2025</v>
      </c>
      <c r="C120" s="297" t="n">
        <v>2</v>
      </c>
      <c r="D120" s="297" t="str">
        <v>Técnico en Ciencia de Datos</v>
      </c>
      <c r="E120" s="297" t="str">
        <v>I162S2C89J4V1</v>
      </c>
      <c r="F120" s="306" t="n">
        <v>23</v>
      </c>
      <c r="G120" s="307" t="n">
        <v>11</v>
      </c>
      <c r="H120" s="307" t="n">
        <v>23</v>
      </c>
      <c r="I120" s="309" t="n">
        <f>IF(ISNUMBER(G120),IF(H120&gt;0,G120/H120,"No aplica"),"Pendiente")</f>
        <v>0.4782608695652174</v>
      </c>
      <c r="J120" s="297" t="str">
        <v>C · Actividad 2025-T2 y estado VIGENTE; R/P. No foto de cierre.</v>
      </c>
      <c r="K120" s="297" t="n">
        <v>23</v>
      </c>
      <c r="L120" s="297" t="str">
        <v>No</v>
      </c>
      <c r="M120" s="297" t="n">
        <v>0</v>
      </c>
    </row>
    <row r="121" ht="42" customHeight="1">
      <c r="A121" s="297" t="n">
        <v>2025</v>
      </c>
      <c r="B121" s="297" t="n">
        <v>2025</v>
      </c>
      <c r="C121" s="297" t="n">
        <v>3</v>
      </c>
      <c r="D121" s="297" t="str">
        <v>Técnico en Ciencia de Datos</v>
      </c>
      <c r="E121" s="297" t="str">
        <v>I162S2C89J4V1</v>
      </c>
      <c r="F121" s="306" t="n">
        <v>23</v>
      </c>
      <c r="G121" s="306" t="n">
        <v>18</v>
      </c>
      <c r="H121" s="306" t="n">
        <v>23</v>
      </c>
      <c r="I121" s="308" t="n">
        <f>IF(ISNUMBER(G121),IF(H121&gt;0,G121/H121,"No aplica"),"Pendiente")</f>
        <v>0.782608695652174</v>
      </c>
      <c r="J121" s="297" t="str">
        <v>Foto de matrícula, indicadores Q/R heredados de hoja20</v>
      </c>
      <c r="K121" s="297" t="n">
        <v>23</v>
      </c>
      <c r="L121" s="297" t="str">
        <v>No</v>
      </c>
      <c r="M121" s="297" t="n">
        <v>0</v>
      </c>
    </row>
    <row r="122" ht="42" customHeight="1">
      <c r="A122" s="297" t="n">
        <v>2025</v>
      </c>
      <c r="B122" s="297" t="n">
        <v>2025</v>
      </c>
      <c r="C122" s="297" t="n">
        <v>2</v>
      </c>
      <c r="D122" s="297" t="str">
        <v>Técnico en Enfermería</v>
      </c>
      <c r="E122" s="297" t="str">
        <v>I162S2C91J1V1</v>
      </c>
      <c r="F122" s="306" t="n">
        <v>34</v>
      </c>
      <c r="G122" s="307" t="n">
        <v>20</v>
      </c>
      <c r="H122" s="307" t="n">
        <v>34</v>
      </c>
      <c r="I122" s="309" t="n">
        <f>IF(ISNUMBER(G122),IF(H122&gt;0,G122/H122,"No aplica"),"Pendiente")</f>
        <v>0.5882352941176471</v>
      </c>
      <c r="J122" s="297" t="str">
        <v>C · Actividad 2025-T2 y estado VIGENTE; R/P. No foto de cierre.</v>
      </c>
      <c r="K122" s="297" t="n">
        <v>34</v>
      </c>
      <c r="L122" s="297" t="str">
        <v>No</v>
      </c>
      <c r="M122" s="297" t="n">
        <v>0</v>
      </c>
    </row>
    <row r="123" ht="42" customHeight="1">
      <c r="A123" s="297" t="n">
        <v>2025</v>
      </c>
      <c r="B123" s="297" t="n">
        <v>2025</v>
      </c>
      <c r="C123" s="297" t="n">
        <v>3</v>
      </c>
      <c r="D123" s="297" t="str">
        <v>Técnico en Enfermería</v>
      </c>
      <c r="E123" s="297" t="str">
        <v>I162S2C91J1V1</v>
      </c>
      <c r="F123" s="306" t="n">
        <v>34</v>
      </c>
      <c r="G123" s="306" t="n">
        <v>29</v>
      </c>
      <c r="H123" s="306" t="n">
        <v>34</v>
      </c>
      <c r="I123" s="308" t="n">
        <f>IF(ISNUMBER(G123),IF(H123&gt;0,G123/H123,"No aplica"),"Pendiente")</f>
        <v>0.8529411764705882</v>
      </c>
      <c r="J123" s="297" t="str">
        <v>Foto de matrícula, indicadores Q/R heredados de hoja20</v>
      </c>
      <c r="K123" s="297" t="n">
        <v>34</v>
      </c>
      <c r="L123" s="297" t="str">
        <v>No</v>
      </c>
      <c r="M123" s="297" t="n">
        <v>0</v>
      </c>
    </row>
    <row r="124" ht="42" customHeight="1">
      <c r="A124" s="297" t="n">
        <v>2025</v>
      </c>
      <c r="B124" s="297" t="n">
        <v>2025</v>
      </c>
      <c r="C124" s="297" t="n">
        <v>2</v>
      </c>
      <c r="D124" s="297" t="str">
        <v>Técnico en Enfermería</v>
      </c>
      <c r="E124" s="297" t="str">
        <v>I162S2C91J2V1</v>
      </c>
      <c r="F124" s="306" t="n">
        <v>41</v>
      </c>
      <c r="G124" s="307" t="n">
        <v>16</v>
      </c>
      <c r="H124" s="307" t="n">
        <v>41</v>
      </c>
      <c r="I124" s="309" t="n">
        <f>IF(ISNUMBER(G124),IF(H124&gt;0,G124/H124,"No aplica"),"Pendiente")</f>
        <v>0.3902439024390244</v>
      </c>
      <c r="J124" s="297" t="str">
        <v>C · Actividad 2025-T2 y estado VIGENTE; R/P. No foto de cierre.</v>
      </c>
      <c r="K124" s="297" t="n">
        <v>41</v>
      </c>
      <c r="L124" s="297" t="str">
        <v>No</v>
      </c>
      <c r="M124" s="297" t="n">
        <v>0</v>
      </c>
    </row>
    <row r="125" ht="42" customHeight="1">
      <c r="A125" s="297" t="n">
        <v>2025</v>
      </c>
      <c r="B125" s="297" t="n">
        <v>2025</v>
      </c>
      <c r="C125" s="297" t="n">
        <v>3</v>
      </c>
      <c r="D125" s="297" t="str">
        <v>Técnico en Enfermería</v>
      </c>
      <c r="E125" s="297" t="str">
        <v>I162S2C91J2V1</v>
      </c>
      <c r="F125" s="306" t="n">
        <v>41</v>
      </c>
      <c r="G125" s="306" t="n">
        <v>34</v>
      </c>
      <c r="H125" s="306" t="n">
        <v>41</v>
      </c>
      <c r="I125" s="308" t="n">
        <f>IF(ISNUMBER(G125),IF(H125&gt;0,G125/H125,"No aplica"),"Pendiente")</f>
        <v>0.8292682926829268</v>
      </c>
      <c r="J125" s="297" t="str">
        <v>Foto de matrícula, indicadores Q/R heredados de hoja20</v>
      </c>
      <c r="K125" s="297" t="n">
        <v>41</v>
      </c>
      <c r="L125" s="297" t="str">
        <v>No</v>
      </c>
      <c r="M125" s="297" t="n">
        <v>0</v>
      </c>
    </row>
    <row r="126" ht="42" customHeight="1">
      <c r="A126" s="297" t="n">
        <v>2026</v>
      </c>
      <c r="B126" s="297" t="n">
        <v>2026</v>
      </c>
      <c r="C126" s="297" t="n">
        <v>2</v>
      </c>
      <c r="D126" s="297" t="str">
        <v>Técnico en Prevención de Riesgos</v>
      </c>
      <c r="E126" s="297" t="str">
        <v>I162S2C10J4V1</v>
      </c>
      <c r="F126" s="306" t="n">
        <v>16</v>
      </c>
      <c r="G126" s="306" t="n">
        <v>12</v>
      </c>
      <c r="H126" s="306" t="n">
        <v>16</v>
      </c>
      <c r="I126" s="308" t="n">
        <f>IF(ISNUMBER(G126),IF(H126&gt;0,G126/H126,"No aplica"),"Pendiente")</f>
        <v>0.75</v>
      </c>
      <c r="J126" s="297" t="str">
        <v>Proxy actividad y estado académico VIGENTE en PROMEDIOS; no foto de cierre</v>
      </c>
      <c r="K126" s="297" t="n">
        <v>16</v>
      </c>
      <c r="L126" s="297" t="str">
        <v>No</v>
      </c>
      <c r="M126" s="297" t="n">
        <v>0</v>
      </c>
    </row>
    <row r="127" ht="42" customHeight="1">
      <c r="A127" s="297" t="n">
        <v>2026</v>
      </c>
      <c r="B127" s="297" t="n">
        <v>2026</v>
      </c>
      <c r="C127" s="297" t="n">
        <v>3</v>
      </c>
      <c r="D127" s="297" t="str">
        <v>Técnico en Prevención de Riesgos</v>
      </c>
      <c r="E127" s="297" t="str">
        <v>I162S2C10J4V1</v>
      </c>
      <c r="F127" s="306" t="n">
        <v>16</v>
      </c>
      <c r="G127" s="306" t="n">
        <v>15</v>
      </c>
      <c r="H127" s="306" t="n">
        <v>16</v>
      </c>
      <c r="I127" s="308" t="n">
        <f>IF(ISNUMBER(G127),IF(H127&gt;0,G127/H127,"No aplica"),"Pendiente")</f>
        <v>0.9375</v>
      </c>
      <c r="J127" s="297" t="str">
        <v>Foto de matrícula, indicadores Q/R heredados de hoja20</v>
      </c>
      <c r="K127" s="297" t="n">
        <v>16</v>
      </c>
      <c r="L127" s="297" t="str">
        <v>No</v>
      </c>
      <c r="M127" s="297" t="n">
        <v>0</v>
      </c>
    </row>
    <row r="128" ht="42" customHeight="1">
      <c r="A128" s="297" t="n">
        <v>2026</v>
      </c>
      <c r="B128" s="297" t="n">
        <v>2026</v>
      </c>
      <c r="C128" s="297" t="n">
        <v>2</v>
      </c>
      <c r="D128" s="297" t="str">
        <v>Ingeniería en Finanzas</v>
      </c>
      <c r="E128" s="297" t="str">
        <v>I162S2C111J4V1</v>
      </c>
      <c r="F128" s="306" t="n">
        <v>24</v>
      </c>
      <c r="G128" s="306" t="n">
        <v>18</v>
      </c>
      <c r="H128" s="306" t="n">
        <v>24</v>
      </c>
      <c r="I128" s="308" t="n">
        <f>IF(ISNUMBER(G128),IF(H128&gt;0,G128/H128,"No aplica"),"Pendiente")</f>
        <v>0.75</v>
      </c>
      <c r="J128" s="297" t="str">
        <v>Proxy actividad y estado académico VIGENTE en PROMEDIOS; no foto de cierre</v>
      </c>
      <c r="K128" s="297" t="n">
        <v>5</v>
      </c>
      <c r="L128" s="297" t="str">
        <v>No</v>
      </c>
      <c r="M128" s="297" t="n">
        <v>19</v>
      </c>
    </row>
    <row r="129" ht="42" customHeight="1">
      <c r="A129" s="297" t="n">
        <v>2026</v>
      </c>
      <c r="B129" s="297" t="n">
        <v>2026</v>
      </c>
      <c r="C129" s="297" t="n">
        <v>3</v>
      </c>
      <c r="D129" s="297" t="str">
        <v>Ingeniería en Finanzas</v>
      </c>
      <c r="E129" s="297" t="str">
        <v>I162S2C111J4V1</v>
      </c>
      <c r="F129" s="306" t="n">
        <v>24</v>
      </c>
      <c r="G129" s="306" t="n">
        <v>20</v>
      </c>
      <c r="H129" s="306" t="n">
        <v>24</v>
      </c>
      <c r="I129" s="308" t="n">
        <f>IF(ISNUMBER(G129),IF(H129&gt;0,G129/H129,"No aplica"),"Pendiente")</f>
        <v>0.8333333333333334</v>
      </c>
      <c r="J129" s="297" t="str">
        <v>Foto de matrícula, indicadores Q/R heredados de hoja20</v>
      </c>
      <c r="K129" s="297" t="n">
        <v>7</v>
      </c>
      <c r="L129" s="297" t="str">
        <v>No</v>
      </c>
      <c r="M129" s="297" t="n">
        <v>17</v>
      </c>
    </row>
    <row r="130" ht="42" customHeight="1">
      <c r="A130" s="297" t="n">
        <v>2026</v>
      </c>
      <c r="B130" s="297" t="n">
        <v>2026</v>
      </c>
      <c r="C130" s="297" t="n">
        <v>2</v>
      </c>
      <c r="D130" s="297" t="str">
        <v>Ingeniería en Marketing Digital</v>
      </c>
      <c r="E130" s="297" t="str">
        <v>I162S2C112J4V1</v>
      </c>
      <c r="F130" s="306" t="n">
        <v>56</v>
      </c>
      <c r="G130" s="306" t="n">
        <v>39</v>
      </c>
      <c r="H130" s="306" t="n">
        <v>56</v>
      </c>
      <c r="I130" s="308" t="n">
        <f>IF(ISNUMBER(G130),IF(H130&gt;0,G130/H130,"No aplica"),"Pendiente")</f>
        <v>0.6964285714285714</v>
      </c>
      <c r="J130" s="297" t="str">
        <v>Proxy actividad y estado académico VIGENTE en PROMEDIOS; no foto de cierre</v>
      </c>
      <c r="K130" s="297" t="n">
        <v>17</v>
      </c>
      <c r="L130" s="297" t="str">
        <v>No</v>
      </c>
      <c r="M130" s="297" t="n">
        <v>39</v>
      </c>
    </row>
    <row r="131" ht="42" customHeight="1">
      <c r="A131" s="297" t="n">
        <v>2026</v>
      </c>
      <c r="B131" s="297" t="n">
        <v>2026</v>
      </c>
      <c r="C131" s="297" t="n">
        <v>3</v>
      </c>
      <c r="D131" s="297" t="str">
        <v>Ingeniería en Marketing Digital</v>
      </c>
      <c r="E131" s="297" t="str">
        <v>I162S2C112J4V1</v>
      </c>
      <c r="F131" s="306" t="n">
        <v>56</v>
      </c>
      <c r="G131" s="306" t="n">
        <v>51</v>
      </c>
      <c r="H131" s="306" t="n">
        <v>56</v>
      </c>
      <c r="I131" s="308" t="n">
        <f>IF(ISNUMBER(G131),IF(H131&gt;0,G131/H131,"No aplica"),"Pendiente")</f>
        <v>0.9107142857142857</v>
      </c>
      <c r="J131" s="297" t="str">
        <v>Foto de matrícula, indicadores Q/R heredados de hoja20</v>
      </c>
      <c r="K131" s="297" t="n">
        <v>20</v>
      </c>
      <c r="L131" s="297" t="str">
        <v>No</v>
      </c>
      <c r="M131" s="297" t="n">
        <v>36</v>
      </c>
    </row>
    <row r="132" ht="42" customHeight="1">
      <c r="A132" s="297" t="n">
        <v>2026</v>
      </c>
      <c r="B132" s="297" t="n">
        <v>2026</v>
      </c>
      <c r="C132" s="297" t="n">
        <v>2</v>
      </c>
      <c r="D132" s="297" t="str">
        <v>Ingeniería en Recursos Humanos</v>
      </c>
      <c r="E132" s="297" t="str">
        <v>I162S2C113J4V1</v>
      </c>
      <c r="F132" s="306" t="n">
        <v>26</v>
      </c>
      <c r="G132" s="306" t="n">
        <v>11</v>
      </c>
      <c r="H132" s="306" t="n">
        <v>26</v>
      </c>
      <c r="I132" s="308" t="n">
        <f>IF(ISNUMBER(G132),IF(H132&gt;0,G132/H132,"No aplica"),"Pendiente")</f>
        <v>0.4230769230769231</v>
      </c>
      <c r="J132" s="297" t="str">
        <v>Proxy actividad y estado académico VIGENTE en PROMEDIOS; no foto de cierre</v>
      </c>
      <c r="K132" s="297" t="n">
        <v>15</v>
      </c>
      <c r="L132" s="297" t="str">
        <v>No</v>
      </c>
      <c r="M132" s="297" t="n">
        <v>11</v>
      </c>
    </row>
    <row r="133" ht="42" customHeight="1">
      <c r="A133" s="297" t="n">
        <v>2026</v>
      </c>
      <c r="B133" s="297" t="n">
        <v>2026</v>
      </c>
      <c r="C133" s="297" t="n">
        <v>3</v>
      </c>
      <c r="D133" s="297" t="str">
        <v>Ingeniería en Recursos Humanos</v>
      </c>
      <c r="E133" s="297" t="str">
        <v>I162S2C113J4V1</v>
      </c>
      <c r="F133" s="306" t="n">
        <v>26</v>
      </c>
      <c r="G133" s="306" t="n">
        <v>21</v>
      </c>
      <c r="H133" s="306" t="n">
        <v>26</v>
      </c>
      <c r="I133" s="308" t="n">
        <f>IF(ISNUMBER(G133),IF(H133&gt;0,G133/H133,"No aplica"),"Pendiente")</f>
        <v>0.8076923076923077</v>
      </c>
      <c r="J133" s="297" t="str">
        <v>Foto de matrícula, indicadores Q/R heredados de hoja20</v>
      </c>
      <c r="K133" s="297" t="n">
        <v>14</v>
      </c>
      <c r="L133" s="297" t="str">
        <v>No</v>
      </c>
      <c r="M133" s="297" t="n">
        <v>12</v>
      </c>
    </row>
    <row r="134" ht="42" customHeight="1">
      <c r="A134" s="297" t="n">
        <v>2026</v>
      </c>
      <c r="B134" s="297" t="n">
        <v>2026</v>
      </c>
      <c r="C134" s="297" t="n">
        <v>2</v>
      </c>
      <c r="D134" s="297" t="str">
        <v>Técnico en Enfermería e Instrumentación Quirúrgica</v>
      </c>
      <c r="E134" s="297" t="str">
        <v>I162S2C114J2V1</v>
      </c>
      <c r="F134" s="306" t="n">
        <v>73</v>
      </c>
      <c r="G134" s="306" t="n">
        <v>41</v>
      </c>
      <c r="H134" s="306" t="n">
        <v>73</v>
      </c>
      <c r="I134" s="308" t="n">
        <f>IF(ISNUMBER(G134),IF(H134&gt;0,G134/H134,"No aplica"),"Pendiente")</f>
        <v>0.5616438356164384</v>
      </c>
      <c r="J134" s="297" t="str">
        <v>Proxy actividad y estado académico VIGENTE en PROMEDIOS; no foto de cierre</v>
      </c>
      <c r="K134" s="297" t="n">
        <v>73</v>
      </c>
      <c r="L134" s="297" t="str">
        <v>No</v>
      </c>
      <c r="M134" s="297" t="n">
        <v>0</v>
      </c>
    </row>
    <row r="135" ht="42" customHeight="1">
      <c r="A135" s="297" t="n">
        <v>2026</v>
      </c>
      <c r="B135" s="297" t="n">
        <v>2026</v>
      </c>
      <c r="C135" s="297" t="n">
        <v>3</v>
      </c>
      <c r="D135" s="297" t="str">
        <v>Técnico en Enfermería e Instrumentación Quirúrgica</v>
      </c>
      <c r="E135" s="297" t="str">
        <v>I162S2C114J2V1</v>
      </c>
      <c r="F135" s="306" t="n">
        <v>73</v>
      </c>
      <c r="G135" s="306" t="n">
        <v>73</v>
      </c>
      <c r="H135" s="306" t="n">
        <v>73</v>
      </c>
      <c r="I135" s="308" t="n">
        <f>IF(ISNUMBER(G135),IF(H135&gt;0,G135/H135,"No aplica"),"Pendiente")</f>
        <v>1</v>
      </c>
      <c r="J135" s="297" t="str">
        <v>Foto de matrícula, indicadores Q/R heredados de hoja20</v>
      </c>
      <c r="K135" s="297" t="n">
        <v>73</v>
      </c>
      <c r="L135" s="297" t="str">
        <v>No</v>
      </c>
      <c r="M135" s="297" t="n">
        <v>0</v>
      </c>
    </row>
    <row r="136" ht="42" customHeight="1">
      <c r="A136" s="297" t="n">
        <v>2026</v>
      </c>
      <c r="B136" s="297" t="n">
        <v>2026</v>
      </c>
      <c r="C136" s="297" t="n">
        <v>2</v>
      </c>
      <c r="D136" s="297" t="str">
        <v>Técnico en Farmacia</v>
      </c>
      <c r="E136" s="297" t="str">
        <v>I162S2C115J2V1</v>
      </c>
      <c r="F136" s="306" t="n">
        <v>22</v>
      </c>
      <c r="G136" s="306" t="n">
        <v>12</v>
      </c>
      <c r="H136" s="306" t="n">
        <v>22</v>
      </c>
      <c r="I136" s="308" t="n">
        <f>IF(ISNUMBER(G136),IF(H136&gt;0,G136/H136,"No aplica"),"Pendiente")</f>
        <v>0.5454545454545454</v>
      </c>
      <c r="J136" s="297" t="str">
        <v>Proxy actividad y estado académico VIGENTE en PROMEDIOS; no foto de cierre</v>
      </c>
      <c r="K136" s="297" t="n">
        <v>22</v>
      </c>
      <c r="L136" s="297" t="str">
        <v>No</v>
      </c>
      <c r="M136" s="297" t="n">
        <v>0</v>
      </c>
    </row>
    <row r="137" ht="42" customHeight="1">
      <c r="A137" s="297" t="n">
        <v>2026</v>
      </c>
      <c r="B137" s="297" t="n">
        <v>2026</v>
      </c>
      <c r="C137" s="297" t="n">
        <v>3</v>
      </c>
      <c r="D137" s="297" t="str">
        <v>Técnico en Farmacia</v>
      </c>
      <c r="E137" s="297" t="str">
        <v>I162S2C115J2V1</v>
      </c>
      <c r="F137" s="306" t="n">
        <v>22</v>
      </c>
      <c r="G137" s="306" t="n">
        <v>22</v>
      </c>
      <c r="H137" s="306" t="n">
        <v>22</v>
      </c>
      <c r="I137" s="308" t="n">
        <f>IF(ISNUMBER(G137),IF(H137&gt;0,G137/H137,"No aplica"),"Pendiente")</f>
        <v>1</v>
      </c>
      <c r="J137" s="297" t="str">
        <v>Foto de matrícula, indicadores Q/R heredados de hoja20</v>
      </c>
      <c r="K137" s="297" t="n">
        <v>22</v>
      </c>
      <c r="L137" s="297" t="str">
        <v>No</v>
      </c>
      <c r="M137" s="297" t="n">
        <v>0</v>
      </c>
    </row>
    <row r="138" ht="42" customHeight="1">
      <c r="A138" s="297" t="n">
        <v>2026</v>
      </c>
      <c r="B138" s="297" t="n">
        <v>2026</v>
      </c>
      <c r="C138" s="297" t="n">
        <v>2</v>
      </c>
      <c r="D138" s="297" t="str">
        <v>Técnico en Finanzas</v>
      </c>
      <c r="E138" s="297" t="str">
        <v>I162S2C116J4V1</v>
      </c>
      <c r="F138" s="306" t="n">
        <v>23</v>
      </c>
      <c r="G138" s="306" t="n">
        <v>17</v>
      </c>
      <c r="H138" s="306" t="n">
        <v>23</v>
      </c>
      <c r="I138" s="308" t="n">
        <f>IF(ISNUMBER(G138),IF(H138&gt;0,G138/H138,"No aplica"),"Pendiente")</f>
        <v>0.7391304347826086</v>
      </c>
      <c r="J138" s="297" t="str">
        <v>Proxy actividad y estado académico VIGENTE en PROMEDIOS; no foto de cierre</v>
      </c>
      <c r="K138" s="297" t="n">
        <v>23</v>
      </c>
      <c r="L138" s="297" t="str">
        <v>No</v>
      </c>
      <c r="M138" s="297" t="n">
        <v>0</v>
      </c>
    </row>
    <row r="139" ht="42" customHeight="1">
      <c r="A139" s="297" t="n">
        <v>2026</v>
      </c>
      <c r="B139" s="297" t="n">
        <v>2026</v>
      </c>
      <c r="C139" s="297" t="n">
        <v>3</v>
      </c>
      <c r="D139" s="297" t="str">
        <v>Técnico en Finanzas</v>
      </c>
      <c r="E139" s="297" t="str">
        <v>I162S2C116J4V1</v>
      </c>
      <c r="F139" s="306" t="n">
        <v>23</v>
      </c>
      <c r="G139" s="306" t="n">
        <v>20</v>
      </c>
      <c r="H139" s="306" t="n">
        <v>23</v>
      </c>
      <c r="I139" s="308" t="n">
        <f>IF(ISNUMBER(G139),IF(H139&gt;0,G139/H139,"No aplica"),"Pendiente")</f>
        <v>0.8695652173913043</v>
      </c>
      <c r="J139" s="297" t="str">
        <v>Foto de matrícula, indicadores Q/R heredados de hoja20</v>
      </c>
      <c r="K139" s="297" t="n">
        <v>23</v>
      </c>
      <c r="L139" s="297" t="str">
        <v>No</v>
      </c>
      <c r="M139" s="297" t="n">
        <v>0</v>
      </c>
    </row>
    <row r="140" ht="42" customHeight="1">
      <c r="A140" s="297" t="n">
        <v>2026</v>
      </c>
      <c r="B140" s="297" t="n">
        <v>2026</v>
      </c>
      <c r="C140" s="297" t="n">
        <v>2</v>
      </c>
      <c r="D140" s="297" t="str">
        <v>Técnico en Infraestructura Cloud</v>
      </c>
      <c r="E140" s="297" t="str">
        <v>I162S2C117J4V1</v>
      </c>
      <c r="F140" s="306" t="n">
        <v>12</v>
      </c>
      <c r="G140" s="306" t="n">
        <v>9</v>
      </c>
      <c r="H140" s="306" t="n">
        <v>12</v>
      </c>
      <c r="I140" s="308" t="n">
        <f>IF(ISNUMBER(G140),IF(H140&gt;0,G140/H140,"No aplica"),"Pendiente")</f>
        <v>0.75</v>
      </c>
      <c r="J140" s="297" t="str">
        <v>Proxy actividad y estado académico VIGENTE en PROMEDIOS; no foto de cierre</v>
      </c>
      <c r="K140" s="297" t="n">
        <v>12</v>
      </c>
      <c r="L140" s="297" t="str">
        <v>No</v>
      </c>
      <c r="M140" s="297" t="n">
        <v>0</v>
      </c>
    </row>
    <row r="141" ht="42" customHeight="1">
      <c r="A141" s="297" t="n">
        <v>2026</v>
      </c>
      <c r="B141" s="297" t="n">
        <v>2026</v>
      </c>
      <c r="C141" s="297" t="n">
        <v>3</v>
      </c>
      <c r="D141" s="297" t="str">
        <v>Técnico en Infraestructura Cloud</v>
      </c>
      <c r="E141" s="297" t="str">
        <v>I162S2C117J4V1</v>
      </c>
      <c r="F141" s="306" t="n">
        <v>12</v>
      </c>
      <c r="G141" s="306" t="n">
        <v>10</v>
      </c>
      <c r="H141" s="306" t="n">
        <v>12</v>
      </c>
      <c r="I141" s="308" t="n">
        <f>IF(ISNUMBER(G141),IF(H141&gt;0,G141/H141,"No aplica"),"Pendiente")</f>
        <v>0.8333333333333334</v>
      </c>
      <c r="J141" s="297" t="str">
        <v>Foto de matrícula, indicadores Q/R heredados de hoja20</v>
      </c>
      <c r="K141" s="297" t="n">
        <v>12</v>
      </c>
      <c r="L141" s="297" t="str">
        <v>No</v>
      </c>
      <c r="M141" s="297" t="n">
        <v>0</v>
      </c>
    </row>
    <row r="142" ht="42" customHeight="1">
      <c r="A142" s="297" t="n">
        <v>2026</v>
      </c>
      <c r="B142" s="297" t="n">
        <v>2026</v>
      </c>
      <c r="C142" s="297" t="n">
        <v>2</v>
      </c>
      <c r="D142" s="297" t="str">
        <v>Técnico en Marketing Digital</v>
      </c>
      <c r="E142" s="297" t="str">
        <v>I162S2C118J4V1</v>
      </c>
      <c r="F142" s="306" t="n">
        <v>62</v>
      </c>
      <c r="G142" s="306" t="n">
        <v>44</v>
      </c>
      <c r="H142" s="306" t="n">
        <v>62</v>
      </c>
      <c r="I142" s="308" t="n">
        <f>IF(ISNUMBER(G142),IF(H142&gt;0,G142/H142,"No aplica"),"Pendiente")</f>
        <v>0.7096774193548387</v>
      </c>
      <c r="J142" s="297" t="str">
        <v>Proxy actividad y estado académico VIGENTE en PROMEDIOS; no foto de cierre</v>
      </c>
      <c r="K142" s="297" t="n">
        <v>61</v>
      </c>
      <c r="L142" s="297" t="str">
        <v>No</v>
      </c>
      <c r="M142" s="297" t="n">
        <v>1</v>
      </c>
    </row>
    <row r="143" ht="42" customHeight="1">
      <c r="A143" s="297" t="n">
        <v>2026</v>
      </c>
      <c r="B143" s="297" t="n">
        <v>2026</v>
      </c>
      <c r="C143" s="297" t="n">
        <v>3</v>
      </c>
      <c r="D143" s="297" t="str">
        <v>Técnico en Marketing Digital</v>
      </c>
      <c r="E143" s="297" t="str">
        <v>I162S2C118J4V1</v>
      </c>
      <c r="F143" s="306" t="n">
        <v>62</v>
      </c>
      <c r="G143" s="306" t="n">
        <v>59</v>
      </c>
      <c r="H143" s="306" t="n">
        <v>62</v>
      </c>
      <c r="I143" s="308" t="n">
        <f>IF(ISNUMBER(G143),IF(H143&gt;0,G143/H143,"No aplica"),"Pendiente")</f>
        <v>0.9516129032258065</v>
      </c>
      <c r="J143" s="297" t="str">
        <v>Foto de matrícula, indicadores Q/R heredados de hoja20</v>
      </c>
      <c r="K143" s="297" t="n">
        <v>61</v>
      </c>
      <c r="L143" s="297" t="str">
        <v>No</v>
      </c>
      <c r="M143" s="297" t="n">
        <v>1</v>
      </c>
    </row>
    <row r="144" ht="42" customHeight="1">
      <c r="A144" s="297" t="n">
        <v>2026</v>
      </c>
      <c r="B144" s="297" t="n">
        <v>2026</v>
      </c>
      <c r="C144" s="297" t="n">
        <v>2</v>
      </c>
      <c r="D144" s="297" t="str">
        <v>Técnico en Recursos Humanos</v>
      </c>
      <c r="E144" s="297" t="str">
        <v>I162S2C119J4V1</v>
      </c>
      <c r="F144" s="306" t="n">
        <v>28</v>
      </c>
      <c r="G144" s="306" t="n">
        <v>11</v>
      </c>
      <c r="H144" s="306" t="n">
        <v>28</v>
      </c>
      <c r="I144" s="308" t="n">
        <f>IF(ISNUMBER(G144),IF(H144&gt;0,G144/H144,"No aplica"),"Pendiente")</f>
        <v>0.39285714285714285</v>
      </c>
      <c r="J144" s="297" t="str">
        <v>Proxy actividad y estado académico VIGENTE en PROMEDIOS; no foto de cierre</v>
      </c>
      <c r="K144" s="297" t="n">
        <v>28</v>
      </c>
      <c r="L144" s="297" t="str">
        <v>No</v>
      </c>
      <c r="M144" s="297" t="n">
        <v>0</v>
      </c>
    </row>
    <row r="145" ht="42" customHeight="1">
      <c r="A145" s="297" t="n">
        <v>2026</v>
      </c>
      <c r="B145" s="297" t="n">
        <v>2026</v>
      </c>
      <c r="C145" s="297" t="n">
        <v>3</v>
      </c>
      <c r="D145" s="297" t="str">
        <v>Técnico en Recursos Humanos</v>
      </c>
      <c r="E145" s="297" t="str">
        <v>I162S2C119J4V1</v>
      </c>
      <c r="F145" s="306" t="n">
        <v>28</v>
      </c>
      <c r="G145" s="306" t="n">
        <v>23</v>
      </c>
      <c r="H145" s="306" t="n">
        <v>28</v>
      </c>
      <c r="I145" s="308" t="n">
        <f>IF(ISNUMBER(G145),IF(H145&gt;0,G145/H145,"No aplica"),"Pendiente")</f>
        <v>0.8214285714285714</v>
      </c>
      <c r="J145" s="297" t="str">
        <v>Foto de matrícula, indicadores Q/R heredados de hoja20</v>
      </c>
      <c r="K145" s="297" t="n">
        <v>28</v>
      </c>
      <c r="L145" s="297" t="str">
        <v>No</v>
      </c>
      <c r="M145" s="297" t="n">
        <v>0</v>
      </c>
    </row>
    <row r="146" ht="42" customHeight="1">
      <c r="A146" s="297" t="n">
        <v>2026</v>
      </c>
      <c r="B146" s="297" t="n">
        <v>2026</v>
      </c>
      <c r="C146" s="297" t="n">
        <v>2</v>
      </c>
      <c r="D146" s="297" t="str">
        <v>Ingeniería en Prevención de Riesgos</v>
      </c>
      <c r="E146" s="297" t="str">
        <v>I162S2C124J4V1</v>
      </c>
      <c r="F146" s="306" t="n">
        <v>24</v>
      </c>
      <c r="G146" s="306" t="n">
        <v>17</v>
      </c>
      <c r="H146" s="306" t="n">
        <v>24</v>
      </c>
      <c r="I146" s="308" t="n">
        <f>IF(ISNUMBER(G146),IF(H146&gt;0,G146/H146,"No aplica"),"Pendiente")</f>
        <v>0.7083333333333334</v>
      </c>
      <c r="J146" s="297" t="str">
        <v>Proxy actividad y estado académico VIGENTE en PROMEDIOS; no foto de cierre</v>
      </c>
      <c r="K146" s="297" t="n">
        <v>7</v>
      </c>
      <c r="L146" s="297" t="str">
        <v>No</v>
      </c>
      <c r="M146" s="297" t="n">
        <v>17</v>
      </c>
    </row>
    <row r="147" ht="42" customHeight="1">
      <c r="A147" s="297" t="n">
        <v>2026</v>
      </c>
      <c r="B147" s="297" t="n">
        <v>2026</v>
      </c>
      <c r="C147" s="297" t="n">
        <v>3</v>
      </c>
      <c r="D147" s="297" t="str">
        <v>Ingeniería en Prevención de Riesgos</v>
      </c>
      <c r="E147" s="297" t="str">
        <v>I162S2C124J4V1</v>
      </c>
      <c r="F147" s="306" t="n">
        <v>24</v>
      </c>
      <c r="G147" s="306" t="n">
        <v>22</v>
      </c>
      <c r="H147" s="306" t="n">
        <v>24</v>
      </c>
      <c r="I147" s="308" t="n">
        <f>IF(ISNUMBER(G147),IF(H147&gt;0,G147/H147,"No aplica"),"Pendiente")</f>
        <v>0.9166666666666666</v>
      </c>
      <c r="J147" s="297" t="str">
        <v>Foto de matrícula, indicadores Q/R heredados de hoja20</v>
      </c>
      <c r="K147" s="297" t="n">
        <v>9</v>
      </c>
      <c r="L147" s="297" t="str">
        <v>No</v>
      </c>
      <c r="M147" s="297" t="n">
        <v>15</v>
      </c>
    </row>
    <row r="148" ht="42" customHeight="1">
      <c r="A148" s="297" t="n">
        <v>2026</v>
      </c>
      <c r="B148" s="297" t="n">
        <v>2026</v>
      </c>
      <c r="C148" s="297" t="n">
        <v>2</v>
      </c>
      <c r="D148" s="297" t="str">
        <v>Ingeniería en Seguridad Privada</v>
      </c>
      <c r="E148" s="297" t="str">
        <v>I162S2C125J4V1</v>
      </c>
      <c r="F148" s="306" t="n">
        <v>11</v>
      </c>
      <c r="G148" s="306" t="n">
        <v>8</v>
      </c>
      <c r="H148" s="306" t="n">
        <v>11</v>
      </c>
      <c r="I148" s="308" t="n">
        <f>IF(ISNUMBER(G148),IF(H148&gt;0,G148/H148,"No aplica"),"Pendiente")</f>
        <v>0.7272727272727273</v>
      </c>
      <c r="J148" s="297" t="str">
        <v>Proxy actividad y estado académico VIGENTE en PROMEDIOS; no foto de cierre</v>
      </c>
      <c r="K148" s="297" t="n">
        <v>3</v>
      </c>
      <c r="L148" s="297" t="str">
        <v>No</v>
      </c>
      <c r="M148" s="297" t="n">
        <v>8</v>
      </c>
    </row>
    <row r="149" ht="42" customHeight="1">
      <c r="A149" s="297" t="n">
        <v>2026</v>
      </c>
      <c r="B149" s="297" t="n">
        <v>2026</v>
      </c>
      <c r="C149" s="297" t="n">
        <v>3</v>
      </c>
      <c r="D149" s="297" t="str">
        <v>Ingeniería en Seguridad Privada</v>
      </c>
      <c r="E149" s="297" t="str">
        <v>I162S2C125J4V1</v>
      </c>
      <c r="F149" s="306" t="n">
        <v>11</v>
      </c>
      <c r="G149" s="306" t="n">
        <v>10</v>
      </c>
      <c r="H149" s="306" t="n">
        <v>11</v>
      </c>
      <c r="I149" s="308" t="n">
        <f>IF(ISNUMBER(G149),IF(H149&gt;0,G149/H149,"No aplica"),"Pendiente")</f>
        <v>0.9090909090909091</v>
      </c>
      <c r="J149" s="297" t="str">
        <v>Foto de matrícula, indicadores Q/R heredados de hoja20</v>
      </c>
      <c r="K149" s="297" t="n">
        <v>5</v>
      </c>
      <c r="L149" s="297" t="str">
        <v>No</v>
      </c>
      <c r="M149" s="297" t="n">
        <v>6</v>
      </c>
    </row>
    <row r="150" ht="42" customHeight="1">
      <c r="A150" s="297" t="n">
        <v>2026</v>
      </c>
      <c r="B150" s="297" t="n">
        <v>2026</v>
      </c>
      <c r="C150" s="297" t="n">
        <v>2</v>
      </c>
      <c r="D150" s="297" t="str">
        <v>Ingeniería en Informática</v>
      </c>
      <c r="E150" s="297" t="str">
        <v>I162S2C1J1V2</v>
      </c>
      <c r="F150" s="306" t="n">
        <v>12</v>
      </c>
      <c r="G150" s="306" t="n">
        <v>12</v>
      </c>
      <c r="H150" s="306" t="n">
        <v>12</v>
      </c>
      <c r="I150" s="308" t="n">
        <f>IF(ISNUMBER(G150),IF(H150&gt;0,G150/H150,"No aplica"),"Pendiente")</f>
        <v>1</v>
      </c>
      <c r="J150" s="297" t="str">
        <v>Proxy actividad y estado académico VIGENTE en PROMEDIOS; no foto de cierre</v>
      </c>
      <c r="K150" s="297" t="n">
        <v>0</v>
      </c>
      <c r="L150" s="297" t="str">
        <v>Sí</v>
      </c>
      <c r="M150" s="297" t="n">
        <v>12</v>
      </c>
    </row>
    <row r="151" ht="42" customHeight="1">
      <c r="A151" s="297" t="n">
        <v>2026</v>
      </c>
      <c r="B151" s="297" t="n">
        <v>2026</v>
      </c>
      <c r="C151" s="297" t="n">
        <v>3</v>
      </c>
      <c r="D151" s="297" t="str">
        <v>Ingeniería en Informática</v>
      </c>
      <c r="E151" s="297" t="str">
        <v>I162S2C1J1V2</v>
      </c>
      <c r="F151" s="306" t="n">
        <v>12</v>
      </c>
      <c r="G151" s="306" t="n">
        <v>12</v>
      </c>
      <c r="H151" s="306" t="n">
        <v>12</v>
      </c>
      <c r="I151" s="308" t="n">
        <f>IF(ISNUMBER(G151),IF(H151&gt;0,G151/H151,"No aplica"),"Pendiente")</f>
        <v>1</v>
      </c>
      <c r="J151" s="297" t="str">
        <v>Foto de matrícula, indicadores Q/R heredados de hoja20</v>
      </c>
      <c r="K151" s="297" t="n">
        <v>0</v>
      </c>
      <c r="L151" s="297" t="str">
        <v>Sí</v>
      </c>
      <c r="M151" s="297" t="n">
        <v>12</v>
      </c>
    </row>
    <row r="152" ht="42" customHeight="1">
      <c r="A152" s="297" t="n">
        <v>2026</v>
      </c>
      <c r="B152" s="297" t="n">
        <v>2026</v>
      </c>
      <c r="C152" s="297" t="n">
        <v>2</v>
      </c>
      <c r="D152" s="297" t="str">
        <v>Ingeniería en Informática</v>
      </c>
      <c r="E152" s="297" t="str">
        <v>I162S2C1J2V4</v>
      </c>
      <c r="F152" s="306" t="n">
        <v>11</v>
      </c>
      <c r="G152" s="306" t="n">
        <v>9</v>
      </c>
      <c r="H152" s="306" t="n">
        <v>11</v>
      </c>
      <c r="I152" s="308" t="n">
        <f>IF(ISNUMBER(G152),IF(H152&gt;0,G152/H152,"No aplica"),"Pendiente")</f>
        <v>0.8181818181818182</v>
      </c>
      <c r="J152" s="297" t="str">
        <v>Proxy actividad y estado académico VIGENTE en PROMEDIOS; no foto de cierre</v>
      </c>
      <c r="K152" s="297" t="n">
        <v>2</v>
      </c>
      <c r="L152" s="297" t="str">
        <v>Sí</v>
      </c>
      <c r="M152" s="297" t="n">
        <v>9</v>
      </c>
    </row>
    <row r="153" ht="42" customHeight="1">
      <c r="A153" s="297" t="n">
        <v>2026</v>
      </c>
      <c r="B153" s="297" t="n">
        <v>2026</v>
      </c>
      <c r="C153" s="297" t="n">
        <v>3</v>
      </c>
      <c r="D153" s="297" t="str">
        <v>Ingeniería en Informática</v>
      </c>
      <c r="E153" s="297" t="str">
        <v>I162S2C1J2V4</v>
      </c>
      <c r="F153" s="306" t="n">
        <v>11</v>
      </c>
      <c r="G153" s="306" t="n">
        <v>11</v>
      </c>
      <c r="H153" s="306" t="n">
        <v>11</v>
      </c>
      <c r="I153" s="308" t="n">
        <f>IF(ISNUMBER(G153),IF(H153&gt;0,G153/H153,"No aplica"),"Pendiente")</f>
        <v>1</v>
      </c>
      <c r="J153" s="297" t="str">
        <v>Foto de matrícula, indicadores Q/R heredados de hoja20</v>
      </c>
      <c r="K153" s="297" t="n">
        <v>3</v>
      </c>
      <c r="L153" s="297" t="str">
        <v>Sí</v>
      </c>
      <c r="M153" s="297" t="n">
        <v>8</v>
      </c>
    </row>
    <row r="154" ht="42" customHeight="1">
      <c r="A154" s="297" t="n">
        <v>2026</v>
      </c>
      <c r="B154" s="297" t="n">
        <v>2026</v>
      </c>
      <c r="C154" s="297" t="n">
        <v>2</v>
      </c>
      <c r="D154" s="297" t="str">
        <v>Ingeniería en Informática</v>
      </c>
      <c r="E154" s="297" t="str">
        <v>I162S2C1J4V2</v>
      </c>
      <c r="F154" s="306" t="n">
        <v>71</v>
      </c>
      <c r="G154" s="306" t="n">
        <v>61</v>
      </c>
      <c r="H154" s="306" t="n">
        <v>71</v>
      </c>
      <c r="I154" s="308" t="n">
        <f>IF(ISNUMBER(G154),IF(H154&gt;0,G154/H154,"No aplica"),"Pendiente")</f>
        <v>0.8591549295774648</v>
      </c>
      <c r="J154" s="297" t="str">
        <v>Proxy actividad y estado académico VIGENTE en PROMEDIOS; no foto de cierre</v>
      </c>
      <c r="K154" s="297" t="n">
        <v>10</v>
      </c>
      <c r="L154" s="297" t="str">
        <v>Sí</v>
      </c>
      <c r="M154" s="297" t="n">
        <v>61</v>
      </c>
    </row>
    <row r="155" ht="42" customHeight="1">
      <c r="A155" s="297" t="n">
        <v>2026</v>
      </c>
      <c r="B155" s="297" t="n">
        <v>2026</v>
      </c>
      <c r="C155" s="297" t="n">
        <v>3</v>
      </c>
      <c r="D155" s="297" t="str">
        <v>Ingeniería en Informática</v>
      </c>
      <c r="E155" s="297" t="str">
        <v>I162S2C1J4V2</v>
      </c>
      <c r="F155" s="306" t="n">
        <v>71</v>
      </c>
      <c r="G155" s="306" t="n">
        <v>69</v>
      </c>
      <c r="H155" s="306" t="n">
        <v>71</v>
      </c>
      <c r="I155" s="308" t="n">
        <f>IF(ISNUMBER(G155),IF(H155&gt;0,G155/H155,"No aplica"),"Pendiente")</f>
        <v>0.971830985915493</v>
      </c>
      <c r="J155" s="297" t="str">
        <v>Foto de matrícula, indicadores Q/R heredados de hoja20</v>
      </c>
      <c r="K155" s="297" t="n">
        <v>14</v>
      </c>
      <c r="L155" s="297" t="str">
        <v>Sí</v>
      </c>
      <c r="M155" s="297" t="n">
        <v>57</v>
      </c>
    </row>
    <row r="156" ht="42" customHeight="1">
      <c r="A156" s="297" t="n">
        <v>2026</v>
      </c>
      <c r="B156" s="297" t="n">
        <v>2026</v>
      </c>
      <c r="C156" s="297" t="n">
        <v>2</v>
      </c>
      <c r="D156" s="297" t="str">
        <v>Ingeniería en Conectividad y Redes</v>
      </c>
      <c r="E156" s="297" t="str">
        <v>I162S2C3J4V2</v>
      </c>
      <c r="F156" s="306" t="n">
        <v>46</v>
      </c>
      <c r="G156" s="306" t="n">
        <v>41</v>
      </c>
      <c r="H156" s="306" t="n">
        <v>46</v>
      </c>
      <c r="I156" s="308" t="n">
        <f>IF(ISNUMBER(G156),IF(H156&gt;0,G156/H156,"No aplica"),"Pendiente")</f>
        <v>0.8913043478260869</v>
      </c>
      <c r="J156" s="297" t="str">
        <v>Proxy actividad y estado académico VIGENTE en PROMEDIOS; no foto de cierre</v>
      </c>
      <c r="K156" s="297" t="n">
        <v>5</v>
      </c>
      <c r="L156" s="297" t="str">
        <v>Sí</v>
      </c>
      <c r="M156" s="297" t="n">
        <v>41</v>
      </c>
    </row>
    <row r="157" ht="42" customHeight="1">
      <c r="A157" s="297" t="n">
        <v>2026</v>
      </c>
      <c r="B157" s="297" t="n">
        <v>2026</v>
      </c>
      <c r="C157" s="297" t="n">
        <v>3</v>
      </c>
      <c r="D157" s="297" t="str">
        <v>Ingeniería en Conectividad y Redes</v>
      </c>
      <c r="E157" s="297" t="str">
        <v>I162S2C3J4V2</v>
      </c>
      <c r="F157" s="306" t="n">
        <v>46</v>
      </c>
      <c r="G157" s="306" t="n">
        <v>45</v>
      </c>
      <c r="H157" s="306" t="n">
        <v>46</v>
      </c>
      <c r="I157" s="308" t="n">
        <f>IF(ISNUMBER(G157),IF(H157&gt;0,G157/H157,"No aplica"),"Pendiente")</f>
        <v>0.9782608695652174</v>
      </c>
      <c r="J157" s="297" t="str">
        <v>Foto de matrícula, indicadores Q/R heredados de hoja20</v>
      </c>
      <c r="K157" s="297" t="n">
        <v>9</v>
      </c>
      <c r="L157" s="297" t="str">
        <v>Sí</v>
      </c>
      <c r="M157" s="297" t="n">
        <v>37</v>
      </c>
    </row>
    <row r="158" ht="42" customHeight="1">
      <c r="A158" s="297" t="n">
        <v>2026</v>
      </c>
      <c r="B158" s="297" t="n">
        <v>2026</v>
      </c>
      <c r="C158" s="297" t="n">
        <v>2</v>
      </c>
      <c r="D158" s="297" t="str">
        <v>Ingeniería en Ciberseguridad</v>
      </c>
      <c r="E158" s="297" t="str">
        <v>I162S2C46J1V1</v>
      </c>
      <c r="F158" s="306" t="n">
        <v>12</v>
      </c>
      <c r="G158" s="306" t="n">
        <v>8</v>
      </c>
      <c r="H158" s="306" t="n">
        <v>12</v>
      </c>
      <c r="I158" s="308" t="n">
        <f>IF(ISNUMBER(G158),IF(H158&gt;0,G158/H158,"No aplica"),"Pendiente")</f>
        <v>0.6666666666666666</v>
      </c>
      <c r="J158" s="297" t="str">
        <v>Proxy actividad y estado académico VIGENTE en PROMEDIOS; no foto de cierre</v>
      </c>
      <c r="K158" s="297" t="n">
        <v>11</v>
      </c>
      <c r="L158" s="297" t="str">
        <v>No</v>
      </c>
      <c r="M158" s="297" t="n">
        <v>1</v>
      </c>
    </row>
    <row r="159" ht="42" customHeight="1">
      <c r="A159" s="297" t="n">
        <v>2026</v>
      </c>
      <c r="B159" s="297" t="n">
        <v>2026</v>
      </c>
      <c r="C159" s="297" t="n">
        <v>3</v>
      </c>
      <c r="D159" s="297" t="str">
        <v>Ingeniería en Ciberseguridad</v>
      </c>
      <c r="E159" s="297" t="str">
        <v>I162S2C46J1V1</v>
      </c>
      <c r="F159" s="306" t="n">
        <v>12</v>
      </c>
      <c r="G159" s="306" t="n">
        <v>10</v>
      </c>
      <c r="H159" s="306" t="n">
        <v>12</v>
      </c>
      <c r="I159" s="308" t="n">
        <f>IF(ISNUMBER(G159),IF(H159&gt;0,G159/H159,"No aplica"),"Pendiente")</f>
        <v>0.8333333333333334</v>
      </c>
      <c r="J159" s="297" t="str">
        <v>Foto de matrícula, indicadores Q/R heredados de hoja20</v>
      </c>
      <c r="K159" s="297" t="n">
        <v>11</v>
      </c>
      <c r="L159" s="297" t="str">
        <v>No</v>
      </c>
      <c r="M159" s="297" t="n">
        <v>1</v>
      </c>
    </row>
    <row r="160" ht="42" customHeight="1">
      <c r="A160" s="297" t="n">
        <v>2026</v>
      </c>
      <c r="B160" s="297" t="n">
        <v>2026</v>
      </c>
      <c r="C160" s="297" t="n">
        <v>2</v>
      </c>
      <c r="D160" s="297" t="str">
        <v>Ingeniería en Ciberseguridad</v>
      </c>
      <c r="E160" s="297" t="str">
        <v>I162S2C46J2V1</v>
      </c>
      <c r="F160" s="306" t="n">
        <v>11</v>
      </c>
      <c r="G160" s="306" t="n">
        <v>11</v>
      </c>
      <c r="H160" s="306" t="n">
        <v>11</v>
      </c>
      <c r="I160" s="308" t="n">
        <f>IF(ISNUMBER(G160),IF(H160&gt;0,G160/H160,"No aplica"),"Pendiente")</f>
        <v>1</v>
      </c>
      <c r="J160" s="297" t="str">
        <v>Proxy actividad y estado académico VIGENTE en PROMEDIOS; no foto de cierre</v>
      </c>
      <c r="K160" s="297" t="n">
        <v>0</v>
      </c>
      <c r="L160" s="297" t="str">
        <v>Sí</v>
      </c>
      <c r="M160" s="297" t="n">
        <v>11</v>
      </c>
    </row>
    <row r="161" ht="42" customHeight="1">
      <c r="A161" s="297" t="n">
        <v>2026</v>
      </c>
      <c r="B161" s="297" t="n">
        <v>2026</v>
      </c>
      <c r="C161" s="297" t="n">
        <v>3</v>
      </c>
      <c r="D161" s="297" t="str">
        <v>Ingeniería en Ciberseguridad</v>
      </c>
      <c r="E161" s="297" t="str">
        <v>I162S2C46J2V1</v>
      </c>
      <c r="F161" s="306" t="n">
        <v>11</v>
      </c>
      <c r="G161" s="306" t="n">
        <v>11</v>
      </c>
      <c r="H161" s="306" t="n">
        <v>11</v>
      </c>
      <c r="I161" s="308" t="n">
        <f>IF(ISNUMBER(G161),IF(H161&gt;0,G161/H161,"No aplica"),"Pendiente")</f>
        <v>1</v>
      </c>
      <c r="J161" s="297" t="str">
        <v>Foto de matrícula, indicadores Q/R heredados de hoja20</v>
      </c>
      <c r="K161" s="297" t="n">
        <v>0</v>
      </c>
      <c r="L161" s="297" t="str">
        <v>Sí</v>
      </c>
      <c r="M161" s="297" t="n">
        <v>11</v>
      </c>
    </row>
    <row r="162" ht="42" customHeight="1">
      <c r="A162" s="297" t="n">
        <v>2026</v>
      </c>
      <c r="B162" s="297" t="n">
        <v>2026</v>
      </c>
      <c r="C162" s="297" t="n">
        <v>2</v>
      </c>
      <c r="D162" s="297" t="str">
        <v>Ingeniería en Ciberseguridad</v>
      </c>
      <c r="E162" s="297" t="str">
        <v>I162S2C46J4V3</v>
      </c>
      <c r="F162" s="306" t="n">
        <v>89</v>
      </c>
      <c r="G162" s="306" t="n">
        <v>77</v>
      </c>
      <c r="H162" s="306" t="n">
        <v>89</v>
      </c>
      <c r="I162" s="308" t="n">
        <f>IF(ISNUMBER(G162),IF(H162&gt;0,G162/H162,"No aplica"),"Pendiente")</f>
        <v>0.8651685393258427</v>
      </c>
      <c r="J162" s="297" t="str">
        <v>Proxy actividad y estado académico VIGENTE en PROMEDIOS; no foto de cierre</v>
      </c>
      <c r="K162" s="297" t="n">
        <v>12</v>
      </c>
      <c r="L162" s="297" t="str">
        <v>Sí</v>
      </c>
      <c r="M162" s="297" t="n">
        <v>77</v>
      </c>
    </row>
    <row r="163" ht="42" customHeight="1">
      <c r="A163" s="297" t="n">
        <v>2026</v>
      </c>
      <c r="B163" s="297" t="n">
        <v>2026</v>
      </c>
      <c r="C163" s="297" t="n">
        <v>3</v>
      </c>
      <c r="D163" s="297" t="str">
        <v>Ingeniería en Ciberseguridad</v>
      </c>
      <c r="E163" s="297" t="str">
        <v>I162S2C46J4V3</v>
      </c>
      <c r="F163" s="306" t="n">
        <v>89</v>
      </c>
      <c r="G163" s="306" t="n">
        <v>85</v>
      </c>
      <c r="H163" s="306" t="n">
        <v>89</v>
      </c>
      <c r="I163" s="308" t="n">
        <f>IF(ISNUMBER(G163),IF(H163&gt;0,G163/H163,"No aplica"),"Pendiente")</f>
        <v>0.9550561797752809</v>
      </c>
      <c r="J163" s="297" t="str">
        <v>Foto de matrícula, indicadores Q/R heredados de hoja20</v>
      </c>
      <c r="K163" s="297" t="n">
        <v>16</v>
      </c>
      <c r="L163" s="297" t="str">
        <v>Sí</v>
      </c>
      <c r="M163" s="297" t="n">
        <v>73</v>
      </c>
    </row>
    <row r="164" ht="42" customHeight="1">
      <c r="A164" s="297" t="n">
        <v>2026</v>
      </c>
      <c r="B164" s="297" t="n">
        <v>2026</v>
      </c>
      <c r="C164" s="297" t="n">
        <v>2</v>
      </c>
      <c r="D164" s="297" t="str">
        <v>Técnico en Ciberseguridad</v>
      </c>
      <c r="E164" s="297" t="str">
        <v>I162S2C47J1V1</v>
      </c>
      <c r="F164" s="306" t="n">
        <v>11</v>
      </c>
      <c r="G164" s="306" t="n">
        <v>9</v>
      </c>
      <c r="H164" s="306" t="n">
        <v>11</v>
      </c>
      <c r="I164" s="308" t="n">
        <f>IF(ISNUMBER(G164),IF(H164&gt;0,G164/H164,"No aplica"),"Pendiente")</f>
        <v>0.8181818181818182</v>
      </c>
      <c r="J164" s="297" t="str">
        <v>Proxy actividad y estado académico VIGENTE en PROMEDIOS; no foto de cierre</v>
      </c>
      <c r="K164" s="297" t="n">
        <v>11</v>
      </c>
      <c r="L164" s="297" t="str">
        <v>No</v>
      </c>
      <c r="M164" s="297" t="n">
        <v>0</v>
      </c>
    </row>
    <row r="165" ht="42" customHeight="1">
      <c r="A165" s="297" t="n">
        <v>2026</v>
      </c>
      <c r="B165" s="297" t="n">
        <v>2026</v>
      </c>
      <c r="C165" s="297" t="n">
        <v>3</v>
      </c>
      <c r="D165" s="297" t="str">
        <v>Técnico en Ciberseguridad</v>
      </c>
      <c r="E165" s="297" t="str">
        <v>I162S2C47J1V1</v>
      </c>
      <c r="F165" s="306" t="n">
        <v>11</v>
      </c>
      <c r="G165" s="306" t="n">
        <v>9</v>
      </c>
      <c r="H165" s="306" t="n">
        <v>11</v>
      </c>
      <c r="I165" s="308" t="n">
        <f>IF(ISNUMBER(G165),IF(H165&gt;0,G165/H165,"No aplica"),"Pendiente")</f>
        <v>0.8181818181818182</v>
      </c>
      <c r="J165" s="297" t="str">
        <v>Foto de matrícula, indicadores Q/R heredados de hoja20</v>
      </c>
      <c r="K165" s="297" t="n">
        <v>11</v>
      </c>
      <c r="L165" s="297" t="str">
        <v>No</v>
      </c>
      <c r="M165" s="297" t="n">
        <v>0</v>
      </c>
    </row>
    <row r="166" ht="42" customHeight="1">
      <c r="A166" s="297" t="n">
        <v>2026</v>
      </c>
      <c r="B166" s="297" t="n">
        <v>2026</v>
      </c>
      <c r="C166" s="297" t="n">
        <v>2</v>
      </c>
      <c r="D166" s="297" t="str">
        <v>Técnico en Ciberseguridad</v>
      </c>
      <c r="E166" s="297" t="str">
        <v>I162S2C47J2V1</v>
      </c>
      <c r="F166" s="306" t="n">
        <v>15</v>
      </c>
      <c r="G166" s="306" t="n">
        <v>8</v>
      </c>
      <c r="H166" s="306" t="n">
        <v>15</v>
      </c>
      <c r="I166" s="308" t="n">
        <f>IF(ISNUMBER(G166),IF(H166&gt;0,G166/H166,"No aplica"),"Pendiente")</f>
        <v>0.5333333333333333</v>
      </c>
      <c r="J166" s="297" t="str">
        <v>Proxy actividad y estado académico VIGENTE en PROMEDIOS; no foto de cierre</v>
      </c>
      <c r="K166" s="297" t="n">
        <v>15</v>
      </c>
      <c r="L166" s="297" t="str">
        <v>No</v>
      </c>
      <c r="M166" s="297" t="n">
        <v>0</v>
      </c>
    </row>
    <row r="167" ht="42" customHeight="1">
      <c r="A167" s="297" t="n">
        <v>2026</v>
      </c>
      <c r="B167" s="297" t="n">
        <v>2026</v>
      </c>
      <c r="C167" s="297" t="n">
        <v>3</v>
      </c>
      <c r="D167" s="297" t="str">
        <v>Técnico en Ciberseguridad</v>
      </c>
      <c r="E167" s="297" t="str">
        <v>I162S2C47J2V1</v>
      </c>
      <c r="F167" s="306" t="n">
        <v>15</v>
      </c>
      <c r="G167" s="306" t="n">
        <v>12</v>
      </c>
      <c r="H167" s="306" t="n">
        <v>15</v>
      </c>
      <c r="I167" s="308" t="n">
        <f>IF(ISNUMBER(G167),IF(H167&gt;0,G167/H167,"No aplica"),"Pendiente")</f>
        <v>0.8</v>
      </c>
      <c r="J167" s="297" t="str">
        <v>Foto de matrícula, indicadores Q/R heredados de hoja20</v>
      </c>
      <c r="K167" s="297" t="n">
        <v>15</v>
      </c>
      <c r="L167" s="297" t="str">
        <v>No</v>
      </c>
      <c r="M167" s="297" t="n">
        <v>0</v>
      </c>
    </row>
    <row r="168" ht="42" customHeight="1">
      <c r="A168" s="297" t="n">
        <v>2026</v>
      </c>
      <c r="B168" s="297" t="n">
        <v>2026</v>
      </c>
      <c r="C168" s="297" t="n">
        <v>2</v>
      </c>
      <c r="D168" s="297" t="str">
        <v>Técnico en Ciberseguridad</v>
      </c>
      <c r="E168" s="297" t="str">
        <v>I162S2C47J4V1</v>
      </c>
      <c r="F168" s="306" t="n">
        <v>47</v>
      </c>
      <c r="G168" s="306" t="n">
        <v>35</v>
      </c>
      <c r="H168" s="306" t="n">
        <v>47</v>
      </c>
      <c r="I168" s="308" t="n">
        <f>IF(ISNUMBER(G168),IF(H168&gt;0,G168/H168,"No aplica"),"Pendiente")</f>
        <v>0.7446808510638298</v>
      </c>
      <c r="J168" s="297" t="str">
        <v>Proxy actividad y estado académico VIGENTE en PROMEDIOS; no foto de cierre</v>
      </c>
      <c r="K168" s="297" t="n">
        <v>12</v>
      </c>
      <c r="L168" s="297" t="str">
        <v>No</v>
      </c>
      <c r="M168" s="297" t="n">
        <v>35</v>
      </c>
    </row>
    <row r="169" ht="42" customHeight="1">
      <c r="A169" s="297" t="n">
        <v>2026</v>
      </c>
      <c r="B169" s="297" t="n">
        <v>2026</v>
      </c>
      <c r="C169" s="297" t="n">
        <v>3</v>
      </c>
      <c r="D169" s="297" t="str">
        <v>Técnico en Ciberseguridad</v>
      </c>
      <c r="E169" s="297" t="str">
        <v>I162S2C47J4V1</v>
      </c>
      <c r="F169" s="306" t="n">
        <v>47</v>
      </c>
      <c r="G169" s="306" t="n">
        <v>41</v>
      </c>
      <c r="H169" s="306" t="n">
        <v>46</v>
      </c>
      <c r="I169" s="308" t="n">
        <f>IF(ISNUMBER(G169),IF(H169&gt;0,G169/H169,"No aplica"),"Pendiente")</f>
        <v>0.8913043478260869</v>
      </c>
      <c r="J169" s="297" t="str">
        <v>Foto de matrícula, indicadores Q/R heredados de hoja20</v>
      </c>
      <c r="K169" s="297" t="n">
        <v>12</v>
      </c>
      <c r="L169" s="297" t="str">
        <v>No</v>
      </c>
      <c r="M169" s="297" t="n">
        <v>35</v>
      </c>
    </row>
    <row r="170" ht="42" customHeight="1">
      <c r="A170" s="297" t="n">
        <v>2026</v>
      </c>
      <c r="B170" s="297" t="n">
        <v>2026</v>
      </c>
      <c r="C170" s="297" t="n">
        <v>2</v>
      </c>
      <c r="D170" s="297" t="str">
        <v>Técnico en Programación y Análisis de Sistemas</v>
      </c>
      <c r="E170" s="297" t="str">
        <v>I162S2C57J1V1</v>
      </c>
      <c r="F170" s="306" t="n">
        <v>9</v>
      </c>
      <c r="G170" s="306" t="n">
        <v>9</v>
      </c>
      <c r="H170" s="306" t="n">
        <v>9</v>
      </c>
      <c r="I170" s="308" t="n">
        <f>IF(ISNUMBER(G170),IF(H170&gt;0,G170/H170,"No aplica"),"Pendiente")</f>
        <v>1</v>
      </c>
      <c r="J170" s="297" t="str">
        <v>Proxy actividad y estado académico VIGENTE en PROMEDIOS; no foto de cierre</v>
      </c>
      <c r="K170" s="297" t="n">
        <v>9</v>
      </c>
      <c r="L170" s="297" t="str">
        <v>No</v>
      </c>
      <c r="M170" s="297" t="n">
        <v>0</v>
      </c>
    </row>
    <row r="171" ht="42" customHeight="1">
      <c r="A171" s="297" t="n">
        <v>2026</v>
      </c>
      <c r="B171" s="297" t="n">
        <v>2026</v>
      </c>
      <c r="C171" s="297" t="n">
        <v>3</v>
      </c>
      <c r="D171" s="297" t="str">
        <v>Técnico en Programación y Análisis de Sistemas</v>
      </c>
      <c r="E171" s="297" t="str">
        <v>I162S2C57J1V1</v>
      </c>
      <c r="F171" s="306" t="n">
        <v>9</v>
      </c>
      <c r="G171" s="306" t="n">
        <v>9</v>
      </c>
      <c r="H171" s="306" t="n">
        <v>9</v>
      </c>
      <c r="I171" s="308" t="n">
        <f>IF(ISNUMBER(G171),IF(H171&gt;0,G171/H171,"No aplica"),"Pendiente")</f>
        <v>1</v>
      </c>
      <c r="J171" s="297" t="str">
        <v>Foto de matrícula, indicadores Q/R heredados de hoja20</v>
      </c>
      <c r="K171" s="297" t="n">
        <v>9</v>
      </c>
      <c r="L171" s="297" t="str">
        <v>No</v>
      </c>
      <c r="M171" s="297" t="n">
        <v>0</v>
      </c>
    </row>
    <row r="172" ht="42" customHeight="1">
      <c r="A172" s="297" t="n">
        <v>2026</v>
      </c>
      <c r="B172" s="297" t="n">
        <v>2026</v>
      </c>
      <c r="C172" s="297" t="n">
        <v>2</v>
      </c>
      <c r="D172" s="297" t="str">
        <v>Técnico en Programación y Análisis de Sistemas</v>
      </c>
      <c r="E172" s="297" t="str">
        <v>I162S2C57J2V1</v>
      </c>
      <c r="F172" s="306" t="n">
        <v>10</v>
      </c>
      <c r="G172" s="306" t="n">
        <v>9</v>
      </c>
      <c r="H172" s="306" t="n">
        <v>10</v>
      </c>
      <c r="I172" s="308" t="n">
        <f>IF(ISNUMBER(G172),IF(H172&gt;0,G172/H172,"No aplica"),"Pendiente")</f>
        <v>0.9</v>
      </c>
      <c r="J172" s="297" t="str">
        <v>Proxy actividad y estado académico VIGENTE en PROMEDIOS; no foto de cierre</v>
      </c>
      <c r="K172" s="297" t="n">
        <v>10</v>
      </c>
      <c r="L172" s="297" t="str">
        <v>No</v>
      </c>
      <c r="M172" s="297" t="n">
        <v>0</v>
      </c>
    </row>
    <row r="173" ht="42" customHeight="1">
      <c r="A173" s="297" t="n">
        <v>2026</v>
      </c>
      <c r="B173" s="297" t="n">
        <v>2026</v>
      </c>
      <c r="C173" s="297" t="n">
        <v>3</v>
      </c>
      <c r="D173" s="297" t="str">
        <v>Técnico en Programación y Análisis de Sistemas</v>
      </c>
      <c r="E173" s="297" t="str">
        <v>I162S2C57J2V1</v>
      </c>
      <c r="F173" s="306" t="n">
        <v>10</v>
      </c>
      <c r="G173" s="306" t="n">
        <v>9</v>
      </c>
      <c r="H173" s="306" t="n">
        <v>10</v>
      </c>
      <c r="I173" s="308" t="n">
        <f>IF(ISNUMBER(G173),IF(H173&gt;0,G173/H173,"No aplica"),"Pendiente")</f>
        <v>0.9</v>
      </c>
      <c r="J173" s="297" t="str">
        <v>Foto de matrícula, indicadores Q/R heredados de hoja20</v>
      </c>
      <c r="K173" s="297" t="n">
        <v>10</v>
      </c>
      <c r="L173" s="297" t="str">
        <v>No</v>
      </c>
      <c r="M173" s="297" t="n">
        <v>0</v>
      </c>
    </row>
    <row r="174" ht="42" customHeight="1">
      <c r="A174" s="297" t="n">
        <v>2026</v>
      </c>
      <c r="B174" s="297" t="n">
        <v>2026</v>
      </c>
      <c r="C174" s="297" t="n">
        <v>2</v>
      </c>
      <c r="D174" s="297" t="str">
        <v>Técnico en Programación y Análisis de Sistemas</v>
      </c>
      <c r="E174" s="297" t="str">
        <v>I162S2C57J4V1</v>
      </c>
      <c r="F174" s="306" t="n">
        <v>74</v>
      </c>
      <c r="G174" s="306" t="n">
        <v>64</v>
      </c>
      <c r="H174" s="306" t="n">
        <v>74</v>
      </c>
      <c r="I174" s="308" t="n">
        <f>IF(ISNUMBER(G174),IF(H174&gt;0,G174/H174,"No aplica"),"Pendiente")</f>
        <v>0.8648648648648649</v>
      </c>
      <c r="J174" s="297" t="str">
        <v>Proxy actividad y estado académico VIGENTE en PROMEDIOS; no foto de cierre</v>
      </c>
      <c r="K174" s="297" t="n">
        <v>11</v>
      </c>
      <c r="L174" s="297" t="str">
        <v>No</v>
      </c>
      <c r="M174" s="297" t="n">
        <v>63</v>
      </c>
    </row>
    <row r="175" ht="42" customHeight="1">
      <c r="A175" s="297" t="n">
        <v>2026</v>
      </c>
      <c r="B175" s="297" t="n">
        <v>2026</v>
      </c>
      <c r="C175" s="297" t="n">
        <v>3</v>
      </c>
      <c r="D175" s="297" t="str">
        <v>Técnico en Programación y Análisis de Sistemas</v>
      </c>
      <c r="E175" s="297" t="str">
        <v>I162S2C57J4V1</v>
      </c>
      <c r="F175" s="306" t="n">
        <v>74</v>
      </c>
      <c r="G175" s="306" t="n">
        <v>68</v>
      </c>
      <c r="H175" s="306" t="n">
        <v>72</v>
      </c>
      <c r="I175" s="308" t="n">
        <f>IF(ISNUMBER(G175),IF(H175&gt;0,G175/H175,"No aplica"),"Pendiente")</f>
        <v>0.9444444444444444</v>
      </c>
      <c r="J175" s="297" t="str">
        <v>Foto de matrícula, indicadores Q/R heredados de hoja20</v>
      </c>
      <c r="K175" s="297" t="n">
        <v>13</v>
      </c>
      <c r="L175" s="297" t="str">
        <v>No</v>
      </c>
      <c r="M175" s="297" t="n">
        <v>61</v>
      </c>
    </row>
    <row r="176" ht="42" customHeight="1">
      <c r="A176" s="297" t="n">
        <v>2026</v>
      </c>
      <c r="B176" s="297" t="n">
        <v>2026</v>
      </c>
      <c r="C176" s="297" t="n">
        <v>2</v>
      </c>
      <c r="D176" s="297" t="str">
        <v>Técnico en Conectividad y Redes</v>
      </c>
      <c r="E176" s="297" t="str">
        <v>I162S2C6J4V2</v>
      </c>
      <c r="F176" s="306" t="n">
        <v>10</v>
      </c>
      <c r="G176" s="306" t="n">
        <v>8</v>
      </c>
      <c r="H176" s="306" t="n">
        <v>10</v>
      </c>
      <c r="I176" s="308" t="n">
        <f>IF(ISNUMBER(G176),IF(H176&gt;0,G176/H176,"No aplica"),"Pendiente")</f>
        <v>0.8</v>
      </c>
      <c r="J176" s="297" t="str">
        <v>Proxy actividad y estado académico VIGENTE en PROMEDIOS; no foto de cierre</v>
      </c>
      <c r="K176" s="297" t="n">
        <v>3</v>
      </c>
      <c r="L176" s="297" t="str">
        <v>Sí</v>
      </c>
      <c r="M176" s="297" t="n">
        <v>7</v>
      </c>
    </row>
    <row r="177" ht="42" customHeight="1">
      <c r="A177" s="297" t="n">
        <v>2026</v>
      </c>
      <c r="B177" s="297" t="n">
        <v>2026</v>
      </c>
      <c r="C177" s="297" t="n">
        <v>3</v>
      </c>
      <c r="D177" s="297" t="str">
        <v>Técnico en Conectividad y Redes</v>
      </c>
      <c r="E177" s="297" t="str">
        <v>I162S2C6J4V2</v>
      </c>
      <c r="F177" s="306" t="n">
        <v>10</v>
      </c>
      <c r="G177" s="306" t="n">
        <v>8</v>
      </c>
      <c r="H177" s="306" t="n">
        <v>9</v>
      </c>
      <c r="I177" s="308" t="n">
        <f>IF(ISNUMBER(G177),IF(H177&gt;0,G177/H177,"No aplica"),"Pendiente")</f>
        <v>0.8888888888888888</v>
      </c>
      <c r="J177" s="297" t="str">
        <v>Foto de matrícula, indicadores Q/R heredados de hoja20</v>
      </c>
      <c r="K177" s="297" t="n">
        <v>5</v>
      </c>
      <c r="L177" s="297" t="str">
        <v>Sí</v>
      </c>
      <c r="M177" s="297" t="n">
        <v>5</v>
      </c>
    </row>
    <row r="178" ht="42" customHeight="1">
      <c r="A178" s="297" t="n">
        <v>2026</v>
      </c>
      <c r="B178" s="297" t="n">
        <v>2026</v>
      </c>
      <c r="C178" s="297" t="n">
        <v>2</v>
      </c>
      <c r="D178" s="297" t="str">
        <v>Ingeniería en Administración de Empresas</v>
      </c>
      <c r="E178" s="297" t="str">
        <v>I162S2C76J1V1</v>
      </c>
      <c r="F178" s="306" t="n">
        <v>6</v>
      </c>
      <c r="G178" s="306" t="n">
        <v>4</v>
      </c>
      <c r="H178" s="306" t="n">
        <v>6</v>
      </c>
      <c r="I178" s="308" t="n">
        <f>IF(ISNUMBER(G178),IF(H178&gt;0,G178/H178,"No aplica"),"Pendiente")</f>
        <v>0.6666666666666666</v>
      </c>
      <c r="J178" s="297" t="str">
        <v>Proxy actividad y estado académico VIGENTE en PROMEDIOS; no foto de cierre</v>
      </c>
      <c r="K178" s="297" t="n">
        <v>6</v>
      </c>
      <c r="L178" s="297" t="str">
        <v>No</v>
      </c>
      <c r="M178" s="297" t="n">
        <v>0</v>
      </c>
    </row>
    <row r="179" ht="42" customHeight="1">
      <c r="A179" s="297" t="n">
        <v>2026</v>
      </c>
      <c r="B179" s="297" t="n">
        <v>2026</v>
      </c>
      <c r="C179" s="297" t="n">
        <v>3</v>
      </c>
      <c r="D179" s="297" t="str">
        <v>Ingeniería en Administración de Empresas</v>
      </c>
      <c r="E179" s="297" t="str">
        <v>I162S2C76J1V1</v>
      </c>
      <c r="F179" s="306" t="n">
        <v>6</v>
      </c>
      <c r="G179" s="306" t="n">
        <v>4</v>
      </c>
      <c r="H179" s="306" t="n">
        <v>6</v>
      </c>
      <c r="I179" s="308" t="n">
        <f>IF(ISNUMBER(G179),IF(H179&gt;0,G179/H179,"No aplica"),"Pendiente")</f>
        <v>0.6666666666666666</v>
      </c>
      <c r="J179" s="297" t="str">
        <v>Foto de matrícula, indicadores Q/R heredados de hoja20</v>
      </c>
      <c r="K179" s="297" t="n">
        <v>6</v>
      </c>
      <c r="L179" s="297" t="str">
        <v>No</v>
      </c>
      <c r="M179" s="297" t="n">
        <v>0</v>
      </c>
    </row>
    <row r="180" ht="42" customHeight="1">
      <c r="A180" s="297" t="n">
        <v>2026</v>
      </c>
      <c r="B180" s="297" t="n">
        <v>2026</v>
      </c>
      <c r="C180" s="297" t="n">
        <v>2</v>
      </c>
      <c r="D180" s="297" t="str">
        <v>Ingeniería en Administración de Empresas</v>
      </c>
      <c r="E180" s="297" t="str">
        <v>I162S2C76J2V1</v>
      </c>
      <c r="F180" s="306" t="n">
        <v>9</v>
      </c>
      <c r="G180" s="306" t="n">
        <v>7</v>
      </c>
      <c r="H180" s="306" t="n">
        <v>9</v>
      </c>
      <c r="I180" s="308" t="n">
        <f>IF(ISNUMBER(G180),IF(H180&gt;0,G180/H180,"No aplica"),"Pendiente")</f>
        <v>0.7777777777777778</v>
      </c>
      <c r="J180" s="297" t="str">
        <v>Proxy actividad y estado académico VIGENTE en PROMEDIOS; no foto de cierre</v>
      </c>
      <c r="K180" s="297" t="n">
        <v>8</v>
      </c>
      <c r="L180" s="297" t="str">
        <v>No</v>
      </c>
      <c r="M180" s="297" t="n">
        <v>1</v>
      </c>
    </row>
    <row r="181" ht="42" customHeight="1">
      <c r="A181" s="297" t="n">
        <v>2026</v>
      </c>
      <c r="B181" s="297" t="n">
        <v>2026</v>
      </c>
      <c r="C181" s="297" t="n">
        <v>3</v>
      </c>
      <c r="D181" s="297" t="str">
        <v>Ingeniería en Administración de Empresas</v>
      </c>
      <c r="E181" s="297" t="str">
        <v>I162S2C76J2V1</v>
      </c>
      <c r="F181" s="306" t="n">
        <v>9</v>
      </c>
      <c r="G181" s="306" t="n">
        <v>7</v>
      </c>
      <c r="H181" s="306" t="n">
        <v>9</v>
      </c>
      <c r="I181" s="308" t="n">
        <f>IF(ISNUMBER(G181),IF(H181&gt;0,G181/H181,"No aplica"),"Pendiente")</f>
        <v>0.7777777777777778</v>
      </c>
      <c r="J181" s="297" t="str">
        <v>Foto de matrícula, indicadores Q/R heredados de hoja20</v>
      </c>
      <c r="K181" s="297" t="n">
        <v>8</v>
      </c>
      <c r="L181" s="297" t="str">
        <v>No</v>
      </c>
      <c r="M181" s="297" t="n">
        <v>1</v>
      </c>
    </row>
    <row r="182" ht="42" customHeight="1">
      <c r="A182" s="297" t="n">
        <v>2026</v>
      </c>
      <c r="B182" s="297" t="n">
        <v>2026</v>
      </c>
      <c r="C182" s="297" t="n">
        <v>2</v>
      </c>
      <c r="D182" s="297" t="str">
        <v>Ingeniería en Administración de Empresas</v>
      </c>
      <c r="E182" s="297" t="str">
        <v>I162S2C76J4V1</v>
      </c>
      <c r="F182" s="306" t="n">
        <v>57</v>
      </c>
      <c r="G182" s="306" t="n">
        <v>42</v>
      </c>
      <c r="H182" s="306" t="n">
        <v>57</v>
      </c>
      <c r="I182" s="308" t="n">
        <f>IF(ISNUMBER(G182),IF(H182&gt;0,G182/H182,"No aplica"),"Pendiente")</f>
        <v>0.7368421052631579</v>
      </c>
      <c r="J182" s="297" t="str">
        <v>Proxy actividad y estado académico VIGENTE en PROMEDIOS; no foto de cierre</v>
      </c>
      <c r="K182" s="297" t="n">
        <v>15</v>
      </c>
      <c r="L182" s="297" t="str">
        <v>No</v>
      </c>
      <c r="M182" s="297" t="n">
        <v>42</v>
      </c>
    </row>
    <row r="183" ht="42" customHeight="1">
      <c r="A183" s="297" t="n">
        <v>2026</v>
      </c>
      <c r="B183" s="297" t="n">
        <v>2026</v>
      </c>
      <c r="C183" s="297" t="n">
        <v>3</v>
      </c>
      <c r="D183" s="297" t="str">
        <v>Ingeniería en Administración de Empresas</v>
      </c>
      <c r="E183" s="297" t="str">
        <v>I162S2C76J4V1</v>
      </c>
      <c r="F183" s="306" t="n">
        <v>57</v>
      </c>
      <c r="G183" s="306" t="n">
        <v>53</v>
      </c>
      <c r="H183" s="306" t="n">
        <v>57</v>
      </c>
      <c r="I183" s="308" t="n">
        <f>IF(ISNUMBER(G183),IF(H183&gt;0,G183/H183,"No aplica"),"Pendiente")</f>
        <v>0.9298245614035088</v>
      </c>
      <c r="J183" s="297" t="str">
        <v>Foto de matrícula, indicadores Q/R heredados de hoja20</v>
      </c>
      <c r="K183" s="297" t="n">
        <v>21</v>
      </c>
      <c r="L183" s="297" t="str">
        <v>No</v>
      </c>
      <c r="M183" s="297" t="n">
        <v>36</v>
      </c>
    </row>
    <row r="184" ht="42" customHeight="1">
      <c r="A184" s="297" t="n">
        <v>2026</v>
      </c>
      <c r="B184" s="297" t="n">
        <v>2026</v>
      </c>
      <c r="C184" s="297" t="n">
        <v>2</v>
      </c>
      <c r="D184" s="297" t="str">
        <v>Ingeniería en Logística</v>
      </c>
      <c r="E184" s="297" t="str">
        <v>I162S2C77J2V1</v>
      </c>
      <c r="F184" s="306" t="n">
        <v>13</v>
      </c>
      <c r="G184" s="306" t="n">
        <v>8</v>
      </c>
      <c r="H184" s="306" t="n">
        <v>13</v>
      </c>
      <c r="I184" s="308" t="n">
        <f>IF(ISNUMBER(G184),IF(H184&gt;0,G184/H184,"No aplica"),"Pendiente")</f>
        <v>0.6153846153846154</v>
      </c>
      <c r="J184" s="297" t="str">
        <v>Proxy actividad y estado académico VIGENTE en PROMEDIOS; no foto de cierre</v>
      </c>
      <c r="K184" s="297" t="n">
        <v>12</v>
      </c>
      <c r="L184" s="297" t="str">
        <v>No</v>
      </c>
      <c r="M184" s="297" t="n">
        <v>1</v>
      </c>
    </row>
    <row r="185" ht="42" customHeight="1">
      <c r="A185" s="297" t="n">
        <v>2026</v>
      </c>
      <c r="B185" s="297" t="n">
        <v>2026</v>
      </c>
      <c r="C185" s="297" t="n">
        <v>3</v>
      </c>
      <c r="D185" s="297" t="str">
        <v>Ingeniería en Logística</v>
      </c>
      <c r="E185" s="297" t="str">
        <v>I162S2C77J2V1</v>
      </c>
      <c r="F185" s="306" t="n">
        <v>13</v>
      </c>
      <c r="G185" s="306" t="n">
        <v>12</v>
      </c>
      <c r="H185" s="306" t="n">
        <v>13</v>
      </c>
      <c r="I185" s="308" t="n">
        <f>IF(ISNUMBER(G185),IF(H185&gt;0,G185/H185,"No aplica"),"Pendiente")</f>
        <v>0.9230769230769231</v>
      </c>
      <c r="J185" s="297" t="str">
        <v>Foto de matrícula, indicadores Q/R heredados de hoja20</v>
      </c>
      <c r="K185" s="297" t="n">
        <v>12</v>
      </c>
      <c r="L185" s="297" t="str">
        <v>No</v>
      </c>
      <c r="M185" s="297" t="n">
        <v>1</v>
      </c>
    </row>
    <row r="186" ht="42" customHeight="1">
      <c r="A186" s="297" t="n">
        <v>2026</v>
      </c>
      <c r="B186" s="297" t="n">
        <v>2026</v>
      </c>
      <c r="C186" s="297" t="n">
        <v>2</v>
      </c>
      <c r="D186" s="297" t="str">
        <v>Ingeniería en Logística</v>
      </c>
      <c r="E186" s="297" t="str">
        <v>I162S2C77J4V1</v>
      </c>
      <c r="F186" s="306" t="n">
        <v>37</v>
      </c>
      <c r="G186" s="306" t="n">
        <v>26</v>
      </c>
      <c r="H186" s="306" t="n">
        <v>37</v>
      </c>
      <c r="I186" s="308" t="n">
        <f>IF(ISNUMBER(G186),IF(H186&gt;0,G186/H186,"No aplica"),"Pendiente")</f>
        <v>0.7027027027027027</v>
      </c>
      <c r="J186" s="297" t="str">
        <v>Proxy actividad y estado académico VIGENTE en PROMEDIOS; no foto de cierre</v>
      </c>
      <c r="K186" s="297" t="n">
        <v>10</v>
      </c>
      <c r="L186" s="297" t="str">
        <v>No</v>
      </c>
      <c r="M186" s="297" t="n">
        <v>27</v>
      </c>
    </row>
    <row r="187" ht="42" customHeight="1">
      <c r="A187" s="297" t="n">
        <v>2026</v>
      </c>
      <c r="B187" s="297" t="n">
        <v>2026</v>
      </c>
      <c r="C187" s="297" t="n">
        <v>3</v>
      </c>
      <c r="D187" s="297" t="str">
        <v>Ingeniería en Logística</v>
      </c>
      <c r="E187" s="297" t="str">
        <v>I162S2C77J4V1</v>
      </c>
      <c r="F187" s="306" t="n">
        <v>37</v>
      </c>
      <c r="G187" s="306" t="n">
        <v>33</v>
      </c>
      <c r="H187" s="306" t="n">
        <v>37</v>
      </c>
      <c r="I187" s="308" t="n">
        <f>IF(ISNUMBER(G187),IF(H187&gt;0,G187/H187,"No aplica"),"Pendiente")</f>
        <v>0.8918918918918919</v>
      </c>
      <c r="J187" s="297" t="str">
        <v>Foto de matrícula, indicadores Q/R heredados de hoja20</v>
      </c>
      <c r="K187" s="297" t="n">
        <v>13</v>
      </c>
      <c r="L187" s="297" t="str">
        <v>No</v>
      </c>
      <c r="M187" s="297" t="n">
        <v>24</v>
      </c>
    </row>
    <row r="188" ht="42" customHeight="1">
      <c r="A188" s="297" t="n">
        <v>2026</v>
      </c>
      <c r="B188" s="297" t="n">
        <v>2026</v>
      </c>
      <c r="C188" s="297" t="n">
        <v>2</v>
      </c>
      <c r="D188" s="297" t="str">
        <v>Técnico en Administración de Empresas</v>
      </c>
      <c r="E188" s="297" t="str">
        <v>I162S2C78J1V1</v>
      </c>
      <c r="F188" s="306" t="n">
        <v>10</v>
      </c>
      <c r="G188" s="306" t="n">
        <v>9</v>
      </c>
      <c r="H188" s="306" t="n">
        <v>10</v>
      </c>
      <c r="I188" s="308" t="n">
        <f>IF(ISNUMBER(G188),IF(H188&gt;0,G188/H188,"No aplica"),"Pendiente")</f>
        <v>0.9</v>
      </c>
      <c r="J188" s="297" t="str">
        <v>Proxy actividad y estado académico VIGENTE en PROMEDIOS; no foto de cierre</v>
      </c>
      <c r="K188" s="297" t="n">
        <v>10</v>
      </c>
      <c r="L188" s="297" t="str">
        <v>No</v>
      </c>
      <c r="M188" s="297" t="n">
        <v>0</v>
      </c>
    </row>
    <row r="189" ht="42" customHeight="1">
      <c r="A189" s="297" t="n">
        <v>2026</v>
      </c>
      <c r="B189" s="297" t="n">
        <v>2026</v>
      </c>
      <c r="C189" s="297" t="n">
        <v>3</v>
      </c>
      <c r="D189" s="297" t="str">
        <v>Técnico en Administración de Empresas</v>
      </c>
      <c r="E189" s="297" t="str">
        <v>I162S2C78J1V1</v>
      </c>
      <c r="F189" s="306" t="n">
        <v>10</v>
      </c>
      <c r="G189" s="306" t="n">
        <v>9</v>
      </c>
      <c r="H189" s="306" t="n">
        <v>10</v>
      </c>
      <c r="I189" s="308" t="n">
        <f>IF(ISNUMBER(G189),IF(H189&gt;0,G189/H189,"No aplica"),"Pendiente")</f>
        <v>0.9</v>
      </c>
      <c r="J189" s="297" t="str">
        <v>Foto de matrícula, indicadores Q/R heredados de hoja20</v>
      </c>
      <c r="K189" s="297" t="n">
        <v>10</v>
      </c>
      <c r="L189" s="297" t="str">
        <v>No</v>
      </c>
      <c r="M189" s="297" t="n">
        <v>0</v>
      </c>
    </row>
    <row r="190" ht="42" customHeight="1">
      <c r="A190" s="297" t="n">
        <v>2026</v>
      </c>
      <c r="B190" s="297" t="n">
        <v>2026</v>
      </c>
      <c r="C190" s="297" t="n">
        <v>2</v>
      </c>
      <c r="D190" s="297" t="str">
        <v>Técnico en Administración de Empresas</v>
      </c>
      <c r="E190" s="297" t="str">
        <v>I162S2C78J2V1</v>
      </c>
      <c r="F190" s="306" t="n">
        <v>30</v>
      </c>
      <c r="G190" s="306" t="n">
        <v>25</v>
      </c>
      <c r="H190" s="306" t="n">
        <v>30</v>
      </c>
      <c r="I190" s="308" t="n">
        <f>IF(ISNUMBER(G190),IF(H190&gt;0,G190/H190,"No aplica"),"Pendiente")</f>
        <v>0.8333333333333334</v>
      </c>
      <c r="J190" s="297" t="str">
        <v>Proxy actividad y estado académico VIGENTE en PROMEDIOS; no foto de cierre</v>
      </c>
      <c r="K190" s="297" t="n">
        <v>5</v>
      </c>
      <c r="L190" s="297" t="str">
        <v>No</v>
      </c>
      <c r="M190" s="297" t="n">
        <v>25</v>
      </c>
    </row>
    <row r="191" ht="42" customHeight="1">
      <c r="A191" s="297" t="n">
        <v>2026</v>
      </c>
      <c r="B191" s="297" t="n">
        <v>2026</v>
      </c>
      <c r="C191" s="297" t="n">
        <v>3</v>
      </c>
      <c r="D191" s="297" t="str">
        <v>Técnico en Administración de Empresas</v>
      </c>
      <c r="E191" s="297" t="str">
        <v>I162S2C78J2V1</v>
      </c>
      <c r="F191" s="306" t="n">
        <v>30</v>
      </c>
      <c r="G191" s="306" t="n">
        <v>28</v>
      </c>
      <c r="H191" s="306" t="n">
        <v>30</v>
      </c>
      <c r="I191" s="308" t="n">
        <f>IF(ISNUMBER(G191),IF(H191&gt;0,G191/H191,"No aplica"),"Pendiente")</f>
        <v>0.9333333333333333</v>
      </c>
      <c r="J191" s="297" t="str">
        <v>Foto de matrícula, indicadores Q/R heredados de hoja20</v>
      </c>
      <c r="K191" s="297" t="n">
        <v>10</v>
      </c>
      <c r="L191" s="297" t="str">
        <v>No</v>
      </c>
      <c r="M191" s="297" t="n">
        <v>20</v>
      </c>
    </row>
    <row r="192" ht="42" customHeight="1">
      <c r="A192" s="297" t="n">
        <v>2026</v>
      </c>
      <c r="B192" s="297" t="n">
        <v>2026</v>
      </c>
      <c r="C192" s="297" t="n">
        <v>2</v>
      </c>
      <c r="D192" s="297" t="str">
        <v>Técnico en Administración de Empresas</v>
      </c>
      <c r="E192" s="297" t="str">
        <v>I162S2C78J4V1</v>
      </c>
      <c r="F192" s="306" t="n">
        <v>45</v>
      </c>
      <c r="G192" s="306" t="n">
        <v>30</v>
      </c>
      <c r="H192" s="306" t="n">
        <v>45</v>
      </c>
      <c r="I192" s="308" t="n">
        <f>IF(ISNUMBER(G192),IF(H192&gt;0,G192/H192,"No aplica"),"Pendiente")</f>
        <v>0.6666666666666666</v>
      </c>
      <c r="J192" s="297" t="str">
        <v>Proxy actividad y estado académico VIGENTE en PROMEDIOS; no foto de cierre</v>
      </c>
      <c r="K192" s="297" t="n">
        <v>15</v>
      </c>
      <c r="L192" s="297" t="str">
        <v>No</v>
      </c>
      <c r="M192" s="297" t="n">
        <v>30</v>
      </c>
    </row>
    <row r="193" ht="42" customHeight="1">
      <c r="A193" s="297" t="n">
        <v>2026</v>
      </c>
      <c r="B193" s="297" t="n">
        <v>2026</v>
      </c>
      <c r="C193" s="297" t="n">
        <v>3</v>
      </c>
      <c r="D193" s="297" t="str">
        <v>Técnico en Administración de Empresas</v>
      </c>
      <c r="E193" s="297" t="str">
        <v>I162S2C78J4V1</v>
      </c>
      <c r="F193" s="306" t="n">
        <v>45</v>
      </c>
      <c r="G193" s="306" t="n">
        <v>40</v>
      </c>
      <c r="H193" s="306" t="n">
        <v>45</v>
      </c>
      <c r="I193" s="308" t="n">
        <f>IF(ISNUMBER(G193),IF(H193&gt;0,G193/H193,"No aplica"),"Pendiente")</f>
        <v>0.8888888888888888</v>
      </c>
      <c r="J193" s="297" t="str">
        <v>Foto de matrícula, indicadores Q/R heredados de hoja20</v>
      </c>
      <c r="K193" s="297" t="n">
        <v>16</v>
      </c>
      <c r="L193" s="297" t="str">
        <v>No</v>
      </c>
      <c r="M193" s="297" t="n">
        <v>29</v>
      </c>
    </row>
    <row r="194" ht="42" customHeight="1">
      <c r="A194" s="297" t="n">
        <v>2026</v>
      </c>
      <c r="B194" s="297" t="n">
        <v>2026</v>
      </c>
      <c r="C194" s="297" t="n">
        <v>2</v>
      </c>
      <c r="D194" s="297" t="str">
        <v>Técnico en Logística</v>
      </c>
      <c r="E194" s="297" t="str">
        <v>I162S2C79J2V1</v>
      </c>
      <c r="F194" s="306" t="n">
        <v>14</v>
      </c>
      <c r="G194" s="306" t="n">
        <v>13</v>
      </c>
      <c r="H194" s="306" t="n">
        <v>14</v>
      </c>
      <c r="I194" s="308" t="n">
        <f>IF(ISNUMBER(G194),IF(H194&gt;0,G194/H194,"No aplica"),"Pendiente")</f>
        <v>0.9285714285714286</v>
      </c>
      <c r="J194" s="297" t="str">
        <v>Proxy actividad y estado académico VIGENTE en PROMEDIOS; no foto de cierre</v>
      </c>
      <c r="K194" s="297" t="n">
        <v>14</v>
      </c>
      <c r="L194" s="297" t="str">
        <v>No</v>
      </c>
      <c r="M194" s="297" t="n">
        <v>0</v>
      </c>
    </row>
    <row r="195" ht="42" customHeight="1">
      <c r="A195" s="297" t="n">
        <v>2026</v>
      </c>
      <c r="B195" s="297" t="n">
        <v>2026</v>
      </c>
      <c r="C195" s="297" t="n">
        <v>3</v>
      </c>
      <c r="D195" s="297" t="str">
        <v>Técnico en Logística</v>
      </c>
      <c r="E195" s="297" t="str">
        <v>I162S2C79J2V1</v>
      </c>
      <c r="F195" s="306" t="n">
        <v>14</v>
      </c>
      <c r="G195" s="306" t="n">
        <v>14</v>
      </c>
      <c r="H195" s="306" t="n">
        <v>14</v>
      </c>
      <c r="I195" s="308" t="n">
        <f>IF(ISNUMBER(G195),IF(H195&gt;0,G195/H195,"No aplica"),"Pendiente")</f>
        <v>1</v>
      </c>
      <c r="J195" s="297" t="str">
        <v>Foto de matrícula, indicadores Q/R heredados de hoja20</v>
      </c>
      <c r="K195" s="297" t="n">
        <v>14</v>
      </c>
      <c r="L195" s="297" t="str">
        <v>No</v>
      </c>
      <c r="M195" s="297" t="n">
        <v>0</v>
      </c>
    </row>
    <row r="196" ht="42" customHeight="1">
      <c r="A196" s="297" t="n">
        <v>2026</v>
      </c>
      <c r="B196" s="297" t="n">
        <v>2026</v>
      </c>
      <c r="C196" s="297" t="n">
        <v>2</v>
      </c>
      <c r="D196" s="297" t="str">
        <v>Técnico en Logística</v>
      </c>
      <c r="E196" s="297" t="str">
        <v>I162S2C79J4V1</v>
      </c>
      <c r="F196" s="306" t="n">
        <v>37</v>
      </c>
      <c r="G196" s="306" t="n">
        <v>35</v>
      </c>
      <c r="H196" s="306" t="n">
        <v>37</v>
      </c>
      <c r="I196" s="308" t="n">
        <f>IF(ISNUMBER(G196),IF(H196&gt;0,G196/H196,"No aplica"),"Pendiente")</f>
        <v>0.9459459459459459</v>
      </c>
      <c r="J196" s="297" t="str">
        <v>Proxy actividad y estado académico VIGENTE en PROMEDIOS; no foto de cierre</v>
      </c>
      <c r="K196" s="297" t="n">
        <v>2</v>
      </c>
      <c r="L196" s="297" t="str">
        <v>No</v>
      </c>
      <c r="M196" s="297" t="n">
        <v>35</v>
      </c>
    </row>
    <row r="197" ht="42" customHeight="1">
      <c r="A197" s="297" t="n">
        <v>2026</v>
      </c>
      <c r="B197" s="297" t="n">
        <v>2026</v>
      </c>
      <c r="C197" s="297" t="n">
        <v>3</v>
      </c>
      <c r="D197" s="297" t="str">
        <v>Técnico en Logística</v>
      </c>
      <c r="E197" s="297" t="str">
        <v>I162S2C79J4V1</v>
      </c>
      <c r="F197" s="306" t="n">
        <v>37</v>
      </c>
      <c r="G197" s="306" t="n">
        <v>37</v>
      </c>
      <c r="H197" s="306" t="n">
        <v>37</v>
      </c>
      <c r="I197" s="308" t="n">
        <f>IF(ISNUMBER(G197),IF(H197&gt;0,G197/H197,"No aplica"),"Pendiente")</f>
        <v>1</v>
      </c>
      <c r="J197" s="297" t="str">
        <v>Foto de matrícula, indicadores Q/R heredados de hoja20</v>
      </c>
      <c r="K197" s="297" t="n">
        <v>5</v>
      </c>
      <c r="L197" s="297" t="str">
        <v>No</v>
      </c>
      <c r="M197" s="297" t="n">
        <v>32</v>
      </c>
    </row>
    <row r="198" ht="42" customHeight="1">
      <c r="A198" s="297" t="n">
        <v>2026</v>
      </c>
      <c r="B198" s="297" t="n">
        <v>2026</v>
      </c>
      <c r="C198" s="297" t="n">
        <v>2</v>
      </c>
      <c r="D198" s="297" t="str">
        <v>Administración Pública</v>
      </c>
      <c r="E198" s="297" t="str">
        <v>I162S2C83J4V1</v>
      </c>
      <c r="F198" s="306" t="n">
        <v>45</v>
      </c>
      <c r="G198" s="306" t="n">
        <v>29</v>
      </c>
      <c r="H198" s="306" t="n">
        <v>45</v>
      </c>
      <c r="I198" s="308" t="n">
        <f>IF(ISNUMBER(G198),IF(H198&gt;0,G198/H198,"No aplica"),"Pendiente")</f>
        <v>0.6444444444444445</v>
      </c>
      <c r="J198" s="297" t="str">
        <v>Proxy actividad y estado académico VIGENTE en PROMEDIOS; no foto de cierre</v>
      </c>
      <c r="K198" s="297" t="n">
        <v>16</v>
      </c>
      <c r="L198" s="297" t="str">
        <v>No</v>
      </c>
      <c r="M198" s="297" t="n">
        <v>29</v>
      </c>
    </row>
    <row r="199" ht="42" customHeight="1">
      <c r="A199" s="297" t="n">
        <v>2026</v>
      </c>
      <c r="B199" s="297" t="n">
        <v>2026</v>
      </c>
      <c r="C199" s="297" t="n">
        <v>3</v>
      </c>
      <c r="D199" s="297" t="str">
        <v>Administración Pública</v>
      </c>
      <c r="E199" s="297" t="str">
        <v>I162S2C83J4V1</v>
      </c>
      <c r="F199" s="306" t="n">
        <v>45</v>
      </c>
      <c r="G199" s="306" t="n">
        <v>43</v>
      </c>
      <c r="H199" s="306" t="n">
        <v>45</v>
      </c>
      <c r="I199" s="308" t="n">
        <f>IF(ISNUMBER(G199),IF(H199&gt;0,G199/H199,"No aplica"),"Pendiente")</f>
        <v>0.9555555555555556</v>
      </c>
      <c r="J199" s="297" t="str">
        <v>Foto de matrícula, indicadores Q/R heredados de hoja20</v>
      </c>
      <c r="K199" s="297" t="n">
        <v>17</v>
      </c>
      <c r="L199" s="297" t="str">
        <v>No</v>
      </c>
      <c r="M199" s="297" t="n">
        <v>28</v>
      </c>
    </row>
    <row r="200" ht="42" customHeight="1">
      <c r="A200" s="297" t="n">
        <v>2026</v>
      </c>
      <c r="B200" s="297" t="n">
        <v>2026</v>
      </c>
      <c r="C200" s="297" t="n">
        <v>2</v>
      </c>
      <c r="D200" s="297" t="str">
        <v>Técnico en Administración Pública</v>
      </c>
      <c r="E200" s="297" t="str">
        <v>I162S2C84J4V1</v>
      </c>
      <c r="F200" s="306" t="n">
        <v>19</v>
      </c>
      <c r="G200" s="306" t="n">
        <v>12</v>
      </c>
      <c r="H200" s="306" t="n">
        <v>19</v>
      </c>
      <c r="I200" s="308" t="n">
        <f>IF(ISNUMBER(G200),IF(H200&gt;0,G200/H200,"No aplica"),"Pendiente")</f>
        <v>0.631578947368421</v>
      </c>
      <c r="J200" s="297" t="str">
        <v>Proxy actividad y estado académico VIGENTE en PROMEDIOS; no foto de cierre</v>
      </c>
      <c r="K200" s="297" t="n">
        <v>19</v>
      </c>
      <c r="L200" s="297" t="str">
        <v>No</v>
      </c>
      <c r="M200" s="297" t="n">
        <v>0</v>
      </c>
    </row>
    <row r="201" ht="42" customHeight="1">
      <c r="A201" s="297" t="n">
        <v>2026</v>
      </c>
      <c r="B201" s="297" t="n">
        <v>2026</v>
      </c>
      <c r="C201" s="297" t="n">
        <v>3</v>
      </c>
      <c r="D201" s="297" t="str">
        <v>Técnico en Administración Pública</v>
      </c>
      <c r="E201" s="297" t="str">
        <v>I162S2C84J4V1</v>
      </c>
      <c r="F201" s="306" t="n">
        <v>19</v>
      </c>
      <c r="G201" s="306" t="n">
        <v>17</v>
      </c>
      <c r="H201" s="306" t="n">
        <v>19</v>
      </c>
      <c r="I201" s="308" t="n">
        <f>IF(ISNUMBER(G201),IF(H201&gt;0,G201/H201,"No aplica"),"Pendiente")</f>
        <v>0.8947368421052632</v>
      </c>
      <c r="J201" s="297" t="str">
        <v>Foto de matrícula, indicadores Q/R heredados de hoja20</v>
      </c>
      <c r="K201" s="297" t="n">
        <v>19</v>
      </c>
      <c r="L201" s="297" t="str">
        <v>No</v>
      </c>
      <c r="M201" s="297" t="n">
        <v>0</v>
      </c>
    </row>
    <row r="202" ht="42" customHeight="1">
      <c r="A202" s="297" t="n">
        <v>2026</v>
      </c>
      <c r="B202" s="297" t="n">
        <v>2026</v>
      </c>
      <c r="C202" s="297" t="n">
        <v>2</v>
      </c>
      <c r="D202" s="297" t="str">
        <v>Contabilidad General</v>
      </c>
      <c r="E202" s="297" t="str">
        <v>I162S2C85J4V1</v>
      </c>
      <c r="F202" s="306" t="n">
        <v>33</v>
      </c>
      <c r="G202" s="306" t="n">
        <v>24</v>
      </c>
      <c r="H202" s="306" t="n">
        <v>33</v>
      </c>
      <c r="I202" s="308" t="n">
        <f>IF(ISNUMBER(G202),IF(H202&gt;0,G202/H202,"No aplica"),"Pendiente")</f>
        <v>0.7272727272727273</v>
      </c>
      <c r="J202" s="297" t="str">
        <v>Proxy actividad y estado académico VIGENTE en PROMEDIOS; no foto de cierre</v>
      </c>
      <c r="K202" s="297" t="n">
        <v>33</v>
      </c>
      <c r="L202" s="297" t="str">
        <v>No</v>
      </c>
      <c r="M202" s="297" t="n">
        <v>0</v>
      </c>
    </row>
    <row r="203" ht="42" customHeight="1">
      <c r="A203" s="297" t="n">
        <v>2026</v>
      </c>
      <c r="B203" s="297" t="n">
        <v>2026</v>
      </c>
      <c r="C203" s="297" t="n">
        <v>3</v>
      </c>
      <c r="D203" s="297" t="str">
        <v>Contabilidad General</v>
      </c>
      <c r="E203" s="297" t="str">
        <v>I162S2C85J4V1</v>
      </c>
      <c r="F203" s="306" t="n">
        <v>33</v>
      </c>
      <c r="G203" s="306" t="n">
        <v>33</v>
      </c>
      <c r="H203" s="306" t="n">
        <v>33</v>
      </c>
      <c r="I203" s="308" t="n">
        <f>IF(ISNUMBER(G203),IF(H203&gt;0,G203/H203,"No aplica"),"Pendiente")</f>
        <v>1</v>
      </c>
      <c r="J203" s="297" t="str">
        <v>Foto de matrícula, indicadores Q/R heredados de hoja20</v>
      </c>
      <c r="K203" s="297" t="n">
        <v>33</v>
      </c>
      <c r="L203" s="297" t="str">
        <v>No</v>
      </c>
      <c r="M203" s="297" t="n">
        <v>0</v>
      </c>
    </row>
    <row r="204" ht="42" customHeight="1">
      <c r="A204" s="297" t="n">
        <v>2026</v>
      </c>
      <c r="B204" s="297" t="n">
        <v>2026</v>
      </c>
      <c r="C204" s="297" t="n">
        <v>2</v>
      </c>
      <c r="D204" s="297" t="str">
        <v>Auditoría</v>
      </c>
      <c r="E204" s="297" t="str">
        <v>I162S2C86J4V1</v>
      </c>
      <c r="F204" s="306" t="n">
        <v>23</v>
      </c>
      <c r="G204" s="306" t="n">
        <v>16</v>
      </c>
      <c r="H204" s="306" t="n">
        <v>23</v>
      </c>
      <c r="I204" s="308" t="n">
        <f>IF(ISNUMBER(G204),IF(H204&gt;0,G204/H204,"No aplica"),"Pendiente")</f>
        <v>0.6956521739130435</v>
      </c>
      <c r="J204" s="297" t="str">
        <v>Proxy actividad y estado académico VIGENTE en PROMEDIOS; no foto de cierre</v>
      </c>
      <c r="K204" s="297" t="n">
        <v>7</v>
      </c>
      <c r="L204" s="297" t="str">
        <v>No</v>
      </c>
      <c r="M204" s="297" t="n">
        <v>16</v>
      </c>
    </row>
    <row r="205" ht="42" customHeight="1">
      <c r="A205" s="297" t="n">
        <v>2026</v>
      </c>
      <c r="B205" s="297" t="n">
        <v>2026</v>
      </c>
      <c r="C205" s="297" t="n">
        <v>3</v>
      </c>
      <c r="D205" s="297" t="str">
        <v>Auditoría</v>
      </c>
      <c r="E205" s="297" t="str">
        <v>I162S2C86J4V1</v>
      </c>
      <c r="F205" s="306" t="n">
        <v>23</v>
      </c>
      <c r="G205" s="306" t="n">
        <v>22</v>
      </c>
      <c r="H205" s="306" t="n">
        <v>23</v>
      </c>
      <c r="I205" s="308" t="n">
        <f>IF(ISNUMBER(G205),IF(H205&gt;0,G205/H205,"No aplica"),"Pendiente")</f>
        <v>0.9565217391304348</v>
      </c>
      <c r="J205" s="297" t="str">
        <v>Foto de matrícula, indicadores Q/R heredados de hoja20</v>
      </c>
      <c r="K205" s="297" t="n">
        <v>8</v>
      </c>
      <c r="L205" s="297" t="str">
        <v>No</v>
      </c>
      <c r="M205" s="297" t="n">
        <v>15</v>
      </c>
    </row>
    <row r="206" ht="42" customHeight="1">
      <c r="A206" s="297" t="n">
        <v>2026</v>
      </c>
      <c r="B206" s="297" t="n">
        <v>2026</v>
      </c>
      <c r="C206" s="297" t="n">
        <v>2</v>
      </c>
      <c r="D206" s="297" t="str">
        <v>Ingeniería Industrial</v>
      </c>
      <c r="E206" s="297" t="str">
        <v>I162S2C87J4V2</v>
      </c>
      <c r="F206" s="306" t="n">
        <v>51</v>
      </c>
      <c r="G206" s="306" t="n">
        <v>37</v>
      </c>
      <c r="H206" s="306" t="n">
        <v>51</v>
      </c>
      <c r="I206" s="308" t="n">
        <f>IF(ISNUMBER(G206),IF(H206&gt;0,G206/H206,"No aplica"),"Pendiente")</f>
        <v>0.7254901960784313</v>
      </c>
      <c r="J206" s="297" t="str">
        <v>Proxy actividad y estado académico VIGENTE en PROMEDIOS; no foto de cierre</v>
      </c>
      <c r="K206" s="297" t="n">
        <v>14</v>
      </c>
      <c r="L206" s="297" t="str">
        <v>No</v>
      </c>
      <c r="M206" s="297" t="n">
        <v>37</v>
      </c>
    </row>
    <row r="207" ht="42" customHeight="1">
      <c r="A207" s="297" t="n">
        <v>2026</v>
      </c>
      <c r="B207" s="297" t="n">
        <v>2026</v>
      </c>
      <c r="C207" s="297" t="n">
        <v>3</v>
      </c>
      <c r="D207" s="297" t="str">
        <v>Ingeniería Industrial</v>
      </c>
      <c r="E207" s="297" t="str">
        <v>I162S2C87J4V2</v>
      </c>
      <c r="F207" s="306" t="n">
        <v>51</v>
      </c>
      <c r="G207" s="306" t="n">
        <v>50</v>
      </c>
      <c r="H207" s="306" t="n">
        <v>51</v>
      </c>
      <c r="I207" s="308" t="n">
        <f>IF(ISNUMBER(G207),IF(H207&gt;0,G207/H207,"No aplica"),"Pendiente")</f>
        <v>0.9803921568627451</v>
      </c>
      <c r="J207" s="297" t="str">
        <v>Foto de matrícula, indicadores Q/R heredados de hoja20</v>
      </c>
      <c r="K207" s="297" t="n">
        <v>18</v>
      </c>
      <c r="L207" s="297" t="str">
        <v>No</v>
      </c>
      <c r="M207" s="297" t="n">
        <v>33</v>
      </c>
    </row>
    <row r="208" ht="42" customHeight="1">
      <c r="A208" s="297" t="n">
        <v>2026</v>
      </c>
      <c r="B208" s="297" t="n">
        <v>2026</v>
      </c>
      <c r="C208" s="297" t="n">
        <v>2</v>
      </c>
      <c r="D208" s="297" t="str">
        <v>Ingeniería en Ciencia de Datos</v>
      </c>
      <c r="E208" s="297" t="str">
        <v>I162S2C88J4V1</v>
      </c>
      <c r="F208" s="306" t="n">
        <v>25</v>
      </c>
      <c r="G208" s="306" t="n">
        <v>19</v>
      </c>
      <c r="H208" s="306" t="n">
        <v>25</v>
      </c>
      <c r="I208" s="308" t="n">
        <f>IF(ISNUMBER(G208),IF(H208&gt;0,G208/H208,"No aplica"),"Pendiente")</f>
        <v>0.76</v>
      </c>
      <c r="J208" s="297" t="str">
        <v>Proxy actividad y estado académico VIGENTE en PROMEDIOS; no foto de cierre</v>
      </c>
      <c r="K208" s="297" t="n">
        <v>6</v>
      </c>
      <c r="L208" s="297" t="str">
        <v>No</v>
      </c>
      <c r="M208" s="297" t="n">
        <v>19</v>
      </c>
    </row>
    <row r="209" ht="42" customHeight="1">
      <c r="A209" s="297" t="n">
        <v>2026</v>
      </c>
      <c r="B209" s="297" t="n">
        <v>2026</v>
      </c>
      <c r="C209" s="297" t="n">
        <v>3</v>
      </c>
      <c r="D209" s="297" t="str">
        <v>Ingeniería en Ciencia de Datos</v>
      </c>
      <c r="E209" s="297" t="str">
        <v>I162S2C88J4V1</v>
      </c>
      <c r="F209" s="306" t="n">
        <v>25</v>
      </c>
      <c r="G209" s="306" t="n">
        <v>22</v>
      </c>
      <c r="H209" s="306" t="n">
        <v>25</v>
      </c>
      <c r="I209" s="308" t="n">
        <f>IF(ISNUMBER(G209),IF(H209&gt;0,G209/H209,"No aplica"),"Pendiente")</f>
        <v>0.88</v>
      </c>
      <c r="J209" s="297" t="str">
        <v>Foto de matrícula, indicadores Q/R heredados de hoja20</v>
      </c>
      <c r="K209" s="297" t="n">
        <v>8</v>
      </c>
      <c r="L209" s="297" t="str">
        <v>No</v>
      </c>
      <c r="M209" s="297" t="n">
        <v>17</v>
      </c>
    </row>
    <row r="210" ht="42" customHeight="1">
      <c r="A210" s="297" t="n">
        <v>2026</v>
      </c>
      <c r="B210" s="297" t="n">
        <v>2026</v>
      </c>
      <c r="C210" s="297" t="n">
        <v>2</v>
      </c>
      <c r="D210" s="297" t="str">
        <v>Técnico en Ciencia de Datos</v>
      </c>
      <c r="E210" s="297" t="str">
        <v>I162S2C89J4V1</v>
      </c>
      <c r="F210" s="306" t="n">
        <v>18</v>
      </c>
      <c r="G210" s="306" t="n">
        <v>14</v>
      </c>
      <c r="H210" s="306" t="n">
        <v>18</v>
      </c>
      <c r="I210" s="308" t="n">
        <f>IF(ISNUMBER(G210),IF(H210&gt;0,G210/H210,"No aplica"),"Pendiente")</f>
        <v>0.7777777777777778</v>
      </c>
      <c r="J210" s="297" t="str">
        <v>Proxy actividad y estado académico VIGENTE en PROMEDIOS; no foto de cierre</v>
      </c>
      <c r="K210" s="297" t="n">
        <v>18</v>
      </c>
      <c r="L210" s="297" t="str">
        <v>No</v>
      </c>
      <c r="M210" s="297" t="n">
        <v>0</v>
      </c>
    </row>
    <row r="211" ht="42" customHeight="1">
      <c r="A211" s="297" t="n">
        <v>2026</v>
      </c>
      <c r="B211" s="297" t="n">
        <v>2026</v>
      </c>
      <c r="C211" s="297" t="n">
        <v>3</v>
      </c>
      <c r="D211" s="297" t="str">
        <v>Técnico en Ciencia de Datos</v>
      </c>
      <c r="E211" s="297" t="str">
        <v>I162S2C89J4V1</v>
      </c>
      <c r="F211" s="306" t="n">
        <v>18</v>
      </c>
      <c r="G211" s="306" t="n">
        <v>16</v>
      </c>
      <c r="H211" s="306" t="n">
        <v>18</v>
      </c>
      <c r="I211" s="308" t="n">
        <f>IF(ISNUMBER(G211),IF(H211&gt;0,G211/H211,"No aplica"),"Pendiente")</f>
        <v>0.8888888888888888</v>
      </c>
      <c r="J211" s="297" t="str">
        <v>Foto de matrícula, indicadores Q/R heredados de hoja20</v>
      </c>
      <c r="K211" s="297" t="n">
        <v>18</v>
      </c>
      <c r="L211" s="297" t="str">
        <v>No</v>
      </c>
      <c r="M211" s="297" t="n">
        <v>0</v>
      </c>
    </row>
    <row r="212" ht="42" customHeight="1">
      <c r="A212" s="297" t="n">
        <v>2026</v>
      </c>
      <c r="B212" s="297" t="n">
        <v>2026</v>
      </c>
      <c r="C212" s="297" t="n">
        <v>2</v>
      </c>
      <c r="D212" s="297" t="str">
        <v>Naturopatía</v>
      </c>
      <c r="E212" s="297" t="str">
        <v>I162S2C90J2V2</v>
      </c>
      <c r="F212" s="306" t="n">
        <v>19</v>
      </c>
      <c r="G212" s="306" t="n">
        <v>8</v>
      </c>
      <c r="H212" s="306" t="n">
        <v>19</v>
      </c>
      <c r="I212" s="308" t="n">
        <f>IF(ISNUMBER(G212),IF(H212&gt;0,G212/H212,"No aplica"),"Pendiente")</f>
        <v>0.42105263157894735</v>
      </c>
      <c r="J212" s="297" t="str">
        <v>Proxy actividad y estado académico VIGENTE en PROMEDIOS; no foto de cierre</v>
      </c>
      <c r="K212" s="297" t="n">
        <v>11</v>
      </c>
      <c r="L212" s="297" t="str">
        <v>No</v>
      </c>
      <c r="M212" s="297" t="n">
        <v>8</v>
      </c>
    </row>
    <row r="213" ht="42" customHeight="1">
      <c r="A213" s="297" t="n">
        <v>2026</v>
      </c>
      <c r="B213" s="297" t="n">
        <v>2026</v>
      </c>
      <c r="C213" s="297" t="n">
        <v>3</v>
      </c>
      <c r="D213" s="297" t="str">
        <v>Naturopatía</v>
      </c>
      <c r="E213" s="297" t="str">
        <v>I162S2C90J2V2</v>
      </c>
      <c r="F213" s="306" t="n">
        <v>19</v>
      </c>
      <c r="G213" s="306" t="n">
        <v>17</v>
      </c>
      <c r="H213" s="306" t="n">
        <v>19</v>
      </c>
      <c r="I213" s="308" t="n">
        <f>IF(ISNUMBER(G213),IF(H213&gt;0,G213/H213,"No aplica"),"Pendiente")</f>
        <v>0.8947368421052632</v>
      </c>
      <c r="J213" s="297" t="str">
        <v>Foto de matrícula, indicadores Q/R heredados de hoja20</v>
      </c>
      <c r="K213" s="297" t="n">
        <v>4</v>
      </c>
      <c r="L213" s="297" t="str">
        <v>No</v>
      </c>
      <c r="M213" s="297" t="n">
        <v>15</v>
      </c>
    </row>
    <row r="214" ht="42" customHeight="1">
      <c r="A214" s="297" t="n">
        <v>2026</v>
      </c>
      <c r="B214" s="297" t="n">
        <v>2026</v>
      </c>
      <c r="C214" s="297" t="n">
        <v>2</v>
      </c>
      <c r="D214" s="297" t="str">
        <v>Técnico en Enfermería</v>
      </c>
      <c r="E214" s="297" t="str">
        <v>I162S2C91J1V1</v>
      </c>
      <c r="F214" s="306" t="n">
        <v>48</v>
      </c>
      <c r="G214" s="306" t="n">
        <v>25</v>
      </c>
      <c r="H214" s="306" t="n">
        <v>48</v>
      </c>
      <c r="I214" s="308" t="n">
        <f>IF(ISNUMBER(G214),IF(H214&gt;0,G214/H214,"No aplica"),"Pendiente")</f>
        <v>0.5208333333333334</v>
      </c>
      <c r="J214" s="297" t="str">
        <v>Proxy actividad y estado académico VIGENTE en PROMEDIOS; no foto de cierre</v>
      </c>
      <c r="K214" s="297" t="n">
        <v>48</v>
      </c>
      <c r="L214" s="297" t="str">
        <v>No</v>
      </c>
      <c r="M214" s="297" t="n">
        <v>0</v>
      </c>
    </row>
    <row r="215" ht="42" customHeight="1">
      <c r="A215" s="297" t="n">
        <v>2026</v>
      </c>
      <c r="B215" s="297" t="n">
        <v>2026</v>
      </c>
      <c r="C215" s="297" t="n">
        <v>3</v>
      </c>
      <c r="D215" s="297" t="str">
        <v>Técnico en Enfermería</v>
      </c>
      <c r="E215" s="297" t="str">
        <v>I162S2C91J1V1</v>
      </c>
      <c r="F215" s="306" t="n">
        <v>48</v>
      </c>
      <c r="G215" s="306" t="n">
        <v>45</v>
      </c>
      <c r="H215" s="306" t="n">
        <v>48</v>
      </c>
      <c r="I215" s="308" t="n">
        <f>IF(ISNUMBER(G215),IF(H215&gt;0,G215/H215,"No aplica"),"Pendiente")</f>
        <v>0.9375</v>
      </c>
      <c r="J215" s="297" t="str">
        <v>Foto de matrícula, indicadores Q/R heredados de hoja20</v>
      </c>
      <c r="K215" s="297" t="n">
        <v>48</v>
      </c>
      <c r="L215" s="297" t="str">
        <v>No</v>
      </c>
      <c r="M215" s="297" t="n">
        <v>0</v>
      </c>
    </row>
    <row r="216" ht="42" customHeight="1">
      <c r="A216" s="297" t="n">
        <v>2026</v>
      </c>
      <c r="B216" s="297" t="n">
        <v>2026</v>
      </c>
      <c r="C216" s="297" t="n">
        <v>2</v>
      </c>
      <c r="D216" s="297" t="str">
        <v>Técnico en Enfermería</v>
      </c>
      <c r="E216" s="297" t="str">
        <v>I162S2C91J2V1</v>
      </c>
      <c r="F216" s="306" t="n">
        <v>64</v>
      </c>
      <c r="G216" s="306" t="n">
        <v>34</v>
      </c>
      <c r="H216" s="306" t="n">
        <v>64</v>
      </c>
      <c r="I216" s="308" t="n">
        <f>IF(ISNUMBER(G216),IF(H216&gt;0,G216/H216,"No aplica"),"Pendiente")</f>
        <v>0.53125</v>
      </c>
      <c r="J216" s="297" t="str">
        <v>Proxy actividad y estado académico VIGENTE en PROMEDIOS; no foto de cierre</v>
      </c>
      <c r="K216" s="297" t="n">
        <v>64</v>
      </c>
      <c r="L216" s="297" t="str">
        <v>No</v>
      </c>
      <c r="M216" s="297" t="n">
        <v>0</v>
      </c>
    </row>
    <row r="217" ht="42" customHeight="1">
      <c r="A217" s="297" t="n">
        <v>2026</v>
      </c>
      <c r="B217" s="297" t="n">
        <v>2026</v>
      </c>
      <c r="C217" s="297" t="n">
        <v>3</v>
      </c>
      <c r="D217" s="297" t="str">
        <v>Técnico en Enfermería</v>
      </c>
      <c r="E217" s="297" t="str">
        <v>I162S2C91J2V1</v>
      </c>
      <c r="F217" s="306" t="n">
        <v>64</v>
      </c>
      <c r="G217" s="306" t="n">
        <v>58</v>
      </c>
      <c r="H217" s="306" t="n">
        <v>64</v>
      </c>
      <c r="I217" s="308" t="n">
        <f>IF(ISNUMBER(G217),IF(H217&gt;0,G217/H217,"No aplica"),"Pendiente")</f>
        <v>0.90625</v>
      </c>
      <c r="J217" s="297" t="str">
        <v>Foto de matrícula, indicadores Q/R heredados de hoja20</v>
      </c>
      <c r="K217" s="297" t="n">
        <v>64</v>
      </c>
      <c r="L217" s="297" t="str">
        <v>No</v>
      </c>
      <c r="M217" s="297" t="n">
        <v>0</v>
      </c>
    </row>
    <row r="218" ht="42" customHeight="1">
      <c r="A218" s="297" t="n">
        <v>2026</v>
      </c>
      <c r="B218" s="297" t="n">
        <v>2026</v>
      </c>
      <c r="C218" s="297" t="n">
        <v>2</v>
      </c>
      <c r="D218" s="297" t="str">
        <v>Técnico en Enfermería e Instrumentación Quirúrgica</v>
      </c>
      <c r="E218" s="297" t="str">
        <v>I162S3C114J2V1</v>
      </c>
      <c r="F218" s="306" t="n">
        <v>32</v>
      </c>
      <c r="G218" s="306" t="n">
        <v>17</v>
      </c>
      <c r="H218" s="306" t="n">
        <v>32</v>
      </c>
      <c r="I218" s="308" t="n">
        <f>IF(ISNUMBER(G218),IF(H218&gt;0,G218/H218,"No aplica"),"Pendiente")</f>
        <v>0.53125</v>
      </c>
      <c r="J218" s="297" t="str">
        <v>Proxy actividad y estado académico VIGENTE en PROMEDIOS; no foto de cierre</v>
      </c>
      <c r="K218" s="297" t="n">
        <v>32</v>
      </c>
      <c r="L218" s="297" t="str">
        <v>No</v>
      </c>
      <c r="M218" s="297" t="n">
        <v>0</v>
      </c>
    </row>
    <row r="219" ht="42" customHeight="1">
      <c r="A219" s="297" t="n">
        <v>2026</v>
      </c>
      <c r="B219" s="297" t="n">
        <v>2026</v>
      </c>
      <c r="C219" s="297" t="n">
        <v>3</v>
      </c>
      <c r="D219" s="297" t="str">
        <v>Técnico en Enfermería e Instrumentación Quirúrgica</v>
      </c>
      <c r="E219" s="297" t="str">
        <v>I162S3C114J2V1</v>
      </c>
      <c r="F219" s="306" t="n">
        <v>32</v>
      </c>
      <c r="G219" s="306" t="n">
        <v>29</v>
      </c>
      <c r="H219" s="306" t="n">
        <v>32</v>
      </c>
      <c r="I219" s="308" t="n">
        <f>IF(ISNUMBER(G219),IF(H219&gt;0,G219/H219,"No aplica"),"Pendiente")</f>
        <v>0.90625</v>
      </c>
      <c r="J219" s="297" t="str">
        <v>Foto de matrícula, indicadores Q/R heredados de hoja20</v>
      </c>
      <c r="K219" s="297" t="n">
        <v>32</v>
      </c>
      <c r="L219" s="297" t="str">
        <v>No</v>
      </c>
      <c r="M219" s="297" t="n">
        <v>0</v>
      </c>
    </row>
    <row r="220" ht="42" customHeight="1">
      <c r="A220" s="297" t="n">
        <v>2026</v>
      </c>
      <c r="B220" s="297" t="n">
        <v>2026</v>
      </c>
      <c r="C220" s="297" t="n">
        <v>2</v>
      </c>
      <c r="D220" s="297" t="str">
        <v>Técnico en Farmacia</v>
      </c>
      <c r="E220" s="297" t="str">
        <v>I162S3C115J2V1</v>
      </c>
      <c r="F220" s="306" t="n">
        <v>17</v>
      </c>
      <c r="G220" s="306" t="n">
        <v>4</v>
      </c>
      <c r="H220" s="306" t="n">
        <v>17</v>
      </c>
      <c r="I220" s="308" t="n">
        <f>IF(ISNUMBER(G220),IF(H220&gt;0,G220/H220,"No aplica"),"Pendiente")</f>
        <v>0.23529411764705882</v>
      </c>
      <c r="J220" s="297" t="str">
        <v>Proxy actividad y estado académico VIGENTE en PROMEDIOS; no foto de cierre</v>
      </c>
      <c r="K220" s="297" t="n">
        <v>17</v>
      </c>
      <c r="L220" s="297" t="str">
        <v>No</v>
      </c>
      <c r="M220" s="297" t="n">
        <v>0</v>
      </c>
    </row>
    <row r="221" ht="42" customHeight="1">
      <c r="A221" s="297" t="n">
        <v>2026</v>
      </c>
      <c r="B221" s="297" t="n">
        <v>2026</v>
      </c>
      <c r="C221" s="297" t="n">
        <v>3</v>
      </c>
      <c r="D221" s="297" t="str">
        <v>Técnico en Farmacia</v>
      </c>
      <c r="E221" s="297" t="str">
        <v>I162S3C115J2V1</v>
      </c>
      <c r="F221" s="306" t="n">
        <v>17</v>
      </c>
      <c r="G221" s="306" t="n">
        <v>16</v>
      </c>
      <c r="H221" s="306" t="n">
        <v>17</v>
      </c>
      <c r="I221" s="308" t="n">
        <f>IF(ISNUMBER(G221),IF(H221&gt;0,G221/H221,"No aplica"),"Pendiente")</f>
        <v>0.9411764705882353</v>
      </c>
      <c r="J221" s="297" t="str">
        <v>Foto de matrícula, indicadores Q/R heredados de hoja20</v>
      </c>
      <c r="K221" s="297" t="n">
        <v>17</v>
      </c>
      <c r="L221" s="297" t="str">
        <v>No</v>
      </c>
      <c r="M221" s="297" t="n">
        <v>0</v>
      </c>
    </row>
    <row r="222" ht="42" customHeight="1">
      <c r="A222" s="297" t="n">
        <v>2026</v>
      </c>
      <c r="B222" s="297" t="n">
        <v>2026</v>
      </c>
      <c r="C222" s="297" t="n">
        <v>2</v>
      </c>
      <c r="D222" s="297" t="str">
        <v>Técnico en Enfermería</v>
      </c>
      <c r="E222" s="297" t="str">
        <v>I162S3C91J2V1</v>
      </c>
      <c r="F222" s="306" t="n">
        <v>14</v>
      </c>
      <c r="G222" s="306" t="n">
        <v>4</v>
      </c>
      <c r="H222" s="306" t="n">
        <v>14</v>
      </c>
      <c r="I222" s="308" t="n">
        <f>IF(ISNUMBER(G222),IF(H222&gt;0,G222/H222,"No aplica"),"Pendiente")</f>
        <v>0.2857142857142857</v>
      </c>
      <c r="J222" s="297" t="str">
        <v>Proxy actividad y estado académico VIGENTE en PROMEDIOS; no foto de cierre</v>
      </c>
      <c r="K222" s="297" t="n">
        <v>14</v>
      </c>
      <c r="L222" s="297" t="str">
        <v>No</v>
      </c>
      <c r="M222" s="297" t="n">
        <v>0</v>
      </c>
    </row>
    <row r="223" ht="42" customHeight="1">
      <c r="A223" s="297" t="n">
        <v>2026</v>
      </c>
      <c r="B223" s="297" t="n">
        <v>2026</v>
      </c>
      <c r="C223" s="297" t="n">
        <v>3</v>
      </c>
      <c r="D223" s="297" t="str">
        <v>Técnico en Enfermería</v>
      </c>
      <c r="E223" s="297" t="str">
        <v>I162S3C91J2V1</v>
      </c>
      <c r="F223" s="306" t="n">
        <v>14</v>
      </c>
      <c r="G223" s="306" t="n">
        <v>10</v>
      </c>
      <c r="H223" s="306" t="n">
        <v>14</v>
      </c>
      <c r="I223" s="308" t="n">
        <f>IF(ISNUMBER(G223),IF(H223&gt;0,G223/H223,"No aplica"),"Pendiente")</f>
        <v>0.7142857142857143</v>
      </c>
      <c r="J223" s="297" t="str">
        <v>Foto de matrícula, indicadores Q/R heredados de hoja20</v>
      </c>
      <c r="K223" s="297" t="n">
        <v>14</v>
      </c>
      <c r="L223" s="297" t="str">
        <v>No</v>
      </c>
      <c r="M223" s="297" t="n">
        <v>0</v>
      </c>
    </row>
  </sheetData>
  <mergeCells>
    <mergeCell ref="A1:M3"/>
  </mergeCells>
  <pageMargins left="0.7" right="0.7" top="0.75" bottom="0.75" header="0.3" footer="0.3"/>
  <tableParts count="1">
    <tablePart xmlns:r="http://schemas.openxmlformats.org/officeDocument/2006/relationships" r:id="R0ccc78d85659459d"/>
  </tableParts>
</worksheet>
</file>

<file path=xl/worksheets/sheet54.xml><?xml version="1.0" encoding="utf-8"?>
<worksheet xmlns="http://schemas.openxmlformats.org/spreadsheetml/2006/main">
  <sheetPr>
    <tabColor rgb="FFCFB47C"/>
  </sheetPr>
  <sheetViews>
    <sheetView showGridLines="0" workbookViewId="0">
      <pane ySplit="5" topLeftCell="A6" activePane="bottomLeft" state="frozen"/>
    </sheetView>
  </sheetViews>
  <sheetFormatPr defaultRowHeight="15"/>
  <cols>
    <col min="1" max="1" width="14" hidden="0" customWidth="1"/>
    <col min="2" max="2" width="14" hidden="0" customWidth="1"/>
    <col min="3" max="3" width="14" hidden="0" customWidth="1"/>
    <col min="4" max="4" width="40" hidden="0" customWidth="1"/>
    <col min="5" max="5" width="25" hidden="0" customWidth="1"/>
    <col min="6" max="6" width="25" hidden="0" customWidth="1"/>
    <col min="7" max="7" width="25" hidden="0" customWidth="1"/>
    <col min="8" max="8" width="25" hidden="0" customWidth="1"/>
    <col min="9" max="9" width="25" hidden="0" customWidth="1"/>
    <col min="10" max="10" width="45" hidden="0" customWidth="1"/>
    <col min="11" max="11" width="45" hidden="0" customWidth="1"/>
    <col min="12" max="12" width="45" hidden="0" customWidth="1"/>
    <col min="13" max="13" width="17" hidden="0" customWidth="1"/>
    <col min="14" max="14" width="17" hidden="0" customWidth="1"/>
    <col min="15" max="15" width="55" hidden="0" customWidth="1"/>
  </cols>
  <sheetData>
    <row r="1" ht="26" customHeight="1">
      <c r="A1" s="301" t="str">
        <v>54 · Código de origen y excepciones por período
B/C · Código documental anual atribuido. D · Correspondencia interna ya aprobada. E · Versión o atribución pendiente. Una observación es un expediente/plan/período; no equivale a una persona adicional ni a matrícula vigente.</v>
      </c>
      <c r="B1" s="8"/>
      <c r="C1" s="8"/>
      <c r="D1" s="8"/>
      <c r="E1" s="8"/>
      <c r="F1" s="8"/>
      <c r="G1" s="8"/>
      <c r="H1" s="8"/>
      <c r="I1" s="8"/>
      <c r="J1" s="8"/>
      <c r="K1" s="8"/>
      <c r="L1" s="8"/>
      <c r="M1" s="8"/>
      <c r="N1" s="8"/>
      <c r="O1" s="8"/>
    </row>
    <row r="2" ht="26" customHeight="1">
      <c r="A2" s="8"/>
      <c r="B2" s="8"/>
      <c r="C2" s="8"/>
      <c r="D2" s="8"/>
      <c r="E2" s="8"/>
      <c r="F2" s="8"/>
      <c r="G2" s="8"/>
      <c r="H2" s="8"/>
      <c r="I2" s="8"/>
      <c r="J2" s="8"/>
      <c r="K2" s="8"/>
      <c r="L2" s="8"/>
      <c r="M2" s="8"/>
      <c r="N2" s="8"/>
      <c r="O2" s="8"/>
    </row>
    <row r="3" ht="26" customHeight="1">
      <c r="A3" s="8"/>
      <c r="B3" s="8"/>
      <c r="C3" s="8"/>
      <c r="D3" s="8"/>
      <c r="E3" s="8"/>
      <c r="F3" s="8"/>
      <c r="G3" s="8"/>
      <c r="H3" s="8"/>
      <c r="I3" s="8"/>
      <c r="J3" s="8"/>
      <c r="K3" s="8"/>
      <c r="L3" s="8"/>
      <c r="M3" s="8"/>
      <c r="N3" s="8"/>
      <c r="O3" s="8"/>
    </row>
    <row r="4" ht="42" customHeight="1">
      <c r="A4" s="4"/>
      <c r="B4" s="4"/>
      <c r="C4" s="4"/>
      <c r="D4" s="4"/>
      <c r="E4" s="4"/>
      <c r="F4" s="4"/>
      <c r="G4" s="4"/>
      <c r="H4" s="4"/>
      <c r="I4" s="4"/>
      <c r="J4" s="4"/>
      <c r="K4" s="4"/>
      <c r="L4" s="4"/>
      <c r="M4" s="4"/>
      <c r="N4" s="4"/>
      <c r="O4" s="4"/>
    </row>
    <row r="5" ht="48" customHeight="1">
      <c r="A5" s="304" t="str">
        <v>Año cohorte T1</v>
      </c>
      <c r="B5" s="304" t="str">
        <v>Año observado</v>
      </c>
      <c r="C5" s="304" t="str">
        <v>Período nativo</v>
      </c>
      <c r="D5" s="304" t="str">
        <v>Carrera de origen T1</v>
      </c>
      <c r="E5" s="304" t="str">
        <v>Carrera UMAS observada</v>
      </c>
      <c r="F5" s="304" t="str">
        <v>Plan observado</v>
      </c>
      <c r="G5" s="304" t="str">
        <v>Código SIES de origen T1</v>
      </c>
      <c r="H5" s="304" t="str">
        <v>Código del contexto</v>
      </c>
      <c r="I5" s="304" t="str">
        <v>Respaldo del contexto</v>
      </c>
      <c r="J5" s="304" t="str">
        <v>Relación o excepción</v>
      </c>
      <c r="K5" s="304" t="str">
        <v>Comparación de plan</v>
      </c>
      <c r="L5" s="304" t="str">
        <v>Contraste de dimensiones</v>
      </c>
      <c r="M5" s="304" t="str">
        <v>Origen multiversión</v>
      </c>
      <c r="N5" s="304" t="str">
        <v>Observaciones</v>
      </c>
      <c r="O5" s="304" t="str">
        <v>Pendiente o límite</v>
      </c>
    </row>
    <row r="6" ht="58" customHeight="1">
      <c r="A6" s="297" t="n">
        <v>2024</v>
      </c>
      <c r="B6" s="297" t="n">
        <v>2025</v>
      </c>
      <c r="C6" s="297" t="n">
        <v>2</v>
      </c>
      <c r="D6" s="297" t="str">
        <v>Ingeniería en Administración de Empresas</v>
      </c>
      <c r="E6" s="297" t="str">
        <v>IADM</v>
      </c>
      <c r="F6" s="297" t="str">
        <v>IADM20241</v>
      </c>
      <c r="G6" s="297" t="str">
        <v>I162S2C76J4V1</v>
      </c>
      <c r="H6" s="297" t="str">
        <v>I162S2C76J4V1</v>
      </c>
      <c r="I6" s="297" t="str">
        <v>B/C Documental anual</v>
      </c>
      <c r="J6" s="297" t="str">
        <v>Código destino igual a origen T1</v>
      </c>
      <c r="K6" s="297" t="str">
        <v>Mismo plan observado en contexto nativo 1 de año origen</v>
      </c>
      <c r="L6" s="297" t="str">
        <v>Sede/jornada del contexto coinciden con código origen</v>
      </c>
      <c r="M6" s="297" t="str">
        <v>No</v>
      </c>
      <c r="N6" s="306" t="n">
        <v>3</v>
      </c>
      <c r="O6" s="297" t="str">
        <v>Código anual atribuido; no acredita día del cambio ni aceptación SIES</v>
      </c>
    </row>
    <row r="7" ht="58" customHeight="1">
      <c r="A7" s="297" t="n">
        <v>2024</v>
      </c>
      <c r="B7" s="297" t="n">
        <v>2025</v>
      </c>
      <c r="C7" s="297" t="n">
        <v>2</v>
      </c>
      <c r="D7" s="297" t="str">
        <v>Ingeniería en Ciberseguridad</v>
      </c>
      <c r="E7" s="297" t="str">
        <v>ICDA</v>
      </c>
      <c r="F7" s="297" t="str">
        <v>ICDA20251</v>
      </c>
      <c r="G7" s="297" t="str">
        <v>I162S2C46J4V3</v>
      </c>
      <c r="H7" s="297" t="str">
        <v>I162S2C88J4V1</v>
      </c>
      <c r="I7" s="297" t="str">
        <v>B/C Documental anual</v>
      </c>
      <c r="J7" s="297" t="str">
        <v>Destino distinto en carrera</v>
      </c>
      <c r="K7" s="297" t="str">
        <v>Sin contexto nativo 1 del mismo CODCLI en año origen</v>
      </c>
      <c r="L7" s="297" t="str">
        <v>Sede/jornada del contexto coinciden con código origen</v>
      </c>
      <c r="M7" s="297" t="str">
        <v>Sí</v>
      </c>
      <c r="N7" s="306" t="n">
        <v>1</v>
      </c>
      <c r="O7" s="297" t="str">
        <v>Código anual atribuido; no acredita día del cambio ni aceptación SIES</v>
      </c>
    </row>
    <row r="8" ht="58" customHeight="1">
      <c r="A8" s="297" t="n">
        <v>2024</v>
      </c>
      <c r="B8" s="297" t="n">
        <v>2025</v>
      </c>
      <c r="C8" s="297" t="n">
        <v>2</v>
      </c>
      <c r="D8" s="297" t="str">
        <v>Ingeniería en Ciberseguridad</v>
      </c>
      <c r="E8" s="297" t="str">
        <v>ICIB</v>
      </c>
      <c r="F8" s="297" t="str">
        <v>ICIB20241</v>
      </c>
      <c r="G8" s="297" t="str">
        <v>I162S2C46J1V1</v>
      </c>
      <c r="H8" s="305" t="str">
        <v>Pendiente</v>
      </c>
      <c r="I8" s="305" t="str">
        <v>E Pendiente</v>
      </c>
      <c r="J8" s="305" t="str">
        <v>Misma carrera/sede; jornada candidata distinta del origen</v>
      </c>
      <c r="K8" s="297" t="str">
        <v>Mismo plan observado en contexto nativo 1 de año origen</v>
      </c>
      <c r="L8" s="297" t="str">
        <v>Contexto observado difiere en jornada</v>
      </c>
      <c r="M8" s="297" t="str">
        <v>No</v>
      </c>
      <c r="N8" s="306" t="n">
        <v>9</v>
      </c>
      <c r="O8" s="297" t="str">
        <v>Versión/atribución pendiente; no adjudicar por totales</v>
      </c>
    </row>
    <row r="9" ht="58" customHeight="1">
      <c r="A9" s="297" t="n">
        <v>2024</v>
      </c>
      <c r="B9" s="297" t="n">
        <v>2025</v>
      </c>
      <c r="C9" s="297" t="n">
        <v>2</v>
      </c>
      <c r="D9" s="297" t="str">
        <v>Ingeniería en Ciberseguridad</v>
      </c>
      <c r="E9" s="297" t="str">
        <v>ICIB</v>
      </c>
      <c r="F9" s="297" t="str">
        <v>ICIB20241</v>
      </c>
      <c r="G9" s="297" t="str">
        <v>I162S2C46J2V1</v>
      </c>
      <c r="H9" s="297" t="str">
        <v>I162S2C46J2V1</v>
      </c>
      <c r="I9" s="297" t="str">
        <v>B/C Documental anual</v>
      </c>
      <c r="J9" s="297" t="str">
        <v>Código destino igual a origen T1</v>
      </c>
      <c r="K9" s="297" t="str">
        <v>Mismo plan observado en contexto nativo 1 de año origen</v>
      </c>
      <c r="L9" s="297" t="str">
        <v>Sede/jornada del contexto coinciden con código origen</v>
      </c>
      <c r="M9" s="297" t="str">
        <v>Sí</v>
      </c>
      <c r="N9" s="306" t="n">
        <v>6</v>
      </c>
      <c r="O9" s="297" t="str">
        <v>Código anual atribuido; no acredita día del cambio ni aceptación SIES</v>
      </c>
    </row>
    <row r="10" ht="58" customHeight="1">
      <c r="A10" s="297" t="n">
        <v>2024</v>
      </c>
      <c r="B10" s="297" t="n">
        <v>2025</v>
      </c>
      <c r="C10" s="297" t="n">
        <v>2</v>
      </c>
      <c r="D10" s="297" t="str">
        <v>Ingeniería en Ciberseguridad</v>
      </c>
      <c r="E10" s="297" t="str">
        <v>ICIB</v>
      </c>
      <c r="F10" s="297" t="str">
        <v>ICIB20241</v>
      </c>
      <c r="G10" s="297" t="str">
        <v>I162S2C46J2V1</v>
      </c>
      <c r="H10" s="297" t="str">
        <v>I162S2C46J4V3</v>
      </c>
      <c r="I10" s="297" t="str">
        <v>B/C Documental anual</v>
      </c>
      <c r="J10" s="297" t="str">
        <v>Destino distinto en jornada</v>
      </c>
      <c r="K10" s="297" t="str">
        <v>Mismo plan observado en contexto nativo 1 de año origen</v>
      </c>
      <c r="L10" s="297" t="str">
        <v>Contexto observado difiere en jornada</v>
      </c>
      <c r="M10" s="297" t="str">
        <v>Sí</v>
      </c>
      <c r="N10" s="306" t="n">
        <v>2</v>
      </c>
      <c r="O10" s="297" t="str">
        <v>Código anual atribuido; no acredita día del cambio ni aceptación SIES</v>
      </c>
    </row>
    <row r="11" ht="58" customHeight="1">
      <c r="A11" s="297" t="n">
        <v>2024</v>
      </c>
      <c r="B11" s="297" t="n">
        <v>2025</v>
      </c>
      <c r="C11" s="297" t="n">
        <v>2</v>
      </c>
      <c r="D11" s="297" t="str">
        <v>Ingeniería en Ciberseguridad</v>
      </c>
      <c r="E11" s="297" t="str">
        <v>ICIB</v>
      </c>
      <c r="F11" s="297" t="str">
        <v>ICIB20241</v>
      </c>
      <c r="G11" s="297" t="str">
        <v>I162S2C46J2V1</v>
      </c>
      <c r="H11" s="305" t="str">
        <v>Pendiente</v>
      </c>
      <c r="I11" s="305" t="str">
        <v>E Pendiente</v>
      </c>
      <c r="J11" s="305" t="str">
        <v>Misma carrera/sede; jornada candidata distinta del origen</v>
      </c>
      <c r="K11" s="297" t="str">
        <v>Mismo plan observado en contexto nativo 1 de año origen</v>
      </c>
      <c r="L11" s="297" t="str">
        <v>Contexto observado difiere en jornada</v>
      </c>
      <c r="M11" s="297" t="str">
        <v>Sí</v>
      </c>
      <c r="N11" s="306" t="n">
        <v>1</v>
      </c>
      <c r="O11" s="297" t="str">
        <v>Versión/atribución pendiente; no adjudicar por totales</v>
      </c>
    </row>
    <row r="12" ht="58" customHeight="1">
      <c r="A12" s="297" t="n">
        <v>2024</v>
      </c>
      <c r="B12" s="297" t="n">
        <v>2025</v>
      </c>
      <c r="C12" s="297" t="n">
        <v>2</v>
      </c>
      <c r="D12" s="297" t="str">
        <v>Ingeniería en Ciberseguridad</v>
      </c>
      <c r="E12" s="297" t="str">
        <v>ICIB</v>
      </c>
      <c r="F12" s="297" t="str">
        <v>ICIB20241</v>
      </c>
      <c r="G12" s="297" t="str">
        <v>I162S2C46J4V3</v>
      </c>
      <c r="H12" s="297" t="str">
        <v>I162S2C46J4V3</v>
      </c>
      <c r="I12" s="297" t="str">
        <v>B/C Documental anual</v>
      </c>
      <c r="J12" s="297" t="str">
        <v>Código destino igual a origen T1</v>
      </c>
      <c r="K12" s="297" t="str">
        <v>Mismo plan observado en contexto nativo 1 de año origen</v>
      </c>
      <c r="L12" s="297" t="str">
        <v>Sede/jornada del contexto coinciden con código origen</v>
      </c>
      <c r="M12" s="297" t="str">
        <v>Sí</v>
      </c>
      <c r="N12" s="306" t="n">
        <v>21</v>
      </c>
      <c r="O12" s="297" t="str">
        <v>Código anual atribuido; no acredita día del cambio ni aceptación SIES</v>
      </c>
    </row>
    <row r="13" ht="58" customHeight="1">
      <c r="A13" s="297" t="n">
        <v>2024</v>
      </c>
      <c r="B13" s="297" t="n">
        <v>2025</v>
      </c>
      <c r="C13" s="297" t="n">
        <v>2</v>
      </c>
      <c r="D13" s="297" t="str">
        <v>Ingeniería en Conectividad y Redes</v>
      </c>
      <c r="E13" s="297" t="str">
        <v>ICRE</v>
      </c>
      <c r="F13" s="297" t="str">
        <v>ICRE20241</v>
      </c>
      <c r="G13" s="297" t="str">
        <v>I162S2C3J2V4</v>
      </c>
      <c r="H13" s="297" t="str">
        <v>I162S2C3J4V2</v>
      </c>
      <c r="I13" s="297" t="str">
        <v>B/C Documental anual</v>
      </c>
      <c r="J13" s="297" t="str">
        <v>Destino distinto en jornada</v>
      </c>
      <c r="K13" s="297" t="str">
        <v>Mismo plan observado en contexto nativo 1 de año origen</v>
      </c>
      <c r="L13" s="297" t="str">
        <v>Contexto observado difiere en jornada</v>
      </c>
      <c r="M13" s="297" t="str">
        <v>Sí</v>
      </c>
      <c r="N13" s="306" t="n">
        <v>3</v>
      </c>
      <c r="O13" s="297" t="str">
        <v>Código anual atribuido; no acredita día del cambio ni aceptación SIES</v>
      </c>
    </row>
    <row r="14" ht="58" customHeight="1">
      <c r="A14" s="297" t="n">
        <v>2024</v>
      </c>
      <c r="B14" s="297" t="n">
        <v>2025</v>
      </c>
      <c r="C14" s="297" t="n">
        <v>2</v>
      </c>
      <c r="D14" s="297" t="str">
        <v>Ingeniería en Conectividad y Redes</v>
      </c>
      <c r="E14" s="297" t="str">
        <v>ICRE</v>
      </c>
      <c r="F14" s="297" t="str">
        <v>ICRE20241</v>
      </c>
      <c r="G14" s="297" t="str">
        <v>I162S2C3J2V4</v>
      </c>
      <c r="H14" s="305" t="str">
        <v>Pendiente</v>
      </c>
      <c r="I14" s="305" t="str">
        <v>E Pendiente</v>
      </c>
      <c r="J14" s="305" t="str">
        <v>Misma carrera/sede; jornada candidata distinta del origen</v>
      </c>
      <c r="K14" s="297" t="str">
        <v>Mismo plan observado en contexto nativo 1 de año origen</v>
      </c>
      <c r="L14" s="297" t="str">
        <v>Contexto observado difiere en jornada</v>
      </c>
      <c r="M14" s="297" t="str">
        <v>Sí</v>
      </c>
      <c r="N14" s="306" t="n">
        <v>1</v>
      </c>
      <c r="O14" s="297" t="str">
        <v>Versión/atribución pendiente; no adjudicar por totales</v>
      </c>
    </row>
    <row r="15" ht="58" customHeight="1">
      <c r="A15" s="297" t="n">
        <v>2024</v>
      </c>
      <c r="B15" s="297" t="n">
        <v>2025</v>
      </c>
      <c r="C15" s="297" t="n">
        <v>2</v>
      </c>
      <c r="D15" s="297" t="str">
        <v>Ingeniería en Conectividad y Redes</v>
      </c>
      <c r="E15" s="297" t="str">
        <v>ICRE</v>
      </c>
      <c r="F15" s="297" t="str">
        <v>ICRE20241</v>
      </c>
      <c r="G15" s="297" t="str">
        <v>I162S2C3J4V2</v>
      </c>
      <c r="H15" s="297" t="str">
        <v>I162S2C3J2V4</v>
      </c>
      <c r="I15" s="297" t="str">
        <v>B/C Documental anual</v>
      </c>
      <c r="J15" s="297" t="str">
        <v>Destino distinto en jornada</v>
      </c>
      <c r="K15" s="297" t="str">
        <v>Mismo plan observado en contexto nativo 1 de año origen</v>
      </c>
      <c r="L15" s="297" t="str">
        <v>Contexto observado difiere en jornada</v>
      </c>
      <c r="M15" s="297" t="str">
        <v>Sí</v>
      </c>
      <c r="N15" s="306" t="n">
        <v>1</v>
      </c>
      <c r="O15" s="297" t="str">
        <v>Código anual atribuido; no acredita día del cambio ni aceptación SIES</v>
      </c>
    </row>
    <row r="16" ht="58" customHeight="1">
      <c r="A16" s="297" t="n">
        <v>2024</v>
      </c>
      <c r="B16" s="297" t="n">
        <v>2025</v>
      </c>
      <c r="C16" s="297" t="n">
        <v>2</v>
      </c>
      <c r="D16" s="297" t="str">
        <v>Ingeniería en Conectividad y Redes</v>
      </c>
      <c r="E16" s="297" t="str">
        <v>ICRE</v>
      </c>
      <c r="F16" s="297" t="str">
        <v>ICRE20241</v>
      </c>
      <c r="G16" s="297" t="str">
        <v>I162S2C3J4V2</v>
      </c>
      <c r="H16" s="297" t="str">
        <v>I162S2C3J4V2</v>
      </c>
      <c r="I16" s="297" t="str">
        <v>B/C Documental anual</v>
      </c>
      <c r="J16" s="297" t="str">
        <v>Código destino igual a origen T1</v>
      </c>
      <c r="K16" s="297" t="str">
        <v>Mismo plan observado en contexto nativo 1 de año origen</v>
      </c>
      <c r="L16" s="297" t="str">
        <v>Sede/jornada del contexto coinciden con código origen</v>
      </c>
      <c r="M16" s="297" t="str">
        <v>Sí</v>
      </c>
      <c r="N16" s="306" t="n">
        <v>34</v>
      </c>
      <c r="O16" s="297" t="str">
        <v>Código anual atribuido; no acredita día del cambio ni aceptación SIES</v>
      </c>
    </row>
    <row r="17" ht="58" customHeight="1">
      <c r="A17" s="297" t="n">
        <v>2024</v>
      </c>
      <c r="B17" s="297" t="n">
        <v>2025</v>
      </c>
      <c r="C17" s="297" t="n">
        <v>2</v>
      </c>
      <c r="D17" s="297" t="str">
        <v>Ingeniería en Informática</v>
      </c>
      <c r="E17" s="297" t="str">
        <v>IINF</v>
      </c>
      <c r="F17" s="297" t="str">
        <v>IINF20241</v>
      </c>
      <c r="G17" s="297" t="str">
        <v>I162S2C1J1V2</v>
      </c>
      <c r="H17" s="297" t="str">
        <v>I162S2C1J1V1</v>
      </c>
      <c r="I17" s="297" t="str">
        <v>B/C Documental anual</v>
      </c>
      <c r="J17" s="297" t="str">
        <v>Misma familia SIES; versión distinta</v>
      </c>
      <c r="K17" s="297" t="str">
        <v>Mismo plan observado en contexto nativo 1 de año origen</v>
      </c>
      <c r="L17" s="297" t="str">
        <v>Sede/jornada del contexto coinciden con código origen</v>
      </c>
      <c r="M17" s="297" t="str">
        <v>Sí</v>
      </c>
      <c r="N17" s="306" t="n">
        <v>1</v>
      </c>
      <c r="O17" s="297" t="str">
        <v>Código anual atribuido; no acredita día del cambio ni aceptación SIES</v>
      </c>
    </row>
    <row r="18" ht="58" customHeight="1">
      <c r="A18" s="297" t="n">
        <v>2024</v>
      </c>
      <c r="B18" s="297" t="n">
        <v>2025</v>
      </c>
      <c r="C18" s="297" t="n">
        <v>2</v>
      </c>
      <c r="D18" s="297" t="str">
        <v>Ingeniería en Informática</v>
      </c>
      <c r="E18" s="297" t="str">
        <v>IINF</v>
      </c>
      <c r="F18" s="297" t="str">
        <v>IINF20241</v>
      </c>
      <c r="G18" s="297" t="str">
        <v>I162S2C1J1V2</v>
      </c>
      <c r="H18" s="297" t="str">
        <v>I162S2C1J1V2</v>
      </c>
      <c r="I18" s="297" t="str">
        <v>B/C Documental anual</v>
      </c>
      <c r="J18" s="297" t="str">
        <v>Código destino igual a origen T1</v>
      </c>
      <c r="K18" s="297" t="str">
        <v>Mismo plan observado en contexto nativo 1 de año origen</v>
      </c>
      <c r="L18" s="297" t="str">
        <v>Sede/jornada del contexto coinciden con código origen</v>
      </c>
      <c r="M18" s="297" t="str">
        <v>Sí</v>
      </c>
      <c r="N18" s="306" t="n">
        <v>6</v>
      </c>
      <c r="O18" s="297" t="str">
        <v>Código anual atribuido; no acredita día del cambio ni aceptación SIES</v>
      </c>
    </row>
    <row r="19" ht="58" customHeight="1">
      <c r="A19" s="297" t="n">
        <v>2024</v>
      </c>
      <c r="B19" s="297" t="n">
        <v>2025</v>
      </c>
      <c r="C19" s="297" t="n">
        <v>2</v>
      </c>
      <c r="D19" s="297" t="str">
        <v>Ingeniería en Informática</v>
      </c>
      <c r="E19" s="297" t="str">
        <v>IINF</v>
      </c>
      <c r="F19" s="297" t="str">
        <v>IINF20241</v>
      </c>
      <c r="G19" s="297" t="str">
        <v>I162S2C1J1V2</v>
      </c>
      <c r="H19" s="305" t="str">
        <v>Pendiente</v>
      </c>
      <c r="I19" s="305" t="str">
        <v>E Pendiente</v>
      </c>
      <c r="J19" s="305" t="str">
        <v>Misma carrera/sede; jornada candidata distinta del origen</v>
      </c>
      <c r="K19" s="297" t="str">
        <v>Mismo plan observado en contexto nativo 1 de año origen</v>
      </c>
      <c r="L19" s="297" t="str">
        <v>Contexto observado difiere en jornada</v>
      </c>
      <c r="M19" s="297" t="str">
        <v>Sí</v>
      </c>
      <c r="N19" s="306" t="n">
        <v>2</v>
      </c>
      <c r="O19" s="297" t="str">
        <v>Versión/atribución pendiente; no adjudicar por totales</v>
      </c>
    </row>
    <row r="20" ht="58" customHeight="1">
      <c r="A20" s="297" t="n">
        <v>2024</v>
      </c>
      <c r="B20" s="297" t="n">
        <v>2025</v>
      </c>
      <c r="C20" s="297" t="n">
        <v>2</v>
      </c>
      <c r="D20" s="297" t="str">
        <v>Ingeniería en Informática</v>
      </c>
      <c r="E20" s="297" t="str">
        <v>IINF</v>
      </c>
      <c r="F20" s="297" t="str">
        <v>IINF20241</v>
      </c>
      <c r="G20" s="297" t="str">
        <v>I162S2C1J2V4</v>
      </c>
      <c r="H20" s="297" t="str">
        <v>I162S2C1J2V1</v>
      </c>
      <c r="I20" s="297" t="str">
        <v>B/C Documental anual</v>
      </c>
      <c r="J20" s="297" t="str">
        <v>Misma familia SIES; versión distinta</v>
      </c>
      <c r="K20" s="297" t="str">
        <v>Mismo plan observado en contexto nativo 1 de año origen</v>
      </c>
      <c r="L20" s="297" t="str">
        <v>Sede/jornada del contexto coinciden con código origen</v>
      </c>
      <c r="M20" s="297" t="str">
        <v>Sí</v>
      </c>
      <c r="N20" s="306" t="n">
        <v>2</v>
      </c>
      <c r="O20" s="297" t="str">
        <v>Código anual atribuido; no acredita día del cambio ni aceptación SIES</v>
      </c>
    </row>
    <row r="21" ht="58" customHeight="1">
      <c r="A21" s="297" t="n">
        <v>2024</v>
      </c>
      <c r="B21" s="297" t="n">
        <v>2025</v>
      </c>
      <c r="C21" s="297" t="n">
        <v>2</v>
      </c>
      <c r="D21" s="297" t="str">
        <v>Ingeniería en Informática</v>
      </c>
      <c r="E21" s="297" t="str">
        <v>IINF</v>
      </c>
      <c r="F21" s="297" t="str">
        <v>IINF20241</v>
      </c>
      <c r="G21" s="297" t="str">
        <v>I162S2C1J2V4</v>
      </c>
      <c r="H21" s="297" t="str">
        <v>I162S2C1J2V4</v>
      </c>
      <c r="I21" s="297" t="str">
        <v>B/C Documental anual</v>
      </c>
      <c r="J21" s="297" t="str">
        <v>Código destino igual a origen T1</v>
      </c>
      <c r="K21" s="297" t="str">
        <v>Mismo plan observado en contexto nativo 1 de año origen</v>
      </c>
      <c r="L21" s="297" t="str">
        <v>Sede/jornada del contexto coinciden con código origen</v>
      </c>
      <c r="M21" s="297" t="str">
        <v>Sí</v>
      </c>
      <c r="N21" s="306" t="n">
        <v>4</v>
      </c>
      <c r="O21" s="297" t="str">
        <v>Código anual atribuido; no acredita día del cambio ni aceptación SIES</v>
      </c>
    </row>
    <row r="22" ht="58" customHeight="1">
      <c r="A22" s="297" t="n">
        <v>2024</v>
      </c>
      <c r="B22" s="297" t="n">
        <v>2025</v>
      </c>
      <c r="C22" s="297" t="n">
        <v>2</v>
      </c>
      <c r="D22" s="297" t="str">
        <v>Ingeniería en Informática</v>
      </c>
      <c r="E22" s="297" t="str">
        <v>IINF</v>
      </c>
      <c r="F22" s="297" t="str">
        <v>IINF20241</v>
      </c>
      <c r="G22" s="297" t="str">
        <v>I162S2C1J4V2</v>
      </c>
      <c r="H22" s="297" t="str">
        <v>I162S2C1J4V2</v>
      </c>
      <c r="I22" s="297" t="str">
        <v>B/C Documental anual</v>
      </c>
      <c r="J22" s="297" t="str">
        <v>Código destino igual a origen T1</v>
      </c>
      <c r="K22" s="297" t="str">
        <v>Mismo plan observado en contexto nativo 1 de año origen</v>
      </c>
      <c r="L22" s="297" t="str">
        <v>Sede/jornada del contexto coinciden con código origen</v>
      </c>
      <c r="M22" s="297" t="str">
        <v>Sí</v>
      </c>
      <c r="N22" s="306" t="n">
        <v>40</v>
      </c>
      <c r="O22" s="297" t="str">
        <v>Código anual atribuido; no acredita día del cambio ni aceptación SIES</v>
      </c>
    </row>
    <row r="23" ht="58" customHeight="1">
      <c r="A23" s="297" t="n">
        <v>2024</v>
      </c>
      <c r="B23" s="297" t="n">
        <v>2025</v>
      </c>
      <c r="C23" s="297" t="n">
        <v>2</v>
      </c>
      <c r="D23" s="297" t="str">
        <v>Ingeniería en Informática</v>
      </c>
      <c r="E23" s="297" t="str">
        <v>TPAS</v>
      </c>
      <c r="F23" s="297" t="str">
        <v>TPAS20241</v>
      </c>
      <c r="G23" s="297" t="str">
        <v>I162S2C1J4V2</v>
      </c>
      <c r="H23" s="297" t="str">
        <v>I162S2C57J4V1</v>
      </c>
      <c r="I23" s="297" t="str">
        <v>B/C Documental anual</v>
      </c>
      <c r="J23" s="297" t="str">
        <v>Destino distinto en carrera</v>
      </c>
      <c r="K23" s="297" t="str">
        <v>Mismo plan observado en contexto nativo 1 de año origen</v>
      </c>
      <c r="L23" s="297" t="str">
        <v>Sede/jornada del contexto coinciden con código origen</v>
      </c>
      <c r="M23" s="297" t="str">
        <v>Sí</v>
      </c>
      <c r="N23" s="306" t="n">
        <v>1</v>
      </c>
      <c r="O23" s="297" t="str">
        <v>Código anual atribuido; no acredita día del cambio ni aceptación SIES</v>
      </c>
    </row>
    <row r="24" ht="58" customHeight="1">
      <c r="A24" s="297" t="n">
        <v>2024</v>
      </c>
      <c r="B24" s="297" t="n">
        <v>2025</v>
      </c>
      <c r="C24" s="297" t="n">
        <v>2</v>
      </c>
      <c r="D24" s="297" t="str">
        <v>Ingeniería en Informática</v>
      </c>
      <c r="E24" s="297" t="str">
        <v>TPAS</v>
      </c>
      <c r="F24" s="297" t="str">
        <v>TPAS20241</v>
      </c>
      <c r="G24" s="297" t="str">
        <v>I162S2C1J4V2</v>
      </c>
      <c r="H24" s="305" t="str">
        <v>Pendiente</v>
      </c>
      <c r="I24" s="305" t="str">
        <v>E Pendiente</v>
      </c>
      <c r="J24" s="305" t="str">
        <v>Candidatos en otra carrera/sede/institución; vínculo con origen pendiente</v>
      </c>
      <c r="K24" s="297" t="str">
        <v>Mismo plan observado en contexto nativo 1 de año origen</v>
      </c>
      <c r="L24" s="297" t="str">
        <v>Sede/jornada del contexto coinciden con código origen</v>
      </c>
      <c r="M24" s="297" t="str">
        <v>Sí</v>
      </c>
      <c r="N24" s="306" t="n">
        <v>1</v>
      </c>
      <c r="O24" s="297" t="str">
        <v>Versión/atribución pendiente; no adjudicar por totales</v>
      </c>
    </row>
    <row r="25" ht="58" customHeight="1">
      <c r="A25" s="297" t="n">
        <v>2024</v>
      </c>
      <c r="B25" s="297" t="n">
        <v>2025</v>
      </c>
      <c r="C25" s="297" t="n">
        <v>2</v>
      </c>
      <c r="D25" s="297" t="str">
        <v>Ingeniería en Logística</v>
      </c>
      <c r="E25" s="297" t="str">
        <v>ILOG</v>
      </c>
      <c r="F25" s="297" t="str">
        <v>ILOG20241</v>
      </c>
      <c r="G25" s="297" t="str">
        <v>I162S2C77J2V1</v>
      </c>
      <c r="H25" s="305" t="str">
        <v>Pendiente</v>
      </c>
      <c r="I25" s="305" t="str">
        <v>E Pendiente</v>
      </c>
      <c r="J25" s="305" t="str">
        <v>Misma carrera/sede; jornada candidata distinta del origen</v>
      </c>
      <c r="K25" s="297" t="str">
        <v>Mismo plan observado en contexto nativo 1 de año origen</v>
      </c>
      <c r="L25" s="297" t="str">
        <v>Contexto observado difiere en jornada</v>
      </c>
      <c r="M25" s="297" t="str">
        <v>No</v>
      </c>
      <c r="N25" s="306" t="n">
        <v>1</v>
      </c>
      <c r="O25" s="297" t="str">
        <v>Versión/atribución pendiente; no adjudicar por totales</v>
      </c>
    </row>
    <row r="26" ht="58" customHeight="1">
      <c r="A26" s="297" t="n">
        <v>2024</v>
      </c>
      <c r="B26" s="297" t="n">
        <v>2025</v>
      </c>
      <c r="C26" s="297" t="n">
        <v>2</v>
      </c>
      <c r="D26" s="297" t="str">
        <v>Ingeniería en Logística</v>
      </c>
      <c r="E26" s="297" t="str">
        <v>ILOG</v>
      </c>
      <c r="F26" s="297" t="str">
        <v>ILOG20241</v>
      </c>
      <c r="G26" s="297" t="str">
        <v>I162S2C77J4V1</v>
      </c>
      <c r="H26" s="297" t="str">
        <v>I162S2C77J4V1</v>
      </c>
      <c r="I26" s="297" t="str">
        <v>B/C Documental anual</v>
      </c>
      <c r="J26" s="297" t="str">
        <v>Código destino igual a origen T1</v>
      </c>
      <c r="K26" s="297" t="str">
        <v>Mismo plan observado en contexto nativo 1 de año origen</v>
      </c>
      <c r="L26" s="297" t="str">
        <v>Sede/jornada del contexto coinciden con código origen</v>
      </c>
      <c r="M26" s="297" t="str">
        <v>No</v>
      </c>
      <c r="N26" s="306" t="n">
        <v>4</v>
      </c>
      <c r="O26" s="297" t="str">
        <v>Código anual atribuido; no acredita día del cambio ni aceptación SIES</v>
      </c>
    </row>
    <row r="27" ht="58" customHeight="1">
      <c r="A27" s="297" t="n">
        <v>2024</v>
      </c>
      <c r="B27" s="297" t="n">
        <v>2025</v>
      </c>
      <c r="C27" s="297" t="n">
        <v>2</v>
      </c>
      <c r="D27" s="297" t="str">
        <v>Técnico en Administración de Empresas</v>
      </c>
      <c r="E27" s="297" t="str">
        <v>TAMD</v>
      </c>
      <c r="F27" s="297" t="str">
        <v>TAMD20241</v>
      </c>
      <c r="G27" s="297" t="str">
        <v>I162S2C78J2V1</v>
      </c>
      <c r="H27" s="297" t="str">
        <v>I162S2C78J4V1</v>
      </c>
      <c r="I27" s="297" t="str">
        <v>B/C Documental anual</v>
      </c>
      <c r="J27" s="297" t="str">
        <v>Destino distinto en jornada</v>
      </c>
      <c r="K27" s="297" t="str">
        <v>Mismo plan observado en contexto nativo 1 de año origen</v>
      </c>
      <c r="L27" s="297" t="str">
        <v>Contexto observado difiere en jornada</v>
      </c>
      <c r="M27" s="297" t="str">
        <v>No</v>
      </c>
      <c r="N27" s="306" t="n">
        <v>2</v>
      </c>
      <c r="O27" s="297" t="str">
        <v>Código anual atribuido; no acredita día del cambio ni aceptación SIES</v>
      </c>
    </row>
    <row r="28" ht="58" customHeight="1">
      <c r="A28" s="297" t="n">
        <v>2024</v>
      </c>
      <c r="B28" s="297" t="n">
        <v>2025</v>
      </c>
      <c r="C28" s="297" t="n">
        <v>2</v>
      </c>
      <c r="D28" s="297" t="str">
        <v>Técnico en Administración de Empresas</v>
      </c>
      <c r="E28" s="297" t="str">
        <v>TAMD</v>
      </c>
      <c r="F28" s="297" t="str">
        <v>TAMD20241</v>
      </c>
      <c r="G28" s="297" t="str">
        <v>I162S2C78J4V1</v>
      </c>
      <c r="H28" s="297" t="str">
        <v>I162S2C78J4V1</v>
      </c>
      <c r="I28" s="297" t="str">
        <v>B/C Documental anual</v>
      </c>
      <c r="J28" s="297" t="str">
        <v>Código destino igual a origen T1</v>
      </c>
      <c r="K28" s="297" t="str">
        <v>Mismo plan observado en contexto nativo 1 de año origen</v>
      </c>
      <c r="L28" s="297" t="str">
        <v>Sede/jornada del contexto coinciden con código origen</v>
      </c>
      <c r="M28" s="297" t="str">
        <v>No</v>
      </c>
      <c r="N28" s="306" t="n">
        <v>4</v>
      </c>
      <c r="O28" s="297" t="str">
        <v>Código anual atribuido; no acredita día del cambio ni aceptación SIES</v>
      </c>
    </row>
    <row r="29" ht="58" customHeight="1">
      <c r="A29" s="297" t="n">
        <v>2024</v>
      </c>
      <c r="B29" s="297" t="n">
        <v>2025</v>
      </c>
      <c r="C29" s="297" t="n">
        <v>2</v>
      </c>
      <c r="D29" s="297" t="str">
        <v>Técnico en Ciberseguridad</v>
      </c>
      <c r="E29" s="297" t="str">
        <v>TCIB</v>
      </c>
      <c r="F29" s="297" t="str">
        <v>TCIB20241</v>
      </c>
      <c r="G29" s="297" t="str">
        <v>I162S2C47J2V1</v>
      </c>
      <c r="H29" s="305" t="str">
        <v>Pendiente</v>
      </c>
      <c r="I29" s="305" t="str">
        <v>E Pendiente</v>
      </c>
      <c r="J29" s="305" t="str">
        <v>Misma carrera/sede; jornada candidata distinta del origen</v>
      </c>
      <c r="K29" s="297" t="str">
        <v>Mismo plan observado en contexto nativo 1 de año origen</v>
      </c>
      <c r="L29" s="297" t="str">
        <v>Contexto observado difiere en jornada</v>
      </c>
      <c r="M29" s="297" t="str">
        <v>No</v>
      </c>
      <c r="N29" s="306" t="n">
        <v>1</v>
      </c>
      <c r="O29" s="297" t="str">
        <v>Versión/atribución pendiente; no adjudicar por totales</v>
      </c>
    </row>
    <row r="30" ht="58" customHeight="1">
      <c r="A30" s="297" t="n">
        <v>2024</v>
      </c>
      <c r="B30" s="297" t="n">
        <v>2025</v>
      </c>
      <c r="C30" s="297" t="n">
        <v>2</v>
      </c>
      <c r="D30" s="297" t="str">
        <v>Técnico en Ciberseguridad</v>
      </c>
      <c r="E30" s="297" t="str">
        <v>TCIB</v>
      </c>
      <c r="F30" s="297" t="str">
        <v>TCIB20241</v>
      </c>
      <c r="G30" s="297" t="str">
        <v>I162S2C47J4V1</v>
      </c>
      <c r="H30" s="297" t="str">
        <v>I162S2C47J4V1</v>
      </c>
      <c r="I30" s="297" t="str">
        <v>B/C Documental anual</v>
      </c>
      <c r="J30" s="297" t="str">
        <v>Código destino igual a origen T1</v>
      </c>
      <c r="K30" s="297" t="str">
        <v>Mismo plan observado en contexto nativo 1 de año origen</v>
      </c>
      <c r="L30" s="297" t="str">
        <v>Sede/jornada del contexto coinciden con código origen</v>
      </c>
      <c r="M30" s="297" t="str">
        <v>No</v>
      </c>
      <c r="N30" s="306" t="n">
        <v>26</v>
      </c>
      <c r="O30" s="297" t="str">
        <v>Código anual atribuido; no acredita día del cambio ni aceptación SIES</v>
      </c>
    </row>
    <row r="31" ht="58" customHeight="1">
      <c r="A31" s="297" t="n">
        <v>2024</v>
      </c>
      <c r="B31" s="297" t="n">
        <v>2025</v>
      </c>
      <c r="C31" s="297" t="n">
        <v>2</v>
      </c>
      <c r="D31" s="297" t="str">
        <v>Técnico en Conectividad y Redes</v>
      </c>
      <c r="E31" s="297" t="str">
        <v>ICRE</v>
      </c>
      <c r="F31" s="297" t="str">
        <v>ICRE20241</v>
      </c>
      <c r="G31" s="297" t="str">
        <v>I162S2C6J4V2</v>
      </c>
      <c r="H31" s="305" t="str">
        <v>Pendiente</v>
      </c>
      <c r="I31" s="305" t="str">
        <v>E Pendiente</v>
      </c>
      <c r="J31" s="305" t="str">
        <v>Candidatos en otra carrera/sede/institución; vínculo con origen pendiente</v>
      </c>
      <c r="K31" s="297" t="str">
        <v>Mismo plan observado en contexto nativo 1 de año origen</v>
      </c>
      <c r="L31" s="297" t="str">
        <v>Sede/jornada del contexto coinciden con código origen</v>
      </c>
      <c r="M31" s="297" t="str">
        <v>Sí</v>
      </c>
      <c r="N31" s="306" t="n">
        <v>1</v>
      </c>
      <c r="O31" s="297" t="str">
        <v>Versión/atribución pendiente; no adjudicar por totales</v>
      </c>
    </row>
    <row r="32" ht="58" customHeight="1">
      <c r="A32" s="297" t="n">
        <v>2024</v>
      </c>
      <c r="B32" s="297" t="n">
        <v>2025</v>
      </c>
      <c r="C32" s="297" t="n">
        <v>2</v>
      </c>
      <c r="D32" s="297" t="str">
        <v>Técnico en Conectividad y Redes</v>
      </c>
      <c r="E32" s="297" t="str">
        <v>TCRE</v>
      </c>
      <c r="F32" s="297" t="str">
        <v>TCRE20241</v>
      </c>
      <c r="G32" s="297" t="str">
        <v>I162S2C6J4V2</v>
      </c>
      <c r="H32" s="297" t="str">
        <v>I162S2C6J4V2</v>
      </c>
      <c r="I32" s="297" t="str">
        <v>B/C Documental anual</v>
      </c>
      <c r="J32" s="297" t="str">
        <v>Código destino igual a origen T1</v>
      </c>
      <c r="K32" s="297" t="str">
        <v>Mismo plan observado en contexto nativo 1 de año origen</v>
      </c>
      <c r="L32" s="297" t="str">
        <v>Sede/jornada del contexto coinciden con código origen</v>
      </c>
      <c r="M32" s="297" t="str">
        <v>Sí</v>
      </c>
      <c r="N32" s="306" t="n">
        <v>6</v>
      </c>
      <c r="O32" s="297" t="str">
        <v>Código anual atribuido; no acredita día del cambio ni aceptación SIES</v>
      </c>
    </row>
    <row r="33" ht="58" customHeight="1">
      <c r="A33" s="297" t="n">
        <v>2024</v>
      </c>
      <c r="B33" s="297" t="n">
        <v>2025</v>
      </c>
      <c r="C33" s="297" t="n">
        <v>2</v>
      </c>
      <c r="D33" s="297" t="str">
        <v>Técnico en Logística</v>
      </c>
      <c r="E33" s="297" t="str">
        <v>ILOG</v>
      </c>
      <c r="F33" s="297" t="str">
        <v>ILOG20241</v>
      </c>
      <c r="G33" s="297" t="str">
        <v>I162S2C79J4V1</v>
      </c>
      <c r="H33" s="305" t="str">
        <v>Pendiente</v>
      </c>
      <c r="I33" s="305" t="str">
        <v>E Pendiente</v>
      </c>
      <c r="J33" s="305" t="str">
        <v>Candidatos en otra carrera/sede/institución; vínculo con origen pendiente</v>
      </c>
      <c r="K33" s="297" t="str">
        <v>Mismo plan observado en contexto nativo 1 de año origen</v>
      </c>
      <c r="L33" s="297" t="str">
        <v>Sede/jornada del contexto coinciden con código origen</v>
      </c>
      <c r="M33" s="297" t="str">
        <v>No</v>
      </c>
      <c r="N33" s="306" t="n">
        <v>1</v>
      </c>
      <c r="O33" s="297" t="str">
        <v>Versión/atribución pendiente; no adjudicar por totales</v>
      </c>
    </row>
    <row r="34" ht="58" customHeight="1">
      <c r="A34" s="297" t="n">
        <v>2024</v>
      </c>
      <c r="B34" s="297" t="n">
        <v>2025</v>
      </c>
      <c r="C34" s="297" t="n">
        <v>2</v>
      </c>
      <c r="D34" s="297" t="str">
        <v>Técnico en Logística</v>
      </c>
      <c r="E34" s="297" t="str">
        <v>TLOG</v>
      </c>
      <c r="F34" s="297" t="str">
        <v>TLOG20241</v>
      </c>
      <c r="G34" s="297" t="str">
        <v>I162S2C79J4V1</v>
      </c>
      <c r="H34" s="297" t="str">
        <v>I162S2C79J4V1</v>
      </c>
      <c r="I34" s="297" t="str">
        <v>B/C Documental anual</v>
      </c>
      <c r="J34" s="297" t="str">
        <v>Código destino igual a origen T1</v>
      </c>
      <c r="K34" s="297" t="str">
        <v>Mismo plan observado en contexto nativo 1 de año origen</v>
      </c>
      <c r="L34" s="297" t="str">
        <v>Sede/jornada del contexto coinciden con código origen</v>
      </c>
      <c r="M34" s="297" t="str">
        <v>No</v>
      </c>
      <c r="N34" s="306" t="n">
        <v>7</v>
      </c>
      <c r="O34" s="297" t="str">
        <v>Código anual atribuido; no acredita día del cambio ni aceptación SIES</v>
      </c>
    </row>
    <row r="35" ht="58" customHeight="1">
      <c r="A35" s="297" t="n">
        <v>2024</v>
      </c>
      <c r="B35" s="297" t="n">
        <v>2025</v>
      </c>
      <c r="C35" s="297" t="n">
        <v>2</v>
      </c>
      <c r="D35" s="297" t="str">
        <v>Técnico en Programación y Análisis de Sistemas</v>
      </c>
      <c r="E35" s="297" t="str">
        <v>IINF</v>
      </c>
      <c r="F35" s="297" t="str">
        <v>IINF20241</v>
      </c>
      <c r="G35" s="297" t="str">
        <v>I162S2C57J1V1</v>
      </c>
      <c r="H35" s="305" t="str">
        <v>Pendiente</v>
      </c>
      <c r="I35" s="305" t="str">
        <v>E Pendiente</v>
      </c>
      <c r="J35" s="305" t="str">
        <v>Candidatos en otra carrera/sede/institución; vínculo con origen pendiente</v>
      </c>
      <c r="K35" s="297" t="str">
        <v>Mismo plan observado en contexto nativo 1 de año origen</v>
      </c>
      <c r="L35" s="297" t="str">
        <v>Sede/jornada del contexto coinciden con código origen</v>
      </c>
      <c r="M35" s="297" t="str">
        <v>No</v>
      </c>
      <c r="N35" s="306" t="n">
        <v>1</v>
      </c>
      <c r="O35" s="297" t="str">
        <v>Versión/atribución pendiente; no adjudicar por totales</v>
      </c>
    </row>
    <row r="36" ht="58" customHeight="1">
      <c r="A36" s="297" t="n">
        <v>2024</v>
      </c>
      <c r="B36" s="297" t="n">
        <v>2025</v>
      </c>
      <c r="C36" s="297" t="n">
        <v>2</v>
      </c>
      <c r="D36" s="297" t="str">
        <v>Técnico en Programación y Análisis de Sistemas</v>
      </c>
      <c r="E36" s="297" t="str">
        <v>IINF</v>
      </c>
      <c r="F36" s="297" t="str">
        <v>IINF20241</v>
      </c>
      <c r="G36" s="297" t="str">
        <v>I162S2C57J2V1</v>
      </c>
      <c r="H36" s="305" t="str">
        <v>Pendiente</v>
      </c>
      <c r="I36" s="305" t="str">
        <v>E Pendiente</v>
      </c>
      <c r="J36" s="305" t="str">
        <v>Sin código candidato/contexto de familia atribuido</v>
      </c>
      <c r="K36" s="297" t="str">
        <v>Mismo plan observado en contexto nativo 1 de año origen</v>
      </c>
      <c r="L36" s="297" t="str">
        <v>Sede/jornada del contexto coinciden con código origen</v>
      </c>
      <c r="M36" s="297" t="str">
        <v>No</v>
      </c>
      <c r="N36" s="306" t="n">
        <v>1</v>
      </c>
      <c r="O36" s="297" t="str">
        <v>Versión/atribución pendiente; no adjudicar por totales</v>
      </c>
    </row>
    <row r="37" ht="58" customHeight="1">
      <c r="A37" s="297" t="n">
        <v>2024</v>
      </c>
      <c r="B37" s="297" t="n">
        <v>2025</v>
      </c>
      <c r="C37" s="297" t="n">
        <v>2</v>
      </c>
      <c r="D37" s="297" t="str">
        <v>Técnico en Programación y Análisis de Sistemas</v>
      </c>
      <c r="E37" s="297" t="str">
        <v>IINF</v>
      </c>
      <c r="F37" s="297" t="str">
        <v>IINF20241</v>
      </c>
      <c r="G37" s="297" t="str">
        <v>I162S2C57J4V1</v>
      </c>
      <c r="H37" s="297" t="str">
        <v>I162S2C1J4V2</v>
      </c>
      <c r="I37" s="297" t="str">
        <v>B/C Documental anual</v>
      </c>
      <c r="J37" s="297" t="str">
        <v>Destino distinto en carrera</v>
      </c>
      <c r="K37" s="297" t="str">
        <v>Sin contexto nativo 1 del mismo CODCLI en año origen</v>
      </c>
      <c r="L37" s="297" t="str">
        <v>Sede/jornada del contexto coinciden con código origen</v>
      </c>
      <c r="M37" s="297" t="str">
        <v>No</v>
      </c>
      <c r="N37" s="306" t="n">
        <v>1</v>
      </c>
      <c r="O37" s="297" t="str">
        <v>Código anual atribuido; no acredita día del cambio ni aceptación SIES</v>
      </c>
    </row>
    <row r="38" ht="58" customHeight="1">
      <c r="A38" s="297" t="n">
        <v>2024</v>
      </c>
      <c r="B38" s="297" t="n">
        <v>2025</v>
      </c>
      <c r="C38" s="297" t="n">
        <v>2</v>
      </c>
      <c r="D38" s="297" t="str">
        <v>Técnico en Programación y Análisis de Sistemas</v>
      </c>
      <c r="E38" s="297" t="str">
        <v>IINF</v>
      </c>
      <c r="F38" s="297" t="str">
        <v>IINF20241</v>
      </c>
      <c r="G38" s="297" t="str">
        <v>I162S2C57J4V1</v>
      </c>
      <c r="H38" s="305" t="str">
        <v>Pendiente</v>
      </c>
      <c r="I38" s="305" t="str">
        <v>E Pendiente</v>
      </c>
      <c r="J38" s="305" t="str">
        <v>Candidatos en otra carrera/sede/institución; vínculo con origen pendiente</v>
      </c>
      <c r="K38" s="297" t="str">
        <v>Mismo plan observado en contexto nativo 1 de año origen</v>
      </c>
      <c r="L38" s="297" t="str">
        <v>Sede/jornada del contexto coinciden con código origen</v>
      </c>
      <c r="M38" s="297" t="str">
        <v>No</v>
      </c>
      <c r="N38" s="306" t="n">
        <v>6</v>
      </c>
      <c r="O38" s="297" t="str">
        <v>Versión/atribución pendiente; no adjudicar por totales</v>
      </c>
    </row>
    <row r="39" ht="58" customHeight="1">
      <c r="A39" s="297" t="n">
        <v>2024</v>
      </c>
      <c r="B39" s="297" t="n">
        <v>2025</v>
      </c>
      <c r="C39" s="297" t="n">
        <v>2</v>
      </c>
      <c r="D39" s="297" t="str">
        <v>Técnico en Programación y Análisis de Sistemas</v>
      </c>
      <c r="E39" s="297" t="str">
        <v>TPAS</v>
      </c>
      <c r="F39" s="297" t="str">
        <v>TPAS20241</v>
      </c>
      <c r="G39" s="297" t="str">
        <v>I162S2C57J2V1</v>
      </c>
      <c r="H39" s="297" t="str">
        <v>I162S2C57J4V1</v>
      </c>
      <c r="I39" s="297" t="str">
        <v>B/C Documental anual</v>
      </c>
      <c r="J39" s="297" t="str">
        <v>Destino distinto en jornada</v>
      </c>
      <c r="K39" s="297" t="str">
        <v>Mismo plan observado en contexto nativo 1 de año origen</v>
      </c>
      <c r="L39" s="297" t="str">
        <v>Contexto observado difiere en jornada</v>
      </c>
      <c r="M39" s="297" t="str">
        <v>No</v>
      </c>
      <c r="N39" s="306" t="n">
        <v>1</v>
      </c>
      <c r="O39" s="297" t="str">
        <v>Código anual atribuido; no acredita día del cambio ni aceptación SIES</v>
      </c>
    </row>
    <row r="40" ht="58" customHeight="1">
      <c r="A40" s="297" t="n">
        <v>2024</v>
      </c>
      <c r="B40" s="297" t="n">
        <v>2025</v>
      </c>
      <c r="C40" s="297" t="n">
        <v>2</v>
      </c>
      <c r="D40" s="297" t="str">
        <v>Técnico en Programación y Análisis de Sistemas</v>
      </c>
      <c r="E40" s="297" t="str">
        <v>TPAS</v>
      </c>
      <c r="F40" s="297" t="str">
        <v>TPAS20241</v>
      </c>
      <c r="G40" s="297" t="str">
        <v>I162S2C57J2V1</v>
      </c>
      <c r="H40" s="305" t="str">
        <v>Pendiente</v>
      </c>
      <c r="I40" s="305" t="str">
        <v>E Pendiente</v>
      </c>
      <c r="J40" s="305" t="str">
        <v>Misma carrera/sede; jornada candidata distinta del origen</v>
      </c>
      <c r="K40" s="297" t="str">
        <v>Mismo plan observado en contexto nativo 1 de año origen</v>
      </c>
      <c r="L40" s="297" t="str">
        <v>Contexto observado difiere en jornada</v>
      </c>
      <c r="M40" s="297" t="str">
        <v>No</v>
      </c>
      <c r="N40" s="306" t="n">
        <v>1</v>
      </c>
      <c r="O40" s="297" t="str">
        <v>Versión/atribución pendiente; no adjudicar por totales</v>
      </c>
    </row>
    <row r="41" ht="58" customHeight="1">
      <c r="A41" s="297" t="n">
        <v>2024</v>
      </c>
      <c r="B41" s="297" t="n">
        <v>2025</v>
      </c>
      <c r="C41" s="297" t="n">
        <v>2</v>
      </c>
      <c r="D41" s="297" t="str">
        <v>Técnico en Programación y Análisis de Sistemas</v>
      </c>
      <c r="E41" s="297" t="str">
        <v>TPAS</v>
      </c>
      <c r="F41" s="297" t="str">
        <v>TPAS20241</v>
      </c>
      <c r="G41" s="297" t="str">
        <v>I162S2C57J4V1</v>
      </c>
      <c r="H41" s="297" t="str">
        <v>I162S2C57J4V1</v>
      </c>
      <c r="I41" s="297" t="str">
        <v>B/C Documental anual</v>
      </c>
      <c r="J41" s="297" t="str">
        <v>Código destino igual a origen T1</v>
      </c>
      <c r="K41" s="297" t="str">
        <v>Mismo plan observado en contexto nativo 1 de año origen</v>
      </c>
      <c r="L41" s="297" t="str">
        <v>Sede/jornada del contexto coinciden con código origen</v>
      </c>
      <c r="M41" s="297" t="str">
        <v>No</v>
      </c>
      <c r="N41" s="306" t="n">
        <v>49</v>
      </c>
      <c r="O41" s="297" t="str">
        <v>Código anual atribuido; no acredita día del cambio ni aceptación SIES</v>
      </c>
    </row>
    <row r="42" ht="58" customHeight="1">
      <c r="A42" s="297" t="n">
        <v>2024</v>
      </c>
      <c r="B42" s="297" t="n">
        <v>2025</v>
      </c>
      <c r="C42" s="297" t="n">
        <v>3</v>
      </c>
      <c r="D42" s="297" t="str">
        <v>Ingeniería en Administración de Empresas</v>
      </c>
      <c r="E42" s="297" t="str">
        <v>IADM</v>
      </c>
      <c r="F42" s="297" t="str">
        <v>IADM20241</v>
      </c>
      <c r="G42" s="297" t="str">
        <v>I162S2C76J4V1</v>
      </c>
      <c r="H42" s="297" t="str">
        <v>I162S2C76J4V1</v>
      </c>
      <c r="I42" s="297" t="str">
        <v>B/C Documental anual</v>
      </c>
      <c r="J42" s="297" t="str">
        <v>Código destino igual a origen T1</v>
      </c>
      <c r="K42" s="297" t="str">
        <v>Mismo plan observado en contexto nativo 1 de año origen</v>
      </c>
      <c r="L42" s="297" t="str">
        <v>Sede/jornada del contexto coinciden con código origen</v>
      </c>
      <c r="M42" s="297" t="str">
        <v>No</v>
      </c>
      <c r="N42" s="306" t="n">
        <v>3</v>
      </c>
      <c r="O42" s="297" t="str">
        <v>Código anual atribuido; no acredita día del cambio ni aceptación SIES</v>
      </c>
    </row>
    <row r="43" ht="58" customHeight="1">
      <c r="A43" s="297" t="n">
        <v>2024</v>
      </c>
      <c r="B43" s="297" t="n">
        <v>2025</v>
      </c>
      <c r="C43" s="297" t="n">
        <v>3</v>
      </c>
      <c r="D43" s="297" t="str">
        <v>Ingeniería en Ciberseguridad</v>
      </c>
      <c r="E43" s="297" t="str">
        <v>ICIB</v>
      </c>
      <c r="F43" s="297" t="str">
        <v>ICIB20241</v>
      </c>
      <c r="G43" s="297" t="str">
        <v>I162S2C46J1V1</v>
      </c>
      <c r="H43" s="305" t="str">
        <v>Pendiente</v>
      </c>
      <c r="I43" s="305" t="str">
        <v>E Pendiente</v>
      </c>
      <c r="J43" s="305" t="str">
        <v>Misma carrera/sede; jornada candidata distinta del origen</v>
      </c>
      <c r="K43" s="297" t="str">
        <v>Mismo plan observado en contexto nativo 1 de año origen</v>
      </c>
      <c r="L43" s="297" t="str">
        <v>Contexto observado difiere en jornada</v>
      </c>
      <c r="M43" s="297" t="str">
        <v>No</v>
      </c>
      <c r="N43" s="306" t="n">
        <v>9</v>
      </c>
      <c r="O43" s="297" t="str">
        <v>Versión/atribución pendiente; no adjudicar por totales</v>
      </c>
    </row>
    <row r="44" ht="58" customHeight="1">
      <c r="A44" s="297" t="n">
        <v>2024</v>
      </c>
      <c r="B44" s="297" t="n">
        <v>2025</v>
      </c>
      <c r="C44" s="297" t="n">
        <v>3</v>
      </c>
      <c r="D44" s="297" t="str">
        <v>Ingeniería en Ciberseguridad</v>
      </c>
      <c r="E44" s="297" t="str">
        <v>ICIB</v>
      </c>
      <c r="F44" s="297" t="str">
        <v>ICIB20241</v>
      </c>
      <c r="G44" s="297" t="str">
        <v>I162S2C46J2V1</v>
      </c>
      <c r="H44" s="297" t="str">
        <v>I162S2C46J2V1</v>
      </c>
      <c r="I44" s="297" t="str">
        <v>B/C Documental anual</v>
      </c>
      <c r="J44" s="297" t="str">
        <v>Código destino igual a origen T1</v>
      </c>
      <c r="K44" s="297" t="str">
        <v>Mismo plan observado en contexto nativo 1 de año origen</v>
      </c>
      <c r="L44" s="297" t="str">
        <v>Sede/jornada del contexto coinciden con código origen</v>
      </c>
      <c r="M44" s="297" t="str">
        <v>Sí</v>
      </c>
      <c r="N44" s="306" t="n">
        <v>6</v>
      </c>
      <c r="O44" s="297" t="str">
        <v>Código anual atribuido; no acredita día del cambio ni aceptación SIES</v>
      </c>
    </row>
    <row r="45" ht="58" customHeight="1">
      <c r="A45" s="297" t="n">
        <v>2024</v>
      </c>
      <c r="B45" s="297" t="n">
        <v>2025</v>
      </c>
      <c r="C45" s="297" t="n">
        <v>3</v>
      </c>
      <c r="D45" s="297" t="str">
        <v>Ingeniería en Ciberseguridad</v>
      </c>
      <c r="E45" s="297" t="str">
        <v>ICIB</v>
      </c>
      <c r="F45" s="297" t="str">
        <v>ICIB20241</v>
      </c>
      <c r="G45" s="297" t="str">
        <v>I162S2C46J2V1</v>
      </c>
      <c r="H45" s="297" t="str">
        <v>I162S2C46J4V3</v>
      </c>
      <c r="I45" s="297" t="str">
        <v>B/C Documental anual</v>
      </c>
      <c r="J45" s="297" t="str">
        <v>Destino distinto en jornada</v>
      </c>
      <c r="K45" s="297" t="str">
        <v>Mismo plan observado en contexto nativo 1 de año origen</v>
      </c>
      <c r="L45" s="297" t="str">
        <v>Contexto observado difiere en jornada</v>
      </c>
      <c r="M45" s="297" t="str">
        <v>Sí</v>
      </c>
      <c r="N45" s="306" t="n">
        <v>2</v>
      </c>
      <c r="O45" s="297" t="str">
        <v>Código anual atribuido; no acredita día del cambio ni aceptación SIES</v>
      </c>
    </row>
    <row r="46" ht="58" customHeight="1">
      <c r="A46" s="297" t="n">
        <v>2024</v>
      </c>
      <c r="B46" s="297" t="n">
        <v>2025</v>
      </c>
      <c r="C46" s="297" t="n">
        <v>3</v>
      </c>
      <c r="D46" s="297" t="str">
        <v>Ingeniería en Ciberseguridad</v>
      </c>
      <c r="E46" s="297" t="str">
        <v>ICIB</v>
      </c>
      <c r="F46" s="297" t="str">
        <v>ICIB20241</v>
      </c>
      <c r="G46" s="297" t="str">
        <v>I162S2C46J2V1</v>
      </c>
      <c r="H46" s="305" t="str">
        <v>Pendiente</v>
      </c>
      <c r="I46" s="305" t="str">
        <v>E Pendiente</v>
      </c>
      <c r="J46" s="305" t="str">
        <v>Misma carrera/sede; jornada candidata distinta del origen</v>
      </c>
      <c r="K46" s="297" t="str">
        <v>Mismo plan observado en contexto nativo 1 de año origen</v>
      </c>
      <c r="L46" s="297" t="str">
        <v>Contexto observado difiere en jornada</v>
      </c>
      <c r="M46" s="297" t="str">
        <v>Sí</v>
      </c>
      <c r="N46" s="306" t="n">
        <v>1</v>
      </c>
      <c r="O46" s="297" t="str">
        <v>Versión/atribución pendiente; no adjudicar por totales</v>
      </c>
    </row>
    <row r="47" ht="58" customHeight="1">
      <c r="A47" s="297" t="n">
        <v>2024</v>
      </c>
      <c r="B47" s="297" t="n">
        <v>2025</v>
      </c>
      <c r="C47" s="297" t="n">
        <v>3</v>
      </c>
      <c r="D47" s="297" t="str">
        <v>Ingeniería en Ciberseguridad</v>
      </c>
      <c r="E47" s="297" t="str">
        <v>ICIB</v>
      </c>
      <c r="F47" s="297" t="str">
        <v>ICIB20241</v>
      </c>
      <c r="G47" s="297" t="str">
        <v>I162S2C46J4V3</v>
      </c>
      <c r="H47" s="297" t="str">
        <v>I162S2C46J4V3</v>
      </c>
      <c r="I47" s="297" t="str">
        <v>B/C Documental anual</v>
      </c>
      <c r="J47" s="297" t="str">
        <v>Código destino igual a origen T1</v>
      </c>
      <c r="K47" s="297" t="str">
        <v>Mismo plan observado en contexto nativo 1 de año origen</v>
      </c>
      <c r="L47" s="297" t="str">
        <v>Sede/jornada del contexto coinciden con código origen</v>
      </c>
      <c r="M47" s="297" t="str">
        <v>Sí</v>
      </c>
      <c r="N47" s="306" t="n">
        <v>22</v>
      </c>
      <c r="O47" s="297" t="str">
        <v>Código anual atribuido; no acredita día del cambio ni aceptación SIES</v>
      </c>
    </row>
    <row r="48" ht="58" customHeight="1">
      <c r="A48" s="297" t="n">
        <v>2024</v>
      </c>
      <c r="B48" s="297" t="n">
        <v>2025</v>
      </c>
      <c r="C48" s="297" t="n">
        <v>3</v>
      </c>
      <c r="D48" s="297" t="str">
        <v>Ingeniería en Conectividad y Redes</v>
      </c>
      <c r="E48" s="297" t="str">
        <v>ICRE</v>
      </c>
      <c r="F48" s="297" t="str">
        <v>ICRE20241</v>
      </c>
      <c r="G48" s="297" t="str">
        <v>I162S2C3J2V4</v>
      </c>
      <c r="H48" s="297" t="str">
        <v>I162S2C3J4V2</v>
      </c>
      <c r="I48" s="297" t="str">
        <v>B/C Documental anual</v>
      </c>
      <c r="J48" s="297" t="str">
        <v>Destino distinto en jornada</v>
      </c>
      <c r="K48" s="297" t="str">
        <v>Mismo plan observado en contexto nativo 1 de año origen</v>
      </c>
      <c r="L48" s="297" t="str">
        <v>Contexto observado difiere en jornada</v>
      </c>
      <c r="M48" s="297" t="str">
        <v>Sí</v>
      </c>
      <c r="N48" s="306" t="n">
        <v>3</v>
      </c>
      <c r="O48" s="297" t="str">
        <v>Código anual atribuido; no acredita día del cambio ni aceptación SIES</v>
      </c>
    </row>
    <row r="49" ht="58" customHeight="1">
      <c r="A49" s="297" t="n">
        <v>2024</v>
      </c>
      <c r="B49" s="297" t="n">
        <v>2025</v>
      </c>
      <c r="C49" s="297" t="n">
        <v>3</v>
      </c>
      <c r="D49" s="297" t="str">
        <v>Ingeniería en Conectividad y Redes</v>
      </c>
      <c r="E49" s="297" t="str">
        <v>ICRE</v>
      </c>
      <c r="F49" s="297" t="str">
        <v>ICRE20241</v>
      </c>
      <c r="G49" s="297" t="str">
        <v>I162S2C3J2V4</v>
      </c>
      <c r="H49" s="305" t="str">
        <v>Pendiente</v>
      </c>
      <c r="I49" s="305" t="str">
        <v>E Pendiente</v>
      </c>
      <c r="J49" s="305" t="str">
        <v>Misma carrera/sede; jornada candidata distinta del origen</v>
      </c>
      <c r="K49" s="297" t="str">
        <v>Mismo plan observado en contexto nativo 1 de año origen</v>
      </c>
      <c r="L49" s="297" t="str">
        <v>Contexto observado difiere en jornada</v>
      </c>
      <c r="M49" s="297" t="str">
        <v>Sí</v>
      </c>
      <c r="N49" s="306" t="n">
        <v>1</v>
      </c>
      <c r="O49" s="297" t="str">
        <v>Versión/atribución pendiente; no adjudicar por totales</v>
      </c>
    </row>
    <row r="50" ht="58" customHeight="1">
      <c r="A50" s="297" t="n">
        <v>2024</v>
      </c>
      <c r="B50" s="297" t="n">
        <v>2025</v>
      </c>
      <c r="C50" s="297" t="n">
        <v>3</v>
      </c>
      <c r="D50" s="297" t="str">
        <v>Ingeniería en Conectividad y Redes</v>
      </c>
      <c r="E50" s="297" t="str">
        <v>ICRE</v>
      </c>
      <c r="F50" s="297" t="str">
        <v>ICRE20241</v>
      </c>
      <c r="G50" s="297" t="str">
        <v>I162S2C3J4V2</v>
      </c>
      <c r="H50" s="297" t="str">
        <v>I162S2C3J2V4</v>
      </c>
      <c r="I50" s="297" t="str">
        <v>B/C Documental anual</v>
      </c>
      <c r="J50" s="297" t="str">
        <v>Destino distinto en jornada</v>
      </c>
      <c r="K50" s="297" t="str">
        <v>Mismo plan observado en contexto nativo 1 de año origen</v>
      </c>
      <c r="L50" s="297" t="str">
        <v>Contexto observado difiere en jornada</v>
      </c>
      <c r="M50" s="297" t="str">
        <v>Sí</v>
      </c>
      <c r="N50" s="306" t="n">
        <v>1</v>
      </c>
      <c r="O50" s="297" t="str">
        <v>Código anual atribuido; no acredita día del cambio ni aceptación SIES</v>
      </c>
    </row>
    <row r="51" ht="58" customHeight="1">
      <c r="A51" s="297" t="n">
        <v>2024</v>
      </c>
      <c r="B51" s="297" t="n">
        <v>2025</v>
      </c>
      <c r="C51" s="297" t="n">
        <v>3</v>
      </c>
      <c r="D51" s="297" t="str">
        <v>Ingeniería en Conectividad y Redes</v>
      </c>
      <c r="E51" s="297" t="str">
        <v>ICRE</v>
      </c>
      <c r="F51" s="297" t="str">
        <v>ICRE20241</v>
      </c>
      <c r="G51" s="297" t="str">
        <v>I162S2C3J4V2</v>
      </c>
      <c r="H51" s="297" t="str">
        <v>I162S2C3J4V2</v>
      </c>
      <c r="I51" s="297" t="str">
        <v>B/C Documental anual</v>
      </c>
      <c r="J51" s="297" t="str">
        <v>Código destino igual a origen T1</v>
      </c>
      <c r="K51" s="297" t="str">
        <v>Mismo plan observado en contexto nativo 1 de año origen</v>
      </c>
      <c r="L51" s="297" t="str">
        <v>Sede/jornada del contexto coinciden con código origen</v>
      </c>
      <c r="M51" s="297" t="str">
        <v>Sí</v>
      </c>
      <c r="N51" s="306" t="n">
        <v>36</v>
      </c>
      <c r="O51" s="297" t="str">
        <v>Código anual atribuido; no acredita día del cambio ni aceptación SIES</v>
      </c>
    </row>
    <row r="52" ht="58" customHeight="1">
      <c r="A52" s="297" t="n">
        <v>2024</v>
      </c>
      <c r="B52" s="297" t="n">
        <v>2025</v>
      </c>
      <c r="C52" s="297" t="n">
        <v>3</v>
      </c>
      <c r="D52" s="297" t="str">
        <v>Ingeniería en Conectividad y Redes</v>
      </c>
      <c r="E52" s="297" t="str">
        <v>IINF</v>
      </c>
      <c r="F52" s="297" t="str">
        <v>IINF20241</v>
      </c>
      <c r="G52" s="297" t="str">
        <v>I162S2C3J4V2</v>
      </c>
      <c r="H52" s="297" t="str">
        <v>I162S2C1J4V2</v>
      </c>
      <c r="I52" s="297" t="str">
        <v>B/C Documental anual</v>
      </c>
      <c r="J52" s="297" t="str">
        <v>Destino distinto en carrera</v>
      </c>
      <c r="K52" s="297" t="str">
        <v>Sin contexto nativo 1 del mismo CODCLI en año origen</v>
      </c>
      <c r="L52" s="297" t="str">
        <v>Sede/jornada del contexto coinciden con código origen</v>
      </c>
      <c r="M52" s="297" t="str">
        <v>Sí</v>
      </c>
      <c r="N52" s="306" t="n">
        <v>1</v>
      </c>
      <c r="O52" s="297" t="str">
        <v>Código anual atribuido; no acredita día del cambio ni aceptación SIES</v>
      </c>
    </row>
    <row r="53" ht="58" customHeight="1">
      <c r="A53" s="297" t="n">
        <v>2024</v>
      </c>
      <c r="B53" s="297" t="n">
        <v>2025</v>
      </c>
      <c r="C53" s="297" t="n">
        <v>3</v>
      </c>
      <c r="D53" s="297" t="str">
        <v>Ingeniería en Informática</v>
      </c>
      <c r="E53" s="297" t="str">
        <v>IINF</v>
      </c>
      <c r="F53" s="297" t="str">
        <v>IINF20241</v>
      </c>
      <c r="G53" s="297" t="str">
        <v>I162S2C1J1V2</v>
      </c>
      <c r="H53" s="297" t="str">
        <v>I162S2C1J1V1</v>
      </c>
      <c r="I53" s="297" t="str">
        <v>B/C Documental anual</v>
      </c>
      <c r="J53" s="297" t="str">
        <v>Misma familia SIES; versión distinta</v>
      </c>
      <c r="K53" s="297" t="str">
        <v>Mismo plan observado en contexto nativo 1 de año origen</v>
      </c>
      <c r="L53" s="297" t="str">
        <v>Sede/jornada del contexto coinciden con código origen</v>
      </c>
      <c r="M53" s="297" t="str">
        <v>Sí</v>
      </c>
      <c r="N53" s="306" t="n">
        <v>1</v>
      </c>
      <c r="O53" s="297" t="str">
        <v>Código anual atribuido; no acredita día del cambio ni aceptación SIES</v>
      </c>
    </row>
    <row r="54" ht="58" customHeight="1">
      <c r="A54" s="297" t="n">
        <v>2024</v>
      </c>
      <c r="B54" s="297" t="n">
        <v>2025</v>
      </c>
      <c r="C54" s="297" t="n">
        <v>3</v>
      </c>
      <c r="D54" s="297" t="str">
        <v>Ingeniería en Informática</v>
      </c>
      <c r="E54" s="297" t="str">
        <v>IINF</v>
      </c>
      <c r="F54" s="297" t="str">
        <v>IINF20241</v>
      </c>
      <c r="G54" s="297" t="str">
        <v>I162S2C1J1V2</v>
      </c>
      <c r="H54" s="297" t="str">
        <v>I162S2C1J1V2</v>
      </c>
      <c r="I54" s="297" t="str">
        <v>B/C Documental anual</v>
      </c>
      <c r="J54" s="297" t="str">
        <v>Código destino igual a origen T1</v>
      </c>
      <c r="K54" s="297" t="str">
        <v>Mismo plan observado en contexto nativo 1 de año origen</v>
      </c>
      <c r="L54" s="297" t="str">
        <v>Sede/jornada del contexto coinciden con código origen</v>
      </c>
      <c r="M54" s="297" t="str">
        <v>Sí</v>
      </c>
      <c r="N54" s="306" t="n">
        <v>8</v>
      </c>
      <c r="O54" s="297" t="str">
        <v>Código anual atribuido; no acredita día del cambio ni aceptación SIES</v>
      </c>
    </row>
    <row r="55" ht="58" customHeight="1">
      <c r="A55" s="297" t="n">
        <v>2024</v>
      </c>
      <c r="B55" s="297" t="n">
        <v>2025</v>
      </c>
      <c r="C55" s="297" t="n">
        <v>3</v>
      </c>
      <c r="D55" s="297" t="str">
        <v>Ingeniería en Informática</v>
      </c>
      <c r="E55" s="297" t="str">
        <v>IINF</v>
      </c>
      <c r="F55" s="297" t="str">
        <v>IINF20241</v>
      </c>
      <c r="G55" s="297" t="str">
        <v>I162S2C1J1V2</v>
      </c>
      <c r="H55" s="305" t="str">
        <v>Pendiente</v>
      </c>
      <c r="I55" s="305" t="str">
        <v>E Pendiente</v>
      </c>
      <c r="J55" s="305" t="str">
        <v>Misma carrera/sede; jornada candidata distinta del origen</v>
      </c>
      <c r="K55" s="297" t="str">
        <v>Mismo plan observado en contexto nativo 1 de año origen</v>
      </c>
      <c r="L55" s="297" t="str">
        <v>Contexto observado difiere en jornada</v>
      </c>
      <c r="M55" s="297" t="str">
        <v>Sí</v>
      </c>
      <c r="N55" s="306" t="n">
        <v>2</v>
      </c>
      <c r="O55" s="297" t="str">
        <v>Versión/atribución pendiente; no adjudicar por totales</v>
      </c>
    </row>
    <row r="56" ht="58" customHeight="1">
      <c r="A56" s="297" t="n">
        <v>2024</v>
      </c>
      <c r="B56" s="297" t="n">
        <v>2025</v>
      </c>
      <c r="C56" s="297" t="n">
        <v>3</v>
      </c>
      <c r="D56" s="297" t="str">
        <v>Ingeniería en Informática</v>
      </c>
      <c r="E56" s="297" t="str">
        <v>IINF</v>
      </c>
      <c r="F56" s="297" t="str">
        <v>IINF20241</v>
      </c>
      <c r="G56" s="297" t="str">
        <v>I162S2C1J2V4</v>
      </c>
      <c r="H56" s="297" t="str">
        <v>I162S2C1J2V1</v>
      </c>
      <c r="I56" s="297" t="str">
        <v>B/C Documental anual</v>
      </c>
      <c r="J56" s="297" t="str">
        <v>Misma familia SIES; versión distinta</v>
      </c>
      <c r="K56" s="297" t="str">
        <v>Mismo plan observado en contexto nativo 1 de año origen</v>
      </c>
      <c r="L56" s="297" t="str">
        <v>Sede/jornada del contexto coinciden con código origen</v>
      </c>
      <c r="M56" s="297" t="str">
        <v>Sí</v>
      </c>
      <c r="N56" s="306" t="n">
        <v>2</v>
      </c>
      <c r="O56" s="297" t="str">
        <v>Código anual atribuido; no acredita día del cambio ni aceptación SIES</v>
      </c>
    </row>
    <row r="57" ht="58" customHeight="1">
      <c r="A57" s="297" t="n">
        <v>2024</v>
      </c>
      <c r="B57" s="297" t="n">
        <v>2025</v>
      </c>
      <c r="C57" s="297" t="n">
        <v>3</v>
      </c>
      <c r="D57" s="297" t="str">
        <v>Ingeniería en Informática</v>
      </c>
      <c r="E57" s="297" t="str">
        <v>IINF</v>
      </c>
      <c r="F57" s="297" t="str">
        <v>IINF20241</v>
      </c>
      <c r="G57" s="297" t="str">
        <v>I162S2C1J2V4</v>
      </c>
      <c r="H57" s="297" t="str">
        <v>I162S2C1J2V4</v>
      </c>
      <c r="I57" s="297" t="str">
        <v>B/C Documental anual</v>
      </c>
      <c r="J57" s="297" t="str">
        <v>Código destino igual a origen T1</v>
      </c>
      <c r="K57" s="297" t="str">
        <v>Mismo plan observado en contexto nativo 1 de año origen</v>
      </c>
      <c r="L57" s="297" t="str">
        <v>Sede/jornada del contexto coinciden con código origen</v>
      </c>
      <c r="M57" s="297" t="str">
        <v>Sí</v>
      </c>
      <c r="N57" s="306" t="n">
        <v>4</v>
      </c>
      <c r="O57" s="297" t="str">
        <v>Código anual atribuido; no acredita día del cambio ni aceptación SIES</v>
      </c>
    </row>
    <row r="58" ht="58" customHeight="1">
      <c r="A58" s="297" t="n">
        <v>2024</v>
      </c>
      <c r="B58" s="297" t="n">
        <v>2025</v>
      </c>
      <c r="C58" s="297" t="n">
        <v>3</v>
      </c>
      <c r="D58" s="297" t="str">
        <v>Ingeniería en Informática</v>
      </c>
      <c r="E58" s="297" t="str">
        <v>IINF</v>
      </c>
      <c r="F58" s="297" t="str">
        <v>IINF20241</v>
      </c>
      <c r="G58" s="297" t="str">
        <v>I162S2C1J2V4</v>
      </c>
      <c r="H58" s="305" t="str">
        <v>Pendiente</v>
      </c>
      <c r="I58" s="305" t="str">
        <v>E Pendiente</v>
      </c>
      <c r="J58" s="305" t="str">
        <v>Misma carrera/sede; jornada candidata distinta del origen</v>
      </c>
      <c r="K58" s="297" t="str">
        <v>Mismo plan observado en contexto nativo 1 de año origen</v>
      </c>
      <c r="L58" s="297" t="str">
        <v>Contexto observado difiere en jornada</v>
      </c>
      <c r="M58" s="297" t="str">
        <v>Sí</v>
      </c>
      <c r="N58" s="306" t="n">
        <v>1</v>
      </c>
      <c r="O58" s="297" t="str">
        <v>Versión/atribución pendiente; no adjudicar por totales</v>
      </c>
    </row>
    <row r="59" ht="58" customHeight="1">
      <c r="A59" s="297" t="n">
        <v>2024</v>
      </c>
      <c r="B59" s="297" t="n">
        <v>2025</v>
      </c>
      <c r="C59" s="297" t="n">
        <v>3</v>
      </c>
      <c r="D59" s="297" t="str">
        <v>Ingeniería en Informática</v>
      </c>
      <c r="E59" s="297" t="str">
        <v>IINF</v>
      </c>
      <c r="F59" s="297" t="str">
        <v>IINF20241</v>
      </c>
      <c r="G59" s="297" t="str">
        <v>I162S2C1J4V2</v>
      </c>
      <c r="H59" s="297" t="str">
        <v>I162S2C1J4V2</v>
      </c>
      <c r="I59" s="297" t="str">
        <v>B/C Documental anual</v>
      </c>
      <c r="J59" s="297" t="str">
        <v>Código destino igual a origen T1</v>
      </c>
      <c r="K59" s="297" t="str">
        <v>Mismo plan observado en contexto nativo 1 de año origen</v>
      </c>
      <c r="L59" s="297" t="str">
        <v>Sede/jornada del contexto coinciden con código origen</v>
      </c>
      <c r="M59" s="297" t="str">
        <v>Sí</v>
      </c>
      <c r="N59" s="306" t="n">
        <v>43</v>
      </c>
      <c r="O59" s="297" t="str">
        <v>Código anual atribuido; no acredita día del cambio ni aceptación SIES</v>
      </c>
    </row>
    <row r="60" ht="58" customHeight="1">
      <c r="A60" s="297" t="n">
        <v>2024</v>
      </c>
      <c r="B60" s="297" t="n">
        <v>2025</v>
      </c>
      <c r="C60" s="297" t="n">
        <v>3</v>
      </c>
      <c r="D60" s="297" t="str">
        <v>Ingeniería en Informática</v>
      </c>
      <c r="E60" s="297" t="str">
        <v>TPAS</v>
      </c>
      <c r="F60" s="297" t="str">
        <v>TPAS20241</v>
      </c>
      <c r="G60" s="297" t="str">
        <v>I162S2C1J4V2</v>
      </c>
      <c r="H60" s="297" t="str">
        <v>I162S2C57J4V1</v>
      </c>
      <c r="I60" s="297" t="str">
        <v>B/C Documental anual</v>
      </c>
      <c r="J60" s="297" t="str">
        <v>Destino distinto en carrera</v>
      </c>
      <c r="K60" s="297" t="str">
        <v>Mismo plan observado en contexto nativo 1 de año origen</v>
      </c>
      <c r="L60" s="297" t="str">
        <v>Sede/jornada del contexto coinciden con código origen</v>
      </c>
      <c r="M60" s="297" t="str">
        <v>Sí</v>
      </c>
      <c r="N60" s="306" t="n">
        <v>1</v>
      </c>
      <c r="O60" s="297" t="str">
        <v>Código anual atribuido; no acredita día del cambio ni aceptación SIES</v>
      </c>
    </row>
    <row r="61" ht="58" customHeight="1">
      <c r="A61" s="297" t="n">
        <v>2024</v>
      </c>
      <c r="B61" s="297" t="n">
        <v>2025</v>
      </c>
      <c r="C61" s="297" t="n">
        <v>3</v>
      </c>
      <c r="D61" s="297" t="str">
        <v>Ingeniería en Informática</v>
      </c>
      <c r="E61" s="297" t="str">
        <v>TPAS</v>
      </c>
      <c r="F61" s="297" t="str">
        <v>TPAS20241</v>
      </c>
      <c r="G61" s="297" t="str">
        <v>I162S2C1J4V2</v>
      </c>
      <c r="H61" s="305" t="str">
        <v>Pendiente</v>
      </c>
      <c r="I61" s="305" t="str">
        <v>E Pendiente</v>
      </c>
      <c r="J61" s="305" t="str">
        <v>Candidatos en otra carrera/sede/institución; vínculo con origen pendiente</v>
      </c>
      <c r="K61" s="297" t="str">
        <v>Mismo plan observado en contexto nativo 1 de año origen</v>
      </c>
      <c r="L61" s="297" t="str">
        <v>Sede/jornada del contexto coinciden con código origen</v>
      </c>
      <c r="M61" s="297" t="str">
        <v>Sí</v>
      </c>
      <c r="N61" s="306" t="n">
        <v>1</v>
      </c>
      <c r="O61" s="297" t="str">
        <v>Versión/atribución pendiente; no adjudicar por totales</v>
      </c>
    </row>
    <row r="62" ht="58" customHeight="1">
      <c r="A62" s="297" t="n">
        <v>2024</v>
      </c>
      <c r="B62" s="297" t="n">
        <v>2025</v>
      </c>
      <c r="C62" s="297" t="n">
        <v>3</v>
      </c>
      <c r="D62" s="297" t="str">
        <v>Ingeniería en Logística</v>
      </c>
      <c r="E62" s="297" t="str">
        <v>ILOG</v>
      </c>
      <c r="F62" s="297" t="str">
        <v>ILOG20241</v>
      </c>
      <c r="G62" s="297" t="str">
        <v>I162S2C77J2V1</v>
      </c>
      <c r="H62" s="305" t="str">
        <v>Pendiente</v>
      </c>
      <c r="I62" s="305" t="str">
        <v>E Pendiente</v>
      </c>
      <c r="J62" s="305" t="str">
        <v>Misma carrera/sede; jornada candidata distinta del origen</v>
      </c>
      <c r="K62" s="297" t="str">
        <v>Mismo plan observado en contexto nativo 1 de año origen</v>
      </c>
      <c r="L62" s="297" t="str">
        <v>Contexto observado difiere en jornada</v>
      </c>
      <c r="M62" s="297" t="str">
        <v>No</v>
      </c>
      <c r="N62" s="306" t="n">
        <v>1</v>
      </c>
      <c r="O62" s="297" t="str">
        <v>Versión/atribución pendiente; no adjudicar por totales</v>
      </c>
    </row>
    <row r="63" ht="58" customHeight="1">
      <c r="A63" s="297" t="n">
        <v>2024</v>
      </c>
      <c r="B63" s="297" t="n">
        <v>2025</v>
      </c>
      <c r="C63" s="297" t="n">
        <v>3</v>
      </c>
      <c r="D63" s="297" t="str">
        <v>Ingeniería en Logística</v>
      </c>
      <c r="E63" s="297" t="str">
        <v>ILOG</v>
      </c>
      <c r="F63" s="297" t="str">
        <v>ILOG20241</v>
      </c>
      <c r="G63" s="297" t="str">
        <v>I162S2C77J4V1</v>
      </c>
      <c r="H63" s="297" t="str">
        <v>I162S2C77J4V1</v>
      </c>
      <c r="I63" s="297" t="str">
        <v>B/C Documental anual</v>
      </c>
      <c r="J63" s="297" t="str">
        <v>Código destino igual a origen T1</v>
      </c>
      <c r="K63" s="297" t="str">
        <v>Mismo plan observado en contexto nativo 1 de año origen</v>
      </c>
      <c r="L63" s="297" t="str">
        <v>Sede/jornada del contexto coinciden con código origen</v>
      </c>
      <c r="M63" s="297" t="str">
        <v>No</v>
      </c>
      <c r="N63" s="306" t="n">
        <v>4</v>
      </c>
      <c r="O63" s="297" t="str">
        <v>Código anual atribuido; no acredita día del cambio ni aceptación SIES</v>
      </c>
    </row>
    <row r="64" ht="58" customHeight="1">
      <c r="A64" s="297" t="n">
        <v>2024</v>
      </c>
      <c r="B64" s="297" t="n">
        <v>2025</v>
      </c>
      <c r="C64" s="297" t="n">
        <v>3</v>
      </c>
      <c r="D64" s="297" t="str">
        <v>Técnico en Administración de Empresas</v>
      </c>
      <c r="E64" s="297" t="str">
        <v>TAMD</v>
      </c>
      <c r="F64" s="297" t="str">
        <v>TAMD20241</v>
      </c>
      <c r="G64" s="297" t="str">
        <v>I162S2C78J2V1</v>
      </c>
      <c r="H64" s="297" t="str">
        <v>I162S2C78J4V1</v>
      </c>
      <c r="I64" s="297" t="str">
        <v>B/C Documental anual</v>
      </c>
      <c r="J64" s="297" t="str">
        <v>Destino distinto en jornada</v>
      </c>
      <c r="K64" s="297" t="str">
        <v>Mismo plan observado en contexto nativo 1 de año origen</v>
      </c>
      <c r="L64" s="297" t="str">
        <v>Contexto observado difiere en jornada</v>
      </c>
      <c r="M64" s="297" t="str">
        <v>No</v>
      </c>
      <c r="N64" s="306" t="n">
        <v>2</v>
      </c>
      <c r="O64" s="297" t="str">
        <v>Código anual atribuido; no acredita día del cambio ni aceptación SIES</v>
      </c>
    </row>
    <row r="65" ht="58" customHeight="1">
      <c r="A65" s="297" t="n">
        <v>2024</v>
      </c>
      <c r="B65" s="297" t="n">
        <v>2025</v>
      </c>
      <c r="C65" s="297" t="n">
        <v>3</v>
      </c>
      <c r="D65" s="297" t="str">
        <v>Técnico en Administración de Empresas</v>
      </c>
      <c r="E65" s="297" t="str">
        <v>TAMD</v>
      </c>
      <c r="F65" s="297" t="str">
        <v>TAMD20241</v>
      </c>
      <c r="G65" s="297" t="str">
        <v>I162S2C78J4V1</v>
      </c>
      <c r="H65" s="297" t="str">
        <v>I162S2C78J4V1</v>
      </c>
      <c r="I65" s="297" t="str">
        <v>B/C Documental anual</v>
      </c>
      <c r="J65" s="297" t="str">
        <v>Código destino igual a origen T1</v>
      </c>
      <c r="K65" s="297" t="str">
        <v>Mismo plan observado en contexto nativo 1 de año origen</v>
      </c>
      <c r="L65" s="297" t="str">
        <v>Sede/jornada del contexto coinciden con código origen</v>
      </c>
      <c r="M65" s="297" t="str">
        <v>No</v>
      </c>
      <c r="N65" s="306" t="n">
        <v>4</v>
      </c>
      <c r="O65" s="297" t="str">
        <v>Código anual atribuido; no acredita día del cambio ni aceptación SIES</v>
      </c>
    </row>
    <row r="66" ht="58" customHeight="1">
      <c r="A66" s="297" t="n">
        <v>2024</v>
      </c>
      <c r="B66" s="297" t="n">
        <v>2025</v>
      </c>
      <c r="C66" s="297" t="n">
        <v>3</v>
      </c>
      <c r="D66" s="297" t="str">
        <v>Técnico en Ciberseguridad</v>
      </c>
      <c r="E66" s="297" t="str">
        <v>TCIB</v>
      </c>
      <c r="F66" s="297" t="str">
        <v>TCIB20241</v>
      </c>
      <c r="G66" s="297" t="str">
        <v>I162S2C47J2V1</v>
      </c>
      <c r="H66" s="305" t="str">
        <v>Pendiente</v>
      </c>
      <c r="I66" s="305" t="str">
        <v>E Pendiente</v>
      </c>
      <c r="J66" s="305" t="str">
        <v>Misma carrera/sede; jornada candidata distinta del origen</v>
      </c>
      <c r="K66" s="297" t="str">
        <v>Mismo plan observado en contexto nativo 1 de año origen</v>
      </c>
      <c r="L66" s="297" t="str">
        <v>Contexto observado difiere en jornada</v>
      </c>
      <c r="M66" s="297" t="str">
        <v>No</v>
      </c>
      <c r="N66" s="306" t="n">
        <v>1</v>
      </c>
      <c r="O66" s="297" t="str">
        <v>Versión/atribución pendiente; no adjudicar por totales</v>
      </c>
    </row>
    <row r="67" ht="58" customHeight="1">
      <c r="A67" s="297" t="n">
        <v>2024</v>
      </c>
      <c r="B67" s="297" t="n">
        <v>2025</v>
      </c>
      <c r="C67" s="297" t="n">
        <v>3</v>
      </c>
      <c r="D67" s="297" t="str">
        <v>Técnico en Ciberseguridad</v>
      </c>
      <c r="E67" s="297" t="str">
        <v>TCIB</v>
      </c>
      <c r="F67" s="297" t="str">
        <v>TCIB20241</v>
      </c>
      <c r="G67" s="297" t="str">
        <v>I162S2C47J4V1</v>
      </c>
      <c r="H67" s="297" t="str">
        <v>I162S2C47J4V1</v>
      </c>
      <c r="I67" s="297" t="str">
        <v>B/C Documental anual</v>
      </c>
      <c r="J67" s="297" t="str">
        <v>Código destino igual a origen T1</v>
      </c>
      <c r="K67" s="297" t="str">
        <v>Mismo plan observado en contexto nativo 1 de año origen</v>
      </c>
      <c r="L67" s="297" t="str">
        <v>Sede/jornada del contexto coinciden con código origen</v>
      </c>
      <c r="M67" s="297" t="str">
        <v>No</v>
      </c>
      <c r="N67" s="306" t="n">
        <v>28</v>
      </c>
      <c r="O67" s="297" t="str">
        <v>Código anual atribuido; no acredita día del cambio ni aceptación SIES</v>
      </c>
    </row>
    <row r="68" ht="58" customHeight="1">
      <c r="A68" s="297" t="n">
        <v>2024</v>
      </c>
      <c r="B68" s="297" t="n">
        <v>2025</v>
      </c>
      <c r="C68" s="297" t="n">
        <v>3</v>
      </c>
      <c r="D68" s="297" t="str">
        <v>Técnico en Conectividad y Redes</v>
      </c>
      <c r="E68" s="297" t="str">
        <v>TCRE</v>
      </c>
      <c r="F68" s="297" t="str">
        <v>TCRE20241</v>
      </c>
      <c r="G68" s="297" t="str">
        <v>I162S2C6J2V2</v>
      </c>
      <c r="H68" s="305" t="str">
        <v>Pendiente</v>
      </c>
      <c r="I68" s="305" t="str">
        <v>E Pendiente</v>
      </c>
      <c r="J68" s="305" t="str">
        <v>Misma carrera/sede; jornada candidata distinta del origen</v>
      </c>
      <c r="K68" s="297" t="str">
        <v>Mismo plan observado en contexto nativo 1 de año origen</v>
      </c>
      <c r="L68" s="297" t="str">
        <v>Contexto observado difiere en jornada</v>
      </c>
      <c r="M68" s="297" t="str">
        <v>Sí</v>
      </c>
      <c r="N68" s="306" t="n">
        <v>1</v>
      </c>
      <c r="O68" s="297" t="str">
        <v>Versión/atribución pendiente; no adjudicar por totales</v>
      </c>
    </row>
    <row r="69" ht="58" customHeight="1">
      <c r="A69" s="297" t="n">
        <v>2024</v>
      </c>
      <c r="B69" s="297" t="n">
        <v>2025</v>
      </c>
      <c r="C69" s="297" t="n">
        <v>3</v>
      </c>
      <c r="D69" s="297" t="str">
        <v>Técnico en Conectividad y Redes</v>
      </c>
      <c r="E69" s="297" t="str">
        <v>TCRE</v>
      </c>
      <c r="F69" s="297" t="str">
        <v>TCRE20241</v>
      </c>
      <c r="G69" s="297" t="str">
        <v>I162S2C6J4V2</v>
      </c>
      <c r="H69" s="297" t="str">
        <v>I162S2C6J4V2</v>
      </c>
      <c r="I69" s="297" t="str">
        <v>B/C Documental anual</v>
      </c>
      <c r="J69" s="297" t="str">
        <v>Código destino igual a origen T1</v>
      </c>
      <c r="K69" s="297" t="str">
        <v>Mismo plan observado en contexto nativo 1 de año origen</v>
      </c>
      <c r="L69" s="297" t="str">
        <v>Sede/jornada del contexto coinciden con código origen</v>
      </c>
      <c r="M69" s="297" t="str">
        <v>Sí</v>
      </c>
      <c r="N69" s="306" t="n">
        <v>6</v>
      </c>
      <c r="O69" s="297" t="str">
        <v>Código anual atribuido; no acredita día del cambio ni aceptación SIES</v>
      </c>
    </row>
    <row r="70" ht="58" customHeight="1">
      <c r="A70" s="297" t="n">
        <v>2024</v>
      </c>
      <c r="B70" s="297" t="n">
        <v>2025</v>
      </c>
      <c r="C70" s="297" t="n">
        <v>3</v>
      </c>
      <c r="D70" s="297" t="str">
        <v>Técnico en Logística</v>
      </c>
      <c r="E70" s="297" t="str">
        <v>ILOG</v>
      </c>
      <c r="F70" s="297" t="str">
        <v>ILOG20241</v>
      </c>
      <c r="G70" s="297" t="str">
        <v>I162S2C79J4V1</v>
      </c>
      <c r="H70" s="305" t="str">
        <v>Pendiente</v>
      </c>
      <c r="I70" s="305" t="str">
        <v>E Pendiente</v>
      </c>
      <c r="J70" s="305" t="str">
        <v>Candidatos en otra carrera/sede/institución; vínculo con origen pendiente</v>
      </c>
      <c r="K70" s="297" t="str">
        <v>Mismo plan observado en contexto nativo 1 de año origen</v>
      </c>
      <c r="L70" s="297" t="str">
        <v>Sede/jornada del contexto coinciden con código origen</v>
      </c>
      <c r="M70" s="297" t="str">
        <v>No</v>
      </c>
      <c r="N70" s="306" t="n">
        <v>1</v>
      </c>
      <c r="O70" s="297" t="str">
        <v>Versión/atribución pendiente; no adjudicar por totales</v>
      </c>
    </row>
    <row r="71" ht="58" customHeight="1">
      <c r="A71" s="297" t="n">
        <v>2024</v>
      </c>
      <c r="B71" s="297" t="n">
        <v>2025</v>
      </c>
      <c r="C71" s="297" t="n">
        <v>3</v>
      </c>
      <c r="D71" s="297" t="str">
        <v>Técnico en Logística</v>
      </c>
      <c r="E71" s="297" t="str">
        <v>TLOG</v>
      </c>
      <c r="F71" s="297" t="str">
        <v>TLOG20241</v>
      </c>
      <c r="G71" s="297" t="str">
        <v>I162S2C79J4V1</v>
      </c>
      <c r="H71" s="297" t="str">
        <v>I162S2C79J4V1</v>
      </c>
      <c r="I71" s="297" t="str">
        <v>B/C Documental anual</v>
      </c>
      <c r="J71" s="297" t="str">
        <v>Código destino igual a origen T1</v>
      </c>
      <c r="K71" s="297" t="str">
        <v>Mismo plan observado en contexto nativo 1 de año origen</v>
      </c>
      <c r="L71" s="297" t="str">
        <v>Sede/jornada del contexto coinciden con código origen</v>
      </c>
      <c r="M71" s="297" t="str">
        <v>No</v>
      </c>
      <c r="N71" s="306" t="n">
        <v>5</v>
      </c>
      <c r="O71" s="297" t="str">
        <v>Código anual atribuido; no acredita día del cambio ni aceptación SIES</v>
      </c>
    </row>
    <row r="72" ht="58" customHeight="1">
      <c r="A72" s="297" t="n">
        <v>2024</v>
      </c>
      <c r="B72" s="297" t="n">
        <v>2025</v>
      </c>
      <c r="C72" s="297" t="n">
        <v>3</v>
      </c>
      <c r="D72" s="297" t="str">
        <v>Técnico en Programación y Análisis de Sistemas</v>
      </c>
      <c r="E72" s="297" t="str">
        <v>ICIB</v>
      </c>
      <c r="F72" s="297" t="str">
        <v>ICIB20241</v>
      </c>
      <c r="G72" s="297" t="str">
        <v>I162S2C57J4V1</v>
      </c>
      <c r="H72" s="305" t="str">
        <v>Pendiente</v>
      </c>
      <c r="I72" s="305" t="str">
        <v>E Pendiente</v>
      </c>
      <c r="J72" s="305" t="str">
        <v>Candidatos en otra carrera/sede/institución; vínculo con origen pendiente</v>
      </c>
      <c r="K72" s="297" t="str">
        <v>Sin contexto nativo 1 del mismo CODCLI en año origen</v>
      </c>
      <c r="L72" s="297" t="str">
        <v>Sede/jornada del contexto coinciden con código origen</v>
      </c>
      <c r="M72" s="297" t="str">
        <v>No</v>
      </c>
      <c r="N72" s="306" t="n">
        <v>1</v>
      </c>
      <c r="O72" s="297" t="str">
        <v>Versión/atribución pendiente; no adjudicar por totales</v>
      </c>
    </row>
    <row r="73" ht="58" customHeight="1">
      <c r="A73" s="297" t="n">
        <v>2024</v>
      </c>
      <c r="B73" s="297" t="n">
        <v>2025</v>
      </c>
      <c r="C73" s="297" t="n">
        <v>3</v>
      </c>
      <c r="D73" s="297" t="str">
        <v>Técnico en Programación y Análisis de Sistemas</v>
      </c>
      <c r="E73" s="297" t="str">
        <v>IINF</v>
      </c>
      <c r="F73" s="297" t="str">
        <v>IINF20241</v>
      </c>
      <c r="G73" s="297" t="str">
        <v>I162S2C57J1V1</v>
      </c>
      <c r="H73" s="305" t="str">
        <v>Pendiente</v>
      </c>
      <c r="I73" s="305" t="str">
        <v>E Pendiente</v>
      </c>
      <c r="J73" s="305" t="str">
        <v>Candidatos en otra carrera/sede/institución; vínculo con origen pendiente</v>
      </c>
      <c r="K73" s="297" t="str">
        <v>Mismo plan observado en contexto nativo 1 de año origen</v>
      </c>
      <c r="L73" s="297" t="str">
        <v>Sede/jornada del contexto coinciden con código origen</v>
      </c>
      <c r="M73" s="297" t="str">
        <v>No</v>
      </c>
      <c r="N73" s="306" t="n">
        <v>1</v>
      </c>
      <c r="O73" s="297" t="str">
        <v>Versión/atribución pendiente; no adjudicar por totales</v>
      </c>
    </row>
    <row r="74" ht="58" customHeight="1">
      <c r="A74" s="297" t="n">
        <v>2024</v>
      </c>
      <c r="B74" s="297" t="n">
        <v>2025</v>
      </c>
      <c r="C74" s="297" t="n">
        <v>3</v>
      </c>
      <c r="D74" s="297" t="str">
        <v>Técnico en Programación y Análisis de Sistemas</v>
      </c>
      <c r="E74" s="297" t="str">
        <v>IINF</v>
      </c>
      <c r="F74" s="297" t="str">
        <v>IINF20241</v>
      </c>
      <c r="G74" s="297" t="str">
        <v>I162S2C57J2V1</v>
      </c>
      <c r="H74" s="305" t="str">
        <v>Pendiente</v>
      </c>
      <c r="I74" s="305" t="str">
        <v>E Pendiente</v>
      </c>
      <c r="J74" s="305" t="str">
        <v>Sin código candidato/contexto de familia atribuido</v>
      </c>
      <c r="K74" s="297" t="str">
        <v>Mismo plan observado en contexto nativo 1 de año origen</v>
      </c>
      <c r="L74" s="297" t="str">
        <v>Sede/jornada del contexto coinciden con código origen</v>
      </c>
      <c r="M74" s="297" t="str">
        <v>No</v>
      </c>
      <c r="N74" s="306" t="n">
        <v>1</v>
      </c>
      <c r="O74" s="297" t="str">
        <v>Versión/atribución pendiente; no adjudicar por totales</v>
      </c>
    </row>
    <row r="75" ht="58" customHeight="1">
      <c r="A75" s="297" t="n">
        <v>2024</v>
      </c>
      <c r="B75" s="297" t="n">
        <v>2025</v>
      </c>
      <c r="C75" s="297" t="n">
        <v>3</v>
      </c>
      <c r="D75" s="297" t="str">
        <v>Técnico en Programación y Análisis de Sistemas</v>
      </c>
      <c r="E75" s="297" t="str">
        <v>IINF</v>
      </c>
      <c r="F75" s="297" t="str">
        <v>IINF20241</v>
      </c>
      <c r="G75" s="297" t="str">
        <v>I162S2C57J4V1</v>
      </c>
      <c r="H75" s="297" t="str">
        <v>I162S2C1J4V2</v>
      </c>
      <c r="I75" s="297" t="str">
        <v>B/C Documental anual</v>
      </c>
      <c r="J75" s="297" t="str">
        <v>Destino distinto en carrera</v>
      </c>
      <c r="K75" s="297" t="str">
        <v>Sin contexto nativo 1 del mismo CODCLI en año origen</v>
      </c>
      <c r="L75" s="297" t="str">
        <v>Sede/jornada del contexto coinciden con código origen</v>
      </c>
      <c r="M75" s="297" t="str">
        <v>No</v>
      </c>
      <c r="N75" s="306" t="n">
        <v>1</v>
      </c>
      <c r="O75" s="297" t="str">
        <v>Código anual atribuido; no acredita día del cambio ni aceptación SIES</v>
      </c>
    </row>
    <row r="76" ht="58" customHeight="1">
      <c r="A76" s="297" t="n">
        <v>2024</v>
      </c>
      <c r="B76" s="297" t="n">
        <v>2025</v>
      </c>
      <c r="C76" s="297" t="n">
        <v>3</v>
      </c>
      <c r="D76" s="297" t="str">
        <v>Técnico en Programación y Análisis de Sistemas</v>
      </c>
      <c r="E76" s="297" t="str">
        <v>IINF</v>
      </c>
      <c r="F76" s="297" t="str">
        <v>IINF20241</v>
      </c>
      <c r="G76" s="297" t="str">
        <v>I162S2C57J4V1</v>
      </c>
      <c r="H76" s="305" t="str">
        <v>Pendiente</v>
      </c>
      <c r="I76" s="305" t="str">
        <v>E Pendiente</v>
      </c>
      <c r="J76" s="305" t="str">
        <v>Candidatos en otra carrera/sede/institución; vínculo con origen pendiente</v>
      </c>
      <c r="K76" s="297" t="str">
        <v>Mismo plan observado en contexto nativo 1 de año origen</v>
      </c>
      <c r="L76" s="297" t="str">
        <v>Sede/jornada del contexto coinciden con código origen</v>
      </c>
      <c r="M76" s="297" t="str">
        <v>No</v>
      </c>
      <c r="N76" s="306" t="n">
        <v>6</v>
      </c>
      <c r="O76" s="297" t="str">
        <v>Versión/atribución pendiente; no adjudicar por totales</v>
      </c>
    </row>
    <row r="77" ht="58" customHeight="1">
      <c r="A77" s="297" t="n">
        <v>2024</v>
      </c>
      <c r="B77" s="297" t="n">
        <v>2025</v>
      </c>
      <c r="C77" s="297" t="n">
        <v>3</v>
      </c>
      <c r="D77" s="297" t="str">
        <v>Técnico en Programación y Análisis de Sistemas</v>
      </c>
      <c r="E77" s="297" t="str">
        <v>TPAS</v>
      </c>
      <c r="F77" s="297" t="str">
        <v>TPAS20241</v>
      </c>
      <c r="G77" s="297" t="str">
        <v>I162S2C57J1V1</v>
      </c>
      <c r="H77" s="297" t="str">
        <v>I162S2C57J4V1</v>
      </c>
      <c r="I77" s="297" t="str">
        <v>B/C Documental anual</v>
      </c>
      <c r="J77" s="297" t="str">
        <v>Destino distinto en jornada</v>
      </c>
      <c r="K77" s="297" t="str">
        <v>Mismo plan observado en contexto nativo 1 de año origen</v>
      </c>
      <c r="L77" s="297" t="str">
        <v>Contexto observado difiere en jornada</v>
      </c>
      <c r="M77" s="297" t="str">
        <v>No</v>
      </c>
      <c r="N77" s="306" t="n">
        <v>1</v>
      </c>
      <c r="O77" s="297" t="str">
        <v>Código anual atribuido; no acredita día del cambio ni aceptación SIES</v>
      </c>
    </row>
    <row r="78" ht="58" customHeight="1">
      <c r="A78" s="297" t="n">
        <v>2024</v>
      </c>
      <c r="B78" s="297" t="n">
        <v>2025</v>
      </c>
      <c r="C78" s="297" t="n">
        <v>3</v>
      </c>
      <c r="D78" s="297" t="str">
        <v>Técnico en Programación y Análisis de Sistemas</v>
      </c>
      <c r="E78" s="297" t="str">
        <v>TPAS</v>
      </c>
      <c r="F78" s="297" t="str">
        <v>TPAS20241</v>
      </c>
      <c r="G78" s="297" t="str">
        <v>I162S2C57J1V1</v>
      </c>
      <c r="H78" s="305" t="str">
        <v>Pendiente</v>
      </c>
      <c r="I78" s="305" t="str">
        <v>E Pendiente</v>
      </c>
      <c r="J78" s="305" t="str">
        <v>Misma carrera/sede; jornada candidata distinta del origen</v>
      </c>
      <c r="K78" s="297" t="str">
        <v>Mismo plan observado en contexto nativo 1 de año origen</v>
      </c>
      <c r="L78" s="297" t="str">
        <v>Contexto observado difiere en jornada</v>
      </c>
      <c r="M78" s="297" t="str">
        <v>No</v>
      </c>
      <c r="N78" s="306" t="n">
        <v>1</v>
      </c>
      <c r="O78" s="297" t="str">
        <v>Versión/atribución pendiente; no adjudicar por totales</v>
      </c>
    </row>
    <row r="79" ht="58" customHeight="1">
      <c r="A79" s="297" t="n">
        <v>2024</v>
      </c>
      <c r="B79" s="297" t="n">
        <v>2025</v>
      </c>
      <c r="C79" s="297" t="n">
        <v>3</v>
      </c>
      <c r="D79" s="297" t="str">
        <v>Técnico en Programación y Análisis de Sistemas</v>
      </c>
      <c r="E79" s="297" t="str">
        <v>TPAS</v>
      </c>
      <c r="F79" s="297" t="str">
        <v>TPAS20241</v>
      </c>
      <c r="G79" s="297" t="str">
        <v>I162S2C57J2V1</v>
      </c>
      <c r="H79" s="297" t="str">
        <v>I162S2C57J4V1</v>
      </c>
      <c r="I79" s="297" t="str">
        <v>B/C Documental anual</v>
      </c>
      <c r="J79" s="297" t="str">
        <v>Destino distinto en jornada</v>
      </c>
      <c r="K79" s="297" t="str">
        <v>Mismo plan observado en contexto nativo 1 de año origen</v>
      </c>
      <c r="L79" s="297" t="str">
        <v>Contexto observado difiere en jornada</v>
      </c>
      <c r="M79" s="297" t="str">
        <v>No</v>
      </c>
      <c r="N79" s="306" t="n">
        <v>2</v>
      </c>
      <c r="O79" s="297" t="str">
        <v>Código anual atribuido; no acredita día del cambio ni aceptación SIES</v>
      </c>
    </row>
    <row r="80" ht="58" customHeight="1">
      <c r="A80" s="297" t="n">
        <v>2024</v>
      </c>
      <c r="B80" s="297" t="n">
        <v>2025</v>
      </c>
      <c r="C80" s="297" t="n">
        <v>3</v>
      </c>
      <c r="D80" s="297" t="str">
        <v>Técnico en Programación y Análisis de Sistemas</v>
      </c>
      <c r="E80" s="297" t="str">
        <v>TPAS</v>
      </c>
      <c r="F80" s="297" t="str">
        <v>TPAS20241</v>
      </c>
      <c r="G80" s="297" t="str">
        <v>I162S2C57J2V1</v>
      </c>
      <c r="H80" s="305" t="str">
        <v>Pendiente</v>
      </c>
      <c r="I80" s="305" t="str">
        <v>E Pendiente</v>
      </c>
      <c r="J80" s="305" t="str">
        <v>Misma carrera/sede; jornada candidata distinta del origen</v>
      </c>
      <c r="K80" s="297" t="str">
        <v>Mismo plan observado en contexto nativo 1 de año origen</v>
      </c>
      <c r="L80" s="297" t="str">
        <v>Contexto observado difiere en jornada</v>
      </c>
      <c r="M80" s="297" t="str">
        <v>No</v>
      </c>
      <c r="N80" s="306" t="n">
        <v>1</v>
      </c>
      <c r="O80" s="297" t="str">
        <v>Versión/atribución pendiente; no adjudicar por totales</v>
      </c>
    </row>
    <row r="81" ht="58" customHeight="1">
      <c r="A81" s="297" t="n">
        <v>2024</v>
      </c>
      <c r="B81" s="297" t="n">
        <v>2025</v>
      </c>
      <c r="C81" s="297" t="n">
        <v>3</v>
      </c>
      <c r="D81" s="297" t="str">
        <v>Técnico en Programación y Análisis de Sistemas</v>
      </c>
      <c r="E81" s="297" t="str">
        <v>TPAS</v>
      </c>
      <c r="F81" s="297" t="str">
        <v>TPAS20241</v>
      </c>
      <c r="G81" s="297" t="str">
        <v>I162S2C57J4V1</v>
      </c>
      <c r="H81" s="297" t="str">
        <v>I162S2C57J4V1</v>
      </c>
      <c r="I81" s="297" t="str">
        <v>B/C Documental anual</v>
      </c>
      <c r="J81" s="297" t="str">
        <v>Código destino igual a origen T1</v>
      </c>
      <c r="K81" s="297" t="str">
        <v>Mismo plan observado en contexto nativo 1 de año origen</v>
      </c>
      <c r="L81" s="297" t="str">
        <v>Sede/jornada del contexto coinciden con código origen</v>
      </c>
      <c r="M81" s="297" t="str">
        <v>No</v>
      </c>
      <c r="N81" s="306" t="n">
        <v>60</v>
      </c>
      <c r="O81" s="297" t="str">
        <v>Código anual atribuido; no acredita día del cambio ni aceptación SIES</v>
      </c>
    </row>
    <row r="82" ht="58" customHeight="1">
      <c r="A82" s="297" t="n">
        <v>2025</v>
      </c>
      <c r="B82" s="297" t="n">
        <v>2025</v>
      </c>
      <c r="C82" s="297" t="n">
        <v>2</v>
      </c>
      <c r="D82" s="297" t="str">
        <v>Administración Pública</v>
      </c>
      <c r="E82" s="297" t="str">
        <v>ADMP</v>
      </c>
      <c r="F82" s="297" t="str">
        <v>ADMP20251</v>
      </c>
      <c r="G82" s="297" t="str">
        <v>I162S2C83J4V1</v>
      </c>
      <c r="H82" s="297" t="str">
        <v>I162S2C83J4V1</v>
      </c>
      <c r="I82" s="297" t="str">
        <v>B/C Documental anual</v>
      </c>
      <c r="J82" s="297" t="str">
        <v>Código destino igual a origen T1</v>
      </c>
      <c r="K82" s="297" t="str">
        <v>Mismo plan observado en contexto nativo 1 de año origen</v>
      </c>
      <c r="L82" s="297" t="str">
        <v>Sede/jornada del contexto coinciden con código origen</v>
      </c>
      <c r="M82" s="297" t="str">
        <v>No</v>
      </c>
      <c r="N82" s="306" t="n">
        <v>29</v>
      </c>
      <c r="O82" s="297" t="str">
        <v>Código anual atribuido; no acredita día del cambio ni aceptación SIES</v>
      </c>
    </row>
    <row r="83" ht="58" customHeight="1">
      <c r="A83" s="297" t="n">
        <v>2025</v>
      </c>
      <c r="B83" s="297" t="n">
        <v>2025</v>
      </c>
      <c r="C83" s="297" t="n">
        <v>2</v>
      </c>
      <c r="D83" s="297" t="str">
        <v>Auditoría</v>
      </c>
      <c r="E83" s="297" t="str">
        <v>AUDT</v>
      </c>
      <c r="F83" s="297" t="str">
        <v>AUDT20251</v>
      </c>
      <c r="G83" s="297" t="str">
        <v>I162S2C86J4V1</v>
      </c>
      <c r="H83" s="297" t="str">
        <v>I162S2C86J4V1</v>
      </c>
      <c r="I83" s="297" t="str">
        <v>B/C Documental anual</v>
      </c>
      <c r="J83" s="297" t="str">
        <v>Código destino igual a origen T1</v>
      </c>
      <c r="K83" s="297" t="str">
        <v>Mismo plan observado en contexto nativo 1 de año origen</v>
      </c>
      <c r="L83" s="297" t="str">
        <v>Sede/jornada del contexto coinciden con código origen</v>
      </c>
      <c r="M83" s="297" t="str">
        <v>No</v>
      </c>
      <c r="N83" s="306" t="n">
        <v>22</v>
      </c>
      <c r="O83" s="297" t="str">
        <v>Código anual atribuido; no acredita día del cambio ni aceptación SIES</v>
      </c>
    </row>
    <row r="84" ht="58" customHeight="1">
      <c r="A84" s="297" t="n">
        <v>2025</v>
      </c>
      <c r="B84" s="297" t="n">
        <v>2025</v>
      </c>
      <c r="C84" s="297" t="n">
        <v>2</v>
      </c>
      <c r="D84" s="297" t="str">
        <v>Ingeniería en Administración de Empresas</v>
      </c>
      <c r="E84" s="297" t="str">
        <v>IADM</v>
      </c>
      <c r="F84" s="297" t="str">
        <v>IADM20241</v>
      </c>
      <c r="G84" s="297" t="str">
        <v>I162S2C76J2V1</v>
      </c>
      <c r="H84" s="305" t="str">
        <v>Pendiente</v>
      </c>
      <c r="I84" s="305" t="str">
        <v>E Pendiente</v>
      </c>
      <c r="J84" s="305" t="str">
        <v>Misma carrera/sede; jornada candidata distinta del origen</v>
      </c>
      <c r="K84" s="297" t="str">
        <v>Mismo plan observado en contexto nativo 1 de año origen</v>
      </c>
      <c r="L84" s="297" t="str">
        <v>Contexto observado difiere en jornada</v>
      </c>
      <c r="M84" s="297" t="str">
        <v>No</v>
      </c>
      <c r="N84" s="306" t="n">
        <v>3</v>
      </c>
      <c r="O84" s="297" t="str">
        <v>Versión/atribución pendiente; no adjudicar por totales</v>
      </c>
    </row>
    <row r="85" ht="58" customHeight="1">
      <c r="A85" s="297" t="n">
        <v>2025</v>
      </c>
      <c r="B85" s="297" t="n">
        <v>2025</v>
      </c>
      <c r="C85" s="297" t="n">
        <v>2</v>
      </c>
      <c r="D85" s="297" t="str">
        <v>Ingeniería en Administración de Empresas</v>
      </c>
      <c r="E85" s="297" t="str">
        <v>IADM</v>
      </c>
      <c r="F85" s="297" t="str">
        <v>IADM20241</v>
      </c>
      <c r="G85" s="297" t="str">
        <v>I162S2C76J4V1</v>
      </c>
      <c r="H85" s="297" t="str">
        <v>I162S2C76J4V1</v>
      </c>
      <c r="I85" s="297" t="str">
        <v>B/C Documental anual</v>
      </c>
      <c r="J85" s="297" t="str">
        <v>Código destino igual a origen T1</v>
      </c>
      <c r="K85" s="297" t="str">
        <v>Mismo plan observado en contexto nativo 1 de año origen</v>
      </c>
      <c r="L85" s="297" t="str">
        <v>Sede/jornada del contexto coinciden con código origen</v>
      </c>
      <c r="M85" s="297" t="str">
        <v>No</v>
      </c>
      <c r="N85" s="306" t="n">
        <v>42</v>
      </c>
      <c r="O85" s="297" t="str">
        <v>Código anual atribuido; no acredita día del cambio ni aceptación SIES</v>
      </c>
    </row>
    <row r="86" ht="58" customHeight="1">
      <c r="A86" s="297" t="n">
        <v>2025</v>
      </c>
      <c r="B86" s="297" t="n">
        <v>2025</v>
      </c>
      <c r="C86" s="297" t="n">
        <v>2</v>
      </c>
      <c r="D86" s="297" t="str">
        <v>Ingeniería en Ciberseguridad</v>
      </c>
      <c r="E86" s="297" t="str">
        <v>AUDT</v>
      </c>
      <c r="F86" s="297" t="str">
        <v>AUDT20251</v>
      </c>
      <c r="G86" s="297" t="str">
        <v>I162S2C46J4V3</v>
      </c>
      <c r="H86" s="305" t="str">
        <v>Pendiente</v>
      </c>
      <c r="I86" s="305" t="str">
        <v>E Pendiente</v>
      </c>
      <c r="J86" s="305" t="str">
        <v>Candidatos en otra carrera/sede/institución; vínculo con origen pendiente</v>
      </c>
      <c r="K86" s="297" t="str">
        <v>Mismo plan observado en contexto nativo 1 de año origen</v>
      </c>
      <c r="L86" s="297" t="str">
        <v>Sede/jornada del contexto coinciden con código origen</v>
      </c>
      <c r="M86" s="297" t="str">
        <v>Sí</v>
      </c>
      <c r="N86" s="306" t="n">
        <v>1</v>
      </c>
      <c r="O86" s="297" t="str">
        <v>Versión/atribución pendiente; no adjudicar por totales</v>
      </c>
    </row>
    <row r="87" ht="58" customHeight="1">
      <c r="A87" s="297" t="n">
        <v>2025</v>
      </c>
      <c r="B87" s="297" t="n">
        <v>2025</v>
      </c>
      <c r="C87" s="297" t="n">
        <v>2</v>
      </c>
      <c r="D87" s="297" t="str">
        <v>Ingeniería en Ciberseguridad</v>
      </c>
      <c r="E87" s="297" t="str">
        <v>ICIB</v>
      </c>
      <c r="F87" s="297" t="str">
        <v>ICIB20241</v>
      </c>
      <c r="G87" s="297" t="str">
        <v>I162S2C46J2V1</v>
      </c>
      <c r="H87" s="297" t="str">
        <v>I162S2C46J2V1</v>
      </c>
      <c r="I87" s="297" t="str">
        <v>B/C Documental anual</v>
      </c>
      <c r="J87" s="297" t="str">
        <v>Código destino igual a origen T1</v>
      </c>
      <c r="K87" s="297" t="str">
        <v>Mismo plan observado en contexto nativo 1 de año origen</v>
      </c>
      <c r="L87" s="297" t="str">
        <v>Sede/jornada del contexto coinciden con código origen</v>
      </c>
      <c r="M87" s="297" t="str">
        <v>Sí</v>
      </c>
      <c r="N87" s="306" t="n">
        <v>3</v>
      </c>
      <c r="O87" s="297" t="str">
        <v>Código anual atribuido; no acredita día del cambio ni aceptación SIES</v>
      </c>
    </row>
    <row r="88" ht="58" customHeight="1">
      <c r="A88" s="297" t="n">
        <v>2025</v>
      </c>
      <c r="B88" s="297" t="n">
        <v>2025</v>
      </c>
      <c r="C88" s="297" t="n">
        <v>2</v>
      </c>
      <c r="D88" s="297" t="str">
        <v>Ingeniería en Ciberseguridad</v>
      </c>
      <c r="E88" s="297" t="str">
        <v>ICIB</v>
      </c>
      <c r="F88" s="297" t="str">
        <v>ICIB20241</v>
      </c>
      <c r="G88" s="297" t="str">
        <v>I162S2C46J4V3</v>
      </c>
      <c r="H88" s="297" t="str">
        <v>I162S2C46J4V3</v>
      </c>
      <c r="I88" s="297" t="str">
        <v>B/C Documental anual</v>
      </c>
      <c r="J88" s="297" t="str">
        <v>Código destino igual a origen T1</v>
      </c>
      <c r="K88" s="297" t="str">
        <v>Mismo plan observado en contexto nativo 1 de año origen</v>
      </c>
      <c r="L88" s="297" t="str">
        <v>Sede/jornada del contexto coinciden con código origen</v>
      </c>
      <c r="M88" s="297" t="str">
        <v>Sí</v>
      </c>
      <c r="N88" s="306" t="n">
        <v>47</v>
      </c>
      <c r="O88" s="297" t="str">
        <v>Código anual atribuido; no acredita día del cambio ni aceptación SIES</v>
      </c>
    </row>
    <row r="89" ht="58" customHeight="1">
      <c r="A89" s="297" t="n">
        <v>2025</v>
      </c>
      <c r="B89" s="297" t="n">
        <v>2025</v>
      </c>
      <c r="C89" s="297" t="n">
        <v>2</v>
      </c>
      <c r="D89" s="297" t="str">
        <v>Ingeniería en Ciencia de Datos</v>
      </c>
      <c r="E89" s="297" t="str">
        <v>ICDA</v>
      </c>
      <c r="F89" s="297" t="str">
        <v>ICDA20251</v>
      </c>
      <c r="G89" s="297" t="str">
        <v>I162S2C88J4V1</v>
      </c>
      <c r="H89" s="297" t="str">
        <v>I162S2C88J4V1</v>
      </c>
      <c r="I89" s="297" t="str">
        <v>B/C Documental anual</v>
      </c>
      <c r="J89" s="297" t="str">
        <v>Código destino igual a origen T1</v>
      </c>
      <c r="K89" s="297" t="str">
        <v>Mismo plan observado en contexto nativo 1 de año origen</v>
      </c>
      <c r="L89" s="297" t="str">
        <v>Sede/jornada del contexto coinciden con código origen</v>
      </c>
      <c r="M89" s="297" t="str">
        <v>No</v>
      </c>
      <c r="N89" s="306" t="n">
        <v>25</v>
      </c>
      <c r="O89" s="297" t="str">
        <v>Código anual atribuido; no acredita día del cambio ni aceptación SIES</v>
      </c>
    </row>
    <row r="90" ht="58" customHeight="1">
      <c r="A90" s="297" t="n">
        <v>2025</v>
      </c>
      <c r="B90" s="297" t="n">
        <v>2025</v>
      </c>
      <c r="C90" s="297" t="n">
        <v>2</v>
      </c>
      <c r="D90" s="297" t="str">
        <v>Ingeniería en Conectividad y Redes</v>
      </c>
      <c r="E90" s="297" t="str">
        <v>ICRE</v>
      </c>
      <c r="F90" s="297" t="str">
        <v>ICRE20241</v>
      </c>
      <c r="G90" s="297" t="str">
        <v>I162S2C3J2V1</v>
      </c>
      <c r="H90" s="297" t="str">
        <v>I162S2C3J2V1</v>
      </c>
      <c r="I90" s="297" t="str">
        <v>B/C Documental anual</v>
      </c>
      <c r="J90" s="297" t="str">
        <v>Código destino igual a origen T1</v>
      </c>
      <c r="K90" s="297" t="str">
        <v>Mismo plan observado en contexto nativo 1 de año origen</v>
      </c>
      <c r="L90" s="297" t="str">
        <v>Sede/jornada del contexto coinciden con código origen</v>
      </c>
      <c r="M90" s="297" t="str">
        <v>Sí</v>
      </c>
      <c r="N90" s="306" t="n">
        <v>3</v>
      </c>
      <c r="O90" s="297" t="str">
        <v>Código anual atribuido; no acredita día del cambio ni aceptación SIES</v>
      </c>
    </row>
    <row r="91" ht="58" customHeight="1">
      <c r="A91" s="297" t="n">
        <v>2025</v>
      </c>
      <c r="B91" s="297" t="n">
        <v>2025</v>
      </c>
      <c r="C91" s="297" t="n">
        <v>2</v>
      </c>
      <c r="D91" s="297" t="str">
        <v>Ingeniería en Conectividad y Redes</v>
      </c>
      <c r="E91" s="297" t="str">
        <v>ICRE</v>
      </c>
      <c r="F91" s="297" t="str">
        <v>ICRE20241</v>
      </c>
      <c r="G91" s="297" t="str">
        <v>I162S2C3J2V4</v>
      </c>
      <c r="H91" s="297" t="str">
        <v>I162S2C3J2V4</v>
      </c>
      <c r="I91" s="297" t="str">
        <v>B/C Documental anual</v>
      </c>
      <c r="J91" s="297" t="str">
        <v>Código destino igual a origen T1</v>
      </c>
      <c r="K91" s="297" t="str">
        <v>Mismo plan observado en contexto nativo 1 de año origen</v>
      </c>
      <c r="L91" s="297" t="str">
        <v>Sede/jornada del contexto coinciden con código origen</v>
      </c>
      <c r="M91" s="297" t="str">
        <v>Sí</v>
      </c>
      <c r="N91" s="306" t="n">
        <v>5</v>
      </c>
      <c r="O91" s="297" t="str">
        <v>Código anual atribuido; no acredita día del cambio ni aceptación SIES</v>
      </c>
    </row>
    <row r="92" ht="58" customHeight="1">
      <c r="A92" s="297" t="n">
        <v>2025</v>
      </c>
      <c r="B92" s="297" t="n">
        <v>2025</v>
      </c>
      <c r="C92" s="297" t="n">
        <v>2</v>
      </c>
      <c r="D92" s="297" t="str">
        <v>Ingeniería en Conectividad y Redes</v>
      </c>
      <c r="E92" s="297" t="str">
        <v>ICRE</v>
      </c>
      <c r="F92" s="297" t="str">
        <v>ICRE20241</v>
      </c>
      <c r="G92" s="297" t="str">
        <v>I162S2C3J4V2</v>
      </c>
      <c r="H92" s="297" t="str">
        <v>I162S2C3J4V2</v>
      </c>
      <c r="I92" s="297" t="str">
        <v>B/C Documental anual</v>
      </c>
      <c r="J92" s="297" t="str">
        <v>Código destino igual a origen T1</v>
      </c>
      <c r="K92" s="297" t="str">
        <v>Mismo plan observado en contexto nativo 1 de año origen</v>
      </c>
      <c r="L92" s="297" t="str">
        <v>Sede/jornada del contexto coinciden con código origen</v>
      </c>
      <c r="M92" s="297" t="str">
        <v>Sí</v>
      </c>
      <c r="N92" s="306" t="n">
        <v>40</v>
      </c>
      <c r="O92" s="297" t="str">
        <v>Código anual atribuido; no acredita día del cambio ni aceptación SIES</v>
      </c>
    </row>
    <row r="93" ht="58" customHeight="1">
      <c r="A93" s="297" t="n">
        <v>2025</v>
      </c>
      <c r="B93" s="297" t="n">
        <v>2025</v>
      </c>
      <c r="C93" s="297" t="n">
        <v>2</v>
      </c>
      <c r="D93" s="297" t="str">
        <v>Ingeniería en Informática</v>
      </c>
      <c r="E93" s="297" t="str">
        <v>IINF</v>
      </c>
      <c r="F93" s="297" t="str">
        <v>IINF20241</v>
      </c>
      <c r="G93" s="297" t="str">
        <v>I162S2C1J1V1</v>
      </c>
      <c r="H93" s="297" t="str">
        <v>I162S2C1J1V1</v>
      </c>
      <c r="I93" s="297" t="str">
        <v>B/C Documental anual</v>
      </c>
      <c r="J93" s="297" t="str">
        <v>Código destino igual a origen T1</v>
      </c>
      <c r="K93" s="297" t="str">
        <v>Mismo plan observado en contexto nativo 1 de año origen</v>
      </c>
      <c r="L93" s="297" t="str">
        <v>Sede/jornada del contexto coinciden con código origen</v>
      </c>
      <c r="M93" s="297" t="str">
        <v>Sí</v>
      </c>
      <c r="N93" s="306" t="n">
        <v>3</v>
      </c>
      <c r="O93" s="297" t="str">
        <v>Código anual atribuido; no acredita día del cambio ni aceptación SIES</v>
      </c>
    </row>
    <row r="94" ht="58" customHeight="1">
      <c r="A94" s="297" t="n">
        <v>2025</v>
      </c>
      <c r="B94" s="297" t="n">
        <v>2025</v>
      </c>
      <c r="C94" s="297" t="n">
        <v>2</v>
      </c>
      <c r="D94" s="297" t="str">
        <v>Ingeniería en Informática</v>
      </c>
      <c r="E94" s="297" t="str">
        <v>IINF</v>
      </c>
      <c r="F94" s="297" t="str">
        <v>IINF20241</v>
      </c>
      <c r="G94" s="297" t="str">
        <v>I162S2C1J1V2</v>
      </c>
      <c r="H94" s="297" t="str">
        <v>I162S2C1J1V2</v>
      </c>
      <c r="I94" s="297" t="str">
        <v>B/C Documental anual</v>
      </c>
      <c r="J94" s="297" t="str">
        <v>Código destino igual a origen T1</v>
      </c>
      <c r="K94" s="297" t="str">
        <v>Mismo plan observado en contexto nativo 1 de año origen</v>
      </c>
      <c r="L94" s="297" t="str">
        <v>Sede/jornada del contexto coinciden con código origen</v>
      </c>
      <c r="M94" s="297" t="str">
        <v>Sí</v>
      </c>
      <c r="N94" s="306" t="n">
        <v>6</v>
      </c>
      <c r="O94" s="297" t="str">
        <v>Código anual atribuido; no acredita día del cambio ni aceptación SIES</v>
      </c>
    </row>
    <row r="95" ht="58" customHeight="1">
      <c r="A95" s="297" t="n">
        <v>2025</v>
      </c>
      <c r="B95" s="297" t="n">
        <v>2025</v>
      </c>
      <c r="C95" s="297" t="n">
        <v>2</v>
      </c>
      <c r="D95" s="297" t="str">
        <v>Ingeniería en Informática</v>
      </c>
      <c r="E95" s="297" t="str">
        <v>IINF</v>
      </c>
      <c r="F95" s="297" t="str">
        <v>IINF20241</v>
      </c>
      <c r="G95" s="297" t="str">
        <v>I162S2C1J1V2</v>
      </c>
      <c r="H95" s="310" t="str">
        <v>I162S2C1J1V2</v>
      </c>
      <c r="I95" s="310" t="str">
        <v>D Interno aprobado</v>
      </c>
      <c r="J95" s="310" t="str">
        <v>Código destino igual a origen T1</v>
      </c>
      <c r="K95" s="297" t="str">
        <v>Mismo plan observado en contexto nativo 1 de año origen</v>
      </c>
      <c r="L95" s="297" t="str">
        <v>Sede/jornada del contexto coinciden con código origen</v>
      </c>
      <c r="M95" s="297" t="str">
        <v>Sí</v>
      </c>
      <c r="N95" s="306" t="n">
        <v>2</v>
      </c>
      <c r="O95" s="297" t="str">
        <v>Atribución documental al período pendiente</v>
      </c>
    </row>
    <row r="96" ht="58" customHeight="1">
      <c r="A96" s="297" t="n">
        <v>2025</v>
      </c>
      <c r="B96" s="297" t="n">
        <v>2025</v>
      </c>
      <c r="C96" s="297" t="n">
        <v>2</v>
      </c>
      <c r="D96" s="297" t="str">
        <v>Ingeniería en Informática</v>
      </c>
      <c r="E96" s="297" t="str">
        <v>IINF</v>
      </c>
      <c r="F96" s="297" t="str">
        <v>IINF20241</v>
      </c>
      <c r="G96" s="297" t="str">
        <v>I162S2C1J2V1</v>
      </c>
      <c r="H96" s="297" t="str">
        <v>I162S2C1J2V1</v>
      </c>
      <c r="I96" s="297" t="str">
        <v>B/C Documental anual</v>
      </c>
      <c r="J96" s="297" t="str">
        <v>Código destino igual a origen T1</v>
      </c>
      <c r="K96" s="297" t="str">
        <v>Mismo plan observado en contexto nativo 1 de año origen</v>
      </c>
      <c r="L96" s="297" t="str">
        <v>Sede/jornada del contexto coinciden con código origen</v>
      </c>
      <c r="M96" s="297" t="str">
        <v>Sí</v>
      </c>
      <c r="N96" s="306" t="n">
        <v>3</v>
      </c>
      <c r="O96" s="297" t="str">
        <v>Código anual atribuido; no acredita día del cambio ni aceptación SIES</v>
      </c>
    </row>
    <row r="97" ht="58" customHeight="1">
      <c r="A97" s="297" t="n">
        <v>2025</v>
      </c>
      <c r="B97" s="297" t="n">
        <v>2025</v>
      </c>
      <c r="C97" s="297" t="n">
        <v>2</v>
      </c>
      <c r="D97" s="297" t="str">
        <v>Ingeniería en Informática</v>
      </c>
      <c r="E97" s="297" t="str">
        <v>IINF</v>
      </c>
      <c r="F97" s="297" t="str">
        <v>IINF20241</v>
      </c>
      <c r="G97" s="297" t="str">
        <v>I162S2C1J2V4</v>
      </c>
      <c r="H97" s="297" t="str">
        <v>I162S2C1J2V4</v>
      </c>
      <c r="I97" s="297" t="str">
        <v>B/C Documental anual</v>
      </c>
      <c r="J97" s="297" t="str">
        <v>Código destino igual a origen T1</v>
      </c>
      <c r="K97" s="297" t="str">
        <v>Mismo plan observado en contexto nativo 1 de año origen</v>
      </c>
      <c r="L97" s="297" t="str">
        <v>Sede/jornada del contexto coinciden con código origen</v>
      </c>
      <c r="M97" s="297" t="str">
        <v>Sí</v>
      </c>
      <c r="N97" s="306" t="n">
        <v>5</v>
      </c>
      <c r="O97" s="297" t="str">
        <v>Código anual atribuido; no acredita día del cambio ni aceptación SIES</v>
      </c>
    </row>
    <row r="98" ht="58" customHeight="1">
      <c r="A98" s="297" t="n">
        <v>2025</v>
      </c>
      <c r="B98" s="297" t="n">
        <v>2025</v>
      </c>
      <c r="C98" s="297" t="n">
        <v>2</v>
      </c>
      <c r="D98" s="297" t="str">
        <v>Ingeniería en Informática</v>
      </c>
      <c r="E98" s="297" t="str">
        <v>IINF</v>
      </c>
      <c r="F98" s="297" t="str">
        <v>IINF20241</v>
      </c>
      <c r="G98" s="297" t="str">
        <v>I162S2C1J2V4</v>
      </c>
      <c r="H98" s="310" t="str">
        <v>I162S2C1J2V4</v>
      </c>
      <c r="I98" s="310" t="str">
        <v>D Interno aprobado</v>
      </c>
      <c r="J98" s="310" t="str">
        <v>Código destino igual a origen T1</v>
      </c>
      <c r="K98" s="297" t="str">
        <v>Mismo plan observado en contexto nativo 1 de año origen</v>
      </c>
      <c r="L98" s="297" t="str">
        <v>Contexto observado difiere en jornada</v>
      </c>
      <c r="M98" s="297" t="str">
        <v>Sí</v>
      </c>
      <c r="N98" s="306" t="n">
        <v>2</v>
      </c>
      <c r="O98" s="297" t="str">
        <v>Atribución documental al período pendiente</v>
      </c>
    </row>
    <row r="99" ht="58" customHeight="1">
      <c r="A99" s="297" t="n">
        <v>2025</v>
      </c>
      <c r="B99" s="297" t="n">
        <v>2025</v>
      </c>
      <c r="C99" s="297" t="n">
        <v>2</v>
      </c>
      <c r="D99" s="297" t="str">
        <v>Ingeniería en Informática</v>
      </c>
      <c r="E99" s="297" t="str">
        <v>IINF</v>
      </c>
      <c r="F99" s="297" t="str">
        <v>IINF20241</v>
      </c>
      <c r="G99" s="297" t="str">
        <v>I162S2C1J4V2</v>
      </c>
      <c r="H99" s="297" t="str">
        <v>I162S2C1J4V2</v>
      </c>
      <c r="I99" s="297" t="str">
        <v>B/C Documental anual</v>
      </c>
      <c r="J99" s="297" t="str">
        <v>Código destino igual a origen T1</v>
      </c>
      <c r="K99" s="297" t="str">
        <v>Mismo plan observado en contexto nativo 1 de año origen</v>
      </c>
      <c r="L99" s="297" t="str">
        <v>Sede/jornada del contexto coinciden con código origen</v>
      </c>
      <c r="M99" s="297" t="str">
        <v>Sí</v>
      </c>
      <c r="N99" s="306" t="n">
        <v>58</v>
      </c>
      <c r="O99" s="297" t="str">
        <v>Código anual atribuido; no acredita día del cambio ni aceptación SIES</v>
      </c>
    </row>
    <row r="100" ht="58" customHeight="1">
      <c r="A100" s="297" t="n">
        <v>2025</v>
      </c>
      <c r="B100" s="297" t="n">
        <v>2025</v>
      </c>
      <c r="C100" s="297" t="n">
        <v>2</v>
      </c>
      <c r="D100" s="297" t="str">
        <v>Ingeniería en Logística</v>
      </c>
      <c r="E100" s="297" t="str">
        <v>ILOG</v>
      </c>
      <c r="F100" s="297" t="str">
        <v>ILOG20241</v>
      </c>
      <c r="G100" s="297" t="str">
        <v>I162S2C77J4V1</v>
      </c>
      <c r="H100" s="297" t="str">
        <v>I162S2C77J4V1</v>
      </c>
      <c r="I100" s="297" t="str">
        <v>B/C Documental anual</v>
      </c>
      <c r="J100" s="297" t="str">
        <v>Código destino igual a origen T1</v>
      </c>
      <c r="K100" s="297" t="str">
        <v>Mismo plan observado en contexto nativo 1 de año origen</v>
      </c>
      <c r="L100" s="297" t="str">
        <v>Sede/jornada del contexto coinciden con código origen</v>
      </c>
      <c r="M100" s="297" t="str">
        <v>No</v>
      </c>
      <c r="N100" s="306" t="n">
        <v>33</v>
      </c>
      <c r="O100" s="297" t="str">
        <v>Código anual atribuido; no acredita día del cambio ni aceptación SIES</v>
      </c>
    </row>
    <row r="101" ht="58" customHeight="1">
      <c r="A101" s="297" t="n">
        <v>2025</v>
      </c>
      <c r="B101" s="297" t="n">
        <v>2025</v>
      </c>
      <c r="C101" s="297" t="n">
        <v>2</v>
      </c>
      <c r="D101" s="297" t="str">
        <v>Técnico en Administración de Empresas</v>
      </c>
      <c r="E101" s="297" t="str">
        <v>TAMD</v>
      </c>
      <c r="F101" s="297" t="str">
        <v>TAMD20241</v>
      </c>
      <c r="G101" s="297" t="str">
        <v>I162S2C78J2V1</v>
      </c>
      <c r="H101" s="297" t="str">
        <v>I162S2C78J2V1</v>
      </c>
      <c r="I101" s="297" t="str">
        <v>B/C Documental anual</v>
      </c>
      <c r="J101" s="297" t="str">
        <v>Código destino igual a origen T1</v>
      </c>
      <c r="K101" s="297" t="str">
        <v>Mismo plan observado en contexto nativo 1 de año origen</v>
      </c>
      <c r="L101" s="297" t="str">
        <v>Sede/jornada del contexto coinciden con código origen</v>
      </c>
      <c r="M101" s="297" t="str">
        <v>No</v>
      </c>
      <c r="N101" s="306" t="n">
        <v>4</v>
      </c>
      <c r="O101" s="297" t="str">
        <v>Código anual atribuido; no acredita día del cambio ni aceptación SIES</v>
      </c>
    </row>
    <row r="102" ht="58" customHeight="1">
      <c r="A102" s="297" t="n">
        <v>2025</v>
      </c>
      <c r="B102" s="297" t="n">
        <v>2025</v>
      </c>
      <c r="C102" s="297" t="n">
        <v>2</v>
      </c>
      <c r="D102" s="297" t="str">
        <v>Técnico en Administración de Empresas</v>
      </c>
      <c r="E102" s="297" t="str">
        <v>TAMD</v>
      </c>
      <c r="F102" s="297" t="str">
        <v>TAMD20241</v>
      </c>
      <c r="G102" s="297" t="str">
        <v>I162S2C78J2V1</v>
      </c>
      <c r="H102" s="305" t="str">
        <v>Pendiente</v>
      </c>
      <c r="I102" s="305" t="str">
        <v>E Pendiente</v>
      </c>
      <c r="J102" s="305" t="str">
        <v>Familia del origen entre candidatos; atribución de versión/plan pendiente</v>
      </c>
      <c r="K102" s="297" t="str">
        <v>Mismo plan observado en contexto nativo 1 de año origen</v>
      </c>
      <c r="L102" s="297" t="str">
        <v>Sede/jornada del contexto coinciden con código origen</v>
      </c>
      <c r="M102" s="297" t="str">
        <v>No</v>
      </c>
      <c r="N102" s="306" t="n">
        <v>2</v>
      </c>
      <c r="O102" s="297" t="str">
        <v>Versión/atribución pendiente; no adjudicar por totales</v>
      </c>
    </row>
    <row r="103" ht="58" customHeight="1">
      <c r="A103" s="297" t="n">
        <v>2025</v>
      </c>
      <c r="B103" s="297" t="n">
        <v>2025</v>
      </c>
      <c r="C103" s="297" t="n">
        <v>2</v>
      </c>
      <c r="D103" s="297" t="str">
        <v>Técnico en Administración de Empresas</v>
      </c>
      <c r="E103" s="297" t="str">
        <v>TAMD</v>
      </c>
      <c r="F103" s="297" t="str">
        <v>TAMD20241</v>
      </c>
      <c r="G103" s="297" t="str">
        <v>I162S2C78J4V1</v>
      </c>
      <c r="H103" s="297" t="str">
        <v>I162S2C78J4V1</v>
      </c>
      <c r="I103" s="297" t="str">
        <v>B/C Documental anual</v>
      </c>
      <c r="J103" s="297" t="str">
        <v>Código destino igual a origen T1</v>
      </c>
      <c r="K103" s="297" t="str">
        <v>Mismo plan observado en contexto nativo 1 de año origen</v>
      </c>
      <c r="L103" s="297" t="str">
        <v>Sede/jornada del contexto coinciden con código origen</v>
      </c>
      <c r="M103" s="297" t="str">
        <v>No</v>
      </c>
      <c r="N103" s="306" t="n">
        <v>27</v>
      </c>
      <c r="O103" s="297" t="str">
        <v>Código anual atribuido; no acredita día del cambio ni aceptación SIES</v>
      </c>
    </row>
    <row r="104" ht="58" customHeight="1">
      <c r="A104" s="297" t="n">
        <v>2025</v>
      </c>
      <c r="B104" s="297" t="n">
        <v>2025</v>
      </c>
      <c r="C104" s="297" t="n">
        <v>2</v>
      </c>
      <c r="D104" s="297" t="str">
        <v>Técnico en Ciberseguridad</v>
      </c>
      <c r="E104" s="297" t="str">
        <v>TCIB</v>
      </c>
      <c r="F104" s="297" t="str">
        <v>TCIB20241</v>
      </c>
      <c r="G104" s="297" t="str">
        <v>I162S2C47J4V1</v>
      </c>
      <c r="H104" s="297" t="str">
        <v>I162S2C47J4V1</v>
      </c>
      <c r="I104" s="297" t="str">
        <v>B/C Documental anual</v>
      </c>
      <c r="J104" s="297" t="str">
        <v>Código destino igual a origen T1</v>
      </c>
      <c r="K104" s="297" t="str">
        <v>Mismo plan observado en contexto nativo 1 de año origen</v>
      </c>
      <c r="L104" s="297" t="str">
        <v>Sede/jornada del contexto coinciden con código origen</v>
      </c>
      <c r="M104" s="297" t="str">
        <v>No</v>
      </c>
      <c r="N104" s="306" t="n">
        <v>40</v>
      </c>
      <c r="O104" s="297" t="str">
        <v>Código anual atribuido; no acredita día del cambio ni aceptación SIES</v>
      </c>
    </row>
    <row r="105" ht="58" customHeight="1">
      <c r="A105" s="297" t="n">
        <v>2025</v>
      </c>
      <c r="B105" s="297" t="n">
        <v>2025</v>
      </c>
      <c r="C105" s="297" t="n">
        <v>2</v>
      </c>
      <c r="D105" s="297" t="str">
        <v>Técnico en Conectividad y Redes</v>
      </c>
      <c r="E105" s="297" t="str">
        <v>TCRE</v>
      </c>
      <c r="F105" s="297" t="str">
        <v>TCRE20241</v>
      </c>
      <c r="G105" s="297" t="str">
        <v>I162S2C6J2V1</v>
      </c>
      <c r="H105" s="297" t="str">
        <v>I162S2C6J2V1</v>
      </c>
      <c r="I105" s="297" t="str">
        <v>B/C Documental anual</v>
      </c>
      <c r="J105" s="297" t="str">
        <v>Código destino igual a origen T1</v>
      </c>
      <c r="K105" s="297" t="str">
        <v>Mismo plan observado en contexto nativo 1 de año origen</v>
      </c>
      <c r="L105" s="297" t="str">
        <v>Sede/jornada del contexto coinciden con código origen</v>
      </c>
      <c r="M105" s="297" t="str">
        <v>Sí</v>
      </c>
      <c r="N105" s="306" t="n">
        <v>2</v>
      </c>
      <c r="O105" s="297" t="str">
        <v>Código anual atribuido; no acredita día del cambio ni aceptación SIES</v>
      </c>
    </row>
    <row r="106" ht="58" customHeight="1">
      <c r="A106" s="297" t="n">
        <v>2025</v>
      </c>
      <c r="B106" s="297" t="n">
        <v>2025</v>
      </c>
      <c r="C106" s="297" t="n">
        <v>2</v>
      </c>
      <c r="D106" s="297" t="str">
        <v>Técnico en Conectividad y Redes</v>
      </c>
      <c r="E106" s="297" t="str">
        <v>TCRE</v>
      </c>
      <c r="F106" s="297" t="str">
        <v>TCRE20241</v>
      </c>
      <c r="G106" s="297" t="str">
        <v>I162S2C6J2V2</v>
      </c>
      <c r="H106" s="297" t="str">
        <v>I162S2C6J2V2</v>
      </c>
      <c r="I106" s="297" t="str">
        <v>B/C Documental anual</v>
      </c>
      <c r="J106" s="297" t="str">
        <v>Código destino igual a origen T1</v>
      </c>
      <c r="K106" s="297" t="str">
        <v>Mismo plan observado en contexto nativo 1 de año origen</v>
      </c>
      <c r="L106" s="297" t="str">
        <v>Sede/jornada del contexto coinciden con código origen</v>
      </c>
      <c r="M106" s="297" t="str">
        <v>Sí</v>
      </c>
      <c r="N106" s="306" t="n">
        <v>2</v>
      </c>
      <c r="O106" s="297" t="str">
        <v>Código anual atribuido; no acredita día del cambio ni aceptación SIES</v>
      </c>
    </row>
    <row r="107" ht="58" customHeight="1">
      <c r="A107" s="297" t="n">
        <v>2025</v>
      </c>
      <c r="B107" s="297" t="n">
        <v>2025</v>
      </c>
      <c r="C107" s="297" t="n">
        <v>2</v>
      </c>
      <c r="D107" s="297" t="str">
        <v>Técnico en Conectividad y Redes</v>
      </c>
      <c r="E107" s="297" t="str">
        <v>TCRE</v>
      </c>
      <c r="F107" s="297" t="str">
        <v>TCRE20241</v>
      </c>
      <c r="G107" s="297" t="str">
        <v>I162S2C6J4V2</v>
      </c>
      <c r="H107" s="297" t="str">
        <v>I162S2C6J4V2</v>
      </c>
      <c r="I107" s="297" t="str">
        <v>B/C Documental anual</v>
      </c>
      <c r="J107" s="297" t="str">
        <v>Código destino igual a origen T1</v>
      </c>
      <c r="K107" s="297" t="str">
        <v>Mismo plan observado en contexto nativo 1 de año origen</v>
      </c>
      <c r="L107" s="297" t="str">
        <v>Sede/jornada del contexto coinciden con código origen</v>
      </c>
      <c r="M107" s="297" t="str">
        <v>Sí</v>
      </c>
      <c r="N107" s="306" t="n">
        <v>22</v>
      </c>
      <c r="O107" s="297" t="str">
        <v>Código anual atribuido; no acredita día del cambio ni aceptación SIES</v>
      </c>
    </row>
    <row r="108" ht="58" customHeight="1">
      <c r="A108" s="297" t="n">
        <v>2025</v>
      </c>
      <c r="B108" s="297" t="n">
        <v>2025</v>
      </c>
      <c r="C108" s="297" t="n">
        <v>2</v>
      </c>
      <c r="D108" s="297" t="str">
        <v>Técnico en Conectividad y Redes</v>
      </c>
      <c r="E108" s="297" t="str">
        <v>TCRE</v>
      </c>
      <c r="F108" s="297" t="str">
        <v>TCRE20241</v>
      </c>
      <c r="G108" s="297" t="str">
        <v>I162S2C6J4V2</v>
      </c>
      <c r="H108" s="297" t="str">
        <v>I162S2C6J4V2</v>
      </c>
      <c r="I108" s="297" t="str">
        <v>B/C Documental anual</v>
      </c>
      <c r="J108" s="297" t="str">
        <v>Código destino igual a origen T1</v>
      </c>
      <c r="K108" s="297" t="str">
        <v>Sin contexto nativo 1 del mismo CODCLI en año origen</v>
      </c>
      <c r="L108" s="297" t="str">
        <v>Sede/jornada del contexto coinciden con código origen</v>
      </c>
      <c r="M108" s="297" t="str">
        <v>Sí</v>
      </c>
      <c r="N108" s="306" t="n">
        <v>1</v>
      </c>
      <c r="O108" s="297" t="str">
        <v>Código anual atribuido; no acredita día del cambio ni aceptación SIES</v>
      </c>
    </row>
    <row r="109" ht="58" customHeight="1">
      <c r="A109" s="297" t="n">
        <v>2025</v>
      </c>
      <c r="B109" s="297" t="n">
        <v>2025</v>
      </c>
      <c r="C109" s="297" t="n">
        <v>2</v>
      </c>
      <c r="D109" s="297" t="str">
        <v>Técnico en Logística</v>
      </c>
      <c r="E109" s="297" t="str">
        <v>TLOG</v>
      </c>
      <c r="F109" s="297" t="str">
        <v>TLOG20241</v>
      </c>
      <c r="G109" s="297" t="str">
        <v>I162S2C79J2V1</v>
      </c>
      <c r="H109" s="305" t="str">
        <v>Pendiente</v>
      </c>
      <c r="I109" s="305" t="str">
        <v>E Pendiente</v>
      </c>
      <c r="J109" s="305" t="str">
        <v>Misma carrera/sede; jornada candidata distinta del origen</v>
      </c>
      <c r="K109" s="297" t="str">
        <v>Mismo plan observado en contexto nativo 1 de año origen</v>
      </c>
      <c r="L109" s="297" t="str">
        <v>Contexto observado difiere en jornada</v>
      </c>
      <c r="M109" s="297" t="str">
        <v>No</v>
      </c>
      <c r="N109" s="306" t="n">
        <v>2</v>
      </c>
      <c r="O109" s="297" t="str">
        <v>Versión/atribución pendiente; no adjudicar por totales</v>
      </c>
    </row>
    <row r="110" ht="58" customHeight="1">
      <c r="A110" s="297" t="n">
        <v>2025</v>
      </c>
      <c r="B110" s="297" t="n">
        <v>2025</v>
      </c>
      <c r="C110" s="297" t="n">
        <v>2</v>
      </c>
      <c r="D110" s="297" t="str">
        <v>Técnico en Logística</v>
      </c>
      <c r="E110" s="297" t="str">
        <v>TLOG</v>
      </c>
      <c r="F110" s="297" t="str">
        <v>TLOG20241</v>
      </c>
      <c r="G110" s="297" t="str">
        <v>I162S2C79J4V1</v>
      </c>
      <c r="H110" s="297" t="str">
        <v>I162S2C79J4V1</v>
      </c>
      <c r="I110" s="297" t="str">
        <v>B/C Documental anual</v>
      </c>
      <c r="J110" s="297" t="str">
        <v>Código destino igual a origen T1</v>
      </c>
      <c r="K110" s="297" t="str">
        <v>Mismo plan observado en contexto nativo 1 de año origen</v>
      </c>
      <c r="L110" s="297" t="str">
        <v>Sede/jornada del contexto coinciden con código origen</v>
      </c>
      <c r="M110" s="297" t="str">
        <v>No</v>
      </c>
      <c r="N110" s="306" t="n">
        <v>39</v>
      </c>
      <c r="O110" s="297" t="str">
        <v>Código anual atribuido; no acredita día del cambio ni aceptación SIES</v>
      </c>
    </row>
    <row r="111" ht="58" customHeight="1">
      <c r="A111" s="297" t="n">
        <v>2025</v>
      </c>
      <c r="B111" s="297" t="n">
        <v>2025</v>
      </c>
      <c r="C111" s="297" t="n">
        <v>2</v>
      </c>
      <c r="D111" s="297" t="str">
        <v>Técnico en Programación y Análisis de Sistemas</v>
      </c>
      <c r="E111" s="297" t="str">
        <v>TPAS</v>
      </c>
      <c r="F111" s="297" t="str">
        <v>TPAS20241</v>
      </c>
      <c r="G111" s="297" t="str">
        <v>I162S2C57J1V1</v>
      </c>
      <c r="H111" s="305" t="str">
        <v>Pendiente</v>
      </c>
      <c r="I111" s="305" t="str">
        <v>E Pendiente</v>
      </c>
      <c r="J111" s="305" t="str">
        <v>Misma carrera/sede; jornada candidata distinta del origen</v>
      </c>
      <c r="K111" s="297" t="str">
        <v>Mismo plan observado en contexto nativo 1 de año origen</v>
      </c>
      <c r="L111" s="297" t="str">
        <v>Contexto observado difiere en jornada</v>
      </c>
      <c r="M111" s="297" t="str">
        <v>No</v>
      </c>
      <c r="N111" s="306" t="n">
        <v>1</v>
      </c>
      <c r="O111" s="297" t="str">
        <v>Versión/atribución pendiente; no adjudicar por totales</v>
      </c>
    </row>
    <row r="112" ht="58" customHeight="1">
      <c r="A112" s="297" t="n">
        <v>2025</v>
      </c>
      <c r="B112" s="297" t="n">
        <v>2025</v>
      </c>
      <c r="C112" s="297" t="n">
        <v>2</v>
      </c>
      <c r="D112" s="297" t="str">
        <v>Técnico en Programación y Análisis de Sistemas</v>
      </c>
      <c r="E112" s="297" t="str">
        <v>TPAS</v>
      </c>
      <c r="F112" s="297" t="str">
        <v>TPAS20241</v>
      </c>
      <c r="G112" s="297" t="str">
        <v>I162S2C57J4V1</v>
      </c>
      <c r="H112" s="297" t="str">
        <v>I162S2C57J4V1</v>
      </c>
      <c r="I112" s="297" t="str">
        <v>B/C Documental anual</v>
      </c>
      <c r="J112" s="297" t="str">
        <v>Código destino igual a origen T1</v>
      </c>
      <c r="K112" s="297" t="str">
        <v>Mismo plan observado en contexto nativo 1 de año origen</v>
      </c>
      <c r="L112" s="297" t="str">
        <v>Sede/jornada del contexto coinciden con código origen</v>
      </c>
      <c r="M112" s="297" t="str">
        <v>No</v>
      </c>
      <c r="N112" s="306" t="n">
        <v>67</v>
      </c>
      <c r="O112" s="297" t="str">
        <v>Código anual atribuido; no acredita día del cambio ni aceptación SIES</v>
      </c>
    </row>
    <row r="113" ht="58" customHeight="1">
      <c r="A113" s="297" t="n">
        <v>2025</v>
      </c>
      <c r="B113" s="297" t="n">
        <v>2025</v>
      </c>
      <c r="C113" s="297" t="n">
        <v>2</v>
      </c>
      <c r="D113" s="297" t="str">
        <v>Técnico en Programación y Análisis de Sistemas</v>
      </c>
      <c r="E113" s="297" t="str">
        <v>TPAS</v>
      </c>
      <c r="F113" s="297" t="str">
        <v>TPAS20241</v>
      </c>
      <c r="G113" s="297" t="str">
        <v>I162S2C57J4V1</v>
      </c>
      <c r="H113" s="305" t="str">
        <v>Pendiente</v>
      </c>
      <c r="I113" s="305" t="str">
        <v>E Pendiente</v>
      </c>
      <c r="J113" s="305" t="str">
        <v>Familia del origen entre candidatos; atribución de versión/plan pendiente</v>
      </c>
      <c r="K113" s="297" t="str">
        <v>Sin contexto nativo 1 del mismo CODCLI en año origen</v>
      </c>
      <c r="L113" s="297" t="str">
        <v>Sede/jornada del contexto coinciden con código origen</v>
      </c>
      <c r="M113" s="297" t="str">
        <v>No</v>
      </c>
      <c r="N113" s="306" t="n">
        <v>1</v>
      </c>
      <c r="O113" s="297" t="str">
        <v>Versión/atribución pendiente; no adjudicar por totales</v>
      </c>
    </row>
    <row r="114" ht="58" customHeight="1">
      <c r="A114" s="297" t="n">
        <v>2025</v>
      </c>
      <c r="B114" s="297" t="n">
        <v>2025</v>
      </c>
      <c r="C114" s="297" t="n">
        <v>3</v>
      </c>
      <c r="D114" s="297" t="str">
        <v>Administración Pública</v>
      </c>
      <c r="E114" s="297" t="str">
        <v>ADMP</v>
      </c>
      <c r="F114" s="297" t="str">
        <v>ADMP20251</v>
      </c>
      <c r="G114" s="297" t="str">
        <v>I162S2C83J4V1</v>
      </c>
      <c r="H114" s="297" t="str">
        <v>I162S2C83J4V1</v>
      </c>
      <c r="I114" s="297" t="str">
        <v>B/C Documental anual</v>
      </c>
      <c r="J114" s="297" t="str">
        <v>Código destino igual a origen T1</v>
      </c>
      <c r="K114" s="297" t="str">
        <v>Mismo plan observado en contexto nativo 1 de año origen</v>
      </c>
      <c r="L114" s="297" t="str">
        <v>Sede/jornada del contexto coinciden con código origen</v>
      </c>
      <c r="M114" s="297" t="str">
        <v>No</v>
      </c>
      <c r="N114" s="306" t="n">
        <v>28</v>
      </c>
      <c r="O114" s="297" t="str">
        <v>Código anual atribuido; no acredita día del cambio ni aceptación SIES</v>
      </c>
    </row>
    <row r="115" ht="58" customHeight="1">
      <c r="A115" s="297" t="n">
        <v>2025</v>
      </c>
      <c r="B115" s="297" t="n">
        <v>2025</v>
      </c>
      <c r="C115" s="297" t="n">
        <v>3</v>
      </c>
      <c r="D115" s="297" t="str">
        <v>Auditoría</v>
      </c>
      <c r="E115" s="297" t="str">
        <v>AUDT</v>
      </c>
      <c r="F115" s="297" t="str">
        <v>AUDT20251</v>
      </c>
      <c r="G115" s="297" t="str">
        <v>I162S2C86J4V1</v>
      </c>
      <c r="H115" s="297" t="str">
        <v>I162S2C86J4V1</v>
      </c>
      <c r="I115" s="297" t="str">
        <v>B/C Documental anual</v>
      </c>
      <c r="J115" s="297" t="str">
        <v>Código destino igual a origen T1</v>
      </c>
      <c r="K115" s="297" t="str">
        <v>Mismo plan observado en contexto nativo 1 de año origen</v>
      </c>
      <c r="L115" s="297" t="str">
        <v>Sede/jornada del contexto coinciden con código origen</v>
      </c>
      <c r="M115" s="297" t="str">
        <v>No</v>
      </c>
      <c r="N115" s="306" t="n">
        <v>19</v>
      </c>
      <c r="O115" s="297" t="str">
        <v>Código anual atribuido; no acredita día del cambio ni aceptación SIES</v>
      </c>
    </row>
    <row r="116" ht="58" customHeight="1">
      <c r="A116" s="297" t="n">
        <v>2025</v>
      </c>
      <c r="B116" s="297" t="n">
        <v>2025</v>
      </c>
      <c r="C116" s="297" t="n">
        <v>3</v>
      </c>
      <c r="D116" s="297" t="str">
        <v>Ingeniería en Administración de Empresas</v>
      </c>
      <c r="E116" s="297" t="str">
        <v>IADM</v>
      </c>
      <c r="F116" s="297" t="str">
        <v>IADM20241</v>
      </c>
      <c r="G116" s="297" t="str">
        <v>I162S2C76J2V1</v>
      </c>
      <c r="H116" s="305" t="str">
        <v>Pendiente</v>
      </c>
      <c r="I116" s="305" t="str">
        <v>E Pendiente</v>
      </c>
      <c r="J116" s="305" t="str">
        <v>Misma carrera/sede; jornada candidata distinta del origen</v>
      </c>
      <c r="K116" s="297" t="str">
        <v>Mismo plan observado en contexto nativo 1 de año origen</v>
      </c>
      <c r="L116" s="297" t="str">
        <v>Contexto observado difiere en jornada</v>
      </c>
      <c r="M116" s="297" t="str">
        <v>No</v>
      </c>
      <c r="N116" s="306" t="n">
        <v>3</v>
      </c>
      <c r="O116" s="297" t="str">
        <v>Versión/atribución pendiente; no adjudicar por totales</v>
      </c>
    </row>
    <row r="117" ht="58" customHeight="1">
      <c r="A117" s="297" t="n">
        <v>2025</v>
      </c>
      <c r="B117" s="297" t="n">
        <v>2025</v>
      </c>
      <c r="C117" s="297" t="n">
        <v>3</v>
      </c>
      <c r="D117" s="297" t="str">
        <v>Ingeniería en Administración de Empresas</v>
      </c>
      <c r="E117" s="297" t="str">
        <v>IADM</v>
      </c>
      <c r="F117" s="297" t="str">
        <v>IADM20241</v>
      </c>
      <c r="G117" s="297" t="str">
        <v>I162S2C76J4V1</v>
      </c>
      <c r="H117" s="297" t="str">
        <v>I162S2C76J4V1</v>
      </c>
      <c r="I117" s="297" t="str">
        <v>B/C Documental anual</v>
      </c>
      <c r="J117" s="297" t="str">
        <v>Código destino igual a origen T1</v>
      </c>
      <c r="K117" s="297" t="str">
        <v>Mismo plan observado en contexto nativo 1 de año origen</v>
      </c>
      <c r="L117" s="297" t="str">
        <v>Sede/jornada del contexto coinciden con código origen</v>
      </c>
      <c r="M117" s="297" t="str">
        <v>No</v>
      </c>
      <c r="N117" s="306" t="n">
        <v>32</v>
      </c>
      <c r="O117" s="297" t="str">
        <v>Código anual atribuido; no acredita día del cambio ni aceptación SIES</v>
      </c>
    </row>
    <row r="118" ht="58" customHeight="1">
      <c r="A118" s="297" t="n">
        <v>2025</v>
      </c>
      <c r="B118" s="297" t="n">
        <v>2025</v>
      </c>
      <c r="C118" s="297" t="n">
        <v>3</v>
      </c>
      <c r="D118" s="297" t="str">
        <v>Ingeniería en Ciberseguridad</v>
      </c>
      <c r="E118" s="297" t="str">
        <v>ICIB</v>
      </c>
      <c r="F118" s="297" t="str">
        <v>ICIB20241</v>
      </c>
      <c r="G118" s="297" t="str">
        <v>I162S2C46J2V1</v>
      </c>
      <c r="H118" s="297" t="str">
        <v>I162S2C46J2V1</v>
      </c>
      <c r="I118" s="297" t="str">
        <v>B/C Documental anual</v>
      </c>
      <c r="J118" s="297" t="str">
        <v>Código destino igual a origen T1</v>
      </c>
      <c r="K118" s="297" t="str">
        <v>Mismo plan observado en contexto nativo 1 de año origen</v>
      </c>
      <c r="L118" s="297" t="str">
        <v>Sede/jornada del contexto coinciden con código origen</v>
      </c>
      <c r="M118" s="297" t="str">
        <v>Sí</v>
      </c>
      <c r="N118" s="306" t="n">
        <v>3</v>
      </c>
      <c r="O118" s="297" t="str">
        <v>Código anual atribuido; no acredita día del cambio ni aceptación SIES</v>
      </c>
    </row>
    <row r="119" ht="58" customHeight="1">
      <c r="A119" s="297" t="n">
        <v>2025</v>
      </c>
      <c r="B119" s="297" t="n">
        <v>2025</v>
      </c>
      <c r="C119" s="297" t="n">
        <v>3</v>
      </c>
      <c r="D119" s="297" t="str">
        <v>Ingeniería en Ciberseguridad</v>
      </c>
      <c r="E119" s="297" t="str">
        <v>ICIB</v>
      </c>
      <c r="F119" s="297" t="str">
        <v>ICIB20241</v>
      </c>
      <c r="G119" s="297" t="str">
        <v>I162S2C46J4V3</v>
      </c>
      <c r="H119" s="297" t="str">
        <v>I162S2C46J4V3</v>
      </c>
      <c r="I119" s="297" t="str">
        <v>B/C Documental anual</v>
      </c>
      <c r="J119" s="297" t="str">
        <v>Código destino igual a origen T1</v>
      </c>
      <c r="K119" s="297" t="str">
        <v>Mismo plan observado en contexto nativo 1 de año origen</v>
      </c>
      <c r="L119" s="297" t="str">
        <v>Sede/jornada del contexto coinciden con código origen</v>
      </c>
      <c r="M119" s="297" t="str">
        <v>Sí</v>
      </c>
      <c r="N119" s="306" t="n">
        <v>39</v>
      </c>
      <c r="O119" s="297" t="str">
        <v>Código anual atribuido; no acredita día del cambio ni aceptación SIES</v>
      </c>
    </row>
    <row r="120" ht="58" customHeight="1">
      <c r="A120" s="297" t="n">
        <v>2025</v>
      </c>
      <c r="B120" s="297" t="n">
        <v>2025</v>
      </c>
      <c r="C120" s="297" t="n">
        <v>3</v>
      </c>
      <c r="D120" s="297" t="str">
        <v>Ingeniería en Ciencia de Datos</v>
      </c>
      <c r="E120" s="297" t="str">
        <v>ICDA</v>
      </c>
      <c r="F120" s="297" t="str">
        <v>ICDA20251</v>
      </c>
      <c r="G120" s="297" t="str">
        <v>I162S2C88J4V1</v>
      </c>
      <c r="H120" s="297" t="str">
        <v>I162S2C88J4V1</v>
      </c>
      <c r="I120" s="297" t="str">
        <v>B/C Documental anual</v>
      </c>
      <c r="J120" s="297" t="str">
        <v>Código destino igual a origen T1</v>
      </c>
      <c r="K120" s="297" t="str">
        <v>Mismo plan observado en contexto nativo 1 de año origen</v>
      </c>
      <c r="L120" s="297" t="str">
        <v>Sede/jornada del contexto coinciden con código origen</v>
      </c>
      <c r="M120" s="297" t="str">
        <v>No</v>
      </c>
      <c r="N120" s="306" t="n">
        <v>21</v>
      </c>
      <c r="O120" s="297" t="str">
        <v>Código anual atribuido; no acredita día del cambio ni aceptación SIES</v>
      </c>
    </row>
    <row r="121" ht="58" customHeight="1">
      <c r="A121" s="297" t="n">
        <v>2025</v>
      </c>
      <c r="B121" s="297" t="n">
        <v>2025</v>
      </c>
      <c r="C121" s="297" t="n">
        <v>3</v>
      </c>
      <c r="D121" s="297" t="str">
        <v>Ingeniería en Conectividad y Redes</v>
      </c>
      <c r="E121" s="297" t="str">
        <v>ICRE</v>
      </c>
      <c r="F121" s="297" t="str">
        <v>ICRE20241</v>
      </c>
      <c r="G121" s="297" t="str">
        <v>I162S2C3J2V1</v>
      </c>
      <c r="H121" s="297" t="str">
        <v>I162S2C3J2V1</v>
      </c>
      <c r="I121" s="297" t="str">
        <v>B/C Documental anual</v>
      </c>
      <c r="J121" s="297" t="str">
        <v>Código destino igual a origen T1</v>
      </c>
      <c r="K121" s="297" t="str">
        <v>Mismo plan observado en contexto nativo 1 de año origen</v>
      </c>
      <c r="L121" s="297" t="str">
        <v>Sede/jornada del contexto coinciden con código origen</v>
      </c>
      <c r="M121" s="297" t="str">
        <v>Sí</v>
      </c>
      <c r="N121" s="306" t="n">
        <v>3</v>
      </c>
      <c r="O121" s="297" t="str">
        <v>Código anual atribuido; no acredita día del cambio ni aceptación SIES</v>
      </c>
    </row>
    <row r="122" ht="58" customHeight="1">
      <c r="A122" s="297" t="n">
        <v>2025</v>
      </c>
      <c r="B122" s="297" t="n">
        <v>2025</v>
      </c>
      <c r="C122" s="297" t="n">
        <v>3</v>
      </c>
      <c r="D122" s="297" t="str">
        <v>Ingeniería en Conectividad y Redes</v>
      </c>
      <c r="E122" s="297" t="str">
        <v>ICRE</v>
      </c>
      <c r="F122" s="297" t="str">
        <v>ICRE20241</v>
      </c>
      <c r="G122" s="297" t="str">
        <v>I162S2C3J2V4</v>
      </c>
      <c r="H122" s="297" t="str">
        <v>I162S2C3J2V4</v>
      </c>
      <c r="I122" s="297" t="str">
        <v>B/C Documental anual</v>
      </c>
      <c r="J122" s="297" t="str">
        <v>Código destino igual a origen T1</v>
      </c>
      <c r="K122" s="297" t="str">
        <v>Mismo plan observado en contexto nativo 1 de año origen</v>
      </c>
      <c r="L122" s="297" t="str">
        <v>Sede/jornada del contexto coinciden con código origen</v>
      </c>
      <c r="M122" s="297" t="str">
        <v>Sí</v>
      </c>
      <c r="N122" s="306" t="n">
        <v>5</v>
      </c>
      <c r="O122" s="297" t="str">
        <v>Código anual atribuido; no acredita día del cambio ni aceptación SIES</v>
      </c>
    </row>
    <row r="123" ht="58" customHeight="1">
      <c r="A123" s="297" t="n">
        <v>2025</v>
      </c>
      <c r="B123" s="297" t="n">
        <v>2025</v>
      </c>
      <c r="C123" s="297" t="n">
        <v>3</v>
      </c>
      <c r="D123" s="297" t="str">
        <v>Ingeniería en Conectividad y Redes</v>
      </c>
      <c r="E123" s="297" t="str">
        <v>ICRE</v>
      </c>
      <c r="F123" s="297" t="str">
        <v>ICRE20241</v>
      </c>
      <c r="G123" s="297" t="str">
        <v>I162S2C3J4V2</v>
      </c>
      <c r="H123" s="297" t="str">
        <v>I162S2C3J4V2</v>
      </c>
      <c r="I123" s="297" t="str">
        <v>B/C Documental anual</v>
      </c>
      <c r="J123" s="297" t="str">
        <v>Código destino igual a origen T1</v>
      </c>
      <c r="K123" s="297" t="str">
        <v>Mismo plan observado en contexto nativo 1 de año origen</v>
      </c>
      <c r="L123" s="297" t="str">
        <v>Sede/jornada del contexto coinciden con código origen</v>
      </c>
      <c r="M123" s="297" t="str">
        <v>Sí</v>
      </c>
      <c r="N123" s="306" t="n">
        <v>33</v>
      </c>
      <c r="O123" s="297" t="str">
        <v>Código anual atribuido; no acredita día del cambio ni aceptación SIES</v>
      </c>
    </row>
    <row r="124" ht="58" customHeight="1">
      <c r="A124" s="297" t="n">
        <v>2025</v>
      </c>
      <c r="B124" s="297" t="n">
        <v>2025</v>
      </c>
      <c r="C124" s="297" t="n">
        <v>3</v>
      </c>
      <c r="D124" s="297" t="str">
        <v>Ingeniería en Informática</v>
      </c>
      <c r="E124" s="297" t="str">
        <v>IINF</v>
      </c>
      <c r="F124" s="297" t="str">
        <v>IINF20241</v>
      </c>
      <c r="G124" s="297" t="str">
        <v>I162S2C1J1V1</v>
      </c>
      <c r="H124" s="297" t="str">
        <v>I162S2C1J1V1</v>
      </c>
      <c r="I124" s="297" t="str">
        <v>B/C Documental anual</v>
      </c>
      <c r="J124" s="297" t="str">
        <v>Código destino igual a origen T1</v>
      </c>
      <c r="K124" s="297" t="str">
        <v>Mismo plan observado en contexto nativo 1 de año origen</v>
      </c>
      <c r="L124" s="297" t="str">
        <v>Sede/jornada del contexto coinciden con código origen</v>
      </c>
      <c r="M124" s="297" t="str">
        <v>Sí</v>
      </c>
      <c r="N124" s="306" t="n">
        <v>2</v>
      </c>
      <c r="O124" s="297" t="str">
        <v>Código anual atribuido; no acredita día del cambio ni aceptación SIES</v>
      </c>
    </row>
    <row r="125" ht="58" customHeight="1">
      <c r="A125" s="297" t="n">
        <v>2025</v>
      </c>
      <c r="B125" s="297" t="n">
        <v>2025</v>
      </c>
      <c r="C125" s="297" t="n">
        <v>3</v>
      </c>
      <c r="D125" s="297" t="str">
        <v>Ingeniería en Informática</v>
      </c>
      <c r="E125" s="297" t="str">
        <v>IINF</v>
      </c>
      <c r="F125" s="297" t="str">
        <v>IINF20241</v>
      </c>
      <c r="G125" s="297" t="str">
        <v>I162S2C1J1V2</v>
      </c>
      <c r="H125" s="297" t="str">
        <v>I162S2C1J1V2</v>
      </c>
      <c r="I125" s="297" t="str">
        <v>B/C Documental anual</v>
      </c>
      <c r="J125" s="297" t="str">
        <v>Código destino igual a origen T1</v>
      </c>
      <c r="K125" s="297" t="str">
        <v>Mismo plan observado en contexto nativo 1 de año origen</v>
      </c>
      <c r="L125" s="297" t="str">
        <v>Sede/jornada del contexto coinciden con código origen</v>
      </c>
      <c r="M125" s="297" t="str">
        <v>Sí</v>
      </c>
      <c r="N125" s="306" t="n">
        <v>6</v>
      </c>
      <c r="O125" s="297" t="str">
        <v>Código anual atribuido; no acredita día del cambio ni aceptación SIES</v>
      </c>
    </row>
    <row r="126" ht="58" customHeight="1">
      <c r="A126" s="297" t="n">
        <v>2025</v>
      </c>
      <c r="B126" s="297" t="n">
        <v>2025</v>
      </c>
      <c r="C126" s="297" t="n">
        <v>3</v>
      </c>
      <c r="D126" s="297" t="str">
        <v>Ingeniería en Informática</v>
      </c>
      <c r="E126" s="297" t="str">
        <v>IINF</v>
      </c>
      <c r="F126" s="297" t="str">
        <v>IINF20241</v>
      </c>
      <c r="G126" s="297" t="str">
        <v>I162S2C1J1V2</v>
      </c>
      <c r="H126" s="310" t="str">
        <v>I162S2C1J1V2</v>
      </c>
      <c r="I126" s="310" t="str">
        <v>D Interno aprobado</v>
      </c>
      <c r="J126" s="310" t="str">
        <v>Código destino igual a origen T1</v>
      </c>
      <c r="K126" s="297" t="str">
        <v>Mismo plan observado en contexto nativo 1 de año origen</v>
      </c>
      <c r="L126" s="297" t="str">
        <v>Sede/jornada del contexto coinciden con código origen</v>
      </c>
      <c r="M126" s="297" t="str">
        <v>Sí</v>
      </c>
      <c r="N126" s="306" t="n">
        <v>2</v>
      </c>
      <c r="O126" s="297" t="str">
        <v>Atribución documental al período pendiente</v>
      </c>
    </row>
    <row r="127" ht="58" customHeight="1">
      <c r="A127" s="297" t="n">
        <v>2025</v>
      </c>
      <c r="B127" s="297" t="n">
        <v>2025</v>
      </c>
      <c r="C127" s="297" t="n">
        <v>3</v>
      </c>
      <c r="D127" s="297" t="str">
        <v>Ingeniería en Informática</v>
      </c>
      <c r="E127" s="297" t="str">
        <v>IINF</v>
      </c>
      <c r="F127" s="297" t="str">
        <v>IINF20241</v>
      </c>
      <c r="G127" s="297" t="str">
        <v>I162S2C1J2V1</v>
      </c>
      <c r="H127" s="297" t="str">
        <v>I162S2C1J2V1</v>
      </c>
      <c r="I127" s="297" t="str">
        <v>B/C Documental anual</v>
      </c>
      <c r="J127" s="297" t="str">
        <v>Código destino igual a origen T1</v>
      </c>
      <c r="K127" s="297" t="str">
        <v>Mismo plan observado en contexto nativo 1 de año origen</v>
      </c>
      <c r="L127" s="297" t="str">
        <v>Sede/jornada del contexto coinciden con código origen</v>
      </c>
      <c r="M127" s="297" t="str">
        <v>Sí</v>
      </c>
      <c r="N127" s="306" t="n">
        <v>3</v>
      </c>
      <c r="O127" s="297" t="str">
        <v>Código anual atribuido; no acredita día del cambio ni aceptación SIES</v>
      </c>
    </row>
    <row r="128" ht="58" customHeight="1">
      <c r="A128" s="297" t="n">
        <v>2025</v>
      </c>
      <c r="B128" s="297" t="n">
        <v>2025</v>
      </c>
      <c r="C128" s="297" t="n">
        <v>3</v>
      </c>
      <c r="D128" s="297" t="str">
        <v>Ingeniería en Informática</v>
      </c>
      <c r="E128" s="297" t="str">
        <v>IINF</v>
      </c>
      <c r="F128" s="297" t="str">
        <v>IINF20241</v>
      </c>
      <c r="G128" s="297" t="str">
        <v>I162S2C1J2V4</v>
      </c>
      <c r="H128" s="297" t="str">
        <v>I162S2C1J2V4</v>
      </c>
      <c r="I128" s="297" t="str">
        <v>B/C Documental anual</v>
      </c>
      <c r="J128" s="297" t="str">
        <v>Código destino igual a origen T1</v>
      </c>
      <c r="K128" s="297" t="str">
        <v>Mismo plan observado en contexto nativo 1 de año origen</v>
      </c>
      <c r="L128" s="297" t="str">
        <v>Sede/jornada del contexto coinciden con código origen</v>
      </c>
      <c r="M128" s="297" t="str">
        <v>Sí</v>
      </c>
      <c r="N128" s="306" t="n">
        <v>4</v>
      </c>
      <c r="O128" s="297" t="str">
        <v>Código anual atribuido; no acredita día del cambio ni aceptación SIES</v>
      </c>
    </row>
    <row r="129" ht="58" customHeight="1">
      <c r="A129" s="297" t="n">
        <v>2025</v>
      </c>
      <c r="B129" s="297" t="n">
        <v>2025</v>
      </c>
      <c r="C129" s="297" t="n">
        <v>3</v>
      </c>
      <c r="D129" s="297" t="str">
        <v>Ingeniería en Informática</v>
      </c>
      <c r="E129" s="297" t="str">
        <v>IINF</v>
      </c>
      <c r="F129" s="297" t="str">
        <v>IINF20241</v>
      </c>
      <c r="G129" s="297" t="str">
        <v>I162S2C1J2V4</v>
      </c>
      <c r="H129" s="310" t="str">
        <v>I162S2C1J2V4</v>
      </c>
      <c r="I129" s="310" t="str">
        <v>D Interno aprobado</v>
      </c>
      <c r="J129" s="310" t="str">
        <v>Código destino igual a origen T1</v>
      </c>
      <c r="K129" s="297" t="str">
        <v>Mismo plan observado en contexto nativo 1 de año origen</v>
      </c>
      <c r="L129" s="297" t="str">
        <v>Contexto observado difiere en jornada</v>
      </c>
      <c r="M129" s="297" t="str">
        <v>Sí</v>
      </c>
      <c r="N129" s="306" t="n">
        <v>1</v>
      </c>
      <c r="O129" s="297" t="str">
        <v>Atribución documental al período pendiente</v>
      </c>
    </row>
    <row r="130" ht="58" customHeight="1">
      <c r="A130" s="297" t="n">
        <v>2025</v>
      </c>
      <c r="B130" s="297" t="n">
        <v>2025</v>
      </c>
      <c r="C130" s="297" t="n">
        <v>3</v>
      </c>
      <c r="D130" s="297" t="str">
        <v>Ingeniería en Informática</v>
      </c>
      <c r="E130" s="297" t="str">
        <v>IINF</v>
      </c>
      <c r="F130" s="297" t="str">
        <v>IINF20241</v>
      </c>
      <c r="G130" s="297" t="str">
        <v>I162S2C1J4V2</v>
      </c>
      <c r="H130" s="297" t="str">
        <v>I162S2C1J4V2</v>
      </c>
      <c r="I130" s="297" t="str">
        <v>B/C Documental anual</v>
      </c>
      <c r="J130" s="297" t="str">
        <v>Código destino igual a origen T1</v>
      </c>
      <c r="K130" s="297" t="str">
        <v>Mismo plan observado en contexto nativo 1 de año origen</v>
      </c>
      <c r="L130" s="297" t="str">
        <v>Sede/jornada del contexto coinciden con código origen</v>
      </c>
      <c r="M130" s="297" t="str">
        <v>Sí</v>
      </c>
      <c r="N130" s="306" t="n">
        <v>54</v>
      </c>
      <c r="O130" s="297" t="str">
        <v>Código anual atribuido; no acredita día del cambio ni aceptación SIES</v>
      </c>
    </row>
    <row r="131" ht="58" customHeight="1">
      <c r="A131" s="297" t="n">
        <v>2025</v>
      </c>
      <c r="B131" s="297" t="n">
        <v>2025</v>
      </c>
      <c r="C131" s="297" t="n">
        <v>3</v>
      </c>
      <c r="D131" s="297" t="str">
        <v>Ingeniería en Logística</v>
      </c>
      <c r="E131" s="297" t="str">
        <v>ILOG</v>
      </c>
      <c r="F131" s="297" t="str">
        <v>ILOG20241</v>
      </c>
      <c r="G131" s="297" t="str">
        <v>I162S2C77J4V1</v>
      </c>
      <c r="H131" s="297" t="str">
        <v>I162S2C77J4V1</v>
      </c>
      <c r="I131" s="297" t="str">
        <v>B/C Documental anual</v>
      </c>
      <c r="J131" s="297" t="str">
        <v>Código destino igual a origen T1</v>
      </c>
      <c r="K131" s="297" t="str">
        <v>Mismo plan observado en contexto nativo 1 de año origen</v>
      </c>
      <c r="L131" s="297" t="str">
        <v>Sede/jornada del contexto coinciden con código origen</v>
      </c>
      <c r="M131" s="297" t="str">
        <v>No</v>
      </c>
      <c r="N131" s="306" t="n">
        <v>29</v>
      </c>
      <c r="O131" s="297" t="str">
        <v>Código anual atribuido; no acredita día del cambio ni aceptación SIES</v>
      </c>
    </row>
    <row r="132" ht="58" customHeight="1">
      <c r="A132" s="297" t="n">
        <v>2025</v>
      </c>
      <c r="B132" s="297" t="n">
        <v>2025</v>
      </c>
      <c r="C132" s="297" t="n">
        <v>3</v>
      </c>
      <c r="D132" s="297" t="str">
        <v>Técnico en Administración de Empresas</v>
      </c>
      <c r="E132" s="297" t="str">
        <v>TAMD</v>
      </c>
      <c r="F132" s="297" t="str">
        <v>TAMD20241</v>
      </c>
      <c r="G132" s="297" t="str">
        <v>I162S2C78J2V1</v>
      </c>
      <c r="H132" s="297" t="str">
        <v>I162S2C78J2V1</v>
      </c>
      <c r="I132" s="297" t="str">
        <v>B/C Documental anual</v>
      </c>
      <c r="J132" s="297" t="str">
        <v>Código destino igual a origen T1</v>
      </c>
      <c r="K132" s="297" t="str">
        <v>Mismo plan observado en contexto nativo 1 de año origen</v>
      </c>
      <c r="L132" s="297" t="str">
        <v>Sede/jornada del contexto coinciden con código origen</v>
      </c>
      <c r="M132" s="297" t="str">
        <v>No</v>
      </c>
      <c r="N132" s="306" t="n">
        <v>3</v>
      </c>
      <c r="O132" s="297" t="str">
        <v>Código anual atribuido; no acredita día del cambio ni aceptación SIES</v>
      </c>
    </row>
    <row r="133" ht="58" customHeight="1">
      <c r="A133" s="297" t="n">
        <v>2025</v>
      </c>
      <c r="B133" s="297" t="n">
        <v>2025</v>
      </c>
      <c r="C133" s="297" t="n">
        <v>3</v>
      </c>
      <c r="D133" s="297" t="str">
        <v>Técnico en Administración de Empresas</v>
      </c>
      <c r="E133" s="297" t="str">
        <v>TAMD</v>
      </c>
      <c r="F133" s="297" t="str">
        <v>TAMD20241</v>
      </c>
      <c r="G133" s="297" t="str">
        <v>I162S2C78J2V1</v>
      </c>
      <c r="H133" s="305" t="str">
        <v>Pendiente</v>
      </c>
      <c r="I133" s="305" t="str">
        <v>E Pendiente</v>
      </c>
      <c r="J133" s="305" t="str">
        <v>Familia del origen entre candidatos; atribución de versión/plan pendiente</v>
      </c>
      <c r="K133" s="297" t="str">
        <v>Mismo plan observado en contexto nativo 1 de año origen</v>
      </c>
      <c r="L133" s="297" t="str">
        <v>Sede/jornada del contexto coinciden con código origen</v>
      </c>
      <c r="M133" s="297" t="str">
        <v>No</v>
      </c>
      <c r="N133" s="306" t="n">
        <v>1</v>
      </c>
      <c r="O133" s="297" t="str">
        <v>Versión/atribución pendiente; no adjudicar por totales</v>
      </c>
    </row>
    <row r="134" ht="58" customHeight="1">
      <c r="A134" s="297" t="n">
        <v>2025</v>
      </c>
      <c r="B134" s="297" t="n">
        <v>2025</v>
      </c>
      <c r="C134" s="297" t="n">
        <v>3</v>
      </c>
      <c r="D134" s="297" t="str">
        <v>Técnico en Administración de Empresas</v>
      </c>
      <c r="E134" s="297" t="str">
        <v>TAMD</v>
      </c>
      <c r="F134" s="297" t="str">
        <v>TAMD20241</v>
      </c>
      <c r="G134" s="297" t="str">
        <v>I162S2C78J4V1</v>
      </c>
      <c r="H134" s="297" t="str">
        <v>I162S2C78J4V1</v>
      </c>
      <c r="I134" s="297" t="str">
        <v>B/C Documental anual</v>
      </c>
      <c r="J134" s="297" t="str">
        <v>Código destino igual a origen T1</v>
      </c>
      <c r="K134" s="297" t="str">
        <v>Mismo plan observado en contexto nativo 1 de año origen</v>
      </c>
      <c r="L134" s="297" t="str">
        <v>Sede/jornada del contexto coinciden con código origen</v>
      </c>
      <c r="M134" s="297" t="str">
        <v>No</v>
      </c>
      <c r="N134" s="306" t="n">
        <v>21</v>
      </c>
      <c r="O134" s="297" t="str">
        <v>Código anual atribuido; no acredita día del cambio ni aceptación SIES</v>
      </c>
    </row>
    <row r="135" ht="58" customHeight="1">
      <c r="A135" s="297" t="n">
        <v>2025</v>
      </c>
      <c r="B135" s="297" t="n">
        <v>2025</v>
      </c>
      <c r="C135" s="297" t="n">
        <v>3</v>
      </c>
      <c r="D135" s="297" t="str">
        <v>Técnico en Ciberseguridad</v>
      </c>
      <c r="E135" s="297" t="str">
        <v>TCIB</v>
      </c>
      <c r="F135" s="297" t="str">
        <v>TCIB20241</v>
      </c>
      <c r="G135" s="297" t="str">
        <v>I162S2C47J4V1</v>
      </c>
      <c r="H135" s="297" t="str">
        <v>I162S2C47J4V1</v>
      </c>
      <c r="I135" s="297" t="str">
        <v>B/C Documental anual</v>
      </c>
      <c r="J135" s="297" t="str">
        <v>Código destino igual a origen T1</v>
      </c>
      <c r="K135" s="297" t="str">
        <v>Mismo plan observado en contexto nativo 1 de año origen</v>
      </c>
      <c r="L135" s="297" t="str">
        <v>Sede/jornada del contexto coinciden con código origen</v>
      </c>
      <c r="M135" s="297" t="str">
        <v>No</v>
      </c>
      <c r="N135" s="306" t="n">
        <v>37</v>
      </c>
      <c r="O135" s="297" t="str">
        <v>Código anual atribuido; no acredita día del cambio ni aceptación SIES</v>
      </c>
    </row>
    <row r="136" ht="58" customHeight="1">
      <c r="A136" s="297" t="n">
        <v>2025</v>
      </c>
      <c r="B136" s="297" t="n">
        <v>2025</v>
      </c>
      <c r="C136" s="297" t="n">
        <v>3</v>
      </c>
      <c r="D136" s="297" t="str">
        <v>Técnico en Conectividad y Redes</v>
      </c>
      <c r="E136" s="297" t="str">
        <v>TCRE</v>
      </c>
      <c r="F136" s="297" t="str">
        <v>TCRE20241</v>
      </c>
      <c r="G136" s="297" t="str">
        <v>I162S2C6J2V1</v>
      </c>
      <c r="H136" s="297" t="str">
        <v>I162S2C6J2V1</v>
      </c>
      <c r="I136" s="297" t="str">
        <v>B/C Documental anual</v>
      </c>
      <c r="J136" s="297" t="str">
        <v>Código destino igual a origen T1</v>
      </c>
      <c r="K136" s="297" t="str">
        <v>Mismo plan observado en contexto nativo 1 de año origen</v>
      </c>
      <c r="L136" s="297" t="str">
        <v>Sede/jornada del contexto coinciden con código origen</v>
      </c>
      <c r="M136" s="297" t="str">
        <v>Sí</v>
      </c>
      <c r="N136" s="306" t="n">
        <v>1</v>
      </c>
      <c r="O136" s="297" t="str">
        <v>Código anual atribuido; no acredita día del cambio ni aceptación SIES</v>
      </c>
    </row>
    <row r="137" ht="58" customHeight="1">
      <c r="A137" s="297" t="n">
        <v>2025</v>
      </c>
      <c r="B137" s="297" t="n">
        <v>2025</v>
      </c>
      <c r="C137" s="297" t="n">
        <v>3</v>
      </c>
      <c r="D137" s="297" t="str">
        <v>Técnico en Conectividad y Redes</v>
      </c>
      <c r="E137" s="297" t="str">
        <v>TCRE</v>
      </c>
      <c r="F137" s="297" t="str">
        <v>TCRE20241</v>
      </c>
      <c r="G137" s="297" t="str">
        <v>I162S2C6J2V2</v>
      </c>
      <c r="H137" s="297" t="str">
        <v>I162S2C6J2V2</v>
      </c>
      <c r="I137" s="297" t="str">
        <v>B/C Documental anual</v>
      </c>
      <c r="J137" s="297" t="str">
        <v>Código destino igual a origen T1</v>
      </c>
      <c r="K137" s="297" t="str">
        <v>Mismo plan observado en contexto nativo 1 de año origen</v>
      </c>
      <c r="L137" s="297" t="str">
        <v>Sede/jornada del contexto coinciden con código origen</v>
      </c>
      <c r="M137" s="297" t="str">
        <v>Sí</v>
      </c>
      <c r="N137" s="306" t="n">
        <v>2</v>
      </c>
      <c r="O137" s="297" t="str">
        <v>Código anual atribuido; no acredita día del cambio ni aceptación SIES</v>
      </c>
    </row>
    <row r="138" ht="58" customHeight="1">
      <c r="A138" s="297" t="n">
        <v>2025</v>
      </c>
      <c r="B138" s="297" t="n">
        <v>2025</v>
      </c>
      <c r="C138" s="297" t="n">
        <v>3</v>
      </c>
      <c r="D138" s="297" t="str">
        <v>Técnico en Conectividad y Redes</v>
      </c>
      <c r="E138" s="297" t="str">
        <v>TCRE</v>
      </c>
      <c r="F138" s="297" t="str">
        <v>TCRE20241</v>
      </c>
      <c r="G138" s="297" t="str">
        <v>I162S2C6J4V2</v>
      </c>
      <c r="H138" s="297" t="str">
        <v>I162S2C6J4V2</v>
      </c>
      <c r="I138" s="297" t="str">
        <v>B/C Documental anual</v>
      </c>
      <c r="J138" s="297" t="str">
        <v>Código destino igual a origen T1</v>
      </c>
      <c r="K138" s="297" t="str">
        <v>Mismo plan observado en contexto nativo 1 de año origen</v>
      </c>
      <c r="L138" s="297" t="str">
        <v>Sede/jornada del contexto coinciden con código origen</v>
      </c>
      <c r="M138" s="297" t="str">
        <v>Sí</v>
      </c>
      <c r="N138" s="306" t="n">
        <v>15</v>
      </c>
      <c r="O138" s="297" t="str">
        <v>Código anual atribuido; no acredita día del cambio ni aceptación SIES</v>
      </c>
    </row>
    <row r="139" ht="58" customHeight="1">
      <c r="A139" s="297" t="n">
        <v>2025</v>
      </c>
      <c r="B139" s="297" t="n">
        <v>2025</v>
      </c>
      <c r="C139" s="297" t="n">
        <v>3</v>
      </c>
      <c r="D139" s="297" t="str">
        <v>Técnico en Conectividad y Redes</v>
      </c>
      <c r="E139" s="297" t="str">
        <v>TCRE</v>
      </c>
      <c r="F139" s="297" t="str">
        <v>TCRE20241</v>
      </c>
      <c r="G139" s="297" t="str">
        <v>I162S2C6J4V2</v>
      </c>
      <c r="H139" s="297" t="str">
        <v>I162S2C6J4V2</v>
      </c>
      <c r="I139" s="297" t="str">
        <v>B/C Documental anual</v>
      </c>
      <c r="J139" s="297" t="str">
        <v>Código destino igual a origen T1</v>
      </c>
      <c r="K139" s="297" t="str">
        <v>Sin contexto nativo 1 del mismo CODCLI en año origen</v>
      </c>
      <c r="L139" s="297" t="str">
        <v>Sede/jornada del contexto coinciden con código origen</v>
      </c>
      <c r="M139" s="297" t="str">
        <v>Sí</v>
      </c>
      <c r="N139" s="306" t="n">
        <v>1</v>
      </c>
      <c r="O139" s="297" t="str">
        <v>Código anual atribuido; no acredita día del cambio ni aceptación SIES</v>
      </c>
    </row>
    <row r="140" ht="58" customHeight="1">
      <c r="A140" s="297" t="n">
        <v>2025</v>
      </c>
      <c r="B140" s="297" t="n">
        <v>2025</v>
      </c>
      <c r="C140" s="297" t="n">
        <v>3</v>
      </c>
      <c r="D140" s="297" t="str">
        <v>Técnico en Logística</v>
      </c>
      <c r="E140" s="297" t="str">
        <v>TLOG</v>
      </c>
      <c r="F140" s="297" t="str">
        <v>TLOG20241</v>
      </c>
      <c r="G140" s="297" t="str">
        <v>I162S2C79J2V1</v>
      </c>
      <c r="H140" s="305" t="str">
        <v>Pendiente</v>
      </c>
      <c r="I140" s="305" t="str">
        <v>E Pendiente</v>
      </c>
      <c r="J140" s="305" t="str">
        <v>Misma carrera/sede; jornada candidata distinta del origen</v>
      </c>
      <c r="K140" s="297" t="str">
        <v>Mismo plan observado en contexto nativo 1 de año origen</v>
      </c>
      <c r="L140" s="297" t="str">
        <v>Contexto observado difiere en jornada</v>
      </c>
      <c r="M140" s="297" t="str">
        <v>No</v>
      </c>
      <c r="N140" s="306" t="n">
        <v>2</v>
      </c>
      <c r="O140" s="297" t="str">
        <v>Versión/atribución pendiente; no adjudicar por totales</v>
      </c>
    </row>
    <row r="141" ht="58" customHeight="1">
      <c r="A141" s="297" t="n">
        <v>2025</v>
      </c>
      <c r="B141" s="297" t="n">
        <v>2025</v>
      </c>
      <c r="C141" s="297" t="n">
        <v>3</v>
      </c>
      <c r="D141" s="297" t="str">
        <v>Técnico en Logística</v>
      </c>
      <c r="E141" s="297" t="str">
        <v>TLOG</v>
      </c>
      <c r="F141" s="297" t="str">
        <v>TLOG20241</v>
      </c>
      <c r="G141" s="297" t="str">
        <v>I162S2C79J4V1</v>
      </c>
      <c r="H141" s="297" t="str">
        <v>I162S2C79J4V1</v>
      </c>
      <c r="I141" s="297" t="str">
        <v>B/C Documental anual</v>
      </c>
      <c r="J141" s="297" t="str">
        <v>Código destino igual a origen T1</v>
      </c>
      <c r="K141" s="297" t="str">
        <v>Mismo plan observado en contexto nativo 1 de año origen</v>
      </c>
      <c r="L141" s="297" t="str">
        <v>Sede/jornada del contexto coinciden con código origen</v>
      </c>
      <c r="M141" s="297" t="str">
        <v>No</v>
      </c>
      <c r="N141" s="306" t="n">
        <v>34</v>
      </c>
      <c r="O141" s="297" t="str">
        <v>Código anual atribuido; no acredita día del cambio ni aceptación SIES</v>
      </c>
    </row>
    <row r="142" ht="58" customHeight="1">
      <c r="A142" s="297" t="n">
        <v>2025</v>
      </c>
      <c r="B142" s="297" t="n">
        <v>2025</v>
      </c>
      <c r="C142" s="297" t="n">
        <v>3</v>
      </c>
      <c r="D142" s="297" t="str">
        <v>Técnico en Programación y Análisis de Sistemas</v>
      </c>
      <c r="E142" s="297" t="str">
        <v>TPAS</v>
      </c>
      <c r="F142" s="297" t="str">
        <v>TPAS20241</v>
      </c>
      <c r="G142" s="297" t="str">
        <v>I162S2C57J1V1</v>
      </c>
      <c r="H142" s="305" t="str">
        <v>Pendiente</v>
      </c>
      <c r="I142" s="305" t="str">
        <v>E Pendiente</v>
      </c>
      <c r="J142" s="305" t="str">
        <v>Misma carrera/sede; jornada candidata distinta del origen</v>
      </c>
      <c r="K142" s="297" t="str">
        <v>Mismo plan observado en contexto nativo 1 de año origen</v>
      </c>
      <c r="L142" s="297" t="str">
        <v>Contexto observado difiere en jornada</v>
      </c>
      <c r="M142" s="297" t="str">
        <v>No</v>
      </c>
      <c r="N142" s="306" t="n">
        <v>1</v>
      </c>
      <c r="O142" s="297" t="str">
        <v>Versión/atribución pendiente; no adjudicar por totales</v>
      </c>
    </row>
    <row r="143" ht="58" customHeight="1">
      <c r="A143" s="297" t="n">
        <v>2025</v>
      </c>
      <c r="B143" s="297" t="n">
        <v>2025</v>
      </c>
      <c r="C143" s="297" t="n">
        <v>3</v>
      </c>
      <c r="D143" s="297" t="str">
        <v>Técnico en Programación y Análisis de Sistemas</v>
      </c>
      <c r="E143" s="297" t="str">
        <v>TPAS</v>
      </c>
      <c r="F143" s="297" t="str">
        <v>TPAS20241</v>
      </c>
      <c r="G143" s="297" t="str">
        <v>I162S2C57J4V1</v>
      </c>
      <c r="H143" s="297" t="str">
        <v>I162S2C57J4V1</v>
      </c>
      <c r="I143" s="297" t="str">
        <v>B/C Documental anual</v>
      </c>
      <c r="J143" s="297" t="str">
        <v>Código destino igual a origen T1</v>
      </c>
      <c r="K143" s="297" t="str">
        <v>Mismo plan observado en contexto nativo 1 de año origen</v>
      </c>
      <c r="L143" s="297" t="str">
        <v>Sede/jornada del contexto coinciden con código origen</v>
      </c>
      <c r="M143" s="297" t="str">
        <v>No</v>
      </c>
      <c r="N143" s="306" t="n">
        <v>56</v>
      </c>
      <c r="O143" s="297" t="str">
        <v>Código anual atribuido; no acredita día del cambio ni aceptación SIES</v>
      </c>
    </row>
    <row r="144" ht="58" customHeight="1">
      <c r="A144" s="297" t="n">
        <v>2025</v>
      </c>
      <c r="B144" s="297" t="n">
        <v>2025</v>
      </c>
      <c r="C144" s="297" t="n">
        <v>3</v>
      </c>
      <c r="D144" s="297" t="str">
        <v>Técnico en Programación y Análisis de Sistemas</v>
      </c>
      <c r="E144" s="297" t="str">
        <v>TPAS</v>
      </c>
      <c r="F144" s="297" t="str">
        <v>TPAS20241</v>
      </c>
      <c r="G144" s="297" t="str">
        <v>I162S2C57J4V1</v>
      </c>
      <c r="H144" s="305" t="str">
        <v>Pendiente</v>
      </c>
      <c r="I144" s="305" t="str">
        <v>E Pendiente</v>
      </c>
      <c r="J144" s="305" t="str">
        <v>Familia del origen entre candidatos; atribución de versión/plan pendiente</v>
      </c>
      <c r="K144" s="297" t="str">
        <v>Sin contexto nativo 1 del mismo CODCLI en año origen</v>
      </c>
      <c r="L144" s="297" t="str">
        <v>Sede/jornada del contexto coinciden con código origen</v>
      </c>
      <c r="M144" s="297" t="str">
        <v>No</v>
      </c>
      <c r="N144" s="306" t="n">
        <v>1</v>
      </c>
      <c r="O144" s="297" t="str">
        <v>Versión/atribución pendiente; no adjudicar por totales</v>
      </c>
    </row>
    <row r="145" ht="58" customHeight="1">
      <c r="A145" s="297" t="n">
        <v>2026</v>
      </c>
      <c r="B145" s="297" t="n">
        <v>2026</v>
      </c>
      <c r="C145" s="297" t="n">
        <v>2</v>
      </c>
      <c r="D145" s="297" t="str">
        <v>Administración Pública</v>
      </c>
      <c r="E145" s="297" t="str">
        <v>ADMP</v>
      </c>
      <c r="F145" s="297" t="str">
        <v>ADMP20251</v>
      </c>
      <c r="G145" s="297" t="str">
        <v>I162S2C83J4V1</v>
      </c>
      <c r="H145" s="297" t="str">
        <v>I162S2C83J4V1</v>
      </c>
      <c r="I145" s="297" t="str">
        <v>B/C Documental anual</v>
      </c>
      <c r="J145" s="297" t="str">
        <v>Código destino igual a origen T1</v>
      </c>
      <c r="K145" s="297" t="str">
        <v>Mismo plan observado en contexto nativo 1 de año origen</v>
      </c>
      <c r="L145" s="297" t="str">
        <v>Sede/jornada del contexto coinciden con código origen</v>
      </c>
      <c r="M145" s="297" t="str">
        <v>No</v>
      </c>
      <c r="N145" s="306" t="n">
        <v>29</v>
      </c>
      <c r="O145" s="297" t="str">
        <v>Código anual atribuido; no acredita día del cambio ni aceptación SIES</v>
      </c>
    </row>
    <row r="146" ht="58" customHeight="1">
      <c r="A146" s="297" t="n">
        <v>2026</v>
      </c>
      <c r="B146" s="297" t="n">
        <v>2026</v>
      </c>
      <c r="C146" s="297" t="n">
        <v>2</v>
      </c>
      <c r="D146" s="297" t="str">
        <v>Auditoría</v>
      </c>
      <c r="E146" s="297" t="str">
        <v>AUDT</v>
      </c>
      <c r="F146" s="297" t="str">
        <v>AUDT20251</v>
      </c>
      <c r="G146" s="297" t="str">
        <v>I162S2C86J4V1</v>
      </c>
      <c r="H146" s="297" t="str">
        <v>I162S2C86J4V1</v>
      </c>
      <c r="I146" s="297" t="str">
        <v>B/C Documental anual</v>
      </c>
      <c r="J146" s="297" t="str">
        <v>Código destino igual a origen T1</v>
      </c>
      <c r="K146" s="297" t="str">
        <v>Mismo plan observado en contexto nativo 1 de año origen</v>
      </c>
      <c r="L146" s="297" t="str">
        <v>Sede/jornada del contexto coinciden con código origen</v>
      </c>
      <c r="M146" s="297" t="str">
        <v>No</v>
      </c>
      <c r="N146" s="306" t="n">
        <v>16</v>
      </c>
      <c r="O146" s="297" t="str">
        <v>Código anual atribuido; no acredita día del cambio ni aceptación SIES</v>
      </c>
    </row>
    <row r="147" ht="58" customHeight="1">
      <c r="A147" s="297" t="n">
        <v>2026</v>
      </c>
      <c r="B147" s="297" t="n">
        <v>2026</v>
      </c>
      <c r="C147" s="297" t="n">
        <v>2</v>
      </c>
      <c r="D147" s="297" t="str">
        <v>Ingeniería Industrial</v>
      </c>
      <c r="E147" s="297" t="str">
        <v>ICDA</v>
      </c>
      <c r="F147" s="297" t="str">
        <v>ICDA20251</v>
      </c>
      <c r="G147" s="297" t="str">
        <v>I162S2C87J4V2</v>
      </c>
      <c r="H147" s="305" t="str">
        <v>Pendiente</v>
      </c>
      <c r="I147" s="305" t="str">
        <v>E Pendiente</v>
      </c>
      <c r="J147" s="305" t="str">
        <v>Candidatos en otra carrera/sede/institución; vínculo con origen pendiente</v>
      </c>
      <c r="K147" s="297" t="str">
        <v>Mismo plan observado en contexto nativo 1 de año origen</v>
      </c>
      <c r="L147" s="297" t="str">
        <v>Sede/jornada del contexto coinciden con código origen</v>
      </c>
      <c r="M147" s="297" t="str">
        <v>No</v>
      </c>
      <c r="N147" s="306" t="n">
        <v>1</v>
      </c>
      <c r="O147" s="297" t="str">
        <v>Versión/atribución pendiente; no adjudicar por totales</v>
      </c>
    </row>
    <row r="148" ht="58" customHeight="1">
      <c r="A148" s="297" t="n">
        <v>2026</v>
      </c>
      <c r="B148" s="297" t="n">
        <v>2026</v>
      </c>
      <c r="C148" s="297" t="n">
        <v>2</v>
      </c>
      <c r="D148" s="297" t="str">
        <v>Ingeniería Industrial</v>
      </c>
      <c r="E148" s="297" t="str">
        <v>IIND</v>
      </c>
      <c r="F148" s="297" t="str">
        <v>IIND20251</v>
      </c>
      <c r="G148" s="297" t="str">
        <v>I162S2C87J4V2</v>
      </c>
      <c r="H148" s="297" t="str">
        <v>I162S2C87J4V2</v>
      </c>
      <c r="I148" s="297" t="str">
        <v>B/C Documental anual</v>
      </c>
      <c r="J148" s="297" t="str">
        <v>Código destino igual a origen T1</v>
      </c>
      <c r="K148" s="297" t="str">
        <v>Mismo plan observado en contexto nativo 1 de año origen</v>
      </c>
      <c r="L148" s="297" t="str">
        <v>Sede/jornada del contexto coinciden con código origen</v>
      </c>
      <c r="M148" s="297" t="str">
        <v>No</v>
      </c>
      <c r="N148" s="306" t="n">
        <v>36</v>
      </c>
      <c r="O148" s="297" t="str">
        <v>Código anual atribuido; no acredita día del cambio ni aceptación SIES</v>
      </c>
    </row>
    <row r="149" ht="58" customHeight="1">
      <c r="A149" s="297" t="n">
        <v>2026</v>
      </c>
      <c r="B149" s="297" t="n">
        <v>2026</v>
      </c>
      <c r="C149" s="297" t="n">
        <v>2</v>
      </c>
      <c r="D149" s="297" t="str">
        <v>Ingeniería en Administración de Empresas</v>
      </c>
      <c r="E149" s="297" t="str">
        <v>IADM</v>
      </c>
      <c r="F149" s="297" t="str">
        <v>IADM20241</v>
      </c>
      <c r="G149" s="297" t="str">
        <v>I162S2C76J2V1</v>
      </c>
      <c r="H149" s="305" t="str">
        <v>Pendiente</v>
      </c>
      <c r="I149" s="305" t="str">
        <v>E Pendiente</v>
      </c>
      <c r="J149" s="305" t="str">
        <v>Misma carrera/sede; jornada candidata distinta del origen</v>
      </c>
      <c r="K149" s="297" t="str">
        <v>Mismo plan observado en contexto nativo 1 de año origen</v>
      </c>
      <c r="L149" s="297" t="str">
        <v>Contexto observado difiere en jornada</v>
      </c>
      <c r="M149" s="297" t="str">
        <v>No</v>
      </c>
      <c r="N149" s="306" t="n">
        <v>1</v>
      </c>
      <c r="O149" s="297" t="str">
        <v>Versión/atribución pendiente; no adjudicar por totales</v>
      </c>
    </row>
    <row r="150" ht="58" customHeight="1">
      <c r="A150" s="297" t="n">
        <v>2026</v>
      </c>
      <c r="B150" s="297" t="n">
        <v>2026</v>
      </c>
      <c r="C150" s="297" t="n">
        <v>2</v>
      </c>
      <c r="D150" s="297" t="str">
        <v>Ingeniería en Administración de Empresas</v>
      </c>
      <c r="E150" s="297" t="str">
        <v>IADM</v>
      </c>
      <c r="F150" s="297" t="str">
        <v>IADM20241</v>
      </c>
      <c r="G150" s="297" t="str">
        <v>I162S2C76J4V1</v>
      </c>
      <c r="H150" s="297" t="str">
        <v>I162S2C76J4V1</v>
      </c>
      <c r="I150" s="297" t="str">
        <v>B/C Documental anual</v>
      </c>
      <c r="J150" s="297" t="str">
        <v>Código destino igual a origen T1</v>
      </c>
      <c r="K150" s="297" t="str">
        <v>Mismo plan observado en contexto nativo 1 de año origen</v>
      </c>
      <c r="L150" s="297" t="str">
        <v>Sede/jornada del contexto coinciden con código origen</v>
      </c>
      <c r="M150" s="297" t="str">
        <v>No</v>
      </c>
      <c r="N150" s="306" t="n">
        <v>42</v>
      </c>
      <c r="O150" s="297" t="str">
        <v>Código anual atribuido; no acredita día del cambio ni aceptación SIES</v>
      </c>
    </row>
    <row r="151" ht="58" customHeight="1">
      <c r="A151" s="297" t="n">
        <v>2026</v>
      </c>
      <c r="B151" s="297" t="n">
        <v>2026</v>
      </c>
      <c r="C151" s="297" t="n">
        <v>2</v>
      </c>
      <c r="D151" s="297" t="str">
        <v>Ingeniería en Ciberseguridad</v>
      </c>
      <c r="E151" s="297" t="str">
        <v>ICIB</v>
      </c>
      <c r="F151" s="297" t="str">
        <v>ICIB20241</v>
      </c>
      <c r="G151" s="297" t="str">
        <v>I162S2C46J1V1</v>
      </c>
      <c r="H151" s="305" t="str">
        <v>Pendiente</v>
      </c>
      <c r="I151" s="305" t="str">
        <v>E Pendiente</v>
      </c>
      <c r="J151" s="305" t="str">
        <v>Misma carrera/sede; jornada candidata distinta del origen</v>
      </c>
      <c r="K151" s="297" t="str">
        <v>Mismo plan observado en contexto nativo 1 de año origen</v>
      </c>
      <c r="L151" s="297" t="str">
        <v>Contexto observado difiere en jornada</v>
      </c>
      <c r="M151" s="297" t="str">
        <v>No</v>
      </c>
      <c r="N151" s="306" t="n">
        <v>1</v>
      </c>
      <c r="O151" s="297" t="str">
        <v>Versión/atribución pendiente; no adjudicar por totales</v>
      </c>
    </row>
    <row r="152" ht="58" customHeight="1">
      <c r="A152" s="297" t="n">
        <v>2026</v>
      </c>
      <c r="B152" s="297" t="n">
        <v>2026</v>
      </c>
      <c r="C152" s="297" t="n">
        <v>2</v>
      </c>
      <c r="D152" s="297" t="str">
        <v>Ingeniería en Ciberseguridad</v>
      </c>
      <c r="E152" s="297" t="str">
        <v>ICIB</v>
      </c>
      <c r="F152" s="297" t="str">
        <v>ICIB20241</v>
      </c>
      <c r="G152" s="297" t="str">
        <v>I162S2C46J2V1</v>
      </c>
      <c r="H152" s="297" t="str">
        <v>I162S2C46J2V1</v>
      </c>
      <c r="I152" s="297" t="str">
        <v>B/C Documental anual</v>
      </c>
      <c r="J152" s="297" t="str">
        <v>Código destino igual a origen T1</v>
      </c>
      <c r="K152" s="297" t="str">
        <v>Mismo plan observado en contexto nativo 1 de año origen</v>
      </c>
      <c r="L152" s="297" t="str">
        <v>Sede/jornada del contexto coinciden con código origen</v>
      </c>
      <c r="M152" s="297" t="str">
        <v>Sí</v>
      </c>
      <c r="N152" s="306" t="n">
        <v>9</v>
      </c>
      <c r="O152" s="297" t="str">
        <v>Código anual atribuido; no acredita día del cambio ni aceptación SIES</v>
      </c>
    </row>
    <row r="153" ht="58" customHeight="1">
      <c r="A153" s="297" t="n">
        <v>2026</v>
      </c>
      <c r="B153" s="297" t="n">
        <v>2026</v>
      </c>
      <c r="C153" s="297" t="n">
        <v>2</v>
      </c>
      <c r="D153" s="297" t="str">
        <v>Ingeniería en Ciberseguridad</v>
      </c>
      <c r="E153" s="297" t="str">
        <v>ICIB</v>
      </c>
      <c r="F153" s="297" t="str">
        <v>ICIB20241</v>
      </c>
      <c r="G153" s="297" t="str">
        <v>I162S2C46J2V1</v>
      </c>
      <c r="H153" s="305" t="str">
        <v>Pendiente</v>
      </c>
      <c r="I153" s="305" t="str">
        <v>E Pendiente</v>
      </c>
      <c r="J153" s="305" t="str">
        <v>Misma carrera/sede; jornada candidata distinta del origen</v>
      </c>
      <c r="K153" s="297" t="str">
        <v>Mismo plan observado en contexto nativo 1 de año origen</v>
      </c>
      <c r="L153" s="297" t="str">
        <v>Contexto observado difiere en jornada</v>
      </c>
      <c r="M153" s="297" t="str">
        <v>Sí</v>
      </c>
      <c r="N153" s="306" t="n">
        <v>2</v>
      </c>
      <c r="O153" s="297" t="str">
        <v>Versión/atribución pendiente; no adjudicar por totales</v>
      </c>
    </row>
    <row r="154" ht="58" customHeight="1">
      <c r="A154" s="297" t="n">
        <v>2026</v>
      </c>
      <c r="B154" s="297" t="n">
        <v>2026</v>
      </c>
      <c r="C154" s="297" t="n">
        <v>2</v>
      </c>
      <c r="D154" s="297" t="str">
        <v>Ingeniería en Ciberseguridad</v>
      </c>
      <c r="E154" s="297" t="str">
        <v>ICIB</v>
      </c>
      <c r="F154" s="297" t="str">
        <v>ICIB20241</v>
      </c>
      <c r="G154" s="297" t="str">
        <v>I162S2C46J4V3</v>
      </c>
      <c r="H154" s="297" t="str">
        <v>I162S2C46J4V3</v>
      </c>
      <c r="I154" s="297" t="str">
        <v>B/C Documental anual</v>
      </c>
      <c r="J154" s="297" t="str">
        <v>Código destino igual a origen T1</v>
      </c>
      <c r="K154" s="297" t="str">
        <v>Mismo plan observado en contexto nativo 1 de año origen</v>
      </c>
      <c r="L154" s="297" t="str">
        <v>Sede/jornada del contexto coinciden con código origen</v>
      </c>
      <c r="M154" s="297" t="str">
        <v>Sí</v>
      </c>
      <c r="N154" s="306" t="n">
        <v>75</v>
      </c>
      <c r="O154" s="297" t="str">
        <v>Código anual atribuido; no acredita día del cambio ni aceptación SIES</v>
      </c>
    </row>
    <row r="155" ht="58" customHeight="1">
      <c r="A155" s="297" t="n">
        <v>2026</v>
      </c>
      <c r="B155" s="297" t="n">
        <v>2026</v>
      </c>
      <c r="C155" s="297" t="n">
        <v>2</v>
      </c>
      <c r="D155" s="297" t="str">
        <v>Ingeniería en Ciberseguridad</v>
      </c>
      <c r="E155" s="297" t="str">
        <v>ICIB</v>
      </c>
      <c r="F155" s="297" t="str">
        <v>ICIB20241</v>
      </c>
      <c r="G155" s="297" t="str">
        <v>I162S2C46J4V3</v>
      </c>
      <c r="H155" s="305" t="str">
        <v>Pendiente</v>
      </c>
      <c r="I155" s="305" t="str">
        <v>E Pendiente</v>
      </c>
      <c r="J155" s="305" t="str">
        <v>Misma carrera/sede; jornada candidata distinta del origen</v>
      </c>
      <c r="K155" s="297" t="str">
        <v>Mismo plan observado en contexto nativo 1 de año origen</v>
      </c>
      <c r="L155" s="297" t="str">
        <v>Contexto observado difiere en jornada</v>
      </c>
      <c r="M155" s="297" t="str">
        <v>Sí</v>
      </c>
      <c r="N155" s="306" t="n">
        <v>1</v>
      </c>
      <c r="O155" s="297" t="str">
        <v>Versión/atribución pendiente; no adjudicar por totales</v>
      </c>
    </row>
    <row r="156" ht="58" customHeight="1">
      <c r="A156" s="297" t="n">
        <v>2026</v>
      </c>
      <c r="B156" s="297" t="n">
        <v>2026</v>
      </c>
      <c r="C156" s="297" t="n">
        <v>2</v>
      </c>
      <c r="D156" s="297" t="str">
        <v>Ingeniería en Ciberseguridad</v>
      </c>
      <c r="E156" s="297" t="str">
        <v>IINF</v>
      </c>
      <c r="F156" s="297" t="str">
        <v>IINF20241</v>
      </c>
      <c r="G156" s="297" t="str">
        <v>I162S2C46J4V3</v>
      </c>
      <c r="H156" s="305" t="str">
        <v>Pendiente</v>
      </c>
      <c r="I156" s="305" t="str">
        <v>E Pendiente</v>
      </c>
      <c r="J156" s="305" t="str">
        <v>Candidatos en otra carrera/sede/institución; vínculo con origen pendiente</v>
      </c>
      <c r="K156" s="297" t="str">
        <v>Sin contexto nativo 1 del mismo CODCLI en año origen</v>
      </c>
      <c r="L156" s="297" t="str">
        <v>Sede/jornada del contexto coinciden con código origen</v>
      </c>
      <c r="M156" s="297" t="str">
        <v>Sí</v>
      </c>
      <c r="N156" s="306" t="n">
        <v>1</v>
      </c>
      <c r="O156" s="297" t="str">
        <v>Versión/atribución pendiente; no adjudicar por totales</v>
      </c>
    </row>
    <row r="157" ht="58" customHeight="1">
      <c r="A157" s="297" t="n">
        <v>2026</v>
      </c>
      <c r="B157" s="297" t="n">
        <v>2026</v>
      </c>
      <c r="C157" s="297" t="n">
        <v>2</v>
      </c>
      <c r="D157" s="297" t="str">
        <v>Ingeniería en Ciencia de Datos</v>
      </c>
      <c r="E157" s="297" t="str">
        <v>ICDA</v>
      </c>
      <c r="F157" s="297" t="str">
        <v>ICDA20251</v>
      </c>
      <c r="G157" s="297" t="str">
        <v>I162S2C88J4V1</v>
      </c>
      <c r="H157" s="297" t="str">
        <v>I162S2C88J4V1</v>
      </c>
      <c r="I157" s="297" t="str">
        <v>B/C Documental anual</v>
      </c>
      <c r="J157" s="297" t="str">
        <v>Código destino igual a origen T1</v>
      </c>
      <c r="K157" s="297" t="str">
        <v>Mismo plan observado en contexto nativo 1 de año origen</v>
      </c>
      <c r="L157" s="297" t="str">
        <v>Sede/jornada del contexto coinciden con código origen</v>
      </c>
      <c r="M157" s="297" t="str">
        <v>No</v>
      </c>
      <c r="N157" s="306" t="n">
        <v>18</v>
      </c>
      <c r="O157" s="297" t="str">
        <v>Código anual atribuido; no acredita día del cambio ni aceptación SIES</v>
      </c>
    </row>
    <row r="158" ht="58" customHeight="1">
      <c r="A158" s="297" t="n">
        <v>2026</v>
      </c>
      <c r="B158" s="297" t="n">
        <v>2026</v>
      </c>
      <c r="C158" s="297" t="n">
        <v>2</v>
      </c>
      <c r="D158" s="297" t="str">
        <v>Ingeniería en Ciencia de Datos</v>
      </c>
      <c r="E158" s="297" t="str">
        <v>ICDA</v>
      </c>
      <c r="F158" s="297" t="str">
        <v>ICDA20251</v>
      </c>
      <c r="G158" s="297" t="str">
        <v>I162S2C88J4V1</v>
      </c>
      <c r="H158" s="297" t="str">
        <v>I162S2C88J4V1</v>
      </c>
      <c r="I158" s="297" t="str">
        <v>B/C Documental anual</v>
      </c>
      <c r="J158" s="297" t="str">
        <v>Código destino igual a origen T1</v>
      </c>
      <c r="K158" s="297" t="str">
        <v>Sin contexto nativo 1 del mismo CODCLI en año origen</v>
      </c>
      <c r="L158" s="297" t="str">
        <v>Sede/jornada del contexto coinciden con código origen</v>
      </c>
      <c r="M158" s="297" t="str">
        <v>No</v>
      </c>
      <c r="N158" s="306" t="n">
        <v>1</v>
      </c>
      <c r="O158" s="297" t="str">
        <v>Código anual atribuido; no acredita día del cambio ni aceptación SIES</v>
      </c>
    </row>
    <row r="159" ht="58" customHeight="1">
      <c r="A159" s="297" t="n">
        <v>2026</v>
      </c>
      <c r="B159" s="297" t="n">
        <v>2026</v>
      </c>
      <c r="C159" s="297" t="n">
        <v>2</v>
      </c>
      <c r="D159" s="297" t="str">
        <v>Ingeniería en Conectividad y Redes</v>
      </c>
      <c r="E159" s="297" t="str">
        <v>IADM</v>
      </c>
      <c r="F159" s="297" t="str">
        <v>IADM20241</v>
      </c>
      <c r="G159" s="297" t="str">
        <v>I162S2C3J4V2</v>
      </c>
      <c r="H159" s="305" t="str">
        <v>Pendiente</v>
      </c>
      <c r="I159" s="305" t="str">
        <v>E Pendiente</v>
      </c>
      <c r="J159" s="305" t="str">
        <v>Candidatos en otra carrera/sede/institución; vínculo con origen pendiente</v>
      </c>
      <c r="K159" s="297" t="str">
        <v>Sin contexto nativo 1 del mismo CODCLI en año origen</v>
      </c>
      <c r="L159" s="297" t="str">
        <v>Sede/jornada del contexto coinciden con código origen</v>
      </c>
      <c r="M159" s="297" t="str">
        <v>Sí</v>
      </c>
      <c r="N159" s="306" t="n">
        <v>1</v>
      </c>
      <c r="O159" s="297" t="str">
        <v>Versión/atribución pendiente; no adjudicar por totales</v>
      </c>
    </row>
    <row r="160" ht="58" customHeight="1">
      <c r="A160" s="297" t="n">
        <v>2026</v>
      </c>
      <c r="B160" s="297" t="n">
        <v>2026</v>
      </c>
      <c r="C160" s="297" t="n">
        <v>2</v>
      </c>
      <c r="D160" s="297" t="str">
        <v>Ingeniería en Conectividad y Redes</v>
      </c>
      <c r="E160" s="297" t="str">
        <v>ICRE</v>
      </c>
      <c r="F160" s="297" t="str">
        <v>ICRE20241</v>
      </c>
      <c r="G160" s="297" t="str">
        <v>I162S2C3J4V2</v>
      </c>
      <c r="H160" s="297" t="str">
        <v>I162S2C3J4V2</v>
      </c>
      <c r="I160" s="297" t="str">
        <v>B/C Documental anual</v>
      </c>
      <c r="J160" s="297" t="str">
        <v>Código destino igual a origen T1</v>
      </c>
      <c r="K160" s="297" t="str">
        <v>Mismo plan observado en contexto nativo 1 de año origen</v>
      </c>
      <c r="L160" s="297" t="str">
        <v>Sede/jornada del contexto coinciden con código origen</v>
      </c>
      <c r="M160" s="297" t="str">
        <v>Sí</v>
      </c>
      <c r="N160" s="306" t="n">
        <v>39</v>
      </c>
      <c r="O160" s="297" t="str">
        <v>Código anual atribuido; no acredita día del cambio ni aceptación SIES</v>
      </c>
    </row>
    <row r="161" ht="58" customHeight="1">
      <c r="A161" s="297" t="n">
        <v>2026</v>
      </c>
      <c r="B161" s="297" t="n">
        <v>2026</v>
      </c>
      <c r="C161" s="297" t="n">
        <v>2</v>
      </c>
      <c r="D161" s="297" t="str">
        <v>Ingeniería en Conectividad y Redes</v>
      </c>
      <c r="E161" s="297" t="str">
        <v>IMDI</v>
      </c>
      <c r="F161" s="297" t="str">
        <v>IMDI20261</v>
      </c>
      <c r="G161" s="297" t="str">
        <v>I162S2C3J4V2</v>
      </c>
      <c r="H161" s="310" t="str">
        <v>I162S2C112J4V1</v>
      </c>
      <c r="I161" s="310" t="str">
        <v>D Interno aprobado</v>
      </c>
      <c r="J161" s="310" t="str">
        <v>Destino distinto en carrera</v>
      </c>
      <c r="K161" s="297" t="str">
        <v>Sin contexto nativo 1 del mismo CODCLI en año origen</v>
      </c>
      <c r="L161" s="297" t="str">
        <v>Sede/jornada del contexto coinciden con código origen</v>
      </c>
      <c r="M161" s="297" t="str">
        <v>Sí</v>
      </c>
      <c r="N161" s="306" t="n">
        <v>1</v>
      </c>
      <c r="O161" s="297" t="str">
        <v>Atribución documental al período pendiente</v>
      </c>
    </row>
    <row r="162" ht="58" customHeight="1">
      <c r="A162" s="297" t="n">
        <v>2026</v>
      </c>
      <c r="B162" s="297" t="n">
        <v>2026</v>
      </c>
      <c r="C162" s="297" t="n">
        <v>2</v>
      </c>
      <c r="D162" s="297" t="str">
        <v>Ingeniería en Finanzas</v>
      </c>
      <c r="E162" s="297" t="str">
        <v>IFIN</v>
      </c>
      <c r="F162" s="297" t="str">
        <v>IFIN20261</v>
      </c>
      <c r="G162" s="297" t="str">
        <v>I162S2C111J4V1</v>
      </c>
      <c r="H162" s="297" t="str">
        <v>I162S2C111J4V1</v>
      </c>
      <c r="I162" s="297" t="str">
        <v>B/C Documental anual</v>
      </c>
      <c r="J162" s="297" t="str">
        <v>Código destino igual a origen T1</v>
      </c>
      <c r="K162" s="297" t="str">
        <v>Mismo plan observado en contexto nativo 1 de año origen</v>
      </c>
      <c r="L162" s="297" t="str">
        <v>Sede/jornada del contexto coinciden con código origen</v>
      </c>
      <c r="M162" s="297" t="str">
        <v>No</v>
      </c>
      <c r="N162" s="306" t="n">
        <v>19</v>
      </c>
      <c r="O162" s="297" t="str">
        <v>Código anual atribuido; no acredita día del cambio ni aceptación SIES</v>
      </c>
    </row>
    <row r="163" ht="58" customHeight="1">
      <c r="A163" s="297" t="n">
        <v>2026</v>
      </c>
      <c r="B163" s="297" t="n">
        <v>2026</v>
      </c>
      <c r="C163" s="297" t="n">
        <v>2</v>
      </c>
      <c r="D163" s="297" t="str">
        <v>Ingeniería en Informática</v>
      </c>
      <c r="E163" s="297" t="str">
        <v>IINF</v>
      </c>
      <c r="F163" s="297" t="str">
        <v>IINF20241</v>
      </c>
      <c r="G163" s="297" t="str">
        <v>I162S2C1J1V2</v>
      </c>
      <c r="H163" s="297" t="str">
        <v>I162S2C1J1V2</v>
      </c>
      <c r="I163" s="297" t="str">
        <v>B/C Documental anual</v>
      </c>
      <c r="J163" s="297" t="str">
        <v>Código destino igual a origen T1</v>
      </c>
      <c r="K163" s="297" t="str">
        <v>Mismo plan observado en contexto nativo 1 de año origen</v>
      </c>
      <c r="L163" s="297" t="str">
        <v>Sede/jornada del contexto coinciden con código origen</v>
      </c>
      <c r="M163" s="297" t="str">
        <v>Sí</v>
      </c>
      <c r="N163" s="306" t="n">
        <v>11</v>
      </c>
      <c r="O163" s="297" t="str">
        <v>Código anual atribuido; no acredita día del cambio ni aceptación SIES</v>
      </c>
    </row>
    <row r="164" ht="58" customHeight="1">
      <c r="A164" s="297" t="n">
        <v>2026</v>
      </c>
      <c r="B164" s="297" t="n">
        <v>2026</v>
      </c>
      <c r="C164" s="297" t="n">
        <v>2</v>
      </c>
      <c r="D164" s="297" t="str">
        <v>Ingeniería en Informática</v>
      </c>
      <c r="E164" s="297" t="str">
        <v>IINF</v>
      </c>
      <c r="F164" s="297" t="str">
        <v>IINF20241</v>
      </c>
      <c r="G164" s="297" t="str">
        <v>I162S2C1J1V2</v>
      </c>
      <c r="H164" s="310" t="str">
        <v>I162S2C1J4V2</v>
      </c>
      <c r="I164" s="310" t="str">
        <v>D Interno aprobado</v>
      </c>
      <c r="J164" s="310" t="str">
        <v>Destino distinto en jornada</v>
      </c>
      <c r="K164" s="297" t="str">
        <v>Mismo plan observado en contexto nativo 1 de año origen</v>
      </c>
      <c r="L164" s="297" t="str">
        <v>Contexto observado difiere en jornada</v>
      </c>
      <c r="M164" s="297" t="str">
        <v>Sí</v>
      </c>
      <c r="N164" s="306" t="n">
        <v>1</v>
      </c>
      <c r="O164" s="297" t="str">
        <v>Atribución documental al período pendiente</v>
      </c>
    </row>
    <row r="165" ht="58" customHeight="1">
      <c r="A165" s="297" t="n">
        <v>2026</v>
      </c>
      <c r="B165" s="297" t="n">
        <v>2026</v>
      </c>
      <c r="C165" s="297" t="n">
        <v>2</v>
      </c>
      <c r="D165" s="297" t="str">
        <v>Ingeniería en Informática</v>
      </c>
      <c r="E165" s="297" t="str">
        <v>IINF</v>
      </c>
      <c r="F165" s="297" t="str">
        <v>IINF20241</v>
      </c>
      <c r="G165" s="297" t="str">
        <v>I162S2C1J2V4</v>
      </c>
      <c r="H165" s="297" t="str">
        <v>I162S2C1J2V4</v>
      </c>
      <c r="I165" s="297" t="str">
        <v>B/C Documental anual</v>
      </c>
      <c r="J165" s="297" t="str">
        <v>Código destino igual a origen T1</v>
      </c>
      <c r="K165" s="297" t="str">
        <v>Mismo plan observado en contexto nativo 1 de año origen</v>
      </c>
      <c r="L165" s="297" t="str">
        <v>Sede/jornada del contexto coinciden con código origen</v>
      </c>
      <c r="M165" s="297" t="str">
        <v>Sí</v>
      </c>
      <c r="N165" s="306" t="n">
        <v>9</v>
      </c>
      <c r="O165" s="297" t="str">
        <v>Código anual atribuido; no acredita día del cambio ni aceptación SIES</v>
      </c>
    </row>
    <row r="166" ht="58" customHeight="1">
      <c r="A166" s="297" t="n">
        <v>2026</v>
      </c>
      <c r="B166" s="297" t="n">
        <v>2026</v>
      </c>
      <c r="C166" s="297" t="n">
        <v>2</v>
      </c>
      <c r="D166" s="297" t="str">
        <v>Ingeniería en Informática</v>
      </c>
      <c r="E166" s="297" t="str">
        <v>IINF</v>
      </c>
      <c r="F166" s="297" t="str">
        <v>IINF20241</v>
      </c>
      <c r="G166" s="297" t="str">
        <v>I162S2C1J4V2</v>
      </c>
      <c r="H166" s="297" t="str">
        <v>I162S2C1J4V2</v>
      </c>
      <c r="I166" s="297" t="str">
        <v>B/C Documental anual</v>
      </c>
      <c r="J166" s="297" t="str">
        <v>Código destino igual a origen T1</v>
      </c>
      <c r="K166" s="297" t="str">
        <v>Mismo plan observado en contexto nativo 1 de año origen</v>
      </c>
      <c r="L166" s="297" t="str">
        <v>Sede/jornada del contexto coinciden con código origen</v>
      </c>
      <c r="M166" s="297" t="str">
        <v>Sí</v>
      </c>
      <c r="N166" s="306" t="n">
        <v>60</v>
      </c>
      <c r="O166" s="297" t="str">
        <v>Código anual atribuido; no acredita día del cambio ni aceptación SIES</v>
      </c>
    </row>
    <row r="167" ht="58" customHeight="1">
      <c r="A167" s="297" t="n">
        <v>2026</v>
      </c>
      <c r="B167" s="297" t="n">
        <v>2026</v>
      </c>
      <c r="C167" s="297" t="n">
        <v>2</v>
      </c>
      <c r="D167" s="297" t="str">
        <v>Ingeniería en Informática</v>
      </c>
      <c r="E167" s="297" t="str">
        <v>IINF</v>
      </c>
      <c r="F167" s="297" t="str">
        <v>IINF20241</v>
      </c>
      <c r="G167" s="297" t="str">
        <v>I162S2C1J4V2</v>
      </c>
      <c r="H167" s="310" t="str">
        <v>I162S2C1J4V2</v>
      </c>
      <c r="I167" s="310" t="str">
        <v>D Interno aprobado</v>
      </c>
      <c r="J167" s="310" t="str">
        <v>Código destino igual a origen T1</v>
      </c>
      <c r="K167" s="297" t="str">
        <v>Mismo plan observado en contexto nativo 1 de año origen</v>
      </c>
      <c r="L167" s="297" t="str">
        <v>Contexto observado difiere en jornada</v>
      </c>
      <c r="M167" s="297" t="str">
        <v>Sí</v>
      </c>
      <c r="N167" s="306" t="n">
        <v>1</v>
      </c>
      <c r="O167" s="297" t="str">
        <v>Atribución documental al período pendiente</v>
      </c>
    </row>
    <row r="168" ht="58" customHeight="1">
      <c r="A168" s="297" t="n">
        <v>2026</v>
      </c>
      <c r="B168" s="297" t="n">
        <v>2026</v>
      </c>
      <c r="C168" s="297" t="n">
        <v>2</v>
      </c>
      <c r="D168" s="297" t="str">
        <v>Ingeniería en Logística</v>
      </c>
      <c r="E168" s="297" t="str">
        <v>ILOG</v>
      </c>
      <c r="F168" s="297" t="str">
        <v>ILOG20241</v>
      </c>
      <c r="G168" s="297" t="str">
        <v>I162S2C77J2V1</v>
      </c>
      <c r="H168" s="305" t="str">
        <v>Pendiente</v>
      </c>
      <c r="I168" s="305" t="str">
        <v>E Pendiente</v>
      </c>
      <c r="J168" s="305" t="str">
        <v>Misma carrera/sede; jornada candidata distinta del origen</v>
      </c>
      <c r="K168" s="297" t="str">
        <v>Mismo plan observado en contexto nativo 1 de año origen</v>
      </c>
      <c r="L168" s="297" t="str">
        <v>Contexto observado difiere en jornada</v>
      </c>
      <c r="M168" s="297" t="str">
        <v>No</v>
      </c>
      <c r="N168" s="306" t="n">
        <v>1</v>
      </c>
      <c r="O168" s="297" t="str">
        <v>Versión/atribución pendiente; no adjudicar por totales</v>
      </c>
    </row>
    <row r="169" ht="58" customHeight="1">
      <c r="A169" s="297" t="n">
        <v>2026</v>
      </c>
      <c r="B169" s="297" t="n">
        <v>2026</v>
      </c>
      <c r="C169" s="297" t="n">
        <v>2</v>
      </c>
      <c r="D169" s="297" t="str">
        <v>Ingeniería en Logística</v>
      </c>
      <c r="E169" s="297" t="str">
        <v>ILOG</v>
      </c>
      <c r="F169" s="297" t="str">
        <v>ILOG20241</v>
      </c>
      <c r="G169" s="297" t="str">
        <v>I162S2C77J4V1</v>
      </c>
      <c r="H169" s="297" t="str">
        <v>I162S2C77J4V1</v>
      </c>
      <c r="I169" s="297" t="str">
        <v>B/C Documental anual</v>
      </c>
      <c r="J169" s="297" t="str">
        <v>Código destino igual a origen T1</v>
      </c>
      <c r="K169" s="297" t="str">
        <v>Mismo plan observado en contexto nativo 1 de año origen</v>
      </c>
      <c r="L169" s="297" t="str">
        <v>Sede/jornada del contexto coinciden con código origen</v>
      </c>
      <c r="M169" s="297" t="str">
        <v>No</v>
      </c>
      <c r="N169" s="306" t="n">
        <v>27</v>
      </c>
      <c r="O169" s="297" t="str">
        <v>Código anual atribuido; no acredita día del cambio ni aceptación SIES</v>
      </c>
    </row>
    <row r="170" ht="58" customHeight="1">
      <c r="A170" s="297" t="n">
        <v>2026</v>
      </c>
      <c r="B170" s="297" t="n">
        <v>2026</v>
      </c>
      <c r="C170" s="297" t="n">
        <v>2</v>
      </c>
      <c r="D170" s="297" t="str">
        <v>Ingeniería en Marketing Digital</v>
      </c>
      <c r="E170" s="297" t="str">
        <v>IINF</v>
      </c>
      <c r="F170" s="297" t="str">
        <v>IINF20241</v>
      </c>
      <c r="G170" s="297" t="str">
        <v>I162S2C112J4V1</v>
      </c>
      <c r="H170" s="305" t="str">
        <v>Pendiente</v>
      </c>
      <c r="I170" s="305" t="str">
        <v>E Pendiente</v>
      </c>
      <c r="J170" s="305" t="str">
        <v>Candidatos en otra carrera/sede/institución; vínculo con origen pendiente</v>
      </c>
      <c r="K170" s="297" t="str">
        <v>Sin contexto nativo 1 del mismo CODCLI en año origen</v>
      </c>
      <c r="L170" s="297" t="str">
        <v>Sede/jornada del contexto coinciden con código origen</v>
      </c>
      <c r="M170" s="297" t="str">
        <v>No</v>
      </c>
      <c r="N170" s="306" t="n">
        <v>1</v>
      </c>
      <c r="O170" s="297" t="str">
        <v>Versión/atribución pendiente; no adjudicar por totales</v>
      </c>
    </row>
    <row r="171" ht="58" customHeight="1">
      <c r="A171" s="297" t="n">
        <v>2026</v>
      </c>
      <c r="B171" s="297" t="n">
        <v>2026</v>
      </c>
      <c r="C171" s="297" t="n">
        <v>2</v>
      </c>
      <c r="D171" s="297" t="str">
        <v>Ingeniería en Marketing Digital</v>
      </c>
      <c r="E171" s="297" t="str">
        <v>IMDI</v>
      </c>
      <c r="F171" s="297" t="str">
        <v>IMDI20261</v>
      </c>
      <c r="G171" s="297" t="str">
        <v>I162S2C112J4V1</v>
      </c>
      <c r="H171" s="297" t="str">
        <v>I162S2C112J4V1</v>
      </c>
      <c r="I171" s="297" t="str">
        <v>B/C Documental anual</v>
      </c>
      <c r="J171" s="297" t="str">
        <v>Código destino igual a origen T1</v>
      </c>
      <c r="K171" s="297" t="str">
        <v>Mismo plan observado en contexto nativo 1 de año origen</v>
      </c>
      <c r="L171" s="297" t="str">
        <v>Sede/jornada del contexto coinciden con código origen</v>
      </c>
      <c r="M171" s="297" t="str">
        <v>No</v>
      </c>
      <c r="N171" s="306" t="n">
        <v>37</v>
      </c>
      <c r="O171" s="297" t="str">
        <v>Código anual atribuido; no acredita día del cambio ni aceptación SIES</v>
      </c>
    </row>
    <row r="172" ht="58" customHeight="1">
      <c r="A172" s="297" t="n">
        <v>2026</v>
      </c>
      <c r="B172" s="297" t="n">
        <v>2026</v>
      </c>
      <c r="C172" s="297" t="n">
        <v>2</v>
      </c>
      <c r="D172" s="297" t="str">
        <v>Ingeniería en Marketing Digital</v>
      </c>
      <c r="E172" s="297" t="str">
        <v>IMDI</v>
      </c>
      <c r="F172" s="297" t="str">
        <v>IMDI20261</v>
      </c>
      <c r="G172" s="297" t="str">
        <v>I162S2C112J4V1</v>
      </c>
      <c r="H172" s="297" t="str">
        <v>I162S2C112J4V1</v>
      </c>
      <c r="I172" s="297" t="str">
        <v>B/C Documental anual</v>
      </c>
      <c r="J172" s="297" t="str">
        <v>Código destino igual a origen T1</v>
      </c>
      <c r="K172" s="297" t="str">
        <v>Sin contexto nativo 1 del mismo CODCLI en año origen</v>
      </c>
      <c r="L172" s="297" t="str">
        <v>Sede/jornada del contexto coinciden con código origen</v>
      </c>
      <c r="M172" s="297" t="str">
        <v>No</v>
      </c>
      <c r="N172" s="306" t="n">
        <v>1</v>
      </c>
      <c r="O172" s="297" t="str">
        <v>Código anual atribuido; no acredita día del cambio ni aceptación SIES</v>
      </c>
    </row>
    <row r="173" ht="58" customHeight="1">
      <c r="A173" s="297" t="n">
        <v>2026</v>
      </c>
      <c r="B173" s="297" t="n">
        <v>2026</v>
      </c>
      <c r="C173" s="297" t="n">
        <v>2</v>
      </c>
      <c r="D173" s="297" t="str">
        <v>Ingeniería en Prevención de Riesgos</v>
      </c>
      <c r="E173" s="297" t="str">
        <v>IPRE</v>
      </c>
      <c r="F173" s="297" t="str">
        <v>IPRE20261</v>
      </c>
      <c r="G173" s="297" t="str">
        <v>I162S2C124J4V1</v>
      </c>
      <c r="H173" s="297" t="str">
        <v>I162S2C124J4V1</v>
      </c>
      <c r="I173" s="297" t="str">
        <v>B/C Documental anual</v>
      </c>
      <c r="J173" s="297" t="str">
        <v>Código destino igual a origen T1</v>
      </c>
      <c r="K173" s="297" t="str">
        <v>Mismo plan observado en contexto nativo 1 de año origen</v>
      </c>
      <c r="L173" s="297" t="str">
        <v>Sede/jornada del contexto coinciden con código origen</v>
      </c>
      <c r="M173" s="297" t="str">
        <v>No</v>
      </c>
      <c r="N173" s="306" t="n">
        <v>17</v>
      </c>
      <c r="O173" s="297" t="str">
        <v>Código anual atribuido; no acredita día del cambio ni aceptación SIES</v>
      </c>
    </row>
    <row r="174" ht="58" customHeight="1">
      <c r="A174" s="297" t="n">
        <v>2026</v>
      </c>
      <c r="B174" s="297" t="n">
        <v>2026</v>
      </c>
      <c r="C174" s="297" t="n">
        <v>2</v>
      </c>
      <c r="D174" s="297" t="str">
        <v>Ingeniería en Recursos Humanos</v>
      </c>
      <c r="E174" s="297" t="str">
        <v>IRHU</v>
      </c>
      <c r="F174" s="297" t="str">
        <v>IRHU20261</v>
      </c>
      <c r="G174" s="297" t="str">
        <v>I162S2C113J4V1</v>
      </c>
      <c r="H174" s="297" t="str">
        <v>I162S2C113J4V1</v>
      </c>
      <c r="I174" s="297" t="str">
        <v>B/C Documental anual</v>
      </c>
      <c r="J174" s="297" t="str">
        <v>Código destino igual a origen T1</v>
      </c>
      <c r="K174" s="297" t="str">
        <v>Mismo plan observado en contexto nativo 1 de año origen</v>
      </c>
      <c r="L174" s="297" t="str">
        <v>Sede/jornada del contexto coinciden con código origen</v>
      </c>
      <c r="M174" s="297" t="str">
        <v>No</v>
      </c>
      <c r="N174" s="306" t="n">
        <v>11</v>
      </c>
      <c r="O174" s="297" t="str">
        <v>Código anual atribuido; no acredita día del cambio ni aceptación SIES</v>
      </c>
    </row>
    <row r="175" ht="58" customHeight="1">
      <c r="A175" s="297" t="n">
        <v>2026</v>
      </c>
      <c r="B175" s="297" t="n">
        <v>2026</v>
      </c>
      <c r="C175" s="297" t="n">
        <v>2</v>
      </c>
      <c r="D175" s="297" t="str">
        <v>Ingeniería en Seguridad Privada</v>
      </c>
      <c r="E175" s="297" t="str">
        <v>ISEP</v>
      </c>
      <c r="F175" s="297" t="str">
        <v>ISEP20261</v>
      </c>
      <c r="G175" s="297" t="str">
        <v>I162S2C125J4V1</v>
      </c>
      <c r="H175" s="297" t="str">
        <v>I162S2C125J4V1</v>
      </c>
      <c r="I175" s="297" t="str">
        <v>B/C Documental anual</v>
      </c>
      <c r="J175" s="297" t="str">
        <v>Código destino igual a origen T1</v>
      </c>
      <c r="K175" s="297" t="str">
        <v>Mismo plan observado en contexto nativo 1 de año origen</v>
      </c>
      <c r="L175" s="297" t="str">
        <v>Sede/jornada del contexto coinciden con código origen</v>
      </c>
      <c r="M175" s="297" t="str">
        <v>No</v>
      </c>
      <c r="N175" s="306" t="n">
        <v>8</v>
      </c>
      <c r="O175" s="297" t="str">
        <v>Código anual atribuido; no acredita día del cambio ni aceptación SIES</v>
      </c>
    </row>
    <row r="176" ht="58" customHeight="1">
      <c r="A176" s="297" t="n">
        <v>2026</v>
      </c>
      <c r="B176" s="297" t="n">
        <v>2026</v>
      </c>
      <c r="C176" s="297" t="n">
        <v>2</v>
      </c>
      <c r="D176" s="297" t="str">
        <v>Naturopatía</v>
      </c>
      <c r="E176" s="297" t="str">
        <v>NATP</v>
      </c>
      <c r="F176" s="297" t="str">
        <v>NATP20251</v>
      </c>
      <c r="G176" s="297" t="str">
        <v>I162S2C90J2V2</v>
      </c>
      <c r="H176" s="297" t="str">
        <v>I162S2C90J2V2</v>
      </c>
      <c r="I176" s="297" t="str">
        <v>B/C Documental anual</v>
      </c>
      <c r="J176" s="297" t="str">
        <v>Código destino igual a origen T1</v>
      </c>
      <c r="K176" s="297" t="str">
        <v>Mismo plan observado en contexto nativo 1 de año origen</v>
      </c>
      <c r="L176" s="297" t="str">
        <v>Sede/jornada del contexto coinciden con código origen</v>
      </c>
      <c r="M176" s="297" t="str">
        <v>No</v>
      </c>
      <c r="N176" s="306" t="n">
        <v>8</v>
      </c>
      <c r="O176" s="297" t="str">
        <v>Código anual atribuido; no acredita día del cambio ni aceptación SIES</v>
      </c>
    </row>
    <row r="177" ht="58" customHeight="1">
      <c r="A177" s="297" t="n">
        <v>2026</v>
      </c>
      <c r="B177" s="297" t="n">
        <v>2026</v>
      </c>
      <c r="C177" s="297" t="n">
        <v>2</v>
      </c>
      <c r="D177" s="297" t="str">
        <v>Técnico en Administración de Empresas</v>
      </c>
      <c r="E177" s="297" t="str">
        <v>TAMD</v>
      </c>
      <c r="F177" s="297" t="str">
        <v>TAMD20241</v>
      </c>
      <c r="G177" s="297" t="str">
        <v>I162S2C78J2V1</v>
      </c>
      <c r="H177" s="297" t="str">
        <v>I162S2C78J2V1</v>
      </c>
      <c r="I177" s="297" t="str">
        <v>B/C Documental anual</v>
      </c>
      <c r="J177" s="297" t="str">
        <v>Código destino igual a origen T1</v>
      </c>
      <c r="K177" s="297" t="str">
        <v>Mismo plan observado en contexto nativo 1 de año origen</v>
      </c>
      <c r="L177" s="297" t="str">
        <v>Sede/jornada del contexto coinciden con código origen</v>
      </c>
      <c r="M177" s="297" t="str">
        <v>No</v>
      </c>
      <c r="N177" s="306" t="n">
        <v>23</v>
      </c>
      <c r="O177" s="297" t="str">
        <v>Código anual atribuido; no acredita día del cambio ni aceptación SIES</v>
      </c>
    </row>
    <row r="178" ht="58" customHeight="1">
      <c r="A178" s="297" t="n">
        <v>2026</v>
      </c>
      <c r="B178" s="297" t="n">
        <v>2026</v>
      </c>
      <c r="C178" s="297" t="n">
        <v>2</v>
      </c>
      <c r="D178" s="297" t="str">
        <v>Técnico en Administración de Empresas</v>
      </c>
      <c r="E178" s="297" t="str">
        <v>TAMD</v>
      </c>
      <c r="F178" s="297" t="str">
        <v>TAMD20241</v>
      </c>
      <c r="G178" s="297" t="str">
        <v>I162S2C78J2V1</v>
      </c>
      <c r="H178" s="305" t="str">
        <v>Pendiente</v>
      </c>
      <c r="I178" s="305" t="str">
        <v>E Pendiente</v>
      </c>
      <c r="J178" s="305" t="str">
        <v>Misma carrera/sede; jornada candidata distinta del origen</v>
      </c>
      <c r="K178" s="297" t="str">
        <v>Mismo plan observado en contexto nativo 1 de año origen</v>
      </c>
      <c r="L178" s="297" t="str">
        <v>Contexto observado difiere en jornada</v>
      </c>
      <c r="M178" s="297" t="str">
        <v>No</v>
      </c>
      <c r="N178" s="306" t="n">
        <v>2</v>
      </c>
      <c r="O178" s="297" t="str">
        <v>Versión/atribución pendiente; no adjudicar por totales</v>
      </c>
    </row>
    <row r="179" ht="58" customHeight="1">
      <c r="A179" s="297" t="n">
        <v>2026</v>
      </c>
      <c r="B179" s="297" t="n">
        <v>2026</v>
      </c>
      <c r="C179" s="297" t="n">
        <v>2</v>
      </c>
      <c r="D179" s="297" t="str">
        <v>Técnico en Administración de Empresas</v>
      </c>
      <c r="E179" s="297" t="str">
        <v>TAMD</v>
      </c>
      <c r="F179" s="297" t="str">
        <v>TAMD20241</v>
      </c>
      <c r="G179" s="297" t="str">
        <v>I162S2C78J4V1</v>
      </c>
      <c r="H179" s="297" t="str">
        <v>I162S2C78J4V1</v>
      </c>
      <c r="I179" s="297" t="str">
        <v>B/C Documental anual</v>
      </c>
      <c r="J179" s="297" t="str">
        <v>Código destino igual a origen T1</v>
      </c>
      <c r="K179" s="297" t="str">
        <v>Mismo plan observado en contexto nativo 1 de año origen</v>
      </c>
      <c r="L179" s="297" t="str">
        <v>Sede/jornada del contexto coinciden con código origen</v>
      </c>
      <c r="M179" s="297" t="str">
        <v>No</v>
      </c>
      <c r="N179" s="306" t="n">
        <v>30</v>
      </c>
      <c r="O179" s="297" t="str">
        <v>Código anual atribuido; no acredita día del cambio ni aceptación SIES</v>
      </c>
    </row>
    <row r="180" ht="58" customHeight="1">
      <c r="A180" s="297" t="n">
        <v>2026</v>
      </c>
      <c r="B180" s="297" t="n">
        <v>2026</v>
      </c>
      <c r="C180" s="297" t="n">
        <v>2</v>
      </c>
      <c r="D180" s="297" t="str">
        <v>Técnico en Ciberseguridad</v>
      </c>
      <c r="E180" s="297" t="str">
        <v>TCIB</v>
      </c>
      <c r="F180" s="297" t="str">
        <v>TCIB20241</v>
      </c>
      <c r="G180" s="297" t="str">
        <v>I162S2C47J4V1</v>
      </c>
      <c r="H180" s="297" t="str">
        <v>I162S2C47J4V1</v>
      </c>
      <c r="I180" s="297" t="str">
        <v>B/C Documental anual</v>
      </c>
      <c r="J180" s="297" t="str">
        <v>Código destino igual a origen T1</v>
      </c>
      <c r="K180" s="297" t="str">
        <v>Mismo plan observado en contexto nativo 1 de año origen</v>
      </c>
      <c r="L180" s="297" t="str">
        <v>Sede/jornada del contexto coinciden con código origen</v>
      </c>
      <c r="M180" s="297" t="str">
        <v>No</v>
      </c>
      <c r="N180" s="306" t="n">
        <v>35</v>
      </c>
      <c r="O180" s="297" t="str">
        <v>Código anual atribuido; no acredita día del cambio ni aceptación SIES</v>
      </c>
    </row>
    <row r="181" ht="58" customHeight="1">
      <c r="A181" s="297" t="n">
        <v>2026</v>
      </c>
      <c r="B181" s="297" t="n">
        <v>2026</v>
      </c>
      <c r="C181" s="297" t="n">
        <v>2</v>
      </c>
      <c r="D181" s="297" t="str">
        <v>Técnico en Conectividad y Redes</v>
      </c>
      <c r="E181" s="297" t="str">
        <v>IINF</v>
      </c>
      <c r="F181" s="297" t="str">
        <v>IINF20241</v>
      </c>
      <c r="G181" s="297" t="str">
        <v>I162S2C6J4V2</v>
      </c>
      <c r="H181" s="305" t="str">
        <v>Pendiente</v>
      </c>
      <c r="I181" s="305" t="str">
        <v>E Pendiente</v>
      </c>
      <c r="J181" s="305" t="str">
        <v>Candidatos en otra carrera/sede/institución; vínculo con origen pendiente</v>
      </c>
      <c r="K181" s="297" t="str">
        <v>Mismo plan observado en contexto nativo 1 de año origen</v>
      </c>
      <c r="L181" s="297" t="str">
        <v>Sede/jornada del contexto coinciden con código origen</v>
      </c>
      <c r="M181" s="297" t="str">
        <v>Sí</v>
      </c>
      <c r="N181" s="306" t="n">
        <v>1</v>
      </c>
      <c r="O181" s="297" t="str">
        <v>Versión/atribución pendiente; no adjudicar por totales</v>
      </c>
    </row>
    <row r="182" ht="58" customHeight="1">
      <c r="A182" s="297" t="n">
        <v>2026</v>
      </c>
      <c r="B182" s="297" t="n">
        <v>2026</v>
      </c>
      <c r="C182" s="297" t="n">
        <v>2</v>
      </c>
      <c r="D182" s="297" t="str">
        <v>Técnico en Conectividad y Redes</v>
      </c>
      <c r="E182" s="297" t="str">
        <v>TCRE</v>
      </c>
      <c r="F182" s="297" t="str">
        <v>TCRE20241</v>
      </c>
      <c r="G182" s="297" t="str">
        <v>I162S2C6J4V2</v>
      </c>
      <c r="H182" s="297" t="str">
        <v>I162S2C6J4V2</v>
      </c>
      <c r="I182" s="297" t="str">
        <v>B/C Documental anual</v>
      </c>
      <c r="J182" s="297" t="str">
        <v>Código destino igual a origen T1</v>
      </c>
      <c r="K182" s="297" t="str">
        <v>Mismo plan observado en contexto nativo 1 de año origen</v>
      </c>
      <c r="L182" s="297" t="str">
        <v>Sede/jornada del contexto coinciden con código origen</v>
      </c>
      <c r="M182" s="297" t="str">
        <v>Sí</v>
      </c>
      <c r="N182" s="306" t="n">
        <v>6</v>
      </c>
      <c r="O182" s="297" t="str">
        <v>Código anual atribuido; no acredita día del cambio ni aceptación SIES</v>
      </c>
    </row>
    <row r="183" ht="58" customHeight="1">
      <c r="A183" s="297" t="n">
        <v>2026</v>
      </c>
      <c r="B183" s="297" t="n">
        <v>2026</v>
      </c>
      <c r="C183" s="297" t="n">
        <v>2</v>
      </c>
      <c r="D183" s="297" t="str">
        <v>Técnico en Logística</v>
      </c>
      <c r="E183" s="297" t="str">
        <v>TLOG</v>
      </c>
      <c r="F183" s="297" t="str">
        <v>TLOG20241</v>
      </c>
      <c r="G183" s="297" t="str">
        <v>I162S2C79J4V1</v>
      </c>
      <c r="H183" s="297" t="str">
        <v>I162S2C79J4V1</v>
      </c>
      <c r="I183" s="297" t="str">
        <v>B/C Documental anual</v>
      </c>
      <c r="J183" s="297" t="str">
        <v>Código destino igual a origen T1</v>
      </c>
      <c r="K183" s="297" t="str">
        <v>Mismo plan observado en contexto nativo 1 de año origen</v>
      </c>
      <c r="L183" s="297" t="str">
        <v>Sede/jornada del contexto coinciden con código origen</v>
      </c>
      <c r="M183" s="297" t="str">
        <v>No</v>
      </c>
      <c r="N183" s="306" t="n">
        <v>35</v>
      </c>
      <c r="O183" s="297" t="str">
        <v>Código anual atribuido; no acredita día del cambio ni aceptación SIES</v>
      </c>
    </row>
    <row r="184" ht="58" customHeight="1">
      <c r="A184" s="297" t="n">
        <v>2026</v>
      </c>
      <c r="B184" s="297" t="n">
        <v>2026</v>
      </c>
      <c r="C184" s="297" t="n">
        <v>2</v>
      </c>
      <c r="D184" s="297" t="str">
        <v>Técnico en Marketing Digital</v>
      </c>
      <c r="E184" s="297" t="str">
        <v>TLOG</v>
      </c>
      <c r="F184" s="297" t="str">
        <v>TLOG20241</v>
      </c>
      <c r="G184" s="297" t="str">
        <v>I162S2C118J4V1</v>
      </c>
      <c r="H184" s="305" t="str">
        <v>Pendiente</v>
      </c>
      <c r="I184" s="305" t="str">
        <v>E Pendiente</v>
      </c>
      <c r="J184" s="305" t="str">
        <v>Candidatos en otra carrera/sede/institución; vínculo con origen pendiente</v>
      </c>
      <c r="K184" s="297" t="str">
        <v>Sin contexto nativo 1 del mismo CODCLI en año origen</v>
      </c>
      <c r="L184" s="297" t="str">
        <v>Sede/jornada del contexto coinciden con código origen</v>
      </c>
      <c r="M184" s="297" t="str">
        <v>No</v>
      </c>
      <c r="N184" s="306" t="n">
        <v>1</v>
      </c>
      <c r="O184" s="297" t="str">
        <v>Versión/atribución pendiente; no adjudicar por totales</v>
      </c>
    </row>
    <row r="185" ht="58" customHeight="1">
      <c r="A185" s="297" t="n">
        <v>2026</v>
      </c>
      <c r="B185" s="297" t="n">
        <v>2026</v>
      </c>
      <c r="C185" s="297" t="n">
        <v>2</v>
      </c>
      <c r="D185" s="297" t="str">
        <v>Técnico en Programación y Análisis de Sistemas</v>
      </c>
      <c r="E185" s="297" t="str">
        <v>TAMD</v>
      </c>
      <c r="F185" s="297" t="str">
        <v>TAMD20241</v>
      </c>
      <c r="G185" s="297" t="str">
        <v>I162S2C57J4V1</v>
      </c>
      <c r="H185" s="305" t="str">
        <v>Pendiente</v>
      </c>
      <c r="I185" s="305" t="str">
        <v>E Pendiente</v>
      </c>
      <c r="J185" s="305" t="str">
        <v>Candidatos en otra carrera/sede/institución; vínculo con origen pendiente</v>
      </c>
      <c r="K185" s="297" t="str">
        <v>Sin contexto nativo 1 del mismo CODCLI en año origen</v>
      </c>
      <c r="L185" s="297" t="str">
        <v>Sede/jornada del contexto coinciden con código origen</v>
      </c>
      <c r="M185" s="297" t="str">
        <v>No</v>
      </c>
      <c r="N185" s="306" t="n">
        <v>1</v>
      </c>
      <c r="O185" s="297" t="str">
        <v>Versión/atribución pendiente; no adjudicar por totales</v>
      </c>
    </row>
    <row r="186" ht="58" customHeight="1">
      <c r="A186" s="297" t="n">
        <v>2026</v>
      </c>
      <c r="B186" s="297" t="n">
        <v>2026</v>
      </c>
      <c r="C186" s="297" t="n">
        <v>2</v>
      </c>
      <c r="D186" s="297" t="str">
        <v>Técnico en Programación y Análisis de Sistemas</v>
      </c>
      <c r="E186" s="297" t="str">
        <v>TPAS</v>
      </c>
      <c r="F186" s="297" t="str">
        <v>TPAS20241</v>
      </c>
      <c r="G186" s="297" t="str">
        <v>I162S2C57J4V1</v>
      </c>
      <c r="H186" s="297" t="str">
        <v>I162S2C57J4V1</v>
      </c>
      <c r="I186" s="297" t="str">
        <v>B/C Documental anual</v>
      </c>
      <c r="J186" s="297" t="str">
        <v>Código destino igual a origen T1</v>
      </c>
      <c r="K186" s="297" t="str">
        <v>Mismo plan observado en contexto nativo 1 de año origen</v>
      </c>
      <c r="L186" s="297" t="str">
        <v>Sede/jornada del contexto coinciden con código origen</v>
      </c>
      <c r="M186" s="297" t="str">
        <v>No</v>
      </c>
      <c r="N186" s="306" t="n">
        <v>62</v>
      </c>
      <c r="O186" s="297" t="str">
        <v>Código anual atribuido; no acredita día del cambio ni aceptación SIES</v>
      </c>
    </row>
    <row r="187" ht="58" customHeight="1">
      <c r="A187" s="297" t="n">
        <v>2026</v>
      </c>
      <c r="B187" s="297" t="n">
        <v>2026</v>
      </c>
      <c r="C187" s="297" t="n">
        <v>2</v>
      </c>
      <c r="D187" s="297" t="str">
        <v>Técnico en Programación y Análisis de Sistemas</v>
      </c>
      <c r="E187" s="297" t="str">
        <v>TPAS</v>
      </c>
      <c r="F187" s="297" t="str">
        <v>TPAS20241</v>
      </c>
      <c r="G187" s="297" t="str">
        <v>I162S2C57J4V1</v>
      </c>
      <c r="H187" s="297" t="str">
        <v>I162S2C57J4V1</v>
      </c>
      <c r="I187" s="297" t="str">
        <v>B/C Documental anual</v>
      </c>
      <c r="J187" s="297" t="str">
        <v>Código destino igual a origen T1</v>
      </c>
      <c r="K187" s="297" t="str">
        <v>Sin contexto nativo 1 del mismo CODCLI en año origen</v>
      </c>
      <c r="L187" s="297" t="str">
        <v>Sede/jornada del contexto coinciden con código origen</v>
      </c>
      <c r="M187" s="297" t="str">
        <v>No</v>
      </c>
      <c r="N187" s="306" t="n">
        <v>1</v>
      </c>
      <c r="O187" s="297" t="str">
        <v>Código anual atribuido; no acredita día del cambio ni aceptación SIES</v>
      </c>
    </row>
    <row r="188" ht="58" customHeight="1">
      <c r="A188" s="297" t="n">
        <v>2026</v>
      </c>
      <c r="B188" s="297" t="n">
        <v>2026</v>
      </c>
      <c r="C188" s="297" t="n">
        <v>3</v>
      </c>
      <c r="D188" s="297" t="str">
        <v>Administración Pública</v>
      </c>
      <c r="E188" s="297" t="str">
        <v>ADMP</v>
      </c>
      <c r="F188" s="297" t="str">
        <v>ADMP20251</v>
      </c>
      <c r="G188" s="297" t="str">
        <v>I162S2C83J4V1</v>
      </c>
      <c r="H188" s="297" t="str">
        <v>I162S2C83J4V1</v>
      </c>
      <c r="I188" s="297" t="str">
        <v>B/C Documental anual</v>
      </c>
      <c r="J188" s="297" t="str">
        <v>Código destino igual a origen T1</v>
      </c>
      <c r="K188" s="297" t="str">
        <v>Mismo plan observado en contexto nativo 1 de año origen</v>
      </c>
      <c r="L188" s="297" t="str">
        <v>Sede/jornada del contexto coinciden con código origen</v>
      </c>
      <c r="M188" s="297" t="str">
        <v>No</v>
      </c>
      <c r="N188" s="306" t="n">
        <v>28</v>
      </c>
      <c r="O188" s="297" t="str">
        <v>Código anual atribuido; no acredita día del cambio ni aceptación SIES</v>
      </c>
    </row>
    <row r="189" ht="58" customHeight="1">
      <c r="A189" s="297" t="n">
        <v>2026</v>
      </c>
      <c r="B189" s="297" t="n">
        <v>2026</v>
      </c>
      <c r="C189" s="297" t="n">
        <v>3</v>
      </c>
      <c r="D189" s="297" t="str">
        <v>Auditoría</v>
      </c>
      <c r="E189" s="297" t="str">
        <v>AUDT</v>
      </c>
      <c r="F189" s="297" t="str">
        <v>AUDT20251</v>
      </c>
      <c r="G189" s="297" t="str">
        <v>I162S2C86J4V1</v>
      </c>
      <c r="H189" s="297" t="str">
        <v>I162S2C86J4V1</v>
      </c>
      <c r="I189" s="297" t="str">
        <v>B/C Documental anual</v>
      </c>
      <c r="J189" s="297" t="str">
        <v>Código destino igual a origen T1</v>
      </c>
      <c r="K189" s="297" t="str">
        <v>Mismo plan observado en contexto nativo 1 de año origen</v>
      </c>
      <c r="L189" s="297" t="str">
        <v>Sede/jornada del contexto coinciden con código origen</v>
      </c>
      <c r="M189" s="297" t="str">
        <v>No</v>
      </c>
      <c r="N189" s="306" t="n">
        <v>15</v>
      </c>
      <c r="O189" s="297" t="str">
        <v>Código anual atribuido; no acredita día del cambio ni aceptación SIES</v>
      </c>
    </row>
    <row r="190" ht="58" customHeight="1">
      <c r="A190" s="297" t="n">
        <v>2026</v>
      </c>
      <c r="B190" s="297" t="n">
        <v>2026</v>
      </c>
      <c r="C190" s="297" t="n">
        <v>3</v>
      </c>
      <c r="D190" s="297" t="str">
        <v>Ingeniería Industrial</v>
      </c>
      <c r="E190" s="297" t="str">
        <v>ICDA</v>
      </c>
      <c r="F190" s="297" t="str">
        <v>ICDA20251</v>
      </c>
      <c r="G190" s="297" t="str">
        <v>I162S2C87J4V2</v>
      </c>
      <c r="H190" s="305" t="str">
        <v>Pendiente</v>
      </c>
      <c r="I190" s="305" t="str">
        <v>E Pendiente</v>
      </c>
      <c r="J190" s="305" t="str">
        <v>Candidatos en otra carrera/sede/institución; vínculo con origen pendiente</v>
      </c>
      <c r="K190" s="297" t="str">
        <v>Mismo plan observado en contexto nativo 1 de año origen</v>
      </c>
      <c r="L190" s="297" t="str">
        <v>Sede/jornada del contexto coinciden con código origen</v>
      </c>
      <c r="M190" s="297" t="str">
        <v>No</v>
      </c>
      <c r="N190" s="306" t="n">
        <v>1</v>
      </c>
      <c r="O190" s="297" t="str">
        <v>Versión/atribución pendiente; no adjudicar por totales</v>
      </c>
    </row>
    <row r="191" ht="58" customHeight="1">
      <c r="A191" s="297" t="n">
        <v>2026</v>
      </c>
      <c r="B191" s="297" t="n">
        <v>2026</v>
      </c>
      <c r="C191" s="297" t="n">
        <v>3</v>
      </c>
      <c r="D191" s="297" t="str">
        <v>Ingeniería Industrial</v>
      </c>
      <c r="E191" s="297" t="str">
        <v>IIND</v>
      </c>
      <c r="F191" s="297" t="str">
        <v>IIND20251</v>
      </c>
      <c r="G191" s="297" t="str">
        <v>I162S2C87J4V2</v>
      </c>
      <c r="H191" s="297" t="str">
        <v>I162S2C87J4V2</v>
      </c>
      <c r="I191" s="297" t="str">
        <v>B/C Documental anual</v>
      </c>
      <c r="J191" s="297" t="str">
        <v>Código destino igual a origen T1</v>
      </c>
      <c r="K191" s="297" t="str">
        <v>Mismo plan observado en contexto nativo 1 de año origen</v>
      </c>
      <c r="L191" s="297" t="str">
        <v>Sede/jornada del contexto coinciden con código origen</v>
      </c>
      <c r="M191" s="297" t="str">
        <v>No</v>
      </c>
      <c r="N191" s="306" t="n">
        <v>32</v>
      </c>
      <c r="O191" s="297" t="str">
        <v>Código anual atribuido; no acredita día del cambio ni aceptación SIES</v>
      </c>
    </row>
    <row r="192" ht="58" customHeight="1">
      <c r="A192" s="297" t="n">
        <v>2026</v>
      </c>
      <c r="B192" s="297" t="n">
        <v>2026</v>
      </c>
      <c r="C192" s="297" t="n">
        <v>3</v>
      </c>
      <c r="D192" s="297" t="str">
        <v>Ingeniería en Administración de Empresas</v>
      </c>
      <c r="E192" s="297" t="str">
        <v>IADM</v>
      </c>
      <c r="F192" s="297" t="str">
        <v>IADM20241</v>
      </c>
      <c r="G192" s="297" t="str">
        <v>I162S2C76J2V1</v>
      </c>
      <c r="H192" s="305" t="str">
        <v>Pendiente</v>
      </c>
      <c r="I192" s="305" t="str">
        <v>E Pendiente</v>
      </c>
      <c r="J192" s="305" t="str">
        <v>Misma carrera/sede; jornada candidata distinta del origen</v>
      </c>
      <c r="K192" s="297" t="str">
        <v>Mismo plan observado en contexto nativo 1 de año origen</v>
      </c>
      <c r="L192" s="297" t="str">
        <v>Contexto observado difiere en jornada</v>
      </c>
      <c r="M192" s="297" t="str">
        <v>No</v>
      </c>
      <c r="N192" s="306" t="n">
        <v>1</v>
      </c>
      <c r="O192" s="297" t="str">
        <v>Versión/atribución pendiente; no adjudicar por totales</v>
      </c>
    </row>
    <row r="193" ht="58" customHeight="1">
      <c r="A193" s="297" t="n">
        <v>2026</v>
      </c>
      <c r="B193" s="297" t="n">
        <v>2026</v>
      </c>
      <c r="C193" s="297" t="n">
        <v>3</v>
      </c>
      <c r="D193" s="297" t="str">
        <v>Ingeniería en Administración de Empresas</v>
      </c>
      <c r="E193" s="297" t="str">
        <v>IADM</v>
      </c>
      <c r="F193" s="297" t="str">
        <v>IADM20241</v>
      </c>
      <c r="G193" s="297" t="str">
        <v>I162S2C76J4V1</v>
      </c>
      <c r="H193" s="297" t="str">
        <v>I162S2C76J4V1</v>
      </c>
      <c r="I193" s="297" t="str">
        <v>B/C Documental anual</v>
      </c>
      <c r="J193" s="297" t="str">
        <v>Código destino igual a origen T1</v>
      </c>
      <c r="K193" s="297" t="str">
        <v>Mismo plan observado en contexto nativo 1 de año origen</v>
      </c>
      <c r="L193" s="297" t="str">
        <v>Sede/jornada del contexto coinciden con código origen</v>
      </c>
      <c r="M193" s="297" t="str">
        <v>No</v>
      </c>
      <c r="N193" s="306" t="n">
        <v>36</v>
      </c>
      <c r="O193" s="297" t="str">
        <v>Código anual atribuido; no acredita día del cambio ni aceptación SIES</v>
      </c>
    </row>
    <row r="194" ht="58" customHeight="1">
      <c r="A194" s="297" t="n">
        <v>2026</v>
      </c>
      <c r="B194" s="297" t="n">
        <v>2026</v>
      </c>
      <c r="C194" s="297" t="n">
        <v>3</v>
      </c>
      <c r="D194" s="297" t="str">
        <v>Ingeniería en Ciberseguridad</v>
      </c>
      <c r="E194" s="297" t="str">
        <v>ICIB</v>
      </c>
      <c r="F194" s="297" t="str">
        <v>ICIB20241</v>
      </c>
      <c r="G194" s="297" t="str">
        <v>I162S2C46J1V1</v>
      </c>
      <c r="H194" s="305" t="str">
        <v>Pendiente</v>
      </c>
      <c r="I194" s="305" t="str">
        <v>E Pendiente</v>
      </c>
      <c r="J194" s="305" t="str">
        <v>Misma carrera/sede; jornada candidata distinta del origen</v>
      </c>
      <c r="K194" s="297" t="str">
        <v>Mismo plan observado en contexto nativo 1 de año origen</v>
      </c>
      <c r="L194" s="297" t="str">
        <v>Contexto observado difiere en jornada</v>
      </c>
      <c r="M194" s="297" t="str">
        <v>No</v>
      </c>
      <c r="N194" s="306" t="n">
        <v>1</v>
      </c>
      <c r="O194" s="297" t="str">
        <v>Versión/atribución pendiente; no adjudicar por totales</v>
      </c>
    </row>
    <row r="195" ht="58" customHeight="1">
      <c r="A195" s="297" t="n">
        <v>2026</v>
      </c>
      <c r="B195" s="297" t="n">
        <v>2026</v>
      </c>
      <c r="C195" s="297" t="n">
        <v>3</v>
      </c>
      <c r="D195" s="297" t="str">
        <v>Ingeniería en Ciberseguridad</v>
      </c>
      <c r="E195" s="297" t="str">
        <v>ICIB</v>
      </c>
      <c r="F195" s="297" t="str">
        <v>ICIB20241</v>
      </c>
      <c r="G195" s="297" t="str">
        <v>I162S2C46J2V1</v>
      </c>
      <c r="H195" s="297" t="str">
        <v>I162S2C46J2V1</v>
      </c>
      <c r="I195" s="297" t="str">
        <v>B/C Documental anual</v>
      </c>
      <c r="J195" s="297" t="str">
        <v>Código destino igual a origen T1</v>
      </c>
      <c r="K195" s="297" t="str">
        <v>Mismo plan observado en contexto nativo 1 de año origen</v>
      </c>
      <c r="L195" s="297" t="str">
        <v>Sede/jornada del contexto coinciden con código origen</v>
      </c>
      <c r="M195" s="297" t="str">
        <v>Sí</v>
      </c>
      <c r="N195" s="306" t="n">
        <v>9</v>
      </c>
      <c r="O195" s="297" t="str">
        <v>Código anual atribuido; no acredita día del cambio ni aceptación SIES</v>
      </c>
    </row>
    <row r="196" ht="58" customHeight="1">
      <c r="A196" s="297" t="n">
        <v>2026</v>
      </c>
      <c r="B196" s="297" t="n">
        <v>2026</v>
      </c>
      <c r="C196" s="297" t="n">
        <v>3</v>
      </c>
      <c r="D196" s="297" t="str">
        <v>Ingeniería en Ciberseguridad</v>
      </c>
      <c r="E196" s="297" t="str">
        <v>ICIB</v>
      </c>
      <c r="F196" s="297" t="str">
        <v>ICIB20241</v>
      </c>
      <c r="G196" s="297" t="str">
        <v>I162S2C46J2V1</v>
      </c>
      <c r="H196" s="305" t="str">
        <v>Pendiente</v>
      </c>
      <c r="I196" s="305" t="str">
        <v>E Pendiente</v>
      </c>
      <c r="J196" s="305" t="str">
        <v>Misma carrera/sede; jornada candidata distinta del origen</v>
      </c>
      <c r="K196" s="297" t="str">
        <v>Mismo plan observado en contexto nativo 1 de año origen</v>
      </c>
      <c r="L196" s="297" t="str">
        <v>Contexto observado difiere en jornada</v>
      </c>
      <c r="M196" s="297" t="str">
        <v>Sí</v>
      </c>
      <c r="N196" s="306" t="n">
        <v>2</v>
      </c>
      <c r="O196" s="297" t="str">
        <v>Versión/atribución pendiente; no adjudicar por totales</v>
      </c>
    </row>
    <row r="197" ht="58" customHeight="1">
      <c r="A197" s="297" t="n">
        <v>2026</v>
      </c>
      <c r="B197" s="297" t="n">
        <v>2026</v>
      </c>
      <c r="C197" s="297" t="n">
        <v>3</v>
      </c>
      <c r="D197" s="297" t="str">
        <v>Ingeniería en Ciberseguridad</v>
      </c>
      <c r="E197" s="297" t="str">
        <v>ICIB</v>
      </c>
      <c r="F197" s="297" t="str">
        <v>ICIB20241</v>
      </c>
      <c r="G197" s="297" t="str">
        <v>I162S2C46J4V3</v>
      </c>
      <c r="H197" s="297" t="str">
        <v>I162S2C46J4V3</v>
      </c>
      <c r="I197" s="297" t="str">
        <v>B/C Documental anual</v>
      </c>
      <c r="J197" s="297" t="str">
        <v>Código destino igual a origen T1</v>
      </c>
      <c r="K197" s="297" t="str">
        <v>Mismo plan observado en contexto nativo 1 de año origen</v>
      </c>
      <c r="L197" s="297" t="str">
        <v>Sede/jornada del contexto coinciden con código origen</v>
      </c>
      <c r="M197" s="297" t="str">
        <v>Sí</v>
      </c>
      <c r="N197" s="306" t="n">
        <v>72</v>
      </c>
      <c r="O197" s="297" t="str">
        <v>Código anual atribuido; no acredita día del cambio ni aceptación SIES</v>
      </c>
    </row>
    <row r="198" ht="58" customHeight="1">
      <c r="A198" s="297" t="n">
        <v>2026</v>
      </c>
      <c r="B198" s="297" t="n">
        <v>2026</v>
      </c>
      <c r="C198" s="297" t="n">
        <v>3</v>
      </c>
      <c r="D198" s="297" t="str">
        <v>Ingeniería en Ciberseguridad</v>
      </c>
      <c r="E198" s="297" t="str">
        <v>ICIB</v>
      </c>
      <c r="F198" s="297" t="str">
        <v>ICIB20241</v>
      </c>
      <c r="G198" s="297" t="str">
        <v>I162S2C46J4V3</v>
      </c>
      <c r="H198" s="305" t="str">
        <v>Pendiente</v>
      </c>
      <c r="I198" s="305" t="str">
        <v>E Pendiente</v>
      </c>
      <c r="J198" s="305" t="str">
        <v>Misma carrera/sede; jornada candidata distinta del origen</v>
      </c>
      <c r="K198" s="297" t="str">
        <v>Mismo plan observado en contexto nativo 1 de año origen</v>
      </c>
      <c r="L198" s="297" t="str">
        <v>Contexto observado difiere en jornada</v>
      </c>
      <c r="M198" s="297" t="str">
        <v>Sí</v>
      </c>
      <c r="N198" s="306" t="n">
        <v>1</v>
      </c>
      <c r="O198" s="297" t="str">
        <v>Versión/atribución pendiente; no adjudicar por totales</v>
      </c>
    </row>
    <row r="199" ht="58" customHeight="1">
      <c r="A199" s="297" t="n">
        <v>2026</v>
      </c>
      <c r="B199" s="297" t="n">
        <v>2026</v>
      </c>
      <c r="C199" s="297" t="n">
        <v>3</v>
      </c>
      <c r="D199" s="297" t="str">
        <v>Ingeniería en Ciencia de Datos</v>
      </c>
      <c r="E199" s="297" t="str">
        <v>ICDA</v>
      </c>
      <c r="F199" s="297" t="str">
        <v>ICDA20251</v>
      </c>
      <c r="G199" s="297" t="str">
        <v>I162S2C88J4V1</v>
      </c>
      <c r="H199" s="297" t="str">
        <v>I162S2C88J4V1</v>
      </c>
      <c r="I199" s="297" t="str">
        <v>B/C Documental anual</v>
      </c>
      <c r="J199" s="297" t="str">
        <v>Código destino igual a origen T1</v>
      </c>
      <c r="K199" s="297" t="str">
        <v>Mismo plan observado en contexto nativo 1 de año origen</v>
      </c>
      <c r="L199" s="297" t="str">
        <v>Sede/jornada del contexto coinciden con código origen</v>
      </c>
      <c r="M199" s="297" t="str">
        <v>No</v>
      </c>
      <c r="N199" s="306" t="n">
        <v>17</v>
      </c>
      <c r="O199" s="297" t="str">
        <v>Código anual atribuido; no acredita día del cambio ni aceptación SIES</v>
      </c>
    </row>
    <row r="200" ht="58" customHeight="1">
      <c r="A200" s="297" t="n">
        <v>2026</v>
      </c>
      <c r="B200" s="297" t="n">
        <v>2026</v>
      </c>
      <c r="C200" s="297" t="n">
        <v>3</v>
      </c>
      <c r="D200" s="297" t="str">
        <v>Ingeniería en Conectividad y Redes</v>
      </c>
      <c r="E200" s="297" t="str">
        <v>IADM</v>
      </c>
      <c r="F200" s="297" t="str">
        <v>IADM20241</v>
      </c>
      <c r="G200" s="297" t="str">
        <v>I162S2C3J4V2</v>
      </c>
      <c r="H200" s="305" t="str">
        <v>Pendiente</v>
      </c>
      <c r="I200" s="305" t="str">
        <v>E Pendiente</v>
      </c>
      <c r="J200" s="305" t="str">
        <v>Candidatos en otra carrera/sede/institución; vínculo con origen pendiente</v>
      </c>
      <c r="K200" s="297" t="str">
        <v>Sin contexto nativo 1 del mismo CODCLI en año origen</v>
      </c>
      <c r="L200" s="297" t="str">
        <v>Sede/jornada del contexto coinciden con código origen</v>
      </c>
      <c r="M200" s="297" t="str">
        <v>Sí</v>
      </c>
      <c r="N200" s="306" t="n">
        <v>1</v>
      </c>
      <c r="O200" s="297" t="str">
        <v>Versión/atribución pendiente; no adjudicar por totales</v>
      </c>
    </row>
    <row r="201" ht="58" customHeight="1">
      <c r="A201" s="297" t="n">
        <v>2026</v>
      </c>
      <c r="B201" s="297" t="n">
        <v>2026</v>
      </c>
      <c r="C201" s="297" t="n">
        <v>3</v>
      </c>
      <c r="D201" s="297" t="str">
        <v>Ingeniería en Conectividad y Redes</v>
      </c>
      <c r="E201" s="297" t="str">
        <v>ICRE</v>
      </c>
      <c r="F201" s="297" t="str">
        <v>ICRE20241</v>
      </c>
      <c r="G201" s="297" t="str">
        <v>I162S2C3J4V2</v>
      </c>
      <c r="H201" s="297" t="str">
        <v>I162S2C3J4V2</v>
      </c>
      <c r="I201" s="297" t="str">
        <v>B/C Documental anual</v>
      </c>
      <c r="J201" s="297" t="str">
        <v>Código destino igual a origen T1</v>
      </c>
      <c r="K201" s="297" t="str">
        <v>Mismo plan observado en contexto nativo 1 de año origen</v>
      </c>
      <c r="L201" s="297" t="str">
        <v>Sede/jornada del contexto coinciden con código origen</v>
      </c>
      <c r="M201" s="297" t="str">
        <v>Sí</v>
      </c>
      <c r="N201" s="306" t="n">
        <v>35</v>
      </c>
      <c r="O201" s="297" t="str">
        <v>Código anual atribuido; no acredita día del cambio ni aceptación SIES</v>
      </c>
    </row>
    <row r="202" ht="58" customHeight="1">
      <c r="A202" s="297" t="n">
        <v>2026</v>
      </c>
      <c r="B202" s="297" t="n">
        <v>2026</v>
      </c>
      <c r="C202" s="297" t="n">
        <v>3</v>
      </c>
      <c r="D202" s="297" t="str">
        <v>Ingeniería en Conectividad y Redes</v>
      </c>
      <c r="E202" s="297" t="str">
        <v>IMDI</v>
      </c>
      <c r="F202" s="297" t="str">
        <v>IMDI20261</v>
      </c>
      <c r="G202" s="297" t="str">
        <v>I162S2C3J4V2</v>
      </c>
      <c r="H202" s="310" t="str">
        <v>I162S2C112J4V1</v>
      </c>
      <c r="I202" s="310" t="str">
        <v>D Interno aprobado</v>
      </c>
      <c r="J202" s="310" t="str">
        <v>Destino distinto en carrera</v>
      </c>
      <c r="K202" s="297" t="str">
        <v>Sin contexto nativo 1 del mismo CODCLI en año origen</v>
      </c>
      <c r="L202" s="297" t="str">
        <v>Sede/jornada del contexto coinciden con código origen</v>
      </c>
      <c r="M202" s="297" t="str">
        <v>Sí</v>
      </c>
      <c r="N202" s="306" t="n">
        <v>1</v>
      </c>
      <c r="O202" s="297" t="str">
        <v>Atribución documental al período pendiente</v>
      </c>
    </row>
    <row r="203" ht="58" customHeight="1">
      <c r="A203" s="297" t="n">
        <v>2026</v>
      </c>
      <c r="B203" s="297" t="n">
        <v>2026</v>
      </c>
      <c r="C203" s="297" t="n">
        <v>3</v>
      </c>
      <c r="D203" s="297" t="str">
        <v>Ingeniería en Finanzas</v>
      </c>
      <c r="E203" s="297" t="str">
        <v>IADM</v>
      </c>
      <c r="F203" s="297" t="str">
        <v>IADM20241</v>
      </c>
      <c r="G203" s="297" t="str">
        <v>I162S2C111J4V1</v>
      </c>
      <c r="H203" s="305" t="str">
        <v>Pendiente</v>
      </c>
      <c r="I203" s="305" t="str">
        <v>E Pendiente</v>
      </c>
      <c r="J203" s="305" t="str">
        <v>Candidatos en otra carrera/sede/institución; vínculo con origen pendiente</v>
      </c>
      <c r="K203" s="297" t="str">
        <v>Sin contexto nativo 1 del mismo CODCLI en año origen</v>
      </c>
      <c r="L203" s="297" t="str">
        <v>Sede/jornada del contexto coinciden con código origen</v>
      </c>
      <c r="M203" s="297" t="str">
        <v>No</v>
      </c>
      <c r="N203" s="306" t="n">
        <v>1</v>
      </c>
      <c r="O203" s="297" t="str">
        <v>Versión/atribución pendiente; no adjudicar por totales</v>
      </c>
    </row>
    <row r="204" ht="58" customHeight="1">
      <c r="A204" s="297" t="n">
        <v>2026</v>
      </c>
      <c r="B204" s="297" t="n">
        <v>2026</v>
      </c>
      <c r="C204" s="297" t="n">
        <v>3</v>
      </c>
      <c r="D204" s="297" t="str">
        <v>Ingeniería en Finanzas</v>
      </c>
      <c r="E204" s="297" t="str">
        <v>IFIN</v>
      </c>
      <c r="F204" s="297" t="str">
        <v>IFIN20261</v>
      </c>
      <c r="G204" s="297" t="str">
        <v>I162S2C111J4V1</v>
      </c>
      <c r="H204" s="297" t="str">
        <v>I162S2C111J4V1</v>
      </c>
      <c r="I204" s="297" t="str">
        <v>B/C Documental anual</v>
      </c>
      <c r="J204" s="297" t="str">
        <v>Código destino igual a origen T1</v>
      </c>
      <c r="K204" s="297" t="str">
        <v>Mismo plan observado en contexto nativo 1 de año origen</v>
      </c>
      <c r="L204" s="297" t="str">
        <v>Sede/jornada del contexto coinciden con código origen</v>
      </c>
      <c r="M204" s="297" t="str">
        <v>No</v>
      </c>
      <c r="N204" s="306" t="n">
        <v>16</v>
      </c>
      <c r="O204" s="297" t="str">
        <v>Código anual atribuido; no acredita día del cambio ni aceptación SIES</v>
      </c>
    </row>
    <row r="205" ht="58" customHeight="1">
      <c r="A205" s="297" t="n">
        <v>2026</v>
      </c>
      <c r="B205" s="297" t="n">
        <v>2026</v>
      </c>
      <c r="C205" s="297" t="n">
        <v>3</v>
      </c>
      <c r="D205" s="297" t="str">
        <v>Ingeniería en Informática</v>
      </c>
      <c r="E205" s="297" t="str">
        <v>IINF</v>
      </c>
      <c r="F205" s="297" t="str">
        <v>IINF20241</v>
      </c>
      <c r="G205" s="297" t="str">
        <v>I162S2C1J1V2</v>
      </c>
      <c r="H205" s="297" t="str">
        <v>I162S2C1J1V2</v>
      </c>
      <c r="I205" s="297" t="str">
        <v>B/C Documental anual</v>
      </c>
      <c r="J205" s="297" t="str">
        <v>Código destino igual a origen T1</v>
      </c>
      <c r="K205" s="297" t="str">
        <v>Mismo plan observado en contexto nativo 1 de año origen</v>
      </c>
      <c r="L205" s="297" t="str">
        <v>Sede/jornada del contexto coinciden con código origen</v>
      </c>
      <c r="M205" s="297" t="str">
        <v>Sí</v>
      </c>
      <c r="N205" s="306" t="n">
        <v>11</v>
      </c>
      <c r="O205" s="297" t="str">
        <v>Código anual atribuido; no acredita día del cambio ni aceptación SIES</v>
      </c>
    </row>
    <row r="206" ht="58" customHeight="1">
      <c r="A206" s="297" t="n">
        <v>2026</v>
      </c>
      <c r="B206" s="297" t="n">
        <v>2026</v>
      </c>
      <c r="C206" s="297" t="n">
        <v>3</v>
      </c>
      <c r="D206" s="297" t="str">
        <v>Ingeniería en Informática</v>
      </c>
      <c r="E206" s="297" t="str">
        <v>IINF</v>
      </c>
      <c r="F206" s="297" t="str">
        <v>IINF20241</v>
      </c>
      <c r="G206" s="297" t="str">
        <v>I162S2C1J1V2</v>
      </c>
      <c r="H206" s="310" t="str">
        <v>I162S2C1J4V2</v>
      </c>
      <c r="I206" s="310" t="str">
        <v>D Interno aprobado</v>
      </c>
      <c r="J206" s="310" t="str">
        <v>Destino distinto en jornada</v>
      </c>
      <c r="K206" s="297" t="str">
        <v>Mismo plan observado en contexto nativo 1 de año origen</v>
      </c>
      <c r="L206" s="297" t="str">
        <v>Contexto observado difiere en jornada</v>
      </c>
      <c r="M206" s="297" t="str">
        <v>Sí</v>
      </c>
      <c r="N206" s="306" t="n">
        <v>1</v>
      </c>
      <c r="O206" s="297" t="str">
        <v>Atribución documental al período pendiente</v>
      </c>
    </row>
    <row r="207" ht="58" customHeight="1">
      <c r="A207" s="297" t="n">
        <v>2026</v>
      </c>
      <c r="B207" s="297" t="n">
        <v>2026</v>
      </c>
      <c r="C207" s="297" t="n">
        <v>3</v>
      </c>
      <c r="D207" s="297" t="str">
        <v>Ingeniería en Informática</v>
      </c>
      <c r="E207" s="297" t="str">
        <v>IINF</v>
      </c>
      <c r="F207" s="297" t="str">
        <v>IINF20241</v>
      </c>
      <c r="G207" s="297" t="str">
        <v>I162S2C1J2V4</v>
      </c>
      <c r="H207" s="297" t="str">
        <v>I162S2C1J2V4</v>
      </c>
      <c r="I207" s="297" t="str">
        <v>B/C Documental anual</v>
      </c>
      <c r="J207" s="297" t="str">
        <v>Código destino igual a origen T1</v>
      </c>
      <c r="K207" s="297" t="str">
        <v>Mismo plan observado en contexto nativo 1 de año origen</v>
      </c>
      <c r="L207" s="297" t="str">
        <v>Sede/jornada del contexto coinciden con código origen</v>
      </c>
      <c r="M207" s="297" t="str">
        <v>Sí</v>
      </c>
      <c r="N207" s="306" t="n">
        <v>8</v>
      </c>
      <c r="O207" s="297" t="str">
        <v>Código anual atribuido; no acredita día del cambio ni aceptación SIES</v>
      </c>
    </row>
    <row r="208" ht="58" customHeight="1">
      <c r="A208" s="297" t="n">
        <v>2026</v>
      </c>
      <c r="B208" s="297" t="n">
        <v>2026</v>
      </c>
      <c r="C208" s="297" t="n">
        <v>3</v>
      </c>
      <c r="D208" s="297" t="str">
        <v>Ingeniería en Informática</v>
      </c>
      <c r="E208" s="297" t="str">
        <v>IINF</v>
      </c>
      <c r="F208" s="297" t="str">
        <v>IINF20241</v>
      </c>
      <c r="G208" s="297" t="str">
        <v>I162S2C1J4V2</v>
      </c>
      <c r="H208" s="310" t="str">
        <v>I162S2C1J1V2</v>
      </c>
      <c r="I208" s="310" t="str">
        <v>D Interno aprobado</v>
      </c>
      <c r="J208" s="310" t="str">
        <v>Destino distinto en jornada</v>
      </c>
      <c r="K208" s="297" t="str">
        <v>Mismo plan observado en contexto nativo 1 de año origen</v>
      </c>
      <c r="L208" s="297" t="str">
        <v>Contexto observado difiere en jornada</v>
      </c>
      <c r="M208" s="297" t="str">
        <v>Sí</v>
      </c>
      <c r="N208" s="306" t="n">
        <v>1</v>
      </c>
      <c r="O208" s="297" t="str">
        <v>Atribución documental al período pendiente</v>
      </c>
    </row>
    <row r="209" ht="58" customHeight="1">
      <c r="A209" s="297" t="n">
        <v>2026</v>
      </c>
      <c r="B209" s="297" t="n">
        <v>2026</v>
      </c>
      <c r="C209" s="297" t="n">
        <v>3</v>
      </c>
      <c r="D209" s="297" t="str">
        <v>Ingeniería en Informática</v>
      </c>
      <c r="E209" s="297" t="str">
        <v>IINF</v>
      </c>
      <c r="F209" s="297" t="str">
        <v>IINF20241</v>
      </c>
      <c r="G209" s="297" t="str">
        <v>I162S2C1J4V2</v>
      </c>
      <c r="H209" s="297" t="str">
        <v>I162S2C1J4V2</v>
      </c>
      <c r="I209" s="297" t="str">
        <v>B/C Documental anual</v>
      </c>
      <c r="J209" s="297" t="str">
        <v>Código destino igual a origen T1</v>
      </c>
      <c r="K209" s="297" t="str">
        <v>Mismo plan observado en contexto nativo 1 de año origen</v>
      </c>
      <c r="L209" s="297" t="str">
        <v>Sede/jornada del contexto coinciden con código origen</v>
      </c>
      <c r="M209" s="297" t="str">
        <v>Sí</v>
      </c>
      <c r="N209" s="306" t="n">
        <v>56</v>
      </c>
      <c r="O209" s="297" t="str">
        <v>Código anual atribuido; no acredita día del cambio ni aceptación SIES</v>
      </c>
    </row>
    <row r="210" ht="58" customHeight="1">
      <c r="A210" s="297" t="n">
        <v>2026</v>
      </c>
      <c r="B210" s="297" t="n">
        <v>2026</v>
      </c>
      <c r="C210" s="297" t="n">
        <v>3</v>
      </c>
      <c r="D210" s="297" t="str">
        <v>Ingeniería en Logística</v>
      </c>
      <c r="E210" s="297" t="str">
        <v>ILOG</v>
      </c>
      <c r="F210" s="297" t="str">
        <v>ILOG20241</v>
      </c>
      <c r="G210" s="297" t="str">
        <v>I162S2C77J2V1</v>
      </c>
      <c r="H210" s="305" t="str">
        <v>Pendiente</v>
      </c>
      <c r="I210" s="305" t="str">
        <v>E Pendiente</v>
      </c>
      <c r="J210" s="305" t="str">
        <v>Misma carrera/sede; jornada candidata distinta del origen</v>
      </c>
      <c r="K210" s="297" t="str">
        <v>Mismo plan observado en contexto nativo 1 de año origen</v>
      </c>
      <c r="L210" s="297" t="str">
        <v>Contexto observado difiere en jornada</v>
      </c>
      <c r="M210" s="297" t="str">
        <v>No</v>
      </c>
      <c r="N210" s="306" t="n">
        <v>1</v>
      </c>
      <c r="O210" s="297" t="str">
        <v>Versión/atribución pendiente; no adjudicar por totales</v>
      </c>
    </row>
    <row r="211" ht="58" customHeight="1">
      <c r="A211" s="297" t="n">
        <v>2026</v>
      </c>
      <c r="B211" s="297" t="n">
        <v>2026</v>
      </c>
      <c r="C211" s="297" t="n">
        <v>3</v>
      </c>
      <c r="D211" s="297" t="str">
        <v>Ingeniería en Logística</v>
      </c>
      <c r="E211" s="297" t="str">
        <v>ILOG</v>
      </c>
      <c r="F211" s="297" t="str">
        <v>ILOG20241</v>
      </c>
      <c r="G211" s="297" t="str">
        <v>I162S2C77J4V1</v>
      </c>
      <c r="H211" s="297" t="str">
        <v>I162S2C77J4V1</v>
      </c>
      <c r="I211" s="297" t="str">
        <v>B/C Documental anual</v>
      </c>
      <c r="J211" s="297" t="str">
        <v>Código destino igual a origen T1</v>
      </c>
      <c r="K211" s="297" t="str">
        <v>Mismo plan observado en contexto nativo 1 de año origen</v>
      </c>
      <c r="L211" s="297" t="str">
        <v>Sede/jornada del contexto coinciden con código origen</v>
      </c>
      <c r="M211" s="297" t="str">
        <v>No</v>
      </c>
      <c r="N211" s="306" t="n">
        <v>24</v>
      </c>
      <c r="O211" s="297" t="str">
        <v>Código anual atribuido; no acredita día del cambio ni aceptación SIES</v>
      </c>
    </row>
    <row r="212" ht="58" customHeight="1">
      <c r="A212" s="297" t="n">
        <v>2026</v>
      </c>
      <c r="B212" s="297" t="n">
        <v>2026</v>
      </c>
      <c r="C212" s="297" t="n">
        <v>3</v>
      </c>
      <c r="D212" s="297" t="str">
        <v>Ingeniería en Marketing Digital</v>
      </c>
      <c r="E212" s="297" t="str">
        <v>IINF</v>
      </c>
      <c r="F212" s="297" t="str">
        <v>IINF20241</v>
      </c>
      <c r="G212" s="297" t="str">
        <v>I162S2C112J4V1</v>
      </c>
      <c r="H212" s="305" t="str">
        <v>Pendiente</v>
      </c>
      <c r="I212" s="305" t="str">
        <v>E Pendiente</v>
      </c>
      <c r="J212" s="305" t="str">
        <v>Candidatos en otra carrera/sede/institución; vínculo con origen pendiente</v>
      </c>
      <c r="K212" s="297" t="str">
        <v>Sin contexto nativo 1 del mismo CODCLI en año origen</v>
      </c>
      <c r="L212" s="297" t="str">
        <v>Sede/jornada del contexto coinciden con código origen</v>
      </c>
      <c r="M212" s="297" t="str">
        <v>No</v>
      </c>
      <c r="N212" s="306" t="n">
        <v>1</v>
      </c>
      <c r="O212" s="297" t="str">
        <v>Versión/atribución pendiente; no adjudicar por totales</v>
      </c>
    </row>
    <row r="213" ht="58" customHeight="1">
      <c r="A213" s="297" t="n">
        <v>2026</v>
      </c>
      <c r="B213" s="297" t="n">
        <v>2026</v>
      </c>
      <c r="C213" s="297" t="n">
        <v>3</v>
      </c>
      <c r="D213" s="297" t="str">
        <v>Ingeniería en Marketing Digital</v>
      </c>
      <c r="E213" s="297" t="str">
        <v>IMDI</v>
      </c>
      <c r="F213" s="297" t="str">
        <v>IMDI20261</v>
      </c>
      <c r="G213" s="297" t="str">
        <v>I162S2C112J4V1</v>
      </c>
      <c r="H213" s="297" t="str">
        <v>I162S2C112J4V1</v>
      </c>
      <c r="I213" s="297" t="str">
        <v>B/C Documental anual</v>
      </c>
      <c r="J213" s="297" t="str">
        <v>Código destino igual a origen T1</v>
      </c>
      <c r="K213" s="297" t="str">
        <v>Mismo plan observado en contexto nativo 1 de año origen</v>
      </c>
      <c r="L213" s="297" t="str">
        <v>Sede/jornada del contexto coinciden con código origen</v>
      </c>
      <c r="M213" s="297" t="str">
        <v>No</v>
      </c>
      <c r="N213" s="306" t="n">
        <v>34</v>
      </c>
      <c r="O213" s="297" t="str">
        <v>Código anual atribuido; no acredita día del cambio ni aceptación SIES</v>
      </c>
    </row>
    <row r="214" ht="58" customHeight="1">
      <c r="A214" s="297" t="n">
        <v>2026</v>
      </c>
      <c r="B214" s="297" t="n">
        <v>2026</v>
      </c>
      <c r="C214" s="297" t="n">
        <v>3</v>
      </c>
      <c r="D214" s="297" t="str">
        <v>Ingeniería en Marketing Digital</v>
      </c>
      <c r="E214" s="297" t="str">
        <v>IMDI</v>
      </c>
      <c r="F214" s="297" t="str">
        <v>IMDI20261</v>
      </c>
      <c r="G214" s="297" t="str">
        <v>I162S2C112J4V1</v>
      </c>
      <c r="H214" s="297" t="str">
        <v>I162S2C112J4V1</v>
      </c>
      <c r="I214" s="297" t="str">
        <v>B/C Documental anual</v>
      </c>
      <c r="J214" s="297" t="str">
        <v>Código destino igual a origen T1</v>
      </c>
      <c r="K214" s="297" t="str">
        <v>Sin contexto nativo 1 del mismo CODCLI en año origen</v>
      </c>
      <c r="L214" s="297" t="str">
        <v>Sede/jornada del contexto coinciden con código origen</v>
      </c>
      <c r="M214" s="297" t="str">
        <v>No</v>
      </c>
      <c r="N214" s="306" t="n">
        <v>1</v>
      </c>
      <c r="O214" s="297" t="str">
        <v>Código anual atribuido; no acredita día del cambio ni aceptación SIES</v>
      </c>
    </row>
    <row r="215" ht="58" customHeight="1">
      <c r="A215" s="297" t="n">
        <v>2026</v>
      </c>
      <c r="B215" s="297" t="n">
        <v>2026</v>
      </c>
      <c r="C215" s="297" t="n">
        <v>3</v>
      </c>
      <c r="D215" s="297" t="str">
        <v>Ingeniería en Prevención de Riesgos</v>
      </c>
      <c r="E215" s="297" t="str">
        <v>IPRE</v>
      </c>
      <c r="F215" s="297" t="str">
        <v>IPRE20261</v>
      </c>
      <c r="G215" s="297" t="str">
        <v>I162S2C124J4V1</v>
      </c>
      <c r="H215" s="297" t="str">
        <v>I162S2C124J4V1</v>
      </c>
      <c r="I215" s="297" t="str">
        <v>B/C Documental anual</v>
      </c>
      <c r="J215" s="297" t="str">
        <v>Código destino igual a origen T1</v>
      </c>
      <c r="K215" s="297" t="str">
        <v>Mismo plan observado en contexto nativo 1 de año origen</v>
      </c>
      <c r="L215" s="297" t="str">
        <v>Sede/jornada del contexto coinciden con código origen</v>
      </c>
      <c r="M215" s="297" t="str">
        <v>No</v>
      </c>
      <c r="N215" s="306" t="n">
        <v>15</v>
      </c>
      <c r="O215" s="297" t="str">
        <v>Código anual atribuido; no acredita día del cambio ni aceptación SIES</v>
      </c>
    </row>
    <row r="216" ht="58" customHeight="1">
      <c r="A216" s="297" t="n">
        <v>2026</v>
      </c>
      <c r="B216" s="297" t="n">
        <v>2026</v>
      </c>
      <c r="C216" s="297" t="n">
        <v>3</v>
      </c>
      <c r="D216" s="297" t="str">
        <v>Ingeniería en Recursos Humanos</v>
      </c>
      <c r="E216" s="297" t="str">
        <v>IRHU</v>
      </c>
      <c r="F216" s="297" t="str">
        <v>IRHU20261</v>
      </c>
      <c r="G216" s="297" t="str">
        <v>I162S2C113J4V1</v>
      </c>
      <c r="H216" s="297" t="str">
        <v>I162S2C113J4V1</v>
      </c>
      <c r="I216" s="297" t="str">
        <v>B/C Documental anual</v>
      </c>
      <c r="J216" s="297" t="str">
        <v>Código destino igual a origen T1</v>
      </c>
      <c r="K216" s="297" t="str">
        <v>Mismo plan observado en contexto nativo 1 de año origen</v>
      </c>
      <c r="L216" s="297" t="str">
        <v>Sede/jornada del contexto coinciden con código origen</v>
      </c>
      <c r="M216" s="297" t="str">
        <v>No</v>
      </c>
      <c r="N216" s="306" t="n">
        <v>12</v>
      </c>
      <c r="O216" s="297" t="str">
        <v>Código anual atribuido; no acredita día del cambio ni aceptación SIES</v>
      </c>
    </row>
    <row r="217" ht="58" customHeight="1">
      <c r="A217" s="297" t="n">
        <v>2026</v>
      </c>
      <c r="B217" s="297" t="n">
        <v>2026</v>
      </c>
      <c r="C217" s="297" t="n">
        <v>3</v>
      </c>
      <c r="D217" s="297" t="str">
        <v>Ingeniería en Seguridad Privada</v>
      </c>
      <c r="E217" s="297" t="str">
        <v>ISEP</v>
      </c>
      <c r="F217" s="297" t="str">
        <v>ISEP20261</v>
      </c>
      <c r="G217" s="297" t="str">
        <v>I162S2C125J4V1</v>
      </c>
      <c r="H217" s="297" t="str">
        <v>I162S2C125J4V1</v>
      </c>
      <c r="I217" s="297" t="str">
        <v>B/C Documental anual</v>
      </c>
      <c r="J217" s="297" t="str">
        <v>Código destino igual a origen T1</v>
      </c>
      <c r="K217" s="297" t="str">
        <v>Mismo plan observado en contexto nativo 1 de año origen</v>
      </c>
      <c r="L217" s="297" t="str">
        <v>Sede/jornada del contexto coinciden con código origen</v>
      </c>
      <c r="M217" s="297" t="str">
        <v>No</v>
      </c>
      <c r="N217" s="306" t="n">
        <v>6</v>
      </c>
      <c r="O217" s="297" t="str">
        <v>Código anual atribuido; no acredita día del cambio ni aceptación SIES</v>
      </c>
    </row>
    <row r="218" ht="58" customHeight="1">
      <c r="A218" s="297" t="n">
        <v>2026</v>
      </c>
      <c r="B218" s="297" t="n">
        <v>2026</v>
      </c>
      <c r="C218" s="297" t="n">
        <v>3</v>
      </c>
      <c r="D218" s="297" t="str">
        <v>Naturopatía</v>
      </c>
      <c r="E218" s="297" t="str">
        <v>NATP</v>
      </c>
      <c r="F218" s="297" t="str">
        <v>NATP20251</v>
      </c>
      <c r="G218" s="297" t="str">
        <v>I162S2C90J2V2</v>
      </c>
      <c r="H218" s="297" t="str">
        <v>I162S2C90J2V2</v>
      </c>
      <c r="I218" s="297" t="str">
        <v>B/C Documental anual</v>
      </c>
      <c r="J218" s="297" t="str">
        <v>Código destino igual a origen T1</v>
      </c>
      <c r="K218" s="297" t="str">
        <v>Mismo plan observado en contexto nativo 1 de año origen</v>
      </c>
      <c r="L218" s="297" t="str">
        <v>Sede/jornada del contexto coinciden con código origen</v>
      </c>
      <c r="M218" s="297" t="str">
        <v>No</v>
      </c>
      <c r="N218" s="306" t="n">
        <v>15</v>
      </c>
      <c r="O218" s="297" t="str">
        <v>Código anual atribuido; no acredita día del cambio ni aceptación SIES</v>
      </c>
    </row>
    <row r="219" ht="58" customHeight="1">
      <c r="A219" s="297" t="n">
        <v>2026</v>
      </c>
      <c r="B219" s="297" t="n">
        <v>2026</v>
      </c>
      <c r="C219" s="297" t="n">
        <v>3</v>
      </c>
      <c r="D219" s="297" t="str">
        <v>Técnico en Administración de Empresas</v>
      </c>
      <c r="E219" s="297" t="str">
        <v>TAMD</v>
      </c>
      <c r="F219" s="297" t="str">
        <v>TAMD20241</v>
      </c>
      <c r="G219" s="297" t="str">
        <v>I162S2C78J2V1</v>
      </c>
      <c r="H219" s="297" t="str">
        <v>I162S2C78J2V1</v>
      </c>
      <c r="I219" s="297" t="str">
        <v>B/C Documental anual</v>
      </c>
      <c r="J219" s="297" t="str">
        <v>Código destino igual a origen T1</v>
      </c>
      <c r="K219" s="297" t="str">
        <v>Mismo plan observado en contexto nativo 1 de año origen</v>
      </c>
      <c r="L219" s="297" t="str">
        <v>Sede/jornada del contexto coinciden con código origen</v>
      </c>
      <c r="M219" s="297" t="str">
        <v>No</v>
      </c>
      <c r="N219" s="306" t="n">
        <v>18</v>
      </c>
      <c r="O219" s="297" t="str">
        <v>Código anual atribuido; no acredita día del cambio ni aceptación SIES</v>
      </c>
    </row>
    <row r="220" ht="58" customHeight="1">
      <c r="A220" s="297" t="n">
        <v>2026</v>
      </c>
      <c r="B220" s="297" t="n">
        <v>2026</v>
      </c>
      <c r="C220" s="297" t="n">
        <v>3</v>
      </c>
      <c r="D220" s="297" t="str">
        <v>Técnico en Administración de Empresas</v>
      </c>
      <c r="E220" s="297" t="str">
        <v>TAMD</v>
      </c>
      <c r="F220" s="297" t="str">
        <v>TAMD20241</v>
      </c>
      <c r="G220" s="297" t="str">
        <v>I162S2C78J2V1</v>
      </c>
      <c r="H220" s="305" t="str">
        <v>Pendiente</v>
      </c>
      <c r="I220" s="305" t="str">
        <v>E Pendiente</v>
      </c>
      <c r="J220" s="305" t="str">
        <v>Misma carrera/sede; jornada candidata distinta del origen</v>
      </c>
      <c r="K220" s="297" t="str">
        <v>Mismo plan observado en contexto nativo 1 de año origen</v>
      </c>
      <c r="L220" s="297" t="str">
        <v>Contexto observado difiere en jornada</v>
      </c>
      <c r="M220" s="297" t="str">
        <v>No</v>
      </c>
      <c r="N220" s="306" t="n">
        <v>2</v>
      </c>
      <c r="O220" s="297" t="str">
        <v>Versión/atribución pendiente; no adjudicar por totales</v>
      </c>
    </row>
    <row r="221" ht="58" customHeight="1">
      <c r="A221" s="297" t="n">
        <v>2026</v>
      </c>
      <c r="B221" s="297" t="n">
        <v>2026</v>
      </c>
      <c r="C221" s="297" t="n">
        <v>3</v>
      </c>
      <c r="D221" s="297" t="str">
        <v>Técnico en Administración de Empresas</v>
      </c>
      <c r="E221" s="297" t="str">
        <v>TAMD</v>
      </c>
      <c r="F221" s="297" t="str">
        <v>TAMD20241</v>
      </c>
      <c r="G221" s="297" t="str">
        <v>I162S2C78J4V1</v>
      </c>
      <c r="H221" s="297" t="str">
        <v>I162S2C78J4V1</v>
      </c>
      <c r="I221" s="297" t="str">
        <v>B/C Documental anual</v>
      </c>
      <c r="J221" s="297" t="str">
        <v>Código destino igual a origen T1</v>
      </c>
      <c r="K221" s="297" t="str">
        <v>Mismo plan observado en contexto nativo 1 de año origen</v>
      </c>
      <c r="L221" s="297" t="str">
        <v>Sede/jornada del contexto coinciden con código origen</v>
      </c>
      <c r="M221" s="297" t="str">
        <v>No</v>
      </c>
      <c r="N221" s="306" t="n">
        <v>29</v>
      </c>
      <c r="O221" s="297" t="str">
        <v>Código anual atribuido; no acredita día del cambio ni aceptación SIES</v>
      </c>
    </row>
    <row r="222" ht="58" customHeight="1">
      <c r="A222" s="297" t="n">
        <v>2026</v>
      </c>
      <c r="B222" s="297" t="n">
        <v>2026</v>
      </c>
      <c r="C222" s="297" t="n">
        <v>3</v>
      </c>
      <c r="D222" s="297" t="str">
        <v>Técnico en Ciberseguridad</v>
      </c>
      <c r="E222" s="297" t="str">
        <v>TCIB</v>
      </c>
      <c r="F222" s="297" t="str">
        <v>TCIB20241</v>
      </c>
      <c r="G222" s="297" t="str">
        <v>I162S2C47J4V1</v>
      </c>
      <c r="H222" s="297" t="str">
        <v>I162S2C47J4V1</v>
      </c>
      <c r="I222" s="297" t="str">
        <v>B/C Documental anual</v>
      </c>
      <c r="J222" s="297" t="str">
        <v>Código destino igual a origen T1</v>
      </c>
      <c r="K222" s="297" t="str">
        <v>Mismo plan observado en contexto nativo 1 de año origen</v>
      </c>
      <c r="L222" s="297" t="str">
        <v>Sede/jornada del contexto coinciden con código origen</v>
      </c>
      <c r="M222" s="297" t="str">
        <v>No</v>
      </c>
      <c r="N222" s="306" t="n">
        <v>35</v>
      </c>
      <c r="O222" s="297" t="str">
        <v>Código anual atribuido; no acredita día del cambio ni aceptación SIES</v>
      </c>
    </row>
    <row r="223" ht="58" customHeight="1">
      <c r="A223" s="297" t="n">
        <v>2026</v>
      </c>
      <c r="B223" s="297" t="n">
        <v>2026</v>
      </c>
      <c r="C223" s="297" t="n">
        <v>3</v>
      </c>
      <c r="D223" s="297" t="str">
        <v>Técnico en Conectividad y Redes</v>
      </c>
      <c r="E223" s="297" t="str">
        <v>TCRE</v>
      </c>
      <c r="F223" s="297" t="str">
        <v>TCRE20241</v>
      </c>
      <c r="G223" s="297" t="str">
        <v>I162S2C6J4V2</v>
      </c>
      <c r="H223" s="297" t="str">
        <v>I162S2C6J4V2</v>
      </c>
      <c r="I223" s="297" t="str">
        <v>B/C Documental anual</v>
      </c>
      <c r="J223" s="297" t="str">
        <v>Código destino igual a origen T1</v>
      </c>
      <c r="K223" s="297" t="str">
        <v>Mismo plan observado en contexto nativo 1 de año origen</v>
      </c>
      <c r="L223" s="297" t="str">
        <v>Sede/jornada del contexto coinciden con código origen</v>
      </c>
      <c r="M223" s="297" t="str">
        <v>Sí</v>
      </c>
      <c r="N223" s="306" t="n">
        <v>5</v>
      </c>
      <c r="O223" s="297" t="str">
        <v>Código anual atribuido; no acredita día del cambio ni aceptación SIES</v>
      </c>
    </row>
    <row r="224" ht="58" customHeight="1">
      <c r="A224" s="297" t="n">
        <v>2026</v>
      </c>
      <c r="B224" s="297" t="n">
        <v>2026</v>
      </c>
      <c r="C224" s="297" t="n">
        <v>3</v>
      </c>
      <c r="D224" s="297" t="str">
        <v>Técnico en Logística</v>
      </c>
      <c r="E224" s="297" t="str">
        <v>TLOG</v>
      </c>
      <c r="F224" s="297" t="str">
        <v>TLOG20241</v>
      </c>
      <c r="G224" s="297" t="str">
        <v>I162S2C79J4V1</v>
      </c>
      <c r="H224" s="297" t="str">
        <v>I162S2C79J4V1</v>
      </c>
      <c r="I224" s="297" t="str">
        <v>B/C Documental anual</v>
      </c>
      <c r="J224" s="297" t="str">
        <v>Código destino igual a origen T1</v>
      </c>
      <c r="K224" s="297" t="str">
        <v>Mismo plan observado en contexto nativo 1 de año origen</v>
      </c>
      <c r="L224" s="297" t="str">
        <v>Sede/jornada del contexto coinciden con código origen</v>
      </c>
      <c r="M224" s="297" t="str">
        <v>No</v>
      </c>
      <c r="N224" s="306" t="n">
        <v>32</v>
      </c>
      <c r="O224" s="297" t="str">
        <v>Código anual atribuido; no acredita día del cambio ni aceptación SIES</v>
      </c>
    </row>
    <row r="225" ht="58" customHeight="1">
      <c r="A225" s="297" t="n">
        <v>2026</v>
      </c>
      <c r="B225" s="297" t="n">
        <v>2026</v>
      </c>
      <c r="C225" s="297" t="n">
        <v>3</v>
      </c>
      <c r="D225" s="297" t="str">
        <v>Técnico en Marketing Digital</v>
      </c>
      <c r="E225" s="297" t="str">
        <v>TLOG</v>
      </c>
      <c r="F225" s="297" t="str">
        <v>TLOG20241</v>
      </c>
      <c r="G225" s="297" t="str">
        <v>I162S2C118J4V1</v>
      </c>
      <c r="H225" s="305" t="str">
        <v>Pendiente</v>
      </c>
      <c r="I225" s="305" t="str">
        <v>E Pendiente</v>
      </c>
      <c r="J225" s="305" t="str">
        <v>Candidatos en otra carrera/sede/institución; vínculo con origen pendiente</v>
      </c>
      <c r="K225" s="297" t="str">
        <v>Sin contexto nativo 1 del mismo CODCLI en año origen</v>
      </c>
      <c r="L225" s="297" t="str">
        <v>Sede/jornada del contexto coinciden con código origen</v>
      </c>
      <c r="M225" s="297" t="str">
        <v>No</v>
      </c>
      <c r="N225" s="306" t="n">
        <v>1</v>
      </c>
      <c r="O225" s="297" t="str">
        <v>Versión/atribución pendiente; no adjudicar por totales</v>
      </c>
    </row>
    <row r="226" ht="58" customHeight="1">
      <c r="A226" s="297" t="n">
        <v>2026</v>
      </c>
      <c r="B226" s="297" t="n">
        <v>2026</v>
      </c>
      <c r="C226" s="297" t="n">
        <v>3</v>
      </c>
      <c r="D226" s="297" t="str">
        <v>Técnico en Programación y Análisis de Sistemas</v>
      </c>
      <c r="E226" s="297" t="str">
        <v>TAMD</v>
      </c>
      <c r="F226" s="297" t="str">
        <v>TAMD20241</v>
      </c>
      <c r="G226" s="297" t="str">
        <v>I162S2C57J4V1</v>
      </c>
      <c r="H226" s="305" t="str">
        <v>Pendiente</v>
      </c>
      <c r="I226" s="305" t="str">
        <v>E Pendiente</v>
      </c>
      <c r="J226" s="305" t="str">
        <v>Candidatos en otra carrera/sede/institución; vínculo con origen pendiente</v>
      </c>
      <c r="K226" s="297" t="str">
        <v>Sin contexto nativo 1 del mismo CODCLI en año origen</v>
      </c>
      <c r="L226" s="297" t="str">
        <v>Sede/jornada del contexto coinciden con código origen</v>
      </c>
      <c r="M226" s="297" t="str">
        <v>No</v>
      </c>
      <c r="N226" s="306" t="n">
        <v>1</v>
      </c>
      <c r="O226" s="297" t="str">
        <v>Versión/atribución pendiente; no adjudicar por totales</v>
      </c>
    </row>
    <row r="227" ht="58" customHeight="1">
      <c r="A227" s="297" t="n">
        <v>2026</v>
      </c>
      <c r="B227" s="297" t="n">
        <v>2026</v>
      </c>
      <c r="C227" s="297" t="n">
        <v>3</v>
      </c>
      <c r="D227" s="297" t="str">
        <v>Técnico en Programación y Análisis de Sistemas</v>
      </c>
      <c r="E227" s="297" t="str">
        <v>TPAS</v>
      </c>
      <c r="F227" s="297" t="str">
        <v>TPAS20241</v>
      </c>
      <c r="G227" s="297" t="str">
        <v>I162S2C57J4V1</v>
      </c>
      <c r="H227" s="297" t="str">
        <v>I162S2C57J4V1</v>
      </c>
      <c r="I227" s="297" t="str">
        <v>B/C Documental anual</v>
      </c>
      <c r="J227" s="297" t="str">
        <v>Código destino igual a origen T1</v>
      </c>
      <c r="K227" s="297" t="str">
        <v>Mismo plan observado en contexto nativo 1 de año origen</v>
      </c>
      <c r="L227" s="297" t="str">
        <v>Sede/jornada del contexto coinciden con código origen</v>
      </c>
      <c r="M227" s="297" t="str">
        <v>No</v>
      </c>
      <c r="N227" s="306" t="n">
        <v>60</v>
      </c>
      <c r="O227" s="297" t="str">
        <v>Código anual atribuido; no acredita día del cambio ni aceptación SIES</v>
      </c>
    </row>
    <row r="228" ht="58" customHeight="1">
      <c r="A228" s="297" t="n">
        <v>2026</v>
      </c>
      <c r="B228" s="297" t="n">
        <v>2026</v>
      </c>
      <c r="C228" s="297" t="n">
        <v>3</v>
      </c>
      <c r="D228" s="297" t="str">
        <v>Técnico en Programación y Análisis de Sistemas</v>
      </c>
      <c r="E228" s="297" t="str">
        <v>TPAS</v>
      </c>
      <c r="F228" s="297" t="str">
        <v>TPAS20241</v>
      </c>
      <c r="G228" s="297" t="str">
        <v>I162S2C57J4V1</v>
      </c>
      <c r="H228" s="297" t="str">
        <v>I162S2C57J4V1</v>
      </c>
      <c r="I228" s="297" t="str">
        <v>B/C Documental anual</v>
      </c>
      <c r="J228" s="297" t="str">
        <v>Código destino igual a origen T1</v>
      </c>
      <c r="K228" s="297" t="str">
        <v>Sin contexto nativo 1 del mismo CODCLI en año origen</v>
      </c>
      <c r="L228" s="297" t="str">
        <v>Sede/jornada del contexto coinciden con código origen</v>
      </c>
      <c r="M228" s="297" t="str">
        <v>No</v>
      </c>
      <c r="N228" s="306" t="n">
        <v>1</v>
      </c>
      <c r="O228" s="297" t="str">
        <v>Código anual atribuido; no acredita día del cambio ni aceptación SIES</v>
      </c>
    </row>
  </sheetData>
  <mergeCells>
    <mergeCell ref="A1:O3"/>
  </mergeCells>
  <pageMargins left="0.7" right="0.7" top="0.75" bottom="0.75" header="0.3" footer="0.3"/>
  <tableParts count="1">
    <tablePart xmlns:r="http://schemas.openxmlformats.org/officeDocument/2006/relationships" r:id="R7f85fd5d654a4c97"/>
  </tableParts>
</worksheet>
</file>

<file path=xl/worksheets/sheet55.xml><?xml version="1.0" encoding="utf-8"?>
<x:worksheet xmlns:x="http://schemas.openxmlformats.org/spreadsheetml/2006/main">
  <x:sheetPr>
    <x:tabColor rgb="FF123047"/>
  </x:sheetPr>
  <x:sheetViews>
    <x:sheetView showGridLines="0" workbookViewId="0"/>
  </x:sheetViews>
  <x:sheetFormatPr defaultRowHeight="15"/>
  <x:cols>
    <x:col min="1" max="1" width="25" hidden="0" customWidth="1"/>
    <x:col min="2" max="2" width="49" hidden="0" customWidth="1"/>
    <x:col min="3" max="3" width="54" hidden="0" customWidth="1"/>
    <x:col min="4" max="4" width="25" hidden="0" customWidth="1"/>
  </x:cols>
  <x:sheetData>
    <x:row r="1" ht="34" customHeight="1">
      <x:c r="A1" s="321" t="str">
        <x:v>Retención intertrimestral · aclaraciones para la entrega</x:v>
      </x:c>
      <x:c r="B1" s="321"/>
      <x:c r="C1" s="321"/>
      <x:c r="D1" s="321"/>
    </x:row>
    <x:row r="2" ht="36" customHeight="1">
      <x:c r="A2" s="318" t="str">
        <x:v>Versión 17 · 24 de octubre de 2026. Análisis interno con pendientes explícitos. Las bases, fórmulas y denominadores anteriores se conservan.</x:v>
      </x:c>
      <x:c r="B2" s="318"/>
      <x:c r="C2" s="318"/>
      <x:c r="D2" s="318"/>
    </x:row>
    <x:row r="3">
      <x:c r="A3" s="318"/>
      <x:c r="B3" s="318"/>
      <x:c r="C3" s="318"/>
      <x:c r="D3" s="318"/>
    </x:row>
    <x:row r="4" ht="28" customHeight="1">
      <x:c r="A4" s="324" t="str">
        <x:v>Tema / respaldo</x:v>
      </x:c>
      <x:c r="B4" s="324" t="str">
        <x:v>Qué sabemos</x:v>
      </x:c>
      <x:c r="C4" s="324" t="str">
        <x:v>Qué falta o cómo leerlo</x:v>
      </x:c>
      <x:c r="D4" s="324" t="str">
        <x:v>Dónde revisar</x:v>
      </x:c>
    </x:row>
    <x:row r="5" ht="78" customHeight="1">
      <x:c r="A5" s="325" t="str">
        <x:v>66 renuncias T2-2026
B / C / E</x:v>
      </x:c>
      <x:c r="B5" s="325" t="str">
        <x:v>El resumen recibido resta 66 a 528 matrículas: 462/528 = 87,50 %. Hay 527 personas.</x:v>
      </x:c>
      <x:c r="C5" s="325" t="str">
        <x:v>Pendiente: nómina o consulta con CODCLI, criterio y fecha que originó las 66. El 87,50 % mide matrículas; no es una tasa de personas validada.</x:v>
      </x:c>
      <x:c r="D5" s="325" t="str">
        <x:v>Hojas 18 y 23
18!B97</x:v>
      </x:c>
    </x:row>
    <x:row r="6" ht="78" customHeight="1">
      <x:c r="A6" s="318" t="str">
        <x:v>Correo de origen
B / E</x:v>
      </x:c>
      <x:c r="B6" s="318" t="str">
        <x:v>María Paz Sandoval, 20-oct-2026, 20:18. Asunto: Análisis para Comité de Rectoría / JD. Incluye los cuatro archivos T2/T3.</x:v>
      </x:c>
      <x:c r="C6" s="318" t="str">
        <x:v>El correo describe bases vigentes al cierre, pero no explica las 66 renuncias ni adjunta una nómina adicional específica.</x:v>
      </x:c>
      <x:c r="D6" s="318" t="str">
        <x:v>Outlook
Correo del 20-oct-2026</x:v>
      </x:c>
    </x:row>
    <x:row r="7" ht="78" customHeight="1">
      <x:c r="A7" s="325" t="str">
        <x:v>Contraste por CODCLI
B / C / E</x:v>
      </x:c>
      <x:c r="B7" s="325" t="str">
        <x:v>En el respaldo 12159: 462 VIGENTE, 63 ELIMINADO, 1 SUSPENDIDO y 2 CODCLI no localizados.</x:v>
      </x:c>
      <x:c r="C7" s="325" t="str">
        <x:v>63 + 1 + 2 = 66 no demuestra que sean las mismas renuncias. Difieren 14 carreras. No clasificar ausentes o suspendidos como renuncias.</x:v>
      </x:c>
      <x:c r="D7" s="325" t="str">
        <x:v>Conciliación de las 14 carreras
24-oct-2026</x:v>
      </x:c>
    </x:row>
    <x:row r="8" ht="78" customHeight="1">
      <x:c r="A8" s="318" t="str">
        <x:v>Actividad y matrícula
C / D</x:v>
      </x:c>
      <x:c r="B8" s="318" t="str">
        <x:v>PROMEDIOS sigue actividad del período y estado VIGENTE. La foto de matrícula mide otra evidencia.</x:v>
      </x:c>
      <x:c r="C8" s="318" t="str">
        <x:v>No comparar ambas tasas como si fueran el mismo indicador. Para el auxiliar interno aprobado no se exige acreditar la fecha exacta histórica del estado.</x:v>
      </x:c>
      <x:c r="D8" s="318" t="str">
        <x:v>Hojas 18 y 26</x:v>
      </x:c>
    </x:row>
    <x:row r="9" ht="78" customHeight="1">
      <x:c r="A9" s="325" t="str">
        <x:v>Fotografías faltantes
E</x:v>
      </x:c>
      <x:c r="B9" s="325" t="str">
        <x:v>Se conservan las celdas «Sin foto completa» y «Sin foto».</x:v>
      </x:c>
      <x:c r="C9" s="325" t="str">
        <x:v>Falta la evidencia de matrícula del grupo y cierre indicado. La actividad académica no convierte esas celdas en una foto de matrícula.</x:v>
      </x:c>
      <x:c r="D9" s="325" t="str">
        <x:v>Hoja 18</x:v>
      </x:c>
    </x:row>
    <x:row r="10" ht="78" customHeight="1">
      <x:c r="A10" s="318" t="str">
        <x:v>Tasa anual de tres períodos
E</x:v>
      </x:c>
      <x:c r="B10" s="318" t="str">
        <x:v>El libro mantiene pendiente el seguimiento anual comparable de T1, T2 y T3.</x:v>
      </x:c>
      <x:c r="C10" s="318" t="str">
        <x:v>Se requiere la misma medida un año después para cada grupo. No completar con el promedio simple de porcentajes.</x:v>
      </x:c>
      <x:c r="D10" s="318" t="str">
        <x:v>18!B84</x:v>
      </x:c>
    </x:row>
    <x:row r="11" ht="78" customHeight="1">
      <x:c r="A11" s="325" t="str">
        <x:v>Excepciones SIES
B / E</x:v>
      </x:c>
      <x:c r="B11" s="325" t="str">
        <x:v>El libro registra 104 contextos pendientes; 24 pertenecen al foco multiversión. Hay 13 correspondencias internas aprobadas.</x:v>
      </x:c>
      <x:c r="C11" s="325" t="str">
        <x:v>Falta resolver las excepciones y la atribución documental de esas correspondencias. No excluir estudiantes del seguimiento interno por código pendiente.</x:v>
      </x:c>
      <x:c r="D11" s="325" t="str">
        <x:v>Hojas 52 y 54</x:v>
      </x:c>
    </x:row>
    <x:row r="12" ht="78" customHeight="1">
      <x:c r="A12" s="318" t="str">
        <x:v>Titulados en tasas 2026
B / C / D</x:v>
      </x:c>
      <x:c r="B12" s="318" t="str">
        <x:v>Las tasas T3 conservan cuatro exclusiones internas documentadas: 1.360/1.467 y 2.290/2.519.</x:v>
      </x:c>
      <x:c r="C12" s="318" t="str">
        <x:v>Es una decisión interna conservada, no una regla oficial SIES nueva. No cambiar denominadores para comparar porcentajes.</x:v>
      </x:c>
      <x:c r="D12" s="318" t="str">
        <x:v>Hoja 21
18!B91:I97</x:v>
      </x:c>
    </x:row>
    <x:row r="13" ht="78" customHeight="1">
      <x:c r="A13" s="325" t="str">
        <x:v>Cómo comparar tasas
C</x:v>
      </x:c>
      <x:c r="B13" s="325" t="str">
        <x:v>La tasa conjunta es suma de retenidos dividida por suma de estudiantes de los grupos comparables.</x:v>
      </x:c>
      <x:c r="C13" s="325" t="str">
        <x:v>El promedio simple de tasas da el mismo peso a grupos de distinto tamaño. Compare población, período, unidad y fuente antes de comparar resultados.</x:v>
      </x:c>
      <x:c r="D13" s="325" t="str">
        <x:v>Hojas de análisis y resumen</x:v>
      </x:c>
    </x:row>
    <x:row r="14" ht="78" customHeight="1">
      <x:c r="A14" s="318" t="str">
        <x:v>Alcance del control
B / C / E</x:v>
      </x:c>
      <x:c r="B14" s="318" t="str">
        <x:v>El QA de V16 registró apertura sin reparación y comprobó las tres tasas 2026 revisadas.</x:v>
      </x:c>
      <x:c r="C14" s="318" t="str">
        <x:v>Esta entrega añade solo esta hoja. No convierte los pendientes en resueltos ni certifica nuevamente todos los cruces históricos.</x:v>
      </x:c>
      <x:c r="D14" s="318" t="str">
        <x:v>Registro de entrega V17</x:v>
      </x:c>
    </x:row>
    <x:row r="15">
      <x:c r="A15" s="318"/>
      <x:c r="B15" s="318"/>
      <x:c r="C15" s="318"/>
      <x:c r="D15" s="318"/>
    </x:row>
    <x:row r="16" ht="35" customHeight="1">
      <x:c r="A16" s="318" t="str">
        <x:v>Respaldo: A = regla oficial; B = dato observado; C = cálculo o implementación; D = decisión interna; E = pendiente. Los antecedentes del correo son B, no una regla oficial A.</x:v>
      </x:c>
      <x:c r="B16" s="318"/>
      <x:c r="C16" s="318"/>
      <x:c r="D16" s="318"/>
    </x:row>
    <x:row r="17">
      <x:c r="A17" s="318"/>
      <x:c r="B17" s="318"/>
      <x:c r="C17" s="318"/>
      <x:c r="D17" s="318"/>
    </x:row>
    <x:row r="18" ht="35" customHeight="1">
      <x:c r="A18" s="318" t="str">
        <x:v>Fuente del registro: CIERRE_REVISION_CORREO_RENUNCIAS_T2_20261024.md; conciliación de 14 carreras; documentación y QA de V15/V16. No se añadieron identificadores individuales a esta hoja.</x:v>
      </x:c>
      <x:c r="B18" s="318"/>
      <x:c r="C18" s="318"/>
      <x:c r="D18" s="318"/>
    </x:row>
  </x:sheetData>
  <x:mergeCells>
    <x:mergeCell ref="A1:D1"/>
    <x:mergeCell ref="A2:D2"/>
    <x:mergeCell ref="A16:D16"/>
    <x:mergeCell ref="A18:D18"/>
  </x:mergeCells>
  <x:pageMargins left="0.7" right="0.7" top="0.75" bottom="0.75" header="0.3" footer="0.3"/>
</x: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2026-09-30T12:39:38Z</dcterms:created>
  <dc:creator>Dirección de Análisis Institucional (DAI) - IPSS</dc:creator>
  <dc:description>Documento ejecutivo CON datos personales (hojas 9 y 11), uso restringido a gerencia. Fuente: RETENCION_PRIMER_ANIO_IPSS_162_DIAGNOSTICO_BRECHAS_20260930.xlsx (SHA-256 5f0f7c7f0f238556de374d287bf2931ccc8a93a5489f4c2f2b543befd38c77b3)</dc:description>
  <dc:language>en-US</dc:language>
  <cp:lastModifiedBy>Alexi Marcelo Burgos Flores</cp:lastModifiedBy>
  <dcterms:modified xsi:type="dcterms:W3CDTF">2026-10-22T15:04:02Z</dcterms:modified>
  <cp:revision>0</cp:revision>
  <dc:subject>Retención de 1er año, comparación interna vs SIES</dc:subject>
  <dc:title>Retención IPSS — Análisis 2022-2026</dc:title>
</cp:coreProperties>
</file>

<file path=docProps/custom.xml><?xml version="1.0" encoding="utf-8"?>
<Properties xmlns="http://schemas.openxmlformats.org/officeDocument/2006/custom-properties" xmlns:vt="http://schemas.openxmlformats.org/officeDocument/2006/docPropsVTypes"/>
</file>