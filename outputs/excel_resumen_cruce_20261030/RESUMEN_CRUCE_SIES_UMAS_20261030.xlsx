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4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5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6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worksheets/sheet7.xml" ContentType="application/vnd.openxmlformats-officedocument.spreadsheetml.worksheet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aa5a13a8e4e23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0_Resumen" sheetId="1" ns1:id="R2df02edf01f34e4b"/>
    <sheet name="1_Base_Completa" sheetId="2" ns1:id="R33abd9255c2f4f91"/>
    <sheet name="2_Programas_SIES" sheetId="3" ns1:id="R732b539bdcf94dd5"/>
    <sheet name="3_Versiones_SIES" sheetId="4" ns1:id="R823c87f04bc243e5"/>
    <sheet name="4_Codigos_UMAS" sheetId="5" ns1:id="Rc75ba1137a574b73"/>
    <sheet name="5_Cruce_SIES_UMAS" sheetId="6" ns1:id="R6c0df264077d4052"/>
    <sheet name="6_Carreras_Antiguas" sheetId="7" ns1:id="R6c731a4a47014fd1"/>
    <sheet name="7_Ofertadas_No_Abiertas" sheetId="8" ns1:id="Ra322e9e06e8549db"/>
    <sheet name="8_Tendencia_Matricula" sheetId="9" ns1:id="R3fa93473f11a4450"/>
  </sheets>
  <definedNames>
    <definedName name="_xlnm.Print_Area" localSheetId="0">'0_Resumen'!$A$1:$F$12</definedName>
    <definedName name="_xlnm.Print_Area" localSheetId="1">'1_Base_Completa'!$A$1:$H$18</definedName>
    <definedName name="_xlnm.Print_Area" localSheetId="2">'2_Programas_SIES'!$A$1:$I$12</definedName>
    <definedName name="_xlnm.Print_Area" localSheetId="3">'3_Versiones_SIES'!$A$1:$G$10</definedName>
    <definedName name="_xlnm.Print_Area" localSheetId="4">'4_Codigos_UMAS'!$A$1:$G$12</definedName>
    <definedName name="_xlnm.Print_Area" localSheetId="5">'5_Cruce_SIES_UMAS'!$A$1:$G$12</definedName>
    <definedName name="_xlnm.Print_Area" localSheetId="6">'6_Carreras_Antiguas'!$A$1:$F$16</definedName>
    <definedName name="_xlnm.Print_Area" localSheetId="7">'7_Ofertadas_No_Abiertas'!$A$1:$F$16</definedName>
    <definedName name="_xlnm.Print_Area" localSheetId="8">'8_Tendencia_Matricula'!$A$1:$F$16</definedName>
  </definedNames>
  <calcPr fullCalcOnLoad="1" forceFullCalc="1" calcMode="auto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[&gt;=1000000]#&quot;.&quot;000&quot;.&quot;000;[&gt;=1000]#&quot;.&quot;000;0"/>
    <x:numFmt numFmtId="202" formatCode="0.0%"/>
    <x:numFmt numFmtId="203" formatCode="[&gt;=1000]#&quot;.&quot;000;0"/>
    <x:numFmt numFmtId="204" formatCode="0;-0;0"/>
  </x:numFmts>
  <x:fonts count="7">
    <x:font>
      <x:sz val="11"/>
      <x:name val="Carlito"/>
    </x:font>
    <x:font>
      <x:sz val="11"/>
      <x:color rgb="FF3A3A3A"/>
      <x:name val="Arial"/>
    </x:font>
    <x:font>
      <x:b/>
      <x:sz val="16"/>
      <x:color rgb="FF102B42"/>
      <x:name val="Arial"/>
    </x:font>
    <x:font>
      <x:sz val="11"/>
      <x:color rgb="FF102B42"/>
      <x:name val="Arial"/>
    </x:font>
    <x:font>
      <x:b/>
      <x:sz val="11"/>
      <x:color rgb="FFFFFFFF"/>
      <x:name val="Arial"/>
    </x:font>
    <x:font>
      <x:sz val="11"/>
      <x:color rgb="FFFFFFFF"/>
      <x:name val="Arial"/>
    </x:font>
    <x:font>
      <x:b/>
      <x:sz val="11"/>
      <x:color rgb="FF0000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E4273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horizontal="center" vertical="center" wrapText="1"/>
    </x:xf>
    <x:xf numFmtId="203" fontId="1" fillId="3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204" fontId="1" fillId="3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4" fontId="1" fillId="3" borderId="0" xfId="0" applyNumberFormat="1" applyFont="1" applyFill="1" applyBorder="1" applyAlignment="1">
      <x:alignment horizontal="center" vertical="center" wrapText="1"/>
    </x:xf>
    <x:xf numFmtId="204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3e97ff63b248e0" /><Relationship Type="http://schemas.openxmlformats.org/officeDocument/2006/relationships/theme" Target="/xl/theme/theme1.xml" Id="R2f02d7aa555a4cab" /><Relationship Type="http://schemas.openxmlformats.org/officeDocument/2006/relationships/sharedStrings" Target="/xl/sharedStrings.xml" Id="Rd5a5714ca585423c" /><Relationship Type="http://schemas.openxmlformats.org/officeDocument/2006/relationships/worksheet" Target="/xl/worksheets/sheet1.xml" Id="R2df02edf01f34e4b" /><Relationship Type="http://schemas.openxmlformats.org/officeDocument/2006/relationships/worksheet" Target="/xl/worksheets/sheet2.xml" Id="R33abd9255c2f4f91" /><Relationship Type="http://schemas.openxmlformats.org/officeDocument/2006/relationships/worksheet" Target="/xl/worksheets/sheet3.xml" Id="R732b539bdcf94dd5" /><Relationship Type="http://schemas.openxmlformats.org/officeDocument/2006/relationships/worksheet" Target="/xl/worksheets/sheet4.xml" Id="R823c87f04bc243e5" /><Relationship Type="http://schemas.openxmlformats.org/officeDocument/2006/relationships/worksheet" Target="/xl/worksheets/sheet5.xml" Id="Rc75ba1137a574b73" /><Relationship Type="http://schemas.openxmlformats.org/officeDocument/2006/relationships/worksheet" Target="/xl/worksheets/sheet6.xml" Id="R6c0df264077d4052" /><Relationship Type="http://schemas.openxmlformats.org/officeDocument/2006/relationships/worksheet" Target="/xl/worksheets/sheet7.xml" Id="R6c731a4a47014fd1" /><Relationship Type="http://schemas.openxmlformats.org/officeDocument/2006/relationships/worksheet" Target="/xl/worksheets/sheet8.xml" Id="Ra322e9e06e8549db" /><Relationship Type="http://schemas.openxmlformats.org/officeDocument/2006/relationships/worksheet" Target="/xl/worksheets/sheet9.xml" Id="R3fa93473f11a44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a8faceb5054a5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3b8c497345f4cb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c31914feeeb4157" /><Relationship Type="http://schemas.openxmlformats.org/officeDocument/2006/relationships/chart" Target="/xl/drawings/charts/chart4.xml" Id="R020b11a5a16841d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Códigos EN_OFERTA y CON_MATRÍCULA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Códigos activos</c:v>
          </c:tx>
          <c:spPr>
            <a:solidFill xmlns:a="http://schemas.openxmlformats.org/drawingml/2006/main">
              <a:srgbClr val="0E4273"/>
            </a:solidFill>
          </c:spPr>
          <c:invertIfNegative val="0"/>
          <c:cat>
            <c:strRef>
              <c:f>'2_Programas_SIES'!$AX$6:$AX$25</c:f>
              <c:strCache>
                <c:ptCount val="0"/>
              </c:strCache>
            </c:strRef>
          </c:cat>
          <c:val>
            <c:numRef>
              <c:f>'2_Programas_SIES'!$AY$6:$AY$25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EN_OFERTA</c:v>
          </c:tx>
          <c:spPr>
            <a:solidFill xmlns:a="http://schemas.openxmlformats.org/drawingml/2006/main">
              <a:srgbClr val="CFB47C"/>
            </a:solidFill>
          </c:spPr>
          <c:invertIfNegative val="0"/>
          <c:cat>
            <c:strRef>
              <c:f>'2_Programas_SIES'!$AX$6:$AX$25</c:f>
              <c:strCache>
                <c:ptCount val="0"/>
              </c:strCache>
            </c:strRef>
          </c:cat>
          <c:val>
            <c:numRef>
              <c:f>'2_Programas_SIES'!$AZ$6:$AZ$25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Oferta sin primer año observado · filtros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Códigos-año</c:v>
          </c:tx>
          <c:spPr>
            <a:solidFill xmlns:a="http://schemas.openxmlformats.org/drawingml/2006/main">
              <a:srgbClr val="0E4273"/>
            </a:solidFill>
          </c:spPr>
          <c:invertIfNegative val="0"/>
          <c:cat>
            <c:strRef>
              <c:f>'7_Ofertadas_No_Abiertas'!$O$8:$O$24</c:f>
              <c:strCache>
                <c:ptCount val="0"/>
              </c:strCache>
            </c:strRef>
          </c:cat>
          <c:val>
            <c:numRef>
              <c:f>'7_Ofertadas_No_Abiertas'!$P$8:$P$24</c:f>
              <c:numCache>
                <c:formatCode>[&gt;=1000000]#"."000"."000;[&gt;=1000]#"."000;0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Top 10 alzas · variación 2022→2026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Cambio absoluto</c:v>
          </c:tx>
          <c:spPr>
            <a:solidFill xmlns:a="http://schemas.openxmlformats.org/drawingml/2006/main">
              <a:srgbClr val="0E4273"/>
            </a:solidFill>
          </c:spPr>
          <c:invertIfNegative val="0"/>
          <c:cat>
            <c:strRef>
              <c:f>'8_Tendencia_Matricula'!$AI$8:$AI$17</c:f>
              <c:strCache>
                <c:ptCount val="0"/>
              </c:strCache>
            </c:strRef>
          </c:cat>
          <c:val>
            <c:numRef>
              <c:f>'8_Tendencia_Matricula'!$AJ$8:$AJ$17</c:f>
              <c:numCache>
                <c:formatCode>0;-0;0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Top 10 bajas · variación 2022→2026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Cambio absoluto</c:v>
          </c:tx>
          <c:spPr>
            <a:solidFill xmlns:a="http://schemas.openxmlformats.org/drawingml/2006/main">
              <a:srgbClr val="0E4273"/>
            </a:solidFill>
          </c:spPr>
          <c:invertIfNegative val="0"/>
          <c:cat>
            <c:strRef>
              <c:f>'8_Tendencia_Matricula'!$AL$8:$AL$17</c:f>
              <c:strCache>
                <c:ptCount val="0"/>
              </c:strCache>
            </c:strRef>
          </c:cat>
          <c:val>
            <c:numRef>
              <c:f>'8_Tendencia_Matricula'!$AM$8:$AM$17</c:f>
              <c:numCache>
                <c:formatCode>0;-0;0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53</xdr:col>
      <xdr:colOff>0</xdr:colOff>
      <xdr:row>4</xdr:row>
      <xdr:rowOff>0</xdr:rowOff>
    </xdr:from>
    <xdr:to>
      <xdr:col>70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a8faceb5054a5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17</xdr:col>
      <xdr:colOff>0</xdr:colOff>
      <xdr:row>5</xdr:row>
      <xdr:rowOff>0</xdr:rowOff>
    </xdr:from>
    <xdr:to>
      <xdr:col>27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b8c497345f4cb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39</xdr:col>
      <xdr:colOff>0</xdr:colOff>
      <xdr:row>5</xdr:row>
      <xdr:rowOff>0</xdr:rowOff>
    </xdr:from>
    <xdr:to>
      <xdr:col>49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31914feeeb4157"/>
        </a:graphicData>
      </a:graphic>
    </xdr:graphicFrame>
    <xdr:clientData/>
  </xdr:twoCellAnchor>
  <xdr:twoCellAnchor>
    <xdr:from>
      <xdr:col>50</xdr:col>
      <xdr:colOff>0</xdr:colOff>
      <xdr:row>5</xdr:row>
      <xdr:rowOff>0</xdr:rowOff>
    </xdr:from>
    <xdr:to>
      <xdr:col>60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0b11a5a16841d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005_Logramos" displayName="H005_Logramos" ref="A7:J20" headerRowCount="1" totalsRowCount="0" totalsRowShown="0">
  <x:autoFilter ref="A7:J20"/>
  <x:tableColumns count="10">
    <x:tableColumn id="1" name="Resultado"/>
    <x:tableColumn id="2" name="Pregunta / motivo"/>
    <x:tableColumn id="3" name="Cifra clave o estado"/>
    <x:tableColumn id="4" name="Hoja / archivo de detalle"/>
    <x:tableColumn id="5" name="Clase"/>
    <x:tableColumn id="6" name="Condición de cierre o reapertura"/>
    <x:tableColumn id="7" name="Sede"/>
    <x:tableColumn id="8" name="Jornada"/>
    <x:tableColumn id="9" name="Sector IPSS"/>
    <x:tableColumn id="10" name="Fue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005_Falta" displayName="H005_Falta" ref="A23:J29" headerRowCount="1" totalsRowCount="0" totalsRowShown="0">
  <x:autoFilter ref="A23:J29"/>
  <x:tableColumns count="10">
    <x:tableColumn id="1" name="Resultado"/>
    <x:tableColumn id="2" name="Pregunta / motivo"/>
    <x:tableColumn id="3" name="Cifra clave o estado"/>
    <x:tableColumn id="4" name="Hoja / archivo de detalle"/>
    <x:tableColumn id="5" name="Clase"/>
    <x:tableColumn id="6" name="Condición de cierre o reapertura"/>
    <x:tableColumn id="7" name="Sede"/>
    <x:tableColumn id="8" name="Jornada"/>
    <x:tableColumn id="9" name="Sector IPSS"/>
    <x:tableColumn id="10" name="Fue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005_Base" displayName="H005_Base" ref="A7:AY315" headerRowCount="1" totalsRowCount="0" totalsRowShown="0">
  <x:autoFilter ref="A7:AY315"/>
  <x:tableColumns count="51">
    <x:tableColumn id="1" name="Código SIES"/>
    <x:tableColumn id="2" name="Carrera SIES"/>
    <x:tableColumn id="3" name="Sede SIES"/>
    <x:tableColumn id="4" name="Jornada SIES"/>
    <x:tableColumn id="5" name="Versión"/>
    <x:tableColumn id="6" name="Modalidad"/>
    <x:tableColumn id="7" name="Nivel"/>
    <x:tableColumn id="8" name="Tipo plan SIES"/>
    <x:tableColumn id="9" name="Primer año"/>
    <x:tableColumn id="10" name="Último año"/>
    <x:tableColumn id="11" name="2007"/>
    <x:tableColumn id="12" name="2008"/>
    <x:tableColumn id="13" name="2009"/>
    <x:tableColumn id="14" name="2010"/>
    <x:tableColumn id="15" name="2011"/>
    <x:tableColumn id="16" name="2012"/>
    <x:tableColumn id="17" name="2013"/>
    <x:tableColumn id="18" name="2014"/>
    <x:tableColumn id="19" name="2015"/>
    <x:tableColumn id="20" name="2016"/>
    <x:tableColumn id="21" name="2017"/>
    <x:tableColumn id="22" name="2018"/>
    <x:tableColumn id="23" name="2019"/>
    <x:tableColumn id="24" name="2020"/>
    <x:tableColumn id="25" name="2021"/>
    <x:tableColumn id="26" name="2022"/>
    <x:tableColumn id="27" name="2023"/>
    <x:tableColumn id="28" name="2024"/>
    <x:tableColumn id="29" name="2025"/>
    <x:tableColumn id="30" name="2026"/>
    <x:tableColumn id="31" name="Vigencia 2027"/>
    <x:tableColumn id="32" name="CODCARPR"/>
    <x:tableColumn id="33" name="Plan UMAS"/>
    <x:tableColumn id="34" name="Tipo UMAS v2"/>
    <x:tableColumn id="35" name="Clase tipo"/>
    <x:tableColumn id="36" name="Enlazadas 2022"/>
    <x:tableColumn id="37" name="Enlazadas 2023"/>
    <x:tableColumn id="38" name="Enlazadas 2024"/>
    <x:tableColumn id="39" name="Enlazadas 2025"/>
    <x:tableColumn id="40" name="Enlazadas 2026"/>
    <x:tableColumn id="41" name="Método de unión"/>
    <x:tableColumn id="42" name="Estado"/>
    <x:tableColumn id="43" name="Motivo"/>
    <x:tableColumn id="44" name="Clase unión"/>
    <x:tableColumn id="45" name="Fuente (ID)"/>
    <x:tableColumn id="46" name="Límite / alcance"/>
    <x:tableColumn id="47" name="Duración estudios (sem.)"/>
    <x:tableColumn id="48" name="Duración total (sem.)"/>
    <x:tableColumn id="49" name="Tipo de familia histórica"/>
    <x:tableColumn id="50" name="Año atributos duración"/>
    <x:tableColumn id="51" name="Fuente duració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005_Programas" displayName="H005_Programas" ref="A14:AU183" headerRowCount="1" totalsRowCount="0" totalsRowShown="0">
  <x:autoFilter ref="A14:AU183"/>
  <x:tableColumns count="47">
    <x:tableColumn id="1" name="Código SIES"/>
    <x:tableColumn id="2" name="Carrera SIES"/>
    <x:tableColumn id="3" name="Nivel"/>
    <x:tableColumn id="4" name="Primer año"/>
    <x:tableColumn id="5" name="Último año"/>
    <x:tableColumn id="6" name="Años activos"/>
    <x:tableColumn id="7" name="2007"/>
    <x:tableColumn id="8" name="2008"/>
    <x:tableColumn id="9" name="2009"/>
    <x:tableColumn id="10" name="2010"/>
    <x:tableColumn id="11" name="2011"/>
    <x:tableColumn id="12" name="2012"/>
    <x:tableColumn id="13" name="2013"/>
    <x:tableColumn id="14" name="2014"/>
    <x:tableColumn id="15" name="2015"/>
    <x:tableColumn id="16" name="2016"/>
    <x:tableColumn id="17" name="2017"/>
    <x:tableColumn id="18" name="2018"/>
    <x:tableColumn id="19" name="2019"/>
    <x:tableColumn id="20" name="2020"/>
    <x:tableColumn id="21" name="2021"/>
    <x:tableColumn id="22" name="2022"/>
    <x:tableColumn id="23" name="2023"/>
    <x:tableColumn id="24" name="2024"/>
    <x:tableColumn id="25" name="2025"/>
    <x:tableColumn id="26" name="2026"/>
    <x:tableColumn id="27" name="Estado H002 2027"/>
    <x:tableColumn id="28" name="Con historia (1/0)"/>
    <x:tableColumn id="29" name="Fuente (ID)"/>
    <x:tableColumn id="30" name="Solo antes de 2022 (1/0)"/>
    <x:tableColumn id="31" name="Vigencia 2010"/>
    <x:tableColumn id="32" name="Vigencia 2011"/>
    <x:tableColumn id="33" name="Vigencia 2012"/>
    <x:tableColumn id="34" name="Vigencia 2013"/>
    <x:tableColumn id="35" name="Vigencia 2014"/>
    <x:tableColumn id="36" name="Vigencia 2015"/>
    <x:tableColumn id="37" name="Vigencia 2016"/>
    <x:tableColumn id="38" name="Vigencia 2017"/>
    <x:tableColumn id="39" name="Vigencia 2018"/>
    <x:tableColumn id="40" name="Vigencia 2019"/>
    <x:tableColumn id="41" name="Vigencia 2020"/>
    <x:tableColumn id="42" name="Vigencia 2021"/>
    <x:tableColumn id="43" name="Vigencia 2022"/>
    <x:tableColumn id="44" name="Vigencia 2023"/>
    <x:tableColumn id="45" name="Vigencia 2024"/>
    <x:tableColumn id="46" name="Vigencia 2025"/>
    <x:tableColumn id="47" name="Vigencia 2026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005_ResumenSIES" displayName="H005_ResumenSIES" ref="A5:B11" headerRowCount="1" totalsRowCount="0" totalsRowShown="0">
  <x:autoFilter ref="A5:B11"/>
  <x:tableColumns count="2">
    <x:tableColumn id="1" name="Universo"/>
    <x:tableColumn id="2" name="Código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005_Niveles" displayName="H005_Niveles" ref="D5:E7" headerRowCount="1" totalsRowCount="0" totalsRowShown="0">
  <x:autoFilter ref="D5:E7"/>
  <x:tableColumns count="2">
    <x:tableColumn id="1" name="Nivel"/>
    <x:tableColumn id="2" name="Código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005_Activos" displayName="H005_Activos" ref="AX5:AZ25" headerRowCount="1" totalsRowCount="0" totalsRowShown="0">
  <x:autoFilter ref="AX5:AZ25"/>
  <x:tableColumns count="3">
    <x:tableColumn id="1" name="Año"/>
    <x:tableColumn id="2" name="Códigos activos"/>
    <x:tableColumn id="3" name="EN_OFERT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005_Oferta" displayName="H005_Oferta" ref="S5:T11" headerRowCount="1" totalsRowCount="0" totalsRowShown="0">
  <x:autoFilter ref="S5:T11"/>
  <x:tableColumns count="2">
    <x:tableColumn id="1" name="Estado"/>
    <x:tableColumn id="2" name="Código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005_OfertaHistorica" displayName="H005_OfertaHistorica" ref="A200:X339" headerRowCount="1" totalsRowCount="0" totalsRowShown="0">
  <x:autoFilter ref="A200:X339"/>
  <x:tableColumns count="24">
    <x:tableColumn id="1" name="Código SIES oferta"/>
    <x:tableColumn id="2" name="Carrera oferta"/>
    <x:tableColumn id="3" name="Nivel oferta"/>
    <x:tableColumn id="4" name="Primer año oferta"/>
    <x:tableColumn id="5" name="Último año oferta"/>
    <x:tableColumn id="6" name="En detalle H005 (1/0)"/>
    <x:tableColumn id="7" name="Vigencia oferta 2010"/>
    <x:tableColumn id="8" name="Vigencia oferta 2011"/>
    <x:tableColumn id="9" name="Vigencia oferta 2012"/>
    <x:tableColumn id="10" name="Vigencia oferta 2013"/>
    <x:tableColumn id="11" name="Vigencia oferta 2014"/>
    <x:tableColumn id="12" name="Vigencia oferta 2015"/>
    <x:tableColumn id="13" name="Vigencia oferta 2016"/>
    <x:tableColumn id="14" name="Vigencia oferta 2017"/>
    <x:tableColumn id="15" name="Vigencia oferta 2018"/>
    <x:tableColumn id="16" name="Vigencia oferta 2019"/>
    <x:tableColumn id="17" name="Vigencia oferta 2020"/>
    <x:tableColumn id="18" name="Vigencia oferta 2021"/>
    <x:tableColumn id="19" name="Vigencia oferta 2022"/>
    <x:tableColumn id="20" name="Vigencia oferta 2023"/>
    <x:tableColumn id="21" name="Vigencia oferta 2024"/>
    <x:tableColumn id="22" name="Vigencia oferta 2025"/>
    <x:tableColumn id="23" name="Vigencia oferta 2026"/>
    <x:tableColumn id="24" name="Fuente oferta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H005_ResumenOfertaHistorica" displayName="H005_ResumenOfertaHistorica" ref="H5:I10" headerRowCount="1" totalsRowCount="0" totalsRowShown="0">
  <x:autoFilter ref="H5:I10"/>
  <x:tableColumns count="2">
    <x:tableColumn id="1" name="Oferta histórica"/>
    <x:tableColumn id="2" name="Código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H005_ResumenVersiones" displayName="H005_ResumenVersiones" ref="A5:C7" headerRowCount="1" totalsRowCount="0" totalsRowShown="0">
  <x:autoFilter ref="A5:C7"/>
  <x:tableColumns count="3">
    <x:tableColumn id="1" name="Clasificación histórica"/>
    <x:tableColumn id="2" name="Familias"/>
    <x:tableColumn id="3" name="Versión final por código: familia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H005_Versiones" displayName="H005_Versiones" ref="A12:Q62" headerRowCount="1" totalsRowCount="0" totalsRowShown="0">
  <x:autoFilter ref="A12:Q62"/>
  <x:tableColumns count="17">
    <x:tableColumn id="1" name="Familia SIES"/>
    <x:tableColumn id="2" name="Código SIES"/>
    <x:tableColumn id="3" name="Carrera"/>
    <x:tableColumn id="4" name="Versión"/>
    <x:tableColumn id="5" name="Estudios (sem.)"/>
    <x:tableColumn id="6" name="Total (sem.)"/>
    <x:tableColumn id="7" name="Tipo de plan"/>
    <x:tableColumn id="8" name="Modalidad"/>
    <x:tableColumn id="9" name="Nivel global"/>
    <x:tableColumn id="10" name="Nivel específico"/>
    <x:tableColumn id="11" name="Primer año"/>
    <x:tableColumn id="12" name="Último año"/>
    <x:tableColumn id="13" name="Vigencia 2027"/>
    <x:tableColumn id="14" name="Clase familia histórica"/>
    <x:tableColumn id="15" name="Año atributos"/>
    <x:tableColumn id="16" name="Cambios observados en el código"/>
    <x:tableColumn id="17" name="Fuen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H005_CambiosAtributos" displayName="H005_CambiosAtributos" ref="S12:X21" headerRowCount="1" totalsRowCount="0" totalsRowShown="0">
  <x:autoFilter ref="S12:X21"/>
  <x:tableColumns count="6">
    <x:tableColumn id="1" name="Código con cambio"/>
    <x:tableColumn id="2" name="Atributos"/>
    <x:tableColumn id="3" name="Valores y años publicados"/>
    <x:tableColumn id="4" name="Primer año"/>
    <x:tableColumn id="5" name="Último año"/>
    <x:tableColumn id="6" name="Clase / lími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H005_Planes" displayName="H005_Planes" ref="A13:N249" headerRowCount="1" totalsRowCount="0" totalsRowShown="0">
  <x:autoFilter ref="A13:N249"/>
  <x:tableColumns count="14">
    <x:tableColumn id="1" name="Plan UMAS"/>
    <x:tableColumn id="2" name="CODCARPR"/>
    <x:tableColumn id="3" name="Sede UMAS"/>
    <x:tableColumn id="4" name="Jornada UMAS"/>
    <x:tableColumn id="5" name="Tipo v2"/>
    <x:tableColumn id="6" name="Clase v2"/>
    <x:tableColumn id="7" name="Ingreso inicial"/>
    <x:tableColumn id="8" name="Ingreso final"/>
    <x:tableColumn id="9" name="Códigos SIES enlazados"/>
    <x:tableColumn id="10" name="Estado en maestro"/>
    <x:tableColumn id="11" name="Unión"/>
    <x:tableColumn id="12" name="Tipo v3 candidato"/>
    <x:tableColumn id="13" name="Fuente (ID)"/>
    <x:tableColumn id="14" name="Lími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H005_ResumenUMAS" displayName="H005_ResumenUMAS" ref="A5:C8" headerRowCount="1" totalsRowCount="0" totalsRowShown="0">
  <x:autoFilter ref="A5:C8"/>
  <x:tableColumns count="3">
    <x:tableColumn id="1" name="Tipo v2"/>
    <x:tableColumn id="2" name="Planes"/>
    <x:tableColumn id="3" name="Con unión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H005_CODCARPR" displayName="H005_CODCARPR" ref="P13:S140" headerRowCount="1" totalsRowCount="0" totalsRowShown="0">
  <x:autoFilter ref="P13:S140"/>
  <x:tableColumns count="4">
    <x:tableColumn id="1" name="CODCARPR"/>
    <x:tableColumn id="2" name="Planes"/>
    <x:tableColumn id="3" name="Unión"/>
    <x:tableColumn id="4" name="Planes asociado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H005_UniversosUMAS" displayName="H005_UniversosUMAS" ref="F5:G11" headerRowCount="1" totalsRowCount="0" totalsRowShown="0">
  <x:autoFilter ref="F5:G11"/>
  <x:tableColumns count="2">
    <x:tableColumn id="1" name="Universo"/>
    <x:tableColumn id="2" name="Cantidad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H005_Cruces" displayName="H005_Cruces" ref="M14:X183" headerRowCount="1" totalsRowCount="0" totalsRowShown="0">
  <x:autoFilter ref="M14:X183"/>
  <x:tableColumns count="12">
    <x:tableColumn id="1" name="Código SIES"/>
    <x:tableColumn id="2" name="Estado"/>
    <x:tableColumn id="3" name="Método"/>
    <x:tableColumn id="4" name="Planes enlazados"/>
    <x:tableColumn id="5" name="Motivo"/>
    <x:tableColumn id="6" name="Forma de cierre"/>
    <x:tableColumn id="7" name="MU seleccionada"/>
    <x:tableColumn id="8" name="Enlace expediente"/>
    <x:tableColumn id="9" name="Con plan anual"/>
    <x:tableColumn id="10" name="Estado H002 2027"/>
    <x:tableColumn id="11" name="Clase"/>
    <x:tableColumn id="12" name="Fuente (ID)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H005_Cobertura" displayName="H005_Cobertura" ref="A5:G11" headerRowCount="1" totalsRowCount="0" totalsRowShown="0">
  <x:autoFilter ref="A5:G11"/>
  <x:tableColumns count="7">
    <x:tableColumn id="1" name="Año"/>
    <x:tableColumn id="2" name="Códigos MU"/>
    <x:tableColumn id="3" name="Con enlace"/>
    <x:tableColumn id="4" name="Matrículas MU"/>
    <x:tableColumn id="5" name="Enlazadas"/>
    <x:tableColumn id="6" name="% enlace"/>
    <x:tableColumn id="7" name="Con plan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H005_Pendientes" displayName="H005_Pendientes" ref="I5:J11" headerRowCount="1" totalsRowCount="0" totalsRowShown="0">
  <x:autoFilter ref="I5:J11"/>
  <x:tableColumns count="2">
    <x:tableColumn id="1" name="Motivo"/>
    <x:tableColumn id="2" name="Código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H005_H0022027" displayName="H005_H0022027" ref="L5:M11" headerRowCount="1" totalsRowCount="0" totalsRowShown="0">
  <x:autoFilter ref="L5:M11"/>
  <x:tableColumns count="2">
    <x:tableColumn id="1" name="Estado"/>
    <x:tableColumn id="2" name="Código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H005_Fuentes" displayName="H005_Fuentes" ref="AA16:AE36" headerRowCount="1" totalsRowCount="0" totalsRowShown="0">
  <x:autoFilter ref="AA16:AE36"/>
  <x:tableColumns count="5">
    <x:tableColumn id="1" name="ID"/>
    <x:tableColumn id="2" name="Ruta"/>
    <x:tableColumn id="3" name="SHA-256"/>
    <x:tableColumn id="4" name="Clase"/>
    <x:tableColumn id="5" name="Commit / linaj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H005_Resumen253" displayName="H005_Resumen253" ref="AO5:AQ9" headerRowCount="1" totalsRowCount="0" totalsRowShown="0">
  <x:autoFilter ref="AO5:AQ9"/>
  <x:tableColumns count="3">
    <x:tableColumn id="1" name="Clasificación de los 253"/>
    <x:tableColumn id="2" name="Matrículas-año"/>
    <x:tableColumn id="3" name="Clas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H005_Clasificacion253" displayName="H005_Clasificacion253" ref="AO12:AS33" headerRowCount="1" totalsRowCount="0" totalsRowShown="0">
  <x:autoFilter ref="AO12:AS33"/>
  <x:tableColumns count="5">
    <x:tableColumn id="1" name="Clasificación"/>
    <x:tableColumn id="2" name="Familia"/>
    <x:tableColumn id="3" name="Año"/>
    <x:tableColumn id="4" name="Matrículas-año"/>
    <x:tableColumn id="5" name="Alcanc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H005_Evidencia253" displayName="H005_Evidencia253" ref="AU12:BH46" headerRowCount="1" totalsRowCount="0" totalsRowShown="0">
  <x:autoFilter ref="AU12:BH46"/>
  <x:tableColumns count="14">
    <x:tableColumn id="1" name="Año"/>
    <x:tableColumn id="2" name="Familia"/>
    <x:tableColumn id="3" name="Plan UMAS"/>
    <x:tableColumn id="4" name="Grupo"/>
    <x:tableColumn id="5" name="Código informado"/>
    <x:tableColumn id="6" name="Código comparado H002j"/>
    <x:tableColumn id="7" name="Tipo plan diagnóstico"/>
    <x:tableColumn id="8" name="Matrículas-año"/>
    <x:tableColumn id="9" name="Clasificación"/>
    <x:tableColumn id="10" name="Clase"/>
    <x:tableColumn id="11" name="Fundamento / límite"/>
    <x:tableColumn id="12" name="Etiqueta anterior H005b"/>
    <x:tableColumn id="13" name="Tipo UMAS v2"/>
    <x:tableColumn id="14" name="Tipo SIES anual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H005_CoherenciaAnual" displayName="H005_CoherenciaAnual" ref="AO55:AS60" headerRowCount="1" totalsRowCount="0" totalsRowShown="0">
  <x:autoFilter ref="AO55:AS60"/>
  <x:tableColumns count="5">
    <x:tableColumn id="1" name="Año"/>
    <x:tableColumn id="2" name="CORRECTO_SEGUN_MANUAL"/>
    <x:tableColumn id="3" name="ERROR_DE_CARGA_SEGUN_MANUAL"/>
    <x:tableColumn id="4" name="NO_EVALUABLE"/>
    <x:tableColumn id="5" name="Total enlazadas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H005_CoherenciaTipos" displayName="H005_CoherenciaTipos" ref="AO67:AT107" headerRowCount="1" totalsRowCount="0" totalsRowShown="0">
  <x:autoFilter ref="AO67:AT107"/>
  <x:tableColumns count="6">
    <x:tableColumn id="1" name="Año"/>
    <x:tableColumn id="2" name="Tipo plan UMAS v2"/>
    <x:tableColumn id="3" name="Tipo versión SIES"/>
    <x:tableColumn id="4" name="Matrículas-año"/>
    <x:tableColumn id="5" name="Estado"/>
    <x:tableColumn id="6" name="Clase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H005_CrucesTipos" displayName="H005_CrucesTipos" ref="AU55:BB65" headerRowCount="1" totalsRowCount="0" totalsRowShown="0">
  <x:autoFilter ref="AU55:BB65"/>
  <x:tableColumns count="8">
    <x:tableColumn id="1" name="Año"/>
    <x:tableColumn id="2" name="CODCARPR"/>
    <x:tableColumn id="3" name="Plan UMAS"/>
    <x:tableColumn id="4" name="Código informado"/>
    <x:tableColumn id="5" name="Tipo UMAS v2"/>
    <x:tableColumn id="6" name="Tipo SIES anual"/>
    <x:tableColumn id="7" name="Matrículas-año"/>
    <x:tableColumn id="8" name="Clase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H005_AntiguasDetalle" displayName="H005_AntiguasDetalle" ref="A18:V22" headerRowCount="1" totalsRowCount="0" totalsRowShown="0">
  <x:autoFilter ref="A18:V22"/>
  <x:tableColumns count="22">
    <x:tableColumn id="1" name="Familia SIES"/>
    <x:tableColumn id="2" name="Carrera"/>
    <x:tableColumn id="3" name="Sede"/>
    <x:tableColumn id="4" name="Jornada"/>
    <x:tableColumn id="5" name="Sector IPSS"/>
    <x:tableColumn id="6" name="Códigos incluidos"/>
    <x:tableColumn id="7" name="Primer año"/>
    <x:tableColumn id="8" name="Años con matrícula"/>
    <x:tableColumn id="9" name="Vigencia 2026 por versión"/>
    <x:tableColumn id="10" name="Vigencia 2027 por versión"/>
    <x:tableColumn id="11" name="VIG1 / quedan por titular (proxy)"/>
    <x:tableColumn id="12" name="Ingreso ≤ 2016"/>
    <x:tableColumn id="13" name="Ingreso 2017–2021"/>
    <x:tableColumn id="14" name="Ingreso ≥ 2022"/>
    <x:tableColumn id="15" name="Ingreso E"/>
    <x:tableColumn id="16" name="Rezago aproximado"/>
    <x:tableColumn id="17" name="Rezago no evaluable"/>
    <x:tableColumn id="18" name="Titulación proceso 2026"/>
    <x:tableColumn id="19" name="Solo antiguos 2027"/>
    <x:tableColumn id="20" name="Matrícula SIES 2026"/>
    <x:tableColumn id="21" name="Clase"/>
    <x:tableColumn id="22" name="Fuente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H005_AntiguasResumen" displayName="H005_AntiguasResumen" ref="A7:C13" headerRowCount="1" totalsRowCount="0" totalsRowShown="0">
  <x:autoFilter ref="A7:C13"/>
  <x:tableColumns count="3">
    <x:tableColumn id="1" name="Indicador"/>
    <x:tableColumn id="2" name="Total filtrado"/>
    <x:tableColumn id="3" name="Unidad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H005_NoAbiertasDetalle" displayName="H005_NoAbiertasDetalle" ref="A18:M143" headerRowCount="1" totalsRowCount="0" totalsRowShown="0">
  <x:autoFilter ref="A18:M143"/>
  <x:tableColumns count="13">
    <x:tableColumn id="1" name="Año"/>
    <x:tableColumn id="2" name="Código SIES"/>
    <x:tableColumn id="3" name="Carrera"/>
    <x:tableColumn id="4" name="Sede"/>
    <x:tableColumn id="5" name="Jornada"/>
    <x:tableColumn id="6" name="Sector IPSS"/>
    <x:tableColumn id="7" name="Duración estudios semestres"/>
    <x:tableColumn id="8" name="Tipo plan"/>
    <x:tableColumn id="9" name="Primer año SIES"/>
    <x:tableColumn id="10" name="Fila pública (1/0)"/>
    <x:tableColumn id="11" name="Nivel"/>
    <x:tableColumn id="12" name="Límite / clase"/>
    <x:tableColumn id="13" name="Fuente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H005_NoAbiertasAnual" displayName="H005_NoAbiertasAnual" ref="O7:P24" headerRowCount="1" totalsRowCount="0" totalsRowShown="0">
  <x:autoFilter ref="O7:P24"/>
  <x:tableColumns count="2">
    <x:tableColumn id="1" name="Año"/>
    <x:tableColumn id="2" name="Códigos-año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H005_NoAbiertasResumen" displayName="H005_NoAbiertasResumen" ref="A7:C10" headerRowCount="1" totalsRowCount="0" totalsRowShown="0">
  <x:autoFilter ref="A7:C10"/>
  <x:tableColumns count="3">
    <x:tableColumn id="1" name="Indicador"/>
    <x:tableColumn id="2" name="Total filtrado"/>
    <x:tableColumn id="3" name="Unidad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H005_TendenciaDetalle" displayName="H005_TendenciaDetalle" ref="A18:AG95" headerRowCount="1" totalsRowCount="0" totalsRowShown="0">
  <x:autoFilter ref="A18:AG95"/>
  <x:tableColumns count="33">
    <x:tableColumn id="1" name="Familia SIES"/>
    <x:tableColumn id="2" name="Carrera"/>
    <x:tableColumn id="3" name="Sede"/>
    <x:tableColumn id="4" name="Jornada"/>
    <x:tableColumn id="5" name="Sector IPSS"/>
    <x:tableColumn id="6" name="Códigos incluidos"/>
    <x:tableColumn id="7" name="Primer año"/>
    <x:tableColumn id="8" name="Último año"/>
    <x:tableColumn id="9" name="Total 2019"/>
    <x:tableColumn id="10" name="Primer año 2019"/>
    <x:tableColumn id="11" name="Total 2020"/>
    <x:tableColumn id="12" name="Primer año 2020"/>
    <x:tableColumn id="13" name="Total 2021"/>
    <x:tableColumn id="14" name="Primer año 2021"/>
    <x:tableColumn id="15" name="Total 2022"/>
    <x:tableColumn id="16" name="Primer año 2022"/>
    <x:tableColumn id="17" name="Total 2023"/>
    <x:tableColumn id="18" name="Primer año 2023"/>
    <x:tableColumn id="19" name="Total 2024"/>
    <x:tableColumn id="20" name="Primer año 2024"/>
    <x:tableColumn id="21" name="Total 2025"/>
    <x:tableColumn id="22" name="Primer año 2025"/>
    <x:tableColumn id="23" name="Total 2026"/>
    <x:tableColumn id="24" name="Primer año 2026"/>
    <x:tableColumn id="25" name="Variación absoluta 2022→2026"/>
    <x:tableColumn id="26" name="Variación % 2022→2026"/>
    <x:tableColumn id="27" name="Variación absoluta 2024→2026"/>
    <x:tableColumn id="28" name="Variación % 2024→2026"/>
    <x:tableColumn id="29" name="Clasificación"/>
    <x:tableColumn id="30" name="Clase / fuente"/>
    <x:tableColumn id="31" name="Auxiliar variación filtrada"/>
    <x:tableColumn id="32" name="Auxiliar orden alza"/>
    <x:tableColumn id="33" name="Auxiliar orden baja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H005_TendenciaResumen" displayName="H005_TendenciaResumen" ref="A7:C14" headerRowCount="1" totalsRowCount="0" totalsRowShown="0">
  <x:autoFilter ref="A7:C14"/>
  <x:tableColumns count="3">
    <x:tableColumn id="1" name="Estado"/>
    <x:tableColumn id="2" name="Total filtrado"/>
    <x:tableColumn id="3" name="Unidad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6" name="H005_Topalzas" displayName="H005_Topalzas" ref="AH7:AJ17" headerRowCount="1" totalsRowCount="0" totalsRowShown="0">
  <x:autoFilter ref="AH7:AJ17"/>
  <x:tableColumns count="3">
    <x:tableColumn id="1" name="Familia"/>
    <x:tableColumn id="2" name="Carrera"/>
    <x:tableColumn id="3" name="Cambio absoluto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7" name="H005_Topbajas" displayName="H005_Topbajas" ref="AK7:AM17" headerRowCount="1" totalsRowCount="0" totalsRowShown="0">
  <x:autoFilter ref="AK7:AM17"/>
  <x:tableColumns count="3">
    <x:tableColumn id="1" name="Familia"/>
    <x:tableColumn id="2" name="Carrera"/>
    <x:tableColumn id="3" name="Cambio absolu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9fe69dbc8d4222" /><Relationship Type="http://schemas.openxmlformats.org/officeDocument/2006/relationships/table" Target="/xl/tables/table2.xml" Id="R39cea3ab09884a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38fccfe5a04245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4d0ec49d114447a" /><Relationship Type="http://schemas.openxmlformats.org/officeDocument/2006/relationships/table" Target="/xl/tables/table4.xml" Id="Rda4c67eaff8840df" /><Relationship Type="http://schemas.openxmlformats.org/officeDocument/2006/relationships/table" Target="/xl/tables/table5.xml" Id="R80f288fbfec4405a" /><Relationship Type="http://schemas.openxmlformats.org/officeDocument/2006/relationships/table" Target="/xl/tables/table6.xml" Id="Rfa0697d1b2884b8d" /><Relationship Type="http://schemas.openxmlformats.org/officeDocument/2006/relationships/table" Target="/xl/tables/table7.xml" Id="Rb075df1513f84fea" /><Relationship Type="http://schemas.openxmlformats.org/officeDocument/2006/relationships/table" Target="/xl/tables/table8.xml" Id="Rf9bd0807947e498d" /><Relationship Type="http://schemas.openxmlformats.org/officeDocument/2006/relationships/table" Target="/xl/tables/table9.xml" Id="Ra32a72947bb2480a" /><Relationship Type="http://schemas.openxmlformats.org/officeDocument/2006/relationships/table" Target="/xl/tables/table10.xml" Id="R9ad830764feb48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1.xml" Id="Raf2d6078b2ab4ca9" /><Relationship Type="http://schemas.openxmlformats.org/officeDocument/2006/relationships/table" Target="/xl/tables/table12.xml" Id="R482adb33344c4414" /><Relationship Type="http://schemas.openxmlformats.org/officeDocument/2006/relationships/table" Target="/xl/tables/table13.xml" Id="R7fdc288b9ad84a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4.xml" Id="R6e54f6da6adb4409" /><Relationship Type="http://schemas.openxmlformats.org/officeDocument/2006/relationships/table" Target="/xl/tables/table15.xml" Id="R6e42d82643cb464a" /><Relationship Type="http://schemas.openxmlformats.org/officeDocument/2006/relationships/table" Target="/xl/tables/table16.xml" Id="R3675b160d45d4b65" /><Relationship Type="http://schemas.openxmlformats.org/officeDocument/2006/relationships/table" Target="/xl/tables/table17.xml" Id="R3e96605adb5349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8.xml" Id="R4a14fa38ad3a494c" /><Relationship Type="http://schemas.openxmlformats.org/officeDocument/2006/relationships/table" Target="/xl/tables/table19.xml" Id="R3d75b8bd8d984db2" /><Relationship Type="http://schemas.openxmlformats.org/officeDocument/2006/relationships/table" Target="/xl/tables/table20.xml" Id="Rd591037a82234382" /><Relationship Type="http://schemas.openxmlformats.org/officeDocument/2006/relationships/table" Target="/xl/tables/table21.xml" Id="R0c4699e87cf846f8" /><Relationship Type="http://schemas.openxmlformats.org/officeDocument/2006/relationships/table" Target="/xl/tables/table22.xml" Id="R0b7c932672964c16" /><Relationship Type="http://schemas.openxmlformats.org/officeDocument/2006/relationships/table" Target="/xl/tables/table23.xml" Id="R8a94c4d42e5240f1" /><Relationship Type="http://schemas.openxmlformats.org/officeDocument/2006/relationships/table" Target="/xl/tables/table24.xml" Id="R0b8fb55ab2d3439b" /><Relationship Type="http://schemas.openxmlformats.org/officeDocument/2006/relationships/table" Target="/xl/tables/table25.xml" Id="R7c2b7d15c1a24ed5" /><Relationship Type="http://schemas.openxmlformats.org/officeDocument/2006/relationships/table" Target="/xl/tables/table26.xml" Id="R1d2d4657842d464c" /><Relationship Type="http://schemas.openxmlformats.org/officeDocument/2006/relationships/table" Target="/xl/tables/table27.xml" Id="R41cc90d5bd3440f7" /><Relationship Type="http://schemas.openxmlformats.org/officeDocument/2006/relationships/table" Target="/xl/tables/table28.xml" Id="R3883f0053c4243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9.xml" Id="R41e185b9e4584d04" /><Relationship Type="http://schemas.openxmlformats.org/officeDocument/2006/relationships/table" Target="/xl/tables/table30.xml" Id="R8151f4addb4e4e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5d6864ecab474fbc" /><Relationship Type="http://schemas.openxmlformats.org/officeDocument/2006/relationships/table" Target="/xl/tables/table31.xml" Id="R7dabdf5423d84f43" /><Relationship Type="http://schemas.openxmlformats.org/officeDocument/2006/relationships/table" Target="/xl/tables/table32.xml" Id="R9dc315f1ba2b4d24" /><Relationship Type="http://schemas.openxmlformats.org/officeDocument/2006/relationships/table" Target="/xl/tables/table33.xml" Id="R00cac984e1ee4b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2baf23dce5004ca2" /><Relationship Type="http://schemas.openxmlformats.org/officeDocument/2006/relationships/table" Target="/xl/tables/table34.xml" Id="R1674f190ee2a41eb" /><Relationship Type="http://schemas.openxmlformats.org/officeDocument/2006/relationships/table" Target="/xl/tables/table35.xml" Id="Rde9c0078ed88415e" /><Relationship Type="http://schemas.openxmlformats.org/officeDocument/2006/relationships/table" Target="/xl/tables/table36.xml" Id="R041e0ae09f2a4686" /><Relationship Type="http://schemas.openxmlformats.org/officeDocument/2006/relationships/table" Target="/xl/tables/table37.xml" Id="R89df019837154bed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102B42"/>
    <pageSetUpPr fitToPage="1"/>
  </sheetPr>
  <sheetViews>
    <sheetView showGridLines="0" workbookViewId="0">
      <pane xSplit="1" ySplit="7" topLeftCell="B8" activePane="bottomRight" state="frozen"/>
    </sheetView>
  </sheetViews>
  <sheetFormatPr defaultRowHeight="15"/>
  <cols>
    <col min="1" max="1" width="20" hidden="0" customWidth="1"/>
    <col min="2" max="2" width="45" hidden="0" customWidth="1"/>
    <col min="3" max="3" width="70" hidden="0" customWidth="1"/>
    <col min="4" max="4" width="56" hidden="0" customWidth="1"/>
    <col min="5" max="5" width="26" hidden="0" customWidth="1"/>
    <col min="6" max="6" width="65" hidden="0" customWidth="1"/>
    <col min="7" max="7" width="19" hidden="0" customWidth="1"/>
    <col min="8" max="8" width="22" hidden="0" customWidth="1"/>
    <col min="9" max="9" width="28" hidden="0" customWidth="1"/>
    <col min="10" max="10" width="30" hidden="0" customWidth="1"/>
  </cols>
  <sheetData>
    <row r="1" ht="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ht="32" customHeight="1">
      <c r="A2" s="16" t="str">
        <v>IPSS · Qué logramos y qué falta</v>
      </c>
      <c r="B2" s="16"/>
      <c r="C2" s="16"/>
      <c r="D2" s="16"/>
      <c r="E2" s="16"/>
      <c r="F2" s="16"/>
      <c r="G2" s="15"/>
      <c r="H2" s="15"/>
      <c r="I2" s="15"/>
      <c r="J2" s="15"/>
    </row>
    <row r="3" ht="36" customHeight="1">
      <c r="A3" s="13" t="str">
        <v>Resumen de resultados gobernados: cifras reutilizadas, límites visibles y ninguna nueva paridad. Tablas de detalle y filtros en hojas 6–8.</v>
      </c>
      <c r="B3" s="13" t="str">
        <v>Resumen de resultados gobernados: cifras reutilizadas, límites visibles y ninguna nueva paridad. Tablas de detalle y filtros en hojas 6–8.</v>
      </c>
      <c r="C3" s="13" t="str">
        <v>Resumen de resultados gobernados: cifras reutilizadas, límites visibles y ninguna nueva paridad. Tablas de detalle y filtros en hojas 6–8.</v>
      </c>
      <c r="D3" s="13" t="str">
        <v>Resumen de resultados gobernados: cifras reutilizadas, límites visibles y ninguna nueva paridad. Tablas de detalle y filtros en hojas 6–8.</v>
      </c>
      <c r="E3" s="13" t="str">
        <v>Resumen de resultados gobernados: cifras reutilizadas, límites visibles y ninguna nueva paridad. Tablas de detalle y filtros en hojas 6–8.</v>
      </c>
      <c r="F3" s="13" t="str">
        <v>Resumen de resultados gobernados: cifras reutilizadas, límites visibles y ninguna nueva paridad. Tablas de detalle y filtros en hojas 6–8.</v>
      </c>
      <c r="G3" s="15"/>
      <c r="H3" s="15"/>
      <c r="I3" s="15"/>
      <c r="J3" s="15"/>
    </row>
    <row r="4" ht="40" customHeight="1">
      <c r="A4" s="13" t="str">
        <v>Corte: 30-10-2026. A oficial; B observado; C implementación/inferencia; D decisión interna; E pendiente. H001 es indicador interno, no tasa oficial.</v>
      </c>
      <c r="B4" s="13" t="str">
        <v>Corte: 30-10-2026. A oficial; B observado; C implementación/inferencia; D decisión interna; E pendiente. H001 es indicador interno, no tasa oficial.</v>
      </c>
      <c r="C4" s="13" t="str">
        <v>Corte: 30-10-2026. A oficial; B observado; C implementación/inferencia; D decisión interna; E pendiente. H001 es indicador interno, no tasa oficial.</v>
      </c>
      <c r="D4" s="13" t="str">
        <v>Corte: 30-10-2026. A oficial; B observado; C implementación/inferencia; D decisión interna; E pendiente. H001 es indicador interno, no tasa oficial.</v>
      </c>
      <c r="E4" s="13" t="str">
        <v>Corte: 30-10-2026. A oficial; B observado; C implementación/inferencia; D decisión interna; E pendiente. H001 es indicador interno, no tasa oficial.</v>
      </c>
      <c r="F4" s="13" t="str">
        <v>Corte: 30-10-2026. A oficial; B observado; C implementación/inferencia; D decisión interna; E pendiente. H001 es indicador interno, no tasa oficial.</v>
      </c>
      <c r="G4" s="15"/>
      <c r="H4" s="15"/>
      <c r="I4" s="15"/>
      <c r="J4" s="15"/>
    </row>
    <row r="5" ht="25" customHeight="1">
      <c r="A5" s="15"/>
      <c r="B5" s="15"/>
      <c r="C5" s="15"/>
      <c r="D5" s="15"/>
      <c r="E5" s="15"/>
      <c r="F5" s="15"/>
      <c r="G5" s="15"/>
      <c r="H5" s="15"/>
      <c r="I5" s="15"/>
      <c r="J5" s="15"/>
    </row>
    <row r="6" ht="30" customHeight="1">
      <c r="A6" s="13" t="str">
        <v>QUÉ LOGRAMOS Y POR QUÉ</v>
      </c>
      <c r="B6" s="13" t="str">
        <v>QUÉ LOGRAMOS Y POR QUÉ</v>
      </c>
      <c r="C6" s="13" t="str">
        <v>QUÉ LOGRAMOS Y POR QUÉ</v>
      </c>
      <c r="D6" s="13" t="str">
        <v>QUÉ LOGRAMOS Y POR QUÉ</v>
      </c>
      <c r="E6" s="13" t="str">
        <v>QUÉ LOGRAMOS Y POR QUÉ</v>
      </c>
      <c r="F6" s="13" t="str">
        <v>QUÉ LOGRAMOS Y POR QUÉ</v>
      </c>
      <c r="G6" s="15"/>
      <c r="H6" s="15"/>
      <c r="I6" s="15"/>
      <c r="J6" s="15"/>
    </row>
    <row r="7" ht="48" customHeight="1">
      <c r="A7" s="9" t="str">
        <v>Resultado</v>
      </c>
      <c r="B7" s="9" t="str">
        <v>Pregunta / motivo</v>
      </c>
      <c r="C7" s="9" t="str">
        <v>Cifra clave o estado</v>
      </c>
      <c r="D7" s="9" t="str">
        <v>Hoja / archivo de detalle</v>
      </c>
      <c r="E7" s="9" t="str">
        <v>Clase</v>
      </c>
      <c r="F7" s="9" t="str">
        <v>Condición de cierre o reapertura</v>
      </c>
      <c r="G7" s="9" t="str">
        <v>Sede</v>
      </c>
      <c r="H7" s="9" t="str">
        <v>Jornada</v>
      </c>
      <c r="I7" s="9" t="str">
        <v>Sector IPSS</v>
      </c>
      <c r="J7" s="9" t="str">
        <v>Fuente</v>
      </c>
    </row>
    <row r="8" ht="50" customHeight="1">
      <c r="A8" s="14" t="str">
        <v>R01</v>
      </c>
      <c r="B8" s="14" t="str">
        <v>¿Qué retención de primer año tiene la cohorte 2022 frente a SIES?</v>
      </c>
      <c r="C8" s="14" t="str">
        <v>224/305; H001 73,44 %; SIES 68,95 %; +4,49 pp; causa E cerrada</v>
      </c>
      <c r="D8" s="14" t="str">
        <v>H003 · grupos/institucional, cohorte 2022; informe tabla institucional</v>
      </c>
      <c r="E8" s="14" t="str">
        <v>B/C/D; E brechas</v>
      </c>
      <c r="F8" s="14" t="str">
        <v>Nueva fuente oficial pertinente, rectificación demostrada o instrucción explícita; no repetir conciliación con las mismas fuentes.</v>
      </c>
      <c r="G8" s="14" t="str">
        <v>Todas</v>
      </c>
      <c r="H8" s="14" t="str">
        <v>Todas</v>
      </c>
      <c r="I8" s="14" t="str">
        <v>Todas</v>
      </c>
      <c r="J8" s="14" t="str">
        <v>MAPA_H006/R01</v>
      </c>
    </row>
    <row r="9" ht="50" customHeight="1">
      <c r="A9" s="15" t="str">
        <v>R02</v>
      </c>
      <c r="B9" s="15" t="str">
        <v>¿Qué retención de primer año tiene la cohorte 2023 frente a SIES?</v>
      </c>
      <c r="C9" s="15" t="str">
        <v>258/366; H001 70,49 %; SIES 70,57 %; −0,08 pp</v>
      </c>
      <c r="D9" s="15" t="str">
        <v>H003 · grupos/institucional, cohorte 2023; informe tabla institucional</v>
      </c>
      <c r="E9" s="15" t="str">
        <v>B/C/D; E brechas</v>
      </c>
      <c r="F9" s="15" t="str">
        <v>Nueva fuente oficial pertinente, rectificación demostrada o instrucción explícita; no repetir conciliación con las mismas fuentes.</v>
      </c>
      <c r="G9" s="15" t="str">
        <v>Todas</v>
      </c>
      <c r="H9" s="15" t="str">
        <v>Todas</v>
      </c>
      <c r="I9" s="15" t="str">
        <v>Todas</v>
      </c>
      <c r="J9" s="15" t="str">
        <v>MAPA_H006/R02</v>
      </c>
    </row>
    <row r="10" ht="50" customHeight="1">
      <c r="A10" s="14" t="str">
        <v>R03</v>
      </c>
      <c r="B10" s="14" t="str">
        <v>¿Qué retención de primer año tiene la cohorte 2024 frente a SIES?</v>
      </c>
      <c r="C10" s="14" t="str">
        <v>326/558; H001 58,42 %; SIES 67,50 %; −9,08 pp; causa E cerrada</v>
      </c>
      <c r="D10" s="14" t="str">
        <v>H003 · grupos/institucional, cohorte 2024; informe tabla institucional</v>
      </c>
      <c r="E10" s="14" t="str">
        <v>B/C/D; E brechas</v>
      </c>
      <c r="F10" s="14" t="str">
        <v>Nueva fuente oficial pertinente, rectificación demostrada o instrucción explícita; no repetir conciliación con las mismas fuentes.</v>
      </c>
      <c r="G10" s="14" t="str">
        <v>Todas</v>
      </c>
      <c r="H10" s="14" t="str">
        <v>Todas</v>
      </c>
      <c r="I10" s="14" t="str">
        <v>Todas</v>
      </c>
      <c r="J10" s="14" t="str">
        <v>MAPA_H006/R03</v>
      </c>
    </row>
    <row r="11" ht="50" customHeight="1">
      <c r="A11" s="15" t="str">
        <v>R04</v>
      </c>
      <c r="B11" s="15" t="str">
        <v>¿Qué retención de primer año tiene la cohorte 2025 frente a SIES?</v>
      </c>
      <c r="C11" s="15" t="str">
        <v>668/1.150; H001 58,09 %; SIES 58,21 %; −0,12 pp; SIES 677/1.163</v>
      </c>
      <c r="D11" s="15" t="str">
        <v>H003 · grupos/institucional, cohorte 2025; informe tabla institucional</v>
      </c>
      <c r="E11" s="15" t="str">
        <v>B/C/D; E brechas</v>
      </c>
      <c r="F11" s="15" t="str">
        <v>Nueva fuente oficial pertinente, rectificación demostrada o instrucción explícita; no repetir conciliación con las mismas fuentes.</v>
      </c>
      <c r="G11" s="15" t="str">
        <v>Todas</v>
      </c>
      <c r="H11" s="15" t="str">
        <v>Todas</v>
      </c>
      <c r="I11" s="15" t="str">
        <v>Todas</v>
      </c>
      <c r="J11" s="15" t="str">
        <v>MAPA_H006/R04</v>
      </c>
    </row>
    <row r="12" ht="50" customHeight="1">
      <c r="A12" s="14" t="str">
        <v>R07</v>
      </c>
      <c r="B12" s="14" t="str">
        <v>¿Cuadran los totales MU y SIES 2022–2026?</v>
      </c>
      <c r="C12" s="14" t="str">
        <v>2022: VIG1/SIES 1.033/1.033; 2023 1.142/1.142; 2024 1.455/1.455; 2025 2.298/2.371 (73 VIG0 registradas); 2026 3.145/3.371 (brecha 226).</v>
      </c>
      <c r="D12" s="14" t="str">
        <v>H003 · matriz[*].mu_sies</v>
      </c>
      <c r="E12" s="14" t="str">
        <v>B/C; D cierre; E causa</v>
      </c>
      <c r="F12" s="14" t="str">
        <v>Fuente anual nueva y pertinente, o rectificación demostrada. Para MU2026 sólo fuente individual SIES según cierre.</v>
      </c>
      <c r="G12" s="14" t="str">
        <v>Todas</v>
      </c>
      <c r="H12" s="14" t="str">
        <v>Todas</v>
      </c>
      <c r="I12" s="14" t="str">
        <v>Todas</v>
      </c>
      <c r="J12" s="14" t="str">
        <v>MAPA_H006/R07</v>
      </c>
    </row>
    <row r="13" ht="36" customHeight="1">
      <c r="A13" s="15" t="str">
        <v>R09</v>
      </c>
      <c r="B13" s="15" t="str">
        <v>¿Qué conclusión queda sobre la brecha MU 2026 de 226?</v>
      </c>
      <c r="C13" s="15" t="str">
        <v>CERRADA_DOCUMENTADA, causa E; pregrado 3.371 frente a 3.145; postítulo 54/54.</v>
      </c>
      <c r="D13" s="15" t="str">
        <v>H003 · estado; brecha; reapertura</v>
      </c>
      <c r="E13" s="15" t="str">
        <v>D cierre; B/C evidencia; E causa</v>
      </c>
      <c r="F13" s="15" t="str">
        <v>Sólo fuente individual SIES de MU2026, por ejemplo precarga AC2027 acreditada.</v>
      </c>
      <c r="G13" s="15" t="str">
        <v>Todas</v>
      </c>
      <c r="H13" s="15" t="str">
        <v>Todas</v>
      </c>
      <c r="I13" s="15" t="str">
        <v>Todas</v>
      </c>
      <c r="J13" s="15" t="str">
        <v>MAPA_H006/R09</v>
      </c>
    </row>
    <row r="14" ht="50" customHeight="1">
      <c r="A14" s="14" t="str">
        <v>R11</v>
      </c>
      <c r="B14" s="14" t="str">
        <v>¿Qué paridad de catálogo 2027 quedó aprobada en H002?</v>
      </c>
      <c r="C14" s="14" t="str">
        <v>161 códigos 2027; 97 resueltos (53 CONTINUA + 31 VERSION_MULTIPLE_RESUELTA + 13 APROBADA_D_2027); 0 VERSION_MULTIPLE_E. Catálogo 2026: 106.</v>
      </c>
      <c r="D14" s="14" t="str">
        <v>data/paridad_codigo_sies/20261029/TABLA_PARIDAD_2026_2027.json</v>
      </c>
      <c r="E14" s="14" t="str">
        <v>B/C/D; E pendientes</v>
      </c>
      <c r="F14" s="14" t="str">
        <v>Sólo MU2027, oferta2027 aceptada en PES, precarga AC2027 o registro histórico UMAS por año; verificar pertinencia y hash antes de abrir un hito.</v>
      </c>
      <c r="G14" s="14" t="str">
        <v>Todas</v>
      </c>
      <c r="H14" s="14" t="str">
        <v>Todas</v>
      </c>
      <c r="I14" s="14" t="str">
        <v>Todas</v>
      </c>
      <c r="J14" s="14" t="str">
        <v>MAPA_H006/R11</v>
      </c>
    </row>
    <row r="15" ht="36" customHeight="1">
      <c r="A15" s="15" t="str">
        <v>R18</v>
      </c>
      <c r="B15" s="15" t="str">
        <v>¿Debe cuadrarse 2007–2021 con Datos Alumnos actual?</v>
      </c>
      <c r="C15" s="15" t="str">
        <v>CIERRE E CON CAUSA por decisión D: foto actual no sustituye registro histórico anual. SIES sí cuadra con publicación.</v>
      </c>
      <c r="D15" s="15" t="str">
        <v>data/paridad_codigo_sies/cierre_historico_2007_2021/README.md</v>
      </c>
      <c r="E15" s="15" t="str">
        <v>D cierre; B/C evidencia; E paridad interna</v>
      </c>
      <c r="F15" s="15" t="str">
        <v>Registro histórico UMAS por año comparable; aplicar además el techo H004 para el resto de la paridad.</v>
      </c>
      <c r="G15" s="15" t="str">
        <v>Todas</v>
      </c>
      <c r="H15" s="15" t="str">
        <v>Todas</v>
      </c>
      <c r="I15" s="15" t="str">
        <v>Todas</v>
      </c>
      <c r="J15" s="15" t="str">
        <v>MAPA_H006/R18</v>
      </c>
    </row>
    <row r="16" ht="50" customHeight="1">
      <c r="A16" s="14" t="str">
        <v>R19</v>
      </c>
      <c r="B16" s="14" t="str">
        <v>¿Qué se puede usar del indicador intertrimestral 2026?</v>
      </c>
      <c r="C16" s="14" t="str">
        <v>BORRADOR_NO_ACTIVO; paridad parcial. T1→T3 1.360/1.467 personas; total T3 2.290/2.519 personas; ingreso T2 462/528 matrículas.</v>
      </c>
      <c r="D16" s="14" t="str">
        <v>H003 · fuentes; tipos_de_celda; cierre_hito_2c; V24 hoja 18</v>
      </c>
      <c r="E16" s="14" t="str">
        <v>B/C/D/E; no oficial</v>
      </c>
      <c r="F16" s="14" t="str">
        <v>Fuente nueva o decisión explícita sobre los pendientes documentados y criterio de parada antes de continuar; no crear V25 ni activar por reutilización.</v>
      </c>
      <c r="G16" s="14" t="str">
        <v>Todas</v>
      </c>
      <c r="H16" s="14" t="str">
        <v>Todas</v>
      </c>
      <c r="I16" s="14" t="str">
        <v>Todas</v>
      </c>
      <c r="J16" s="14" t="str">
        <v>MAPA_H006/R19</v>
      </c>
    </row>
    <row r="17" ht="27" customHeight="1">
      <c r="A17" s="15" t="str">
        <v>R21-SIES</v>
      </c>
      <c r="B17" s="15" t="str">
        <v>¿Qué catálogos se reúnen?</v>
      </c>
      <c r="C17" s="15" t="str">
        <v>139 en oferta; 106 con matrícula</v>
      </c>
      <c r="D17" s="15" t="str">
        <v>2_Programas_SIES</v>
      </c>
      <c r="E17" s="15" t="str">
        <v>B/C</v>
      </c>
      <c r="F17" s="15" t="str">
        <v>Nueva fuente gobernada</v>
      </c>
      <c r="G17" s="15" t="str">
        <v>Todas</v>
      </c>
      <c r="H17" s="15" t="str">
        <v>Todas</v>
      </c>
      <c r="I17" s="15" t="str">
        <v>Todas</v>
      </c>
      <c r="J17" s="15" t="str">
        <v>CIFRAS_CLAVE/H005b</v>
      </c>
    </row>
    <row r="18" ht="27" customHeight="1">
      <c r="A18" s="14" t="str">
        <v>R21-UMAS</v>
      </c>
      <c r="B18" s="14" t="str">
        <v>¿Cuántos planes y códigos internos?</v>
      </c>
      <c r="C18" s="14" t="str">
        <v>236 planes; 127 CODCARPR</v>
      </c>
      <c r="D18" s="14" t="str">
        <v>4_Codigos_UMAS</v>
      </c>
      <c r="E18" s="14" t="str">
        <v>B/C</v>
      </c>
      <c r="F18" s="14" t="str">
        <v>Nuevo catálogo UMAS</v>
      </c>
      <c r="G18" s="14" t="str">
        <v>Todas</v>
      </c>
      <c r="H18" s="14" t="str">
        <v>Todas</v>
      </c>
      <c r="I18" s="14" t="str">
        <v>Todas</v>
      </c>
      <c r="J18" s="14" t="str">
        <v>CIFRAS_CLAVE</v>
      </c>
    </row>
    <row r="19" ht="27" customHeight="1">
      <c r="A19" s="15" t="str">
        <v>R21-ENLACE</v>
      </c>
      <c r="B19" s="15" t="str">
        <v>¿Qué cobertura tiene el enlace?</v>
      </c>
      <c r="C19" s="15" t="str">
        <v>8.814/9.146 matrículas-año; 96,4 %</v>
      </c>
      <c r="D19" s="15" t="str">
        <v>5_Cruce_SIES_UMAS</v>
      </c>
      <c r="E19" s="15" t="str">
        <v>B/C</v>
      </c>
      <c r="F19" s="15" t="str">
        <v>No recalcular con mismas fuentes</v>
      </c>
      <c r="G19" s="15" t="str">
        <v>Todas</v>
      </c>
      <c r="H19" s="15" t="str">
        <v>Todas</v>
      </c>
      <c r="I19" s="15" t="str">
        <v>Todas</v>
      </c>
      <c r="J19" s="15" t="str">
        <v>CIFRAS_CLAVE</v>
      </c>
    </row>
    <row r="20" ht="36" customHeight="1">
      <c r="A20" s="14" t="str">
        <v>R21-TIPOS</v>
      </c>
      <c r="B20" s="14" t="str">
        <v>¿Qué cruces de tipo se observan?</v>
      </c>
      <c r="C20" s="14" t="str">
        <v>2024: 133; 2025: 171; 2026: 0 evaluables</v>
      </c>
      <c r="D20" s="14" t="str">
        <v>5_Cruce_SIES_UMAS</v>
      </c>
      <c r="E20" s="14" t="str">
        <v>A criterio; B/C contraste; E sin tipo</v>
      </c>
      <c r="F20" s="14" t="str">
        <v>Nuevo respaldo de tipo o carga</v>
      </c>
      <c r="G20" s="14" t="str">
        <v>Todas</v>
      </c>
      <c r="H20" s="14" t="str">
        <v>Todas</v>
      </c>
      <c r="I20" s="14" t="str">
        <v>Todas</v>
      </c>
      <c r="J20" s="14" t="str">
        <v>COHERENCIA_TIPO_H005C</v>
      </c>
    </row>
    <row r="21" ht="2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ht="30" customHeight="1">
      <c r="A22" s="13" t="str">
        <v>QUÉ FALTA Y POR QUÉ</v>
      </c>
      <c r="B22" s="13" t="str">
        <v>QUÉ FALTA Y POR QUÉ</v>
      </c>
      <c r="C22" s="13" t="str">
        <v>QUÉ FALTA Y POR QUÉ</v>
      </c>
      <c r="D22" s="13" t="str">
        <v>QUÉ FALTA Y POR QUÉ</v>
      </c>
      <c r="E22" s="13" t="str">
        <v>QUÉ FALTA Y POR QUÉ</v>
      </c>
      <c r="F22" s="13" t="str">
        <v>QUÉ FALTA Y POR QUÉ</v>
      </c>
      <c r="G22" s="15"/>
      <c r="H22" s="15"/>
      <c r="I22" s="15"/>
      <c r="J22" s="15"/>
    </row>
    <row r="23" ht="48" customHeight="1">
      <c r="A23" s="9" t="str">
        <v>Resultado</v>
      </c>
      <c r="B23" s="9" t="str">
        <v>Pregunta / motivo</v>
      </c>
      <c r="C23" s="9" t="str">
        <v>Cifra clave o estado</v>
      </c>
      <c r="D23" s="9" t="str">
        <v>Hoja / archivo de detalle</v>
      </c>
      <c r="E23" s="9" t="str">
        <v>Clase</v>
      </c>
      <c r="F23" s="9" t="str">
        <v>Condición de cierre o reapertura</v>
      </c>
      <c r="G23" s="9" t="str">
        <v>Sede</v>
      </c>
      <c r="H23" s="9" t="str">
        <v>Jornada</v>
      </c>
      <c r="I23" s="9" t="str">
        <v>Sector IPSS</v>
      </c>
      <c r="J23" s="9" t="str">
        <v>Fuente</v>
      </c>
    </row>
    <row r="24" ht="36" customHeight="1">
      <c r="A24" s="14" t="str">
        <v>R09</v>
      </c>
      <c r="B24" s="14" t="str">
        <v>¿Qué conclusión queda sobre la brecha MU 2026 de 226?</v>
      </c>
      <c r="C24" s="14" t="str">
        <v>CERRADA_DOCUMENTADA, causa E; pregrado 3.371 frente a 3.145; postítulo 54/54.</v>
      </c>
      <c r="D24" s="14" t="str">
        <v>outputs/matriz_cuadratura_totales_20261028/CIERRE_BRECHA_MU2026.json</v>
      </c>
      <c r="E24" s="14" t="str">
        <v>D cierre; B/C evidencia; E causa</v>
      </c>
      <c r="F24" s="14" t="str">
        <v>Sólo fuente individual SIES de MU2026, por ejemplo precarga AC2027 acreditada.</v>
      </c>
      <c r="G24" s="14" t="str">
        <v>Todas</v>
      </c>
      <c r="H24" s="14" t="str">
        <v>Todas</v>
      </c>
      <c r="I24" s="14" t="str">
        <v>Todas</v>
      </c>
      <c r="J24" s="14" t="str">
        <v>MAPA_H006/R09</v>
      </c>
    </row>
    <row r="25" ht="50" customHeight="1">
      <c r="A25" s="15" t="str">
        <v>R12</v>
      </c>
      <c r="B25" s="15" t="str">
        <v>¿Qué regla activa asigna código MU2027?</v>
      </c>
      <c r="C25" s="15" t="str">
        <v>ANTIGUO conserva MU2026; NUEVO usa VIGENCIA 1 y tipo plan; revisión por falta de código, ausencia en oferta o vigencia 3 para antiguos; ambigüedades reales para nuevos.</v>
      </c>
      <c r="D25" s="15" t="str">
        <v>data/reglas_negocio/mu2027/REGLA_CODIGO_SIES_MU2027.json</v>
      </c>
      <c r="E25" s="15" t="str">
        <v>D/C</v>
      </c>
      <c r="F25" s="15" t="str">
        <v>Sólo MU2027, oferta2027 aceptada en PES, precarga AC2027 o registro histórico UMAS por año; verificar pertinencia y hash antes de abrir un hito.</v>
      </c>
      <c r="G25" s="15" t="str">
        <v>Todas</v>
      </c>
      <c r="H25" s="15" t="str">
        <v>Todas</v>
      </c>
      <c r="I25" s="15" t="str">
        <v>Todas</v>
      </c>
      <c r="J25" s="15" t="str">
        <v>MAPA_H006/R12</v>
      </c>
    </row>
    <row r="26" ht="50" customHeight="1">
      <c r="A26" s="14" t="str">
        <v>R13</v>
      </c>
      <c r="B26" s="14" t="str">
        <v>¿Cuánta revisión real MU2027 queda después de H002l?</v>
      </c>
      <c r="C26" s="14" t="str">
        <v>0 antiguos de 4.105; 34 opciones nuevas de 223; 130 informativas y 59 asignadas; 37 códigos sin plan en unidad separada.</v>
      </c>
      <c r="D26" s="14" t="str">
        <v>outputs/depuracion_codigo_mu2027_20261029/LISTA_REVISION_MANUAL_MU2027_v2.json</v>
      </c>
      <c r="E26" s="14" t="str">
        <v>D/C/E</v>
      </c>
      <c r="F26" s="14" t="str">
        <v>Sólo MU2027, oferta2027 aceptada en PES, precarga AC2027 o registro histórico UMAS por año; verificar pertinencia y hash antes de abrir un hito.</v>
      </c>
      <c r="G26" s="14" t="str">
        <v>Todas</v>
      </c>
      <c r="H26" s="14" t="str">
        <v>Todas</v>
      </c>
      <c r="I26" s="14" t="str">
        <v>Todas</v>
      </c>
      <c r="J26" s="14" t="str">
        <v>MAPA_H006/R13</v>
      </c>
    </row>
    <row r="27" ht="50" customHeight="1">
      <c r="A27" s="15" t="str">
        <v>R15</v>
      </c>
      <c r="B27" s="15" t="str">
        <v>¿H002m completó los tipos E y resolvió revisión 2027?</v>
      </c>
      <c r="C27" s="15" t="str">
        <v>De 102: 3 REGULAR, 8 CONTINUIDAD, 6 DEBIL, 7 CONFLICTO, 78 E. Resuelve 0 de 34 revisiones. CANDIDATO_NO_ACTIVO.</v>
      </c>
      <c r="D27" s="15" t="str">
        <v>outputs/regla_operativa_mu_v3_20261029/RESULTADOS.json</v>
      </c>
      <c r="E27" s="15" t="str">
        <v>B/C/E; D no activar</v>
      </c>
      <c r="F27" s="15" t="str">
        <v>Sólo MU2027, oferta2027 aceptada en PES, precarga AC2027 o registro histórico UMAS por año; verificar pertinencia y hash antes de abrir un hito.</v>
      </c>
      <c r="G27" s="15" t="str">
        <v>Todas</v>
      </c>
      <c r="H27" s="15" t="str">
        <v>Todas</v>
      </c>
      <c r="I27" s="15" t="str">
        <v>Todas</v>
      </c>
      <c r="J27" s="15" t="str">
        <v>MAPA_H006/R15</v>
      </c>
    </row>
    <row r="28" ht="50" customHeight="1">
      <c r="A28" s="14" t="str">
        <v>R19</v>
      </c>
      <c r="B28" s="14" t="str">
        <v>¿Qué se puede usar del indicador intertrimestral 2026?</v>
      </c>
      <c r="C28" s="14" t="str">
        <v>BORRADOR_NO_ACTIVO; paridad parcial. T1→T3 1.360/1.467 personas; total T3 2.290/2.519 personas; ingreso T2 462/528 matrículas.</v>
      </c>
      <c r="D28" s="14" t="str">
        <v>data/reglas_negocio/indicador_intertrimestral/REGLA.json</v>
      </c>
      <c r="E28" s="14" t="str">
        <v>B/C/D/E; no oficial</v>
      </c>
      <c r="F28" s="14" t="str">
        <v>Fuente nueva o decisión explícita sobre los pendientes documentados y criterio de parada antes de continuar; no crear V25 ni activar por reutilización.</v>
      </c>
      <c r="G28" s="14" t="str">
        <v>Todas</v>
      </c>
      <c r="H28" s="14" t="str">
        <v>Todas</v>
      </c>
      <c r="I28" s="14" t="str">
        <v>Todas</v>
      </c>
      <c r="J28" s="14" t="str">
        <v>MAPA_H006/R19</v>
      </c>
    </row>
    <row r="29" ht="27" customHeight="1">
      <c r="A29" s="15" t="str">
        <v>H006-2027</v>
      </c>
      <c r="B29" s="15" t="str">
        <v>Oferta y primer ingreso 2027</v>
      </c>
      <c r="C29" s="15" t="str">
        <v>No evaluable aún</v>
      </c>
      <c r="D29" s="15" t="str">
        <v>7_Ofertadas_No_Abiertas</v>
      </c>
      <c r="E29" s="15" t="str">
        <v>E</v>
      </c>
      <c r="F29" s="15" t="str">
        <v>MU 2027 y oferta aceptada en PES</v>
      </c>
      <c r="G29" s="15" t="str">
        <v>Todas</v>
      </c>
      <c r="H29" s="15" t="str">
        <v>Todas</v>
      </c>
      <c r="I29" s="15" t="str">
        <v>Todas</v>
      </c>
      <c r="J29" s="15" t="str">
        <v>H002/V06 carga preparada C</v>
      </c>
    </row>
  </sheetData>
  <mergeCells>
    <mergeCell ref="A2:F2"/>
    <mergeCell ref="A3:F3"/>
    <mergeCell ref="A4:F4"/>
    <mergeCell ref="A6:F6"/>
    <mergeCell ref="A22:F22"/>
  </mergeCells>
  <printOptions headings="0" gridLines="0"/>
  <pageMargins left="0.25" right="0.25" top="0.25" bottom="0.25" header="0" footer="0"/>
  <pageSetup paperSize="8" orientation="landscape" fitToWidth="1" fitToHeight="1"/>
  <tableParts count="2">
    <tablePart ns1:id="Rdf9fe69dbc8d4222"/>
    <tablePart ns1:id="R39cea3ab09884a5a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102B42"/>
    <pageSetUpPr fitToPage="1"/>
  </sheetPr>
  <sheetViews>
    <sheetView showGridLines="0" workbookViewId="0">
      <pane xSplit="1" ySplit="7" topLeftCell="B8" activePane="bottomRight" state="frozen"/>
    </sheetView>
  </sheetViews>
  <sheetFormatPr defaultRowHeight="15"/>
  <cols>
    <col min="1" max="1" width="25" hidden="0" customWidth="1"/>
    <col min="2" max="2" width="54" hidden="0" customWidth="1"/>
    <col min="3" max="3" width="9" hidden="0" customWidth="1"/>
    <col min="4" max="4" width="10" hidden="0" customWidth="1"/>
    <col min="5" max="5" width="10" hidden="0" customWidth="1"/>
    <col min="6" max="6" width="20" hidden="0" customWidth="1"/>
    <col min="7" max="7" width="18" hidden="0" customWidth="1"/>
    <col min="8" max="8" width="26" hidden="0" customWidth="1"/>
    <col min="9" max="9" width="12" hidden="0" customWidth="1"/>
    <col min="10" max="10" width="12" hidden="0" customWidth="1"/>
    <col min="11" max="11" width="12" hidden="0" customWidth="1"/>
    <col min="12" max="12" width="12" hidden="0" customWidth="1"/>
    <col min="13" max="13" width="12" hidden="0" customWidth="1"/>
    <col min="14" max="14" width="12" hidden="0" customWidth="1"/>
    <col min="15" max="15" width="12" hidden="0" customWidth="1"/>
    <col min="16" max="16" width="12" hidden="0" customWidth="1"/>
    <col min="17" max="17" width="12" hidden="0" customWidth="1"/>
    <col min="18" max="18" width="12" hidden="0" customWidth="1"/>
    <col min="19" max="19" width="12" hidden="0" customWidth="1"/>
    <col min="20" max="20" width="12" hidden="0" customWidth="1"/>
    <col min="21" max="21" width="12" hidden="0" customWidth="1"/>
    <col min="22" max="22" width="12" hidden="0" customWidth="1"/>
    <col min="23" max="23" width="12" hidden="0" customWidth="1"/>
    <col min="24" max="24" width="12" hidden="0" customWidth="1"/>
    <col min="25" max="25" width="12" hidden="0" customWidth="1"/>
    <col min="26" max="26" width="12" hidden="0" customWidth="1"/>
    <col min="27" max="27" width="12" hidden="0" customWidth="1"/>
    <col min="28" max="28" width="12" hidden="0" customWidth="1"/>
    <col min="29" max="29" width="12" hidden="0" customWidth="1"/>
    <col min="30" max="30" width="12" hidden="0" customWidth="1"/>
    <col min="31" max="31" width="12" hidden="0" customWidth="1"/>
    <col min="32" max="32" width="24" hidden="0" customWidth="1"/>
    <col min="33" max="33" width="26" hidden="0" customWidth="1"/>
    <col min="34" max="34" width="20" hidden="0" customWidth="1"/>
    <col min="35" max="35" width="12" hidden="0" customWidth="1"/>
    <col min="36" max="36" width="14" hidden="0" customWidth="1"/>
    <col min="37" max="37" width="14" hidden="0" customWidth="1"/>
    <col min="38" max="38" width="14" hidden="0" customWidth="1"/>
    <col min="39" max="39" width="14" hidden="0" customWidth="1"/>
    <col min="40" max="40" width="14" hidden="0" customWidth="1"/>
    <col min="41" max="41" width="48" hidden="0" customWidth="1"/>
    <col min="42" max="42" width="16" hidden="0" customWidth="1"/>
    <col min="43" max="43" width="40" hidden="0" customWidth="1"/>
    <col min="44" max="44" width="12" hidden="0" customWidth="1"/>
    <col min="45" max="45" width="25" hidden="0" customWidth="1"/>
    <col min="46" max="46" width="65" hidden="0" customWidth="1"/>
    <col min="47" max="47" width="19" hidden="0" customWidth="1"/>
    <col min="48" max="48" width="19" hidden="0" customWidth="1"/>
    <col min="49" max="49" width="46" hidden="0" customWidth="1"/>
    <col min="50" max="50" width="18" hidden="0" customWidth="1"/>
    <col min="51" max="51" width="45" hidden="0" customWidth="1"/>
  </cols>
  <sheetData>
    <row r="1" ht="2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</row>
    <row r="2" ht="32" customHeight="1">
      <c r="A2" s="16" t="str">
        <v>IPSS · Base de códigos SIES y planes UMAS</v>
      </c>
      <c r="B2" s="16"/>
      <c r="C2" s="16"/>
      <c r="D2" s="16"/>
      <c r="E2" s="16"/>
      <c r="F2" s="16"/>
      <c r="G2" s="16"/>
      <c r="H2" s="16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</row>
    <row r="3" ht="44" customHeight="1">
      <c r="A3" s="13" t="str">
        <v>Filas de catálogo: código × plan. La matrícula SIES 2007–2026 se repite entre planes: NO sumar esas columnas aquí.</v>
      </c>
      <c r="B3" s="13" t="str">
        <v>Filas de catálogo: código × plan. La matrícula SIES 2007–2026 se repite entre planes: NO sumar esas columnas aquí.</v>
      </c>
      <c r="C3" s="13" t="str">
        <v>Filas de catálogo: código × plan. La matrícula SIES 2007–2026 se repite entre planes: NO sumar esas columnas aquí.</v>
      </c>
      <c r="D3" s="13" t="str">
        <v>Filas de catálogo: código × plan. La matrícula SIES 2007–2026 se repite entre planes: NO sumar esas columnas aquí.</v>
      </c>
      <c r="E3" s="13" t="str">
        <v>Filas de catálogo: código × plan. La matrícula SIES 2007–2026 se repite entre planes: NO sumar esas columnas aquí.</v>
      </c>
      <c r="F3" s="13" t="str">
        <v>Filas de catálogo: código × plan. La matrícula SIES 2007–2026 se repite entre planes: NO sumar esas columnas aquí.</v>
      </c>
      <c r="G3" s="13" t="str">
        <v>Filas de catálogo: código × plan. La matrícula SIES 2007–2026 se repite entre planes: NO sumar esas columnas aquí.</v>
      </c>
      <c r="H3" s="13" t="str">
        <v>Filas de catálogo: código × plan. La matrícula SIES 2007–2026 se repite entre planes: NO sumar esas columnas aquí.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</row>
    <row r="4" ht="44" customHeight="1">
      <c r="A4" s="13" t="str">
        <v>Los enlaces MU son matrículas-año seleccionadas de H002g. Un enlace a expediente no prueba un plan anual. Fuentes y hashes en hoja 5.</v>
      </c>
      <c r="B4" s="13" t="str">
        <v>Los enlaces MU son matrículas-año seleccionadas de H002g. Un enlace a expediente no prueba un plan anual. Fuentes y hashes en hoja 5.</v>
      </c>
      <c r="C4" s="13" t="str">
        <v>Los enlaces MU son matrículas-año seleccionadas de H002g. Un enlace a expediente no prueba un plan anual. Fuentes y hashes en hoja 5.</v>
      </c>
      <c r="D4" s="13" t="str">
        <v>Los enlaces MU son matrículas-año seleccionadas de H002g. Un enlace a expediente no prueba un plan anual. Fuentes y hashes en hoja 5.</v>
      </c>
      <c r="E4" s="13" t="str">
        <v>Los enlaces MU son matrículas-año seleccionadas de H002g. Un enlace a expediente no prueba un plan anual. Fuentes y hashes en hoja 5.</v>
      </c>
      <c r="F4" s="13" t="str">
        <v>Los enlaces MU son matrículas-año seleccionadas de H002g. Un enlace a expediente no prueba un plan anual. Fuentes y hashes en hoja 5.</v>
      </c>
      <c r="G4" s="13" t="str">
        <v>Los enlaces MU son matrículas-año seleccionadas de H002g. Un enlace a expediente no prueba un plan anual. Fuentes y hashes en hoja 5.</v>
      </c>
      <c r="H4" s="13" t="str">
        <v>Los enlaces MU son matrículas-año seleccionadas de H002g. Un enlace a expediente no prueba un plan anual. Fuentes y hashes en hoja 5.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</row>
    <row r="5" ht="44" customHeight="1">
      <c r="A5" s="13" t="str">
        <v>Corte 30-10-2026. A oficial; B observado; C implementación/inferencia; D decisión interna; E pendiente. Sin nuevos cruces.</v>
      </c>
      <c r="B5" s="13" t="str">
        <v>Corte 30-10-2026. A oficial; B observado; C implementación/inferencia; D decisión interna; E pendiente. Sin nuevos cruces.</v>
      </c>
      <c r="C5" s="13" t="str">
        <v>Corte 30-10-2026. A oficial; B observado; C implementación/inferencia; D decisión interna; E pendiente. Sin nuevos cruces.</v>
      </c>
      <c r="D5" s="13" t="str">
        <v>Corte 30-10-2026. A oficial; B observado; C implementación/inferencia; D decisión interna; E pendiente. Sin nuevos cruces.</v>
      </c>
      <c r="E5" s="13" t="str">
        <v>Corte 30-10-2026. A oficial; B observado; C implementación/inferencia; D decisión interna; E pendiente. Sin nuevos cruces.</v>
      </c>
      <c r="F5" s="13" t="str">
        <v>Corte 30-10-2026. A oficial; B observado; C implementación/inferencia; D decisión interna; E pendiente. Sin nuevos cruces.</v>
      </c>
      <c r="G5" s="13" t="str">
        <v>Corte 30-10-2026. A oficial; B observado; C implementación/inferencia; D decisión interna; E pendiente. Sin nuevos cruces.</v>
      </c>
      <c r="H5" s="13" t="str">
        <v>Corte 30-10-2026. A oficial; B observado; C implementación/inferencia; D decisión interna; E pendiente. Sin nuevos cruces.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</row>
    <row r="6" ht="2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</row>
    <row r="7" ht="48" customHeight="1">
      <c r="A7" s="9" t="str">
        <v>Código SIES</v>
      </c>
      <c r="B7" s="9" t="str">
        <v>Carrera SIES</v>
      </c>
      <c r="C7" s="9" t="str">
        <v>Sede SIES</v>
      </c>
      <c r="D7" s="9" t="str">
        <v>Jornada SIES</v>
      </c>
      <c r="E7" s="9" t="str">
        <v>Versión</v>
      </c>
      <c r="F7" s="9" t="str">
        <v>Modalidad</v>
      </c>
      <c r="G7" s="9" t="str">
        <v>Nivel</v>
      </c>
      <c r="H7" s="9" t="str">
        <v>Tipo plan SIES</v>
      </c>
      <c r="I7" s="9" t="str">
        <v>Primer año</v>
      </c>
      <c r="J7" s="9" t="str">
        <v>Último año</v>
      </c>
      <c r="K7" s="9" t="str">
        <v>2007</v>
      </c>
      <c r="L7" s="9" t="str">
        <v>2008</v>
      </c>
      <c r="M7" s="9" t="str">
        <v>2009</v>
      </c>
      <c r="N7" s="9" t="str">
        <v>2010</v>
      </c>
      <c r="O7" s="9" t="str">
        <v>2011</v>
      </c>
      <c r="P7" s="9" t="str">
        <v>2012</v>
      </c>
      <c r="Q7" s="9" t="str">
        <v>2013</v>
      </c>
      <c r="R7" s="9" t="str">
        <v>2014</v>
      </c>
      <c r="S7" s="9" t="str">
        <v>2015</v>
      </c>
      <c r="T7" s="9" t="str">
        <v>2016</v>
      </c>
      <c r="U7" s="9" t="str">
        <v>2017</v>
      </c>
      <c r="V7" s="9" t="str">
        <v>2018</v>
      </c>
      <c r="W7" s="9" t="str">
        <v>2019</v>
      </c>
      <c r="X7" s="9" t="str">
        <v>2020</v>
      </c>
      <c r="Y7" s="9" t="str">
        <v>2021</v>
      </c>
      <c r="Z7" s="9" t="str">
        <v>2022</v>
      </c>
      <c r="AA7" s="9" t="str">
        <v>2023</v>
      </c>
      <c r="AB7" s="9" t="str">
        <v>2024</v>
      </c>
      <c r="AC7" s="9" t="str">
        <v>2025</v>
      </c>
      <c r="AD7" s="9" t="str">
        <v>2026</v>
      </c>
      <c r="AE7" s="9" t="str">
        <v>Vigencia 2027</v>
      </c>
      <c r="AF7" s="9" t="str">
        <v>CODCARPR</v>
      </c>
      <c r="AG7" s="9" t="str">
        <v>Plan UMAS</v>
      </c>
      <c r="AH7" s="9" t="str">
        <v>Tipo UMAS v2</v>
      </c>
      <c r="AI7" s="9" t="str">
        <v>Clase tipo</v>
      </c>
      <c r="AJ7" s="9" t="str">
        <v>Enlazadas 2022</v>
      </c>
      <c r="AK7" s="9" t="str">
        <v>Enlazadas 2023</v>
      </c>
      <c r="AL7" s="9" t="str">
        <v>Enlazadas 2024</v>
      </c>
      <c r="AM7" s="9" t="str">
        <v>Enlazadas 2025</v>
      </c>
      <c r="AN7" s="9" t="str">
        <v>Enlazadas 2026</v>
      </c>
      <c r="AO7" s="9" t="str">
        <v>Método de unión</v>
      </c>
      <c r="AP7" s="9" t="str">
        <v>Estado</v>
      </c>
      <c r="AQ7" s="9" t="str">
        <v>Motivo</v>
      </c>
      <c r="AR7" s="9" t="str">
        <v>Clase unión</v>
      </c>
      <c r="AS7" s="9" t="str">
        <v>Fuente (ID)</v>
      </c>
      <c r="AT7" s="9" t="str">
        <v>Límite / alcance</v>
      </c>
      <c r="AU7" s="9" t="str">
        <v>Duración estudios (sem.)</v>
      </c>
      <c r="AV7" s="9" t="str">
        <v>Duración total (sem.)</v>
      </c>
      <c r="AW7" s="9" t="str">
        <v>Tipo de familia histórica</v>
      </c>
      <c r="AX7" s="9" t="str">
        <v>Año atributos duración</v>
      </c>
      <c r="AY7" s="9" t="str">
        <v>Fuente duración</v>
      </c>
    </row>
    <row r="8" ht="36" customHeight="1">
      <c r="A8" s="14" t="str">
        <v>I162M2008N1</v>
      </c>
      <c r="B8" s="14" t="str">
        <v>CONSTRUCCION Y ADMINISTRACION DE REDES DE COMUNICACIONES</v>
      </c>
      <c r="C8" s="14" t="str">
        <v>E</v>
      </c>
      <c r="D8" s="14" t="str">
        <v>E</v>
      </c>
      <c r="E8" s="14" t="str">
        <v>E</v>
      </c>
      <c r="F8" s="14" t="str">
        <v>E</v>
      </c>
      <c r="G8" s="14" t="str">
        <v>Pregrado</v>
      </c>
      <c r="H8" s="14" t="str">
        <v>Plan Regular</v>
      </c>
      <c r="I8" s="21" t="n">
        <v>2008</v>
      </c>
      <c r="J8" s="21" t="n">
        <v>2008</v>
      </c>
      <c r="K8" s="22" t="n">
        <v>0</v>
      </c>
      <c r="L8" s="22" t="n">
        <v>69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14" t="str">
        <v>n.a.</v>
      </c>
      <c r="AF8" s="14" t="str">
        <v>E</v>
      </c>
      <c r="AG8" s="14" t="str">
        <v>E: sin plan</v>
      </c>
      <c r="AH8" s="14" t="str">
        <v>E</v>
      </c>
      <c r="AI8" s="14" t="str">
        <v>E</v>
      </c>
      <c r="AJ8" s="22" t="n">
        <v>0</v>
      </c>
      <c r="AK8" s="22" t="n">
        <v>0</v>
      </c>
      <c r="AL8" s="22" t="n">
        <v>0</v>
      </c>
      <c r="AM8" s="22" t="n">
        <v>0</v>
      </c>
      <c r="AN8" s="22" t="n">
        <v>0</v>
      </c>
      <c r="AO8" s="14" t="str">
        <v>SOLO_SIES_PRE_2022</v>
      </c>
      <c r="AP8" s="14" t="str">
        <v>PENDIENTE</v>
      </c>
      <c r="AQ8" s="14" t="str">
        <v>SOLO_ANTES_2022</v>
      </c>
      <c r="AR8" s="14" t="str">
        <v>E</v>
      </c>
      <c r="AS8" s="14" t="str">
        <v>PUBLICA</v>
      </c>
      <c r="AT8" s="14" t="str">
        <v>E</v>
      </c>
      <c r="AU8" s="14" t="n">
        <v>4</v>
      </c>
      <c r="AV8" s="14" t="n">
        <v>5</v>
      </c>
      <c r="AW8" s="14" t="str">
        <v>UNA_VERSION_OBSERVADA</v>
      </c>
      <c r="AX8" s="14" t="n">
        <v>2008</v>
      </c>
      <c r="AY8" s="14" t="str">
        <v>PUBLICA; última matrícula</v>
      </c>
    </row>
    <row r="9" ht="36" customHeight="1">
      <c r="A9" s="15" t="str">
        <v>I162M2008N3</v>
      </c>
      <c r="B9" s="15" t="str">
        <v>CONSTRUCCION Y ADMINISTRACION DE REDES DE COMUNICACIONES</v>
      </c>
      <c r="C9" s="15" t="str">
        <v>E</v>
      </c>
      <c r="D9" s="15" t="str">
        <v>E</v>
      </c>
      <c r="E9" s="15" t="str">
        <v>E</v>
      </c>
      <c r="F9" s="15" t="str">
        <v>E</v>
      </c>
      <c r="G9" s="15" t="str">
        <v>Pregrado</v>
      </c>
      <c r="H9" s="15" t="str">
        <v>Plan Regular</v>
      </c>
      <c r="I9" s="23" t="n">
        <v>2008</v>
      </c>
      <c r="J9" s="23" t="n">
        <v>2008</v>
      </c>
      <c r="K9" s="24" t="n">
        <v>0</v>
      </c>
      <c r="L9" s="24" t="n">
        <v>265</v>
      </c>
      <c r="M9" s="24" t="n">
        <v>0</v>
      </c>
      <c r="N9" s="24" t="n">
        <v>0</v>
      </c>
      <c r="O9" s="24" t="n">
        <v>0</v>
      </c>
      <c r="P9" s="24" t="n">
        <v>0</v>
      </c>
      <c r="Q9" s="24" t="n">
        <v>0</v>
      </c>
      <c r="R9" s="24" t="n">
        <v>0</v>
      </c>
      <c r="S9" s="24" t="n">
        <v>0</v>
      </c>
      <c r="T9" s="24" t="n">
        <v>0</v>
      </c>
      <c r="U9" s="24" t="n">
        <v>0</v>
      </c>
      <c r="V9" s="24" t="n">
        <v>0</v>
      </c>
      <c r="W9" s="24" t="n">
        <v>0</v>
      </c>
      <c r="X9" s="24" t="n">
        <v>0</v>
      </c>
      <c r="Y9" s="24" t="n">
        <v>0</v>
      </c>
      <c r="Z9" s="24" t="n">
        <v>0</v>
      </c>
      <c r="AA9" s="24" t="n">
        <v>0</v>
      </c>
      <c r="AB9" s="24" t="n">
        <v>0</v>
      </c>
      <c r="AC9" s="24" t="n">
        <v>0</v>
      </c>
      <c r="AD9" s="24" t="n">
        <v>0</v>
      </c>
      <c r="AE9" s="15" t="str">
        <v>n.a.</v>
      </c>
      <c r="AF9" s="15" t="str">
        <v>E</v>
      </c>
      <c r="AG9" s="15" t="str">
        <v>E: sin plan</v>
      </c>
      <c r="AH9" s="15" t="str">
        <v>E</v>
      </c>
      <c r="AI9" s="15" t="str">
        <v>E</v>
      </c>
      <c r="AJ9" s="24" t="n">
        <v>0</v>
      </c>
      <c r="AK9" s="24" t="n">
        <v>0</v>
      </c>
      <c r="AL9" s="24" t="n">
        <v>0</v>
      </c>
      <c r="AM9" s="24" t="n">
        <v>0</v>
      </c>
      <c r="AN9" s="24" t="n">
        <v>0</v>
      </c>
      <c r="AO9" s="15" t="str">
        <v>SOLO_SIES_PRE_2022</v>
      </c>
      <c r="AP9" s="15" t="str">
        <v>PENDIENTE</v>
      </c>
      <c r="AQ9" s="15" t="str">
        <v>SOLO_ANTES_2022</v>
      </c>
      <c r="AR9" s="15" t="str">
        <v>E</v>
      </c>
      <c r="AS9" s="15" t="str">
        <v>PUBLICA</v>
      </c>
      <c r="AT9" s="15" t="str">
        <v>E</v>
      </c>
      <c r="AU9" s="15" t="n">
        <v>4</v>
      </c>
      <c r="AV9" s="15" t="n">
        <v>5</v>
      </c>
      <c r="AW9" s="15" t="str">
        <v>UNA_VERSION_OBSERVADA</v>
      </c>
      <c r="AX9" s="15" t="n">
        <v>2008</v>
      </c>
      <c r="AY9" s="15" t="str">
        <v>PUBLICA; última matrícula</v>
      </c>
    </row>
    <row r="10" ht="36" customHeight="1">
      <c r="A10" s="14" t="str">
        <v>I162S2C101J4V1</v>
      </c>
      <c r="B10" s="14" t="str">
        <v>DIPLOMADO EN SALUD FAMILIAR CON ENFOQUE COMUNITARIO</v>
      </c>
      <c r="C10" s="14" t="str">
        <v>2</v>
      </c>
      <c r="D10" s="14" t="str">
        <v>4</v>
      </c>
      <c r="E10" s="14" t="str">
        <v>1</v>
      </c>
      <c r="F10" s="14" t="str">
        <v>No presencial</v>
      </c>
      <c r="G10" s="14" t="str">
        <v>Postítulo/otro</v>
      </c>
      <c r="H10" s="14" t="str">
        <v>Plan Regular</v>
      </c>
      <c r="I10" s="21" t="str">
        <v>n.a.</v>
      </c>
      <c r="J10" s="21" t="str">
        <v>n.a.</v>
      </c>
      <c r="K10" s="22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14" t="str">
        <v>3</v>
      </c>
      <c r="AF10" s="14" t="str">
        <v>E</v>
      </c>
      <c r="AG10" s="14" t="str">
        <v>E: sin plan</v>
      </c>
      <c r="AH10" s="14" t="str">
        <v>E</v>
      </c>
      <c r="AI10" s="14" t="str">
        <v>E</v>
      </c>
      <c r="AJ10" s="22" t="n">
        <v>0</v>
      </c>
      <c r="AK10" s="22" t="n">
        <v>0</v>
      </c>
      <c r="AL10" s="22" t="n">
        <v>0</v>
      </c>
      <c r="AM10" s="22" t="n">
        <v>0</v>
      </c>
      <c r="AN10" s="22" t="n">
        <v>0</v>
      </c>
      <c r="AO10" s="14" t="str">
        <v>SIN_UNION</v>
      </c>
      <c r="AP10" s="14" t="str">
        <v>PENDIENTE</v>
      </c>
      <c r="AQ10" s="14" t="str">
        <v>FUERA_ALCANCE</v>
      </c>
      <c r="AR10" s="14" t="str">
        <v>E</v>
      </c>
      <c r="AS10" s="14" t="str">
        <v>PUBLICA</v>
      </c>
      <c r="AT10" s="14" t="str">
        <v>E</v>
      </c>
      <c r="AU10" s="14" t="n">
        <v>1</v>
      </c>
      <c r="AV10" s="14" t="n">
        <v>1</v>
      </c>
      <c r="AW10" s="14" t="str">
        <v>E: sin historia pública</v>
      </c>
      <c r="AX10" s="14" t="n">
        <v>2026</v>
      </c>
      <c r="AY10" s="14" t="str">
        <v>MAESTRO/oferta_anual; sin matrícula</v>
      </c>
    </row>
    <row r="11" ht="27" customHeight="1">
      <c r="A11" s="15" t="str">
        <v>I162S2C102J4V1</v>
      </c>
      <c r="B11" s="15" t="str">
        <v>DIPLOMADO SALUD CON FOCO EN MIGRACION</v>
      </c>
      <c r="C11" s="15" t="str">
        <v>2</v>
      </c>
      <c r="D11" s="15" t="str">
        <v>4</v>
      </c>
      <c r="E11" s="15" t="str">
        <v>1</v>
      </c>
      <c r="F11" s="15" t="str">
        <v>No presencial</v>
      </c>
      <c r="G11" s="15" t="str">
        <v>Postítulo/otro</v>
      </c>
      <c r="H11" s="15" t="str">
        <v>Plan Regular</v>
      </c>
      <c r="I11" s="23" t="str">
        <v>n.a.</v>
      </c>
      <c r="J11" s="23" t="str">
        <v>n.a.</v>
      </c>
      <c r="K11" s="24" t="n">
        <v>0</v>
      </c>
      <c r="L11" s="24" t="n">
        <v>0</v>
      </c>
      <c r="M11" s="24" t="n">
        <v>0</v>
      </c>
      <c r="N11" s="24" t="n">
        <v>0</v>
      </c>
      <c r="O11" s="24" t="n">
        <v>0</v>
      </c>
      <c r="P11" s="24" t="n">
        <v>0</v>
      </c>
      <c r="Q11" s="24" t="n">
        <v>0</v>
      </c>
      <c r="R11" s="24" t="n">
        <v>0</v>
      </c>
      <c r="S11" s="24" t="n">
        <v>0</v>
      </c>
      <c r="T11" s="24" t="n">
        <v>0</v>
      </c>
      <c r="U11" s="24" t="n">
        <v>0</v>
      </c>
      <c r="V11" s="24" t="n">
        <v>0</v>
      </c>
      <c r="W11" s="24" t="n">
        <v>0</v>
      </c>
      <c r="X11" s="24" t="n">
        <v>0</v>
      </c>
      <c r="Y11" s="24" t="n">
        <v>0</v>
      </c>
      <c r="Z11" s="24" t="n">
        <v>0</v>
      </c>
      <c r="AA11" s="24" t="n">
        <v>0</v>
      </c>
      <c r="AB11" s="24" t="n">
        <v>0</v>
      </c>
      <c r="AC11" s="24" t="n">
        <v>0</v>
      </c>
      <c r="AD11" s="24" t="n">
        <v>0</v>
      </c>
      <c r="AE11" s="15" t="str">
        <v>3</v>
      </c>
      <c r="AF11" s="15" t="str">
        <v>E</v>
      </c>
      <c r="AG11" s="15" t="str">
        <v>E: sin plan</v>
      </c>
      <c r="AH11" s="15" t="str">
        <v>E</v>
      </c>
      <c r="AI11" s="15" t="str">
        <v>E</v>
      </c>
      <c r="AJ11" s="24" t="n">
        <v>0</v>
      </c>
      <c r="AK11" s="24" t="n">
        <v>0</v>
      </c>
      <c r="AL11" s="24" t="n">
        <v>0</v>
      </c>
      <c r="AM11" s="24" t="n">
        <v>0</v>
      </c>
      <c r="AN11" s="24" t="n">
        <v>0</v>
      </c>
      <c r="AO11" s="15" t="str">
        <v>SIN_UNION</v>
      </c>
      <c r="AP11" s="15" t="str">
        <v>PENDIENTE</v>
      </c>
      <c r="AQ11" s="15" t="str">
        <v>FUERA_ALCANCE</v>
      </c>
      <c r="AR11" s="15" t="str">
        <v>E</v>
      </c>
      <c r="AS11" s="15" t="str">
        <v>PUBLICA</v>
      </c>
      <c r="AT11" s="15" t="str">
        <v>E</v>
      </c>
      <c r="AU11" s="15" t="n">
        <v>1</v>
      </c>
      <c r="AV11" s="15" t="n">
        <v>1</v>
      </c>
      <c r="AW11" s="15" t="str">
        <v>E: sin historia pública</v>
      </c>
      <c r="AX11" s="15" t="n">
        <v>2026</v>
      </c>
      <c r="AY11" s="15" t="str">
        <v>MAESTRO/oferta_anual; sin matrícula</v>
      </c>
    </row>
    <row r="12" ht="36" customHeight="1">
      <c r="A12" s="14" t="str">
        <v>I162S2C103J4V1</v>
      </c>
      <c r="B12" s="14" t="str">
        <v>DIPLOMADO ABORDAJE INTEGRAL DE LA VIOLENCIA DE GENERO EN ATENCION PRIMARIA DE SALUD</v>
      </c>
      <c r="C12" s="14" t="str">
        <v>2</v>
      </c>
      <c r="D12" s="14" t="str">
        <v>4</v>
      </c>
      <c r="E12" s="14" t="str">
        <v>1</v>
      </c>
      <c r="F12" s="14" t="str">
        <v>No presencial</v>
      </c>
      <c r="G12" s="14" t="str">
        <v>Postítulo/otro</v>
      </c>
      <c r="H12" s="14" t="str">
        <v>Plan Regular</v>
      </c>
      <c r="I12" s="21" t="str">
        <v>n.a.</v>
      </c>
      <c r="J12" s="21" t="str">
        <v>n.a.</v>
      </c>
      <c r="K12" s="22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14" t="str">
        <v>3</v>
      </c>
      <c r="AF12" s="14" t="str">
        <v>E</v>
      </c>
      <c r="AG12" s="14" t="str">
        <v>E: sin plan</v>
      </c>
      <c r="AH12" s="14" t="str">
        <v>E</v>
      </c>
      <c r="AI12" s="14" t="str">
        <v>E</v>
      </c>
      <c r="AJ12" s="22" t="n">
        <v>0</v>
      </c>
      <c r="AK12" s="22" t="n">
        <v>0</v>
      </c>
      <c r="AL12" s="22" t="n">
        <v>0</v>
      </c>
      <c r="AM12" s="22" t="n">
        <v>0</v>
      </c>
      <c r="AN12" s="22" t="n">
        <v>0</v>
      </c>
      <c r="AO12" s="14" t="str">
        <v>SIN_UNION</v>
      </c>
      <c r="AP12" s="14" t="str">
        <v>PENDIENTE</v>
      </c>
      <c r="AQ12" s="14" t="str">
        <v>FUERA_ALCANCE</v>
      </c>
      <c r="AR12" s="14" t="str">
        <v>E</v>
      </c>
      <c r="AS12" s="14" t="str">
        <v>PUBLICA</v>
      </c>
      <c r="AT12" s="14" t="str">
        <v>E</v>
      </c>
      <c r="AU12" s="14" t="n">
        <v>1</v>
      </c>
      <c r="AV12" s="14" t="n">
        <v>1</v>
      </c>
      <c r="AW12" s="14" t="str">
        <v>E: sin historia pública</v>
      </c>
      <c r="AX12" s="14" t="n">
        <v>2026</v>
      </c>
      <c r="AY12" s="14" t="str">
        <v>MAESTRO/oferta_anual; sin matrícula</v>
      </c>
    </row>
    <row r="13" ht="27" customHeight="1">
      <c r="A13" s="15" t="str">
        <v>I162S2C104J4V1</v>
      </c>
      <c r="B13" s="15" t="str">
        <v>DIPLOMADO EN INNOVACION PARA LA DOCENCIA</v>
      </c>
      <c r="C13" s="15" t="str">
        <v>2</v>
      </c>
      <c r="D13" s="15" t="str">
        <v>4</v>
      </c>
      <c r="E13" s="15" t="str">
        <v>1</v>
      </c>
      <c r="F13" s="15" t="str">
        <v>No presencial</v>
      </c>
      <c r="G13" s="15" t="str">
        <v>Postítulo/otro</v>
      </c>
      <c r="H13" s="15" t="str">
        <v>Plan Regular</v>
      </c>
      <c r="I13" s="23" t="str">
        <v>n.a.</v>
      </c>
      <c r="J13" s="23" t="str">
        <v>n.a.</v>
      </c>
      <c r="K13" s="24" t="n">
        <v>0</v>
      </c>
      <c r="L13" s="24" t="n">
        <v>0</v>
      </c>
      <c r="M13" s="24" t="n">
        <v>0</v>
      </c>
      <c r="N13" s="24" t="n">
        <v>0</v>
      </c>
      <c r="O13" s="24" t="n">
        <v>0</v>
      </c>
      <c r="P13" s="24" t="n">
        <v>0</v>
      </c>
      <c r="Q13" s="24" t="n">
        <v>0</v>
      </c>
      <c r="R13" s="24" t="n">
        <v>0</v>
      </c>
      <c r="S13" s="24" t="n">
        <v>0</v>
      </c>
      <c r="T13" s="24" t="n">
        <v>0</v>
      </c>
      <c r="U13" s="24" t="n">
        <v>0</v>
      </c>
      <c r="V13" s="24" t="n">
        <v>0</v>
      </c>
      <c r="W13" s="24" t="n">
        <v>0</v>
      </c>
      <c r="X13" s="24" t="n">
        <v>0</v>
      </c>
      <c r="Y13" s="24" t="n">
        <v>0</v>
      </c>
      <c r="Z13" s="24" t="n">
        <v>0</v>
      </c>
      <c r="AA13" s="24" t="n">
        <v>0</v>
      </c>
      <c r="AB13" s="24" t="n">
        <v>0</v>
      </c>
      <c r="AC13" s="24" t="n">
        <v>0</v>
      </c>
      <c r="AD13" s="24" t="n">
        <v>0</v>
      </c>
      <c r="AE13" s="15" t="str">
        <v>3</v>
      </c>
      <c r="AF13" s="15" t="str">
        <v>E</v>
      </c>
      <c r="AG13" s="15" t="str">
        <v>E: sin plan</v>
      </c>
      <c r="AH13" s="15" t="str">
        <v>E</v>
      </c>
      <c r="AI13" s="15" t="str">
        <v>E</v>
      </c>
      <c r="AJ13" s="24" t="n">
        <v>0</v>
      </c>
      <c r="AK13" s="24" t="n">
        <v>0</v>
      </c>
      <c r="AL13" s="24" t="n">
        <v>0</v>
      </c>
      <c r="AM13" s="24" t="n">
        <v>0</v>
      </c>
      <c r="AN13" s="24" t="n">
        <v>0</v>
      </c>
      <c r="AO13" s="15" t="str">
        <v>SIN_UNION</v>
      </c>
      <c r="AP13" s="15" t="str">
        <v>PENDIENTE</v>
      </c>
      <c r="AQ13" s="15" t="str">
        <v>FUERA_ALCANCE</v>
      </c>
      <c r="AR13" s="15" t="str">
        <v>E</v>
      </c>
      <c r="AS13" s="15" t="str">
        <v>PUBLICA</v>
      </c>
      <c r="AT13" s="15" t="str">
        <v>E</v>
      </c>
      <c r="AU13" s="15" t="n">
        <v>1</v>
      </c>
      <c r="AV13" s="15" t="n">
        <v>1</v>
      </c>
      <c r="AW13" s="15" t="str">
        <v>E: sin historia pública</v>
      </c>
      <c r="AX13" s="15" t="n">
        <v>2026</v>
      </c>
      <c r="AY13" s="15" t="str">
        <v>MAESTRO/oferta_anual; sin matrícula</v>
      </c>
    </row>
    <row r="14" ht="27" customHeight="1">
      <c r="A14" s="14" t="str">
        <v>I162S2C105J4V1</v>
      </c>
      <c r="B14" s="14" t="str">
        <v>DIPLOMADO EN HUMANIZACION EN SALUD</v>
      </c>
      <c r="C14" s="14" t="str">
        <v>2</v>
      </c>
      <c r="D14" s="14" t="str">
        <v>4</v>
      </c>
      <c r="E14" s="14" t="str">
        <v>1</v>
      </c>
      <c r="F14" s="14" t="str">
        <v>No presencial</v>
      </c>
      <c r="G14" s="14" t="str">
        <v>Postítulo/otro</v>
      </c>
      <c r="H14" s="14" t="str">
        <v>Plan Regular</v>
      </c>
      <c r="I14" s="21" t="str">
        <v>n.a.</v>
      </c>
      <c r="J14" s="21" t="str">
        <v>n.a.</v>
      </c>
      <c r="K14" s="22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</v>
      </c>
      <c r="AB14" s="22" t="n">
        <v>0</v>
      </c>
      <c r="AC14" s="22" t="n">
        <v>0</v>
      </c>
      <c r="AD14" s="22" t="n">
        <v>0</v>
      </c>
      <c r="AE14" s="14" t="str">
        <v>3</v>
      </c>
      <c r="AF14" s="14" t="str">
        <v>E</v>
      </c>
      <c r="AG14" s="14" t="str">
        <v>E: sin plan</v>
      </c>
      <c r="AH14" s="14" t="str">
        <v>E</v>
      </c>
      <c r="AI14" s="14" t="str">
        <v>E</v>
      </c>
      <c r="AJ14" s="22" t="n">
        <v>0</v>
      </c>
      <c r="AK14" s="22" t="n">
        <v>0</v>
      </c>
      <c r="AL14" s="22" t="n">
        <v>0</v>
      </c>
      <c r="AM14" s="22" t="n">
        <v>0</v>
      </c>
      <c r="AN14" s="22" t="n">
        <v>0</v>
      </c>
      <c r="AO14" s="14" t="str">
        <v>SIN_UNION</v>
      </c>
      <c r="AP14" s="14" t="str">
        <v>PENDIENTE</v>
      </c>
      <c r="AQ14" s="14" t="str">
        <v>FUERA_ALCANCE</v>
      </c>
      <c r="AR14" s="14" t="str">
        <v>E</v>
      </c>
      <c r="AS14" s="14" t="str">
        <v>PUBLICA</v>
      </c>
      <c r="AT14" s="14" t="str">
        <v>E</v>
      </c>
      <c r="AU14" s="14" t="n">
        <v>1</v>
      </c>
      <c r="AV14" s="14" t="n">
        <v>1</v>
      </c>
      <c r="AW14" s="14" t="str">
        <v>E: sin historia pública</v>
      </c>
      <c r="AX14" s="14" t="n">
        <v>2026</v>
      </c>
      <c r="AY14" s="14" t="str">
        <v>MAESTRO/oferta_anual; sin matrícula</v>
      </c>
    </row>
    <row r="15" ht="36" customHeight="1">
      <c r="A15" s="15" t="str">
        <v>I162S2C10J1V1</v>
      </c>
      <c r="B15" s="15" t="str">
        <v>TECNICO EN PREVENCION DE RIESGOS</v>
      </c>
      <c r="C15" s="15" t="str">
        <v>2</v>
      </c>
      <c r="D15" s="15" t="str">
        <v>1</v>
      </c>
      <c r="E15" s="15" t="str">
        <v>1</v>
      </c>
      <c r="F15" s="15" t="str">
        <v>Presencial</v>
      </c>
      <c r="G15" s="15" t="str">
        <v>Pregrado</v>
      </c>
      <c r="H15" s="15" t="str">
        <v>Plan Regular</v>
      </c>
      <c r="I15" s="23" t="n">
        <v>2013</v>
      </c>
      <c r="J15" s="23" t="n">
        <v>2013</v>
      </c>
      <c r="K15" s="24" t="n">
        <v>0</v>
      </c>
      <c r="L15" s="24" t="n">
        <v>0</v>
      </c>
      <c r="M15" s="24" t="n">
        <v>0</v>
      </c>
      <c r="N15" s="24" t="n">
        <v>0</v>
      </c>
      <c r="O15" s="24" t="n">
        <v>0</v>
      </c>
      <c r="P15" s="24" t="n">
        <v>0</v>
      </c>
      <c r="Q15" s="24" t="n">
        <v>9</v>
      </c>
      <c r="R15" s="24" t="n">
        <v>0</v>
      </c>
      <c r="S15" s="24" t="n">
        <v>0</v>
      </c>
      <c r="T15" s="24" t="n">
        <v>0</v>
      </c>
      <c r="U15" s="24" t="n">
        <v>0</v>
      </c>
      <c r="V15" s="24" t="n">
        <v>0</v>
      </c>
      <c r="W15" s="24" t="n">
        <v>0</v>
      </c>
      <c r="X15" s="24" t="n">
        <v>0</v>
      </c>
      <c r="Y15" s="24" t="n">
        <v>0</v>
      </c>
      <c r="Z15" s="24" t="n">
        <v>0</v>
      </c>
      <c r="AA15" s="24" t="n">
        <v>0</v>
      </c>
      <c r="AB15" s="24" t="n">
        <v>0</v>
      </c>
      <c r="AC15" s="24" t="n">
        <v>0</v>
      </c>
      <c r="AD15" s="24" t="n">
        <v>0</v>
      </c>
      <c r="AE15" s="15" t="str">
        <v>2</v>
      </c>
      <c r="AF15" s="15" t="str">
        <v>TPRRE</v>
      </c>
      <c r="AG15" s="15" t="str">
        <v>TPRRE20131</v>
      </c>
      <c r="AH15" s="15" t="str">
        <v>E</v>
      </c>
      <c r="AI15" s="15" t="str">
        <v>E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15" t="str">
        <v>APROBACION_D_2027</v>
      </c>
      <c r="AP15" s="15" t="str">
        <v>UNIDO</v>
      </c>
      <c r="AQ15" s="15" t="str">
        <v>UNIDO</v>
      </c>
      <c r="AR15" s="15" t="str">
        <v>D/C</v>
      </c>
      <c r="AS15" s="15" t="str">
        <v>H002 / PUBLICA</v>
      </c>
      <c r="AT15" s="15" t="str">
        <v>Catálogo 2027; no atribución retroactiva ni acreditación de cohorte/malla</v>
      </c>
      <c r="AU15" s="15" t="n">
        <v>5</v>
      </c>
      <c r="AV15" s="15" t="n">
        <v>5</v>
      </c>
      <c r="AW15" s="15" t="str">
        <v>UNA_VERSION_OBSERVADA</v>
      </c>
      <c r="AX15" s="15" t="n">
        <v>2013</v>
      </c>
      <c r="AY15" s="15" t="str">
        <v>PUBLICA; última matrícula</v>
      </c>
    </row>
    <row r="16" ht="36" customHeight="1">
      <c r="A16" s="14" t="str">
        <v>I162S2C10J2V1</v>
      </c>
      <c r="B16" s="14" t="str">
        <v>TECNICO EN PREVENCION DE RIESGOS</v>
      </c>
      <c r="C16" s="14" t="str">
        <v>2</v>
      </c>
      <c r="D16" s="14" t="str">
        <v>2</v>
      </c>
      <c r="E16" s="14" t="str">
        <v>1</v>
      </c>
      <c r="F16" s="14" t="str">
        <v>Presencial</v>
      </c>
      <c r="G16" s="14" t="str">
        <v>Pregrado</v>
      </c>
      <c r="H16" s="14" t="str">
        <v>Plan Regular</v>
      </c>
      <c r="I16" s="21" t="n">
        <v>2013</v>
      </c>
      <c r="J16" s="21" t="n">
        <v>2019</v>
      </c>
      <c r="K16" s="22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21</v>
      </c>
      <c r="R16" s="22" t="n">
        <v>22</v>
      </c>
      <c r="S16" s="22" t="n">
        <v>15</v>
      </c>
      <c r="T16" s="22" t="n">
        <v>8</v>
      </c>
      <c r="U16" s="22" t="n">
        <v>0</v>
      </c>
      <c r="V16" s="22" t="n">
        <v>1</v>
      </c>
      <c r="W16" s="22" t="n">
        <v>1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14" t="str">
        <v>2</v>
      </c>
      <c r="AF16" s="14" t="str">
        <v>TPRRE</v>
      </c>
      <c r="AG16" s="14" t="str">
        <v>TPRRE20131</v>
      </c>
      <c r="AH16" s="14" t="str">
        <v>E</v>
      </c>
      <c r="AI16" s="14" t="str">
        <v>E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14" t="str">
        <v>APROBACION_D_2027</v>
      </c>
      <c r="AP16" s="14" t="str">
        <v>UNIDO</v>
      </c>
      <c r="AQ16" s="14" t="str">
        <v>UNIDO</v>
      </c>
      <c r="AR16" s="14" t="str">
        <v>D/C</v>
      </c>
      <c r="AS16" s="14" t="str">
        <v>H002 / PUBLICA</v>
      </c>
      <c r="AT16" s="14" t="str">
        <v>Catálogo 2027; no atribución retroactiva ni acreditación de cohorte/malla</v>
      </c>
      <c r="AU16" s="14" t="n">
        <v>5</v>
      </c>
      <c r="AV16" s="14" t="n">
        <v>5</v>
      </c>
      <c r="AW16" s="14" t="str">
        <v>UNA_VERSION_OBSERVADA</v>
      </c>
      <c r="AX16" s="14" t="n">
        <v>2019</v>
      </c>
      <c r="AY16" s="14" t="str">
        <v>PUBLICA; última matrícula</v>
      </c>
    </row>
    <row r="17" ht="27" customHeight="1">
      <c r="A17" s="15" t="str">
        <v>I162S2C10J4V1</v>
      </c>
      <c r="B17" s="15" t="str">
        <v>TECNICO EN PREVENCION DE RIESGOS</v>
      </c>
      <c r="C17" s="15" t="str">
        <v>2</v>
      </c>
      <c r="D17" s="15" t="str">
        <v>4</v>
      </c>
      <c r="E17" s="15" t="str">
        <v>1</v>
      </c>
      <c r="F17" s="15" t="str">
        <v>No presencial</v>
      </c>
      <c r="G17" s="15" t="str">
        <v>Pregrado</v>
      </c>
      <c r="H17" s="15" t="str">
        <v>Plan Regular</v>
      </c>
      <c r="I17" s="23" t="n">
        <v>2026</v>
      </c>
      <c r="J17" s="23" t="n">
        <v>2026</v>
      </c>
      <c r="K17" s="24" t="n">
        <v>0</v>
      </c>
      <c r="L17" s="24" t="n">
        <v>0</v>
      </c>
      <c r="M17" s="24" t="n">
        <v>0</v>
      </c>
      <c r="N17" s="24" t="n">
        <v>0</v>
      </c>
      <c r="O17" s="24" t="n">
        <v>0</v>
      </c>
      <c r="P17" s="24" t="n">
        <v>0</v>
      </c>
      <c r="Q17" s="24" t="n">
        <v>0</v>
      </c>
      <c r="R17" s="24" t="n">
        <v>0</v>
      </c>
      <c r="S17" s="24" t="n">
        <v>0</v>
      </c>
      <c r="T17" s="24" t="n">
        <v>0</v>
      </c>
      <c r="U17" s="24" t="n">
        <v>0</v>
      </c>
      <c r="V17" s="24" t="n">
        <v>0</v>
      </c>
      <c r="W17" s="24" t="n">
        <v>0</v>
      </c>
      <c r="X17" s="24" t="n">
        <v>0</v>
      </c>
      <c r="Y17" s="24" t="n">
        <v>0</v>
      </c>
      <c r="Z17" s="24" t="n">
        <v>0</v>
      </c>
      <c r="AA17" s="24" t="n">
        <v>0</v>
      </c>
      <c r="AB17" s="24" t="n">
        <v>0</v>
      </c>
      <c r="AC17" s="24" t="n">
        <v>0</v>
      </c>
      <c r="AD17" s="24" t="n">
        <v>17</v>
      </c>
      <c r="AE17" s="15" t="str">
        <v>1</v>
      </c>
      <c r="AF17" s="15" t="str">
        <v>TPRE</v>
      </c>
      <c r="AG17" s="15" t="str">
        <v>PLAN_NO_OBSERVADO</v>
      </c>
      <c r="AH17" s="15" t="str">
        <v>E</v>
      </c>
      <c r="AI17" s="15" t="str">
        <v>E</v>
      </c>
      <c r="AJ17" s="24" t="n">
        <v>0</v>
      </c>
      <c r="AK17" s="24" t="n">
        <v>0</v>
      </c>
      <c r="AL17" s="24" t="n">
        <v>0</v>
      </c>
      <c r="AM17" s="24" t="n">
        <v>0</v>
      </c>
      <c r="AN17" s="24" t="n">
        <v>0</v>
      </c>
      <c r="AO17" s="15" t="str">
        <v>CRUCE_PERSONA_MU_2022_2026</v>
      </c>
      <c r="AP17" s="15" t="str">
        <v>PENDIENTE</v>
      </c>
      <c r="AQ17" s="15" t="str">
        <v>PLAN_NO_OBSERVADO</v>
      </c>
      <c r="AR17" s="15" t="str">
        <v>E</v>
      </c>
      <c r="AS17" s="15" t="str">
        <v>MATRIZ / PUBLICA</v>
      </c>
      <c r="AT17" s="15" t="str">
        <v>SIN_ACTIVIDAD_ANUAL; ENLACE_EXPEDIENTE_CONSERVADO</v>
      </c>
      <c r="AU17" s="15" t="n">
        <v>5</v>
      </c>
      <c r="AV17" s="15" t="n">
        <v>5</v>
      </c>
      <c r="AW17" s="15" t="str">
        <v>UNA_VERSION_OBSERVADA</v>
      </c>
      <c r="AX17" s="15" t="n">
        <v>2026</v>
      </c>
      <c r="AY17" s="15" t="str">
        <v>PUBLICA; última matrícula</v>
      </c>
    </row>
    <row r="18" ht="36" customHeight="1">
      <c r="A18" s="14" t="str">
        <v>I162S2C10J4V1</v>
      </c>
      <c r="B18" s="14" t="str">
        <v>TECNICO EN PREVENCION DE RIESGOS</v>
      </c>
      <c r="C18" s="14" t="str">
        <v>2</v>
      </c>
      <c r="D18" s="14" t="str">
        <v>4</v>
      </c>
      <c r="E18" s="14" t="str">
        <v>1</v>
      </c>
      <c r="F18" s="14" t="str">
        <v>No presencial</v>
      </c>
      <c r="G18" s="14" t="str">
        <v>Pregrado</v>
      </c>
      <c r="H18" s="14" t="str">
        <v>Plan Regular</v>
      </c>
      <c r="I18" s="21" t="n">
        <v>2026</v>
      </c>
      <c r="J18" s="21" t="n">
        <v>2026</v>
      </c>
      <c r="K18" s="22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>
        <v>0</v>
      </c>
      <c r="AD18" s="22" t="n">
        <v>17</v>
      </c>
      <c r="AE18" s="14" t="str">
        <v>1</v>
      </c>
      <c r="AF18" s="14" t="str">
        <v>TPRE</v>
      </c>
      <c r="AG18" s="14" t="str">
        <v>TPRE20261</v>
      </c>
      <c r="AH18" s="14" t="str">
        <v>REGULAR</v>
      </c>
      <c r="AI18" s="14" t="str">
        <v>C</v>
      </c>
      <c r="AJ18" s="22" t="n">
        <v>0</v>
      </c>
      <c r="AK18" s="22" t="n">
        <v>0</v>
      </c>
      <c r="AL18" s="22" t="n">
        <v>0</v>
      </c>
      <c r="AM18" s="22" t="n">
        <v>0</v>
      </c>
      <c r="AN18" s="22" t="n">
        <v>16</v>
      </c>
      <c r="AO18" s="14" t="str">
        <v>CRUCE_PERSONA_MU_2022_2026 / REGLA_MU_2027</v>
      </c>
      <c r="AP18" s="14" t="str">
        <v>UNIDO</v>
      </c>
      <c r="AQ18" s="14" t="str">
        <v>UNIDO</v>
      </c>
      <c r="AR18" s="14" t="str">
        <v>B/C</v>
      </c>
      <c r="AS18" s="14" t="str">
        <v>H002 / MATRIZ / PUBLICA</v>
      </c>
      <c r="AT18" s="14" t="str">
        <v>ANUAL / Catálogo 2027; no atribución retroactiva ni acreditación de cohorte/malla</v>
      </c>
      <c r="AU18" s="14" t="n">
        <v>5</v>
      </c>
      <c r="AV18" s="14" t="n">
        <v>5</v>
      </c>
      <c r="AW18" s="14" t="str">
        <v>UNA_VERSION_OBSERVADA</v>
      </c>
      <c r="AX18" s="14" t="n">
        <v>2026</v>
      </c>
      <c r="AY18" s="14" t="str">
        <v>PUBLICA; última matrícula</v>
      </c>
    </row>
    <row r="19" ht="36" customHeight="1">
      <c r="A19" s="15" t="str">
        <v>I162S2C111J4V1</v>
      </c>
      <c r="B19" s="15" t="str">
        <v>INGENIERIA EN FINANZAS</v>
      </c>
      <c r="C19" s="15" t="str">
        <v>2</v>
      </c>
      <c r="D19" s="15" t="str">
        <v>4</v>
      </c>
      <c r="E19" s="15" t="str">
        <v>1</v>
      </c>
      <c r="F19" s="15" t="str">
        <v>No presencial</v>
      </c>
      <c r="G19" s="15" t="str">
        <v>Pregrado</v>
      </c>
      <c r="H19" s="15" t="str">
        <v>Plan Regular</v>
      </c>
      <c r="I19" s="23" t="n">
        <v>2026</v>
      </c>
      <c r="J19" s="23" t="n">
        <v>2026</v>
      </c>
      <c r="K19" s="24" t="n">
        <v>0</v>
      </c>
      <c r="L19" s="24" t="n">
        <v>0</v>
      </c>
      <c r="M19" s="24" t="n">
        <v>0</v>
      </c>
      <c r="N19" s="24" t="n">
        <v>0</v>
      </c>
      <c r="O19" s="24" t="n">
        <v>0</v>
      </c>
      <c r="P19" s="24" t="n">
        <v>0</v>
      </c>
      <c r="Q19" s="24" t="n">
        <v>0</v>
      </c>
      <c r="R19" s="24" t="n">
        <v>0</v>
      </c>
      <c r="S19" s="24" t="n">
        <v>0</v>
      </c>
      <c r="T19" s="24" t="n">
        <v>0</v>
      </c>
      <c r="U19" s="24" t="n">
        <v>0</v>
      </c>
      <c r="V19" s="24" t="n">
        <v>0</v>
      </c>
      <c r="W19" s="24" t="n">
        <v>0</v>
      </c>
      <c r="X19" s="24" t="n">
        <v>0</v>
      </c>
      <c r="Y19" s="24" t="n">
        <v>0</v>
      </c>
      <c r="Z19" s="24" t="n">
        <v>0</v>
      </c>
      <c r="AA19" s="24" t="n">
        <v>0</v>
      </c>
      <c r="AB19" s="24" t="n">
        <v>0</v>
      </c>
      <c r="AC19" s="24" t="n">
        <v>0</v>
      </c>
      <c r="AD19" s="24" t="n">
        <v>30</v>
      </c>
      <c r="AE19" s="15" t="str">
        <v>1</v>
      </c>
      <c r="AF19" s="15" t="str">
        <v>IFIN</v>
      </c>
      <c r="AG19" s="15" t="str">
        <v>IFIN20261</v>
      </c>
      <c r="AH19" s="15" t="str">
        <v>REGULAR</v>
      </c>
      <c r="AI19" s="15" t="str">
        <v>C</v>
      </c>
      <c r="AJ19" s="24" t="n">
        <v>0</v>
      </c>
      <c r="AK19" s="24" t="n">
        <v>0</v>
      </c>
      <c r="AL19" s="24" t="n">
        <v>0</v>
      </c>
      <c r="AM19" s="24" t="n">
        <v>0</v>
      </c>
      <c r="AN19" s="24" t="n">
        <v>24</v>
      </c>
      <c r="AO19" s="15" t="str">
        <v>CRUCE_PERSONA_MU_2022_2026 / REGLA_MU_2027</v>
      </c>
      <c r="AP19" s="15" t="str">
        <v>UNIDO</v>
      </c>
      <c r="AQ19" s="15" t="str">
        <v>UNIDO</v>
      </c>
      <c r="AR19" s="15" t="str">
        <v>B/C</v>
      </c>
      <c r="AS19" s="15" t="str">
        <v>H002 / MATRIZ / PUBLICA</v>
      </c>
      <c r="AT19" s="15" t="str">
        <v>ANUAL / Catálogo 2027; no atribución retroactiva ni acreditación de cohorte/malla</v>
      </c>
      <c r="AU19" s="15" t="n">
        <v>8</v>
      </c>
      <c r="AV19" s="15" t="n">
        <v>8</v>
      </c>
      <c r="AW19" s="15" t="str">
        <v>UNA_VERSION_OBSERVADA</v>
      </c>
      <c r="AX19" s="15" t="n">
        <v>2026</v>
      </c>
      <c r="AY19" s="15" t="str">
        <v>PUBLICA; última matrícula</v>
      </c>
    </row>
    <row r="20" ht="27" customHeight="1">
      <c r="A20" s="14" t="str">
        <v>I162S2C111J4V1</v>
      </c>
      <c r="B20" s="14" t="str">
        <v>INGENIERIA EN FINANZAS</v>
      </c>
      <c r="C20" s="14" t="str">
        <v>2</v>
      </c>
      <c r="D20" s="14" t="str">
        <v>4</v>
      </c>
      <c r="E20" s="14" t="str">
        <v>1</v>
      </c>
      <c r="F20" s="14" t="str">
        <v>No presencial</v>
      </c>
      <c r="G20" s="14" t="str">
        <v>Pregrado</v>
      </c>
      <c r="H20" s="14" t="str">
        <v>Plan Regular</v>
      </c>
      <c r="I20" s="21" t="n">
        <v>2026</v>
      </c>
      <c r="J20" s="21" t="n">
        <v>2026</v>
      </c>
      <c r="K20" s="22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30</v>
      </c>
      <c r="AE20" s="14" t="str">
        <v>1</v>
      </c>
      <c r="AF20" s="14" t="str">
        <v>IFIN</v>
      </c>
      <c r="AG20" s="14" t="str">
        <v>PLAN_NO_OBSERVADO</v>
      </c>
      <c r="AH20" s="14" t="str">
        <v>E</v>
      </c>
      <c r="AI20" s="14" t="str">
        <v>E</v>
      </c>
      <c r="AJ20" s="22" t="n">
        <v>0</v>
      </c>
      <c r="AK20" s="22" t="n">
        <v>0</v>
      </c>
      <c r="AL20" s="22" t="n">
        <v>0</v>
      </c>
      <c r="AM20" s="22" t="n">
        <v>0</v>
      </c>
      <c r="AN20" s="22" t="n">
        <v>0</v>
      </c>
      <c r="AO20" s="14" t="str">
        <v>CRUCE_PERSONA_MU_2022_2026</v>
      </c>
      <c r="AP20" s="14" t="str">
        <v>PENDIENTE</v>
      </c>
      <c r="AQ20" s="14" t="str">
        <v>PLAN_NO_OBSERVADO</v>
      </c>
      <c r="AR20" s="14" t="str">
        <v>E</v>
      </c>
      <c r="AS20" s="14" t="str">
        <v>MATRIZ / PUBLICA</v>
      </c>
      <c r="AT20" s="14" t="str">
        <v>SIN_ACTIVIDAD_ANUAL; ENLACE_EXPEDIENTE_CONSERVADO</v>
      </c>
      <c r="AU20" s="14" t="n">
        <v>8</v>
      </c>
      <c r="AV20" s="14" t="n">
        <v>8</v>
      </c>
      <c r="AW20" s="14" t="str">
        <v>UNA_VERSION_OBSERVADA</v>
      </c>
      <c r="AX20" s="14" t="n">
        <v>2026</v>
      </c>
      <c r="AY20" s="14" t="str">
        <v>PUBLICA; última matrícula</v>
      </c>
    </row>
    <row r="21" ht="36" customHeight="1">
      <c r="A21" s="15" t="str">
        <v>I162S2C111J4V2</v>
      </c>
      <c r="B21" s="15" t="str">
        <v>INGENIERIA EN FINANZAS</v>
      </c>
      <c r="C21" s="15" t="str">
        <v>2</v>
      </c>
      <c r="D21" s="15" t="str">
        <v>4</v>
      </c>
      <c r="E21" s="15" t="str">
        <v>2</v>
      </c>
      <c r="F21" s="15" t="str">
        <v>No presencial</v>
      </c>
      <c r="G21" s="15" t="str">
        <v>Pregrado</v>
      </c>
      <c r="H21" s="15" t="str">
        <v>Plan Regular de Continuidad</v>
      </c>
      <c r="I21" s="23" t="str">
        <v>n.a.</v>
      </c>
      <c r="J21" s="23" t="str">
        <v>n.a.</v>
      </c>
      <c r="K21" s="24" t="n">
        <v>0</v>
      </c>
      <c r="L21" s="24" t="n">
        <v>0</v>
      </c>
      <c r="M21" s="24" t="n">
        <v>0</v>
      </c>
      <c r="N21" s="24" t="n">
        <v>0</v>
      </c>
      <c r="O21" s="24" t="n">
        <v>0</v>
      </c>
      <c r="P21" s="24" t="n">
        <v>0</v>
      </c>
      <c r="Q21" s="24" t="n">
        <v>0</v>
      </c>
      <c r="R21" s="24" t="n">
        <v>0</v>
      </c>
      <c r="S21" s="24" t="n">
        <v>0</v>
      </c>
      <c r="T21" s="24" t="n">
        <v>0</v>
      </c>
      <c r="U21" s="24" t="n">
        <v>0</v>
      </c>
      <c r="V21" s="24" t="n">
        <v>0</v>
      </c>
      <c r="W21" s="24" t="n">
        <v>0</v>
      </c>
      <c r="X21" s="24" t="n">
        <v>0</v>
      </c>
      <c r="Y21" s="24" t="n">
        <v>0</v>
      </c>
      <c r="Z21" s="24" t="n">
        <v>0</v>
      </c>
      <c r="AA21" s="24" t="n">
        <v>0</v>
      </c>
      <c r="AB21" s="24" t="n">
        <v>0</v>
      </c>
      <c r="AC21" s="24" t="n">
        <v>0</v>
      </c>
      <c r="AD21" s="24" t="n">
        <v>0</v>
      </c>
      <c r="AE21" s="15" t="str">
        <v>1</v>
      </c>
      <c r="AF21" s="15" t="str">
        <v>CIFIN</v>
      </c>
      <c r="AG21" s="15" t="str">
        <v>CIFIN20261</v>
      </c>
      <c r="AH21" s="15" t="str">
        <v>CONTINUIDAD</v>
      </c>
      <c r="AI21" s="15" t="str">
        <v>C</v>
      </c>
      <c r="AJ21" s="24" t="n">
        <v>0</v>
      </c>
      <c r="AK21" s="24" t="n">
        <v>0</v>
      </c>
      <c r="AL21" s="24" t="n">
        <v>0</v>
      </c>
      <c r="AM21" s="24" t="n">
        <v>0</v>
      </c>
      <c r="AN21" s="24" t="n">
        <v>0</v>
      </c>
      <c r="AO21" s="15" t="str">
        <v>REGLA_MU_2027</v>
      </c>
      <c r="AP21" s="15" t="str">
        <v>UNIDO</v>
      </c>
      <c r="AQ21" s="15" t="str">
        <v>UNIDO</v>
      </c>
      <c r="AR21" s="15" t="str">
        <v>B/C</v>
      </c>
      <c r="AS21" s="15" t="str">
        <v>H002 / PUBLICA</v>
      </c>
      <c r="AT21" s="15" t="str">
        <v>Catálogo 2027; no atribución retroactiva ni acreditación de cohorte/malla</v>
      </c>
      <c r="AU21" s="15" t="n">
        <v>4</v>
      </c>
      <c r="AV21" s="15" t="n">
        <v>4</v>
      </c>
      <c r="AW21" s="15" t="str">
        <v>E: sin historia pública</v>
      </c>
      <c r="AX21" s="15" t="n">
        <v>2026</v>
      </c>
      <c r="AY21" s="15" t="str">
        <v>MAESTRO/oferta_anual; sin matrícula</v>
      </c>
    </row>
    <row r="22" ht="36" customHeight="1">
      <c r="A22" s="14" t="str">
        <v>I162S2C112J4V1</v>
      </c>
      <c r="B22" s="14" t="str">
        <v>INGENIERIA EN MARKETING DIGITAL</v>
      </c>
      <c r="C22" s="14" t="str">
        <v>2</v>
      </c>
      <c r="D22" s="14" t="str">
        <v>4</v>
      </c>
      <c r="E22" s="14" t="str">
        <v>1</v>
      </c>
      <c r="F22" s="14" t="str">
        <v>No presencial</v>
      </c>
      <c r="G22" s="14" t="str">
        <v>Pregrado</v>
      </c>
      <c r="H22" s="14" t="str">
        <v>Plan Regular</v>
      </c>
      <c r="I22" s="21" t="n">
        <v>2026</v>
      </c>
      <c r="J22" s="21" t="n">
        <v>2026</v>
      </c>
      <c r="K22" s="22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</v>
      </c>
      <c r="AB22" s="22" t="n">
        <v>0</v>
      </c>
      <c r="AC22" s="22" t="n">
        <v>0</v>
      </c>
      <c r="AD22" s="22" t="n">
        <v>66</v>
      </c>
      <c r="AE22" s="14" t="str">
        <v>1</v>
      </c>
      <c r="AF22" s="14" t="str">
        <v>IMDI</v>
      </c>
      <c r="AG22" s="14" t="str">
        <v>IMDI20261</v>
      </c>
      <c r="AH22" s="14" t="str">
        <v>REGULAR</v>
      </c>
      <c r="AI22" s="14" t="str">
        <v>C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55</v>
      </c>
      <c r="AO22" s="14" t="str">
        <v>CRUCE_PERSONA_MU_2022_2026 / REGLA_MU_2027</v>
      </c>
      <c r="AP22" s="14" t="str">
        <v>UNIDO</v>
      </c>
      <c r="AQ22" s="14" t="str">
        <v>UNIDO</v>
      </c>
      <c r="AR22" s="14" t="str">
        <v>B/C</v>
      </c>
      <c r="AS22" s="14" t="str">
        <v>H002 / MATRIZ / PUBLICA</v>
      </c>
      <c r="AT22" s="14" t="str">
        <v>ANUAL / Catálogo 2027; no atribución retroactiva ni acreditación de cohorte/malla</v>
      </c>
      <c r="AU22" s="14" t="n">
        <v>8</v>
      </c>
      <c r="AV22" s="14" t="n">
        <v>8</v>
      </c>
      <c r="AW22" s="14" t="str">
        <v>UNA_VERSION_OBSERVADA</v>
      </c>
      <c r="AX22" s="14" t="n">
        <v>2026</v>
      </c>
      <c r="AY22" s="14" t="str">
        <v>PUBLICA; última matrícula</v>
      </c>
    </row>
    <row r="23" ht="27" customHeight="1">
      <c r="A23" s="15" t="str">
        <v>I162S2C112J4V1</v>
      </c>
      <c r="B23" s="15" t="str">
        <v>INGENIERIA EN MARKETING DIGITAL</v>
      </c>
      <c r="C23" s="15" t="str">
        <v>2</v>
      </c>
      <c r="D23" s="15" t="str">
        <v>4</v>
      </c>
      <c r="E23" s="15" t="str">
        <v>1</v>
      </c>
      <c r="F23" s="15" t="str">
        <v>No presencial</v>
      </c>
      <c r="G23" s="15" t="str">
        <v>Pregrado</v>
      </c>
      <c r="H23" s="15" t="str">
        <v>Plan Regular</v>
      </c>
      <c r="I23" s="23" t="n">
        <v>2026</v>
      </c>
      <c r="J23" s="23" t="n">
        <v>2026</v>
      </c>
      <c r="K23" s="24" t="n">
        <v>0</v>
      </c>
      <c r="L23" s="24" t="n">
        <v>0</v>
      </c>
      <c r="M23" s="24" t="n">
        <v>0</v>
      </c>
      <c r="N23" s="24" t="n">
        <v>0</v>
      </c>
      <c r="O23" s="24" t="n">
        <v>0</v>
      </c>
      <c r="P23" s="24" t="n">
        <v>0</v>
      </c>
      <c r="Q23" s="24" t="n">
        <v>0</v>
      </c>
      <c r="R23" s="24" t="n">
        <v>0</v>
      </c>
      <c r="S23" s="24" t="n">
        <v>0</v>
      </c>
      <c r="T23" s="24" t="n">
        <v>0</v>
      </c>
      <c r="U23" s="24" t="n">
        <v>0</v>
      </c>
      <c r="V23" s="24" t="n">
        <v>0</v>
      </c>
      <c r="W23" s="24" t="n">
        <v>0</v>
      </c>
      <c r="X23" s="24" t="n">
        <v>0</v>
      </c>
      <c r="Y23" s="24" t="n">
        <v>0</v>
      </c>
      <c r="Z23" s="24" t="n">
        <v>0</v>
      </c>
      <c r="AA23" s="24" t="n">
        <v>0</v>
      </c>
      <c r="AB23" s="24" t="n">
        <v>0</v>
      </c>
      <c r="AC23" s="24" t="n">
        <v>0</v>
      </c>
      <c r="AD23" s="24" t="n">
        <v>66</v>
      </c>
      <c r="AE23" s="15" t="str">
        <v>1</v>
      </c>
      <c r="AF23" s="15" t="str">
        <v>IMDI</v>
      </c>
      <c r="AG23" s="15" t="str">
        <v>PLAN_NO_OBSERVADO</v>
      </c>
      <c r="AH23" s="15" t="str">
        <v>E</v>
      </c>
      <c r="AI23" s="15" t="str">
        <v>E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1</v>
      </c>
      <c r="AO23" s="15" t="str">
        <v>CRUCE_PERSONA_MU_2022_2026</v>
      </c>
      <c r="AP23" s="15" t="str">
        <v>PENDIENTE</v>
      </c>
      <c r="AQ23" s="15" t="str">
        <v>PLAN_NO_OBSERVADO</v>
      </c>
      <c r="AR23" s="15" t="str">
        <v>E</v>
      </c>
      <c r="AS23" s="15" t="str">
        <v>MATRIZ / PUBLICA</v>
      </c>
      <c r="AT23" s="15" t="str">
        <v>SIN_ACTIVIDAD_ANUAL; ENLACE_EXPEDIENTE_CONSERVADO</v>
      </c>
      <c r="AU23" s="15" t="n">
        <v>8</v>
      </c>
      <c r="AV23" s="15" t="n">
        <v>8</v>
      </c>
      <c r="AW23" s="15" t="str">
        <v>UNA_VERSION_OBSERVADA</v>
      </c>
      <c r="AX23" s="15" t="n">
        <v>2026</v>
      </c>
      <c r="AY23" s="15" t="str">
        <v>PUBLICA; última matrícula</v>
      </c>
    </row>
    <row r="24" ht="36" customHeight="1">
      <c r="A24" s="14" t="str">
        <v>I162S2C112J4V2</v>
      </c>
      <c r="B24" s="14" t="str">
        <v>INGENIERIA EN MARKETING DIGITAL</v>
      </c>
      <c r="C24" s="14" t="str">
        <v>2</v>
      </c>
      <c r="D24" s="14" t="str">
        <v>4</v>
      </c>
      <c r="E24" s="14" t="str">
        <v>2</v>
      </c>
      <c r="F24" s="14" t="str">
        <v>No presencial</v>
      </c>
      <c r="G24" s="14" t="str">
        <v>Pregrado</v>
      </c>
      <c r="H24" s="14" t="str">
        <v>Plan Regular de Continuidad</v>
      </c>
      <c r="I24" s="21" t="str">
        <v>n.a.</v>
      </c>
      <c r="J24" s="21" t="str">
        <v>n.a.</v>
      </c>
      <c r="K24" s="22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</v>
      </c>
      <c r="AA24" s="22" t="n">
        <v>0</v>
      </c>
      <c r="AB24" s="22" t="n">
        <v>0</v>
      </c>
      <c r="AC24" s="22" t="n">
        <v>0</v>
      </c>
      <c r="AD24" s="22" t="n">
        <v>0</v>
      </c>
      <c r="AE24" s="14" t="str">
        <v>1</v>
      </c>
      <c r="AF24" s="14" t="str">
        <v>CIMDI</v>
      </c>
      <c r="AG24" s="14" t="str">
        <v>CIMDI20261</v>
      </c>
      <c r="AH24" s="14" t="str">
        <v>CONTINUIDAD</v>
      </c>
      <c r="AI24" s="14" t="str">
        <v>C</v>
      </c>
      <c r="AJ24" s="22" t="n">
        <v>0</v>
      </c>
      <c r="AK24" s="22" t="n">
        <v>0</v>
      </c>
      <c r="AL24" s="22" t="n">
        <v>0</v>
      </c>
      <c r="AM24" s="22" t="n">
        <v>0</v>
      </c>
      <c r="AN24" s="22" t="n">
        <v>0</v>
      </c>
      <c r="AO24" s="14" t="str">
        <v>REGLA_MU_2027</v>
      </c>
      <c r="AP24" s="14" t="str">
        <v>UNIDO</v>
      </c>
      <c r="AQ24" s="14" t="str">
        <v>UNIDO</v>
      </c>
      <c r="AR24" s="14" t="str">
        <v>B/C</v>
      </c>
      <c r="AS24" s="14" t="str">
        <v>H002 / PUBLICA</v>
      </c>
      <c r="AT24" s="14" t="str">
        <v>Catálogo 2027; no atribución retroactiva ni acreditación de cohorte/malla</v>
      </c>
      <c r="AU24" s="14" t="n">
        <v>4</v>
      </c>
      <c r="AV24" s="14" t="n">
        <v>4</v>
      </c>
      <c r="AW24" s="14" t="str">
        <v>E: sin historia pública</v>
      </c>
      <c r="AX24" s="14" t="n">
        <v>2026</v>
      </c>
      <c r="AY24" s="14" t="str">
        <v>MAESTRO/oferta_anual; sin matrícula</v>
      </c>
    </row>
    <row r="25" ht="36" customHeight="1">
      <c r="A25" s="15" t="str">
        <v>I162S2C113J4V1</v>
      </c>
      <c r="B25" s="15" t="str">
        <v>INGENIERIA EN RECURSOS HUMANOS</v>
      </c>
      <c r="C25" s="15" t="str">
        <v>2</v>
      </c>
      <c r="D25" s="15" t="str">
        <v>4</v>
      </c>
      <c r="E25" s="15" t="str">
        <v>1</v>
      </c>
      <c r="F25" s="15" t="str">
        <v>No presencial</v>
      </c>
      <c r="G25" s="15" t="str">
        <v>Pregrado</v>
      </c>
      <c r="H25" s="15" t="str">
        <v>Plan Regular</v>
      </c>
      <c r="I25" s="23" t="n">
        <v>2026</v>
      </c>
      <c r="J25" s="23" t="n">
        <v>2026</v>
      </c>
      <c r="K25" s="24" t="n">
        <v>0</v>
      </c>
      <c r="L25" s="24" t="n">
        <v>0</v>
      </c>
      <c r="M25" s="24" t="n">
        <v>0</v>
      </c>
      <c r="N25" s="24" t="n">
        <v>0</v>
      </c>
      <c r="O25" s="24" t="n">
        <v>0</v>
      </c>
      <c r="P25" s="24" t="n">
        <v>0</v>
      </c>
      <c r="Q25" s="24" t="n">
        <v>0</v>
      </c>
      <c r="R25" s="24" t="n">
        <v>0</v>
      </c>
      <c r="S25" s="24" t="n">
        <v>0</v>
      </c>
      <c r="T25" s="24" t="n">
        <v>0</v>
      </c>
      <c r="U25" s="24" t="n">
        <v>0</v>
      </c>
      <c r="V25" s="24" t="n">
        <v>0</v>
      </c>
      <c r="W25" s="24" t="n">
        <v>0</v>
      </c>
      <c r="X25" s="24" t="n">
        <v>0</v>
      </c>
      <c r="Y25" s="24" t="n">
        <v>0</v>
      </c>
      <c r="Z25" s="24" t="n">
        <v>0</v>
      </c>
      <c r="AA25" s="24" t="n">
        <v>0</v>
      </c>
      <c r="AB25" s="24" t="n">
        <v>0</v>
      </c>
      <c r="AC25" s="24" t="n">
        <v>0</v>
      </c>
      <c r="AD25" s="24" t="n">
        <v>33</v>
      </c>
      <c r="AE25" s="15" t="str">
        <v>1</v>
      </c>
      <c r="AF25" s="15" t="str">
        <v>IRHU</v>
      </c>
      <c r="AG25" s="15" t="str">
        <v>IRHU20261</v>
      </c>
      <c r="AH25" s="15" t="str">
        <v>REGULAR</v>
      </c>
      <c r="AI25" s="15" t="str">
        <v>C</v>
      </c>
      <c r="AJ25" s="24" t="n">
        <v>0</v>
      </c>
      <c r="AK25" s="24" t="n">
        <v>0</v>
      </c>
      <c r="AL25" s="24" t="n">
        <v>0</v>
      </c>
      <c r="AM25" s="24" t="n">
        <v>0</v>
      </c>
      <c r="AN25" s="24" t="n">
        <v>26</v>
      </c>
      <c r="AO25" s="15" t="str">
        <v>CRUCE_PERSONA_MU_2022_2026 / REGLA_MU_2027</v>
      </c>
      <c r="AP25" s="15" t="str">
        <v>UNIDO</v>
      </c>
      <c r="AQ25" s="15" t="str">
        <v>UNIDO</v>
      </c>
      <c r="AR25" s="15" t="str">
        <v>B/C</v>
      </c>
      <c r="AS25" s="15" t="str">
        <v>H002 / MATRIZ / PUBLICA</v>
      </c>
      <c r="AT25" s="15" t="str">
        <v>ANUAL / Catálogo 2027; no atribución retroactiva ni acreditación de cohorte/malla</v>
      </c>
      <c r="AU25" s="15" t="n">
        <v>8</v>
      </c>
      <c r="AV25" s="15" t="n">
        <v>8</v>
      </c>
      <c r="AW25" s="15" t="str">
        <v>UNA_VERSION_OBSERVADA</v>
      </c>
      <c r="AX25" s="15" t="n">
        <v>2026</v>
      </c>
      <c r="AY25" s="15" t="str">
        <v>PUBLICA; última matrícula</v>
      </c>
    </row>
    <row r="26" ht="27" customHeight="1">
      <c r="A26" s="14" t="str">
        <v>I162S2C113J4V1</v>
      </c>
      <c r="B26" s="14" t="str">
        <v>INGENIERIA EN RECURSOS HUMANOS</v>
      </c>
      <c r="C26" s="14" t="str">
        <v>2</v>
      </c>
      <c r="D26" s="14" t="str">
        <v>4</v>
      </c>
      <c r="E26" s="14" t="str">
        <v>1</v>
      </c>
      <c r="F26" s="14" t="str">
        <v>No presencial</v>
      </c>
      <c r="G26" s="14" t="str">
        <v>Pregrado</v>
      </c>
      <c r="H26" s="14" t="str">
        <v>Plan Regular</v>
      </c>
      <c r="I26" s="21" t="n">
        <v>2026</v>
      </c>
      <c r="J26" s="21" t="n">
        <v>2026</v>
      </c>
      <c r="K26" s="22" t="n">
        <v>0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</v>
      </c>
      <c r="AA26" s="22" t="n">
        <v>0</v>
      </c>
      <c r="AB26" s="22" t="n">
        <v>0</v>
      </c>
      <c r="AC26" s="22" t="n">
        <v>0</v>
      </c>
      <c r="AD26" s="22" t="n">
        <v>33</v>
      </c>
      <c r="AE26" s="14" t="str">
        <v>1</v>
      </c>
      <c r="AF26" s="14" t="str">
        <v>IRHU</v>
      </c>
      <c r="AG26" s="14" t="str">
        <v>PLAN_NO_OBSERVADO</v>
      </c>
      <c r="AH26" s="14" t="str">
        <v>E</v>
      </c>
      <c r="AI26" s="14" t="str">
        <v>E</v>
      </c>
      <c r="AJ26" s="22" t="n">
        <v>0</v>
      </c>
      <c r="AK26" s="22" t="n">
        <v>0</v>
      </c>
      <c r="AL26" s="22" t="n">
        <v>0</v>
      </c>
      <c r="AM26" s="22" t="n">
        <v>0</v>
      </c>
      <c r="AN26" s="22" t="n">
        <v>0</v>
      </c>
      <c r="AO26" s="14" t="str">
        <v>CRUCE_PERSONA_MU_2022_2026</v>
      </c>
      <c r="AP26" s="14" t="str">
        <v>PENDIENTE</v>
      </c>
      <c r="AQ26" s="14" t="str">
        <v>PLAN_NO_OBSERVADO</v>
      </c>
      <c r="AR26" s="14" t="str">
        <v>E</v>
      </c>
      <c r="AS26" s="14" t="str">
        <v>MATRIZ / PUBLICA</v>
      </c>
      <c r="AT26" s="14" t="str">
        <v>SIN_ACTIVIDAD_ANUAL; ENLACE_EXPEDIENTE_CONSERVADO</v>
      </c>
      <c r="AU26" s="14" t="n">
        <v>8</v>
      </c>
      <c r="AV26" s="14" t="n">
        <v>8</v>
      </c>
      <c r="AW26" s="14" t="str">
        <v>UNA_VERSION_OBSERVADA</v>
      </c>
      <c r="AX26" s="14" t="n">
        <v>2026</v>
      </c>
      <c r="AY26" s="14" t="str">
        <v>PUBLICA; última matrícula</v>
      </c>
    </row>
    <row r="27" ht="36" customHeight="1">
      <c r="A27" s="15" t="str">
        <v>I162S2C113J4V2</v>
      </c>
      <c r="B27" s="15" t="str">
        <v>INGENIERIA EN RECURSOS HUMANOS</v>
      </c>
      <c r="C27" s="15" t="str">
        <v>2</v>
      </c>
      <c r="D27" s="15" t="str">
        <v>4</v>
      </c>
      <c r="E27" s="15" t="str">
        <v>2</v>
      </c>
      <c r="F27" s="15" t="str">
        <v>No presencial</v>
      </c>
      <c r="G27" s="15" t="str">
        <v>Pregrado</v>
      </c>
      <c r="H27" s="15" t="str">
        <v>Plan Regular de Continuidad</v>
      </c>
      <c r="I27" s="23" t="str">
        <v>n.a.</v>
      </c>
      <c r="J27" s="23" t="str">
        <v>n.a.</v>
      </c>
      <c r="K27" s="24" t="n">
        <v>0</v>
      </c>
      <c r="L27" s="24" t="n">
        <v>0</v>
      </c>
      <c r="M27" s="24" t="n">
        <v>0</v>
      </c>
      <c r="N27" s="24" t="n">
        <v>0</v>
      </c>
      <c r="O27" s="24" t="n">
        <v>0</v>
      </c>
      <c r="P27" s="24" t="n">
        <v>0</v>
      </c>
      <c r="Q27" s="24" t="n">
        <v>0</v>
      </c>
      <c r="R27" s="24" t="n">
        <v>0</v>
      </c>
      <c r="S27" s="24" t="n">
        <v>0</v>
      </c>
      <c r="T27" s="24" t="n">
        <v>0</v>
      </c>
      <c r="U27" s="24" t="n">
        <v>0</v>
      </c>
      <c r="V27" s="24" t="n">
        <v>0</v>
      </c>
      <c r="W27" s="24" t="n">
        <v>0</v>
      </c>
      <c r="X27" s="24" t="n">
        <v>0</v>
      </c>
      <c r="Y27" s="24" t="n">
        <v>0</v>
      </c>
      <c r="Z27" s="24" t="n">
        <v>0</v>
      </c>
      <c r="AA27" s="24" t="n">
        <v>0</v>
      </c>
      <c r="AB27" s="24" t="n">
        <v>0</v>
      </c>
      <c r="AC27" s="24" t="n">
        <v>0</v>
      </c>
      <c r="AD27" s="24" t="n">
        <v>0</v>
      </c>
      <c r="AE27" s="15" t="str">
        <v>1</v>
      </c>
      <c r="AF27" s="15" t="str">
        <v>CIRHU</v>
      </c>
      <c r="AG27" s="15" t="str">
        <v>CIRHU20261</v>
      </c>
      <c r="AH27" s="15" t="str">
        <v>CONTINUIDAD</v>
      </c>
      <c r="AI27" s="15" t="str">
        <v>C</v>
      </c>
      <c r="AJ27" s="24" t="n">
        <v>0</v>
      </c>
      <c r="AK27" s="24" t="n">
        <v>0</v>
      </c>
      <c r="AL27" s="24" t="n">
        <v>0</v>
      </c>
      <c r="AM27" s="24" t="n">
        <v>0</v>
      </c>
      <c r="AN27" s="24" t="n">
        <v>0</v>
      </c>
      <c r="AO27" s="15" t="str">
        <v>REGLA_MU_2027</v>
      </c>
      <c r="AP27" s="15" t="str">
        <v>UNIDO</v>
      </c>
      <c r="AQ27" s="15" t="str">
        <v>UNIDO</v>
      </c>
      <c r="AR27" s="15" t="str">
        <v>B/C</v>
      </c>
      <c r="AS27" s="15" t="str">
        <v>H002 / PUBLICA</v>
      </c>
      <c r="AT27" s="15" t="str">
        <v>Catálogo 2027; no atribución retroactiva ni acreditación de cohorte/malla</v>
      </c>
      <c r="AU27" s="15" t="n">
        <v>4</v>
      </c>
      <c r="AV27" s="15" t="n">
        <v>4</v>
      </c>
      <c r="AW27" s="15" t="str">
        <v>E: sin historia pública</v>
      </c>
      <c r="AX27" s="15" t="n">
        <v>2026</v>
      </c>
      <c r="AY27" s="15" t="str">
        <v>MAESTRO/oferta_anual; sin matrícula</v>
      </c>
    </row>
    <row r="28" ht="36" customHeight="1">
      <c r="A28" s="14" t="str">
        <v>I162S2C114J1V1</v>
      </c>
      <c r="B28" s="14" t="str">
        <v>TECNICO EN ENFERMERIA E INSTRUMENTACION QUIRURGICA</v>
      </c>
      <c r="C28" s="14" t="str">
        <v>2</v>
      </c>
      <c r="D28" s="14" t="str">
        <v>1</v>
      </c>
      <c r="E28" s="14" t="str">
        <v>1</v>
      </c>
      <c r="F28" s="14" t="str">
        <v>Presencial</v>
      </c>
      <c r="G28" s="14" t="str">
        <v>Pregrado</v>
      </c>
      <c r="H28" s="14" t="str">
        <v>Plan Regular</v>
      </c>
      <c r="I28" s="21" t="str">
        <v>n.a.</v>
      </c>
      <c r="J28" s="21" t="str">
        <v>n.a.</v>
      </c>
      <c r="K28" s="22" t="n">
        <v>0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</v>
      </c>
      <c r="AA28" s="22" t="n">
        <v>0</v>
      </c>
      <c r="AB28" s="22" t="n">
        <v>0</v>
      </c>
      <c r="AC28" s="22" t="n">
        <v>0</v>
      </c>
      <c r="AD28" s="22" t="n">
        <v>0</v>
      </c>
      <c r="AE28" s="14" t="str">
        <v>1</v>
      </c>
      <c r="AF28" s="14" t="str">
        <v>TEIQ</v>
      </c>
      <c r="AG28" s="14" t="str">
        <v>TEIQ20261</v>
      </c>
      <c r="AH28" s="14" t="str">
        <v>REGULAR</v>
      </c>
      <c r="AI28" s="14" t="str">
        <v>C</v>
      </c>
      <c r="AJ28" s="22" t="n">
        <v>0</v>
      </c>
      <c r="AK28" s="22" t="n">
        <v>0</v>
      </c>
      <c r="AL28" s="22" t="n">
        <v>0</v>
      </c>
      <c r="AM28" s="22" t="n">
        <v>0</v>
      </c>
      <c r="AN28" s="22" t="n">
        <v>0</v>
      </c>
      <c r="AO28" s="14" t="str">
        <v>APROBACION_D_2027</v>
      </c>
      <c r="AP28" s="14" t="str">
        <v>UNIDO</v>
      </c>
      <c r="AQ28" s="14" t="str">
        <v>UNIDO</v>
      </c>
      <c r="AR28" s="14" t="str">
        <v>D/C</v>
      </c>
      <c r="AS28" s="14" t="str">
        <v>H002 / PUBLICA</v>
      </c>
      <c r="AT28" s="14" t="str">
        <v>Catálogo 2027; no atribución retroactiva ni acreditación de cohorte/malla</v>
      </c>
      <c r="AU28" s="14" t="str">
        <v>E</v>
      </c>
      <c r="AV28" s="14" t="n">
        <v>5</v>
      </c>
      <c r="AW28" s="14" t="str">
        <v>E: sin historia pública</v>
      </c>
      <c r="AX28" s="14" t="n">
        <v>2027</v>
      </c>
      <c r="AY28" s="14" t="str">
        <v>H002; estudios no acreditados</v>
      </c>
    </row>
    <row r="29" ht="50" customHeight="1">
      <c r="A29" s="15" t="str">
        <v>I162S2C114J2V1</v>
      </c>
      <c r="B29" s="15" t="str">
        <v>TECNICO EN ENFERMERIA E INSTRUMENTACION QUIRURGICA</v>
      </c>
      <c r="C29" s="15" t="str">
        <v>2</v>
      </c>
      <c r="D29" s="15" t="str">
        <v>2</v>
      </c>
      <c r="E29" s="15" t="str">
        <v>1</v>
      </c>
      <c r="F29" s="15" t="str">
        <v>Presencial</v>
      </c>
      <c r="G29" s="15" t="str">
        <v>Pregrado</v>
      </c>
      <c r="H29" s="15" t="str">
        <v>Plan Regular</v>
      </c>
      <c r="I29" s="23" t="n">
        <v>2026</v>
      </c>
      <c r="J29" s="23" t="n">
        <v>2026</v>
      </c>
      <c r="K29" s="24" t="n">
        <v>0</v>
      </c>
      <c r="L29" s="24" t="n">
        <v>0</v>
      </c>
      <c r="M29" s="24" t="n">
        <v>0</v>
      </c>
      <c r="N29" s="24" t="n">
        <v>0</v>
      </c>
      <c r="O29" s="24" t="n">
        <v>0</v>
      </c>
      <c r="P29" s="24" t="n">
        <v>0</v>
      </c>
      <c r="Q29" s="24" t="n">
        <v>0</v>
      </c>
      <c r="R29" s="24" t="n">
        <v>0</v>
      </c>
      <c r="S29" s="24" t="n">
        <v>0</v>
      </c>
      <c r="T29" s="24" t="n">
        <v>0</v>
      </c>
      <c r="U29" s="24" t="n">
        <v>0</v>
      </c>
      <c r="V29" s="24" t="n">
        <v>0</v>
      </c>
      <c r="W29" s="24" t="n">
        <v>0</v>
      </c>
      <c r="X29" s="24" t="n">
        <v>0</v>
      </c>
      <c r="Y29" s="24" t="n">
        <v>0</v>
      </c>
      <c r="Z29" s="24" t="n">
        <v>0</v>
      </c>
      <c r="AA29" s="24" t="n">
        <v>0</v>
      </c>
      <c r="AB29" s="24" t="n">
        <v>0</v>
      </c>
      <c r="AC29" s="24" t="n">
        <v>0</v>
      </c>
      <c r="AD29" s="24" t="n">
        <v>94</v>
      </c>
      <c r="AE29" s="15" t="str">
        <v>1</v>
      </c>
      <c r="AF29" s="15" t="str">
        <v>COTEIQ / TEIQ</v>
      </c>
      <c r="AG29" s="15" t="str">
        <v>PLAN_NO_OBSERVADO</v>
      </c>
      <c r="AH29" s="15" t="str">
        <v>E</v>
      </c>
      <c r="AI29" s="15" t="str">
        <v>E</v>
      </c>
      <c r="AJ29" s="24" t="n">
        <v>0</v>
      </c>
      <c r="AK29" s="24" t="n">
        <v>0</v>
      </c>
      <c r="AL29" s="24" t="n">
        <v>0</v>
      </c>
      <c r="AM29" s="24" t="n">
        <v>0</v>
      </c>
      <c r="AN29" s="24" t="n">
        <v>0</v>
      </c>
      <c r="AO29" s="15" t="str">
        <v>CRUCE_PERSONA_MU_2022_2026 / REGLA_MU_2027</v>
      </c>
      <c r="AP29" s="15" t="str">
        <v>PENDIENTE</v>
      </c>
      <c r="AQ29" s="15" t="str">
        <v>PLAN_NO_OBSERVADO</v>
      </c>
      <c r="AR29" s="15" t="str">
        <v>E</v>
      </c>
      <c r="AS29" s="15" t="str">
        <v>H002 / MATRIZ / PUBLICA</v>
      </c>
      <c r="AT29" s="15" t="str">
        <v>Catálogo 2027; no atribución retroactiva ni acreditación de cohorte/malla / SIN_ACTIVIDAD_ANUAL; ENLACE_EXPEDIENTE_CONSERVADO</v>
      </c>
      <c r="AU29" s="15" t="n">
        <v>5</v>
      </c>
      <c r="AV29" s="15" t="n">
        <v>5</v>
      </c>
      <c r="AW29" s="15" t="str">
        <v>UNA_VERSION_OBSERVADA</v>
      </c>
      <c r="AX29" s="15" t="n">
        <v>2026</v>
      </c>
      <c r="AY29" s="15" t="str">
        <v>PUBLICA; última matrícula</v>
      </c>
    </row>
    <row r="30" ht="36" customHeight="1">
      <c r="A30" s="14" t="str">
        <v>I162S2C114J2V1</v>
      </c>
      <c r="B30" s="14" t="str">
        <v>TECNICO EN ENFERMERIA E INSTRUMENTACION QUIRURGICA</v>
      </c>
      <c r="C30" s="14" t="str">
        <v>2</v>
      </c>
      <c r="D30" s="14" t="str">
        <v>2</v>
      </c>
      <c r="E30" s="14" t="str">
        <v>1</v>
      </c>
      <c r="F30" s="14" t="str">
        <v>Presencial</v>
      </c>
      <c r="G30" s="14" t="str">
        <v>Pregrado</v>
      </c>
      <c r="H30" s="14" t="str">
        <v>Plan Regular</v>
      </c>
      <c r="I30" s="21" t="n">
        <v>2026</v>
      </c>
      <c r="J30" s="21" t="n">
        <v>2026</v>
      </c>
      <c r="K30" s="22" t="n">
        <v>0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</v>
      </c>
      <c r="AB30" s="22" t="n">
        <v>0</v>
      </c>
      <c r="AC30" s="22" t="n">
        <v>0</v>
      </c>
      <c r="AD30" s="22" t="n">
        <v>94</v>
      </c>
      <c r="AE30" s="14" t="str">
        <v>1</v>
      </c>
      <c r="AF30" s="14" t="str">
        <v>TEIQ</v>
      </c>
      <c r="AG30" s="14" t="str">
        <v>TEIQ20261</v>
      </c>
      <c r="AH30" s="14" t="str">
        <v>REGULAR</v>
      </c>
      <c r="AI30" s="14" t="str">
        <v>C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73</v>
      </c>
      <c r="AO30" s="14" t="str">
        <v>CRUCE_PERSONA_MU_2022_2026 / REGLA_MU_2027</v>
      </c>
      <c r="AP30" s="14" t="str">
        <v>UNIDO</v>
      </c>
      <c r="AQ30" s="14" t="str">
        <v>UNIDO</v>
      </c>
      <c r="AR30" s="14" t="str">
        <v>B/C</v>
      </c>
      <c r="AS30" s="14" t="str">
        <v>H002 / MATRIZ / PUBLICA</v>
      </c>
      <c r="AT30" s="14" t="str">
        <v>ANUAL / Catálogo 2027; no atribución retroactiva ni acreditación de cohorte/malla</v>
      </c>
      <c r="AU30" s="14" t="n">
        <v>5</v>
      </c>
      <c r="AV30" s="14" t="n">
        <v>5</v>
      </c>
      <c r="AW30" s="14" t="str">
        <v>UNA_VERSION_OBSERVADA</v>
      </c>
      <c r="AX30" s="14" t="n">
        <v>2026</v>
      </c>
      <c r="AY30" s="14" t="str">
        <v>PUBLICA; última matrícula</v>
      </c>
    </row>
    <row r="31" ht="50" customHeight="1">
      <c r="A31" s="15" t="str">
        <v>I162S2C115J2V1</v>
      </c>
      <c r="B31" s="15" t="str">
        <v>TECNICO EN FARMACIA</v>
      </c>
      <c r="C31" s="15" t="str">
        <v>2</v>
      </c>
      <c r="D31" s="15" t="str">
        <v>2</v>
      </c>
      <c r="E31" s="15" t="str">
        <v>1</v>
      </c>
      <c r="F31" s="15" t="str">
        <v>Presencial</v>
      </c>
      <c r="G31" s="15" t="str">
        <v>Pregrado</v>
      </c>
      <c r="H31" s="15" t="str">
        <v>Plan Regular</v>
      </c>
      <c r="I31" s="23" t="n">
        <v>2026</v>
      </c>
      <c r="J31" s="23" t="n">
        <v>2026</v>
      </c>
      <c r="K31" s="24" t="n">
        <v>0</v>
      </c>
      <c r="L31" s="24" t="n">
        <v>0</v>
      </c>
      <c r="M31" s="24" t="n">
        <v>0</v>
      </c>
      <c r="N31" s="24" t="n">
        <v>0</v>
      </c>
      <c r="O31" s="24" t="n">
        <v>0</v>
      </c>
      <c r="P31" s="24" t="n">
        <v>0</v>
      </c>
      <c r="Q31" s="24" t="n">
        <v>0</v>
      </c>
      <c r="R31" s="24" t="n">
        <v>0</v>
      </c>
      <c r="S31" s="24" t="n">
        <v>0</v>
      </c>
      <c r="T31" s="24" t="n">
        <v>0</v>
      </c>
      <c r="U31" s="24" t="n">
        <v>0</v>
      </c>
      <c r="V31" s="24" t="n">
        <v>0</v>
      </c>
      <c r="W31" s="24" t="n">
        <v>0</v>
      </c>
      <c r="X31" s="24" t="n">
        <v>0</v>
      </c>
      <c r="Y31" s="24" t="n">
        <v>0</v>
      </c>
      <c r="Z31" s="24" t="n">
        <v>0</v>
      </c>
      <c r="AA31" s="24" t="n">
        <v>0</v>
      </c>
      <c r="AB31" s="24" t="n">
        <v>0</v>
      </c>
      <c r="AC31" s="24" t="n">
        <v>0</v>
      </c>
      <c r="AD31" s="24" t="n">
        <v>27</v>
      </c>
      <c r="AE31" s="15" t="str">
        <v>1</v>
      </c>
      <c r="AF31" s="15" t="str">
        <v>COTFAR / TFAR</v>
      </c>
      <c r="AG31" s="15" t="str">
        <v>PLAN_NO_OBSERVADO</v>
      </c>
      <c r="AH31" s="15" t="str">
        <v>E</v>
      </c>
      <c r="AI31" s="15" t="str">
        <v>E</v>
      </c>
      <c r="AJ31" s="24" t="n">
        <v>0</v>
      </c>
      <c r="AK31" s="24" t="n">
        <v>0</v>
      </c>
      <c r="AL31" s="24" t="n">
        <v>0</v>
      </c>
      <c r="AM31" s="24" t="n">
        <v>0</v>
      </c>
      <c r="AN31" s="24" t="n">
        <v>0</v>
      </c>
      <c r="AO31" s="15" t="str">
        <v>CRUCE_PERSONA_MU_2022_2026 / REGLA_MU_2027</v>
      </c>
      <c r="AP31" s="15" t="str">
        <v>PENDIENTE</v>
      </c>
      <c r="AQ31" s="15" t="str">
        <v>PLAN_NO_OBSERVADO</v>
      </c>
      <c r="AR31" s="15" t="str">
        <v>E</v>
      </c>
      <c r="AS31" s="15" t="str">
        <v>H002 / MATRIZ / PUBLICA</v>
      </c>
      <c r="AT31" s="15" t="str">
        <v>Catálogo 2027; no atribución retroactiva ni acreditación de cohorte/malla / SIN_ACTIVIDAD_ANUAL; ENLACE_EXPEDIENTE_CONSERVADO</v>
      </c>
      <c r="AU31" s="15" t="n">
        <v>5</v>
      </c>
      <c r="AV31" s="15" t="n">
        <v>5</v>
      </c>
      <c r="AW31" s="15" t="str">
        <v>UNA_VERSION_OBSERVADA</v>
      </c>
      <c r="AX31" s="15" t="n">
        <v>2026</v>
      </c>
      <c r="AY31" s="15" t="str">
        <v>PUBLICA; última matrícula</v>
      </c>
    </row>
    <row r="32" ht="36" customHeight="1">
      <c r="A32" s="14" t="str">
        <v>I162S2C115J2V1</v>
      </c>
      <c r="B32" s="14" t="str">
        <v>TECNICO EN FARMACIA</v>
      </c>
      <c r="C32" s="14" t="str">
        <v>2</v>
      </c>
      <c r="D32" s="14" t="str">
        <v>2</v>
      </c>
      <c r="E32" s="14" t="str">
        <v>1</v>
      </c>
      <c r="F32" s="14" t="str">
        <v>Presencial</v>
      </c>
      <c r="G32" s="14" t="str">
        <v>Pregrado</v>
      </c>
      <c r="H32" s="14" t="str">
        <v>Plan Regular</v>
      </c>
      <c r="I32" s="21" t="n">
        <v>2026</v>
      </c>
      <c r="J32" s="21" t="n">
        <v>2026</v>
      </c>
      <c r="K32" s="22" t="n">
        <v>0</v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</v>
      </c>
      <c r="AA32" s="22" t="n">
        <v>0</v>
      </c>
      <c r="AB32" s="22" t="n">
        <v>0</v>
      </c>
      <c r="AC32" s="22" t="n">
        <v>0</v>
      </c>
      <c r="AD32" s="22" t="n">
        <v>27</v>
      </c>
      <c r="AE32" s="14" t="str">
        <v>1</v>
      </c>
      <c r="AF32" s="14" t="str">
        <v>TFAR</v>
      </c>
      <c r="AG32" s="14" t="str">
        <v>TFAR20261</v>
      </c>
      <c r="AH32" s="14" t="str">
        <v>REGULAR</v>
      </c>
      <c r="AI32" s="14" t="str">
        <v>C</v>
      </c>
      <c r="AJ32" s="22" t="n">
        <v>0</v>
      </c>
      <c r="AK32" s="22" t="n">
        <v>0</v>
      </c>
      <c r="AL32" s="22" t="n">
        <v>0</v>
      </c>
      <c r="AM32" s="22" t="n">
        <v>0</v>
      </c>
      <c r="AN32" s="22" t="n">
        <v>22</v>
      </c>
      <c r="AO32" s="14" t="str">
        <v>CRUCE_PERSONA_MU_2022_2026 / REGLA_MU_2027</v>
      </c>
      <c r="AP32" s="14" t="str">
        <v>UNIDO</v>
      </c>
      <c r="AQ32" s="14" t="str">
        <v>UNIDO</v>
      </c>
      <c r="AR32" s="14" t="str">
        <v>B/C</v>
      </c>
      <c r="AS32" s="14" t="str">
        <v>H002 / MATRIZ / PUBLICA</v>
      </c>
      <c r="AT32" s="14" t="str">
        <v>ANUAL / Catálogo 2027; no atribución retroactiva ni acreditación de cohorte/malla</v>
      </c>
      <c r="AU32" s="14" t="n">
        <v>5</v>
      </c>
      <c r="AV32" s="14" t="n">
        <v>5</v>
      </c>
      <c r="AW32" s="14" t="str">
        <v>UNA_VERSION_OBSERVADA</v>
      </c>
      <c r="AX32" s="14" t="n">
        <v>2026</v>
      </c>
      <c r="AY32" s="14" t="str">
        <v>PUBLICA; última matrícula</v>
      </c>
    </row>
    <row r="33" ht="27" customHeight="1">
      <c r="A33" s="15" t="str">
        <v>I162S2C115J3V1</v>
      </c>
      <c r="B33" s="15" t="str">
        <v>TECNICO EN FARMACIA</v>
      </c>
      <c r="C33" s="15" t="str">
        <v>2</v>
      </c>
      <c r="D33" s="15" t="str">
        <v>3</v>
      </c>
      <c r="E33" s="15" t="str">
        <v>1</v>
      </c>
      <c r="F33" s="15" t="str">
        <v>Semipresencial</v>
      </c>
      <c r="G33" s="15" t="str">
        <v>Pregrado</v>
      </c>
      <c r="H33" s="15" t="str">
        <v>Plan Regular</v>
      </c>
      <c r="I33" s="23" t="str">
        <v>n.a.</v>
      </c>
      <c r="J33" s="23" t="str">
        <v>n.a.</v>
      </c>
      <c r="K33" s="24" t="n">
        <v>0</v>
      </c>
      <c r="L33" s="24" t="n">
        <v>0</v>
      </c>
      <c r="M33" s="24" t="n">
        <v>0</v>
      </c>
      <c r="N33" s="24" t="n">
        <v>0</v>
      </c>
      <c r="O33" s="24" t="n">
        <v>0</v>
      </c>
      <c r="P33" s="24" t="n">
        <v>0</v>
      </c>
      <c r="Q33" s="24" t="n">
        <v>0</v>
      </c>
      <c r="R33" s="24" t="n">
        <v>0</v>
      </c>
      <c r="S33" s="24" t="n">
        <v>0</v>
      </c>
      <c r="T33" s="24" t="n">
        <v>0</v>
      </c>
      <c r="U33" s="24" t="n">
        <v>0</v>
      </c>
      <c r="V33" s="24" t="n">
        <v>0</v>
      </c>
      <c r="W33" s="24" t="n">
        <v>0</v>
      </c>
      <c r="X33" s="24" t="n">
        <v>0</v>
      </c>
      <c r="Y33" s="24" t="n">
        <v>0</v>
      </c>
      <c r="Z33" s="24" t="n">
        <v>0</v>
      </c>
      <c r="AA33" s="24" t="n">
        <v>0</v>
      </c>
      <c r="AB33" s="24" t="n">
        <v>0</v>
      </c>
      <c r="AC33" s="24" t="n">
        <v>0</v>
      </c>
      <c r="AD33" s="24" t="n">
        <v>0</v>
      </c>
      <c r="AE33" s="15" t="str">
        <v>1</v>
      </c>
      <c r="AF33" s="15" t="str">
        <v>E</v>
      </c>
      <c r="AG33" s="15" t="str">
        <v>E: sin plan</v>
      </c>
      <c r="AH33" s="15" t="str">
        <v>E</v>
      </c>
      <c r="AI33" s="15" t="str">
        <v>E</v>
      </c>
      <c r="AJ33" s="24" t="n">
        <v>0</v>
      </c>
      <c r="AK33" s="24" t="n">
        <v>0</v>
      </c>
      <c r="AL33" s="24" t="n">
        <v>0</v>
      </c>
      <c r="AM33" s="24" t="n">
        <v>0</v>
      </c>
      <c r="AN33" s="24" t="n">
        <v>0</v>
      </c>
      <c r="AO33" s="15" t="str">
        <v>SIN_UNION</v>
      </c>
      <c r="AP33" s="15" t="str">
        <v>PENDIENTE</v>
      </c>
      <c r="AQ33" s="15" t="str">
        <v>NUEVO_2027_SIN_ALUMNOS</v>
      </c>
      <c r="AR33" s="15" t="str">
        <v>E</v>
      </c>
      <c r="AS33" s="15" t="str">
        <v>PUBLICA</v>
      </c>
      <c r="AT33" s="15" t="str">
        <v>E</v>
      </c>
      <c r="AU33" s="15" t="str">
        <v>E</v>
      </c>
      <c r="AV33" s="15" t="n">
        <v>5</v>
      </c>
      <c r="AW33" s="15" t="str">
        <v>E: sin historia pública</v>
      </c>
      <c r="AX33" s="15" t="n">
        <v>2027</v>
      </c>
      <c r="AY33" s="15" t="str">
        <v>H002; estudios no acreditados</v>
      </c>
    </row>
    <row r="34" ht="27" customHeight="1">
      <c r="A34" s="14" t="str">
        <v>I162S2C116J4V1</v>
      </c>
      <c r="B34" s="14" t="str">
        <v>TECNICO EN FINANZAS</v>
      </c>
      <c r="C34" s="14" t="str">
        <v>2</v>
      </c>
      <c r="D34" s="14" t="str">
        <v>4</v>
      </c>
      <c r="E34" s="14" t="str">
        <v>1</v>
      </c>
      <c r="F34" s="14" t="str">
        <v>No presencial</v>
      </c>
      <c r="G34" s="14" t="str">
        <v>Pregrado</v>
      </c>
      <c r="H34" s="14" t="str">
        <v>Plan Regular</v>
      </c>
      <c r="I34" s="21" t="n">
        <v>2026</v>
      </c>
      <c r="J34" s="21" t="n">
        <v>2026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</v>
      </c>
      <c r="AA34" s="22" t="n">
        <v>0</v>
      </c>
      <c r="AB34" s="22" t="n">
        <v>0</v>
      </c>
      <c r="AC34" s="22" t="n">
        <v>0</v>
      </c>
      <c r="AD34" s="22" t="n">
        <v>24</v>
      </c>
      <c r="AE34" s="14" t="str">
        <v>1</v>
      </c>
      <c r="AF34" s="14" t="str">
        <v>TFIN</v>
      </c>
      <c r="AG34" s="14" t="str">
        <v>PLAN_NO_OBSERVADO</v>
      </c>
      <c r="AH34" s="14" t="str">
        <v>E</v>
      </c>
      <c r="AI34" s="14" t="str">
        <v>E</v>
      </c>
      <c r="AJ34" s="22" t="n">
        <v>0</v>
      </c>
      <c r="AK34" s="22" t="n">
        <v>0</v>
      </c>
      <c r="AL34" s="22" t="n">
        <v>0</v>
      </c>
      <c r="AM34" s="22" t="n">
        <v>0</v>
      </c>
      <c r="AN34" s="22" t="n">
        <v>0</v>
      </c>
      <c r="AO34" s="14" t="str">
        <v>CRUCE_PERSONA_MU_2022_2026</v>
      </c>
      <c r="AP34" s="14" t="str">
        <v>PENDIENTE</v>
      </c>
      <c r="AQ34" s="14" t="str">
        <v>PLAN_NO_OBSERVADO</v>
      </c>
      <c r="AR34" s="14" t="str">
        <v>E</v>
      </c>
      <c r="AS34" s="14" t="str">
        <v>MATRIZ / PUBLICA</v>
      </c>
      <c r="AT34" s="14" t="str">
        <v>SIN_ACTIVIDAD_ANUAL; ENLACE_EXPEDIENTE_CONSERVADO</v>
      </c>
      <c r="AU34" s="14" t="n">
        <v>5</v>
      </c>
      <c r="AV34" s="14" t="n">
        <v>5</v>
      </c>
      <c r="AW34" s="14" t="str">
        <v>UNA_VERSION_OBSERVADA</v>
      </c>
      <c r="AX34" s="14" t="n">
        <v>2026</v>
      </c>
      <c r="AY34" s="14" t="str">
        <v>PUBLICA; última matrícula</v>
      </c>
    </row>
    <row r="35" ht="36" customHeight="1">
      <c r="A35" s="15" t="str">
        <v>I162S2C116J4V1</v>
      </c>
      <c r="B35" s="15" t="str">
        <v>TECNICO EN FINANZAS</v>
      </c>
      <c r="C35" s="15" t="str">
        <v>2</v>
      </c>
      <c r="D35" s="15" t="str">
        <v>4</v>
      </c>
      <c r="E35" s="15" t="str">
        <v>1</v>
      </c>
      <c r="F35" s="15" t="str">
        <v>No presencial</v>
      </c>
      <c r="G35" s="15" t="str">
        <v>Pregrado</v>
      </c>
      <c r="H35" s="15" t="str">
        <v>Plan Regular</v>
      </c>
      <c r="I35" s="23" t="n">
        <v>2026</v>
      </c>
      <c r="J35" s="23" t="n">
        <v>2026</v>
      </c>
      <c r="K35" s="24" t="n">
        <v>0</v>
      </c>
      <c r="L35" s="24" t="n">
        <v>0</v>
      </c>
      <c r="M35" s="24" t="n">
        <v>0</v>
      </c>
      <c r="N35" s="24" t="n">
        <v>0</v>
      </c>
      <c r="O35" s="24" t="n">
        <v>0</v>
      </c>
      <c r="P35" s="24" t="n">
        <v>0</v>
      </c>
      <c r="Q35" s="24" t="n">
        <v>0</v>
      </c>
      <c r="R35" s="24" t="n">
        <v>0</v>
      </c>
      <c r="S35" s="24" t="n">
        <v>0</v>
      </c>
      <c r="T35" s="24" t="n">
        <v>0</v>
      </c>
      <c r="U35" s="24" t="n">
        <v>0</v>
      </c>
      <c r="V35" s="24" t="n">
        <v>0</v>
      </c>
      <c r="W35" s="24" t="n">
        <v>0</v>
      </c>
      <c r="X35" s="24" t="n">
        <v>0</v>
      </c>
      <c r="Y35" s="24" t="n">
        <v>0</v>
      </c>
      <c r="Z35" s="24" t="n">
        <v>0</v>
      </c>
      <c r="AA35" s="24" t="n">
        <v>0</v>
      </c>
      <c r="AB35" s="24" t="n">
        <v>0</v>
      </c>
      <c r="AC35" s="24" t="n">
        <v>0</v>
      </c>
      <c r="AD35" s="24" t="n">
        <v>24</v>
      </c>
      <c r="AE35" s="15" t="str">
        <v>1</v>
      </c>
      <c r="AF35" s="15" t="str">
        <v>TFIN</v>
      </c>
      <c r="AG35" s="15" t="str">
        <v>TFIN20261</v>
      </c>
      <c r="AH35" s="15" t="str">
        <v>REGULAR</v>
      </c>
      <c r="AI35" s="15" t="str">
        <v>C</v>
      </c>
      <c r="AJ35" s="24" t="n">
        <v>0</v>
      </c>
      <c r="AK35" s="24" t="n">
        <v>0</v>
      </c>
      <c r="AL35" s="24" t="n">
        <v>0</v>
      </c>
      <c r="AM35" s="24" t="n">
        <v>0</v>
      </c>
      <c r="AN35" s="24" t="n">
        <v>23</v>
      </c>
      <c r="AO35" s="15" t="str">
        <v>CRUCE_PERSONA_MU_2022_2026 / REGLA_MU_2027</v>
      </c>
      <c r="AP35" s="15" t="str">
        <v>UNIDO</v>
      </c>
      <c r="AQ35" s="15" t="str">
        <v>UNIDO</v>
      </c>
      <c r="AR35" s="15" t="str">
        <v>B/C</v>
      </c>
      <c r="AS35" s="15" t="str">
        <v>H002 / MATRIZ / PUBLICA</v>
      </c>
      <c r="AT35" s="15" t="str">
        <v>ANUAL / Catálogo 2027; no atribución retroactiva ni acreditación de cohorte/malla</v>
      </c>
      <c r="AU35" s="15" t="n">
        <v>5</v>
      </c>
      <c r="AV35" s="15" t="n">
        <v>5</v>
      </c>
      <c r="AW35" s="15" t="str">
        <v>UNA_VERSION_OBSERVADA</v>
      </c>
      <c r="AX35" s="15" t="n">
        <v>2026</v>
      </c>
      <c r="AY35" s="15" t="str">
        <v>PUBLICA; última matrícula</v>
      </c>
    </row>
    <row r="36" ht="27" customHeight="1">
      <c r="A36" s="14" t="str">
        <v>I162S2C117J4V1</v>
      </c>
      <c r="B36" s="14" t="str">
        <v>TECNICO EN INFRAESTRUCTURA CLOUD</v>
      </c>
      <c r="C36" s="14" t="str">
        <v>2</v>
      </c>
      <c r="D36" s="14" t="str">
        <v>4</v>
      </c>
      <c r="E36" s="14" t="str">
        <v>1</v>
      </c>
      <c r="F36" s="14" t="str">
        <v>No presencial</v>
      </c>
      <c r="G36" s="14" t="str">
        <v>Pregrado</v>
      </c>
      <c r="H36" s="14" t="str">
        <v>Plan Regular</v>
      </c>
      <c r="I36" s="21" t="n">
        <v>2026</v>
      </c>
      <c r="J36" s="21" t="n">
        <v>2026</v>
      </c>
      <c r="K36" s="22" t="n">
        <v>0</v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</v>
      </c>
      <c r="AA36" s="22" t="n">
        <v>0</v>
      </c>
      <c r="AB36" s="22" t="n">
        <v>0</v>
      </c>
      <c r="AC36" s="22" t="n">
        <v>0</v>
      </c>
      <c r="AD36" s="22" t="n">
        <v>12</v>
      </c>
      <c r="AE36" s="14" t="str">
        <v>1</v>
      </c>
      <c r="AF36" s="14" t="str">
        <v>TICL</v>
      </c>
      <c r="AG36" s="14" t="str">
        <v>PLAN_NO_OBSERVADO</v>
      </c>
      <c r="AH36" s="14" t="str">
        <v>E</v>
      </c>
      <c r="AI36" s="14" t="str">
        <v>E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1</v>
      </c>
      <c r="AO36" s="14" t="str">
        <v>CRUCE_PERSONA_MU_2022_2026</v>
      </c>
      <c r="AP36" s="14" t="str">
        <v>PENDIENTE</v>
      </c>
      <c r="AQ36" s="14" t="str">
        <v>PLAN_NO_OBSERVADO</v>
      </c>
      <c r="AR36" s="14" t="str">
        <v>E</v>
      </c>
      <c r="AS36" s="14" t="str">
        <v>MATRIZ / PUBLICA</v>
      </c>
      <c r="AT36" s="14" t="str">
        <v>SIN_ACTIVIDAD_ANUAL; ENLACE_EXPEDIENTE_CONSERVADO</v>
      </c>
      <c r="AU36" s="14" t="n">
        <v>5</v>
      </c>
      <c r="AV36" s="14" t="n">
        <v>5</v>
      </c>
      <c r="AW36" s="14" t="str">
        <v>UNA_VERSION_OBSERVADA</v>
      </c>
      <c r="AX36" s="14" t="n">
        <v>2026</v>
      </c>
      <c r="AY36" s="14" t="str">
        <v>PUBLICA; última matrícula</v>
      </c>
    </row>
    <row r="37" ht="36" customHeight="1">
      <c r="A37" s="15" t="str">
        <v>I162S2C117J4V1</v>
      </c>
      <c r="B37" s="15" t="str">
        <v>TECNICO EN INFRAESTRUCTURA CLOUD</v>
      </c>
      <c r="C37" s="15" t="str">
        <v>2</v>
      </c>
      <c r="D37" s="15" t="str">
        <v>4</v>
      </c>
      <c r="E37" s="15" t="str">
        <v>1</v>
      </c>
      <c r="F37" s="15" t="str">
        <v>No presencial</v>
      </c>
      <c r="G37" s="15" t="str">
        <v>Pregrado</v>
      </c>
      <c r="H37" s="15" t="str">
        <v>Plan Regular</v>
      </c>
      <c r="I37" s="23" t="n">
        <v>2026</v>
      </c>
      <c r="J37" s="23" t="n">
        <v>2026</v>
      </c>
      <c r="K37" s="24" t="n">
        <v>0</v>
      </c>
      <c r="L37" s="24" t="n">
        <v>0</v>
      </c>
      <c r="M37" s="24" t="n">
        <v>0</v>
      </c>
      <c r="N37" s="24" t="n">
        <v>0</v>
      </c>
      <c r="O37" s="24" t="n">
        <v>0</v>
      </c>
      <c r="P37" s="24" t="n">
        <v>0</v>
      </c>
      <c r="Q37" s="24" t="n">
        <v>0</v>
      </c>
      <c r="R37" s="24" t="n">
        <v>0</v>
      </c>
      <c r="S37" s="24" t="n">
        <v>0</v>
      </c>
      <c r="T37" s="24" t="n">
        <v>0</v>
      </c>
      <c r="U37" s="24" t="n">
        <v>0</v>
      </c>
      <c r="V37" s="24" t="n">
        <v>0</v>
      </c>
      <c r="W37" s="24" t="n">
        <v>0</v>
      </c>
      <c r="X37" s="24" t="n">
        <v>0</v>
      </c>
      <c r="Y37" s="24" t="n">
        <v>0</v>
      </c>
      <c r="Z37" s="24" t="n">
        <v>0</v>
      </c>
      <c r="AA37" s="24" t="n">
        <v>0</v>
      </c>
      <c r="AB37" s="24" t="n">
        <v>0</v>
      </c>
      <c r="AC37" s="24" t="n">
        <v>0</v>
      </c>
      <c r="AD37" s="24" t="n">
        <v>12</v>
      </c>
      <c r="AE37" s="15" t="str">
        <v>1</v>
      </c>
      <c r="AF37" s="15" t="str">
        <v>TICL</v>
      </c>
      <c r="AG37" s="15" t="str">
        <v>TICL20261</v>
      </c>
      <c r="AH37" s="15" t="str">
        <v>REGULAR</v>
      </c>
      <c r="AI37" s="15" t="str">
        <v>C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11</v>
      </c>
      <c r="AO37" s="15" t="str">
        <v>CRUCE_PERSONA_MU_2022_2026 / REGLA_MU_2027</v>
      </c>
      <c r="AP37" s="15" t="str">
        <v>UNIDO</v>
      </c>
      <c r="AQ37" s="15" t="str">
        <v>UNIDO</v>
      </c>
      <c r="AR37" s="15" t="str">
        <v>B/C</v>
      </c>
      <c r="AS37" s="15" t="str">
        <v>H002 / MATRIZ / PUBLICA</v>
      </c>
      <c r="AT37" s="15" t="str">
        <v>ANUAL / Catálogo 2027; no atribución retroactiva ni acreditación de cohorte/malla</v>
      </c>
      <c r="AU37" s="15" t="n">
        <v>5</v>
      </c>
      <c r="AV37" s="15" t="n">
        <v>5</v>
      </c>
      <c r="AW37" s="15" t="str">
        <v>UNA_VERSION_OBSERVADA</v>
      </c>
      <c r="AX37" s="15" t="n">
        <v>2026</v>
      </c>
      <c r="AY37" s="15" t="str">
        <v>PUBLICA; última matrícula</v>
      </c>
    </row>
    <row r="38" ht="27" customHeight="1">
      <c r="A38" s="14" t="str">
        <v>I162S2C118J4V1</v>
      </c>
      <c r="B38" s="14" t="str">
        <v>TECNICO EN MARKETING DIGITAL</v>
      </c>
      <c r="C38" s="14" t="str">
        <v>2</v>
      </c>
      <c r="D38" s="14" t="str">
        <v>4</v>
      </c>
      <c r="E38" s="14" t="str">
        <v>1</v>
      </c>
      <c r="F38" s="14" t="str">
        <v>No presencial</v>
      </c>
      <c r="G38" s="14" t="str">
        <v>Pregrado</v>
      </c>
      <c r="H38" s="14" t="str">
        <v>Plan Regular</v>
      </c>
      <c r="I38" s="21" t="n">
        <v>2026</v>
      </c>
      <c r="J38" s="21" t="n">
        <v>2026</v>
      </c>
      <c r="K38" s="22" t="n">
        <v>0</v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</v>
      </c>
      <c r="AB38" s="22" t="n">
        <v>0</v>
      </c>
      <c r="AC38" s="22" t="n">
        <v>0</v>
      </c>
      <c r="AD38" s="22" t="n">
        <v>64</v>
      </c>
      <c r="AE38" s="14" t="str">
        <v>1</v>
      </c>
      <c r="AF38" s="14" t="str">
        <v>TMDI</v>
      </c>
      <c r="AG38" s="14" t="str">
        <v>PLAN_NO_OBSERVADO</v>
      </c>
      <c r="AH38" s="14" t="str">
        <v>E</v>
      </c>
      <c r="AI38" s="14" t="str">
        <v>E</v>
      </c>
      <c r="AJ38" s="22" t="n">
        <v>0</v>
      </c>
      <c r="AK38" s="22" t="n">
        <v>0</v>
      </c>
      <c r="AL38" s="22" t="n">
        <v>0</v>
      </c>
      <c r="AM38" s="22" t="n">
        <v>0</v>
      </c>
      <c r="AN38" s="22" t="n">
        <v>0</v>
      </c>
      <c r="AO38" s="14" t="str">
        <v>CRUCE_PERSONA_MU_2022_2026</v>
      </c>
      <c r="AP38" s="14" t="str">
        <v>PENDIENTE</v>
      </c>
      <c r="AQ38" s="14" t="str">
        <v>PLAN_NO_OBSERVADO</v>
      </c>
      <c r="AR38" s="14" t="str">
        <v>E</v>
      </c>
      <c r="AS38" s="14" t="str">
        <v>MATRIZ / PUBLICA</v>
      </c>
      <c r="AT38" s="14" t="str">
        <v>SIN_ACTIVIDAD_ANUAL; ENLACE_EXPEDIENTE_CONSERVADO</v>
      </c>
      <c r="AU38" s="14" t="n">
        <v>5</v>
      </c>
      <c r="AV38" s="14" t="n">
        <v>5</v>
      </c>
      <c r="AW38" s="14" t="str">
        <v>UNA_VERSION_OBSERVADA</v>
      </c>
      <c r="AX38" s="14" t="n">
        <v>2026</v>
      </c>
      <c r="AY38" s="14" t="str">
        <v>PUBLICA; última matrícula</v>
      </c>
    </row>
    <row r="39" ht="36" customHeight="1">
      <c r="A39" s="15" t="str">
        <v>I162S2C118J4V1</v>
      </c>
      <c r="B39" s="15" t="str">
        <v>TECNICO EN MARKETING DIGITAL</v>
      </c>
      <c r="C39" s="15" t="str">
        <v>2</v>
      </c>
      <c r="D39" s="15" t="str">
        <v>4</v>
      </c>
      <c r="E39" s="15" t="str">
        <v>1</v>
      </c>
      <c r="F39" s="15" t="str">
        <v>No presencial</v>
      </c>
      <c r="G39" s="15" t="str">
        <v>Pregrado</v>
      </c>
      <c r="H39" s="15" t="str">
        <v>Plan Regular</v>
      </c>
      <c r="I39" s="23" t="n">
        <v>2026</v>
      </c>
      <c r="J39" s="23" t="n">
        <v>2026</v>
      </c>
      <c r="K39" s="24" t="n">
        <v>0</v>
      </c>
      <c r="L39" s="24" t="n">
        <v>0</v>
      </c>
      <c r="M39" s="24" t="n">
        <v>0</v>
      </c>
      <c r="N39" s="24" t="n">
        <v>0</v>
      </c>
      <c r="O39" s="24" t="n">
        <v>0</v>
      </c>
      <c r="P39" s="24" t="n">
        <v>0</v>
      </c>
      <c r="Q39" s="24" t="n">
        <v>0</v>
      </c>
      <c r="R39" s="24" t="n">
        <v>0</v>
      </c>
      <c r="S39" s="24" t="n">
        <v>0</v>
      </c>
      <c r="T39" s="24" t="n">
        <v>0</v>
      </c>
      <c r="U39" s="24" t="n">
        <v>0</v>
      </c>
      <c r="V39" s="24" t="n">
        <v>0</v>
      </c>
      <c r="W39" s="24" t="n">
        <v>0</v>
      </c>
      <c r="X39" s="24" t="n">
        <v>0</v>
      </c>
      <c r="Y39" s="24" t="n">
        <v>0</v>
      </c>
      <c r="Z39" s="24" t="n">
        <v>0</v>
      </c>
      <c r="AA39" s="24" t="n">
        <v>0</v>
      </c>
      <c r="AB39" s="24" t="n">
        <v>0</v>
      </c>
      <c r="AC39" s="24" t="n">
        <v>0</v>
      </c>
      <c r="AD39" s="24" t="n">
        <v>64</v>
      </c>
      <c r="AE39" s="15" t="str">
        <v>1</v>
      </c>
      <c r="AF39" s="15" t="str">
        <v>TMDI</v>
      </c>
      <c r="AG39" s="15" t="str">
        <v>TMDI20261</v>
      </c>
      <c r="AH39" s="15" t="str">
        <v>REGULAR</v>
      </c>
      <c r="AI39" s="15" t="str">
        <v>C</v>
      </c>
      <c r="AJ39" s="24" t="n">
        <v>0</v>
      </c>
      <c r="AK39" s="24" t="n">
        <v>0</v>
      </c>
      <c r="AL39" s="24" t="n">
        <v>0</v>
      </c>
      <c r="AM39" s="24" t="n">
        <v>0</v>
      </c>
      <c r="AN39" s="24" t="n">
        <v>62</v>
      </c>
      <c r="AO39" s="15" t="str">
        <v>CRUCE_PERSONA_MU_2022_2026 / REGLA_MU_2027</v>
      </c>
      <c r="AP39" s="15" t="str">
        <v>UNIDO</v>
      </c>
      <c r="AQ39" s="15" t="str">
        <v>UNIDO</v>
      </c>
      <c r="AR39" s="15" t="str">
        <v>B/C</v>
      </c>
      <c r="AS39" s="15" t="str">
        <v>H002 / MATRIZ / PUBLICA</v>
      </c>
      <c r="AT39" s="15" t="str">
        <v>ANUAL / Catálogo 2027; no atribución retroactiva ni acreditación de cohorte/malla</v>
      </c>
      <c r="AU39" s="15" t="n">
        <v>5</v>
      </c>
      <c r="AV39" s="15" t="n">
        <v>5</v>
      </c>
      <c r="AW39" s="15" t="str">
        <v>UNA_VERSION_OBSERVADA</v>
      </c>
      <c r="AX39" s="15" t="n">
        <v>2026</v>
      </c>
      <c r="AY39" s="15" t="str">
        <v>PUBLICA; última matrícula</v>
      </c>
    </row>
    <row r="40" ht="27" customHeight="1">
      <c r="A40" s="14" t="str">
        <v>I162S2C119J4V1</v>
      </c>
      <c r="B40" s="14" t="str">
        <v>TECNICO EN RECURSOS HUMANOS</v>
      </c>
      <c r="C40" s="14" t="str">
        <v>2</v>
      </c>
      <c r="D40" s="14" t="str">
        <v>4</v>
      </c>
      <c r="E40" s="14" t="str">
        <v>1</v>
      </c>
      <c r="F40" s="14" t="str">
        <v>No presencial</v>
      </c>
      <c r="G40" s="14" t="str">
        <v>Pregrado</v>
      </c>
      <c r="H40" s="14" t="str">
        <v>Plan Regular</v>
      </c>
      <c r="I40" s="21" t="n">
        <v>2026</v>
      </c>
      <c r="J40" s="21" t="n">
        <v>2026</v>
      </c>
      <c r="K40" s="22" t="n">
        <v>0</v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</v>
      </c>
      <c r="AA40" s="22" t="n">
        <v>0</v>
      </c>
      <c r="AB40" s="22" t="n">
        <v>0</v>
      </c>
      <c r="AC40" s="22" t="n">
        <v>0</v>
      </c>
      <c r="AD40" s="22" t="n">
        <v>28</v>
      </c>
      <c r="AE40" s="14" t="str">
        <v>1</v>
      </c>
      <c r="AF40" s="14" t="str">
        <v>TRHU</v>
      </c>
      <c r="AG40" s="14" t="str">
        <v>PLAN_NO_OBSERVADO</v>
      </c>
      <c r="AH40" s="14" t="str">
        <v>E</v>
      </c>
      <c r="AI40" s="14" t="str">
        <v>E</v>
      </c>
      <c r="AJ40" s="22" t="n">
        <v>0</v>
      </c>
      <c r="AK40" s="22" t="n">
        <v>0</v>
      </c>
      <c r="AL40" s="22" t="n">
        <v>0</v>
      </c>
      <c r="AM40" s="22" t="n">
        <v>0</v>
      </c>
      <c r="AN40" s="22" t="n">
        <v>2</v>
      </c>
      <c r="AO40" s="14" t="str">
        <v>CRUCE_PERSONA_MU_2022_2026</v>
      </c>
      <c r="AP40" s="14" t="str">
        <v>PENDIENTE</v>
      </c>
      <c r="AQ40" s="14" t="str">
        <v>PLAN_NO_OBSERVADO</v>
      </c>
      <c r="AR40" s="14" t="str">
        <v>E</v>
      </c>
      <c r="AS40" s="14" t="str">
        <v>MATRIZ / PUBLICA</v>
      </c>
      <c r="AT40" s="14" t="str">
        <v>SIN_ACTIVIDAD_ANUAL; ENLACE_EXPEDIENTE_CONSERVADO</v>
      </c>
      <c r="AU40" s="14" t="n">
        <v>5</v>
      </c>
      <c r="AV40" s="14" t="n">
        <v>5</v>
      </c>
      <c r="AW40" s="14" t="str">
        <v>UNA_VERSION_OBSERVADA</v>
      </c>
      <c r="AX40" s="14" t="n">
        <v>2026</v>
      </c>
      <c r="AY40" s="14" t="str">
        <v>PUBLICA; última matrícula</v>
      </c>
    </row>
    <row r="41" ht="36" customHeight="1">
      <c r="A41" s="15" t="str">
        <v>I162S2C119J4V1</v>
      </c>
      <c r="B41" s="15" t="str">
        <v>TECNICO EN RECURSOS HUMANOS</v>
      </c>
      <c r="C41" s="15" t="str">
        <v>2</v>
      </c>
      <c r="D41" s="15" t="str">
        <v>4</v>
      </c>
      <c r="E41" s="15" t="str">
        <v>1</v>
      </c>
      <c r="F41" s="15" t="str">
        <v>No presencial</v>
      </c>
      <c r="G41" s="15" t="str">
        <v>Pregrado</v>
      </c>
      <c r="H41" s="15" t="str">
        <v>Plan Regular</v>
      </c>
      <c r="I41" s="23" t="n">
        <v>2026</v>
      </c>
      <c r="J41" s="23" t="n">
        <v>2026</v>
      </c>
      <c r="K41" s="24" t="n">
        <v>0</v>
      </c>
      <c r="L41" s="24" t="n">
        <v>0</v>
      </c>
      <c r="M41" s="24" t="n">
        <v>0</v>
      </c>
      <c r="N41" s="24" t="n">
        <v>0</v>
      </c>
      <c r="O41" s="24" t="n">
        <v>0</v>
      </c>
      <c r="P41" s="24" t="n">
        <v>0</v>
      </c>
      <c r="Q41" s="24" t="n">
        <v>0</v>
      </c>
      <c r="R41" s="24" t="n">
        <v>0</v>
      </c>
      <c r="S41" s="24" t="n">
        <v>0</v>
      </c>
      <c r="T41" s="24" t="n">
        <v>0</v>
      </c>
      <c r="U41" s="24" t="n">
        <v>0</v>
      </c>
      <c r="V41" s="24" t="n">
        <v>0</v>
      </c>
      <c r="W41" s="24" t="n">
        <v>0</v>
      </c>
      <c r="X41" s="24" t="n">
        <v>0</v>
      </c>
      <c r="Y41" s="24" t="n">
        <v>0</v>
      </c>
      <c r="Z41" s="24" t="n">
        <v>0</v>
      </c>
      <c r="AA41" s="24" t="n">
        <v>0</v>
      </c>
      <c r="AB41" s="24" t="n">
        <v>0</v>
      </c>
      <c r="AC41" s="24" t="n">
        <v>0</v>
      </c>
      <c r="AD41" s="24" t="n">
        <v>28</v>
      </c>
      <c r="AE41" s="15" t="str">
        <v>1</v>
      </c>
      <c r="AF41" s="15" t="str">
        <v>TRHU</v>
      </c>
      <c r="AG41" s="15" t="str">
        <v>TRHU20261</v>
      </c>
      <c r="AH41" s="15" t="str">
        <v>REGULAR</v>
      </c>
      <c r="AI41" s="15" t="str">
        <v>C</v>
      </c>
      <c r="AJ41" s="24" t="n">
        <v>0</v>
      </c>
      <c r="AK41" s="24" t="n">
        <v>0</v>
      </c>
      <c r="AL41" s="24" t="n">
        <v>0</v>
      </c>
      <c r="AM41" s="24" t="n">
        <v>0</v>
      </c>
      <c r="AN41" s="24" t="n">
        <v>26</v>
      </c>
      <c r="AO41" s="15" t="str">
        <v>CRUCE_PERSONA_MU_2022_2026 / REGLA_MU_2027</v>
      </c>
      <c r="AP41" s="15" t="str">
        <v>UNIDO</v>
      </c>
      <c r="AQ41" s="15" t="str">
        <v>UNIDO</v>
      </c>
      <c r="AR41" s="15" t="str">
        <v>B/C</v>
      </c>
      <c r="AS41" s="15" t="str">
        <v>H002 / MATRIZ / PUBLICA</v>
      </c>
      <c r="AT41" s="15" t="str">
        <v>ANUAL / Catálogo 2027; no atribución retroactiva ni acreditación de cohorte/malla</v>
      </c>
      <c r="AU41" s="15" t="n">
        <v>5</v>
      </c>
      <c r="AV41" s="15" t="n">
        <v>5</v>
      </c>
      <c r="AW41" s="15" t="str">
        <v>UNA_VERSION_OBSERVADA</v>
      </c>
      <c r="AX41" s="15" t="n">
        <v>2026</v>
      </c>
      <c r="AY41" s="15" t="str">
        <v>PUBLICA; última matrícula</v>
      </c>
    </row>
    <row r="42" ht="36" customHeight="1">
      <c r="A42" s="14" t="str">
        <v>I162S2C11J1V1</v>
      </c>
      <c r="B42" s="14" t="str">
        <v>TECNICO EN AUTOMATIZACION Y CONTROL INDUSTRIAL</v>
      </c>
      <c r="C42" s="14" t="str">
        <v>2</v>
      </c>
      <c r="D42" s="14" t="str">
        <v>1</v>
      </c>
      <c r="E42" s="14" t="str">
        <v>1</v>
      </c>
      <c r="F42" s="14" t="str">
        <v>Presencial</v>
      </c>
      <c r="G42" s="14" t="str">
        <v>Pregrado</v>
      </c>
      <c r="H42" s="14" t="str">
        <v>Plan Regular</v>
      </c>
      <c r="I42" s="21" t="n">
        <v>2013</v>
      </c>
      <c r="J42" s="21" t="n">
        <v>2019</v>
      </c>
      <c r="K42" s="22" t="n">
        <v>0</v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>
        <v>19</v>
      </c>
      <c r="R42" s="22" t="n">
        <v>13</v>
      </c>
      <c r="S42" s="22" t="n">
        <v>5</v>
      </c>
      <c r="T42" s="22" t="n">
        <v>4</v>
      </c>
      <c r="U42" s="22" t="n">
        <v>9</v>
      </c>
      <c r="V42" s="22" t="n">
        <v>6</v>
      </c>
      <c r="W42" s="22" t="n">
        <v>5</v>
      </c>
      <c r="X42" s="22" t="n">
        <v>0</v>
      </c>
      <c r="Y42" s="22" t="n">
        <v>0</v>
      </c>
      <c r="Z42" s="22" t="n">
        <v>0</v>
      </c>
      <c r="AA42" s="22" t="n">
        <v>0</v>
      </c>
      <c r="AB42" s="22" t="n">
        <v>0</v>
      </c>
      <c r="AC42" s="22" t="n">
        <v>0</v>
      </c>
      <c r="AD42" s="22" t="n">
        <v>0</v>
      </c>
      <c r="AE42" s="14" t="str">
        <v>2</v>
      </c>
      <c r="AF42" s="14" t="str">
        <v>TMIRE</v>
      </c>
      <c r="AG42" s="14" t="str">
        <v>TMIRE20131</v>
      </c>
      <c r="AH42" s="14" t="str">
        <v>REGULAR</v>
      </c>
      <c r="AI42" s="14" t="str">
        <v>C</v>
      </c>
      <c r="AJ42" s="22" t="n">
        <v>0</v>
      </c>
      <c r="AK42" s="22" t="n">
        <v>0</v>
      </c>
      <c r="AL42" s="22" t="n">
        <v>0</v>
      </c>
      <c r="AM42" s="22" t="n">
        <v>0</v>
      </c>
      <c r="AN42" s="22" t="n">
        <v>0</v>
      </c>
      <c r="AO42" s="14" t="str">
        <v>APROBACION_D_2027</v>
      </c>
      <c r="AP42" s="14" t="str">
        <v>UNIDO</v>
      </c>
      <c r="AQ42" s="14" t="str">
        <v>UNIDO</v>
      </c>
      <c r="AR42" s="14" t="str">
        <v>D/C</v>
      </c>
      <c r="AS42" s="14" t="str">
        <v>H002 / PUBLICA</v>
      </c>
      <c r="AT42" s="14" t="str">
        <v>Catálogo 2027; no atribución retroactiva ni acreditación de cohorte/malla</v>
      </c>
      <c r="AU42" s="14" t="n">
        <v>5</v>
      </c>
      <c r="AV42" s="14" t="n">
        <v>5</v>
      </c>
      <c r="AW42" s="14" t="str">
        <v>UNA_VERSION_OBSERVADA</v>
      </c>
      <c r="AX42" s="14" t="n">
        <v>2019</v>
      </c>
      <c r="AY42" s="14" t="str">
        <v>PUBLICA; última matrícula</v>
      </c>
    </row>
    <row r="43" ht="36" customHeight="1">
      <c r="A43" s="15" t="str">
        <v>I162S2C11J1V1</v>
      </c>
      <c r="B43" s="15" t="str">
        <v>TECNICO EN AUTOMATIZACION Y CONTROL INDUSTRIAL</v>
      </c>
      <c r="C43" s="15" t="str">
        <v>2</v>
      </c>
      <c r="D43" s="15" t="str">
        <v>1</v>
      </c>
      <c r="E43" s="15" t="str">
        <v>1</v>
      </c>
      <c r="F43" s="15" t="str">
        <v>Presencial</v>
      </c>
      <c r="G43" s="15" t="str">
        <v>Pregrado</v>
      </c>
      <c r="H43" s="15" t="str">
        <v>Plan Regular</v>
      </c>
      <c r="I43" s="23" t="n">
        <v>2013</v>
      </c>
      <c r="J43" s="23" t="n">
        <v>2019</v>
      </c>
      <c r="K43" s="24" t="n">
        <v>0</v>
      </c>
      <c r="L43" s="24" t="n">
        <v>0</v>
      </c>
      <c r="M43" s="24" t="n">
        <v>0</v>
      </c>
      <c r="N43" s="24" t="n">
        <v>0</v>
      </c>
      <c r="O43" s="24" t="n">
        <v>0</v>
      </c>
      <c r="P43" s="24" t="n">
        <v>0</v>
      </c>
      <c r="Q43" s="24" t="n">
        <v>19</v>
      </c>
      <c r="R43" s="24" t="n">
        <v>13</v>
      </c>
      <c r="S43" s="24" t="n">
        <v>5</v>
      </c>
      <c r="T43" s="24" t="n">
        <v>4</v>
      </c>
      <c r="U43" s="24" t="n">
        <v>9</v>
      </c>
      <c r="V43" s="24" t="n">
        <v>6</v>
      </c>
      <c r="W43" s="24" t="n">
        <v>5</v>
      </c>
      <c r="X43" s="24" t="n">
        <v>0</v>
      </c>
      <c r="Y43" s="24" t="n">
        <v>0</v>
      </c>
      <c r="Z43" s="24" t="n">
        <v>0</v>
      </c>
      <c r="AA43" s="24" t="n">
        <v>0</v>
      </c>
      <c r="AB43" s="24" t="n">
        <v>0</v>
      </c>
      <c r="AC43" s="24" t="n">
        <v>0</v>
      </c>
      <c r="AD43" s="24" t="n">
        <v>0</v>
      </c>
      <c r="AE43" s="15" t="str">
        <v>2</v>
      </c>
      <c r="AF43" s="15" t="str">
        <v>TMIRE</v>
      </c>
      <c r="AG43" s="15" t="str">
        <v>TMIRE20151</v>
      </c>
      <c r="AH43" s="15" t="str">
        <v>REGULAR</v>
      </c>
      <c r="AI43" s="15" t="str">
        <v>C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15" t="str">
        <v>APROBACION_D_2027</v>
      </c>
      <c r="AP43" s="15" t="str">
        <v>UNIDO</v>
      </c>
      <c r="AQ43" s="15" t="str">
        <v>UNIDO</v>
      </c>
      <c r="AR43" s="15" t="str">
        <v>D/C</v>
      </c>
      <c r="AS43" s="15" t="str">
        <v>H002 / PUBLICA</v>
      </c>
      <c r="AT43" s="15" t="str">
        <v>Catálogo 2027; no atribución retroactiva ni acreditación de cohorte/malla</v>
      </c>
      <c r="AU43" s="15" t="n">
        <v>5</v>
      </c>
      <c r="AV43" s="15" t="n">
        <v>5</v>
      </c>
      <c r="AW43" s="15" t="str">
        <v>UNA_VERSION_OBSERVADA</v>
      </c>
      <c r="AX43" s="15" t="n">
        <v>2019</v>
      </c>
      <c r="AY43" s="15" t="str">
        <v>PUBLICA; última matrícula</v>
      </c>
    </row>
    <row r="44" ht="36" customHeight="1">
      <c r="A44" s="14" t="str">
        <v>I162S2C11J1V1</v>
      </c>
      <c r="B44" s="14" t="str">
        <v>TECNICO EN AUTOMATIZACION Y CONTROL INDUSTRIAL</v>
      </c>
      <c r="C44" s="14" t="str">
        <v>2</v>
      </c>
      <c r="D44" s="14" t="str">
        <v>1</v>
      </c>
      <c r="E44" s="14" t="str">
        <v>1</v>
      </c>
      <c r="F44" s="14" t="str">
        <v>Presencial</v>
      </c>
      <c r="G44" s="14" t="str">
        <v>Pregrado</v>
      </c>
      <c r="H44" s="14" t="str">
        <v>Plan Regular</v>
      </c>
      <c r="I44" s="21" t="n">
        <v>2013</v>
      </c>
      <c r="J44" s="21" t="n">
        <v>2019</v>
      </c>
      <c r="K44" s="22" t="n">
        <v>0</v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>
        <v>19</v>
      </c>
      <c r="R44" s="22" t="n">
        <v>13</v>
      </c>
      <c r="S44" s="22" t="n">
        <v>5</v>
      </c>
      <c r="T44" s="22" t="n">
        <v>4</v>
      </c>
      <c r="U44" s="22" t="n">
        <v>9</v>
      </c>
      <c r="V44" s="22" t="n">
        <v>6</v>
      </c>
      <c r="W44" s="22" t="n">
        <v>5</v>
      </c>
      <c r="X44" s="22" t="n">
        <v>0</v>
      </c>
      <c r="Y44" s="22" t="n">
        <v>0</v>
      </c>
      <c r="Z44" s="22" t="n">
        <v>0</v>
      </c>
      <c r="AA44" s="22" t="n">
        <v>0</v>
      </c>
      <c r="AB44" s="22" t="n">
        <v>0</v>
      </c>
      <c r="AC44" s="22" t="n">
        <v>0</v>
      </c>
      <c r="AD44" s="22" t="n">
        <v>0</v>
      </c>
      <c r="AE44" s="14" t="str">
        <v>2</v>
      </c>
      <c r="AF44" s="14" t="str">
        <v>TMIRE</v>
      </c>
      <c r="AG44" s="14" t="str">
        <v>TMIRE20171</v>
      </c>
      <c r="AH44" s="14" t="str">
        <v>REGULAR</v>
      </c>
      <c r="AI44" s="14" t="str">
        <v>C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14" t="str">
        <v>APROBACION_D_2027</v>
      </c>
      <c r="AP44" s="14" t="str">
        <v>UNIDO</v>
      </c>
      <c r="AQ44" s="14" t="str">
        <v>UNIDO</v>
      </c>
      <c r="AR44" s="14" t="str">
        <v>D/C</v>
      </c>
      <c r="AS44" s="14" t="str">
        <v>H002 / PUBLICA</v>
      </c>
      <c r="AT44" s="14" t="str">
        <v>Catálogo 2027; no atribución retroactiva ni acreditación de cohorte/malla</v>
      </c>
      <c r="AU44" s="14" t="n">
        <v>5</v>
      </c>
      <c r="AV44" s="14" t="n">
        <v>5</v>
      </c>
      <c r="AW44" s="14" t="str">
        <v>UNA_VERSION_OBSERVADA</v>
      </c>
      <c r="AX44" s="14" t="n">
        <v>2019</v>
      </c>
      <c r="AY44" s="14" t="str">
        <v>PUBLICA; última matrícula</v>
      </c>
    </row>
    <row r="45" ht="36" customHeight="1">
      <c r="A45" s="15" t="str">
        <v>I162S2C11J1V1</v>
      </c>
      <c r="B45" s="15" t="str">
        <v>TECNICO EN AUTOMATIZACION Y CONTROL INDUSTRIAL</v>
      </c>
      <c r="C45" s="15" t="str">
        <v>2</v>
      </c>
      <c r="D45" s="15" t="str">
        <v>1</v>
      </c>
      <c r="E45" s="15" t="str">
        <v>1</v>
      </c>
      <c r="F45" s="15" t="str">
        <v>Presencial</v>
      </c>
      <c r="G45" s="15" t="str">
        <v>Pregrado</v>
      </c>
      <c r="H45" s="15" t="str">
        <v>Plan Regular</v>
      </c>
      <c r="I45" s="23" t="n">
        <v>2013</v>
      </c>
      <c r="J45" s="23" t="n">
        <v>2019</v>
      </c>
      <c r="K45" s="24" t="n">
        <v>0</v>
      </c>
      <c r="L45" s="24" t="n">
        <v>0</v>
      </c>
      <c r="M45" s="24" t="n">
        <v>0</v>
      </c>
      <c r="N45" s="24" t="n">
        <v>0</v>
      </c>
      <c r="O45" s="24" t="n">
        <v>0</v>
      </c>
      <c r="P45" s="24" t="n">
        <v>0</v>
      </c>
      <c r="Q45" s="24" t="n">
        <v>19</v>
      </c>
      <c r="R45" s="24" t="n">
        <v>13</v>
      </c>
      <c r="S45" s="24" t="n">
        <v>5</v>
      </c>
      <c r="T45" s="24" t="n">
        <v>4</v>
      </c>
      <c r="U45" s="24" t="n">
        <v>9</v>
      </c>
      <c r="V45" s="24" t="n">
        <v>6</v>
      </c>
      <c r="W45" s="24" t="n">
        <v>5</v>
      </c>
      <c r="X45" s="24" t="n">
        <v>0</v>
      </c>
      <c r="Y45" s="24" t="n">
        <v>0</v>
      </c>
      <c r="Z45" s="24" t="n">
        <v>0</v>
      </c>
      <c r="AA45" s="24" t="n">
        <v>0</v>
      </c>
      <c r="AB45" s="24" t="n">
        <v>0</v>
      </c>
      <c r="AC45" s="24" t="n">
        <v>0</v>
      </c>
      <c r="AD45" s="24" t="n">
        <v>0</v>
      </c>
      <c r="AE45" s="15" t="str">
        <v>2</v>
      </c>
      <c r="AF45" s="15" t="str">
        <v>TMIRE</v>
      </c>
      <c r="AG45" s="15" t="str">
        <v>TMIRE2020</v>
      </c>
      <c r="AH45" s="15" t="str">
        <v>REGULAR</v>
      </c>
      <c r="AI45" s="15" t="str">
        <v>C</v>
      </c>
      <c r="AJ45" s="24" t="n">
        <v>0</v>
      </c>
      <c r="AK45" s="24" t="n">
        <v>0</v>
      </c>
      <c r="AL45" s="24" t="n">
        <v>0</v>
      </c>
      <c r="AM45" s="24" t="n">
        <v>0</v>
      </c>
      <c r="AN45" s="24" t="n">
        <v>0</v>
      </c>
      <c r="AO45" s="15" t="str">
        <v>APROBACION_D_2027</v>
      </c>
      <c r="AP45" s="15" t="str">
        <v>UNIDO</v>
      </c>
      <c r="AQ45" s="15" t="str">
        <v>UNIDO</v>
      </c>
      <c r="AR45" s="15" t="str">
        <v>D/C</v>
      </c>
      <c r="AS45" s="15" t="str">
        <v>H002 / PUBLICA</v>
      </c>
      <c r="AT45" s="15" t="str">
        <v>Catálogo 2027; no atribución retroactiva ni acreditación de cohorte/malla</v>
      </c>
      <c r="AU45" s="15" t="n">
        <v>5</v>
      </c>
      <c r="AV45" s="15" t="n">
        <v>5</v>
      </c>
      <c r="AW45" s="15" t="str">
        <v>UNA_VERSION_OBSERVADA</v>
      </c>
      <c r="AX45" s="15" t="n">
        <v>2019</v>
      </c>
      <c r="AY45" s="15" t="str">
        <v>PUBLICA; última matrícula</v>
      </c>
    </row>
    <row r="46" ht="36" customHeight="1">
      <c r="A46" s="14" t="str">
        <v>I162S2C11J1V1</v>
      </c>
      <c r="B46" s="14" t="str">
        <v>TECNICO EN AUTOMATIZACION Y CONTROL INDUSTRIAL</v>
      </c>
      <c r="C46" s="14" t="str">
        <v>2</v>
      </c>
      <c r="D46" s="14" t="str">
        <v>1</v>
      </c>
      <c r="E46" s="14" t="str">
        <v>1</v>
      </c>
      <c r="F46" s="14" t="str">
        <v>Presencial</v>
      </c>
      <c r="G46" s="14" t="str">
        <v>Pregrado</v>
      </c>
      <c r="H46" s="14" t="str">
        <v>Plan Regular</v>
      </c>
      <c r="I46" s="21" t="n">
        <v>2013</v>
      </c>
      <c r="J46" s="21" t="n">
        <v>2019</v>
      </c>
      <c r="K46" s="22" t="n">
        <v>0</v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>
        <v>19</v>
      </c>
      <c r="R46" s="22" t="n">
        <v>13</v>
      </c>
      <c r="S46" s="22" t="n">
        <v>5</v>
      </c>
      <c r="T46" s="22" t="n">
        <v>4</v>
      </c>
      <c r="U46" s="22" t="n">
        <v>9</v>
      </c>
      <c r="V46" s="22" t="n">
        <v>6</v>
      </c>
      <c r="W46" s="22" t="n">
        <v>5</v>
      </c>
      <c r="X46" s="22" t="n">
        <v>0</v>
      </c>
      <c r="Y46" s="22" t="n">
        <v>0</v>
      </c>
      <c r="Z46" s="22" t="n">
        <v>0</v>
      </c>
      <c r="AA46" s="22" t="n">
        <v>0</v>
      </c>
      <c r="AB46" s="22" t="n">
        <v>0</v>
      </c>
      <c r="AC46" s="22" t="n">
        <v>0</v>
      </c>
      <c r="AD46" s="22" t="n">
        <v>0</v>
      </c>
      <c r="AE46" s="14" t="str">
        <v>2</v>
      </c>
      <c r="AF46" s="14" t="str">
        <v>TMIRE</v>
      </c>
      <c r="AG46" s="14" t="str">
        <v>TMIRE20211</v>
      </c>
      <c r="AH46" s="14" t="str">
        <v>REGULAR</v>
      </c>
      <c r="AI46" s="14" t="str">
        <v>C</v>
      </c>
      <c r="AJ46" s="22" t="n">
        <v>0</v>
      </c>
      <c r="AK46" s="22" t="n">
        <v>0</v>
      </c>
      <c r="AL46" s="22" t="n">
        <v>0</v>
      </c>
      <c r="AM46" s="22" t="n">
        <v>0</v>
      </c>
      <c r="AN46" s="22" t="n">
        <v>0</v>
      </c>
      <c r="AO46" s="14" t="str">
        <v>APROBACION_D_2027</v>
      </c>
      <c r="AP46" s="14" t="str">
        <v>UNIDO</v>
      </c>
      <c r="AQ46" s="14" t="str">
        <v>UNIDO</v>
      </c>
      <c r="AR46" s="14" t="str">
        <v>D/C</v>
      </c>
      <c r="AS46" s="14" t="str">
        <v>H002 / PUBLICA</v>
      </c>
      <c r="AT46" s="14" t="str">
        <v>Catálogo 2027; no atribución retroactiva ni acreditación de cohorte/malla</v>
      </c>
      <c r="AU46" s="14" t="n">
        <v>5</v>
      </c>
      <c r="AV46" s="14" t="n">
        <v>5</v>
      </c>
      <c r="AW46" s="14" t="str">
        <v>UNA_VERSION_OBSERVADA</v>
      </c>
      <c r="AX46" s="14" t="n">
        <v>2019</v>
      </c>
      <c r="AY46" s="14" t="str">
        <v>PUBLICA; última matrícula</v>
      </c>
    </row>
    <row r="47" ht="27" customHeight="1">
      <c r="A47" s="15" t="str">
        <v>I162S2C11J2V1</v>
      </c>
      <c r="B47" s="15" t="str">
        <v>TECNICO EN AUTOMATIZACION Y CONTROL INDUSTRIAL</v>
      </c>
      <c r="C47" s="15" t="str">
        <v>2</v>
      </c>
      <c r="D47" s="15" t="str">
        <v>2</v>
      </c>
      <c r="E47" s="15" t="str">
        <v>1</v>
      </c>
      <c r="F47" s="15" t="str">
        <v>Presencial</v>
      </c>
      <c r="G47" s="15" t="str">
        <v>Pregrado</v>
      </c>
      <c r="H47" s="15" t="str">
        <v>Plan Regular</v>
      </c>
      <c r="I47" s="23" t="n">
        <v>2013</v>
      </c>
      <c r="J47" s="23" t="n">
        <v>2025</v>
      </c>
      <c r="K47" s="24" t="n">
        <v>0</v>
      </c>
      <c r="L47" s="24" t="n">
        <v>0</v>
      </c>
      <c r="M47" s="24" t="n">
        <v>0</v>
      </c>
      <c r="N47" s="24" t="n">
        <v>0</v>
      </c>
      <c r="O47" s="24" t="n">
        <v>0</v>
      </c>
      <c r="P47" s="24" t="n">
        <v>0</v>
      </c>
      <c r="Q47" s="24" t="n">
        <v>52</v>
      </c>
      <c r="R47" s="24" t="n">
        <v>52</v>
      </c>
      <c r="S47" s="24" t="n">
        <v>62</v>
      </c>
      <c r="T47" s="24" t="n">
        <v>36</v>
      </c>
      <c r="U47" s="24" t="n">
        <v>34</v>
      </c>
      <c r="V47" s="24" t="n">
        <v>36</v>
      </c>
      <c r="W47" s="24" t="n">
        <v>32</v>
      </c>
      <c r="X47" s="24" t="n">
        <v>25</v>
      </c>
      <c r="Y47" s="24" t="n">
        <v>19</v>
      </c>
      <c r="Z47" s="24" t="n">
        <v>8</v>
      </c>
      <c r="AA47" s="24" t="n">
        <v>3</v>
      </c>
      <c r="AB47" s="24" t="n">
        <v>0</v>
      </c>
      <c r="AC47" s="24" t="n">
        <v>1</v>
      </c>
      <c r="AD47" s="24" t="n">
        <v>0</v>
      </c>
      <c r="AE47" s="15" t="str">
        <v>2</v>
      </c>
      <c r="AF47" s="15" t="str">
        <v>TACI / TMIRE</v>
      </c>
      <c r="AG47" s="15" t="str">
        <v>PLAN_NO_OBSERVADO</v>
      </c>
      <c r="AH47" s="15" t="str">
        <v>E</v>
      </c>
      <c r="AI47" s="15" t="str">
        <v>E</v>
      </c>
      <c r="AJ47" s="24" t="n">
        <v>0</v>
      </c>
      <c r="AK47" s="24" t="n">
        <v>1</v>
      </c>
      <c r="AL47" s="24" t="n">
        <v>0</v>
      </c>
      <c r="AM47" s="24" t="n">
        <v>0</v>
      </c>
      <c r="AN47" s="24" t="n">
        <v>0</v>
      </c>
      <c r="AO47" s="15" t="str">
        <v>CRUCE_PERSONA_MU_2022_2026</v>
      </c>
      <c r="AP47" s="15" t="str">
        <v>PENDIENTE</v>
      </c>
      <c r="AQ47" s="15" t="str">
        <v>PLAN_NO_OBSERVADO</v>
      </c>
      <c r="AR47" s="15" t="str">
        <v>E</v>
      </c>
      <c r="AS47" s="15" t="str">
        <v>MATRIZ / PUBLICA</v>
      </c>
      <c r="AT47" s="15" t="str">
        <v>SIN_ACTIVIDAD_ANUAL; ENLACE_EXPEDIENTE_CONSERVADO</v>
      </c>
      <c r="AU47" s="15" t="n">
        <v>5</v>
      </c>
      <c r="AV47" s="15" t="n">
        <v>5</v>
      </c>
      <c r="AW47" s="15" t="str">
        <v>UNA_VERSION_OBSERVADA</v>
      </c>
      <c r="AX47" s="15" t="n">
        <v>2025</v>
      </c>
      <c r="AY47" s="15" t="str">
        <v>PUBLICA; última matrícula</v>
      </c>
    </row>
    <row r="48" ht="27" customHeight="1">
      <c r="A48" s="14" t="str">
        <v>I162S2C11J2V1</v>
      </c>
      <c r="B48" s="14" t="str">
        <v>TECNICO EN AUTOMATIZACION Y CONTROL INDUSTRIAL</v>
      </c>
      <c r="C48" s="14" t="str">
        <v>2</v>
      </c>
      <c r="D48" s="14" t="str">
        <v>2</v>
      </c>
      <c r="E48" s="14" t="str">
        <v>1</v>
      </c>
      <c r="F48" s="14" t="str">
        <v>Presencial</v>
      </c>
      <c r="G48" s="14" t="str">
        <v>Pregrado</v>
      </c>
      <c r="H48" s="14" t="str">
        <v>Plan Regular</v>
      </c>
      <c r="I48" s="21" t="n">
        <v>2013</v>
      </c>
      <c r="J48" s="21" t="n">
        <v>2025</v>
      </c>
      <c r="K48" s="22" t="n">
        <v>0</v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>
        <v>52</v>
      </c>
      <c r="R48" s="22" t="n">
        <v>52</v>
      </c>
      <c r="S48" s="22" t="n">
        <v>62</v>
      </c>
      <c r="T48" s="22" t="n">
        <v>36</v>
      </c>
      <c r="U48" s="22" t="n">
        <v>34</v>
      </c>
      <c r="V48" s="22" t="n">
        <v>36</v>
      </c>
      <c r="W48" s="22" t="n">
        <v>32</v>
      </c>
      <c r="X48" s="22" t="n">
        <v>25</v>
      </c>
      <c r="Y48" s="22" t="n">
        <v>19</v>
      </c>
      <c r="Z48" s="22" t="n">
        <v>8</v>
      </c>
      <c r="AA48" s="22" t="n">
        <v>3</v>
      </c>
      <c r="AB48" s="22" t="n">
        <v>0</v>
      </c>
      <c r="AC48" s="22" t="n">
        <v>1</v>
      </c>
      <c r="AD48" s="22" t="n">
        <v>0</v>
      </c>
      <c r="AE48" s="14" t="str">
        <v>2</v>
      </c>
      <c r="AF48" s="14" t="str">
        <v>TMIRE</v>
      </c>
      <c r="AG48" s="14" t="str">
        <v>TMIRE20171</v>
      </c>
      <c r="AH48" s="14" t="str">
        <v>REGULAR</v>
      </c>
      <c r="AI48" s="14" t="str">
        <v>C</v>
      </c>
      <c r="AJ48" s="22" t="n">
        <v>2</v>
      </c>
      <c r="AK48" s="22" t="n">
        <v>0</v>
      </c>
      <c r="AL48" s="22" t="n">
        <v>0</v>
      </c>
      <c r="AM48" s="22" t="n">
        <v>1</v>
      </c>
      <c r="AN48" s="22" t="n">
        <v>0</v>
      </c>
      <c r="AO48" s="14" t="str">
        <v>CRUCE_PERSONA_MU_2022_2026</v>
      </c>
      <c r="AP48" s="14" t="str">
        <v>UNIDO</v>
      </c>
      <c r="AQ48" s="14" t="str">
        <v>UNIDO</v>
      </c>
      <c r="AR48" s="14" t="str">
        <v>B/C</v>
      </c>
      <c r="AS48" s="14" t="str">
        <v>MATRIZ / PUBLICA</v>
      </c>
      <c r="AT48" s="14" t="str">
        <v>ANUAL</v>
      </c>
      <c r="AU48" s="14" t="n">
        <v>5</v>
      </c>
      <c r="AV48" s="14" t="n">
        <v>5</v>
      </c>
      <c r="AW48" s="14" t="str">
        <v>UNA_VERSION_OBSERVADA</v>
      </c>
      <c r="AX48" s="14" t="n">
        <v>2025</v>
      </c>
      <c r="AY48" s="14" t="str">
        <v>PUBLICA; última matrícula</v>
      </c>
    </row>
    <row r="49" ht="27" customHeight="1">
      <c r="A49" s="15" t="str">
        <v>I162S2C11J2V1</v>
      </c>
      <c r="B49" s="15" t="str">
        <v>TECNICO EN AUTOMATIZACION Y CONTROL INDUSTRIAL</v>
      </c>
      <c r="C49" s="15" t="str">
        <v>2</v>
      </c>
      <c r="D49" s="15" t="str">
        <v>2</v>
      </c>
      <c r="E49" s="15" t="str">
        <v>1</v>
      </c>
      <c r="F49" s="15" t="str">
        <v>Presencial</v>
      </c>
      <c r="G49" s="15" t="str">
        <v>Pregrado</v>
      </c>
      <c r="H49" s="15" t="str">
        <v>Plan Regular</v>
      </c>
      <c r="I49" s="23" t="n">
        <v>2013</v>
      </c>
      <c r="J49" s="23" t="n">
        <v>2025</v>
      </c>
      <c r="K49" s="24" t="n">
        <v>0</v>
      </c>
      <c r="L49" s="24" t="n">
        <v>0</v>
      </c>
      <c r="M49" s="24" t="n">
        <v>0</v>
      </c>
      <c r="N49" s="24" t="n">
        <v>0</v>
      </c>
      <c r="O49" s="24" t="n">
        <v>0</v>
      </c>
      <c r="P49" s="24" t="n">
        <v>0</v>
      </c>
      <c r="Q49" s="24" t="n">
        <v>52</v>
      </c>
      <c r="R49" s="24" t="n">
        <v>52</v>
      </c>
      <c r="S49" s="24" t="n">
        <v>62</v>
      </c>
      <c r="T49" s="24" t="n">
        <v>36</v>
      </c>
      <c r="U49" s="24" t="n">
        <v>34</v>
      </c>
      <c r="V49" s="24" t="n">
        <v>36</v>
      </c>
      <c r="W49" s="24" t="n">
        <v>32</v>
      </c>
      <c r="X49" s="24" t="n">
        <v>25</v>
      </c>
      <c r="Y49" s="24" t="n">
        <v>19</v>
      </c>
      <c r="Z49" s="24" t="n">
        <v>8</v>
      </c>
      <c r="AA49" s="24" t="n">
        <v>3</v>
      </c>
      <c r="AB49" s="24" t="n">
        <v>0</v>
      </c>
      <c r="AC49" s="24" t="n">
        <v>1</v>
      </c>
      <c r="AD49" s="24" t="n">
        <v>0</v>
      </c>
      <c r="AE49" s="15" t="str">
        <v>2</v>
      </c>
      <c r="AF49" s="15" t="str">
        <v>TMIRE</v>
      </c>
      <c r="AG49" s="15" t="str">
        <v>TMIRE2020</v>
      </c>
      <c r="AH49" s="15" t="str">
        <v>REGULAR</v>
      </c>
      <c r="AI49" s="15" t="str">
        <v>C</v>
      </c>
      <c r="AJ49" s="24" t="n">
        <v>2</v>
      </c>
      <c r="AK49" s="24" t="n">
        <v>0</v>
      </c>
      <c r="AL49" s="24" t="n">
        <v>0</v>
      </c>
      <c r="AM49" s="24" t="n">
        <v>0</v>
      </c>
      <c r="AN49" s="24" t="n">
        <v>0</v>
      </c>
      <c r="AO49" s="15" t="str">
        <v>CRUCE_PERSONA_MU_2022_2026</v>
      </c>
      <c r="AP49" s="15" t="str">
        <v>UNIDO</v>
      </c>
      <c r="AQ49" s="15" t="str">
        <v>UNIDO</v>
      </c>
      <c r="AR49" s="15" t="str">
        <v>B/C</v>
      </c>
      <c r="AS49" s="15" t="str">
        <v>MATRIZ / PUBLICA</v>
      </c>
      <c r="AT49" s="15" t="str">
        <v>ANUAL</v>
      </c>
      <c r="AU49" s="15" t="n">
        <v>5</v>
      </c>
      <c r="AV49" s="15" t="n">
        <v>5</v>
      </c>
      <c r="AW49" s="15" t="str">
        <v>UNA_VERSION_OBSERVADA</v>
      </c>
      <c r="AX49" s="15" t="n">
        <v>2025</v>
      </c>
      <c r="AY49" s="15" t="str">
        <v>PUBLICA; última matrícula</v>
      </c>
    </row>
    <row r="50" ht="27" customHeight="1">
      <c r="A50" s="14" t="str">
        <v>I162S2C11J2V1</v>
      </c>
      <c r="B50" s="14" t="str">
        <v>TECNICO EN AUTOMATIZACION Y CONTROL INDUSTRIAL</v>
      </c>
      <c r="C50" s="14" t="str">
        <v>2</v>
      </c>
      <c r="D50" s="14" t="str">
        <v>2</v>
      </c>
      <c r="E50" s="14" t="str">
        <v>1</v>
      </c>
      <c r="F50" s="14" t="str">
        <v>Presencial</v>
      </c>
      <c r="G50" s="14" t="str">
        <v>Pregrado</v>
      </c>
      <c r="H50" s="14" t="str">
        <v>Plan Regular</v>
      </c>
      <c r="I50" s="21" t="n">
        <v>2013</v>
      </c>
      <c r="J50" s="21" t="n">
        <v>2025</v>
      </c>
      <c r="K50" s="22" t="n">
        <v>0</v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>
        <v>52</v>
      </c>
      <c r="R50" s="22" t="n">
        <v>52</v>
      </c>
      <c r="S50" s="22" t="n">
        <v>62</v>
      </c>
      <c r="T50" s="22" t="n">
        <v>36</v>
      </c>
      <c r="U50" s="22" t="n">
        <v>34</v>
      </c>
      <c r="V50" s="22" t="n">
        <v>36</v>
      </c>
      <c r="W50" s="22" t="n">
        <v>32</v>
      </c>
      <c r="X50" s="22" t="n">
        <v>25</v>
      </c>
      <c r="Y50" s="22" t="n">
        <v>19</v>
      </c>
      <c r="Z50" s="22" t="n">
        <v>8</v>
      </c>
      <c r="AA50" s="22" t="n">
        <v>3</v>
      </c>
      <c r="AB50" s="22" t="n">
        <v>0</v>
      </c>
      <c r="AC50" s="22" t="n">
        <v>1</v>
      </c>
      <c r="AD50" s="22" t="n">
        <v>0</v>
      </c>
      <c r="AE50" s="14" t="str">
        <v>2</v>
      </c>
      <c r="AF50" s="14" t="str">
        <v>TMIRE</v>
      </c>
      <c r="AG50" s="14" t="str">
        <v>TMIRE20211</v>
      </c>
      <c r="AH50" s="14" t="str">
        <v>REGULAR</v>
      </c>
      <c r="AI50" s="14" t="str">
        <v>C</v>
      </c>
      <c r="AJ50" s="22" t="n">
        <v>4</v>
      </c>
      <c r="AK50" s="22" t="n">
        <v>2</v>
      </c>
      <c r="AL50" s="22" t="n">
        <v>0</v>
      </c>
      <c r="AM50" s="22" t="n">
        <v>0</v>
      </c>
      <c r="AN50" s="22" t="n">
        <v>0</v>
      </c>
      <c r="AO50" s="14" t="str">
        <v>CRUCE_PERSONA_MU_2022_2026</v>
      </c>
      <c r="AP50" s="14" t="str">
        <v>UNIDO</v>
      </c>
      <c r="AQ50" s="14" t="str">
        <v>UNIDO</v>
      </c>
      <c r="AR50" s="14" t="str">
        <v>B/C</v>
      </c>
      <c r="AS50" s="14" t="str">
        <v>MATRIZ / PUBLICA</v>
      </c>
      <c r="AT50" s="14" t="str">
        <v>ANUAL</v>
      </c>
      <c r="AU50" s="14" t="n">
        <v>5</v>
      </c>
      <c r="AV50" s="14" t="n">
        <v>5</v>
      </c>
      <c r="AW50" s="14" t="str">
        <v>UNA_VERSION_OBSERVADA</v>
      </c>
      <c r="AX50" s="14" t="n">
        <v>2025</v>
      </c>
      <c r="AY50" s="14" t="str">
        <v>PUBLICA; última matrícula</v>
      </c>
    </row>
    <row r="51" ht="27" customHeight="1">
      <c r="A51" s="15" t="str">
        <v>I162S2C11J4V1</v>
      </c>
      <c r="B51" s="15" t="str">
        <v>TECNICO EN AUTOMATIZACION Y CONTROL INDUSTRIAL</v>
      </c>
      <c r="C51" s="15" t="str">
        <v>2</v>
      </c>
      <c r="D51" s="15" t="str">
        <v>4</v>
      </c>
      <c r="E51" s="15" t="str">
        <v>1</v>
      </c>
      <c r="F51" s="15" t="str">
        <v>No presencial</v>
      </c>
      <c r="G51" s="15" t="str">
        <v>Pregrado</v>
      </c>
      <c r="H51" s="15" t="str">
        <v>Plan Regular</v>
      </c>
      <c r="I51" s="23" t="str">
        <v>n.a.</v>
      </c>
      <c r="J51" s="23" t="str">
        <v>n.a.</v>
      </c>
      <c r="K51" s="24" t="n">
        <v>0</v>
      </c>
      <c r="L51" s="24" t="n">
        <v>0</v>
      </c>
      <c r="M51" s="24" t="n">
        <v>0</v>
      </c>
      <c r="N51" s="24" t="n">
        <v>0</v>
      </c>
      <c r="O51" s="24" t="n">
        <v>0</v>
      </c>
      <c r="P51" s="24" t="n">
        <v>0</v>
      </c>
      <c r="Q51" s="24" t="n">
        <v>0</v>
      </c>
      <c r="R51" s="24" t="n">
        <v>0</v>
      </c>
      <c r="S51" s="24" t="n">
        <v>0</v>
      </c>
      <c r="T51" s="24" t="n">
        <v>0</v>
      </c>
      <c r="U51" s="24" t="n">
        <v>0</v>
      </c>
      <c r="V51" s="24" t="n">
        <v>0</v>
      </c>
      <c r="W51" s="24" t="n">
        <v>0</v>
      </c>
      <c r="X51" s="24" t="n">
        <v>0</v>
      </c>
      <c r="Y51" s="24" t="n">
        <v>0</v>
      </c>
      <c r="Z51" s="24" t="n">
        <v>0</v>
      </c>
      <c r="AA51" s="24" t="n">
        <v>0</v>
      </c>
      <c r="AB51" s="24" t="n">
        <v>0</v>
      </c>
      <c r="AC51" s="24" t="n">
        <v>0</v>
      </c>
      <c r="AD51" s="24" t="n">
        <v>0</v>
      </c>
      <c r="AE51" s="15" t="str">
        <v>2</v>
      </c>
      <c r="AF51" s="15" t="str">
        <v>E</v>
      </c>
      <c r="AG51" s="15" t="str">
        <v>E: sin plan</v>
      </c>
      <c r="AH51" s="15" t="str">
        <v>E</v>
      </c>
      <c r="AI51" s="15" t="str">
        <v>E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15" t="str">
        <v>SIN_UNION</v>
      </c>
      <c r="AP51" s="15" t="str">
        <v>PENDIENTE</v>
      </c>
      <c r="AQ51" s="15" t="str">
        <v>NUEVO_2027_SIN_ALUMNOS</v>
      </c>
      <c r="AR51" s="15" t="str">
        <v>E</v>
      </c>
      <c r="AS51" s="15" t="str">
        <v>PUBLICA</v>
      </c>
      <c r="AT51" s="15" t="str">
        <v>E</v>
      </c>
      <c r="AU51" s="15" t="n">
        <v>5</v>
      </c>
      <c r="AV51" s="15" t="n">
        <v>5</v>
      </c>
      <c r="AW51" s="15" t="str">
        <v>E: sin historia pública</v>
      </c>
      <c r="AX51" s="15" t="n">
        <v>2026</v>
      </c>
      <c r="AY51" s="15" t="str">
        <v>MAESTRO/oferta_anual; sin matrícula</v>
      </c>
    </row>
    <row r="52" ht="36" customHeight="1">
      <c r="A52" s="14" t="str">
        <v>I162S2C124J4V1</v>
      </c>
      <c r="B52" s="14" t="str">
        <v>INGENIERIA EN PREVENCION DE RIESGOS</v>
      </c>
      <c r="C52" s="14" t="str">
        <v>2</v>
      </c>
      <c r="D52" s="14" t="str">
        <v>4</v>
      </c>
      <c r="E52" s="14" t="str">
        <v>1</v>
      </c>
      <c r="F52" s="14" t="str">
        <v>No presencial</v>
      </c>
      <c r="G52" s="14" t="str">
        <v>Pregrado</v>
      </c>
      <c r="H52" s="14" t="str">
        <v>Plan Regular</v>
      </c>
      <c r="I52" s="21" t="n">
        <v>2026</v>
      </c>
      <c r="J52" s="21" t="n">
        <v>2026</v>
      </c>
      <c r="K52" s="22" t="n">
        <v>0</v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>
        <v>0</v>
      </c>
      <c r="R52" s="22" t="n">
        <v>0</v>
      </c>
      <c r="S52" s="22" t="n">
        <v>0</v>
      </c>
      <c r="T52" s="22" t="n">
        <v>0</v>
      </c>
      <c r="U52" s="22" t="n">
        <v>0</v>
      </c>
      <c r="V52" s="22" t="n">
        <v>0</v>
      </c>
      <c r="W52" s="22" t="n">
        <v>0</v>
      </c>
      <c r="X52" s="22" t="n">
        <v>0</v>
      </c>
      <c r="Y52" s="22" t="n">
        <v>0</v>
      </c>
      <c r="Z52" s="22" t="n">
        <v>0</v>
      </c>
      <c r="AA52" s="22" t="n">
        <v>0</v>
      </c>
      <c r="AB52" s="22" t="n">
        <v>0</v>
      </c>
      <c r="AC52" s="22" t="n">
        <v>0</v>
      </c>
      <c r="AD52" s="22" t="n">
        <v>25</v>
      </c>
      <c r="AE52" s="14" t="str">
        <v>1</v>
      </c>
      <c r="AF52" s="14" t="str">
        <v>IPRE</v>
      </c>
      <c r="AG52" s="14" t="str">
        <v>IPRE20261</v>
      </c>
      <c r="AH52" s="14" t="str">
        <v>REGULAR</v>
      </c>
      <c r="AI52" s="14" t="str">
        <v>C</v>
      </c>
      <c r="AJ52" s="22" t="n">
        <v>0</v>
      </c>
      <c r="AK52" s="22" t="n">
        <v>0</v>
      </c>
      <c r="AL52" s="22" t="n">
        <v>0</v>
      </c>
      <c r="AM52" s="22" t="n">
        <v>0</v>
      </c>
      <c r="AN52" s="22" t="n">
        <v>24</v>
      </c>
      <c r="AO52" s="14" t="str">
        <v>CRUCE_PERSONA_MU_2022_2026 / REGLA_MU_2027</v>
      </c>
      <c r="AP52" s="14" t="str">
        <v>UNIDO</v>
      </c>
      <c r="AQ52" s="14" t="str">
        <v>UNIDO</v>
      </c>
      <c r="AR52" s="14" t="str">
        <v>B/C</v>
      </c>
      <c r="AS52" s="14" t="str">
        <v>H002 / MATRIZ / PUBLICA</v>
      </c>
      <c r="AT52" s="14" t="str">
        <v>ANUAL / Catálogo 2027; no atribución retroactiva ni acreditación de cohorte/malla</v>
      </c>
      <c r="AU52" s="14" t="n">
        <v>8</v>
      </c>
      <c r="AV52" s="14" t="n">
        <v>8</v>
      </c>
      <c r="AW52" s="14" t="str">
        <v>UNA_VERSION_OBSERVADA</v>
      </c>
      <c r="AX52" s="14" t="n">
        <v>2026</v>
      </c>
      <c r="AY52" s="14" t="str">
        <v>PUBLICA; última matrícula</v>
      </c>
    </row>
    <row r="53" ht="27" customHeight="1">
      <c r="A53" s="15" t="str">
        <v>I162S2C124J4V1</v>
      </c>
      <c r="B53" s="15" t="str">
        <v>INGENIERIA EN PREVENCION DE RIESGOS</v>
      </c>
      <c r="C53" s="15" t="str">
        <v>2</v>
      </c>
      <c r="D53" s="15" t="str">
        <v>4</v>
      </c>
      <c r="E53" s="15" t="str">
        <v>1</v>
      </c>
      <c r="F53" s="15" t="str">
        <v>No presencial</v>
      </c>
      <c r="G53" s="15" t="str">
        <v>Pregrado</v>
      </c>
      <c r="H53" s="15" t="str">
        <v>Plan Regular</v>
      </c>
      <c r="I53" s="23" t="n">
        <v>2026</v>
      </c>
      <c r="J53" s="23" t="n">
        <v>2026</v>
      </c>
      <c r="K53" s="24" t="n">
        <v>0</v>
      </c>
      <c r="L53" s="24" t="n">
        <v>0</v>
      </c>
      <c r="M53" s="24" t="n">
        <v>0</v>
      </c>
      <c r="N53" s="24" t="n">
        <v>0</v>
      </c>
      <c r="O53" s="24" t="n">
        <v>0</v>
      </c>
      <c r="P53" s="24" t="n">
        <v>0</v>
      </c>
      <c r="Q53" s="24" t="n">
        <v>0</v>
      </c>
      <c r="R53" s="24" t="n">
        <v>0</v>
      </c>
      <c r="S53" s="24" t="n">
        <v>0</v>
      </c>
      <c r="T53" s="24" t="n">
        <v>0</v>
      </c>
      <c r="U53" s="24" t="n">
        <v>0</v>
      </c>
      <c r="V53" s="24" t="n">
        <v>0</v>
      </c>
      <c r="W53" s="24" t="n">
        <v>0</v>
      </c>
      <c r="X53" s="24" t="n">
        <v>0</v>
      </c>
      <c r="Y53" s="24" t="n">
        <v>0</v>
      </c>
      <c r="Z53" s="24" t="n">
        <v>0</v>
      </c>
      <c r="AA53" s="24" t="n">
        <v>0</v>
      </c>
      <c r="AB53" s="24" t="n">
        <v>0</v>
      </c>
      <c r="AC53" s="24" t="n">
        <v>0</v>
      </c>
      <c r="AD53" s="24" t="n">
        <v>25</v>
      </c>
      <c r="AE53" s="15" t="str">
        <v>1</v>
      </c>
      <c r="AF53" s="15" t="str">
        <v>IPRE</v>
      </c>
      <c r="AG53" s="15" t="str">
        <v>PLAN_NO_OBSERVADO</v>
      </c>
      <c r="AH53" s="15" t="str">
        <v>E</v>
      </c>
      <c r="AI53" s="15" t="str">
        <v>E</v>
      </c>
      <c r="AJ53" s="24" t="n">
        <v>0</v>
      </c>
      <c r="AK53" s="24" t="n">
        <v>0</v>
      </c>
      <c r="AL53" s="24" t="n">
        <v>0</v>
      </c>
      <c r="AM53" s="24" t="n">
        <v>0</v>
      </c>
      <c r="AN53" s="24" t="n">
        <v>0</v>
      </c>
      <c r="AO53" s="15" t="str">
        <v>CRUCE_PERSONA_MU_2022_2026</v>
      </c>
      <c r="AP53" s="15" t="str">
        <v>PENDIENTE</v>
      </c>
      <c r="AQ53" s="15" t="str">
        <v>PLAN_NO_OBSERVADO</v>
      </c>
      <c r="AR53" s="15" t="str">
        <v>E</v>
      </c>
      <c r="AS53" s="15" t="str">
        <v>MATRIZ / PUBLICA</v>
      </c>
      <c r="AT53" s="15" t="str">
        <v>SIN_ACTIVIDAD_ANUAL; ENLACE_EXPEDIENTE_CONSERVADO</v>
      </c>
      <c r="AU53" s="15" t="n">
        <v>8</v>
      </c>
      <c r="AV53" s="15" t="n">
        <v>8</v>
      </c>
      <c r="AW53" s="15" t="str">
        <v>UNA_VERSION_OBSERVADA</v>
      </c>
      <c r="AX53" s="15" t="n">
        <v>2026</v>
      </c>
      <c r="AY53" s="15" t="str">
        <v>PUBLICA; última matrícula</v>
      </c>
    </row>
    <row r="54" ht="36" customHeight="1">
      <c r="A54" s="14" t="str">
        <v>I162S2C124J4V2</v>
      </c>
      <c r="B54" s="14" t="str">
        <v>INGENIERIA EN PREVENCION DE RIESGOS</v>
      </c>
      <c r="C54" s="14" t="str">
        <v>2</v>
      </c>
      <c r="D54" s="14" t="str">
        <v>4</v>
      </c>
      <c r="E54" s="14" t="str">
        <v>2</v>
      </c>
      <c r="F54" s="14" t="str">
        <v>No presencial</v>
      </c>
      <c r="G54" s="14" t="str">
        <v>Pregrado</v>
      </c>
      <c r="H54" s="14" t="str">
        <v>Plan Regular de Continuidad</v>
      </c>
      <c r="I54" s="21" t="str">
        <v>n.a.</v>
      </c>
      <c r="J54" s="21" t="str">
        <v>n.a.</v>
      </c>
      <c r="K54" s="22" t="n">
        <v>0</v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2" t="n">
        <v>0</v>
      </c>
      <c r="R54" s="22" t="n">
        <v>0</v>
      </c>
      <c r="S54" s="22" t="n">
        <v>0</v>
      </c>
      <c r="T54" s="22" t="n">
        <v>0</v>
      </c>
      <c r="U54" s="22" t="n">
        <v>0</v>
      </c>
      <c r="V54" s="22" t="n">
        <v>0</v>
      </c>
      <c r="W54" s="22" t="n">
        <v>0</v>
      </c>
      <c r="X54" s="22" t="n">
        <v>0</v>
      </c>
      <c r="Y54" s="22" t="n">
        <v>0</v>
      </c>
      <c r="Z54" s="22" t="n">
        <v>0</v>
      </c>
      <c r="AA54" s="22" t="n">
        <v>0</v>
      </c>
      <c r="AB54" s="22" t="n">
        <v>0</v>
      </c>
      <c r="AC54" s="22" t="n">
        <v>0</v>
      </c>
      <c r="AD54" s="22" t="n">
        <v>0</v>
      </c>
      <c r="AE54" s="14" t="str">
        <v>1</v>
      </c>
      <c r="AF54" s="14" t="str">
        <v>CIPRE</v>
      </c>
      <c r="AG54" s="14" t="str">
        <v>CIPRE20261</v>
      </c>
      <c r="AH54" s="14" t="str">
        <v>CONTINUIDAD</v>
      </c>
      <c r="AI54" s="14" t="str">
        <v>C</v>
      </c>
      <c r="AJ54" s="22" t="n">
        <v>0</v>
      </c>
      <c r="AK54" s="22" t="n">
        <v>0</v>
      </c>
      <c r="AL54" s="22" t="n">
        <v>0</v>
      </c>
      <c r="AM54" s="22" t="n">
        <v>0</v>
      </c>
      <c r="AN54" s="22" t="n">
        <v>0</v>
      </c>
      <c r="AO54" s="14" t="str">
        <v>REGLA_MU_2027</v>
      </c>
      <c r="AP54" s="14" t="str">
        <v>UNIDO</v>
      </c>
      <c r="AQ54" s="14" t="str">
        <v>UNIDO</v>
      </c>
      <c r="AR54" s="14" t="str">
        <v>B/C</v>
      </c>
      <c r="AS54" s="14" t="str">
        <v>H002 / PUBLICA</v>
      </c>
      <c r="AT54" s="14" t="str">
        <v>Catálogo 2027; no atribución retroactiva ni acreditación de cohorte/malla</v>
      </c>
      <c r="AU54" s="14" t="n">
        <v>4</v>
      </c>
      <c r="AV54" s="14" t="n">
        <v>4</v>
      </c>
      <c r="AW54" s="14" t="str">
        <v>E: sin historia pública</v>
      </c>
      <c r="AX54" s="14" t="n">
        <v>2026</v>
      </c>
      <c r="AY54" s="14" t="str">
        <v>MAESTRO/oferta_anual; sin matrícula</v>
      </c>
    </row>
    <row r="55" ht="36" customHeight="1">
      <c r="A55" s="15" t="str">
        <v>I162S2C125J4V1</v>
      </c>
      <c r="B55" s="15" t="str">
        <v>INGENIERIA EN SEGURIDAD PRIVADA</v>
      </c>
      <c r="C55" s="15" t="str">
        <v>2</v>
      </c>
      <c r="D55" s="15" t="str">
        <v>4</v>
      </c>
      <c r="E55" s="15" t="str">
        <v>1</v>
      </c>
      <c r="F55" s="15" t="str">
        <v>No presencial</v>
      </c>
      <c r="G55" s="15" t="str">
        <v>Pregrado</v>
      </c>
      <c r="H55" s="15" t="str">
        <v>Plan Regular</v>
      </c>
      <c r="I55" s="23" t="n">
        <v>2026</v>
      </c>
      <c r="J55" s="23" t="n">
        <v>2026</v>
      </c>
      <c r="K55" s="24" t="n">
        <v>0</v>
      </c>
      <c r="L55" s="24" t="n">
        <v>0</v>
      </c>
      <c r="M55" s="24" t="n">
        <v>0</v>
      </c>
      <c r="N55" s="24" t="n">
        <v>0</v>
      </c>
      <c r="O55" s="24" t="n">
        <v>0</v>
      </c>
      <c r="P55" s="24" t="n">
        <v>0</v>
      </c>
      <c r="Q55" s="24" t="n">
        <v>0</v>
      </c>
      <c r="R55" s="24" t="n">
        <v>0</v>
      </c>
      <c r="S55" s="24" t="n">
        <v>0</v>
      </c>
      <c r="T55" s="24" t="n">
        <v>0</v>
      </c>
      <c r="U55" s="24" t="n">
        <v>0</v>
      </c>
      <c r="V55" s="24" t="n">
        <v>0</v>
      </c>
      <c r="W55" s="24" t="n">
        <v>0</v>
      </c>
      <c r="X55" s="24" t="n">
        <v>0</v>
      </c>
      <c r="Y55" s="24" t="n">
        <v>0</v>
      </c>
      <c r="Z55" s="24" t="n">
        <v>0</v>
      </c>
      <c r="AA55" s="24" t="n">
        <v>0</v>
      </c>
      <c r="AB55" s="24" t="n">
        <v>0</v>
      </c>
      <c r="AC55" s="24" t="n">
        <v>0</v>
      </c>
      <c r="AD55" s="24" t="n">
        <v>13</v>
      </c>
      <c r="AE55" s="15" t="str">
        <v>1</v>
      </c>
      <c r="AF55" s="15" t="str">
        <v>ISEP</v>
      </c>
      <c r="AG55" s="15" t="str">
        <v>ISEP20261</v>
      </c>
      <c r="AH55" s="15" t="str">
        <v>REGULAR</v>
      </c>
      <c r="AI55" s="15" t="str">
        <v>C</v>
      </c>
      <c r="AJ55" s="24" t="n">
        <v>0</v>
      </c>
      <c r="AK55" s="24" t="n">
        <v>0</v>
      </c>
      <c r="AL55" s="24" t="n">
        <v>0</v>
      </c>
      <c r="AM55" s="24" t="n">
        <v>0</v>
      </c>
      <c r="AN55" s="24" t="n">
        <v>11</v>
      </c>
      <c r="AO55" s="15" t="str">
        <v>CRUCE_PERSONA_MU_2022_2026 / REGLA_MU_2027</v>
      </c>
      <c r="AP55" s="15" t="str">
        <v>UNIDO</v>
      </c>
      <c r="AQ55" s="15" t="str">
        <v>UNIDO</v>
      </c>
      <c r="AR55" s="15" t="str">
        <v>B/C</v>
      </c>
      <c r="AS55" s="15" t="str">
        <v>H002 / MATRIZ / PUBLICA</v>
      </c>
      <c r="AT55" s="15" t="str">
        <v>ANUAL / Catálogo 2027; no atribución retroactiva ni acreditación de cohorte/malla</v>
      </c>
      <c r="AU55" s="15" t="n">
        <v>8</v>
      </c>
      <c r="AV55" s="15" t="n">
        <v>8</v>
      </c>
      <c r="AW55" s="15" t="str">
        <v>UNA_VERSION_OBSERVADA</v>
      </c>
      <c r="AX55" s="15" t="n">
        <v>2026</v>
      </c>
      <c r="AY55" s="15" t="str">
        <v>PUBLICA; última matrícula</v>
      </c>
    </row>
    <row r="56" ht="27" customHeight="1">
      <c r="A56" s="14" t="str">
        <v>I162S2C125J4V1</v>
      </c>
      <c r="B56" s="14" t="str">
        <v>INGENIERIA EN SEGURIDAD PRIVADA</v>
      </c>
      <c r="C56" s="14" t="str">
        <v>2</v>
      </c>
      <c r="D56" s="14" t="str">
        <v>4</v>
      </c>
      <c r="E56" s="14" t="str">
        <v>1</v>
      </c>
      <c r="F56" s="14" t="str">
        <v>No presencial</v>
      </c>
      <c r="G56" s="14" t="str">
        <v>Pregrado</v>
      </c>
      <c r="H56" s="14" t="str">
        <v>Plan Regular</v>
      </c>
      <c r="I56" s="21" t="n">
        <v>2026</v>
      </c>
      <c r="J56" s="21" t="n">
        <v>2026</v>
      </c>
      <c r="K56" s="22" t="n">
        <v>0</v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0</v>
      </c>
      <c r="Q56" s="22" t="n">
        <v>0</v>
      </c>
      <c r="R56" s="22" t="n">
        <v>0</v>
      </c>
      <c r="S56" s="22" t="n">
        <v>0</v>
      </c>
      <c r="T56" s="22" t="n">
        <v>0</v>
      </c>
      <c r="U56" s="22" t="n">
        <v>0</v>
      </c>
      <c r="V56" s="22" t="n">
        <v>0</v>
      </c>
      <c r="W56" s="22" t="n">
        <v>0</v>
      </c>
      <c r="X56" s="22" t="n">
        <v>0</v>
      </c>
      <c r="Y56" s="22" t="n">
        <v>0</v>
      </c>
      <c r="Z56" s="22" t="n">
        <v>0</v>
      </c>
      <c r="AA56" s="22" t="n">
        <v>0</v>
      </c>
      <c r="AB56" s="22" t="n">
        <v>0</v>
      </c>
      <c r="AC56" s="22" t="n">
        <v>0</v>
      </c>
      <c r="AD56" s="22" t="n">
        <v>13</v>
      </c>
      <c r="AE56" s="14" t="str">
        <v>1</v>
      </c>
      <c r="AF56" s="14" t="str">
        <v>ISEP</v>
      </c>
      <c r="AG56" s="14" t="str">
        <v>PLAN_NO_OBSERVADO</v>
      </c>
      <c r="AH56" s="14" t="str">
        <v>E</v>
      </c>
      <c r="AI56" s="14" t="str">
        <v>E</v>
      </c>
      <c r="AJ56" s="22" t="n">
        <v>0</v>
      </c>
      <c r="AK56" s="22" t="n">
        <v>0</v>
      </c>
      <c r="AL56" s="22" t="n">
        <v>0</v>
      </c>
      <c r="AM56" s="22" t="n">
        <v>0</v>
      </c>
      <c r="AN56" s="22" t="n">
        <v>0</v>
      </c>
      <c r="AO56" s="14" t="str">
        <v>CRUCE_PERSONA_MU_2022_2026</v>
      </c>
      <c r="AP56" s="14" t="str">
        <v>PENDIENTE</v>
      </c>
      <c r="AQ56" s="14" t="str">
        <v>PLAN_NO_OBSERVADO</v>
      </c>
      <c r="AR56" s="14" t="str">
        <v>E</v>
      </c>
      <c r="AS56" s="14" t="str">
        <v>MATRIZ / PUBLICA</v>
      </c>
      <c r="AT56" s="14" t="str">
        <v>SIN_ACTIVIDAD_ANUAL; ENLACE_EXPEDIENTE_CONSERVADO</v>
      </c>
      <c r="AU56" s="14" t="n">
        <v>8</v>
      </c>
      <c r="AV56" s="14" t="n">
        <v>8</v>
      </c>
      <c r="AW56" s="14" t="str">
        <v>UNA_VERSION_OBSERVADA</v>
      </c>
      <c r="AX56" s="14" t="n">
        <v>2026</v>
      </c>
      <c r="AY56" s="14" t="str">
        <v>PUBLICA; última matrícula</v>
      </c>
    </row>
    <row r="57" ht="36" customHeight="1">
      <c r="A57" s="15" t="str">
        <v>I162S2C125J4V2</v>
      </c>
      <c r="B57" s="15" t="str">
        <v>INGENIERIA EN SEGURIDAD PRIVADA</v>
      </c>
      <c r="C57" s="15" t="str">
        <v>2</v>
      </c>
      <c r="D57" s="15" t="str">
        <v>4</v>
      </c>
      <c r="E57" s="15" t="str">
        <v>2</v>
      </c>
      <c r="F57" s="15" t="str">
        <v>No presencial</v>
      </c>
      <c r="G57" s="15" t="str">
        <v>Pregrado</v>
      </c>
      <c r="H57" s="15" t="str">
        <v>Plan Regular de Continuidad</v>
      </c>
      <c r="I57" s="23" t="str">
        <v>n.a.</v>
      </c>
      <c r="J57" s="23" t="str">
        <v>n.a.</v>
      </c>
      <c r="K57" s="24" t="n">
        <v>0</v>
      </c>
      <c r="L57" s="24" t="n">
        <v>0</v>
      </c>
      <c r="M57" s="24" t="n">
        <v>0</v>
      </c>
      <c r="N57" s="24" t="n">
        <v>0</v>
      </c>
      <c r="O57" s="24" t="n">
        <v>0</v>
      </c>
      <c r="P57" s="24" t="n">
        <v>0</v>
      </c>
      <c r="Q57" s="24" t="n">
        <v>0</v>
      </c>
      <c r="R57" s="24" t="n">
        <v>0</v>
      </c>
      <c r="S57" s="24" t="n">
        <v>0</v>
      </c>
      <c r="T57" s="24" t="n">
        <v>0</v>
      </c>
      <c r="U57" s="24" t="n">
        <v>0</v>
      </c>
      <c r="V57" s="24" t="n">
        <v>0</v>
      </c>
      <c r="W57" s="24" t="n">
        <v>0</v>
      </c>
      <c r="X57" s="24" t="n">
        <v>0</v>
      </c>
      <c r="Y57" s="24" t="n">
        <v>0</v>
      </c>
      <c r="Z57" s="24" t="n">
        <v>0</v>
      </c>
      <c r="AA57" s="24" t="n">
        <v>0</v>
      </c>
      <c r="AB57" s="24" t="n">
        <v>0</v>
      </c>
      <c r="AC57" s="24" t="n">
        <v>0</v>
      </c>
      <c r="AD57" s="24" t="n">
        <v>0</v>
      </c>
      <c r="AE57" s="15" t="str">
        <v>1</v>
      </c>
      <c r="AF57" s="15" t="str">
        <v>CISEP</v>
      </c>
      <c r="AG57" s="15" t="str">
        <v>CISEP20261</v>
      </c>
      <c r="AH57" s="15" t="str">
        <v>CONTINUIDAD</v>
      </c>
      <c r="AI57" s="15" t="str">
        <v>C</v>
      </c>
      <c r="AJ57" s="24" t="n">
        <v>0</v>
      </c>
      <c r="AK57" s="24" t="n">
        <v>0</v>
      </c>
      <c r="AL57" s="24" t="n">
        <v>0</v>
      </c>
      <c r="AM57" s="24" t="n">
        <v>0</v>
      </c>
      <c r="AN57" s="24" t="n">
        <v>0</v>
      </c>
      <c r="AO57" s="15" t="str">
        <v>REGLA_MU_2027</v>
      </c>
      <c r="AP57" s="15" t="str">
        <v>UNIDO</v>
      </c>
      <c r="AQ57" s="15" t="str">
        <v>UNIDO</v>
      </c>
      <c r="AR57" s="15" t="str">
        <v>B/C</v>
      </c>
      <c r="AS57" s="15" t="str">
        <v>H002 / PUBLICA</v>
      </c>
      <c r="AT57" s="15" t="str">
        <v>Catálogo 2027; no atribución retroactiva ni acreditación de cohorte/malla</v>
      </c>
      <c r="AU57" s="15" t="n">
        <v>4</v>
      </c>
      <c r="AV57" s="15" t="n">
        <v>4</v>
      </c>
      <c r="AW57" s="15" t="str">
        <v>E: sin historia pública</v>
      </c>
      <c r="AX57" s="15" t="n">
        <v>2026</v>
      </c>
      <c r="AY57" s="15" t="str">
        <v>MAESTRO/oferta_anual; sin matrícula</v>
      </c>
    </row>
    <row r="58" ht="27" customHeight="1">
      <c r="A58" s="14" t="str">
        <v>I162S2C130J4V1</v>
      </c>
      <c r="B58" s="14" t="str">
        <v>INGENIERIA EN ARQUITECTURA CLOUD</v>
      </c>
      <c r="C58" s="14" t="str">
        <v>2</v>
      </c>
      <c r="D58" s="14" t="str">
        <v>4</v>
      </c>
      <c r="E58" s="14" t="str">
        <v>1</v>
      </c>
      <c r="F58" s="14" t="str">
        <v>No presencial</v>
      </c>
      <c r="G58" s="14" t="str">
        <v>Pregrado</v>
      </c>
      <c r="H58" s="14" t="str">
        <v>Plan Regular</v>
      </c>
      <c r="I58" s="21" t="str">
        <v>n.a.</v>
      </c>
      <c r="J58" s="21" t="str">
        <v>n.a.</v>
      </c>
      <c r="K58" s="22" t="n">
        <v>0</v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>
        <v>0</v>
      </c>
      <c r="R58" s="22" t="n">
        <v>0</v>
      </c>
      <c r="S58" s="22" t="n">
        <v>0</v>
      </c>
      <c r="T58" s="22" t="n">
        <v>0</v>
      </c>
      <c r="U58" s="22" t="n">
        <v>0</v>
      </c>
      <c r="V58" s="22" t="n">
        <v>0</v>
      </c>
      <c r="W58" s="22" t="n">
        <v>0</v>
      </c>
      <c r="X58" s="22" t="n">
        <v>0</v>
      </c>
      <c r="Y58" s="22" t="n">
        <v>0</v>
      </c>
      <c r="Z58" s="22" t="n">
        <v>0</v>
      </c>
      <c r="AA58" s="22" t="n">
        <v>0</v>
      </c>
      <c r="AB58" s="22" t="n">
        <v>0</v>
      </c>
      <c r="AC58" s="22" t="n">
        <v>0</v>
      </c>
      <c r="AD58" s="22" t="n">
        <v>0</v>
      </c>
      <c r="AE58" s="14" t="str">
        <v>1</v>
      </c>
      <c r="AF58" s="14" t="str">
        <v>E</v>
      </c>
      <c r="AG58" s="14" t="str">
        <v>E: sin plan</v>
      </c>
      <c r="AH58" s="14" t="str">
        <v>E</v>
      </c>
      <c r="AI58" s="14" t="str">
        <v>E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14" t="str">
        <v>SIN_UNION</v>
      </c>
      <c r="AP58" s="14" t="str">
        <v>PENDIENTE</v>
      </c>
      <c r="AQ58" s="14" t="str">
        <v>NUEVO_2027_SIN_ALUMNOS</v>
      </c>
      <c r="AR58" s="14" t="str">
        <v>E</v>
      </c>
      <c r="AS58" s="14" t="str">
        <v>PUBLICA</v>
      </c>
      <c r="AT58" s="14" t="str">
        <v>E</v>
      </c>
      <c r="AU58" s="14" t="str">
        <v>E</v>
      </c>
      <c r="AV58" s="14" t="n">
        <v>8</v>
      </c>
      <c r="AW58" s="14" t="str">
        <v>E: sin historia pública</v>
      </c>
      <c r="AX58" s="14" t="n">
        <v>2027</v>
      </c>
      <c r="AY58" s="14" t="str">
        <v>H002; estudios no acreditados</v>
      </c>
    </row>
    <row r="59" ht="36" customHeight="1">
      <c r="A59" s="15" t="str">
        <v>I162S2C130J4V2</v>
      </c>
      <c r="B59" s="15" t="str">
        <v>INGENIERIA EN ARQUITECTURA CLOUD</v>
      </c>
      <c r="C59" s="15" t="str">
        <v>2</v>
      </c>
      <c r="D59" s="15" t="str">
        <v>4</v>
      </c>
      <c r="E59" s="15" t="str">
        <v>2</v>
      </c>
      <c r="F59" s="15" t="str">
        <v>No presencial</v>
      </c>
      <c r="G59" s="15" t="str">
        <v>Pregrado</v>
      </c>
      <c r="H59" s="15" t="str">
        <v>Plan Regular de Continuidad</v>
      </c>
      <c r="I59" s="23" t="str">
        <v>n.a.</v>
      </c>
      <c r="J59" s="23" t="str">
        <v>n.a.</v>
      </c>
      <c r="K59" s="24" t="n">
        <v>0</v>
      </c>
      <c r="L59" s="24" t="n">
        <v>0</v>
      </c>
      <c r="M59" s="24" t="n">
        <v>0</v>
      </c>
      <c r="N59" s="24" t="n">
        <v>0</v>
      </c>
      <c r="O59" s="24" t="n">
        <v>0</v>
      </c>
      <c r="P59" s="24" t="n">
        <v>0</v>
      </c>
      <c r="Q59" s="24" t="n">
        <v>0</v>
      </c>
      <c r="R59" s="24" t="n">
        <v>0</v>
      </c>
      <c r="S59" s="24" t="n">
        <v>0</v>
      </c>
      <c r="T59" s="24" t="n">
        <v>0</v>
      </c>
      <c r="U59" s="24" t="n">
        <v>0</v>
      </c>
      <c r="V59" s="24" t="n">
        <v>0</v>
      </c>
      <c r="W59" s="24" t="n">
        <v>0</v>
      </c>
      <c r="X59" s="24" t="n">
        <v>0</v>
      </c>
      <c r="Y59" s="24" t="n">
        <v>0</v>
      </c>
      <c r="Z59" s="24" t="n">
        <v>0</v>
      </c>
      <c r="AA59" s="24" t="n">
        <v>0</v>
      </c>
      <c r="AB59" s="24" t="n">
        <v>0</v>
      </c>
      <c r="AC59" s="24" t="n">
        <v>0</v>
      </c>
      <c r="AD59" s="24" t="n">
        <v>0</v>
      </c>
      <c r="AE59" s="15" t="str">
        <v>1</v>
      </c>
      <c r="AF59" s="15" t="str">
        <v>E</v>
      </c>
      <c r="AG59" s="15" t="str">
        <v>E: sin plan</v>
      </c>
      <c r="AH59" s="15" t="str">
        <v>E</v>
      </c>
      <c r="AI59" s="15" t="str">
        <v>E</v>
      </c>
      <c r="AJ59" s="24" t="n">
        <v>0</v>
      </c>
      <c r="AK59" s="24" t="n">
        <v>0</v>
      </c>
      <c r="AL59" s="24" t="n">
        <v>0</v>
      </c>
      <c r="AM59" s="24" t="n">
        <v>0</v>
      </c>
      <c r="AN59" s="24" t="n">
        <v>0</v>
      </c>
      <c r="AO59" s="15" t="str">
        <v>SIN_UNION</v>
      </c>
      <c r="AP59" s="15" t="str">
        <v>PENDIENTE</v>
      </c>
      <c r="AQ59" s="15" t="str">
        <v>NUEVO_2027_SIN_ALUMNOS</v>
      </c>
      <c r="AR59" s="15" t="str">
        <v>E</v>
      </c>
      <c r="AS59" s="15" t="str">
        <v>PUBLICA</v>
      </c>
      <c r="AT59" s="15" t="str">
        <v>E</v>
      </c>
      <c r="AU59" s="15" t="str">
        <v>E</v>
      </c>
      <c r="AV59" s="15" t="n">
        <v>4</v>
      </c>
      <c r="AW59" s="15" t="str">
        <v>E: sin historia pública</v>
      </c>
      <c r="AX59" s="15" t="n">
        <v>2027</v>
      </c>
      <c r="AY59" s="15" t="str">
        <v>H002; estudios no acreditados</v>
      </c>
    </row>
    <row r="60" ht="27" customHeight="1">
      <c r="A60" s="14" t="str">
        <v>I162S2C131J4V1</v>
      </c>
      <c r="B60" s="14" t="str">
        <v>INGENIERIA EN COMERCIO EXTERIOR</v>
      </c>
      <c r="C60" s="14" t="str">
        <v>2</v>
      </c>
      <c r="D60" s="14" t="str">
        <v>4</v>
      </c>
      <c r="E60" s="14" t="str">
        <v>1</v>
      </c>
      <c r="F60" s="14" t="str">
        <v>No presencial</v>
      </c>
      <c r="G60" s="14" t="str">
        <v>Pregrado</v>
      </c>
      <c r="H60" s="14" t="str">
        <v>Plan Regular</v>
      </c>
      <c r="I60" s="21" t="str">
        <v>n.a.</v>
      </c>
      <c r="J60" s="21" t="str">
        <v>n.a.</v>
      </c>
      <c r="K60" s="22" t="n">
        <v>0</v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</v>
      </c>
      <c r="Q60" s="22" t="n">
        <v>0</v>
      </c>
      <c r="R60" s="22" t="n">
        <v>0</v>
      </c>
      <c r="S60" s="22" t="n">
        <v>0</v>
      </c>
      <c r="T60" s="22" t="n">
        <v>0</v>
      </c>
      <c r="U60" s="22" t="n">
        <v>0</v>
      </c>
      <c r="V60" s="22" t="n">
        <v>0</v>
      </c>
      <c r="W60" s="22" t="n">
        <v>0</v>
      </c>
      <c r="X60" s="22" t="n">
        <v>0</v>
      </c>
      <c r="Y60" s="22" t="n">
        <v>0</v>
      </c>
      <c r="Z60" s="22" t="n">
        <v>0</v>
      </c>
      <c r="AA60" s="22" t="n">
        <v>0</v>
      </c>
      <c r="AB60" s="22" t="n">
        <v>0</v>
      </c>
      <c r="AC60" s="22" t="n">
        <v>0</v>
      </c>
      <c r="AD60" s="22" t="n">
        <v>0</v>
      </c>
      <c r="AE60" s="14" t="str">
        <v>1</v>
      </c>
      <c r="AF60" s="14" t="str">
        <v>E</v>
      </c>
      <c r="AG60" s="14" t="str">
        <v>E: sin plan</v>
      </c>
      <c r="AH60" s="14" t="str">
        <v>E</v>
      </c>
      <c r="AI60" s="14" t="str">
        <v>E</v>
      </c>
      <c r="AJ60" s="22" t="n">
        <v>0</v>
      </c>
      <c r="AK60" s="22" t="n">
        <v>0</v>
      </c>
      <c r="AL60" s="22" t="n">
        <v>0</v>
      </c>
      <c r="AM60" s="22" t="n">
        <v>0</v>
      </c>
      <c r="AN60" s="22" t="n">
        <v>0</v>
      </c>
      <c r="AO60" s="14" t="str">
        <v>SIN_UNION</v>
      </c>
      <c r="AP60" s="14" t="str">
        <v>PENDIENTE</v>
      </c>
      <c r="AQ60" s="14" t="str">
        <v>NUEVO_2027_SIN_ALUMNOS</v>
      </c>
      <c r="AR60" s="14" t="str">
        <v>E</v>
      </c>
      <c r="AS60" s="14" t="str">
        <v>PUBLICA</v>
      </c>
      <c r="AT60" s="14" t="str">
        <v>E</v>
      </c>
      <c r="AU60" s="14" t="str">
        <v>E</v>
      </c>
      <c r="AV60" s="14" t="n">
        <v>8</v>
      </c>
      <c r="AW60" s="14" t="str">
        <v>E: sin historia pública</v>
      </c>
      <c r="AX60" s="14" t="n">
        <v>2027</v>
      </c>
      <c r="AY60" s="14" t="str">
        <v>H002; estudios no acreditados</v>
      </c>
    </row>
    <row r="61" ht="27" customHeight="1">
      <c r="A61" s="15" t="str">
        <v>I162S2C132J3V1</v>
      </c>
      <c r="B61" s="15" t="str">
        <v>INGENIERIA EN CONSTRUCCION</v>
      </c>
      <c r="C61" s="15" t="str">
        <v>2</v>
      </c>
      <c r="D61" s="15" t="str">
        <v>3</v>
      </c>
      <c r="E61" s="15" t="str">
        <v>1</v>
      </c>
      <c r="F61" s="15" t="str">
        <v>Semipresencial</v>
      </c>
      <c r="G61" s="15" t="str">
        <v>Pregrado</v>
      </c>
      <c r="H61" s="15" t="str">
        <v>Plan Regular</v>
      </c>
      <c r="I61" s="23" t="str">
        <v>n.a.</v>
      </c>
      <c r="J61" s="23" t="str">
        <v>n.a.</v>
      </c>
      <c r="K61" s="24" t="n">
        <v>0</v>
      </c>
      <c r="L61" s="24" t="n">
        <v>0</v>
      </c>
      <c r="M61" s="24" t="n">
        <v>0</v>
      </c>
      <c r="N61" s="24" t="n">
        <v>0</v>
      </c>
      <c r="O61" s="24" t="n">
        <v>0</v>
      </c>
      <c r="P61" s="24" t="n">
        <v>0</v>
      </c>
      <c r="Q61" s="24" t="n">
        <v>0</v>
      </c>
      <c r="R61" s="24" t="n">
        <v>0</v>
      </c>
      <c r="S61" s="24" t="n">
        <v>0</v>
      </c>
      <c r="T61" s="24" t="n">
        <v>0</v>
      </c>
      <c r="U61" s="24" t="n">
        <v>0</v>
      </c>
      <c r="V61" s="24" t="n">
        <v>0</v>
      </c>
      <c r="W61" s="24" t="n">
        <v>0</v>
      </c>
      <c r="X61" s="24" t="n">
        <v>0</v>
      </c>
      <c r="Y61" s="24" t="n">
        <v>0</v>
      </c>
      <c r="Z61" s="24" t="n">
        <v>0</v>
      </c>
      <c r="AA61" s="24" t="n">
        <v>0</v>
      </c>
      <c r="AB61" s="24" t="n">
        <v>0</v>
      </c>
      <c r="AC61" s="24" t="n">
        <v>0</v>
      </c>
      <c r="AD61" s="24" t="n">
        <v>0</v>
      </c>
      <c r="AE61" s="15" t="str">
        <v>1</v>
      </c>
      <c r="AF61" s="15" t="str">
        <v>E</v>
      </c>
      <c r="AG61" s="15" t="str">
        <v>E: sin plan</v>
      </c>
      <c r="AH61" s="15" t="str">
        <v>E</v>
      </c>
      <c r="AI61" s="15" t="str">
        <v>E</v>
      </c>
      <c r="AJ61" s="24" t="n">
        <v>0</v>
      </c>
      <c r="AK61" s="24" t="n">
        <v>0</v>
      </c>
      <c r="AL61" s="24" t="n">
        <v>0</v>
      </c>
      <c r="AM61" s="24" t="n">
        <v>0</v>
      </c>
      <c r="AN61" s="24" t="n">
        <v>0</v>
      </c>
      <c r="AO61" s="15" t="str">
        <v>SIN_UNION</v>
      </c>
      <c r="AP61" s="15" t="str">
        <v>PENDIENTE</v>
      </c>
      <c r="AQ61" s="15" t="str">
        <v>NUEVO_2027_SIN_ALUMNOS</v>
      </c>
      <c r="AR61" s="15" t="str">
        <v>E</v>
      </c>
      <c r="AS61" s="15" t="str">
        <v>PUBLICA</v>
      </c>
      <c r="AT61" s="15" t="str">
        <v>E</v>
      </c>
      <c r="AU61" s="15" t="str">
        <v>E</v>
      </c>
      <c r="AV61" s="15" t="n">
        <v>8</v>
      </c>
      <c r="AW61" s="15" t="str">
        <v>E: sin historia pública</v>
      </c>
      <c r="AX61" s="15" t="n">
        <v>2027</v>
      </c>
      <c r="AY61" s="15" t="str">
        <v>H002; estudios no acreditados</v>
      </c>
    </row>
    <row r="62" ht="27" customHeight="1">
      <c r="A62" s="14" t="str">
        <v>I162S2C133J3V1</v>
      </c>
      <c r="B62" s="14" t="str">
        <v>INGENIERIA EN ELECTRICIDAD</v>
      </c>
      <c r="C62" s="14" t="str">
        <v>2</v>
      </c>
      <c r="D62" s="14" t="str">
        <v>3</v>
      </c>
      <c r="E62" s="14" t="str">
        <v>1</v>
      </c>
      <c r="F62" s="14" t="str">
        <v>Semipresencial</v>
      </c>
      <c r="G62" s="14" t="str">
        <v>Pregrado</v>
      </c>
      <c r="H62" s="14" t="str">
        <v>Plan Regular</v>
      </c>
      <c r="I62" s="21" t="str">
        <v>n.a.</v>
      </c>
      <c r="J62" s="21" t="str">
        <v>n.a.</v>
      </c>
      <c r="K62" s="22" t="n">
        <v>0</v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>
        <v>0</v>
      </c>
      <c r="R62" s="22" t="n">
        <v>0</v>
      </c>
      <c r="S62" s="22" t="n">
        <v>0</v>
      </c>
      <c r="T62" s="22" t="n">
        <v>0</v>
      </c>
      <c r="U62" s="22" t="n">
        <v>0</v>
      </c>
      <c r="V62" s="22" t="n">
        <v>0</v>
      </c>
      <c r="W62" s="22" t="n">
        <v>0</v>
      </c>
      <c r="X62" s="22" t="n">
        <v>0</v>
      </c>
      <c r="Y62" s="22" t="n">
        <v>0</v>
      </c>
      <c r="Z62" s="22" t="n">
        <v>0</v>
      </c>
      <c r="AA62" s="22" t="n">
        <v>0</v>
      </c>
      <c r="AB62" s="22" t="n">
        <v>0</v>
      </c>
      <c r="AC62" s="22" t="n">
        <v>0</v>
      </c>
      <c r="AD62" s="22" t="n">
        <v>0</v>
      </c>
      <c r="AE62" s="14" t="str">
        <v>1</v>
      </c>
      <c r="AF62" s="14" t="str">
        <v>E</v>
      </c>
      <c r="AG62" s="14" t="str">
        <v>E: sin plan</v>
      </c>
      <c r="AH62" s="14" t="str">
        <v>E</v>
      </c>
      <c r="AI62" s="14" t="str">
        <v>E</v>
      </c>
      <c r="AJ62" s="22" t="n">
        <v>0</v>
      </c>
      <c r="AK62" s="22" t="n">
        <v>0</v>
      </c>
      <c r="AL62" s="22" t="n">
        <v>0</v>
      </c>
      <c r="AM62" s="22" t="n">
        <v>0</v>
      </c>
      <c r="AN62" s="22" t="n">
        <v>0</v>
      </c>
      <c r="AO62" s="14" t="str">
        <v>SIN_UNION</v>
      </c>
      <c r="AP62" s="14" t="str">
        <v>PENDIENTE</v>
      </c>
      <c r="AQ62" s="14" t="str">
        <v>NUEVO_2027_SIN_ALUMNOS</v>
      </c>
      <c r="AR62" s="14" t="str">
        <v>E</v>
      </c>
      <c r="AS62" s="14" t="str">
        <v>PUBLICA</v>
      </c>
      <c r="AT62" s="14" t="str">
        <v>E</v>
      </c>
      <c r="AU62" s="14" t="str">
        <v>E</v>
      </c>
      <c r="AV62" s="14" t="n">
        <v>8</v>
      </c>
      <c r="AW62" s="14" t="str">
        <v>E: sin historia pública</v>
      </c>
      <c r="AX62" s="14" t="n">
        <v>2027</v>
      </c>
      <c r="AY62" s="14" t="str">
        <v>H002; estudios no acreditados</v>
      </c>
    </row>
    <row r="63" ht="27" customHeight="1">
      <c r="A63" s="15" t="str">
        <v>I162S2C134J4V1</v>
      </c>
      <c r="B63" s="15" t="str">
        <v>INGENIERIA EN INTELIGENCIA ARTIFICIAL</v>
      </c>
      <c r="C63" s="15" t="str">
        <v>2</v>
      </c>
      <c r="D63" s="15" t="str">
        <v>4</v>
      </c>
      <c r="E63" s="15" t="str">
        <v>1</v>
      </c>
      <c r="F63" s="15" t="str">
        <v>No presencial</v>
      </c>
      <c r="G63" s="15" t="str">
        <v>Pregrado</v>
      </c>
      <c r="H63" s="15" t="str">
        <v>Plan Regular</v>
      </c>
      <c r="I63" s="23" t="str">
        <v>n.a.</v>
      </c>
      <c r="J63" s="23" t="str">
        <v>n.a.</v>
      </c>
      <c r="K63" s="24" t="n">
        <v>0</v>
      </c>
      <c r="L63" s="24" t="n">
        <v>0</v>
      </c>
      <c r="M63" s="24" t="n">
        <v>0</v>
      </c>
      <c r="N63" s="24" t="n">
        <v>0</v>
      </c>
      <c r="O63" s="24" t="n">
        <v>0</v>
      </c>
      <c r="P63" s="24" t="n">
        <v>0</v>
      </c>
      <c r="Q63" s="24" t="n">
        <v>0</v>
      </c>
      <c r="R63" s="24" t="n">
        <v>0</v>
      </c>
      <c r="S63" s="24" t="n">
        <v>0</v>
      </c>
      <c r="T63" s="24" t="n">
        <v>0</v>
      </c>
      <c r="U63" s="24" t="n">
        <v>0</v>
      </c>
      <c r="V63" s="24" t="n">
        <v>0</v>
      </c>
      <c r="W63" s="24" t="n">
        <v>0</v>
      </c>
      <c r="X63" s="24" t="n">
        <v>0</v>
      </c>
      <c r="Y63" s="24" t="n">
        <v>0</v>
      </c>
      <c r="Z63" s="24" t="n">
        <v>0</v>
      </c>
      <c r="AA63" s="24" t="n">
        <v>0</v>
      </c>
      <c r="AB63" s="24" t="n">
        <v>0</v>
      </c>
      <c r="AC63" s="24" t="n">
        <v>0</v>
      </c>
      <c r="AD63" s="24" t="n">
        <v>0</v>
      </c>
      <c r="AE63" s="15" t="str">
        <v>1</v>
      </c>
      <c r="AF63" s="15" t="str">
        <v>E</v>
      </c>
      <c r="AG63" s="15" t="str">
        <v>E: sin plan</v>
      </c>
      <c r="AH63" s="15" t="str">
        <v>E</v>
      </c>
      <c r="AI63" s="15" t="str">
        <v>E</v>
      </c>
      <c r="AJ63" s="24" t="n">
        <v>0</v>
      </c>
      <c r="AK63" s="24" t="n">
        <v>0</v>
      </c>
      <c r="AL63" s="24" t="n">
        <v>0</v>
      </c>
      <c r="AM63" s="24" t="n">
        <v>0</v>
      </c>
      <c r="AN63" s="24" t="n">
        <v>0</v>
      </c>
      <c r="AO63" s="15" t="str">
        <v>SIN_UNION</v>
      </c>
      <c r="AP63" s="15" t="str">
        <v>PENDIENTE</v>
      </c>
      <c r="AQ63" s="15" t="str">
        <v>NUEVO_2027_SIN_ALUMNOS</v>
      </c>
      <c r="AR63" s="15" t="str">
        <v>E</v>
      </c>
      <c r="AS63" s="15" t="str">
        <v>PUBLICA</v>
      </c>
      <c r="AT63" s="15" t="str">
        <v>E</v>
      </c>
      <c r="AU63" s="15" t="str">
        <v>E</v>
      </c>
      <c r="AV63" s="15" t="n">
        <v>8</v>
      </c>
      <c r="AW63" s="15" t="str">
        <v>E: sin historia pública</v>
      </c>
      <c r="AX63" s="15" t="n">
        <v>2027</v>
      </c>
      <c r="AY63" s="15" t="str">
        <v>H002; estudios no acreditados</v>
      </c>
    </row>
    <row r="64" ht="27" customHeight="1">
      <c r="A64" s="14" t="str">
        <v>I162S2C135J4V1</v>
      </c>
      <c r="B64" s="14" t="str">
        <v>INGENIERIA EN OPERACIONES MINERAS</v>
      </c>
      <c r="C64" s="14" t="str">
        <v>2</v>
      </c>
      <c r="D64" s="14" t="str">
        <v>4</v>
      </c>
      <c r="E64" s="14" t="str">
        <v>1</v>
      </c>
      <c r="F64" s="14" t="str">
        <v>No presencial</v>
      </c>
      <c r="G64" s="14" t="str">
        <v>Pregrado</v>
      </c>
      <c r="H64" s="14" t="str">
        <v>Plan Regular</v>
      </c>
      <c r="I64" s="21" t="str">
        <v>n.a.</v>
      </c>
      <c r="J64" s="21" t="str">
        <v>n.a.</v>
      </c>
      <c r="K64" s="22" t="n">
        <v>0</v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>
        <v>0</v>
      </c>
      <c r="R64" s="22" t="n">
        <v>0</v>
      </c>
      <c r="S64" s="22" t="n">
        <v>0</v>
      </c>
      <c r="T64" s="22" t="n">
        <v>0</v>
      </c>
      <c r="U64" s="22" t="n">
        <v>0</v>
      </c>
      <c r="V64" s="22" t="n">
        <v>0</v>
      </c>
      <c r="W64" s="22" t="n">
        <v>0</v>
      </c>
      <c r="X64" s="22" t="n">
        <v>0</v>
      </c>
      <c r="Y64" s="22" t="n">
        <v>0</v>
      </c>
      <c r="Z64" s="22" t="n">
        <v>0</v>
      </c>
      <c r="AA64" s="22" t="n">
        <v>0</v>
      </c>
      <c r="AB64" s="22" t="n">
        <v>0</v>
      </c>
      <c r="AC64" s="22" t="n">
        <v>0</v>
      </c>
      <c r="AD64" s="22" t="n">
        <v>0</v>
      </c>
      <c r="AE64" s="14" t="str">
        <v>1</v>
      </c>
      <c r="AF64" s="14" t="str">
        <v>E</v>
      </c>
      <c r="AG64" s="14" t="str">
        <v>E: sin plan</v>
      </c>
      <c r="AH64" s="14" t="str">
        <v>E</v>
      </c>
      <c r="AI64" s="14" t="str">
        <v>E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14" t="str">
        <v>SIN_UNION</v>
      </c>
      <c r="AP64" s="14" t="str">
        <v>PENDIENTE</v>
      </c>
      <c r="AQ64" s="14" t="str">
        <v>NUEVO_2027_SIN_ALUMNOS</v>
      </c>
      <c r="AR64" s="14" t="str">
        <v>E</v>
      </c>
      <c r="AS64" s="14" t="str">
        <v>PUBLICA</v>
      </c>
      <c r="AT64" s="14" t="str">
        <v>E</v>
      </c>
      <c r="AU64" s="14" t="str">
        <v>E</v>
      </c>
      <c r="AV64" s="14" t="n">
        <v>8</v>
      </c>
      <c r="AW64" s="14" t="str">
        <v>E: sin historia pública</v>
      </c>
      <c r="AX64" s="14" t="n">
        <v>2027</v>
      </c>
      <c r="AY64" s="14" t="str">
        <v>H002; estudios no acreditados</v>
      </c>
    </row>
    <row r="65" ht="27" customHeight="1">
      <c r="A65" s="15" t="str">
        <v>I162S2C136J4V1</v>
      </c>
      <c r="B65" s="15" t="str">
        <v>TECNICO EN COMERCIO EXTERIOR</v>
      </c>
      <c r="C65" s="15" t="str">
        <v>2</v>
      </c>
      <c r="D65" s="15" t="str">
        <v>4</v>
      </c>
      <c r="E65" s="15" t="str">
        <v>1</v>
      </c>
      <c r="F65" s="15" t="str">
        <v>No presencial</v>
      </c>
      <c r="G65" s="15" t="str">
        <v>Pregrado</v>
      </c>
      <c r="H65" s="15" t="str">
        <v>Plan Regular</v>
      </c>
      <c r="I65" s="23" t="str">
        <v>n.a.</v>
      </c>
      <c r="J65" s="23" t="str">
        <v>n.a.</v>
      </c>
      <c r="K65" s="24" t="n">
        <v>0</v>
      </c>
      <c r="L65" s="24" t="n">
        <v>0</v>
      </c>
      <c r="M65" s="24" t="n">
        <v>0</v>
      </c>
      <c r="N65" s="24" t="n">
        <v>0</v>
      </c>
      <c r="O65" s="24" t="n">
        <v>0</v>
      </c>
      <c r="P65" s="24" t="n">
        <v>0</v>
      </c>
      <c r="Q65" s="24" t="n">
        <v>0</v>
      </c>
      <c r="R65" s="24" t="n">
        <v>0</v>
      </c>
      <c r="S65" s="24" t="n">
        <v>0</v>
      </c>
      <c r="T65" s="24" t="n">
        <v>0</v>
      </c>
      <c r="U65" s="24" t="n">
        <v>0</v>
      </c>
      <c r="V65" s="24" t="n">
        <v>0</v>
      </c>
      <c r="W65" s="24" t="n">
        <v>0</v>
      </c>
      <c r="X65" s="24" t="n">
        <v>0</v>
      </c>
      <c r="Y65" s="24" t="n">
        <v>0</v>
      </c>
      <c r="Z65" s="24" t="n">
        <v>0</v>
      </c>
      <c r="AA65" s="24" t="n">
        <v>0</v>
      </c>
      <c r="AB65" s="24" t="n">
        <v>0</v>
      </c>
      <c r="AC65" s="24" t="n">
        <v>0</v>
      </c>
      <c r="AD65" s="24" t="n">
        <v>0</v>
      </c>
      <c r="AE65" s="15" t="str">
        <v>1</v>
      </c>
      <c r="AF65" s="15" t="str">
        <v>E</v>
      </c>
      <c r="AG65" s="15" t="str">
        <v>E: sin plan</v>
      </c>
      <c r="AH65" s="15" t="str">
        <v>E</v>
      </c>
      <c r="AI65" s="15" t="str">
        <v>E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15" t="str">
        <v>SIN_UNION</v>
      </c>
      <c r="AP65" s="15" t="str">
        <v>PENDIENTE</v>
      </c>
      <c r="AQ65" s="15" t="str">
        <v>NUEVO_2027_SIN_ALUMNOS</v>
      </c>
      <c r="AR65" s="15" t="str">
        <v>E</v>
      </c>
      <c r="AS65" s="15" t="str">
        <v>PUBLICA</v>
      </c>
      <c r="AT65" s="15" t="str">
        <v>E</v>
      </c>
      <c r="AU65" s="15" t="str">
        <v>E</v>
      </c>
      <c r="AV65" s="15" t="n">
        <v>5</v>
      </c>
      <c r="AW65" s="15" t="str">
        <v>E: sin historia pública</v>
      </c>
      <c r="AX65" s="15" t="n">
        <v>2027</v>
      </c>
      <c r="AY65" s="15" t="str">
        <v>H002; estudios no acreditados</v>
      </c>
    </row>
    <row r="66" ht="27" customHeight="1">
      <c r="A66" s="14" t="str">
        <v>I162S2C137J3V1</v>
      </c>
      <c r="B66" s="14" t="str">
        <v>TECNICO EN CONSTRUCCION</v>
      </c>
      <c r="C66" s="14" t="str">
        <v>2</v>
      </c>
      <c r="D66" s="14" t="str">
        <v>3</v>
      </c>
      <c r="E66" s="14" t="str">
        <v>1</v>
      </c>
      <c r="F66" s="14" t="str">
        <v>Semipresencial</v>
      </c>
      <c r="G66" s="14" t="str">
        <v>Pregrado</v>
      </c>
      <c r="H66" s="14" t="str">
        <v>Plan Regular</v>
      </c>
      <c r="I66" s="21" t="str">
        <v>n.a.</v>
      </c>
      <c r="J66" s="21" t="str">
        <v>n.a.</v>
      </c>
      <c r="K66" s="22" t="n">
        <v>0</v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</v>
      </c>
      <c r="Q66" s="22" t="n">
        <v>0</v>
      </c>
      <c r="R66" s="22" t="n">
        <v>0</v>
      </c>
      <c r="S66" s="22" t="n">
        <v>0</v>
      </c>
      <c r="T66" s="22" t="n">
        <v>0</v>
      </c>
      <c r="U66" s="22" t="n">
        <v>0</v>
      </c>
      <c r="V66" s="22" t="n">
        <v>0</v>
      </c>
      <c r="W66" s="22" t="n">
        <v>0</v>
      </c>
      <c r="X66" s="22" t="n">
        <v>0</v>
      </c>
      <c r="Y66" s="22" t="n">
        <v>0</v>
      </c>
      <c r="Z66" s="22" t="n">
        <v>0</v>
      </c>
      <c r="AA66" s="22" t="n">
        <v>0</v>
      </c>
      <c r="AB66" s="22" t="n">
        <v>0</v>
      </c>
      <c r="AC66" s="22" t="n">
        <v>0</v>
      </c>
      <c r="AD66" s="22" t="n">
        <v>0</v>
      </c>
      <c r="AE66" s="14" t="str">
        <v>1</v>
      </c>
      <c r="AF66" s="14" t="str">
        <v>E</v>
      </c>
      <c r="AG66" s="14" t="str">
        <v>E: sin plan</v>
      </c>
      <c r="AH66" s="14" t="str">
        <v>E</v>
      </c>
      <c r="AI66" s="14" t="str">
        <v>E</v>
      </c>
      <c r="AJ66" s="22" t="n">
        <v>0</v>
      </c>
      <c r="AK66" s="22" t="n">
        <v>0</v>
      </c>
      <c r="AL66" s="22" t="n">
        <v>0</v>
      </c>
      <c r="AM66" s="22" t="n">
        <v>0</v>
      </c>
      <c r="AN66" s="22" t="n">
        <v>0</v>
      </c>
      <c r="AO66" s="14" t="str">
        <v>SIN_UNION</v>
      </c>
      <c r="AP66" s="14" t="str">
        <v>PENDIENTE</v>
      </c>
      <c r="AQ66" s="14" t="str">
        <v>NUEVO_2027_SIN_ALUMNOS</v>
      </c>
      <c r="AR66" s="14" t="str">
        <v>E</v>
      </c>
      <c r="AS66" s="14" t="str">
        <v>PUBLICA</v>
      </c>
      <c r="AT66" s="14" t="str">
        <v>E</v>
      </c>
      <c r="AU66" s="14" t="str">
        <v>E</v>
      </c>
      <c r="AV66" s="14" t="n">
        <v>4</v>
      </c>
      <c r="AW66" s="14" t="str">
        <v>E: sin historia pública</v>
      </c>
      <c r="AX66" s="14" t="n">
        <v>2027</v>
      </c>
      <c r="AY66" s="14" t="str">
        <v>H002; estudios no acreditados</v>
      </c>
    </row>
    <row r="67" ht="27" customHeight="1">
      <c r="A67" s="15" t="str">
        <v>I162S2C138J3V1</v>
      </c>
      <c r="B67" s="15" t="str">
        <v>TECNICO EN ELECTRICIDAD</v>
      </c>
      <c r="C67" s="15" t="str">
        <v>2</v>
      </c>
      <c r="D67" s="15" t="str">
        <v>3</v>
      </c>
      <c r="E67" s="15" t="str">
        <v>1</v>
      </c>
      <c r="F67" s="15" t="str">
        <v>Semipresencial</v>
      </c>
      <c r="G67" s="15" t="str">
        <v>Pregrado</v>
      </c>
      <c r="H67" s="15" t="str">
        <v>Plan Regular</v>
      </c>
      <c r="I67" s="23" t="str">
        <v>n.a.</v>
      </c>
      <c r="J67" s="23" t="str">
        <v>n.a.</v>
      </c>
      <c r="K67" s="24" t="n">
        <v>0</v>
      </c>
      <c r="L67" s="24" t="n">
        <v>0</v>
      </c>
      <c r="M67" s="24" t="n">
        <v>0</v>
      </c>
      <c r="N67" s="24" t="n">
        <v>0</v>
      </c>
      <c r="O67" s="24" t="n">
        <v>0</v>
      </c>
      <c r="P67" s="24" t="n">
        <v>0</v>
      </c>
      <c r="Q67" s="24" t="n">
        <v>0</v>
      </c>
      <c r="R67" s="24" t="n">
        <v>0</v>
      </c>
      <c r="S67" s="24" t="n">
        <v>0</v>
      </c>
      <c r="T67" s="24" t="n">
        <v>0</v>
      </c>
      <c r="U67" s="24" t="n">
        <v>0</v>
      </c>
      <c r="V67" s="24" t="n">
        <v>0</v>
      </c>
      <c r="W67" s="24" t="n">
        <v>0</v>
      </c>
      <c r="X67" s="24" t="n">
        <v>0</v>
      </c>
      <c r="Y67" s="24" t="n">
        <v>0</v>
      </c>
      <c r="Z67" s="24" t="n">
        <v>0</v>
      </c>
      <c r="AA67" s="24" t="n">
        <v>0</v>
      </c>
      <c r="AB67" s="24" t="n">
        <v>0</v>
      </c>
      <c r="AC67" s="24" t="n">
        <v>0</v>
      </c>
      <c r="AD67" s="24" t="n">
        <v>0</v>
      </c>
      <c r="AE67" s="15" t="str">
        <v>1</v>
      </c>
      <c r="AF67" s="15" t="str">
        <v>E</v>
      </c>
      <c r="AG67" s="15" t="str">
        <v>E: sin plan</v>
      </c>
      <c r="AH67" s="15" t="str">
        <v>E</v>
      </c>
      <c r="AI67" s="15" t="str">
        <v>E</v>
      </c>
      <c r="AJ67" s="24" t="n">
        <v>0</v>
      </c>
      <c r="AK67" s="24" t="n">
        <v>0</v>
      </c>
      <c r="AL67" s="24" t="n">
        <v>0</v>
      </c>
      <c r="AM67" s="24" t="n">
        <v>0</v>
      </c>
      <c r="AN67" s="24" t="n">
        <v>0</v>
      </c>
      <c r="AO67" s="15" t="str">
        <v>SIN_UNION</v>
      </c>
      <c r="AP67" s="15" t="str">
        <v>PENDIENTE</v>
      </c>
      <c r="AQ67" s="15" t="str">
        <v>NUEVO_2027_SIN_ALUMNOS</v>
      </c>
      <c r="AR67" s="15" t="str">
        <v>E</v>
      </c>
      <c r="AS67" s="15" t="str">
        <v>PUBLICA</v>
      </c>
      <c r="AT67" s="15" t="str">
        <v>E</v>
      </c>
      <c r="AU67" s="15" t="str">
        <v>E</v>
      </c>
      <c r="AV67" s="15" t="n">
        <v>4</v>
      </c>
      <c r="AW67" s="15" t="str">
        <v>E: sin historia pública</v>
      </c>
      <c r="AX67" s="15" t="n">
        <v>2027</v>
      </c>
      <c r="AY67" s="15" t="str">
        <v>H002; estudios no acreditados</v>
      </c>
    </row>
    <row r="68" ht="27" customHeight="1">
      <c r="A68" s="14" t="str">
        <v>I162S2C139J3V1</v>
      </c>
      <c r="B68" s="14" t="str">
        <v>TECNICO EN IMAGENOLOGIA</v>
      </c>
      <c r="C68" s="14" t="str">
        <v>2</v>
      </c>
      <c r="D68" s="14" t="str">
        <v>3</v>
      </c>
      <c r="E68" s="14" t="str">
        <v>1</v>
      </c>
      <c r="F68" s="14" t="str">
        <v>Semipresencial</v>
      </c>
      <c r="G68" s="14" t="str">
        <v>Pregrado</v>
      </c>
      <c r="H68" s="14" t="str">
        <v>Plan Regular</v>
      </c>
      <c r="I68" s="21" t="str">
        <v>n.a.</v>
      </c>
      <c r="J68" s="21" t="str">
        <v>n.a.</v>
      </c>
      <c r="K68" s="22" t="n">
        <v>0</v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2" t="n">
        <v>0</v>
      </c>
      <c r="R68" s="22" t="n">
        <v>0</v>
      </c>
      <c r="S68" s="22" t="n">
        <v>0</v>
      </c>
      <c r="T68" s="22" t="n">
        <v>0</v>
      </c>
      <c r="U68" s="22" t="n">
        <v>0</v>
      </c>
      <c r="V68" s="22" t="n">
        <v>0</v>
      </c>
      <c r="W68" s="22" t="n">
        <v>0</v>
      </c>
      <c r="X68" s="22" t="n">
        <v>0</v>
      </c>
      <c r="Y68" s="22" t="n">
        <v>0</v>
      </c>
      <c r="Z68" s="22" t="n">
        <v>0</v>
      </c>
      <c r="AA68" s="22" t="n">
        <v>0</v>
      </c>
      <c r="AB68" s="22" t="n">
        <v>0</v>
      </c>
      <c r="AC68" s="22" t="n">
        <v>0</v>
      </c>
      <c r="AD68" s="22" t="n">
        <v>0</v>
      </c>
      <c r="AE68" s="14" t="str">
        <v>1</v>
      </c>
      <c r="AF68" s="14" t="str">
        <v>E</v>
      </c>
      <c r="AG68" s="14" t="str">
        <v>E: sin plan</v>
      </c>
      <c r="AH68" s="14" t="str">
        <v>E</v>
      </c>
      <c r="AI68" s="14" t="str">
        <v>E</v>
      </c>
      <c r="AJ68" s="22" t="n">
        <v>0</v>
      </c>
      <c r="AK68" s="22" t="n">
        <v>0</v>
      </c>
      <c r="AL68" s="22" t="n">
        <v>0</v>
      </c>
      <c r="AM68" s="22" t="n">
        <v>0</v>
      </c>
      <c r="AN68" s="22" t="n">
        <v>0</v>
      </c>
      <c r="AO68" s="14" t="str">
        <v>SIN_UNION</v>
      </c>
      <c r="AP68" s="14" t="str">
        <v>PENDIENTE</v>
      </c>
      <c r="AQ68" s="14" t="str">
        <v>NUEVO_2027_SIN_ALUMNOS</v>
      </c>
      <c r="AR68" s="14" t="str">
        <v>E</v>
      </c>
      <c r="AS68" s="14" t="str">
        <v>PUBLICA</v>
      </c>
      <c r="AT68" s="14" t="str">
        <v>E</v>
      </c>
      <c r="AU68" s="14" t="str">
        <v>E</v>
      </c>
      <c r="AV68" s="14" t="n">
        <v>4</v>
      </c>
      <c r="AW68" s="14" t="str">
        <v>E: sin historia pública</v>
      </c>
      <c r="AX68" s="14" t="n">
        <v>2027</v>
      </c>
      <c r="AY68" s="14" t="str">
        <v>H002; estudios no acreditados</v>
      </c>
    </row>
    <row r="69" ht="27" customHeight="1">
      <c r="A69" s="15" t="str">
        <v>I162S2C140J4V1</v>
      </c>
      <c r="B69" s="15" t="str">
        <v>TECNICO EN INTELIGENCIA ARTIFICIAL</v>
      </c>
      <c r="C69" s="15" t="str">
        <v>2</v>
      </c>
      <c r="D69" s="15" t="str">
        <v>4</v>
      </c>
      <c r="E69" s="15" t="str">
        <v>1</v>
      </c>
      <c r="F69" s="15" t="str">
        <v>No presencial</v>
      </c>
      <c r="G69" s="15" t="str">
        <v>Pregrado</v>
      </c>
      <c r="H69" s="15" t="str">
        <v>Plan Regular</v>
      </c>
      <c r="I69" s="23" t="str">
        <v>n.a.</v>
      </c>
      <c r="J69" s="23" t="str">
        <v>n.a.</v>
      </c>
      <c r="K69" s="24" t="n">
        <v>0</v>
      </c>
      <c r="L69" s="24" t="n">
        <v>0</v>
      </c>
      <c r="M69" s="24" t="n">
        <v>0</v>
      </c>
      <c r="N69" s="24" t="n">
        <v>0</v>
      </c>
      <c r="O69" s="24" t="n">
        <v>0</v>
      </c>
      <c r="P69" s="24" t="n">
        <v>0</v>
      </c>
      <c r="Q69" s="24" t="n">
        <v>0</v>
      </c>
      <c r="R69" s="24" t="n">
        <v>0</v>
      </c>
      <c r="S69" s="24" t="n">
        <v>0</v>
      </c>
      <c r="T69" s="24" t="n">
        <v>0</v>
      </c>
      <c r="U69" s="24" t="n">
        <v>0</v>
      </c>
      <c r="V69" s="24" t="n">
        <v>0</v>
      </c>
      <c r="W69" s="24" t="n">
        <v>0</v>
      </c>
      <c r="X69" s="24" t="n">
        <v>0</v>
      </c>
      <c r="Y69" s="24" t="n">
        <v>0</v>
      </c>
      <c r="Z69" s="24" t="n">
        <v>0</v>
      </c>
      <c r="AA69" s="24" t="n">
        <v>0</v>
      </c>
      <c r="AB69" s="24" t="n">
        <v>0</v>
      </c>
      <c r="AC69" s="24" t="n">
        <v>0</v>
      </c>
      <c r="AD69" s="24" t="n">
        <v>0</v>
      </c>
      <c r="AE69" s="15" t="str">
        <v>1</v>
      </c>
      <c r="AF69" s="15" t="str">
        <v>E</v>
      </c>
      <c r="AG69" s="15" t="str">
        <v>E: sin plan</v>
      </c>
      <c r="AH69" s="15" t="str">
        <v>E</v>
      </c>
      <c r="AI69" s="15" t="str">
        <v>E</v>
      </c>
      <c r="AJ69" s="24" t="n">
        <v>0</v>
      </c>
      <c r="AK69" s="24" t="n">
        <v>0</v>
      </c>
      <c r="AL69" s="24" t="n">
        <v>0</v>
      </c>
      <c r="AM69" s="24" t="n">
        <v>0</v>
      </c>
      <c r="AN69" s="24" t="n">
        <v>0</v>
      </c>
      <c r="AO69" s="15" t="str">
        <v>SIN_UNION</v>
      </c>
      <c r="AP69" s="15" t="str">
        <v>PENDIENTE</v>
      </c>
      <c r="AQ69" s="15" t="str">
        <v>NUEVO_2027_SIN_ALUMNOS</v>
      </c>
      <c r="AR69" s="15" t="str">
        <v>E</v>
      </c>
      <c r="AS69" s="15" t="str">
        <v>PUBLICA</v>
      </c>
      <c r="AT69" s="15" t="str">
        <v>E</v>
      </c>
      <c r="AU69" s="15" t="str">
        <v>E</v>
      </c>
      <c r="AV69" s="15" t="n">
        <v>4</v>
      </c>
      <c r="AW69" s="15" t="str">
        <v>E: sin historia pública</v>
      </c>
      <c r="AX69" s="15" t="n">
        <v>2027</v>
      </c>
      <c r="AY69" s="15" t="str">
        <v>H002; estudios no acreditados</v>
      </c>
    </row>
    <row r="70" ht="27" customHeight="1">
      <c r="A70" s="14" t="str">
        <v>I162S2C142J4V1</v>
      </c>
      <c r="B70" s="14" t="str">
        <v>TECNICO EN OPERACIONES MINERAS</v>
      </c>
      <c r="C70" s="14" t="str">
        <v>2</v>
      </c>
      <c r="D70" s="14" t="str">
        <v>4</v>
      </c>
      <c r="E70" s="14" t="str">
        <v>1</v>
      </c>
      <c r="F70" s="14" t="str">
        <v>No presencial</v>
      </c>
      <c r="G70" s="14" t="str">
        <v>Pregrado</v>
      </c>
      <c r="H70" s="14" t="str">
        <v>Plan Regular</v>
      </c>
      <c r="I70" s="21" t="str">
        <v>n.a.</v>
      </c>
      <c r="J70" s="21" t="str">
        <v>n.a.</v>
      </c>
      <c r="K70" s="22" t="n">
        <v>0</v>
      </c>
      <c r="L70" s="22" t="n">
        <v>0</v>
      </c>
      <c r="M70" s="22" t="n">
        <v>0</v>
      </c>
      <c r="N70" s="22" t="n">
        <v>0</v>
      </c>
      <c r="O70" s="22" t="n">
        <v>0</v>
      </c>
      <c r="P70" s="22" t="n">
        <v>0</v>
      </c>
      <c r="Q70" s="22" t="n">
        <v>0</v>
      </c>
      <c r="R70" s="22" t="n">
        <v>0</v>
      </c>
      <c r="S70" s="22" t="n">
        <v>0</v>
      </c>
      <c r="T70" s="22" t="n">
        <v>0</v>
      </c>
      <c r="U70" s="22" t="n">
        <v>0</v>
      </c>
      <c r="V70" s="22" t="n">
        <v>0</v>
      </c>
      <c r="W70" s="22" t="n">
        <v>0</v>
      </c>
      <c r="X70" s="22" t="n">
        <v>0</v>
      </c>
      <c r="Y70" s="22" t="n">
        <v>0</v>
      </c>
      <c r="Z70" s="22" t="n">
        <v>0</v>
      </c>
      <c r="AA70" s="22" t="n">
        <v>0</v>
      </c>
      <c r="AB70" s="22" t="n">
        <v>0</v>
      </c>
      <c r="AC70" s="22" t="n">
        <v>0</v>
      </c>
      <c r="AD70" s="22" t="n">
        <v>0</v>
      </c>
      <c r="AE70" s="14" t="str">
        <v>1</v>
      </c>
      <c r="AF70" s="14" t="str">
        <v>E</v>
      </c>
      <c r="AG70" s="14" t="str">
        <v>E: sin plan</v>
      </c>
      <c r="AH70" s="14" t="str">
        <v>E</v>
      </c>
      <c r="AI70" s="14" t="str">
        <v>E</v>
      </c>
      <c r="AJ70" s="22" t="n">
        <v>0</v>
      </c>
      <c r="AK70" s="22" t="n">
        <v>0</v>
      </c>
      <c r="AL70" s="22" t="n">
        <v>0</v>
      </c>
      <c r="AM70" s="22" t="n">
        <v>0</v>
      </c>
      <c r="AN70" s="22" t="n">
        <v>0</v>
      </c>
      <c r="AO70" s="14" t="str">
        <v>SIN_UNION</v>
      </c>
      <c r="AP70" s="14" t="str">
        <v>PENDIENTE</v>
      </c>
      <c r="AQ70" s="14" t="str">
        <v>NUEVO_2027_SIN_ALUMNOS</v>
      </c>
      <c r="AR70" s="14" t="str">
        <v>E</v>
      </c>
      <c r="AS70" s="14" t="str">
        <v>PUBLICA</v>
      </c>
      <c r="AT70" s="14" t="str">
        <v>E</v>
      </c>
      <c r="AU70" s="14" t="str">
        <v>E</v>
      </c>
      <c r="AV70" s="14" t="n">
        <v>4</v>
      </c>
      <c r="AW70" s="14" t="str">
        <v>E: sin historia pública</v>
      </c>
      <c r="AX70" s="14" t="n">
        <v>2027</v>
      </c>
      <c r="AY70" s="14" t="str">
        <v>H002; estudios no acreditados</v>
      </c>
    </row>
    <row r="71" ht="36" customHeight="1">
      <c r="A71" s="15" t="str">
        <v>I162S2C143J3V1</v>
      </c>
      <c r="B71" s="15" t="str">
        <v>TECNICO VETERINARIO EN CLINICA DE ANIMALES DE COMPAÑIA</v>
      </c>
      <c r="C71" s="15" t="str">
        <v>2</v>
      </c>
      <c r="D71" s="15" t="str">
        <v>3</v>
      </c>
      <c r="E71" s="15" t="str">
        <v>1</v>
      </c>
      <c r="F71" s="15" t="str">
        <v>Semipresencial</v>
      </c>
      <c r="G71" s="15" t="str">
        <v>Pregrado</v>
      </c>
      <c r="H71" s="15" t="str">
        <v>Plan Regular</v>
      </c>
      <c r="I71" s="23" t="str">
        <v>n.a.</v>
      </c>
      <c r="J71" s="23" t="str">
        <v>n.a.</v>
      </c>
      <c r="K71" s="24" t="n">
        <v>0</v>
      </c>
      <c r="L71" s="24" t="n">
        <v>0</v>
      </c>
      <c r="M71" s="24" t="n">
        <v>0</v>
      </c>
      <c r="N71" s="24" t="n">
        <v>0</v>
      </c>
      <c r="O71" s="24" t="n">
        <v>0</v>
      </c>
      <c r="P71" s="24" t="n">
        <v>0</v>
      </c>
      <c r="Q71" s="24" t="n">
        <v>0</v>
      </c>
      <c r="R71" s="24" t="n">
        <v>0</v>
      </c>
      <c r="S71" s="24" t="n">
        <v>0</v>
      </c>
      <c r="T71" s="24" t="n">
        <v>0</v>
      </c>
      <c r="U71" s="24" t="n">
        <v>0</v>
      </c>
      <c r="V71" s="24" t="n">
        <v>0</v>
      </c>
      <c r="W71" s="24" t="n">
        <v>0</v>
      </c>
      <c r="X71" s="24" t="n">
        <v>0</v>
      </c>
      <c r="Y71" s="24" t="n">
        <v>0</v>
      </c>
      <c r="Z71" s="24" t="n">
        <v>0</v>
      </c>
      <c r="AA71" s="24" t="n">
        <v>0</v>
      </c>
      <c r="AB71" s="24" t="n">
        <v>0</v>
      </c>
      <c r="AC71" s="24" t="n">
        <v>0</v>
      </c>
      <c r="AD71" s="24" t="n">
        <v>0</v>
      </c>
      <c r="AE71" s="15" t="str">
        <v>1</v>
      </c>
      <c r="AF71" s="15" t="str">
        <v>E</v>
      </c>
      <c r="AG71" s="15" t="str">
        <v>E: sin plan</v>
      </c>
      <c r="AH71" s="15" t="str">
        <v>E</v>
      </c>
      <c r="AI71" s="15" t="str">
        <v>E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15" t="str">
        <v>SIN_UNION</v>
      </c>
      <c r="AP71" s="15" t="str">
        <v>PENDIENTE</v>
      </c>
      <c r="AQ71" s="15" t="str">
        <v>NUEVO_2027_SIN_ALUMNOS</v>
      </c>
      <c r="AR71" s="15" t="str">
        <v>E</v>
      </c>
      <c r="AS71" s="15" t="str">
        <v>PUBLICA</v>
      </c>
      <c r="AT71" s="15" t="str">
        <v>E</v>
      </c>
      <c r="AU71" s="15" t="str">
        <v>E</v>
      </c>
      <c r="AV71" s="15" t="n">
        <v>5</v>
      </c>
      <c r="AW71" s="15" t="str">
        <v>E: sin historia pública</v>
      </c>
      <c r="AX71" s="15" t="n">
        <v>2027</v>
      </c>
      <c r="AY71" s="15" t="str">
        <v>H002; estudios no acreditados</v>
      </c>
    </row>
    <row r="72" ht="27" customHeight="1">
      <c r="A72" s="14" t="str">
        <v>I162S2C1J1V1</v>
      </c>
      <c r="B72" s="14" t="str">
        <v>INGENIERIA EN INFORMATICA</v>
      </c>
      <c r="C72" s="14" t="str">
        <v>2</v>
      </c>
      <c r="D72" s="14" t="str">
        <v>1</v>
      </c>
      <c r="E72" s="14" t="str">
        <v>1</v>
      </c>
      <c r="F72" s="14" t="str">
        <v>Presencial</v>
      </c>
      <c r="G72" s="14" t="str">
        <v>Pregrado</v>
      </c>
      <c r="H72" s="14" t="str">
        <v>Plan Regular</v>
      </c>
      <c r="I72" s="21" t="n">
        <v>2008</v>
      </c>
      <c r="J72" s="21" t="n">
        <v>2026</v>
      </c>
      <c r="K72" s="22" t="n">
        <v>0</v>
      </c>
      <c r="L72" s="22" t="n">
        <v>28</v>
      </c>
      <c r="M72" s="22" t="n">
        <v>26</v>
      </c>
      <c r="N72" s="22" t="n">
        <v>26</v>
      </c>
      <c r="O72" s="22" t="n">
        <v>20</v>
      </c>
      <c r="P72" s="22" t="n">
        <v>19</v>
      </c>
      <c r="Q72" s="22" t="n">
        <v>41</v>
      </c>
      <c r="R72" s="22" t="n">
        <v>37</v>
      </c>
      <c r="S72" s="22" t="n">
        <v>36</v>
      </c>
      <c r="T72" s="22" t="n">
        <v>33</v>
      </c>
      <c r="U72" s="22" t="n">
        <v>41</v>
      </c>
      <c r="V72" s="22" t="n">
        <v>34</v>
      </c>
      <c r="W72" s="22" t="n">
        <v>26</v>
      </c>
      <c r="X72" s="22" t="n">
        <v>7</v>
      </c>
      <c r="Y72" s="22" t="n">
        <v>9</v>
      </c>
      <c r="Z72" s="22" t="n">
        <v>0</v>
      </c>
      <c r="AA72" s="22" t="n">
        <v>0</v>
      </c>
      <c r="AB72" s="22" t="n">
        <v>0</v>
      </c>
      <c r="AC72" s="22" t="n">
        <v>7</v>
      </c>
      <c r="AD72" s="22" t="n">
        <v>2</v>
      </c>
      <c r="AE72" s="14" t="str">
        <v>2</v>
      </c>
      <c r="AF72" s="14" t="str">
        <v>IINF</v>
      </c>
      <c r="AG72" s="14" t="str">
        <v>IINF20241</v>
      </c>
      <c r="AH72" s="14" t="str">
        <v>REGULAR</v>
      </c>
      <c r="AI72" s="14" t="str">
        <v>C</v>
      </c>
      <c r="AJ72" s="22" t="n">
        <v>0</v>
      </c>
      <c r="AK72" s="22" t="n">
        <v>0</v>
      </c>
      <c r="AL72" s="22" t="n">
        <v>0</v>
      </c>
      <c r="AM72" s="22" t="n">
        <v>6</v>
      </c>
      <c r="AN72" s="22" t="n">
        <v>0</v>
      </c>
      <c r="AO72" s="14" t="str">
        <v>CRUCE_PERSONA_MU_2022_2026</v>
      </c>
      <c r="AP72" s="14" t="str">
        <v>UNIDO</v>
      </c>
      <c r="AQ72" s="14" t="str">
        <v>UNIDO</v>
      </c>
      <c r="AR72" s="14" t="str">
        <v>B/C</v>
      </c>
      <c r="AS72" s="14" t="str">
        <v>MATRIZ / PUBLICA</v>
      </c>
      <c r="AT72" s="14" t="str">
        <v>ANUAL</v>
      </c>
      <c r="AU72" s="14" t="n">
        <v>8</v>
      </c>
      <c r="AV72" s="14" t="n">
        <v>8</v>
      </c>
      <c r="AW72" s="14" t="str">
        <v>VERSIONES_POR_DURACION_O_TIPO</v>
      </c>
      <c r="AX72" s="14" t="n">
        <v>2026</v>
      </c>
      <c r="AY72" s="14" t="str">
        <v>PUBLICA; última matrícula</v>
      </c>
    </row>
    <row r="73" ht="27" customHeight="1">
      <c r="A73" s="15" t="str">
        <v>I162S2C1J1V2</v>
      </c>
      <c r="B73" s="15" t="str">
        <v>INGENIERIA EN INFORMATICA</v>
      </c>
      <c r="C73" s="15" t="str">
        <v>2</v>
      </c>
      <c r="D73" s="15" t="str">
        <v>1</v>
      </c>
      <c r="E73" s="15" t="str">
        <v>2</v>
      </c>
      <c r="F73" s="15" t="str">
        <v>Presencial</v>
      </c>
      <c r="G73" s="15" t="str">
        <v>Pregrado</v>
      </c>
      <c r="H73" s="15" t="str">
        <v>Plan Regular</v>
      </c>
      <c r="I73" s="23" t="n">
        <v>2019</v>
      </c>
      <c r="J73" s="23" t="n">
        <v>2026</v>
      </c>
      <c r="K73" s="24" t="n">
        <v>0</v>
      </c>
      <c r="L73" s="24" t="n">
        <v>0</v>
      </c>
      <c r="M73" s="24" t="n">
        <v>0</v>
      </c>
      <c r="N73" s="24" t="n">
        <v>0</v>
      </c>
      <c r="O73" s="24" t="n">
        <v>0</v>
      </c>
      <c r="P73" s="24" t="n">
        <v>0</v>
      </c>
      <c r="Q73" s="24" t="n">
        <v>0</v>
      </c>
      <c r="R73" s="24" t="n">
        <v>0</v>
      </c>
      <c r="S73" s="24" t="n">
        <v>0</v>
      </c>
      <c r="T73" s="24" t="n">
        <v>0</v>
      </c>
      <c r="U73" s="24" t="n">
        <v>0</v>
      </c>
      <c r="V73" s="24" t="n">
        <v>0</v>
      </c>
      <c r="W73" s="24" t="n">
        <v>17</v>
      </c>
      <c r="X73" s="24" t="n">
        <v>23</v>
      </c>
      <c r="Y73" s="24" t="n">
        <v>10</v>
      </c>
      <c r="Z73" s="24" t="n">
        <v>19</v>
      </c>
      <c r="AA73" s="24" t="n">
        <v>4</v>
      </c>
      <c r="AB73" s="24" t="n">
        <v>16</v>
      </c>
      <c r="AC73" s="24" t="n">
        <v>23</v>
      </c>
      <c r="AD73" s="24" t="n">
        <v>34</v>
      </c>
      <c r="AE73" s="15" t="str">
        <v>2</v>
      </c>
      <c r="AF73" s="15" t="str">
        <v>IECIRE</v>
      </c>
      <c r="AG73" s="15" t="str">
        <v>IECIRE20191</v>
      </c>
      <c r="AH73" s="15" t="str">
        <v>REGULAR</v>
      </c>
      <c r="AI73" s="15" t="str">
        <v>C</v>
      </c>
      <c r="AJ73" s="24" t="n">
        <v>2</v>
      </c>
      <c r="AK73" s="24" t="n">
        <v>0</v>
      </c>
      <c r="AL73" s="24" t="n">
        <v>0</v>
      </c>
      <c r="AM73" s="24" t="n">
        <v>0</v>
      </c>
      <c r="AN73" s="24" t="n">
        <v>0</v>
      </c>
      <c r="AO73" s="15" t="str">
        <v>CRUCE_PERSONA_MU_2022_2026</v>
      </c>
      <c r="AP73" s="15" t="str">
        <v>UNIDO</v>
      </c>
      <c r="AQ73" s="15" t="str">
        <v>UNIDO</v>
      </c>
      <c r="AR73" s="15" t="str">
        <v>B/C</v>
      </c>
      <c r="AS73" s="15" t="str">
        <v>MATRIZ / PUBLICA</v>
      </c>
      <c r="AT73" s="15" t="str">
        <v>ANUAL</v>
      </c>
      <c r="AU73" s="15" t="n">
        <v>8</v>
      </c>
      <c r="AV73" s="15" t="n">
        <v>8</v>
      </c>
      <c r="AW73" s="15" t="str">
        <v>VERSIONES_POR_DURACION_O_TIPO</v>
      </c>
      <c r="AX73" s="15" t="n">
        <v>2026</v>
      </c>
      <c r="AY73" s="15" t="str">
        <v>PUBLICA; última matrícula</v>
      </c>
    </row>
    <row r="74" ht="27" customHeight="1">
      <c r="A74" s="14" t="str">
        <v>I162S2C1J1V2</v>
      </c>
      <c r="B74" s="14" t="str">
        <v>INGENIERIA EN INFORMATICA</v>
      </c>
      <c r="C74" s="14" t="str">
        <v>2</v>
      </c>
      <c r="D74" s="14" t="str">
        <v>1</v>
      </c>
      <c r="E74" s="14" t="str">
        <v>2</v>
      </c>
      <c r="F74" s="14" t="str">
        <v>Presencial</v>
      </c>
      <c r="G74" s="14" t="str">
        <v>Pregrado</v>
      </c>
      <c r="H74" s="14" t="str">
        <v>Plan Regular</v>
      </c>
      <c r="I74" s="21" t="n">
        <v>2019</v>
      </c>
      <c r="J74" s="21" t="n">
        <v>2026</v>
      </c>
      <c r="K74" s="22" t="n">
        <v>0</v>
      </c>
      <c r="L74" s="22" t="n">
        <v>0</v>
      </c>
      <c r="M74" s="22" t="n">
        <v>0</v>
      </c>
      <c r="N74" s="22" t="n">
        <v>0</v>
      </c>
      <c r="O74" s="22" t="n">
        <v>0</v>
      </c>
      <c r="P74" s="22" t="n">
        <v>0</v>
      </c>
      <c r="Q74" s="22" t="n">
        <v>0</v>
      </c>
      <c r="R74" s="22" t="n">
        <v>0</v>
      </c>
      <c r="S74" s="22" t="n">
        <v>0</v>
      </c>
      <c r="T74" s="22" t="n">
        <v>0</v>
      </c>
      <c r="U74" s="22" t="n">
        <v>0</v>
      </c>
      <c r="V74" s="22" t="n">
        <v>0</v>
      </c>
      <c r="W74" s="22" t="n">
        <v>17</v>
      </c>
      <c r="X74" s="22" t="n">
        <v>23</v>
      </c>
      <c r="Y74" s="22" t="n">
        <v>10</v>
      </c>
      <c r="Z74" s="22" t="n">
        <v>19</v>
      </c>
      <c r="AA74" s="22" t="n">
        <v>4</v>
      </c>
      <c r="AB74" s="22" t="n">
        <v>16</v>
      </c>
      <c r="AC74" s="22" t="n">
        <v>23</v>
      </c>
      <c r="AD74" s="22" t="n">
        <v>34</v>
      </c>
      <c r="AE74" s="14" t="str">
        <v>2</v>
      </c>
      <c r="AF74" s="14" t="str">
        <v>IECIRE</v>
      </c>
      <c r="AG74" s="14" t="str">
        <v>IECIRE2020</v>
      </c>
      <c r="AH74" s="14" t="str">
        <v>REGULAR</v>
      </c>
      <c r="AI74" s="14" t="str">
        <v>C</v>
      </c>
      <c r="AJ74" s="22" t="n">
        <v>2</v>
      </c>
      <c r="AK74" s="22" t="n">
        <v>0</v>
      </c>
      <c r="AL74" s="22" t="n">
        <v>0</v>
      </c>
      <c r="AM74" s="22" t="n">
        <v>0</v>
      </c>
      <c r="AN74" s="22" t="n">
        <v>0</v>
      </c>
      <c r="AO74" s="14" t="str">
        <v>CRUCE_PERSONA_MU_2022_2026</v>
      </c>
      <c r="AP74" s="14" t="str">
        <v>UNIDO</v>
      </c>
      <c r="AQ74" s="14" t="str">
        <v>UNIDO</v>
      </c>
      <c r="AR74" s="14" t="str">
        <v>B/C</v>
      </c>
      <c r="AS74" s="14" t="str">
        <v>MATRIZ / PUBLICA</v>
      </c>
      <c r="AT74" s="14" t="str">
        <v>ANUAL</v>
      </c>
      <c r="AU74" s="14" t="n">
        <v>8</v>
      </c>
      <c r="AV74" s="14" t="n">
        <v>8</v>
      </c>
      <c r="AW74" s="14" t="str">
        <v>VERSIONES_POR_DURACION_O_TIPO</v>
      </c>
      <c r="AX74" s="14" t="n">
        <v>2026</v>
      </c>
      <c r="AY74" s="14" t="str">
        <v>PUBLICA; última matrícula</v>
      </c>
    </row>
    <row r="75" ht="27" customHeight="1">
      <c r="A75" s="15" t="str">
        <v>I162S2C1J1V2</v>
      </c>
      <c r="B75" s="15" t="str">
        <v>INGENIERIA EN INFORMATICA</v>
      </c>
      <c r="C75" s="15" t="str">
        <v>2</v>
      </c>
      <c r="D75" s="15" t="str">
        <v>1</v>
      </c>
      <c r="E75" s="15" t="str">
        <v>2</v>
      </c>
      <c r="F75" s="15" t="str">
        <v>Presencial</v>
      </c>
      <c r="G75" s="15" t="str">
        <v>Pregrado</v>
      </c>
      <c r="H75" s="15" t="str">
        <v>Plan Regular</v>
      </c>
      <c r="I75" s="23" t="n">
        <v>2019</v>
      </c>
      <c r="J75" s="23" t="n">
        <v>2026</v>
      </c>
      <c r="K75" s="24" t="n">
        <v>0</v>
      </c>
      <c r="L75" s="24" t="n">
        <v>0</v>
      </c>
      <c r="M75" s="24" t="n">
        <v>0</v>
      </c>
      <c r="N75" s="24" t="n">
        <v>0</v>
      </c>
      <c r="O75" s="24" t="n">
        <v>0</v>
      </c>
      <c r="P75" s="24" t="n">
        <v>0</v>
      </c>
      <c r="Q75" s="24" t="n">
        <v>0</v>
      </c>
      <c r="R75" s="24" t="n">
        <v>0</v>
      </c>
      <c r="S75" s="24" t="n">
        <v>0</v>
      </c>
      <c r="T75" s="24" t="n">
        <v>0</v>
      </c>
      <c r="U75" s="24" t="n">
        <v>0</v>
      </c>
      <c r="V75" s="24" t="n">
        <v>0</v>
      </c>
      <c r="W75" s="24" t="n">
        <v>17</v>
      </c>
      <c r="X75" s="24" t="n">
        <v>23</v>
      </c>
      <c r="Y75" s="24" t="n">
        <v>10</v>
      </c>
      <c r="Z75" s="24" t="n">
        <v>19</v>
      </c>
      <c r="AA75" s="24" t="n">
        <v>4</v>
      </c>
      <c r="AB75" s="24" t="n">
        <v>16</v>
      </c>
      <c r="AC75" s="24" t="n">
        <v>23</v>
      </c>
      <c r="AD75" s="24" t="n">
        <v>34</v>
      </c>
      <c r="AE75" s="15" t="str">
        <v>2</v>
      </c>
      <c r="AF75" s="15" t="str">
        <v>IECIRE</v>
      </c>
      <c r="AG75" s="15" t="str">
        <v>IECIRE20211</v>
      </c>
      <c r="AH75" s="15" t="str">
        <v>REGULAR</v>
      </c>
      <c r="AI75" s="15" t="str">
        <v>C</v>
      </c>
      <c r="AJ75" s="24" t="n">
        <v>9</v>
      </c>
      <c r="AK75" s="24" t="n">
        <v>4</v>
      </c>
      <c r="AL75" s="24" t="n">
        <v>0</v>
      </c>
      <c r="AM75" s="24" t="n">
        <v>0</v>
      </c>
      <c r="AN75" s="24" t="n">
        <v>0</v>
      </c>
      <c r="AO75" s="15" t="str">
        <v>CRUCE_PERSONA_MU_2022_2026</v>
      </c>
      <c r="AP75" s="15" t="str">
        <v>UNIDO</v>
      </c>
      <c r="AQ75" s="15" t="str">
        <v>UNIDO</v>
      </c>
      <c r="AR75" s="15" t="str">
        <v>B/C</v>
      </c>
      <c r="AS75" s="15" t="str">
        <v>MATRIZ / PUBLICA</v>
      </c>
      <c r="AT75" s="15" t="str">
        <v>ANUAL</v>
      </c>
      <c r="AU75" s="15" t="n">
        <v>8</v>
      </c>
      <c r="AV75" s="15" t="n">
        <v>8</v>
      </c>
      <c r="AW75" s="15" t="str">
        <v>VERSIONES_POR_DURACION_O_TIPO</v>
      </c>
      <c r="AX75" s="15" t="n">
        <v>2026</v>
      </c>
      <c r="AY75" s="15" t="str">
        <v>PUBLICA; última matrícula</v>
      </c>
    </row>
    <row r="76" ht="27" customHeight="1">
      <c r="A76" s="14" t="str">
        <v>I162S2C1J1V2</v>
      </c>
      <c r="B76" s="14" t="str">
        <v>INGENIERIA EN INFORMATICA</v>
      </c>
      <c r="C76" s="14" t="str">
        <v>2</v>
      </c>
      <c r="D76" s="14" t="str">
        <v>1</v>
      </c>
      <c r="E76" s="14" t="str">
        <v>2</v>
      </c>
      <c r="F76" s="14" t="str">
        <v>Presencial</v>
      </c>
      <c r="G76" s="14" t="str">
        <v>Pregrado</v>
      </c>
      <c r="H76" s="14" t="str">
        <v>Plan Regular</v>
      </c>
      <c r="I76" s="21" t="n">
        <v>2019</v>
      </c>
      <c r="J76" s="21" t="n">
        <v>2026</v>
      </c>
      <c r="K76" s="22" t="n">
        <v>0</v>
      </c>
      <c r="L76" s="22" t="n">
        <v>0</v>
      </c>
      <c r="M76" s="22" t="n">
        <v>0</v>
      </c>
      <c r="N76" s="22" t="n">
        <v>0</v>
      </c>
      <c r="O76" s="22" t="n">
        <v>0</v>
      </c>
      <c r="P76" s="22" t="n">
        <v>0</v>
      </c>
      <c r="Q76" s="22" t="n">
        <v>0</v>
      </c>
      <c r="R76" s="22" t="n">
        <v>0</v>
      </c>
      <c r="S76" s="22" t="n">
        <v>0</v>
      </c>
      <c r="T76" s="22" t="n">
        <v>0</v>
      </c>
      <c r="U76" s="22" t="n">
        <v>0</v>
      </c>
      <c r="V76" s="22" t="n">
        <v>0</v>
      </c>
      <c r="W76" s="22" t="n">
        <v>17</v>
      </c>
      <c r="X76" s="22" t="n">
        <v>23</v>
      </c>
      <c r="Y76" s="22" t="n">
        <v>10</v>
      </c>
      <c r="Z76" s="22" t="n">
        <v>19</v>
      </c>
      <c r="AA76" s="22" t="n">
        <v>4</v>
      </c>
      <c r="AB76" s="22" t="n">
        <v>16</v>
      </c>
      <c r="AC76" s="22" t="n">
        <v>23</v>
      </c>
      <c r="AD76" s="22" t="n">
        <v>34</v>
      </c>
      <c r="AE76" s="14" t="str">
        <v>2</v>
      </c>
      <c r="AF76" s="14" t="str">
        <v>IINF</v>
      </c>
      <c r="AG76" s="14" t="str">
        <v>IINF20241</v>
      </c>
      <c r="AH76" s="14" t="str">
        <v>REGULAR</v>
      </c>
      <c r="AI76" s="14" t="str">
        <v>C</v>
      </c>
      <c r="AJ76" s="22" t="n">
        <v>0</v>
      </c>
      <c r="AK76" s="22" t="n">
        <v>0</v>
      </c>
      <c r="AL76" s="22" t="n">
        <v>13</v>
      </c>
      <c r="AM76" s="22" t="n">
        <v>18</v>
      </c>
      <c r="AN76" s="22" t="n">
        <v>29</v>
      </c>
      <c r="AO76" s="14" t="str">
        <v>CRUCE_PERSONA_MU_2022_2026</v>
      </c>
      <c r="AP76" s="14" t="str">
        <v>UNIDO</v>
      </c>
      <c r="AQ76" s="14" t="str">
        <v>UNIDO</v>
      </c>
      <c r="AR76" s="14" t="str">
        <v>B/C</v>
      </c>
      <c r="AS76" s="14" t="str">
        <v>MATRIZ / PUBLICA</v>
      </c>
      <c r="AT76" s="14" t="str">
        <v>ANUAL</v>
      </c>
      <c r="AU76" s="14" t="n">
        <v>8</v>
      </c>
      <c r="AV76" s="14" t="n">
        <v>8</v>
      </c>
      <c r="AW76" s="14" t="str">
        <v>VERSIONES_POR_DURACION_O_TIPO</v>
      </c>
      <c r="AX76" s="14" t="n">
        <v>2026</v>
      </c>
      <c r="AY76" s="14" t="str">
        <v>PUBLICA; última matrícula</v>
      </c>
    </row>
    <row r="77" ht="27" customHeight="1">
      <c r="A77" s="15" t="str">
        <v>I162S2C1J1V2</v>
      </c>
      <c r="B77" s="15" t="str">
        <v>INGENIERIA EN INFORMATICA</v>
      </c>
      <c r="C77" s="15" t="str">
        <v>2</v>
      </c>
      <c r="D77" s="15" t="str">
        <v>1</v>
      </c>
      <c r="E77" s="15" t="str">
        <v>2</v>
      </c>
      <c r="F77" s="15" t="str">
        <v>Presencial</v>
      </c>
      <c r="G77" s="15" t="str">
        <v>Pregrado</v>
      </c>
      <c r="H77" s="15" t="str">
        <v>Plan Regular</v>
      </c>
      <c r="I77" s="23" t="n">
        <v>2019</v>
      </c>
      <c r="J77" s="23" t="n">
        <v>2026</v>
      </c>
      <c r="K77" s="24" t="n">
        <v>0</v>
      </c>
      <c r="L77" s="24" t="n">
        <v>0</v>
      </c>
      <c r="M77" s="24" t="n">
        <v>0</v>
      </c>
      <c r="N77" s="24" t="n">
        <v>0</v>
      </c>
      <c r="O77" s="24" t="n">
        <v>0</v>
      </c>
      <c r="P77" s="24" t="n">
        <v>0</v>
      </c>
      <c r="Q77" s="24" t="n">
        <v>0</v>
      </c>
      <c r="R77" s="24" t="n">
        <v>0</v>
      </c>
      <c r="S77" s="24" t="n">
        <v>0</v>
      </c>
      <c r="T77" s="24" t="n">
        <v>0</v>
      </c>
      <c r="U77" s="24" t="n">
        <v>0</v>
      </c>
      <c r="V77" s="24" t="n">
        <v>0</v>
      </c>
      <c r="W77" s="24" t="n">
        <v>17</v>
      </c>
      <c r="X77" s="24" t="n">
        <v>23</v>
      </c>
      <c r="Y77" s="24" t="n">
        <v>10</v>
      </c>
      <c r="Z77" s="24" t="n">
        <v>19</v>
      </c>
      <c r="AA77" s="24" t="n">
        <v>4</v>
      </c>
      <c r="AB77" s="24" t="n">
        <v>16</v>
      </c>
      <c r="AC77" s="24" t="n">
        <v>23</v>
      </c>
      <c r="AD77" s="24" t="n">
        <v>34</v>
      </c>
      <c r="AE77" s="15" t="str">
        <v>2</v>
      </c>
      <c r="AF77" s="15" t="str">
        <v>IINF</v>
      </c>
      <c r="AG77" s="15" t="str">
        <v>PLAN_NO_OBSERVADO</v>
      </c>
      <c r="AH77" s="15" t="str">
        <v>E</v>
      </c>
      <c r="AI77" s="15" t="str">
        <v>E</v>
      </c>
      <c r="AJ77" s="24" t="n">
        <v>0</v>
      </c>
      <c r="AK77" s="24" t="n">
        <v>0</v>
      </c>
      <c r="AL77" s="24" t="n">
        <v>0</v>
      </c>
      <c r="AM77" s="24" t="n">
        <v>0</v>
      </c>
      <c r="AN77" s="24" t="n">
        <v>3</v>
      </c>
      <c r="AO77" s="15" t="str">
        <v>CRUCE_PERSONA_MU_2022_2026</v>
      </c>
      <c r="AP77" s="15" t="str">
        <v>PENDIENTE</v>
      </c>
      <c r="AQ77" s="15" t="str">
        <v>PLAN_NO_OBSERVADO</v>
      </c>
      <c r="AR77" s="15" t="str">
        <v>E</v>
      </c>
      <c r="AS77" s="15" t="str">
        <v>MATRIZ / PUBLICA</v>
      </c>
      <c r="AT77" s="15" t="str">
        <v>SIN_ACTIVIDAD_ANUAL; ENLACE_EXPEDIENTE_CONSERVADO</v>
      </c>
      <c r="AU77" s="15" t="n">
        <v>8</v>
      </c>
      <c r="AV77" s="15" t="n">
        <v>8</v>
      </c>
      <c r="AW77" s="15" t="str">
        <v>VERSIONES_POR_DURACION_O_TIPO</v>
      </c>
      <c r="AX77" s="15" t="n">
        <v>2026</v>
      </c>
      <c r="AY77" s="15" t="str">
        <v>PUBLICA; última matrícula</v>
      </c>
    </row>
    <row r="78" ht="27" customHeight="1">
      <c r="A78" s="14" t="str">
        <v>I162S2C1J2V1</v>
      </c>
      <c r="B78" s="14" t="str">
        <v>INGENIERIA EN INFORMATICA</v>
      </c>
      <c r="C78" s="14" t="str">
        <v>2</v>
      </c>
      <c r="D78" s="14" t="str">
        <v>2</v>
      </c>
      <c r="E78" s="14" t="str">
        <v>1</v>
      </c>
      <c r="F78" s="14" t="str">
        <v>Presencial</v>
      </c>
      <c r="G78" s="14" t="str">
        <v>Pregrado</v>
      </c>
      <c r="H78" s="14" t="str">
        <v>Plan Regular</v>
      </c>
      <c r="I78" s="21" t="n">
        <v>2007</v>
      </c>
      <c r="J78" s="21" t="n">
        <v>2025</v>
      </c>
      <c r="K78" s="22" t="n">
        <v>158</v>
      </c>
      <c r="L78" s="22" t="n">
        <v>122</v>
      </c>
      <c r="M78" s="22" t="n">
        <v>104</v>
      </c>
      <c r="N78" s="22" t="n">
        <v>119</v>
      </c>
      <c r="O78" s="22" t="n">
        <v>132</v>
      </c>
      <c r="P78" s="22" t="n">
        <v>139</v>
      </c>
      <c r="Q78" s="22" t="n">
        <v>166</v>
      </c>
      <c r="R78" s="22" t="n">
        <v>160</v>
      </c>
      <c r="S78" s="22" t="n">
        <v>170</v>
      </c>
      <c r="T78" s="22" t="n">
        <v>121</v>
      </c>
      <c r="U78" s="22" t="n">
        <v>112</v>
      </c>
      <c r="V78" s="22" t="n">
        <v>84</v>
      </c>
      <c r="W78" s="22" t="n">
        <v>53</v>
      </c>
      <c r="X78" s="22" t="n">
        <v>54</v>
      </c>
      <c r="Y78" s="22" t="n">
        <v>35</v>
      </c>
      <c r="Z78" s="22" t="n">
        <v>0</v>
      </c>
      <c r="AA78" s="22" t="n">
        <v>0</v>
      </c>
      <c r="AB78" s="22" t="n">
        <v>0</v>
      </c>
      <c r="AC78" s="22" t="n">
        <v>9</v>
      </c>
      <c r="AD78" s="22" t="n">
        <v>0</v>
      </c>
      <c r="AE78" s="14" t="str">
        <v>2</v>
      </c>
      <c r="AF78" s="14" t="str">
        <v>IINF</v>
      </c>
      <c r="AG78" s="14" t="str">
        <v>IINF20241</v>
      </c>
      <c r="AH78" s="14" t="str">
        <v>REGULAR</v>
      </c>
      <c r="AI78" s="14" t="str">
        <v>C</v>
      </c>
      <c r="AJ78" s="22" t="n">
        <v>0</v>
      </c>
      <c r="AK78" s="22" t="n">
        <v>0</v>
      </c>
      <c r="AL78" s="22" t="n">
        <v>0</v>
      </c>
      <c r="AM78" s="22" t="n">
        <v>7</v>
      </c>
      <c r="AN78" s="22" t="n">
        <v>0</v>
      </c>
      <c r="AO78" s="14" t="str">
        <v>CRUCE_PERSONA_MU_2022_2026</v>
      </c>
      <c r="AP78" s="14" t="str">
        <v>UNIDO</v>
      </c>
      <c r="AQ78" s="14" t="str">
        <v>UNIDO</v>
      </c>
      <c r="AR78" s="14" t="str">
        <v>B/C</v>
      </c>
      <c r="AS78" s="14" t="str">
        <v>MATRIZ / PUBLICA</v>
      </c>
      <c r="AT78" s="14" t="str">
        <v>ANUAL</v>
      </c>
      <c r="AU78" s="14" t="n">
        <v>8</v>
      </c>
      <c r="AV78" s="14" t="n">
        <v>8</v>
      </c>
      <c r="AW78" s="14" t="str">
        <v>VERSIONES_POR_DURACION_O_TIPO</v>
      </c>
      <c r="AX78" s="14" t="n">
        <v>2025</v>
      </c>
      <c r="AY78" s="14" t="str">
        <v>PUBLICA; última matrícula</v>
      </c>
    </row>
    <row r="79" ht="27" customHeight="1">
      <c r="A79" s="15" t="str">
        <v>I162S2C1J2V1</v>
      </c>
      <c r="B79" s="15" t="str">
        <v>INGENIERIA EN INFORMATICA</v>
      </c>
      <c r="C79" s="15" t="str">
        <v>2</v>
      </c>
      <c r="D79" s="15" t="str">
        <v>2</v>
      </c>
      <c r="E79" s="15" t="str">
        <v>1</v>
      </c>
      <c r="F79" s="15" t="str">
        <v>Presencial</v>
      </c>
      <c r="G79" s="15" t="str">
        <v>Pregrado</v>
      </c>
      <c r="H79" s="15" t="str">
        <v>Plan Regular</v>
      </c>
      <c r="I79" s="23" t="n">
        <v>2007</v>
      </c>
      <c r="J79" s="23" t="n">
        <v>2025</v>
      </c>
      <c r="K79" s="24" t="n">
        <v>158</v>
      </c>
      <c r="L79" s="24" t="n">
        <v>122</v>
      </c>
      <c r="M79" s="24" t="n">
        <v>104</v>
      </c>
      <c r="N79" s="24" t="n">
        <v>119</v>
      </c>
      <c r="O79" s="24" t="n">
        <v>132</v>
      </c>
      <c r="P79" s="24" t="n">
        <v>139</v>
      </c>
      <c r="Q79" s="24" t="n">
        <v>166</v>
      </c>
      <c r="R79" s="24" t="n">
        <v>160</v>
      </c>
      <c r="S79" s="24" t="n">
        <v>170</v>
      </c>
      <c r="T79" s="24" t="n">
        <v>121</v>
      </c>
      <c r="U79" s="24" t="n">
        <v>112</v>
      </c>
      <c r="V79" s="24" t="n">
        <v>84</v>
      </c>
      <c r="W79" s="24" t="n">
        <v>53</v>
      </c>
      <c r="X79" s="24" t="n">
        <v>54</v>
      </c>
      <c r="Y79" s="24" t="n">
        <v>35</v>
      </c>
      <c r="Z79" s="24" t="n">
        <v>0</v>
      </c>
      <c r="AA79" s="24" t="n">
        <v>0</v>
      </c>
      <c r="AB79" s="24" t="n">
        <v>0</v>
      </c>
      <c r="AC79" s="24" t="n">
        <v>9</v>
      </c>
      <c r="AD79" s="24" t="n">
        <v>0</v>
      </c>
      <c r="AE79" s="15" t="str">
        <v>2</v>
      </c>
      <c r="AF79" s="15" t="str">
        <v>IINF</v>
      </c>
      <c r="AG79" s="15" t="str">
        <v>PLAN_NO_OBSERVADO</v>
      </c>
      <c r="AH79" s="15" t="str">
        <v>E</v>
      </c>
      <c r="AI79" s="15" t="str">
        <v>E</v>
      </c>
      <c r="AJ79" s="24" t="n">
        <v>0</v>
      </c>
      <c r="AK79" s="24" t="n">
        <v>0</v>
      </c>
      <c r="AL79" s="24" t="n">
        <v>0</v>
      </c>
      <c r="AM79" s="24" t="n">
        <v>1</v>
      </c>
      <c r="AN79" s="24" t="n">
        <v>0</v>
      </c>
      <c r="AO79" s="15" t="str">
        <v>CRUCE_PERSONA_MU_2022_2026</v>
      </c>
      <c r="AP79" s="15" t="str">
        <v>PENDIENTE</v>
      </c>
      <c r="AQ79" s="15" t="str">
        <v>PLAN_NO_OBSERVADO</v>
      </c>
      <c r="AR79" s="15" t="str">
        <v>E</v>
      </c>
      <c r="AS79" s="15" t="str">
        <v>MATRIZ / PUBLICA</v>
      </c>
      <c r="AT79" s="15" t="str">
        <v>SIN_ACTIVIDAD_ANUAL; ENLACE_EXPEDIENTE_CONSERVADO</v>
      </c>
      <c r="AU79" s="15" t="n">
        <v>8</v>
      </c>
      <c r="AV79" s="15" t="n">
        <v>8</v>
      </c>
      <c r="AW79" s="15" t="str">
        <v>VERSIONES_POR_DURACION_O_TIPO</v>
      </c>
      <c r="AX79" s="15" t="n">
        <v>2025</v>
      </c>
      <c r="AY79" s="15" t="str">
        <v>PUBLICA; última matrícula</v>
      </c>
    </row>
    <row r="80" ht="36" customHeight="1">
      <c r="A80" s="14" t="str">
        <v>I162S2C1J2V2</v>
      </c>
      <c r="B80" s="14" t="str">
        <v>INGENIERIA EN INFORMATICA</v>
      </c>
      <c r="C80" s="14" t="str">
        <v>2</v>
      </c>
      <c r="D80" s="14" t="str">
        <v>2</v>
      </c>
      <c r="E80" s="14" t="str">
        <v>2</v>
      </c>
      <c r="F80" s="14" t="str">
        <v>Presencial</v>
      </c>
      <c r="G80" s="14" t="str">
        <v>Pregrado</v>
      </c>
      <c r="H80" s="14" t="str">
        <v>Plan Regular de Continuidad</v>
      </c>
      <c r="I80" s="21" t="n">
        <v>2016</v>
      </c>
      <c r="J80" s="21" t="n">
        <v>2021</v>
      </c>
      <c r="K80" s="22" t="n">
        <v>0</v>
      </c>
      <c r="L80" s="22" t="n">
        <v>0</v>
      </c>
      <c r="M80" s="22" t="n">
        <v>0</v>
      </c>
      <c r="N80" s="22" t="n">
        <v>0</v>
      </c>
      <c r="O80" s="22" t="n">
        <v>0</v>
      </c>
      <c r="P80" s="22" t="n">
        <v>0</v>
      </c>
      <c r="Q80" s="22" t="n">
        <v>0</v>
      </c>
      <c r="R80" s="22" t="n">
        <v>0</v>
      </c>
      <c r="S80" s="22" t="n">
        <v>0</v>
      </c>
      <c r="T80" s="22" t="n">
        <v>50</v>
      </c>
      <c r="U80" s="22" t="n">
        <v>64</v>
      </c>
      <c r="V80" s="22" t="n">
        <v>42</v>
      </c>
      <c r="W80" s="22" t="n">
        <v>27</v>
      </c>
      <c r="X80" s="22" t="n">
        <v>5</v>
      </c>
      <c r="Y80" s="22" t="n">
        <v>3</v>
      </c>
      <c r="Z80" s="22" t="n">
        <v>0</v>
      </c>
      <c r="AA80" s="22" t="n">
        <v>0</v>
      </c>
      <c r="AB80" s="22" t="n">
        <v>0</v>
      </c>
      <c r="AC80" s="22" t="n">
        <v>0</v>
      </c>
      <c r="AD80" s="22" t="n">
        <v>0</v>
      </c>
      <c r="AE80" s="14" t="str">
        <v>2</v>
      </c>
      <c r="AF80" s="14" t="str">
        <v>E</v>
      </c>
      <c r="AG80" s="14" t="str">
        <v>E: sin plan</v>
      </c>
      <c r="AH80" s="14" t="str">
        <v>E</v>
      </c>
      <c r="AI80" s="14" t="str">
        <v>E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14" t="str">
        <v>SOLO_SIES_PRE_2022</v>
      </c>
      <c r="AP80" s="14" t="str">
        <v>PENDIENTE</v>
      </c>
      <c r="AQ80" s="14" t="str">
        <v>SOLO_ANTES_2022</v>
      </c>
      <c r="AR80" s="14" t="str">
        <v>E</v>
      </c>
      <c r="AS80" s="14" t="str">
        <v>PUBLICA</v>
      </c>
      <c r="AT80" s="14" t="str">
        <v>E</v>
      </c>
      <c r="AU80" s="14" t="n">
        <v>5</v>
      </c>
      <c r="AV80" s="14" t="n">
        <v>5</v>
      </c>
      <c r="AW80" s="14" t="str">
        <v>VERSIONES_POR_DURACION_O_TIPO</v>
      </c>
      <c r="AX80" s="14" t="n">
        <v>2021</v>
      </c>
      <c r="AY80" s="14" t="str">
        <v>PUBLICA; última matrícula</v>
      </c>
    </row>
    <row r="81" ht="36" customHeight="1">
      <c r="A81" s="15" t="str">
        <v>I162S2C1J2V3</v>
      </c>
      <c r="B81" s="15" t="str">
        <v>INGENIERIA EN INFORMATICA</v>
      </c>
      <c r="C81" s="15" t="str">
        <v>2</v>
      </c>
      <c r="D81" s="15" t="str">
        <v>2</v>
      </c>
      <c r="E81" s="15" t="str">
        <v>3</v>
      </c>
      <c r="F81" s="15" t="str">
        <v>Presencial</v>
      </c>
      <c r="G81" s="15" t="str">
        <v>Pregrado</v>
      </c>
      <c r="H81" s="15" t="str">
        <v>Plan Regular de Continuidad</v>
      </c>
      <c r="I81" s="23" t="n">
        <v>2018</v>
      </c>
      <c r="J81" s="23" t="n">
        <v>2021</v>
      </c>
      <c r="K81" s="24" t="n">
        <v>0</v>
      </c>
      <c r="L81" s="24" t="n">
        <v>0</v>
      </c>
      <c r="M81" s="24" t="n">
        <v>0</v>
      </c>
      <c r="N81" s="24" t="n">
        <v>0</v>
      </c>
      <c r="O81" s="24" t="n">
        <v>0</v>
      </c>
      <c r="P81" s="24" t="n">
        <v>0</v>
      </c>
      <c r="Q81" s="24" t="n">
        <v>0</v>
      </c>
      <c r="R81" s="24" t="n">
        <v>0</v>
      </c>
      <c r="S81" s="24" t="n">
        <v>0</v>
      </c>
      <c r="T81" s="24" t="n">
        <v>0</v>
      </c>
      <c r="U81" s="24" t="n">
        <v>0</v>
      </c>
      <c r="V81" s="24" t="n">
        <v>31</v>
      </c>
      <c r="W81" s="24" t="n">
        <v>38</v>
      </c>
      <c r="X81" s="24" t="n">
        <v>22</v>
      </c>
      <c r="Y81" s="24" t="n">
        <v>7</v>
      </c>
      <c r="Z81" s="24" t="n">
        <v>0</v>
      </c>
      <c r="AA81" s="24" t="n">
        <v>0</v>
      </c>
      <c r="AB81" s="24" t="n">
        <v>0</v>
      </c>
      <c r="AC81" s="24" t="n">
        <v>0</v>
      </c>
      <c r="AD81" s="24" t="n">
        <v>0</v>
      </c>
      <c r="AE81" s="15" t="str">
        <v>2</v>
      </c>
      <c r="AF81" s="15" t="str">
        <v>E</v>
      </c>
      <c r="AG81" s="15" t="str">
        <v>E: sin plan</v>
      </c>
      <c r="AH81" s="15" t="str">
        <v>E</v>
      </c>
      <c r="AI81" s="15" t="str">
        <v>E</v>
      </c>
      <c r="AJ81" s="24" t="n">
        <v>0</v>
      </c>
      <c r="AK81" s="24" t="n">
        <v>0</v>
      </c>
      <c r="AL81" s="24" t="n">
        <v>0</v>
      </c>
      <c r="AM81" s="24" t="n">
        <v>0</v>
      </c>
      <c r="AN81" s="24" t="n">
        <v>0</v>
      </c>
      <c r="AO81" s="15" t="str">
        <v>SOLO_SIES_PRE_2022</v>
      </c>
      <c r="AP81" s="15" t="str">
        <v>PENDIENTE</v>
      </c>
      <c r="AQ81" s="15" t="str">
        <v>SOLO_ANTES_2022</v>
      </c>
      <c r="AR81" s="15" t="str">
        <v>E</v>
      </c>
      <c r="AS81" s="15" t="str">
        <v>PUBLICA</v>
      </c>
      <c r="AT81" s="15" t="str">
        <v>E</v>
      </c>
      <c r="AU81" s="15" t="n">
        <v>4</v>
      </c>
      <c r="AV81" s="15" t="n">
        <v>4</v>
      </c>
      <c r="AW81" s="15" t="str">
        <v>VERSIONES_POR_DURACION_O_TIPO</v>
      </c>
      <c r="AX81" s="15" t="n">
        <v>2021</v>
      </c>
      <c r="AY81" s="15" t="str">
        <v>PUBLICA; última matrícula</v>
      </c>
    </row>
    <row r="82" ht="27" customHeight="1">
      <c r="A82" s="14" t="str">
        <v>I162S2C1J2V4</v>
      </c>
      <c r="B82" s="14" t="str">
        <v>INGENIERIA EN INFORMATICA</v>
      </c>
      <c r="C82" s="14" t="str">
        <v>2</v>
      </c>
      <c r="D82" s="14" t="str">
        <v>2</v>
      </c>
      <c r="E82" s="14" t="str">
        <v>4</v>
      </c>
      <c r="F82" s="14" t="str">
        <v>Presencial</v>
      </c>
      <c r="G82" s="14" t="str">
        <v>Pregrado</v>
      </c>
      <c r="H82" s="14" t="str">
        <v>Plan Regular</v>
      </c>
      <c r="I82" s="21" t="n">
        <v>2019</v>
      </c>
      <c r="J82" s="21" t="n">
        <v>2026</v>
      </c>
      <c r="K82" s="22" t="n">
        <v>0</v>
      </c>
      <c r="L82" s="22" t="n">
        <v>0</v>
      </c>
      <c r="M82" s="22" t="n">
        <v>0</v>
      </c>
      <c r="N82" s="22" t="n">
        <v>0</v>
      </c>
      <c r="O82" s="22" t="n">
        <v>0</v>
      </c>
      <c r="P82" s="22" t="n">
        <v>0</v>
      </c>
      <c r="Q82" s="22" t="n">
        <v>0</v>
      </c>
      <c r="R82" s="22" t="n">
        <v>0</v>
      </c>
      <c r="S82" s="22" t="n">
        <v>0</v>
      </c>
      <c r="T82" s="22" t="n">
        <v>0</v>
      </c>
      <c r="U82" s="22" t="n">
        <v>0</v>
      </c>
      <c r="V82" s="22" t="n">
        <v>0</v>
      </c>
      <c r="W82" s="22" t="n">
        <v>21</v>
      </c>
      <c r="X82" s="22" t="n">
        <v>14</v>
      </c>
      <c r="Y82" s="22" t="n">
        <v>15</v>
      </c>
      <c r="Z82" s="22" t="n">
        <v>29</v>
      </c>
      <c r="AA82" s="22" t="n">
        <v>28</v>
      </c>
      <c r="AB82" s="22" t="n">
        <v>28</v>
      </c>
      <c r="AC82" s="22" t="n">
        <v>24</v>
      </c>
      <c r="AD82" s="22" t="n">
        <v>32</v>
      </c>
      <c r="AE82" s="14" t="str">
        <v>2</v>
      </c>
      <c r="AF82" s="14" t="str">
        <v>IECIRE</v>
      </c>
      <c r="AG82" s="14" t="str">
        <v>IECIRE20191</v>
      </c>
      <c r="AH82" s="14" t="str">
        <v>REGULAR</v>
      </c>
      <c r="AI82" s="14" t="str">
        <v>C</v>
      </c>
      <c r="AJ82" s="22" t="n">
        <v>8</v>
      </c>
      <c r="AK82" s="22" t="n">
        <v>1</v>
      </c>
      <c r="AL82" s="22" t="n">
        <v>0</v>
      </c>
      <c r="AM82" s="22" t="n">
        <v>0</v>
      </c>
      <c r="AN82" s="22" t="n">
        <v>0</v>
      </c>
      <c r="AO82" s="14" t="str">
        <v>CRUCE_PERSONA_MU_2022_2026</v>
      </c>
      <c r="AP82" s="14" t="str">
        <v>UNIDO</v>
      </c>
      <c r="AQ82" s="14" t="str">
        <v>UNIDO</v>
      </c>
      <c r="AR82" s="14" t="str">
        <v>B/C</v>
      </c>
      <c r="AS82" s="14" t="str">
        <v>MATRIZ / PUBLICA</v>
      </c>
      <c r="AT82" s="14" t="str">
        <v>ANUAL</v>
      </c>
      <c r="AU82" s="14" t="n">
        <v>8</v>
      </c>
      <c r="AV82" s="14" t="n">
        <v>8</v>
      </c>
      <c r="AW82" s="14" t="str">
        <v>VERSIONES_POR_DURACION_O_TIPO</v>
      </c>
      <c r="AX82" s="14" t="n">
        <v>2026</v>
      </c>
      <c r="AY82" s="14" t="str">
        <v>PUBLICA; última matrícula</v>
      </c>
    </row>
    <row r="83" ht="27" customHeight="1">
      <c r="A83" s="15" t="str">
        <v>I162S2C1J2V4</v>
      </c>
      <c r="B83" s="15" t="str">
        <v>INGENIERIA EN INFORMATICA</v>
      </c>
      <c r="C83" s="15" t="str">
        <v>2</v>
      </c>
      <c r="D83" s="15" t="str">
        <v>2</v>
      </c>
      <c r="E83" s="15" t="str">
        <v>4</v>
      </c>
      <c r="F83" s="15" t="str">
        <v>Presencial</v>
      </c>
      <c r="G83" s="15" t="str">
        <v>Pregrado</v>
      </c>
      <c r="H83" s="15" t="str">
        <v>Plan Regular</v>
      </c>
      <c r="I83" s="23" t="n">
        <v>2019</v>
      </c>
      <c r="J83" s="23" t="n">
        <v>2026</v>
      </c>
      <c r="K83" s="24" t="n">
        <v>0</v>
      </c>
      <c r="L83" s="24" t="n">
        <v>0</v>
      </c>
      <c r="M83" s="24" t="n">
        <v>0</v>
      </c>
      <c r="N83" s="24" t="n">
        <v>0</v>
      </c>
      <c r="O83" s="24" t="n">
        <v>0</v>
      </c>
      <c r="P83" s="24" t="n">
        <v>0</v>
      </c>
      <c r="Q83" s="24" t="n">
        <v>0</v>
      </c>
      <c r="R83" s="24" t="n">
        <v>0</v>
      </c>
      <c r="S83" s="24" t="n">
        <v>0</v>
      </c>
      <c r="T83" s="24" t="n">
        <v>0</v>
      </c>
      <c r="U83" s="24" t="n">
        <v>0</v>
      </c>
      <c r="V83" s="24" t="n">
        <v>0</v>
      </c>
      <c r="W83" s="24" t="n">
        <v>21</v>
      </c>
      <c r="X83" s="24" t="n">
        <v>14</v>
      </c>
      <c r="Y83" s="24" t="n">
        <v>15</v>
      </c>
      <c r="Z83" s="24" t="n">
        <v>29</v>
      </c>
      <c r="AA83" s="24" t="n">
        <v>28</v>
      </c>
      <c r="AB83" s="24" t="n">
        <v>28</v>
      </c>
      <c r="AC83" s="24" t="n">
        <v>24</v>
      </c>
      <c r="AD83" s="24" t="n">
        <v>32</v>
      </c>
      <c r="AE83" s="15" t="str">
        <v>2</v>
      </c>
      <c r="AF83" s="15" t="str">
        <v>IECIRE</v>
      </c>
      <c r="AG83" s="15" t="str">
        <v>IECIRE2020</v>
      </c>
      <c r="AH83" s="15" t="str">
        <v>REGULAR</v>
      </c>
      <c r="AI83" s="15" t="str">
        <v>C</v>
      </c>
      <c r="AJ83" s="24" t="n">
        <v>4</v>
      </c>
      <c r="AK83" s="24" t="n">
        <v>6</v>
      </c>
      <c r="AL83" s="24" t="n">
        <v>1</v>
      </c>
      <c r="AM83" s="24" t="n">
        <v>0</v>
      </c>
      <c r="AN83" s="24" t="n">
        <v>0</v>
      </c>
      <c r="AO83" s="15" t="str">
        <v>CRUCE_PERSONA_MU_2022_2026</v>
      </c>
      <c r="AP83" s="15" t="str">
        <v>UNIDO</v>
      </c>
      <c r="AQ83" s="15" t="str">
        <v>UNIDO</v>
      </c>
      <c r="AR83" s="15" t="str">
        <v>B/C</v>
      </c>
      <c r="AS83" s="15" t="str">
        <v>MATRIZ / PUBLICA</v>
      </c>
      <c r="AT83" s="15" t="str">
        <v>ANUAL</v>
      </c>
      <c r="AU83" s="15" t="n">
        <v>8</v>
      </c>
      <c r="AV83" s="15" t="n">
        <v>8</v>
      </c>
      <c r="AW83" s="15" t="str">
        <v>VERSIONES_POR_DURACION_O_TIPO</v>
      </c>
      <c r="AX83" s="15" t="n">
        <v>2026</v>
      </c>
      <c r="AY83" s="15" t="str">
        <v>PUBLICA; última matrícula</v>
      </c>
    </row>
    <row r="84" ht="27" customHeight="1">
      <c r="A84" s="14" t="str">
        <v>I162S2C1J2V4</v>
      </c>
      <c r="B84" s="14" t="str">
        <v>INGENIERIA EN INFORMATICA</v>
      </c>
      <c r="C84" s="14" t="str">
        <v>2</v>
      </c>
      <c r="D84" s="14" t="str">
        <v>2</v>
      </c>
      <c r="E84" s="14" t="str">
        <v>4</v>
      </c>
      <c r="F84" s="14" t="str">
        <v>Presencial</v>
      </c>
      <c r="G84" s="14" t="str">
        <v>Pregrado</v>
      </c>
      <c r="H84" s="14" t="str">
        <v>Plan Regular</v>
      </c>
      <c r="I84" s="21" t="n">
        <v>2019</v>
      </c>
      <c r="J84" s="21" t="n">
        <v>2026</v>
      </c>
      <c r="K84" s="22" t="n">
        <v>0</v>
      </c>
      <c r="L84" s="22" t="n">
        <v>0</v>
      </c>
      <c r="M84" s="22" t="n">
        <v>0</v>
      </c>
      <c r="N84" s="22" t="n">
        <v>0</v>
      </c>
      <c r="O84" s="22" t="n">
        <v>0</v>
      </c>
      <c r="P84" s="22" t="n">
        <v>0</v>
      </c>
      <c r="Q84" s="22" t="n">
        <v>0</v>
      </c>
      <c r="R84" s="22" t="n">
        <v>0</v>
      </c>
      <c r="S84" s="22" t="n">
        <v>0</v>
      </c>
      <c r="T84" s="22" t="n">
        <v>0</v>
      </c>
      <c r="U84" s="22" t="n">
        <v>0</v>
      </c>
      <c r="V84" s="22" t="n">
        <v>0</v>
      </c>
      <c r="W84" s="22" t="n">
        <v>21</v>
      </c>
      <c r="X84" s="22" t="n">
        <v>14</v>
      </c>
      <c r="Y84" s="22" t="n">
        <v>15</v>
      </c>
      <c r="Z84" s="22" t="n">
        <v>29</v>
      </c>
      <c r="AA84" s="22" t="n">
        <v>28</v>
      </c>
      <c r="AB84" s="22" t="n">
        <v>28</v>
      </c>
      <c r="AC84" s="22" t="n">
        <v>24</v>
      </c>
      <c r="AD84" s="22" t="n">
        <v>32</v>
      </c>
      <c r="AE84" s="14" t="str">
        <v>2</v>
      </c>
      <c r="AF84" s="14" t="str">
        <v>IECIRE</v>
      </c>
      <c r="AG84" s="14" t="str">
        <v>IECIRE20211</v>
      </c>
      <c r="AH84" s="14" t="str">
        <v>REGULAR</v>
      </c>
      <c r="AI84" s="14" t="str">
        <v>C</v>
      </c>
      <c r="AJ84" s="22" t="n">
        <v>16</v>
      </c>
      <c r="AK84" s="22" t="n">
        <v>20</v>
      </c>
      <c r="AL84" s="22" t="n">
        <v>6</v>
      </c>
      <c r="AM84" s="22" t="n">
        <v>0</v>
      </c>
      <c r="AN84" s="22" t="n">
        <v>0</v>
      </c>
      <c r="AO84" s="14" t="str">
        <v>CRUCE_PERSONA_MU_2022_2026</v>
      </c>
      <c r="AP84" s="14" t="str">
        <v>UNIDO</v>
      </c>
      <c r="AQ84" s="14" t="str">
        <v>UNIDO</v>
      </c>
      <c r="AR84" s="14" t="str">
        <v>B/C</v>
      </c>
      <c r="AS84" s="14" t="str">
        <v>MATRIZ / PUBLICA</v>
      </c>
      <c r="AT84" s="14" t="str">
        <v>ANUAL</v>
      </c>
      <c r="AU84" s="14" t="n">
        <v>8</v>
      </c>
      <c r="AV84" s="14" t="n">
        <v>8</v>
      </c>
      <c r="AW84" s="14" t="str">
        <v>VERSIONES_POR_DURACION_O_TIPO</v>
      </c>
      <c r="AX84" s="14" t="n">
        <v>2026</v>
      </c>
      <c r="AY84" s="14" t="str">
        <v>PUBLICA; última matrícula</v>
      </c>
    </row>
    <row r="85" ht="27" customHeight="1">
      <c r="A85" s="15" t="str">
        <v>I162S2C1J2V4</v>
      </c>
      <c r="B85" s="15" t="str">
        <v>INGENIERIA EN INFORMATICA</v>
      </c>
      <c r="C85" s="15" t="str">
        <v>2</v>
      </c>
      <c r="D85" s="15" t="str">
        <v>2</v>
      </c>
      <c r="E85" s="15" t="str">
        <v>4</v>
      </c>
      <c r="F85" s="15" t="str">
        <v>Presencial</v>
      </c>
      <c r="G85" s="15" t="str">
        <v>Pregrado</v>
      </c>
      <c r="H85" s="15" t="str">
        <v>Plan Regular</v>
      </c>
      <c r="I85" s="23" t="n">
        <v>2019</v>
      </c>
      <c r="J85" s="23" t="n">
        <v>2026</v>
      </c>
      <c r="K85" s="24" t="n">
        <v>0</v>
      </c>
      <c r="L85" s="24" t="n">
        <v>0</v>
      </c>
      <c r="M85" s="24" t="n">
        <v>0</v>
      </c>
      <c r="N85" s="24" t="n">
        <v>0</v>
      </c>
      <c r="O85" s="24" t="n">
        <v>0</v>
      </c>
      <c r="P85" s="24" t="n">
        <v>0</v>
      </c>
      <c r="Q85" s="24" t="n">
        <v>0</v>
      </c>
      <c r="R85" s="24" t="n">
        <v>0</v>
      </c>
      <c r="S85" s="24" t="n">
        <v>0</v>
      </c>
      <c r="T85" s="24" t="n">
        <v>0</v>
      </c>
      <c r="U85" s="24" t="n">
        <v>0</v>
      </c>
      <c r="V85" s="24" t="n">
        <v>0</v>
      </c>
      <c r="W85" s="24" t="n">
        <v>21</v>
      </c>
      <c r="X85" s="24" t="n">
        <v>14</v>
      </c>
      <c r="Y85" s="24" t="n">
        <v>15</v>
      </c>
      <c r="Z85" s="24" t="n">
        <v>29</v>
      </c>
      <c r="AA85" s="24" t="n">
        <v>28</v>
      </c>
      <c r="AB85" s="24" t="n">
        <v>28</v>
      </c>
      <c r="AC85" s="24" t="n">
        <v>24</v>
      </c>
      <c r="AD85" s="24" t="n">
        <v>32</v>
      </c>
      <c r="AE85" s="15" t="str">
        <v>2</v>
      </c>
      <c r="AF85" s="15" t="str">
        <v>IINF</v>
      </c>
      <c r="AG85" s="15" t="str">
        <v>IINF20241</v>
      </c>
      <c r="AH85" s="15" t="str">
        <v>REGULAR</v>
      </c>
      <c r="AI85" s="15" t="str">
        <v>C</v>
      </c>
      <c r="AJ85" s="24" t="n">
        <v>0</v>
      </c>
      <c r="AK85" s="24" t="n">
        <v>0</v>
      </c>
      <c r="AL85" s="24" t="n">
        <v>18</v>
      </c>
      <c r="AM85" s="24" t="n">
        <v>13</v>
      </c>
      <c r="AN85" s="24" t="n">
        <v>27</v>
      </c>
      <c r="AO85" s="15" t="str">
        <v>CRUCE_PERSONA_MU_2022_2026</v>
      </c>
      <c r="AP85" s="15" t="str">
        <v>UNIDO</v>
      </c>
      <c r="AQ85" s="15" t="str">
        <v>UNIDO</v>
      </c>
      <c r="AR85" s="15" t="str">
        <v>B/C</v>
      </c>
      <c r="AS85" s="15" t="str">
        <v>MATRIZ / PUBLICA</v>
      </c>
      <c r="AT85" s="15" t="str">
        <v>ANUAL</v>
      </c>
      <c r="AU85" s="15" t="n">
        <v>8</v>
      </c>
      <c r="AV85" s="15" t="n">
        <v>8</v>
      </c>
      <c r="AW85" s="15" t="str">
        <v>VERSIONES_POR_DURACION_O_TIPO</v>
      </c>
      <c r="AX85" s="15" t="n">
        <v>2026</v>
      </c>
      <c r="AY85" s="15" t="str">
        <v>PUBLICA; última matrícula</v>
      </c>
    </row>
    <row r="86" ht="27" customHeight="1">
      <c r="A86" s="14" t="str">
        <v>I162S2C1J2V4</v>
      </c>
      <c r="B86" s="14" t="str">
        <v>INGENIERIA EN INFORMATICA</v>
      </c>
      <c r="C86" s="14" t="str">
        <v>2</v>
      </c>
      <c r="D86" s="14" t="str">
        <v>2</v>
      </c>
      <c r="E86" s="14" t="str">
        <v>4</v>
      </c>
      <c r="F86" s="14" t="str">
        <v>Presencial</v>
      </c>
      <c r="G86" s="14" t="str">
        <v>Pregrado</v>
      </c>
      <c r="H86" s="14" t="str">
        <v>Plan Regular</v>
      </c>
      <c r="I86" s="21" t="n">
        <v>2019</v>
      </c>
      <c r="J86" s="21" t="n">
        <v>2026</v>
      </c>
      <c r="K86" s="22" t="n">
        <v>0</v>
      </c>
      <c r="L86" s="22" t="n">
        <v>0</v>
      </c>
      <c r="M86" s="22" t="n">
        <v>0</v>
      </c>
      <c r="N86" s="22" t="n">
        <v>0</v>
      </c>
      <c r="O86" s="22" t="n">
        <v>0</v>
      </c>
      <c r="P86" s="22" t="n">
        <v>0</v>
      </c>
      <c r="Q86" s="22" t="n">
        <v>0</v>
      </c>
      <c r="R86" s="22" t="n">
        <v>0</v>
      </c>
      <c r="S86" s="22" t="n">
        <v>0</v>
      </c>
      <c r="T86" s="22" t="n">
        <v>0</v>
      </c>
      <c r="U86" s="22" t="n">
        <v>0</v>
      </c>
      <c r="V86" s="22" t="n">
        <v>0</v>
      </c>
      <c r="W86" s="22" t="n">
        <v>21</v>
      </c>
      <c r="X86" s="22" t="n">
        <v>14</v>
      </c>
      <c r="Y86" s="22" t="n">
        <v>15</v>
      </c>
      <c r="Z86" s="22" t="n">
        <v>29</v>
      </c>
      <c r="AA86" s="22" t="n">
        <v>28</v>
      </c>
      <c r="AB86" s="22" t="n">
        <v>28</v>
      </c>
      <c r="AC86" s="22" t="n">
        <v>24</v>
      </c>
      <c r="AD86" s="22" t="n">
        <v>32</v>
      </c>
      <c r="AE86" s="14" t="str">
        <v>2</v>
      </c>
      <c r="AF86" s="14" t="str">
        <v>IECIRE / IINF</v>
      </c>
      <c r="AG86" s="14" t="str">
        <v>PLAN_NO_OBSERVADO</v>
      </c>
      <c r="AH86" s="14" t="str">
        <v>E</v>
      </c>
      <c r="AI86" s="14" t="str">
        <v>E</v>
      </c>
      <c r="AJ86" s="22" t="n">
        <v>1</v>
      </c>
      <c r="AK86" s="22" t="n">
        <v>1</v>
      </c>
      <c r="AL86" s="22" t="n">
        <v>2</v>
      </c>
      <c r="AM86" s="22" t="n">
        <v>2</v>
      </c>
      <c r="AN86" s="22" t="n">
        <v>1</v>
      </c>
      <c r="AO86" s="14" t="str">
        <v>CRUCE_PERSONA_MU_2022_2026</v>
      </c>
      <c r="AP86" s="14" t="str">
        <v>PENDIENTE</v>
      </c>
      <c r="AQ86" s="14" t="str">
        <v>PLAN_NO_OBSERVADO</v>
      </c>
      <c r="AR86" s="14" t="str">
        <v>E</v>
      </c>
      <c r="AS86" s="14" t="str">
        <v>MATRIZ / PUBLICA</v>
      </c>
      <c r="AT86" s="14" t="str">
        <v>SIN_ACTIVIDAD_ANUAL; ENLACE_EXPEDIENTE_CONSERVADO</v>
      </c>
      <c r="AU86" s="14" t="n">
        <v>8</v>
      </c>
      <c r="AV86" s="14" t="n">
        <v>8</v>
      </c>
      <c r="AW86" s="14" t="str">
        <v>VERSIONES_POR_DURACION_O_TIPO</v>
      </c>
      <c r="AX86" s="14" t="n">
        <v>2026</v>
      </c>
      <c r="AY86" s="14" t="str">
        <v>PUBLICA; última matrícula</v>
      </c>
    </row>
    <row r="87" ht="27" customHeight="1">
      <c r="A87" s="15" t="str">
        <v>I162S2C1J4V1</v>
      </c>
      <c r="B87" s="15" t="str">
        <v>INGENIERIA EN INFORMATICA</v>
      </c>
      <c r="C87" s="15" t="str">
        <v>2</v>
      </c>
      <c r="D87" s="15" t="str">
        <v>4</v>
      </c>
      <c r="E87" s="15" t="str">
        <v>1</v>
      </c>
      <c r="F87" s="15" t="str">
        <v>No presencial</v>
      </c>
      <c r="G87" s="15" t="str">
        <v>Pregrado</v>
      </c>
      <c r="H87" s="15" t="str">
        <v>Plan Regular</v>
      </c>
      <c r="I87" s="23" t="n">
        <v>2018</v>
      </c>
      <c r="J87" s="23" t="n">
        <v>2023</v>
      </c>
      <c r="K87" s="24" t="n">
        <v>0</v>
      </c>
      <c r="L87" s="24" t="n">
        <v>0</v>
      </c>
      <c r="M87" s="24" t="n">
        <v>0</v>
      </c>
      <c r="N87" s="24" t="n">
        <v>0</v>
      </c>
      <c r="O87" s="24" t="n">
        <v>0</v>
      </c>
      <c r="P87" s="24" t="n">
        <v>0</v>
      </c>
      <c r="Q87" s="24" t="n">
        <v>0</v>
      </c>
      <c r="R87" s="24" t="n">
        <v>0</v>
      </c>
      <c r="S87" s="24" t="n">
        <v>0</v>
      </c>
      <c r="T87" s="24" t="n">
        <v>0</v>
      </c>
      <c r="U87" s="24" t="n">
        <v>0</v>
      </c>
      <c r="V87" s="24" t="n">
        <v>20</v>
      </c>
      <c r="W87" s="24" t="n">
        <v>17</v>
      </c>
      <c r="X87" s="24" t="n">
        <v>39</v>
      </c>
      <c r="Y87" s="24" t="n">
        <v>86</v>
      </c>
      <c r="Z87" s="24" t="n">
        <v>1</v>
      </c>
      <c r="AA87" s="24" t="n">
        <v>1</v>
      </c>
      <c r="AB87" s="24" t="n">
        <v>0</v>
      </c>
      <c r="AC87" s="24" t="n">
        <v>0</v>
      </c>
      <c r="AD87" s="24" t="n">
        <v>0</v>
      </c>
      <c r="AE87" s="15" t="str">
        <v>n.a.</v>
      </c>
      <c r="AF87" s="15" t="str">
        <v>IECIREOL</v>
      </c>
      <c r="AG87" s="15" t="str">
        <v>IECIREOL</v>
      </c>
      <c r="AH87" s="15" t="str">
        <v>E</v>
      </c>
      <c r="AI87" s="15" t="str">
        <v>E</v>
      </c>
      <c r="AJ87" s="24" t="n">
        <v>0</v>
      </c>
      <c r="AK87" s="24" t="n">
        <v>1</v>
      </c>
      <c r="AL87" s="24" t="n">
        <v>0</v>
      </c>
      <c r="AM87" s="24" t="n">
        <v>0</v>
      </c>
      <c r="AN87" s="24" t="n">
        <v>0</v>
      </c>
      <c r="AO87" s="15" t="str">
        <v>CRUCE_PERSONA_MU_2022_2026</v>
      </c>
      <c r="AP87" s="15" t="str">
        <v>UNIDO</v>
      </c>
      <c r="AQ87" s="15" t="str">
        <v>UNIDO</v>
      </c>
      <c r="AR87" s="15" t="str">
        <v>B/C</v>
      </c>
      <c r="AS87" s="15" t="str">
        <v>MATRIZ / PUBLICA</v>
      </c>
      <c r="AT87" s="15" t="str">
        <v>ANUAL</v>
      </c>
      <c r="AU87" s="15" t="n">
        <v>8</v>
      </c>
      <c r="AV87" s="15" t="n">
        <v>8</v>
      </c>
      <c r="AW87" s="15" t="str">
        <v>VERSIONES_POR_DURACION_O_TIPO</v>
      </c>
      <c r="AX87" s="15" t="n">
        <v>2023</v>
      </c>
      <c r="AY87" s="15" t="str">
        <v>PUBLICA; última matrícula</v>
      </c>
    </row>
    <row r="88" ht="27" customHeight="1">
      <c r="A88" s="14" t="str">
        <v>I162S2C1J4V1</v>
      </c>
      <c r="B88" s="14" t="str">
        <v>INGENIERIA EN INFORMATICA</v>
      </c>
      <c r="C88" s="14" t="str">
        <v>2</v>
      </c>
      <c r="D88" s="14" t="str">
        <v>4</v>
      </c>
      <c r="E88" s="14" t="str">
        <v>1</v>
      </c>
      <c r="F88" s="14" t="str">
        <v>No presencial</v>
      </c>
      <c r="G88" s="14" t="str">
        <v>Pregrado</v>
      </c>
      <c r="H88" s="14" t="str">
        <v>Plan Regular</v>
      </c>
      <c r="I88" s="21" t="n">
        <v>2018</v>
      </c>
      <c r="J88" s="21" t="n">
        <v>2023</v>
      </c>
      <c r="K88" s="22" t="n">
        <v>0</v>
      </c>
      <c r="L88" s="22" t="n">
        <v>0</v>
      </c>
      <c r="M88" s="22" t="n">
        <v>0</v>
      </c>
      <c r="N88" s="22" t="n">
        <v>0</v>
      </c>
      <c r="O88" s="22" t="n">
        <v>0</v>
      </c>
      <c r="P88" s="22" t="n">
        <v>0</v>
      </c>
      <c r="Q88" s="22" t="n">
        <v>0</v>
      </c>
      <c r="R88" s="22" t="n">
        <v>0</v>
      </c>
      <c r="S88" s="22" t="n">
        <v>0</v>
      </c>
      <c r="T88" s="22" t="n">
        <v>0</v>
      </c>
      <c r="U88" s="22" t="n">
        <v>0</v>
      </c>
      <c r="V88" s="22" t="n">
        <v>20</v>
      </c>
      <c r="W88" s="22" t="n">
        <v>17</v>
      </c>
      <c r="X88" s="22" t="n">
        <v>39</v>
      </c>
      <c r="Y88" s="22" t="n">
        <v>86</v>
      </c>
      <c r="Z88" s="22" t="n">
        <v>1</v>
      </c>
      <c r="AA88" s="22" t="n">
        <v>1</v>
      </c>
      <c r="AB88" s="22" t="n">
        <v>0</v>
      </c>
      <c r="AC88" s="22" t="n">
        <v>0</v>
      </c>
      <c r="AD88" s="22" t="n">
        <v>0</v>
      </c>
      <c r="AE88" s="14" t="str">
        <v>n.a.</v>
      </c>
      <c r="AF88" s="14" t="str">
        <v>IECIREOL</v>
      </c>
      <c r="AG88" s="14" t="str">
        <v>IECIREOL20201</v>
      </c>
      <c r="AH88" s="14" t="str">
        <v>E</v>
      </c>
      <c r="AI88" s="14" t="str">
        <v>E</v>
      </c>
      <c r="AJ88" s="22" t="n">
        <v>1</v>
      </c>
      <c r="AK88" s="22" t="n">
        <v>0</v>
      </c>
      <c r="AL88" s="22" t="n">
        <v>0</v>
      </c>
      <c r="AM88" s="22" t="n">
        <v>0</v>
      </c>
      <c r="AN88" s="22" t="n">
        <v>0</v>
      </c>
      <c r="AO88" s="14" t="str">
        <v>CRUCE_PERSONA_MU_2022_2026</v>
      </c>
      <c r="AP88" s="14" t="str">
        <v>UNIDO</v>
      </c>
      <c r="AQ88" s="14" t="str">
        <v>UNIDO</v>
      </c>
      <c r="AR88" s="14" t="str">
        <v>B/C</v>
      </c>
      <c r="AS88" s="14" t="str">
        <v>MATRIZ / PUBLICA</v>
      </c>
      <c r="AT88" s="14" t="str">
        <v>ANUAL</v>
      </c>
      <c r="AU88" s="14" t="n">
        <v>8</v>
      </c>
      <c r="AV88" s="14" t="n">
        <v>8</v>
      </c>
      <c r="AW88" s="14" t="str">
        <v>VERSIONES_POR_DURACION_O_TIPO</v>
      </c>
      <c r="AX88" s="14" t="n">
        <v>2023</v>
      </c>
      <c r="AY88" s="14" t="str">
        <v>PUBLICA; última matrícula</v>
      </c>
    </row>
    <row r="89" ht="27" customHeight="1">
      <c r="A89" s="15" t="str">
        <v>I162S2C1J4V2</v>
      </c>
      <c r="B89" s="15" t="str">
        <v>INGENIERIA EN INFORMATICA</v>
      </c>
      <c r="C89" s="15" t="str">
        <v>2</v>
      </c>
      <c r="D89" s="15" t="str">
        <v>4</v>
      </c>
      <c r="E89" s="15" t="str">
        <v>2</v>
      </c>
      <c r="F89" s="15" t="str">
        <v>No presencial</v>
      </c>
      <c r="G89" s="15" t="str">
        <v>Pregrado</v>
      </c>
      <c r="H89" s="15" t="str">
        <v>Plan Regular</v>
      </c>
      <c r="I89" s="23" t="n">
        <v>2019</v>
      </c>
      <c r="J89" s="23" t="n">
        <v>2026</v>
      </c>
      <c r="K89" s="24" t="n">
        <v>0</v>
      </c>
      <c r="L89" s="24" t="n">
        <v>0</v>
      </c>
      <c r="M89" s="24" t="n">
        <v>0</v>
      </c>
      <c r="N89" s="24" t="n">
        <v>0</v>
      </c>
      <c r="O89" s="24" t="n">
        <v>0</v>
      </c>
      <c r="P89" s="24" t="n">
        <v>0</v>
      </c>
      <c r="Q89" s="24" t="n">
        <v>0</v>
      </c>
      <c r="R89" s="24" t="n">
        <v>0</v>
      </c>
      <c r="S89" s="24" t="n">
        <v>0</v>
      </c>
      <c r="T89" s="24" t="n">
        <v>0</v>
      </c>
      <c r="U89" s="24" t="n">
        <v>0</v>
      </c>
      <c r="V89" s="24" t="n">
        <v>0</v>
      </c>
      <c r="W89" s="24" t="n">
        <v>26</v>
      </c>
      <c r="X89" s="24" t="n">
        <v>22</v>
      </c>
      <c r="Y89" s="24" t="n">
        <v>14</v>
      </c>
      <c r="Z89" s="24" t="n">
        <v>130</v>
      </c>
      <c r="AA89" s="24" t="n">
        <v>163</v>
      </c>
      <c r="AB89" s="24" t="n">
        <v>231</v>
      </c>
      <c r="AC89" s="24" t="n">
        <v>254</v>
      </c>
      <c r="AD89" s="24" t="n">
        <v>239</v>
      </c>
      <c r="AE89" s="15" t="str">
        <v>1</v>
      </c>
      <c r="AF89" s="15" t="str">
        <v>CIINF</v>
      </c>
      <c r="AG89" s="15" t="str">
        <v>CIINF20241</v>
      </c>
      <c r="AH89" s="15" t="str">
        <v>CONTINUIDAD</v>
      </c>
      <c r="AI89" s="15" t="str">
        <v>C</v>
      </c>
      <c r="AJ89" s="24" t="n">
        <v>0</v>
      </c>
      <c r="AK89" s="24" t="n">
        <v>0</v>
      </c>
      <c r="AL89" s="24" t="n">
        <v>28</v>
      </c>
      <c r="AM89" s="24" t="n">
        <v>42</v>
      </c>
      <c r="AN89" s="24" t="n">
        <v>0</v>
      </c>
      <c r="AO89" s="15" t="str">
        <v>CRUCE_PERSONA_MU_2022_2026</v>
      </c>
      <c r="AP89" s="15" t="str">
        <v>UNIDO</v>
      </c>
      <c r="AQ89" s="15" t="str">
        <v>UNIDO</v>
      </c>
      <c r="AR89" s="15" t="str">
        <v>B/C</v>
      </c>
      <c r="AS89" s="15" t="str">
        <v>MATRIZ / PUBLICA</v>
      </c>
      <c r="AT89" s="15" t="str">
        <v>ANUAL</v>
      </c>
      <c r="AU89" s="15" t="n">
        <v>8</v>
      </c>
      <c r="AV89" s="15" t="n">
        <v>8</v>
      </c>
      <c r="AW89" s="15" t="str">
        <v>VERSIONES_POR_DURACION_O_TIPO</v>
      </c>
      <c r="AX89" s="15" t="n">
        <v>2026</v>
      </c>
      <c r="AY89" s="15" t="str">
        <v>PUBLICA; última matrícula</v>
      </c>
    </row>
    <row r="90" ht="36" customHeight="1">
      <c r="A90" s="14" t="str">
        <v>I162S2C1J4V2</v>
      </c>
      <c r="B90" s="14" t="str">
        <v>INGENIERIA EN INFORMATICA</v>
      </c>
      <c r="C90" s="14" t="str">
        <v>2</v>
      </c>
      <c r="D90" s="14" t="str">
        <v>4</v>
      </c>
      <c r="E90" s="14" t="str">
        <v>2</v>
      </c>
      <c r="F90" s="14" t="str">
        <v>No presencial</v>
      </c>
      <c r="G90" s="14" t="str">
        <v>Pregrado</v>
      </c>
      <c r="H90" s="14" t="str">
        <v>Plan Regular</v>
      </c>
      <c r="I90" s="21" t="n">
        <v>2019</v>
      </c>
      <c r="J90" s="21" t="n">
        <v>2026</v>
      </c>
      <c r="K90" s="22" t="n">
        <v>0</v>
      </c>
      <c r="L90" s="22" t="n">
        <v>0</v>
      </c>
      <c r="M90" s="22" t="n">
        <v>0</v>
      </c>
      <c r="N90" s="22" t="n">
        <v>0</v>
      </c>
      <c r="O90" s="22" t="n">
        <v>0</v>
      </c>
      <c r="P90" s="22" t="n">
        <v>0</v>
      </c>
      <c r="Q90" s="22" t="n">
        <v>0</v>
      </c>
      <c r="R90" s="22" t="n">
        <v>0</v>
      </c>
      <c r="S90" s="22" t="n">
        <v>0</v>
      </c>
      <c r="T90" s="22" t="n">
        <v>0</v>
      </c>
      <c r="U90" s="22" t="n">
        <v>0</v>
      </c>
      <c r="V90" s="22" t="n">
        <v>0</v>
      </c>
      <c r="W90" s="22" t="n">
        <v>26</v>
      </c>
      <c r="X90" s="22" t="n">
        <v>22</v>
      </c>
      <c r="Y90" s="22" t="n">
        <v>14</v>
      </c>
      <c r="Z90" s="22" t="n">
        <v>130</v>
      </c>
      <c r="AA90" s="22" t="n">
        <v>163</v>
      </c>
      <c r="AB90" s="22" t="n">
        <v>231</v>
      </c>
      <c r="AC90" s="22" t="n">
        <v>254</v>
      </c>
      <c r="AD90" s="22" t="n">
        <v>239</v>
      </c>
      <c r="AE90" s="14" t="str">
        <v>1</v>
      </c>
      <c r="AF90" s="14" t="str">
        <v>IECIREOL</v>
      </c>
      <c r="AG90" s="14" t="str">
        <v>IECIREOL</v>
      </c>
      <c r="AH90" s="14" t="str">
        <v>E</v>
      </c>
      <c r="AI90" s="14" t="str">
        <v>E</v>
      </c>
      <c r="AJ90" s="22" t="n">
        <v>8</v>
      </c>
      <c r="AK90" s="22" t="n">
        <v>0</v>
      </c>
      <c r="AL90" s="22" t="n">
        <v>0</v>
      </c>
      <c r="AM90" s="22" t="n">
        <v>0</v>
      </c>
      <c r="AN90" s="22" t="n">
        <v>0</v>
      </c>
      <c r="AO90" s="14" t="str">
        <v>APROBACION_D_2027 / CRUCE_PERSONA_MU_2022_2026</v>
      </c>
      <c r="AP90" s="14" t="str">
        <v>UNIDO</v>
      </c>
      <c r="AQ90" s="14" t="str">
        <v>UNIDO</v>
      </c>
      <c r="AR90" s="14" t="str">
        <v>D/C</v>
      </c>
      <c r="AS90" s="14" t="str">
        <v>H002 / MATRIZ / PUBLICA</v>
      </c>
      <c r="AT90" s="14" t="str">
        <v>ANUAL / Catálogo 2027; no atribución retroactiva ni acreditación de cohorte/malla</v>
      </c>
      <c r="AU90" s="14" t="n">
        <v>8</v>
      </c>
      <c r="AV90" s="14" t="n">
        <v>8</v>
      </c>
      <c r="AW90" s="14" t="str">
        <v>VERSIONES_POR_DURACION_O_TIPO</v>
      </c>
      <c r="AX90" s="14" t="n">
        <v>2026</v>
      </c>
      <c r="AY90" s="14" t="str">
        <v>PUBLICA; última matrícula</v>
      </c>
    </row>
    <row r="91" ht="36" customHeight="1">
      <c r="A91" s="15" t="str">
        <v>I162S2C1J4V2</v>
      </c>
      <c r="B91" s="15" t="str">
        <v>INGENIERIA EN INFORMATICA</v>
      </c>
      <c r="C91" s="15" t="str">
        <v>2</v>
      </c>
      <c r="D91" s="15" t="str">
        <v>4</v>
      </c>
      <c r="E91" s="15" t="str">
        <v>2</v>
      </c>
      <c r="F91" s="15" t="str">
        <v>No presencial</v>
      </c>
      <c r="G91" s="15" t="str">
        <v>Pregrado</v>
      </c>
      <c r="H91" s="15" t="str">
        <v>Plan Regular</v>
      </c>
      <c r="I91" s="23" t="n">
        <v>2019</v>
      </c>
      <c r="J91" s="23" t="n">
        <v>2026</v>
      </c>
      <c r="K91" s="24" t="n">
        <v>0</v>
      </c>
      <c r="L91" s="24" t="n">
        <v>0</v>
      </c>
      <c r="M91" s="24" t="n">
        <v>0</v>
      </c>
      <c r="N91" s="24" t="n">
        <v>0</v>
      </c>
      <c r="O91" s="24" t="n">
        <v>0</v>
      </c>
      <c r="P91" s="24" t="n">
        <v>0</v>
      </c>
      <c r="Q91" s="24" t="n">
        <v>0</v>
      </c>
      <c r="R91" s="24" t="n">
        <v>0</v>
      </c>
      <c r="S91" s="24" t="n">
        <v>0</v>
      </c>
      <c r="T91" s="24" t="n">
        <v>0</v>
      </c>
      <c r="U91" s="24" t="n">
        <v>0</v>
      </c>
      <c r="V91" s="24" t="n">
        <v>0</v>
      </c>
      <c r="W91" s="24" t="n">
        <v>26</v>
      </c>
      <c r="X91" s="24" t="n">
        <v>22</v>
      </c>
      <c r="Y91" s="24" t="n">
        <v>14</v>
      </c>
      <c r="Z91" s="24" t="n">
        <v>130</v>
      </c>
      <c r="AA91" s="24" t="n">
        <v>163</v>
      </c>
      <c r="AB91" s="24" t="n">
        <v>231</v>
      </c>
      <c r="AC91" s="24" t="n">
        <v>254</v>
      </c>
      <c r="AD91" s="24" t="n">
        <v>239</v>
      </c>
      <c r="AE91" s="15" t="str">
        <v>1</v>
      </c>
      <c r="AF91" s="15" t="str">
        <v>IECIREOL</v>
      </c>
      <c r="AG91" s="15" t="str">
        <v>IECIREOL20191</v>
      </c>
      <c r="AH91" s="15" t="str">
        <v>E</v>
      </c>
      <c r="AI91" s="15" t="str">
        <v>E</v>
      </c>
      <c r="AJ91" s="24" t="n">
        <v>12</v>
      </c>
      <c r="AK91" s="24" t="n">
        <v>2</v>
      </c>
      <c r="AL91" s="24" t="n">
        <v>1</v>
      </c>
      <c r="AM91" s="24" t="n">
        <v>0</v>
      </c>
      <c r="AN91" s="24" t="n">
        <v>0</v>
      </c>
      <c r="AO91" s="15" t="str">
        <v>APROBACION_D_2027 / CRUCE_PERSONA_MU_2022_2026</v>
      </c>
      <c r="AP91" s="15" t="str">
        <v>UNIDO</v>
      </c>
      <c r="AQ91" s="15" t="str">
        <v>UNIDO</v>
      </c>
      <c r="AR91" s="15" t="str">
        <v>D/C</v>
      </c>
      <c r="AS91" s="15" t="str">
        <v>H002 / MATRIZ / PUBLICA</v>
      </c>
      <c r="AT91" s="15" t="str">
        <v>ANUAL / Catálogo 2027; no atribución retroactiva ni acreditación de cohorte/malla</v>
      </c>
      <c r="AU91" s="15" t="n">
        <v>8</v>
      </c>
      <c r="AV91" s="15" t="n">
        <v>8</v>
      </c>
      <c r="AW91" s="15" t="str">
        <v>VERSIONES_POR_DURACION_O_TIPO</v>
      </c>
      <c r="AX91" s="15" t="n">
        <v>2026</v>
      </c>
      <c r="AY91" s="15" t="str">
        <v>PUBLICA; última matrícula</v>
      </c>
    </row>
    <row r="92" ht="36" customHeight="1">
      <c r="A92" s="14" t="str">
        <v>I162S2C1J4V2</v>
      </c>
      <c r="B92" s="14" t="str">
        <v>INGENIERIA EN INFORMATICA</v>
      </c>
      <c r="C92" s="14" t="str">
        <v>2</v>
      </c>
      <c r="D92" s="14" t="str">
        <v>4</v>
      </c>
      <c r="E92" s="14" t="str">
        <v>2</v>
      </c>
      <c r="F92" s="14" t="str">
        <v>No presencial</v>
      </c>
      <c r="G92" s="14" t="str">
        <v>Pregrado</v>
      </c>
      <c r="H92" s="14" t="str">
        <v>Plan Regular</v>
      </c>
      <c r="I92" s="21" t="n">
        <v>2019</v>
      </c>
      <c r="J92" s="21" t="n">
        <v>2026</v>
      </c>
      <c r="K92" s="22" t="n">
        <v>0</v>
      </c>
      <c r="L92" s="22" t="n">
        <v>0</v>
      </c>
      <c r="M92" s="22" t="n">
        <v>0</v>
      </c>
      <c r="N92" s="22" t="n">
        <v>0</v>
      </c>
      <c r="O92" s="22" t="n">
        <v>0</v>
      </c>
      <c r="P92" s="22" t="n">
        <v>0</v>
      </c>
      <c r="Q92" s="22" t="n">
        <v>0</v>
      </c>
      <c r="R92" s="22" t="n">
        <v>0</v>
      </c>
      <c r="S92" s="22" t="n">
        <v>0</v>
      </c>
      <c r="T92" s="22" t="n">
        <v>0</v>
      </c>
      <c r="U92" s="22" t="n">
        <v>0</v>
      </c>
      <c r="V92" s="22" t="n">
        <v>0</v>
      </c>
      <c r="W92" s="22" t="n">
        <v>26</v>
      </c>
      <c r="X92" s="22" t="n">
        <v>22</v>
      </c>
      <c r="Y92" s="22" t="n">
        <v>14</v>
      </c>
      <c r="Z92" s="22" t="n">
        <v>130</v>
      </c>
      <c r="AA92" s="22" t="n">
        <v>163</v>
      </c>
      <c r="AB92" s="22" t="n">
        <v>231</v>
      </c>
      <c r="AC92" s="22" t="n">
        <v>254</v>
      </c>
      <c r="AD92" s="22" t="n">
        <v>239</v>
      </c>
      <c r="AE92" s="14" t="str">
        <v>1</v>
      </c>
      <c r="AF92" s="14" t="str">
        <v>IECIREOL</v>
      </c>
      <c r="AG92" s="14" t="str">
        <v>IECIREOL20201</v>
      </c>
      <c r="AH92" s="14" t="str">
        <v>E</v>
      </c>
      <c r="AI92" s="14" t="str">
        <v>E</v>
      </c>
      <c r="AJ92" s="22" t="n">
        <v>9</v>
      </c>
      <c r="AK92" s="22" t="n">
        <v>8</v>
      </c>
      <c r="AL92" s="22" t="n">
        <v>4</v>
      </c>
      <c r="AM92" s="22" t="n">
        <v>0</v>
      </c>
      <c r="AN92" s="22" t="n">
        <v>0</v>
      </c>
      <c r="AO92" s="14" t="str">
        <v>APROBACION_D_2027 / CRUCE_PERSONA_MU_2022_2026</v>
      </c>
      <c r="AP92" s="14" t="str">
        <v>UNIDO</v>
      </c>
      <c r="AQ92" s="14" t="str">
        <v>UNIDO</v>
      </c>
      <c r="AR92" s="14" t="str">
        <v>D/C</v>
      </c>
      <c r="AS92" s="14" t="str">
        <v>H002 / MATRIZ / PUBLICA</v>
      </c>
      <c r="AT92" s="14" t="str">
        <v>ANUAL / Catálogo 2027; no atribución retroactiva ni acreditación de cohorte/malla</v>
      </c>
      <c r="AU92" s="14" t="n">
        <v>8</v>
      </c>
      <c r="AV92" s="14" t="n">
        <v>8</v>
      </c>
      <c r="AW92" s="14" t="str">
        <v>VERSIONES_POR_DURACION_O_TIPO</v>
      </c>
      <c r="AX92" s="14" t="n">
        <v>2026</v>
      </c>
      <c r="AY92" s="14" t="str">
        <v>PUBLICA; última matrícula</v>
      </c>
    </row>
    <row r="93" ht="36" customHeight="1">
      <c r="A93" s="15" t="str">
        <v>I162S2C1J4V2</v>
      </c>
      <c r="B93" s="15" t="str">
        <v>INGENIERIA EN INFORMATICA</v>
      </c>
      <c r="C93" s="15" t="str">
        <v>2</v>
      </c>
      <c r="D93" s="15" t="str">
        <v>4</v>
      </c>
      <c r="E93" s="15" t="str">
        <v>2</v>
      </c>
      <c r="F93" s="15" t="str">
        <v>No presencial</v>
      </c>
      <c r="G93" s="15" t="str">
        <v>Pregrado</v>
      </c>
      <c r="H93" s="15" t="str">
        <v>Plan Regular</v>
      </c>
      <c r="I93" s="23" t="n">
        <v>2019</v>
      </c>
      <c r="J93" s="23" t="n">
        <v>2026</v>
      </c>
      <c r="K93" s="24" t="n">
        <v>0</v>
      </c>
      <c r="L93" s="24" t="n">
        <v>0</v>
      </c>
      <c r="M93" s="24" t="n">
        <v>0</v>
      </c>
      <c r="N93" s="24" t="n">
        <v>0</v>
      </c>
      <c r="O93" s="24" t="n">
        <v>0</v>
      </c>
      <c r="P93" s="24" t="n">
        <v>0</v>
      </c>
      <c r="Q93" s="24" t="n">
        <v>0</v>
      </c>
      <c r="R93" s="24" t="n">
        <v>0</v>
      </c>
      <c r="S93" s="24" t="n">
        <v>0</v>
      </c>
      <c r="T93" s="24" t="n">
        <v>0</v>
      </c>
      <c r="U93" s="24" t="n">
        <v>0</v>
      </c>
      <c r="V93" s="24" t="n">
        <v>0</v>
      </c>
      <c r="W93" s="24" t="n">
        <v>26</v>
      </c>
      <c r="X93" s="24" t="n">
        <v>22</v>
      </c>
      <c r="Y93" s="24" t="n">
        <v>14</v>
      </c>
      <c r="Z93" s="24" t="n">
        <v>130</v>
      </c>
      <c r="AA93" s="24" t="n">
        <v>163</v>
      </c>
      <c r="AB93" s="24" t="n">
        <v>231</v>
      </c>
      <c r="AC93" s="24" t="n">
        <v>254</v>
      </c>
      <c r="AD93" s="24" t="n">
        <v>239</v>
      </c>
      <c r="AE93" s="15" t="str">
        <v>1</v>
      </c>
      <c r="AF93" s="15" t="str">
        <v>IECIREOL</v>
      </c>
      <c r="AG93" s="15" t="str">
        <v>IECIREOL20211</v>
      </c>
      <c r="AH93" s="15" t="str">
        <v>E</v>
      </c>
      <c r="AI93" s="15" t="str">
        <v>E</v>
      </c>
      <c r="AJ93" s="24" t="n">
        <v>99</v>
      </c>
      <c r="AK93" s="24" t="n">
        <v>151</v>
      </c>
      <c r="AL93" s="24" t="n">
        <v>65</v>
      </c>
      <c r="AM93" s="24" t="n">
        <v>14</v>
      </c>
      <c r="AN93" s="24" t="n">
        <v>0</v>
      </c>
      <c r="AO93" s="15" t="str">
        <v>APROBACION_D_2027 / CRUCE_PERSONA_MU_2022_2026</v>
      </c>
      <c r="AP93" s="15" t="str">
        <v>UNIDO</v>
      </c>
      <c r="AQ93" s="15" t="str">
        <v>UNIDO</v>
      </c>
      <c r="AR93" s="15" t="str">
        <v>D/C</v>
      </c>
      <c r="AS93" s="15" t="str">
        <v>H002 / MATRIZ / PUBLICA</v>
      </c>
      <c r="AT93" s="15" t="str">
        <v>ANUAL / Catálogo 2027; no atribución retroactiva ni acreditación de cohorte/malla</v>
      </c>
      <c r="AU93" s="15" t="n">
        <v>8</v>
      </c>
      <c r="AV93" s="15" t="n">
        <v>8</v>
      </c>
      <c r="AW93" s="15" t="str">
        <v>VERSIONES_POR_DURACION_O_TIPO</v>
      </c>
      <c r="AX93" s="15" t="n">
        <v>2026</v>
      </c>
      <c r="AY93" s="15" t="str">
        <v>PUBLICA; última matrícula</v>
      </c>
    </row>
    <row r="94" ht="36" customHeight="1">
      <c r="A94" s="14" t="str">
        <v>I162S2C1J4V2</v>
      </c>
      <c r="B94" s="14" t="str">
        <v>INGENIERIA EN INFORMATICA</v>
      </c>
      <c r="C94" s="14" t="str">
        <v>2</v>
      </c>
      <c r="D94" s="14" t="str">
        <v>4</v>
      </c>
      <c r="E94" s="14" t="str">
        <v>2</v>
      </c>
      <c r="F94" s="14" t="str">
        <v>No presencial</v>
      </c>
      <c r="G94" s="14" t="str">
        <v>Pregrado</v>
      </c>
      <c r="H94" s="14" t="str">
        <v>Plan Regular</v>
      </c>
      <c r="I94" s="21" t="n">
        <v>2019</v>
      </c>
      <c r="J94" s="21" t="n">
        <v>2026</v>
      </c>
      <c r="K94" s="22" t="n">
        <v>0</v>
      </c>
      <c r="L94" s="22" t="n">
        <v>0</v>
      </c>
      <c r="M94" s="22" t="n">
        <v>0</v>
      </c>
      <c r="N94" s="22" t="n">
        <v>0</v>
      </c>
      <c r="O94" s="22" t="n">
        <v>0</v>
      </c>
      <c r="P94" s="22" t="n">
        <v>0</v>
      </c>
      <c r="Q94" s="22" t="n">
        <v>0</v>
      </c>
      <c r="R94" s="22" t="n">
        <v>0</v>
      </c>
      <c r="S94" s="22" t="n">
        <v>0</v>
      </c>
      <c r="T94" s="22" t="n">
        <v>0</v>
      </c>
      <c r="U94" s="22" t="n">
        <v>0</v>
      </c>
      <c r="V94" s="22" t="n">
        <v>0</v>
      </c>
      <c r="W94" s="22" t="n">
        <v>26</v>
      </c>
      <c r="X94" s="22" t="n">
        <v>22</v>
      </c>
      <c r="Y94" s="22" t="n">
        <v>14</v>
      </c>
      <c r="Z94" s="22" t="n">
        <v>130</v>
      </c>
      <c r="AA94" s="22" t="n">
        <v>163</v>
      </c>
      <c r="AB94" s="22" t="n">
        <v>231</v>
      </c>
      <c r="AC94" s="22" t="n">
        <v>254</v>
      </c>
      <c r="AD94" s="22" t="n">
        <v>239</v>
      </c>
      <c r="AE94" s="14" t="str">
        <v>1</v>
      </c>
      <c r="AF94" s="14" t="str">
        <v>IINF</v>
      </c>
      <c r="AG94" s="14" t="str">
        <v>IINF20241</v>
      </c>
      <c r="AH94" s="14" t="str">
        <v>REGULAR</v>
      </c>
      <c r="AI94" s="14" t="str">
        <v>C</v>
      </c>
      <c r="AJ94" s="22" t="n">
        <v>0</v>
      </c>
      <c r="AK94" s="22" t="n">
        <v>0</v>
      </c>
      <c r="AL94" s="22" t="n">
        <v>128</v>
      </c>
      <c r="AM94" s="22" t="n">
        <v>175</v>
      </c>
      <c r="AN94" s="22" t="n">
        <v>212</v>
      </c>
      <c r="AO94" s="14" t="str">
        <v>CRUCE_PERSONA_MU_2022_2026 / REGLA_MU_2027</v>
      </c>
      <c r="AP94" s="14" t="str">
        <v>UNIDO</v>
      </c>
      <c r="AQ94" s="14" t="str">
        <v>UNIDO</v>
      </c>
      <c r="AR94" s="14" t="str">
        <v>B/C</v>
      </c>
      <c r="AS94" s="14" t="str">
        <v>H002 / MATRIZ / PUBLICA</v>
      </c>
      <c r="AT94" s="14" t="str">
        <v>ANUAL / Catálogo 2027; no atribución retroactiva ni acreditación de cohorte/malla</v>
      </c>
      <c r="AU94" s="14" t="n">
        <v>8</v>
      </c>
      <c r="AV94" s="14" t="n">
        <v>8</v>
      </c>
      <c r="AW94" s="14" t="str">
        <v>VERSIONES_POR_DURACION_O_TIPO</v>
      </c>
      <c r="AX94" s="14" t="n">
        <v>2026</v>
      </c>
      <c r="AY94" s="14" t="str">
        <v>PUBLICA; última matrícula</v>
      </c>
    </row>
    <row r="95" ht="27" customHeight="1">
      <c r="A95" s="15" t="str">
        <v>I162S2C1J4V2</v>
      </c>
      <c r="B95" s="15" t="str">
        <v>INGENIERIA EN INFORMATICA</v>
      </c>
      <c r="C95" s="15" t="str">
        <v>2</v>
      </c>
      <c r="D95" s="15" t="str">
        <v>4</v>
      </c>
      <c r="E95" s="15" t="str">
        <v>2</v>
      </c>
      <c r="F95" s="15" t="str">
        <v>No presencial</v>
      </c>
      <c r="G95" s="15" t="str">
        <v>Pregrado</v>
      </c>
      <c r="H95" s="15" t="str">
        <v>Plan Regular</v>
      </c>
      <c r="I95" s="23" t="n">
        <v>2019</v>
      </c>
      <c r="J95" s="23" t="n">
        <v>2026</v>
      </c>
      <c r="K95" s="24" t="n">
        <v>0</v>
      </c>
      <c r="L95" s="24" t="n">
        <v>0</v>
      </c>
      <c r="M95" s="24" t="n">
        <v>0</v>
      </c>
      <c r="N95" s="24" t="n">
        <v>0</v>
      </c>
      <c r="O95" s="24" t="n">
        <v>0</v>
      </c>
      <c r="P95" s="24" t="n">
        <v>0</v>
      </c>
      <c r="Q95" s="24" t="n">
        <v>0</v>
      </c>
      <c r="R95" s="24" t="n">
        <v>0</v>
      </c>
      <c r="S95" s="24" t="n">
        <v>0</v>
      </c>
      <c r="T95" s="24" t="n">
        <v>0</v>
      </c>
      <c r="U95" s="24" t="n">
        <v>0</v>
      </c>
      <c r="V95" s="24" t="n">
        <v>0</v>
      </c>
      <c r="W95" s="24" t="n">
        <v>26</v>
      </c>
      <c r="X95" s="24" t="n">
        <v>22</v>
      </c>
      <c r="Y95" s="24" t="n">
        <v>14</v>
      </c>
      <c r="Z95" s="24" t="n">
        <v>130</v>
      </c>
      <c r="AA95" s="24" t="n">
        <v>163</v>
      </c>
      <c r="AB95" s="24" t="n">
        <v>231</v>
      </c>
      <c r="AC95" s="24" t="n">
        <v>254</v>
      </c>
      <c r="AD95" s="24" t="n">
        <v>239</v>
      </c>
      <c r="AE95" s="15" t="str">
        <v>1</v>
      </c>
      <c r="AF95" s="15" t="str">
        <v>NINFREOL</v>
      </c>
      <c r="AG95" s="15" t="str">
        <v>NINFREOL2019</v>
      </c>
      <c r="AH95" s="15" t="str">
        <v>E</v>
      </c>
      <c r="AI95" s="15" t="str">
        <v>E</v>
      </c>
      <c r="AJ95" s="24" t="n">
        <v>1</v>
      </c>
      <c r="AK95" s="24" t="n">
        <v>0</v>
      </c>
      <c r="AL95" s="24" t="n">
        <v>0</v>
      </c>
      <c r="AM95" s="24" t="n">
        <v>0</v>
      </c>
      <c r="AN95" s="24" t="n">
        <v>0</v>
      </c>
      <c r="AO95" s="15" t="str">
        <v>CRUCE_PERSONA_MU_2022_2026</v>
      </c>
      <c r="AP95" s="15" t="str">
        <v>UNIDO</v>
      </c>
      <c r="AQ95" s="15" t="str">
        <v>UNIDO</v>
      </c>
      <c r="AR95" s="15" t="str">
        <v>B/C</v>
      </c>
      <c r="AS95" s="15" t="str">
        <v>MATRIZ / PUBLICA</v>
      </c>
      <c r="AT95" s="15" t="str">
        <v>ANUAL</v>
      </c>
      <c r="AU95" s="15" t="n">
        <v>8</v>
      </c>
      <c r="AV95" s="15" t="n">
        <v>8</v>
      </c>
      <c r="AW95" s="15" t="str">
        <v>VERSIONES_POR_DURACION_O_TIPO</v>
      </c>
      <c r="AX95" s="15" t="n">
        <v>2026</v>
      </c>
      <c r="AY95" s="15" t="str">
        <v>PUBLICA; última matrícula</v>
      </c>
    </row>
    <row r="96" ht="27" customHeight="1">
      <c r="A96" s="14" t="str">
        <v>I162S2C1J4V2</v>
      </c>
      <c r="B96" s="14" t="str">
        <v>INGENIERIA EN INFORMATICA</v>
      </c>
      <c r="C96" s="14" t="str">
        <v>2</v>
      </c>
      <c r="D96" s="14" t="str">
        <v>4</v>
      </c>
      <c r="E96" s="14" t="str">
        <v>2</v>
      </c>
      <c r="F96" s="14" t="str">
        <v>No presencial</v>
      </c>
      <c r="G96" s="14" t="str">
        <v>Pregrado</v>
      </c>
      <c r="H96" s="14" t="str">
        <v>Plan Regular</v>
      </c>
      <c r="I96" s="21" t="n">
        <v>2019</v>
      </c>
      <c r="J96" s="21" t="n">
        <v>2026</v>
      </c>
      <c r="K96" s="22" t="n">
        <v>0</v>
      </c>
      <c r="L96" s="22" t="n">
        <v>0</v>
      </c>
      <c r="M96" s="22" t="n">
        <v>0</v>
      </c>
      <c r="N96" s="22" t="n">
        <v>0</v>
      </c>
      <c r="O96" s="22" t="n">
        <v>0</v>
      </c>
      <c r="P96" s="22" t="n">
        <v>0</v>
      </c>
      <c r="Q96" s="22" t="n">
        <v>0</v>
      </c>
      <c r="R96" s="22" t="n">
        <v>0</v>
      </c>
      <c r="S96" s="22" t="n">
        <v>0</v>
      </c>
      <c r="T96" s="22" t="n">
        <v>0</v>
      </c>
      <c r="U96" s="22" t="n">
        <v>0</v>
      </c>
      <c r="V96" s="22" t="n">
        <v>0</v>
      </c>
      <c r="W96" s="22" t="n">
        <v>26</v>
      </c>
      <c r="X96" s="22" t="n">
        <v>22</v>
      </c>
      <c r="Y96" s="22" t="n">
        <v>14</v>
      </c>
      <c r="Z96" s="22" t="n">
        <v>130</v>
      </c>
      <c r="AA96" s="22" t="n">
        <v>163</v>
      </c>
      <c r="AB96" s="22" t="n">
        <v>231</v>
      </c>
      <c r="AC96" s="22" t="n">
        <v>254</v>
      </c>
      <c r="AD96" s="22" t="n">
        <v>239</v>
      </c>
      <c r="AE96" s="14" t="str">
        <v>1</v>
      </c>
      <c r="AF96" s="14" t="str">
        <v>IECIREOL / IINF</v>
      </c>
      <c r="AG96" s="14" t="str">
        <v>PLAN_NO_OBSERVADO</v>
      </c>
      <c r="AH96" s="14" t="str">
        <v>E</v>
      </c>
      <c r="AI96" s="14" t="str">
        <v>E</v>
      </c>
      <c r="AJ96" s="22" t="n">
        <v>1</v>
      </c>
      <c r="AK96" s="22" t="n">
        <v>0</v>
      </c>
      <c r="AL96" s="22" t="n">
        <v>2</v>
      </c>
      <c r="AM96" s="22" t="n">
        <v>15</v>
      </c>
      <c r="AN96" s="22" t="n">
        <v>20</v>
      </c>
      <c r="AO96" s="14" t="str">
        <v>CRUCE_PERSONA_MU_2022_2026</v>
      </c>
      <c r="AP96" s="14" t="str">
        <v>PENDIENTE</v>
      </c>
      <c r="AQ96" s="14" t="str">
        <v>PLAN_NO_OBSERVADO</v>
      </c>
      <c r="AR96" s="14" t="str">
        <v>E</v>
      </c>
      <c r="AS96" s="14" t="str">
        <v>MATRIZ / PUBLICA</v>
      </c>
      <c r="AT96" s="14" t="str">
        <v>SIN_ACTIVIDAD_ANUAL; ENLACE_EXPEDIENTE_CONSERVADO</v>
      </c>
      <c r="AU96" s="14" t="n">
        <v>8</v>
      </c>
      <c r="AV96" s="14" t="n">
        <v>8</v>
      </c>
      <c r="AW96" s="14" t="str">
        <v>VERSIONES_POR_DURACION_O_TIPO</v>
      </c>
      <c r="AX96" s="14" t="n">
        <v>2026</v>
      </c>
      <c r="AY96" s="14" t="str">
        <v>PUBLICA; última matrícula</v>
      </c>
    </row>
    <row r="97" ht="36" customHeight="1">
      <c r="A97" s="15" t="str">
        <v>I162S2C1J4V3</v>
      </c>
      <c r="B97" s="15" t="str">
        <v>INGENIERIA EN INFORMATICA</v>
      </c>
      <c r="C97" s="15" t="str">
        <v>2</v>
      </c>
      <c r="D97" s="15" t="str">
        <v>4</v>
      </c>
      <c r="E97" s="15" t="str">
        <v>3</v>
      </c>
      <c r="F97" s="15" t="str">
        <v>No presencial</v>
      </c>
      <c r="G97" s="15" t="str">
        <v>Pregrado</v>
      </c>
      <c r="H97" s="15" t="str">
        <v>Plan Regular de Continuidad</v>
      </c>
      <c r="I97" s="23" t="n">
        <v>2019</v>
      </c>
      <c r="J97" s="23" t="n">
        <v>2026</v>
      </c>
      <c r="K97" s="24" t="n">
        <v>0</v>
      </c>
      <c r="L97" s="24" t="n">
        <v>0</v>
      </c>
      <c r="M97" s="24" t="n">
        <v>0</v>
      </c>
      <c r="N97" s="24" t="n">
        <v>0</v>
      </c>
      <c r="O97" s="24" t="n">
        <v>0</v>
      </c>
      <c r="P97" s="24" t="n">
        <v>0</v>
      </c>
      <c r="Q97" s="24" t="n">
        <v>0</v>
      </c>
      <c r="R97" s="24" t="n">
        <v>0</v>
      </c>
      <c r="S97" s="24" t="n">
        <v>0</v>
      </c>
      <c r="T97" s="24" t="n">
        <v>0</v>
      </c>
      <c r="U97" s="24" t="n">
        <v>0</v>
      </c>
      <c r="V97" s="24" t="n">
        <v>0</v>
      </c>
      <c r="W97" s="24" t="n">
        <v>5</v>
      </c>
      <c r="X97" s="24" t="n">
        <v>15</v>
      </c>
      <c r="Y97" s="24" t="n">
        <v>11</v>
      </c>
      <c r="Z97" s="24" t="n">
        <v>0</v>
      </c>
      <c r="AA97" s="24" t="n">
        <v>0</v>
      </c>
      <c r="AB97" s="24" t="n">
        <v>1</v>
      </c>
      <c r="AC97" s="24" t="n">
        <v>34</v>
      </c>
      <c r="AD97" s="24" t="n">
        <v>86</v>
      </c>
      <c r="AE97" s="15" t="str">
        <v>1</v>
      </c>
      <c r="AF97" s="15" t="str">
        <v>CIINF</v>
      </c>
      <c r="AG97" s="15" t="str">
        <v>CIINF20241</v>
      </c>
      <c r="AH97" s="15" t="str">
        <v>CONTINUIDAD</v>
      </c>
      <c r="AI97" s="15" t="str">
        <v>C</v>
      </c>
      <c r="AJ97" s="24" t="n">
        <v>0</v>
      </c>
      <c r="AK97" s="24" t="n">
        <v>0</v>
      </c>
      <c r="AL97" s="24" t="n">
        <v>0</v>
      </c>
      <c r="AM97" s="24" t="n">
        <v>33</v>
      </c>
      <c r="AN97" s="24" t="n">
        <v>86</v>
      </c>
      <c r="AO97" s="15" t="str">
        <v>CRUCE_PERSONA_MU_2022_2026 / REGLA_MU_2027</v>
      </c>
      <c r="AP97" s="15" t="str">
        <v>UNIDO</v>
      </c>
      <c r="AQ97" s="15" t="str">
        <v>UNIDO</v>
      </c>
      <c r="AR97" s="15" t="str">
        <v>B/C</v>
      </c>
      <c r="AS97" s="15" t="str">
        <v>H002 / MATRIZ / PUBLICA</v>
      </c>
      <c r="AT97" s="15" t="str">
        <v>ANUAL / Catálogo 2027; no atribución retroactiva ni acreditación de cohorte/malla</v>
      </c>
      <c r="AU97" s="15" t="n">
        <v>4</v>
      </c>
      <c r="AV97" s="15" t="n">
        <v>4</v>
      </c>
      <c r="AW97" s="15" t="str">
        <v>VERSIONES_POR_DURACION_O_TIPO</v>
      </c>
      <c r="AX97" s="15" t="n">
        <v>2026</v>
      </c>
      <c r="AY97" s="15" t="str">
        <v>PUBLICA; última matrícula</v>
      </c>
    </row>
    <row r="98" ht="36" customHeight="1">
      <c r="A98" s="14" t="str">
        <v>I162S2C1J4V3</v>
      </c>
      <c r="B98" s="14" t="str">
        <v>INGENIERIA EN INFORMATICA</v>
      </c>
      <c r="C98" s="14" t="str">
        <v>2</v>
      </c>
      <c r="D98" s="14" t="str">
        <v>4</v>
      </c>
      <c r="E98" s="14" t="str">
        <v>3</v>
      </c>
      <c r="F98" s="14" t="str">
        <v>No presencial</v>
      </c>
      <c r="G98" s="14" t="str">
        <v>Pregrado</v>
      </c>
      <c r="H98" s="14" t="str">
        <v>Plan Regular de Continuidad</v>
      </c>
      <c r="I98" s="21" t="n">
        <v>2019</v>
      </c>
      <c r="J98" s="21" t="n">
        <v>2026</v>
      </c>
      <c r="K98" s="22" t="n">
        <v>0</v>
      </c>
      <c r="L98" s="22" t="n">
        <v>0</v>
      </c>
      <c r="M98" s="22" t="n">
        <v>0</v>
      </c>
      <c r="N98" s="22" t="n">
        <v>0</v>
      </c>
      <c r="O98" s="22" t="n">
        <v>0</v>
      </c>
      <c r="P98" s="22" t="n">
        <v>0</v>
      </c>
      <c r="Q98" s="22" t="n">
        <v>0</v>
      </c>
      <c r="R98" s="22" t="n">
        <v>0</v>
      </c>
      <c r="S98" s="22" t="n">
        <v>0</v>
      </c>
      <c r="T98" s="22" t="n">
        <v>0</v>
      </c>
      <c r="U98" s="22" t="n">
        <v>0</v>
      </c>
      <c r="V98" s="22" t="n">
        <v>0</v>
      </c>
      <c r="W98" s="22" t="n">
        <v>5</v>
      </c>
      <c r="X98" s="22" t="n">
        <v>15</v>
      </c>
      <c r="Y98" s="22" t="n">
        <v>11</v>
      </c>
      <c r="Z98" s="22" t="n">
        <v>0</v>
      </c>
      <c r="AA98" s="22" t="n">
        <v>0</v>
      </c>
      <c r="AB98" s="22" t="n">
        <v>1</v>
      </c>
      <c r="AC98" s="22" t="n">
        <v>34</v>
      </c>
      <c r="AD98" s="22" t="n">
        <v>86</v>
      </c>
      <c r="AE98" s="14" t="str">
        <v>1</v>
      </c>
      <c r="AF98" s="14" t="str">
        <v>IINF</v>
      </c>
      <c r="AG98" s="14" t="str">
        <v>IINF20241</v>
      </c>
      <c r="AH98" s="14" t="str">
        <v>REGULAR</v>
      </c>
      <c r="AI98" s="14" t="str">
        <v>C</v>
      </c>
      <c r="AJ98" s="22" t="n">
        <v>0</v>
      </c>
      <c r="AK98" s="22" t="n">
        <v>0</v>
      </c>
      <c r="AL98" s="22" t="n">
        <v>1</v>
      </c>
      <c r="AM98" s="22" t="n">
        <v>0</v>
      </c>
      <c r="AN98" s="22" t="n">
        <v>0</v>
      </c>
      <c r="AO98" s="14" t="str">
        <v>CRUCE_PERSONA_MU_2022_2026</v>
      </c>
      <c r="AP98" s="14" t="str">
        <v>UNIDO</v>
      </c>
      <c r="AQ98" s="14" t="str">
        <v>UNIDO</v>
      </c>
      <c r="AR98" s="14" t="str">
        <v>B/C</v>
      </c>
      <c r="AS98" s="14" t="str">
        <v>MATRIZ / PUBLICA</v>
      </c>
      <c r="AT98" s="14" t="str">
        <v>ANUAL</v>
      </c>
      <c r="AU98" s="14" t="n">
        <v>4</v>
      </c>
      <c r="AV98" s="14" t="n">
        <v>4</v>
      </c>
      <c r="AW98" s="14" t="str">
        <v>VERSIONES_POR_DURACION_O_TIPO</v>
      </c>
      <c r="AX98" s="14" t="n">
        <v>2026</v>
      </c>
      <c r="AY98" s="14" t="str">
        <v>PUBLICA; última matrícula</v>
      </c>
    </row>
    <row r="99" ht="36" customHeight="1">
      <c r="A99" s="15" t="str">
        <v>I162S2C1J4V3</v>
      </c>
      <c r="B99" s="15" t="str">
        <v>INGENIERIA EN INFORMATICA</v>
      </c>
      <c r="C99" s="15" t="str">
        <v>2</v>
      </c>
      <c r="D99" s="15" t="str">
        <v>4</v>
      </c>
      <c r="E99" s="15" t="str">
        <v>3</v>
      </c>
      <c r="F99" s="15" t="str">
        <v>No presencial</v>
      </c>
      <c r="G99" s="15" t="str">
        <v>Pregrado</v>
      </c>
      <c r="H99" s="15" t="str">
        <v>Plan Regular de Continuidad</v>
      </c>
      <c r="I99" s="23" t="n">
        <v>2019</v>
      </c>
      <c r="J99" s="23" t="n">
        <v>2026</v>
      </c>
      <c r="K99" s="24" t="n">
        <v>0</v>
      </c>
      <c r="L99" s="24" t="n">
        <v>0</v>
      </c>
      <c r="M99" s="24" t="n">
        <v>0</v>
      </c>
      <c r="N99" s="24" t="n">
        <v>0</v>
      </c>
      <c r="O99" s="24" t="n">
        <v>0</v>
      </c>
      <c r="P99" s="24" t="n">
        <v>0</v>
      </c>
      <c r="Q99" s="24" t="n">
        <v>0</v>
      </c>
      <c r="R99" s="24" t="n">
        <v>0</v>
      </c>
      <c r="S99" s="24" t="n">
        <v>0</v>
      </c>
      <c r="T99" s="24" t="n">
        <v>0</v>
      </c>
      <c r="U99" s="24" t="n">
        <v>0</v>
      </c>
      <c r="V99" s="24" t="n">
        <v>0</v>
      </c>
      <c r="W99" s="24" t="n">
        <v>5</v>
      </c>
      <c r="X99" s="24" t="n">
        <v>15</v>
      </c>
      <c r="Y99" s="24" t="n">
        <v>11</v>
      </c>
      <c r="Z99" s="24" t="n">
        <v>0</v>
      </c>
      <c r="AA99" s="24" t="n">
        <v>0</v>
      </c>
      <c r="AB99" s="24" t="n">
        <v>1</v>
      </c>
      <c r="AC99" s="24" t="n">
        <v>34</v>
      </c>
      <c r="AD99" s="24" t="n">
        <v>86</v>
      </c>
      <c r="AE99" s="15" t="str">
        <v>1</v>
      </c>
      <c r="AF99" s="15" t="str">
        <v>CIINF</v>
      </c>
      <c r="AG99" s="15" t="str">
        <v>PLAN_NO_OBSERVADO</v>
      </c>
      <c r="AH99" s="15" t="str">
        <v>E</v>
      </c>
      <c r="AI99" s="15" t="str">
        <v>E</v>
      </c>
      <c r="AJ99" s="24" t="n">
        <v>0</v>
      </c>
      <c r="AK99" s="24" t="n">
        <v>0</v>
      </c>
      <c r="AL99" s="24" t="n">
        <v>0</v>
      </c>
      <c r="AM99" s="24" t="n">
        <v>1</v>
      </c>
      <c r="AN99" s="24" t="n">
        <v>0</v>
      </c>
      <c r="AO99" s="15" t="str">
        <v>CRUCE_PERSONA_MU_2022_2026</v>
      </c>
      <c r="AP99" s="15" t="str">
        <v>PENDIENTE</v>
      </c>
      <c r="AQ99" s="15" t="str">
        <v>PLAN_NO_OBSERVADO</v>
      </c>
      <c r="AR99" s="15" t="str">
        <v>E</v>
      </c>
      <c r="AS99" s="15" t="str">
        <v>MATRIZ / PUBLICA</v>
      </c>
      <c r="AT99" s="15" t="str">
        <v>SIN_ACTIVIDAD_ANUAL; ENLACE_EXPEDIENTE_CONSERVADO</v>
      </c>
      <c r="AU99" s="15" t="n">
        <v>4</v>
      </c>
      <c r="AV99" s="15" t="n">
        <v>4</v>
      </c>
      <c r="AW99" s="15" t="str">
        <v>VERSIONES_POR_DURACION_O_TIPO</v>
      </c>
      <c r="AX99" s="15" t="n">
        <v>2026</v>
      </c>
      <c r="AY99" s="15" t="str">
        <v>PUBLICA; última matrícula</v>
      </c>
    </row>
    <row r="100" ht="36" customHeight="1">
      <c r="A100" s="14" t="str">
        <v>I162S2C22J1V1</v>
      </c>
      <c r="B100" s="14" t="str">
        <v>INGENIERIA EN AUTOMATIZACION Y CONTROL INDUSTRIAL</v>
      </c>
      <c r="C100" s="14" t="str">
        <v>2</v>
      </c>
      <c r="D100" s="14" t="str">
        <v>1</v>
      </c>
      <c r="E100" s="14" t="str">
        <v>1</v>
      </c>
      <c r="F100" s="14" t="str">
        <v>Presencial</v>
      </c>
      <c r="G100" s="14" t="str">
        <v>Pregrado</v>
      </c>
      <c r="H100" s="14" t="str">
        <v>Plan Regular</v>
      </c>
      <c r="I100" s="21" t="n">
        <v>2014</v>
      </c>
      <c r="J100" s="21" t="n">
        <v>2014</v>
      </c>
      <c r="K100" s="22" t="n">
        <v>0</v>
      </c>
      <c r="L100" s="22" t="n">
        <v>0</v>
      </c>
      <c r="M100" s="22" t="n">
        <v>0</v>
      </c>
      <c r="N100" s="22" t="n">
        <v>0</v>
      </c>
      <c r="O100" s="22" t="n">
        <v>0</v>
      </c>
      <c r="P100" s="22" t="n">
        <v>0</v>
      </c>
      <c r="Q100" s="22" t="n">
        <v>0</v>
      </c>
      <c r="R100" s="22" t="n">
        <v>2</v>
      </c>
      <c r="S100" s="22" t="n">
        <v>0</v>
      </c>
      <c r="T100" s="22" t="n">
        <v>0</v>
      </c>
      <c r="U100" s="22" t="n">
        <v>0</v>
      </c>
      <c r="V100" s="22" t="n">
        <v>0</v>
      </c>
      <c r="W100" s="22" t="n">
        <v>0</v>
      </c>
      <c r="X100" s="22" t="n">
        <v>0</v>
      </c>
      <c r="Y100" s="22" t="n">
        <v>0</v>
      </c>
      <c r="Z100" s="22" t="n">
        <v>0</v>
      </c>
      <c r="AA100" s="22" t="n">
        <v>0</v>
      </c>
      <c r="AB100" s="22" t="n">
        <v>0</v>
      </c>
      <c r="AC100" s="22" t="n">
        <v>0</v>
      </c>
      <c r="AD100" s="22" t="n">
        <v>0</v>
      </c>
      <c r="AE100" s="14" t="str">
        <v>2</v>
      </c>
      <c r="AF100" s="14" t="str">
        <v>IACI</v>
      </c>
      <c r="AG100" s="14" t="str">
        <v>IACI20241</v>
      </c>
      <c r="AH100" s="14" t="str">
        <v>E</v>
      </c>
      <c r="AI100" s="14" t="str">
        <v>E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14" t="str">
        <v>APROBACION_D_2027</v>
      </c>
      <c r="AP100" s="14" t="str">
        <v>UNIDO</v>
      </c>
      <c r="AQ100" s="14" t="str">
        <v>UNIDO</v>
      </c>
      <c r="AR100" s="14" t="str">
        <v>D/C</v>
      </c>
      <c r="AS100" s="14" t="str">
        <v>H002 / PUBLICA</v>
      </c>
      <c r="AT100" s="14" t="str">
        <v>Catálogo 2027; no atribución retroactiva ni acreditación de cohorte/malla</v>
      </c>
      <c r="AU100" s="14" t="n">
        <v>8</v>
      </c>
      <c r="AV100" s="14" t="n">
        <v>8</v>
      </c>
      <c r="AW100" s="14" t="str">
        <v>UNA_VERSION_OBSERVADA</v>
      </c>
      <c r="AX100" s="14" t="n">
        <v>2014</v>
      </c>
      <c r="AY100" s="14" t="str">
        <v>PUBLICA; última matrícula</v>
      </c>
    </row>
    <row r="101" ht="36" customHeight="1">
      <c r="A101" s="15" t="str">
        <v>I162S2C22J1V1</v>
      </c>
      <c r="B101" s="15" t="str">
        <v>INGENIERIA EN AUTOMATIZACION Y CONTROL INDUSTRIAL</v>
      </c>
      <c r="C101" s="15" t="str">
        <v>2</v>
      </c>
      <c r="D101" s="15" t="str">
        <v>1</v>
      </c>
      <c r="E101" s="15" t="str">
        <v>1</v>
      </c>
      <c r="F101" s="15" t="str">
        <v>Presencial</v>
      </c>
      <c r="G101" s="15" t="str">
        <v>Pregrado</v>
      </c>
      <c r="H101" s="15" t="str">
        <v>Plan Regular</v>
      </c>
      <c r="I101" s="23" t="n">
        <v>2014</v>
      </c>
      <c r="J101" s="23" t="n">
        <v>2014</v>
      </c>
      <c r="K101" s="24" t="n">
        <v>0</v>
      </c>
      <c r="L101" s="24" t="n">
        <v>0</v>
      </c>
      <c r="M101" s="24" t="n">
        <v>0</v>
      </c>
      <c r="N101" s="24" t="n">
        <v>0</v>
      </c>
      <c r="O101" s="24" t="n">
        <v>0</v>
      </c>
      <c r="P101" s="24" t="n">
        <v>0</v>
      </c>
      <c r="Q101" s="24" t="n">
        <v>0</v>
      </c>
      <c r="R101" s="24" t="n">
        <v>2</v>
      </c>
      <c r="S101" s="24" t="n">
        <v>0</v>
      </c>
      <c r="T101" s="24" t="n">
        <v>0</v>
      </c>
      <c r="U101" s="24" t="n">
        <v>0</v>
      </c>
      <c r="V101" s="24" t="n">
        <v>0</v>
      </c>
      <c r="W101" s="24" t="n">
        <v>0</v>
      </c>
      <c r="X101" s="24" t="n">
        <v>0</v>
      </c>
      <c r="Y101" s="24" t="n">
        <v>0</v>
      </c>
      <c r="Z101" s="24" t="n">
        <v>0</v>
      </c>
      <c r="AA101" s="24" t="n">
        <v>0</v>
      </c>
      <c r="AB101" s="24" t="n">
        <v>0</v>
      </c>
      <c r="AC101" s="24" t="n">
        <v>0</v>
      </c>
      <c r="AD101" s="24" t="n">
        <v>0</v>
      </c>
      <c r="AE101" s="15" t="str">
        <v>2</v>
      </c>
      <c r="AF101" s="15" t="str">
        <v>IEMORE</v>
      </c>
      <c r="AG101" s="15" t="str">
        <v>IEMORE20141</v>
      </c>
      <c r="AH101" s="15" t="str">
        <v>E</v>
      </c>
      <c r="AI101" s="15" t="str">
        <v>E</v>
      </c>
      <c r="AJ101" s="24" t="n">
        <v>0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15" t="str">
        <v>APROBACION_D_2027</v>
      </c>
      <c r="AP101" s="15" t="str">
        <v>UNIDO</v>
      </c>
      <c r="AQ101" s="15" t="str">
        <v>UNIDO</v>
      </c>
      <c r="AR101" s="15" t="str">
        <v>D/C</v>
      </c>
      <c r="AS101" s="15" t="str">
        <v>H002 / PUBLICA</v>
      </c>
      <c r="AT101" s="15" t="str">
        <v>Catálogo 2027; no atribución retroactiva ni acreditación de cohorte/malla</v>
      </c>
      <c r="AU101" s="15" t="n">
        <v>8</v>
      </c>
      <c r="AV101" s="15" t="n">
        <v>8</v>
      </c>
      <c r="AW101" s="15" t="str">
        <v>UNA_VERSION_OBSERVADA</v>
      </c>
      <c r="AX101" s="15" t="n">
        <v>2014</v>
      </c>
      <c r="AY101" s="15" t="str">
        <v>PUBLICA; última matrícula</v>
      </c>
    </row>
    <row r="102" ht="36" customHeight="1">
      <c r="A102" s="14" t="str">
        <v>I162S2C22J1V1</v>
      </c>
      <c r="B102" s="14" t="str">
        <v>INGENIERIA EN AUTOMATIZACION Y CONTROL INDUSTRIAL</v>
      </c>
      <c r="C102" s="14" t="str">
        <v>2</v>
      </c>
      <c r="D102" s="14" t="str">
        <v>1</v>
      </c>
      <c r="E102" s="14" t="str">
        <v>1</v>
      </c>
      <c r="F102" s="14" t="str">
        <v>Presencial</v>
      </c>
      <c r="G102" s="14" t="str">
        <v>Pregrado</v>
      </c>
      <c r="H102" s="14" t="str">
        <v>Plan Regular</v>
      </c>
      <c r="I102" s="21" t="n">
        <v>2014</v>
      </c>
      <c r="J102" s="21" t="n">
        <v>2014</v>
      </c>
      <c r="K102" s="22" t="n">
        <v>0</v>
      </c>
      <c r="L102" s="22" t="n">
        <v>0</v>
      </c>
      <c r="M102" s="22" t="n">
        <v>0</v>
      </c>
      <c r="N102" s="22" t="n">
        <v>0</v>
      </c>
      <c r="O102" s="22" t="n">
        <v>0</v>
      </c>
      <c r="P102" s="22" t="n">
        <v>0</v>
      </c>
      <c r="Q102" s="22" t="n">
        <v>0</v>
      </c>
      <c r="R102" s="22" t="n">
        <v>2</v>
      </c>
      <c r="S102" s="22" t="n">
        <v>0</v>
      </c>
      <c r="T102" s="22" t="n">
        <v>0</v>
      </c>
      <c r="U102" s="22" t="n">
        <v>0</v>
      </c>
      <c r="V102" s="22" t="n">
        <v>0</v>
      </c>
      <c r="W102" s="22" t="n">
        <v>0</v>
      </c>
      <c r="X102" s="22" t="n">
        <v>0</v>
      </c>
      <c r="Y102" s="22" t="n">
        <v>0</v>
      </c>
      <c r="Z102" s="22" t="n">
        <v>0</v>
      </c>
      <c r="AA102" s="22" t="n">
        <v>0</v>
      </c>
      <c r="AB102" s="22" t="n">
        <v>0</v>
      </c>
      <c r="AC102" s="22" t="n">
        <v>0</v>
      </c>
      <c r="AD102" s="22" t="n">
        <v>0</v>
      </c>
      <c r="AE102" s="14" t="str">
        <v>2</v>
      </c>
      <c r="AF102" s="14" t="str">
        <v>IEMORE</v>
      </c>
      <c r="AG102" s="14" t="str">
        <v>IEMORE20151</v>
      </c>
      <c r="AH102" s="14" t="str">
        <v>E</v>
      </c>
      <c r="AI102" s="14" t="str">
        <v>E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14" t="str">
        <v>APROBACION_D_2027</v>
      </c>
      <c r="AP102" s="14" t="str">
        <v>UNIDO</v>
      </c>
      <c r="AQ102" s="14" t="str">
        <v>UNIDO</v>
      </c>
      <c r="AR102" s="14" t="str">
        <v>D/C</v>
      </c>
      <c r="AS102" s="14" t="str">
        <v>H002 / PUBLICA</v>
      </c>
      <c r="AT102" s="14" t="str">
        <v>Catálogo 2027; no atribución retroactiva ni acreditación de cohorte/malla</v>
      </c>
      <c r="AU102" s="14" t="n">
        <v>8</v>
      </c>
      <c r="AV102" s="14" t="n">
        <v>8</v>
      </c>
      <c r="AW102" s="14" t="str">
        <v>UNA_VERSION_OBSERVADA</v>
      </c>
      <c r="AX102" s="14" t="n">
        <v>2014</v>
      </c>
      <c r="AY102" s="14" t="str">
        <v>PUBLICA; última matrícula</v>
      </c>
    </row>
    <row r="103" ht="36" customHeight="1">
      <c r="A103" s="15" t="str">
        <v>I162S2C22J1V1</v>
      </c>
      <c r="B103" s="15" t="str">
        <v>INGENIERIA EN AUTOMATIZACION Y CONTROL INDUSTRIAL</v>
      </c>
      <c r="C103" s="15" t="str">
        <v>2</v>
      </c>
      <c r="D103" s="15" t="str">
        <v>1</v>
      </c>
      <c r="E103" s="15" t="str">
        <v>1</v>
      </c>
      <c r="F103" s="15" t="str">
        <v>Presencial</v>
      </c>
      <c r="G103" s="15" t="str">
        <v>Pregrado</v>
      </c>
      <c r="H103" s="15" t="str">
        <v>Plan Regular</v>
      </c>
      <c r="I103" s="23" t="n">
        <v>2014</v>
      </c>
      <c r="J103" s="23" t="n">
        <v>2014</v>
      </c>
      <c r="K103" s="24" t="n">
        <v>0</v>
      </c>
      <c r="L103" s="24" t="n">
        <v>0</v>
      </c>
      <c r="M103" s="24" t="n">
        <v>0</v>
      </c>
      <c r="N103" s="24" t="n">
        <v>0</v>
      </c>
      <c r="O103" s="24" t="n">
        <v>0</v>
      </c>
      <c r="P103" s="24" t="n">
        <v>0</v>
      </c>
      <c r="Q103" s="24" t="n">
        <v>0</v>
      </c>
      <c r="R103" s="24" t="n">
        <v>2</v>
      </c>
      <c r="S103" s="24" t="n">
        <v>0</v>
      </c>
      <c r="T103" s="24" t="n">
        <v>0</v>
      </c>
      <c r="U103" s="24" t="n">
        <v>0</v>
      </c>
      <c r="V103" s="24" t="n">
        <v>0</v>
      </c>
      <c r="W103" s="24" t="n">
        <v>0</v>
      </c>
      <c r="X103" s="24" t="n">
        <v>0</v>
      </c>
      <c r="Y103" s="24" t="n">
        <v>0</v>
      </c>
      <c r="Z103" s="24" t="n">
        <v>0</v>
      </c>
      <c r="AA103" s="24" t="n">
        <v>0</v>
      </c>
      <c r="AB103" s="24" t="n">
        <v>0</v>
      </c>
      <c r="AC103" s="24" t="n">
        <v>0</v>
      </c>
      <c r="AD103" s="24" t="n">
        <v>0</v>
      </c>
      <c r="AE103" s="15" t="str">
        <v>2</v>
      </c>
      <c r="AF103" s="15" t="str">
        <v>IEMORE</v>
      </c>
      <c r="AG103" s="15" t="str">
        <v>IEMORE20171</v>
      </c>
      <c r="AH103" s="15" t="str">
        <v>E</v>
      </c>
      <c r="AI103" s="15" t="str">
        <v>E</v>
      </c>
      <c r="AJ103" s="24" t="n">
        <v>0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15" t="str">
        <v>APROBACION_D_2027</v>
      </c>
      <c r="AP103" s="15" t="str">
        <v>UNIDO</v>
      </c>
      <c r="AQ103" s="15" t="str">
        <v>UNIDO</v>
      </c>
      <c r="AR103" s="15" t="str">
        <v>D/C</v>
      </c>
      <c r="AS103" s="15" t="str">
        <v>H002 / PUBLICA</v>
      </c>
      <c r="AT103" s="15" t="str">
        <v>Catálogo 2027; no atribución retroactiva ni acreditación de cohorte/malla</v>
      </c>
      <c r="AU103" s="15" t="n">
        <v>8</v>
      </c>
      <c r="AV103" s="15" t="n">
        <v>8</v>
      </c>
      <c r="AW103" s="15" t="str">
        <v>UNA_VERSION_OBSERVADA</v>
      </c>
      <c r="AX103" s="15" t="n">
        <v>2014</v>
      </c>
      <c r="AY103" s="15" t="str">
        <v>PUBLICA; última matrícula</v>
      </c>
    </row>
    <row r="104" ht="36" customHeight="1">
      <c r="A104" s="14" t="str">
        <v>I162S2C22J1V1</v>
      </c>
      <c r="B104" s="14" t="str">
        <v>INGENIERIA EN AUTOMATIZACION Y CONTROL INDUSTRIAL</v>
      </c>
      <c r="C104" s="14" t="str">
        <v>2</v>
      </c>
      <c r="D104" s="14" t="str">
        <v>1</v>
      </c>
      <c r="E104" s="14" t="str">
        <v>1</v>
      </c>
      <c r="F104" s="14" t="str">
        <v>Presencial</v>
      </c>
      <c r="G104" s="14" t="str">
        <v>Pregrado</v>
      </c>
      <c r="H104" s="14" t="str">
        <v>Plan Regular</v>
      </c>
      <c r="I104" s="21" t="n">
        <v>2014</v>
      </c>
      <c r="J104" s="21" t="n">
        <v>2014</v>
      </c>
      <c r="K104" s="22" t="n">
        <v>0</v>
      </c>
      <c r="L104" s="22" t="n">
        <v>0</v>
      </c>
      <c r="M104" s="22" t="n">
        <v>0</v>
      </c>
      <c r="N104" s="22" t="n">
        <v>0</v>
      </c>
      <c r="O104" s="22" t="n">
        <v>0</v>
      </c>
      <c r="P104" s="22" t="n">
        <v>0</v>
      </c>
      <c r="Q104" s="22" t="n">
        <v>0</v>
      </c>
      <c r="R104" s="22" t="n">
        <v>2</v>
      </c>
      <c r="S104" s="22" t="n">
        <v>0</v>
      </c>
      <c r="T104" s="22" t="n">
        <v>0</v>
      </c>
      <c r="U104" s="22" t="n">
        <v>0</v>
      </c>
      <c r="V104" s="22" t="n">
        <v>0</v>
      </c>
      <c r="W104" s="22" t="n">
        <v>0</v>
      </c>
      <c r="X104" s="22" t="n">
        <v>0</v>
      </c>
      <c r="Y104" s="22" t="n">
        <v>0</v>
      </c>
      <c r="Z104" s="22" t="n">
        <v>0</v>
      </c>
      <c r="AA104" s="22" t="n">
        <v>0</v>
      </c>
      <c r="AB104" s="22" t="n">
        <v>0</v>
      </c>
      <c r="AC104" s="22" t="n">
        <v>0</v>
      </c>
      <c r="AD104" s="22" t="n">
        <v>0</v>
      </c>
      <c r="AE104" s="14" t="str">
        <v>2</v>
      </c>
      <c r="AF104" s="14" t="str">
        <v>IEMORE</v>
      </c>
      <c r="AG104" s="14" t="str">
        <v>IEMORE20201</v>
      </c>
      <c r="AH104" s="14" t="str">
        <v>E</v>
      </c>
      <c r="AI104" s="14" t="str">
        <v>E</v>
      </c>
      <c r="AJ104" s="22" t="n">
        <v>0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14" t="str">
        <v>APROBACION_D_2027</v>
      </c>
      <c r="AP104" s="14" t="str">
        <v>UNIDO</v>
      </c>
      <c r="AQ104" s="14" t="str">
        <v>UNIDO</v>
      </c>
      <c r="AR104" s="14" t="str">
        <v>D/C</v>
      </c>
      <c r="AS104" s="14" t="str">
        <v>H002 / PUBLICA</v>
      </c>
      <c r="AT104" s="14" t="str">
        <v>Catálogo 2027; no atribución retroactiva ni acreditación de cohorte/malla</v>
      </c>
      <c r="AU104" s="14" t="n">
        <v>8</v>
      </c>
      <c r="AV104" s="14" t="n">
        <v>8</v>
      </c>
      <c r="AW104" s="14" t="str">
        <v>UNA_VERSION_OBSERVADA</v>
      </c>
      <c r="AX104" s="14" t="n">
        <v>2014</v>
      </c>
      <c r="AY104" s="14" t="str">
        <v>PUBLICA; última matrícula</v>
      </c>
    </row>
    <row r="105" ht="36" customHeight="1">
      <c r="A105" s="15" t="str">
        <v>I162S2C22J1V1</v>
      </c>
      <c r="B105" s="15" t="str">
        <v>INGENIERIA EN AUTOMATIZACION Y CONTROL INDUSTRIAL</v>
      </c>
      <c r="C105" s="15" t="str">
        <v>2</v>
      </c>
      <c r="D105" s="15" t="str">
        <v>1</v>
      </c>
      <c r="E105" s="15" t="str">
        <v>1</v>
      </c>
      <c r="F105" s="15" t="str">
        <v>Presencial</v>
      </c>
      <c r="G105" s="15" t="str">
        <v>Pregrado</v>
      </c>
      <c r="H105" s="15" t="str">
        <v>Plan Regular</v>
      </c>
      <c r="I105" s="23" t="n">
        <v>2014</v>
      </c>
      <c r="J105" s="23" t="n">
        <v>2014</v>
      </c>
      <c r="K105" s="24" t="n">
        <v>0</v>
      </c>
      <c r="L105" s="24" t="n">
        <v>0</v>
      </c>
      <c r="M105" s="24" t="n">
        <v>0</v>
      </c>
      <c r="N105" s="24" t="n">
        <v>0</v>
      </c>
      <c r="O105" s="24" t="n">
        <v>0</v>
      </c>
      <c r="P105" s="24" t="n">
        <v>0</v>
      </c>
      <c r="Q105" s="24" t="n">
        <v>0</v>
      </c>
      <c r="R105" s="24" t="n">
        <v>2</v>
      </c>
      <c r="S105" s="24" t="n">
        <v>0</v>
      </c>
      <c r="T105" s="24" t="n">
        <v>0</v>
      </c>
      <c r="U105" s="24" t="n">
        <v>0</v>
      </c>
      <c r="V105" s="24" t="n">
        <v>0</v>
      </c>
      <c r="W105" s="24" t="n">
        <v>0</v>
      </c>
      <c r="X105" s="24" t="n">
        <v>0</v>
      </c>
      <c r="Y105" s="24" t="n">
        <v>0</v>
      </c>
      <c r="Z105" s="24" t="n">
        <v>0</v>
      </c>
      <c r="AA105" s="24" t="n">
        <v>0</v>
      </c>
      <c r="AB105" s="24" t="n">
        <v>0</v>
      </c>
      <c r="AC105" s="24" t="n">
        <v>0</v>
      </c>
      <c r="AD105" s="24" t="n">
        <v>0</v>
      </c>
      <c r="AE105" s="15" t="str">
        <v>2</v>
      </c>
      <c r="AF105" s="15" t="str">
        <v>IEMORE</v>
      </c>
      <c r="AG105" s="15" t="str">
        <v>IEMORE20211</v>
      </c>
      <c r="AH105" s="15" t="str">
        <v>E</v>
      </c>
      <c r="AI105" s="15" t="str">
        <v>E</v>
      </c>
      <c r="AJ105" s="24" t="n">
        <v>0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15" t="str">
        <v>APROBACION_D_2027</v>
      </c>
      <c r="AP105" s="15" t="str">
        <v>UNIDO</v>
      </c>
      <c r="AQ105" s="15" t="str">
        <v>UNIDO</v>
      </c>
      <c r="AR105" s="15" t="str">
        <v>D/C</v>
      </c>
      <c r="AS105" s="15" t="str">
        <v>H002 / PUBLICA</v>
      </c>
      <c r="AT105" s="15" t="str">
        <v>Catálogo 2027; no atribución retroactiva ni acreditación de cohorte/malla</v>
      </c>
      <c r="AU105" s="15" t="n">
        <v>8</v>
      </c>
      <c r="AV105" s="15" t="n">
        <v>8</v>
      </c>
      <c r="AW105" s="15" t="str">
        <v>UNA_VERSION_OBSERVADA</v>
      </c>
      <c r="AX105" s="15" t="n">
        <v>2014</v>
      </c>
      <c r="AY105" s="15" t="str">
        <v>PUBLICA; última matrícula</v>
      </c>
    </row>
    <row r="106" ht="36" customHeight="1">
      <c r="A106" s="14" t="str">
        <v>I162S2C22J2V1</v>
      </c>
      <c r="B106" s="14" t="str">
        <v>INGENIERIA EN AUTOMATIZACION Y CONTROL INDUSTRIAL</v>
      </c>
      <c r="C106" s="14" t="str">
        <v>2</v>
      </c>
      <c r="D106" s="14" t="str">
        <v>2</v>
      </c>
      <c r="E106" s="14" t="str">
        <v>1</v>
      </c>
      <c r="F106" s="14" t="str">
        <v>Presencial</v>
      </c>
      <c r="G106" s="14" t="str">
        <v>Pregrado</v>
      </c>
      <c r="H106" s="14" t="str">
        <v>Plan Regular</v>
      </c>
      <c r="I106" s="21" t="n">
        <v>2014</v>
      </c>
      <c r="J106" s="21" t="n">
        <v>2022</v>
      </c>
      <c r="K106" s="22" t="n">
        <v>0</v>
      </c>
      <c r="L106" s="22" t="n">
        <v>0</v>
      </c>
      <c r="M106" s="22" t="n">
        <v>0</v>
      </c>
      <c r="N106" s="22" t="n">
        <v>0</v>
      </c>
      <c r="O106" s="22" t="n">
        <v>0</v>
      </c>
      <c r="P106" s="22" t="n">
        <v>0</v>
      </c>
      <c r="Q106" s="22" t="n">
        <v>0</v>
      </c>
      <c r="R106" s="22" t="n">
        <v>6</v>
      </c>
      <c r="S106" s="22" t="n">
        <v>11</v>
      </c>
      <c r="T106" s="22" t="n">
        <v>14</v>
      </c>
      <c r="U106" s="22" t="n">
        <v>24</v>
      </c>
      <c r="V106" s="22" t="n">
        <v>13</v>
      </c>
      <c r="W106" s="22" t="n">
        <v>11</v>
      </c>
      <c r="X106" s="22" t="n">
        <v>7</v>
      </c>
      <c r="Y106" s="22" t="n">
        <v>20</v>
      </c>
      <c r="Z106" s="22" t="n">
        <v>16</v>
      </c>
      <c r="AA106" s="22" t="n">
        <v>0</v>
      </c>
      <c r="AB106" s="22" t="n">
        <v>0</v>
      </c>
      <c r="AC106" s="22" t="n">
        <v>0</v>
      </c>
      <c r="AD106" s="22" t="n">
        <v>0</v>
      </c>
      <c r="AE106" s="14" t="str">
        <v>2</v>
      </c>
      <c r="AF106" s="14" t="str">
        <v>IEMORE</v>
      </c>
      <c r="AG106" s="14" t="str">
        <v>IEMORE20211</v>
      </c>
      <c r="AH106" s="14" t="str">
        <v>E</v>
      </c>
      <c r="AI106" s="14" t="str">
        <v>E</v>
      </c>
      <c r="AJ106" s="22" t="n">
        <v>16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14" t="str">
        <v>CRUCE_PERSONA_MU_2022_2026</v>
      </c>
      <c r="AP106" s="14" t="str">
        <v>UNIDO</v>
      </c>
      <c r="AQ106" s="14" t="str">
        <v>UNIDO</v>
      </c>
      <c r="AR106" s="14" t="str">
        <v>B/C</v>
      </c>
      <c r="AS106" s="14" t="str">
        <v>MATRIZ / PUBLICA</v>
      </c>
      <c r="AT106" s="14" t="str">
        <v>ANUAL</v>
      </c>
      <c r="AU106" s="14" t="n">
        <v>8</v>
      </c>
      <c r="AV106" s="14" t="n">
        <v>8</v>
      </c>
      <c r="AW106" s="14" t="str">
        <v>VERSIONES_POR_DURACION_O_TIPO</v>
      </c>
      <c r="AX106" s="14" t="n">
        <v>2022</v>
      </c>
      <c r="AY106" s="14" t="str">
        <v>PUBLICA; última matrícula</v>
      </c>
    </row>
    <row r="107" ht="36" customHeight="1">
      <c r="A107" s="15" t="str">
        <v>I162S2C22J2V2</v>
      </c>
      <c r="B107" s="15" t="str">
        <v>INGENIERIA EN AUTOMATIZACION Y CONTROL INDUSTRIAL</v>
      </c>
      <c r="C107" s="15" t="str">
        <v>2</v>
      </c>
      <c r="D107" s="15" t="str">
        <v>2</v>
      </c>
      <c r="E107" s="15" t="str">
        <v>2</v>
      </c>
      <c r="F107" s="15" t="str">
        <v>Presencial</v>
      </c>
      <c r="G107" s="15" t="str">
        <v>Pregrado</v>
      </c>
      <c r="H107" s="15" t="str">
        <v>Plan Regular de Continuidad</v>
      </c>
      <c r="I107" s="23" t="n">
        <v>2018</v>
      </c>
      <c r="J107" s="23" t="n">
        <v>2021</v>
      </c>
      <c r="K107" s="24" t="n">
        <v>0</v>
      </c>
      <c r="L107" s="24" t="n">
        <v>0</v>
      </c>
      <c r="M107" s="24" t="n">
        <v>0</v>
      </c>
      <c r="N107" s="24" t="n">
        <v>0</v>
      </c>
      <c r="O107" s="24" t="n">
        <v>0</v>
      </c>
      <c r="P107" s="24" t="n">
        <v>0</v>
      </c>
      <c r="Q107" s="24" t="n">
        <v>0</v>
      </c>
      <c r="R107" s="24" t="n">
        <v>0</v>
      </c>
      <c r="S107" s="24" t="n">
        <v>0</v>
      </c>
      <c r="T107" s="24" t="n">
        <v>0</v>
      </c>
      <c r="U107" s="24" t="n">
        <v>0</v>
      </c>
      <c r="V107" s="24" t="n">
        <v>4</v>
      </c>
      <c r="W107" s="24" t="n">
        <v>6</v>
      </c>
      <c r="X107" s="24" t="n">
        <v>9</v>
      </c>
      <c r="Y107" s="24" t="n">
        <v>8</v>
      </c>
      <c r="Z107" s="24" t="n">
        <v>0</v>
      </c>
      <c r="AA107" s="24" t="n">
        <v>0</v>
      </c>
      <c r="AB107" s="24" t="n">
        <v>0</v>
      </c>
      <c r="AC107" s="24" t="n">
        <v>0</v>
      </c>
      <c r="AD107" s="24" t="n">
        <v>0</v>
      </c>
      <c r="AE107" s="15" t="str">
        <v>2</v>
      </c>
      <c r="AF107" s="15" t="str">
        <v>E</v>
      </c>
      <c r="AG107" s="15" t="str">
        <v>E: sin plan</v>
      </c>
      <c r="AH107" s="15" t="str">
        <v>E</v>
      </c>
      <c r="AI107" s="15" t="str">
        <v>E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15" t="str">
        <v>SOLO_SIES_PRE_2022</v>
      </c>
      <c r="AP107" s="15" t="str">
        <v>PENDIENTE</v>
      </c>
      <c r="AQ107" s="15" t="str">
        <v>SOLO_ANTES_2022</v>
      </c>
      <c r="AR107" s="15" t="str">
        <v>E</v>
      </c>
      <c r="AS107" s="15" t="str">
        <v>PUBLICA</v>
      </c>
      <c r="AT107" s="15" t="str">
        <v>E</v>
      </c>
      <c r="AU107" s="15" t="n">
        <v>4</v>
      </c>
      <c r="AV107" s="15" t="n">
        <v>4</v>
      </c>
      <c r="AW107" s="15" t="str">
        <v>VERSIONES_POR_DURACION_O_TIPO</v>
      </c>
      <c r="AX107" s="15" t="n">
        <v>2021</v>
      </c>
      <c r="AY107" s="15" t="str">
        <v>PUBLICA; última matrícula</v>
      </c>
    </row>
    <row r="108" ht="36" customHeight="1">
      <c r="A108" s="14" t="str">
        <v>I162S2C22J4V1</v>
      </c>
      <c r="B108" s="14" t="str">
        <v>INGENIERIA EN AUTOMATIZACION Y CONTROL INDUSTRIAL</v>
      </c>
      <c r="C108" s="14" t="str">
        <v>2</v>
      </c>
      <c r="D108" s="14" t="str">
        <v>4</v>
      </c>
      <c r="E108" s="14" t="str">
        <v>1</v>
      </c>
      <c r="F108" s="14" t="str">
        <v>No presencial</v>
      </c>
      <c r="G108" s="14" t="str">
        <v>Pregrado</v>
      </c>
      <c r="H108" s="14" t="str">
        <v>Plan Regular</v>
      </c>
      <c r="I108" s="21" t="str">
        <v>n.a.</v>
      </c>
      <c r="J108" s="21" t="str">
        <v>n.a.</v>
      </c>
      <c r="K108" s="22" t="n">
        <v>0</v>
      </c>
      <c r="L108" s="22" t="n">
        <v>0</v>
      </c>
      <c r="M108" s="22" t="n">
        <v>0</v>
      </c>
      <c r="N108" s="22" t="n">
        <v>0</v>
      </c>
      <c r="O108" s="22" t="n">
        <v>0</v>
      </c>
      <c r="P108" s="22" t="n">
        <v>0</v>
      </c>
      <c r="Q108" s="22" t="n">
        <v>0</v>
      </c>
      <c r="R108" s="22" t="n">
        <v>0</v>
      </c>
      <c r="S108" s="22" t="n">
        <v>0</v>
      </c>
      <c r="T108" s="22" t="n">
        <v>0</v>
      </c>
      <c r="U108" s="22" t="n">
        <v>0</v>
      </c>
      <c r="V108" s="22" t="n">
        <v>0</v>
      </c>
      <c r="W108" s="22" t="n">
        <v>0</v>
      </c>
      <c r="X108" s="22" t="n">
        <v>0</v>
      </c>
      <c r="Y108" s="22" t="n">
        <v>0</v>
      </c>
      <c r="Z108" s="22" t="n">
        <v>0</v>
      </c>
      <c r="AA108" s="22" t="n">
        <v>0</v>
      </c>
      <c r="AB108" s="22" t="n">
        <v>0</v>
      </c>
      <c r="AC108" s="22" t="n">
        <v>0</v>
      </c>
      <c r="AD108" s="22" t="n">
        <v>0</v>
      </c>
      <c r="AE108" s="14" t="str">
        <v>2</v>
      </c>
      <c r="AF108" s="14" t="str">
        <v>E</v>
      </c>
      <c r="AG108" s="14" t="str">
        <v>E: sin plan</v>
      </c>
      <c r="AH108" s="14" t="str">
        <v>E</v>
      </c>
      <c r="AI108" s="14" t="str">
        <v>E</v>
      </c>
      <c r="AJ108" s="22" t="n">
        <v>0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14" t="str">
        <v>SIN_UNION</v>
      </c>
      <c r="AP108" s="14" t="str">
        <v>PENDIENTE</v>
      </c>
      <c r="AQ108" s="14" t="str">
        <v>SIN_ENLACE</v>
      </c>
      <c r="AR108" s="14" t="str">
        <v>E</v>
      </c>
      <c r="AS108" s="14" t="str">
        <v>PUBLICA</v>
      </c>
      <c r="AT108" s="14" t="str">
        <v>E</v>
      </c>
      <c r="AU108" s="14" t="n">
        <v>8</v>
      </c>
      <c r="AV108" s="14" t="n">
        <v>8</v>
      </c>
      <c r="AW108" s="14" t="str">
        <v>E: sin historia pública</v>
      </c>
      <c r="AX108" s="14" t="n">
        <v>2026</v>
      </c>
      <c r="AY108" s="14" t="str">
        <v>MAESTRO/oferta_anual; sin matrícula</v>
      </c>
    </row>
    <row r="109" ht="36" customHeight="1">
      <c r="A109" s="15" t="str">
        <v>I162S2C22J4V2</v>
      </c>
      <c r="B109" s="15" t="str">
        <v>INGENIERIA EN AUTOMATIZACION Y CONTROL INDUSTRIAL</v>
      </c>
      <c r="C109" s="15" t="str">
        <v>2</v>
      </c>
      <c r="D109" s="15" t="str">
        <v>4</v>
      </c>
      <c r="E109" s="15" t="str">
        <v>2</v>
      </c>
      <c r="F109" s="15" t="str">
        <v>No presencial</v>
      </c>
      <c r="G109" s="15" t="str">
        <v>Pregrado</v>
      </c>
      <c r="H109" s="15" t="str">
        <v>Plan Regular de Continuidad</v>
      </c>
      <c r="I109" s="23" t="n">
        <v>2026</v>
      </c>
      <c r="J109" s="23" t="n">
        <v>2026</v>
      </c>
      <c r="K109" s="24" t="n">
        <v>0</v>
      </c>
      <c r="L109" s="24" t="n">
        <v>0</v>
      </c>
      <c r="M109" s="24" t="n">
        <v>0</v>
      </c>
      <c r="N109" s="24" t="n">
        <v>0</v>
      </c>
      <c r="O109" s="24" t="n">
        <v>0</v>
      </c>
      <c r="P109" s="24" t="n">
        <v>0</v>
      </c>
      <c r="Q109" s="24" t="n">
        <v>0</v>
      </c>
      <c r="R109" s="24" t="n">
        <v>0</v>
      </c>
      <c r="S109" s="24" t="n">
        <v>0</v>
      </c>
      <c r="T109" s="24" t="n">
        <v>0</v>
      </c>
      <c r="U109" s="24" t="n">
        <v>0</v>
      </c>
      <c r="V109" s="24" t="n">
        <v>0</v>
      </c>
      <c r="W109" s="24" t="n">
        <v>0</v>
      </c>
      <c r="X109" s="24" t="n">
        <v>0</v>
      </c>
      <c r="Y109" s="24" t="n">
        <v>0</v>
      </c>
      <c r="Z109" s="24" t="n">
        <v>0</v>
      </c>
      <c r="AA109" s="24" t="n">
        <v>0</v>
      </c>
      <c r="AB109" s="24" t="n">
        <v>0</v>
      </c>
      <c r="AC109" s="24" t="n">
        <v>0</v>
      </c>
      <c r="AD109" s="24" t="n">
        <v>36</v>
      </c>
      <c r="AE109" s="15" t="str">
        <v>2</v>
      </c>
      <c r="AF109" s="15" t="str">
        <v>CIIND</v>
      </c>
      <c r="AG109" s="15" t="str">
        <v>CIIND20251</v>
      </c>
      <c r="AH109" s="15" t="str">
        <v>CONTINUIDAD</v>
      </c>
      <c r="AI109" s="15" t="str">
        <v>C</v>
      </c>
      <c r="AJ109" s="24" t="n">
        <v>0</v>
      </c>
      <c r="AK109" s="24" t="n">
        <v>0</v>
      </c>
      <c r="AL109" s="24" t="n">
        <v>0</v>
      </c>
      <c r="AM109" s="24" t="n">
        <v>0</v>
      </c>
      <c r="AN109" s="24" t="n">
        <v>36</v>
      </c>
      <c r="AO109" s="15" t="str">
        <v>CRUCE_PERSONA_MU_2022_2026</v>
      </c>
      <c r="AP109" s="15" t="str">
        <v>UNIDO</v>
      </c>
      <c r="AQ109" s="15" t="str">
        <v>UNIDO</v>
      </c>
      <c r="AR109" s="15" t="str">
        <v>B/C</v>
      </c>
      <c r="AS109" s="15" t="str">
        <v>MATRIZ / PUBLICA</v>
      </c>
      <c r="AT109" s="15" t="str">
        <v>ANUAL</v>
      </c>
      <c r="AU109" s="15" t="n">
        <v>4</v>
      </c>
      <c r="AV109" s="15" t="n">
        <v>4</v>
      </c>
      <c r="AW109" s="15" t="str">
        <v>UNA_VERSION_OBSERVADA</v>
      </c>
      <c r="AX109" s="15" t="n">
        <v>2026</v>
      </c>
      <c r="AY109" s="15" t="str">
        <v>PUBLICA; última matrícula</v>
      </c>
    </row>
    <row r="110" ht="36" customHeight="1">
      <c r="A110" s="14" t="str">
        <v>I162S2C22J4V2</v>
      </c>
      <c r="B110" s="14" t="str">
        <v>INGENIERIA EN AUTOMATIZACION Y CONTROL INDUSTRIAL</v>
      </c>
      <c r="C110" s="14" t="str">
        <v>2</v>
      </c>
      <c r="D110" s="14" t="str">
        <v>4</v>
      </c>
      <c r="E110" s="14" t="str">
        <v>2</v>
      </c>
      <c r="F110" s="14" t="str">
        <v>No presencial</v>
      </c>
      <c r="G110" s="14" t="str">
        <v>Pregrado</v>
      </c>
      <c r="H110" s="14" t="str">
        <v>Plan Regular de Continuidad</v>
      </c>
      <c r="I110" s="21" t="n">
        <v>2026</v>
      </c>
      <c r="J110" s="21" t="n">
        <v>2026</v>
      </c>
      <c r="K110" s="22" t="n">
        <v>0</v>
      </c>
      <c r="L110" s="22" t="n">
        <v>0</v>
      </c>
      <c r="M110" s="22" t="n">
        <v>0</v>
      </c>
      <c r="N110" s="22" t="n">
        <v>0</v>
      </c>
      <c r="O110" s="22" t="n">
        <v>0</v>
      </c>
      <c r="P110" s="22" t="n">
        <v>0</v>
      </c>
      <c r="Q110" s="22" t="n">
        <v>0</v>
      </c>
      <c r="R110" s="22" t="n">
        <v>0</v>
      </c>
      <c r="S110" s="22" t="n">
        <v>0</v>
      </c>
      <c r="T110" s="22" t="n">
        <v>0</v>
      </c>
      <c r="U110" s="22" t="n">
        <v>0</v>
      </c>
      <c r="V110" s="22" t="n">
        <v>0</v>
      </c>
      <c r="W110" s="22" t="n">
        <v>0</v>
      </c>
      <c r="X110" s="22" t="n">
        <v>0</v>
      </c>
      <c r="Y110" s="22" t="n">
        <v>0</v>
      </c>
      <c r="Z110" s="22" t="n">
        <v>0</v>
      </c>
      <c r="AA110" s="22" t="n">
        <v>0</v>
      </c>
      <c r="AB110" s="22" t="n">
        <v>0</v>
      </c>
      <c r="AC110" s="22" t="n">
        <v>0</v>
      </c>
      <c r="AD110" s="22" t="n">
        <v>36</v>
      </c>
      <c r="AE110" s="14" t="str">
        <v>2</v>
      </c>
      <c r="AF110" s="14" t="str">
        <v>CIIND</v>
      </c>
      <c r="AG110" s="14" t="str">
        <v>PLAN_NO_OBSERVADO</v>
      </c>
      <c r="AH110" s="14" t="str">
        <v>E</v>
      </c>
      <c r="AI110" s="14" t="str">
        <v>E</v>
      </c>
      <c r="AJ110" s="22" t="n">
        <v>0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14" t="str">
        <v>CRUCE_PERSONA_MU_2022_2026</v>
      </c>
      <c r="AP110" s="14" t="str">
        <v>PENDIENTE</v>
      </c>
      <c r="AQ110" s="14" t="str">
        <v>PLAN_NO_OBSERVADO</v>
      </c>
      <c r="AR110" s="14" t="str">
        <v>E</v>
      </c>
      <c r="AS110" s="14" t="str">
        <v>MATRIZ / PUBLICA</v>
      </c>
      <c r="AT110" s="14" t="str">
        <v>SIN_ACTIVIDAD_ANUAL; ENLACE_EXPEDIENTE_CONSERVADO</v>
      </c>
      <c r="AU110" s="14" t="n">
        <v>4</v>
      </c>
      <c r="AV110" s="14" t="n">
        <v>4</v>
      </c>
      <c r="AW110" s="14" t="str">
        <v>UNA_VERSION_OBSERVADA</v>
      </c>
      <c r="AX110" s="14" t="n">
        <v>2026</v>
      </c>
      <c r="AY110" s="14" t="str">
        <v>PUBLICA; última matrícula</v>
      </c>
    </row>
    <row r="111" ht="27" customHeight="1">
      <c r="A111" s="15" t="str">
        <v>I162S2C2J1V1</v>
      </c>
      <c r="B111" s="15" t="str">
        <v>TECNICO EN PROGRAMACION COMPUTACIONAL</v>
      </c>
      <c r="C111" s="15" t="str">
        <v>2</v>
      </c>
      <c r="D111" s="15" t="str">
        <v>1</v>
      </c>
      <c r="E111" s="15" t="str">
        <v>1</v>
      </c>
      <c r="F111" s="15" t="str">
        <v>Presencial</v>
      </c>
      <c r="G111" s="15" t="str">
        <v>Pregrado</v>
      </c>
      <c r="H111" s="15" t="str">
        <v>Plan Regular</v>
      </c>
      <c r="I111" s="23" t="n">
        <v>2008</v>
      </c>
      <c r="J111" s="23" t="n">
        <v>2021</v>
      </c>
      <c r="K111" s="24" t="n">
        <v>0</v>
      </c>
      <c r="L111" s="24" t="n">
        <v>40</v>
      </c>
      <c r="M111" s="24" t="n">
        <v>37</v>
      </c>
      <c r="N111" s="24" t="n">
        <v>41</v>
      </c>
      <c r="O111" s="24" t="n">
        <v>40</v>
      </c>
      <c r="P111" s="24" t="n">
        <v>44</v>
      </c>
      <c r="Q111" s="24" t="n">
        <v>60</v>
      </c>
      <c r="R111" s="24" t="n">
        <v>71</v>
      </c>
      <c r="S111" s="24" t="n">
        <v>60</v>
      </c>
      <c r="T111" s="24" t="n">
        <v>43</v>
      </c>
      <c r="U111" s="24" t="n">
        <v>52</v>
      </c>
      <c r="V111" s="24" t="n">
        <v>54</v>
      </c>
      <c r="W111" s="24" t="n">
        <v>28</v>
      </c>
      <c r="X111" s="24" t="n">
        <v>6</v>
      </c>
      <c r="Y111" s="24" t="n">
        <v>3</v>
      </c>
      <c r="Z111" s="24" t="n">
        <v>0</v>
      </c>
      <c r="AA111" s="24" t="n">
        <v>0</v>
      </c>
      <c r="AB111" s="24" t="n">
        <v>0</v>
      </c>
      <c r="AC111" s="24" t="n">
        <v>0</v>
      </c>
      <c r="AD111" s="24" t="n">
        <v>0</v>
      </c>
      <c r="AE111" s="15" t="str">
        <v>2</v>
      </c>
      <c r="AF111" s="15" t="str">
        <v>E</v>
      </c>
      <c r="AG111" s="15" t="str">
        <v>E: sin plan</v>
      </c>
      <c r="AH111" s="15" t="str">
        <v>E</v>
      </c>
      <c r="AI111" s="15" t="str">
        <v>E</v>
      </c>
      <c r="AJ111" s="24" t="n">
        <v>0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15" t="str">
        <v>SOLO_SIES_PRE_2022</v>
      </c>
      <c r="AP111" s="15" t="str">
        <v>PENDIENTE</v>
      </c>
      <c r="AQ111" s="15" t="str">
        <v>SOLO_ANTES_2022</v>
      </c>
      <c r="AR111" s="15" t="str">
        <v>E</v>
      </c>
      <c r="AS111" s="15" t="str">
        <v>PUBLICA</v>
      </c>
      <c r="AT111" s="15" t="str">
        <v>E</v>
      </c>
      <c r="AU111" s="15" t="n">
        <v>5</v>
      </c>
      <c r="AV111" s="15" t="n">
        <v>5</v>
      </c>
      <c r="AW111" s="15" t="str">
        <v>VERSIONES_POR_DURACION_O_TIPO</v>
      </c>
      <c r="AX111" s="15" t="n">
        <v>2021</v>
      </c>
      <c r="AY111" s="15" t="str">
        <v>PUBLICA; última matrícula</v>
      </c>
    </row>
    <row r="112" ht="27" customHeight="1">
      <c r="A112" s="14" t="str">
        <v>I162S2C2J1V2</v>
      </c>
      <c r="B112" s="14" t="str">
        <v>TECNICO EN PROGRAMACION COMPUTACIONAL</v>
      </c>
      <c r="C112" s="14" t="str">
        <v>2</v>
      </c>
      <c r="D112" s="14" t="str">
        <v>1</v>
      </c>
      <c r="E112" s="14" t="str">
        <v>2</v>
      </c>
      <c r="F112" s="14" t="str">
        <v>Presencial</v>
      </c>
      <c r="G112" s="14" t="str">
        <v>Pregrado</v>
      </c>
      <c r="H112" s="14" t="str">
        <v>Plan Regular</v>
      </c>
      <c r="I112" s="21" t="n">
        <v>2019</v>
      </c>
      <c r="J112" s="21" t="n">
        <v>2022</v>
      </c>
      <c r="K112" s="22" t="n">
        <v>0</v>
      </c>
      <c r="L112" s="22" t="n">
        <v>0</v>
      </c>
      <c r="M112" s="22" t="n">
        <v>0</v>
      </c>
      <c r="N112" s="22" t="n">
        <v>0</v>
      </c>
      <c r="O112" s="22" t="n">
        <v>0</v>
      </c>
      <c r="P112" s="22" t="n">
        <v>0</v>
      </c>
      <c r="Q112" s="22" t="n">
        <v>0</v>
      </c>
      <c r="R112" s="22" t="n">
        <v>0</v>
      </c>
      <c r="S112" s="22" t="n">
        <v>0</v>
      </c>
      <c r="T112" s="22" t="n">
        <v>0</v>
      </c>
      <c r="U112" s="22" t="n">
        <v>0</v>
      </c>
      <c r="V112" s="22" t="n">
        <v>0</v>
      </c>
      <c r="W112" s="22" t="n">
        <v>18</v>
      </c>
      <c r="X112" s="22" t="n">
        <v>14</v>
      </c>
      <c r="Y112" s="22" t="n">
        <v>8</v>
      </c>
      <c r="Z112" s="22" t="n">
        <v>3</v>
      </c>
      <c r="AA112" s="22" t="n">
        <v>0</v>
      </c>
      <c r="AB112" s="22" t="n">
        <v>0</v>
      </c>
      <c r="AC112" s="22" t="n">
        <v>0</v>
      </c>
      <c r="AD112" s="22" t="n">
        <v>0</v>
      </c>
      <c r="AE112" s="14" t="str">
        <v>2</v>
      </c>
      <c r="AF112" s="14" t="str">
        <v>TPCRE</v>
      </c>
      <c r="AG112" s="14" t="str">
        <v>TPCRE20151</v>
      </c>
      <c r="AH112" s="14" t="str">
        <v>REGULAR</v>
      </c>
      <c r="AI112" s="14" t="str">
        <v>C</v>
      </c>
      <c r="AJ112" s="22" t="n">
        <v>2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14" t="str">
        <v>CRUCE_PERSONA_MU_2022_2026</v>
      </c>
      <c r="AP112" s="14" t="str">
        <v>UNIDO</v>
      </c>
      <c r="AQ112" s="14" t="str">
        <v>UNIDO</v>
      </c>
      <c r="AR112" s="14" t="str">
        <v>B/C</v>
      </c>
      <c r="AS112" s="14" t="str">
        <v>MATRIZ / PUBLICA</v>
      </c>
      <c r="AT112" s="14" t="str">
        <v>ANUAL</v>
      </c>
      <c r="AU112" s="14" t="n">
        <v>5</v>
      </c>
      <c r="AV112" s="14" t="n">
        <v>5</v>
      </c>
      <c r="AW112" s="14" t="str">
        <v>VERSIONES_POR_DURACION_O_TIPO</v>
      </c>
      <c r="AX112" s="14" t="n">
        <v>2022</v>
      </c>
      <c r="AY112" s="14" t="str">
        <v>PUBLICA; última matrícula</v>
      </c>
    </row>
    <row r="113" ht="27" customHeight="1">
      <c r="A113" s="15" t="str">
        <v>I162S2C2J1V2</v>
      </c>
      <c r="B113" s="15" t="str">
        <v>TECNICO EN PROGRAMACION COMPUTACIONAL</v>
      </c>
      <c r="C113" s="15" t="str">
        <v>2</v>
      </c>
      <c r="D113" s="15" t="str">
        <v>1</v>
      </c>
      <c r="E113" s="15" t="str">
        <v>2</v>
      </c>
      <c r="F113" s="15" t="str">
        <v>Presencial</v>
      </c>
      <c r="G113" s="15" t="str">
        <v>Pregrado</v>
      </c>
      <c r="H113" s="15" t="str">
        <v>Plan Regular</v>
      </c>
      <c r="I113" s="23" t="n">
        <v>2019</v>
      </c>
      <c r="J113" s="23" t="n">
        <v>2022</v>
      </c>
      <c r="K113" s="24" t="n">
        <v>0</v>
      </c>
      <c r="L113" s="24" t="n">
        <v>0</v>
      </c>
      <c r="M113" s="24" t="n">
        <v>0</v>
      </c>
      <c r="N113" s="24" t="n">
        <v>0</v>
      </c>
      <c r="O113" s="24" t="n">
        <v>0</v>
      </c>
      <c r="P113" s="24" t="n">
        <v>0</v>
      </c>
      <c r="Q113" s="24" t="n">
        <v>0</v>
      </c>
      <c r="R113" s="24" t="n">
        <v>0</v>
      </c>
      <c r="S113" s="24" t="n">
        <v>0</v>
      </c>
      <c r="T113" s="24" t="n">
        <v>0</v>
      </c>
      <c r="U113" s="24" t="n">
        <v>0</v>
      </c>
      <c r="V113" s="24" t="n">
        <v>0</v>
      </c>
      <c r="W113" s="24" t="n">
        <v>18</v>
      </c>
      <c r="X113" s="24" t="n">
        <v>14</v>
      </c>
      <c r="Y113" s="24" t="n">
        <v>8</v>
      </c>
      <c r="Z113" s="24" t="n">
        <v>3</v>
      </c>
      <c r="AA113" s="24" t="n">
        <v>0</v>
      </c>
      <c r="AB113" s="24" t="n">
        <v>0</v>
      </c>
      <c r="AC113" s="24" t="n">
        <v>0</v>
      </c>
      <c r="AD113" s="24" t="n">
        <v>0</v>
      </c>
      <c r="AE113" s="15" t="str">
        <v>2</v>
      </c>
      <c r="AF113" s="15" t="str">
        <v>TPCRE</v>
      </c>
      <c r="AG113" s="15" t="str">
        <v>TPCRE20191</v>
      </c>
      <c r="AH113" s="15" t="str">
        <v>REGULAR</v>
      </c>
      <c r="AI113" s="15" t="str">
        <v>C</v>
      </c>
      <c r="AJ113" s="24" t="n">
        <v>1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15" t="str">
        <v>CRUCE_PERSONA_MU_2022_2026</v>
      </c>
      <c r="AP113" s="15" t="str">
        <v>UNIDO</v>
      </c>
      <c r="AQ113" s="15" t="str">
        <v>UNIDO</v>
      </c>
      <c r="AR113" s="15" t="str">
        <v>B/C</v>
      </c>
      <c r="AS113" s="15" t="str">
        <v>MATRIZ / PUBLICA</v>
      </c>
      <c r="AT113" s="15" t="str">
        <v>ANUAL</v>
      </c>
      <c r="AU113" s="15" t="n">
        <v>5</v>
      </c>
      <c r="AV113" s="15" t="n">
        <v>5</v>
      </c>
      <c r="AW113" s="15" t="str">
        <v>VERSIONES_POR_DURACION_O_TIPO</v>
      </c>
      <c r="AX113" s="15" t="n">
        <v>2022</v>
      </c>
      <c r="AY113" s="15" t="str">
        <v>PUBLICA; última matrícula</v>
      </c>
    </row>
    <row r="114" ht="27" customHeight="1">
      <c r="A114" s="14" t="str">
        <v>I162S2C2J2V1</v>
      </c>
      <c r="B114" s="14" t="str">
        <v>TECNICO EN PROGRAMACION COMPUTACIONAL</v>
      </c>
      <c r="C114" s="14" t="str">
        <v>2</v>
      </c>
      <c r="D114" s="14" t="str">
        <v>2</v>
      </c>
      <c r="E114" s="14" t="str">
        <v>1</v>
      </c>
      <c r="F114" s="14" t="str">
        <v>Presencial</v>
      </c>
      <c r="G114" s="14" t="str">
        <v>Pregrado</v>
      </c>
      <c r="H114" s="14" t="str">
        <v>Plan Regular</v>
      </c>
      <c r="I114" s="21" t="n">
        <v>2007</v>
      </c>
      <c r="J114" s="21" t="n">
        <v>2021</v>
      </c>
      <c r="K114" s="22" t="n">
        <v>100</v>
      </c>
      <c r="L114" s="22" t="n">
        <v>75</v>
      </c>
      <c r="M114" s="22" t="n">
        <v>65</v>
      </c>
      <c r="N114" s="22" t="n">
        <v>94</v>
      </c>
      <c r="O114" s="22" t="n">
        <v>108</v>
      </c>
      <c r="P114" s="22" t="n">
        <v>130</v>
      </c>
      <c r="Q114" s="22" t="n">
        <v>160</v>
      </c>
      <c r="R114" s="22" t="n">
        <v>141</v>
      </c>
      <c r="S114" s="22" t="n">
        <v>119</v>
      </c>
      <c r="T114" s="22" t="n">
        <v>125</v>
      </c>
      <c r="U114" s="22" t="n">
        <v>121</v>
      </c>
      <c r="V114" s="22" t="n">
        <v>77</v>
      </c>
      <c r="W114" s="22" t="n">
        <v>42</v>
      </c>
      <c r="X114" s="22" t="n">
        <v>22</v>
      </c>
      <c r="Y114" s="22" t="n">
        <v>3</v>
      </c>
      <c r="Z114" s="22" t="n">
        <v>0</v>
      </c>
      <c r="AA114" s="22" t="n">
        <v>0</v>
      </c>
      <c r="AB114" s="22" t="n">
        <v>0</v>
      </c>
      <c r="AC114" s="22" t="n">
        <v>0</v>
      </c>
      <c r="AD114" s="22" t="n">
        <v>0</v>
      </c>
      <c r="AE114" s="14" t="str">
        <v>2</v>
      </c>
      <c r="AF114" s="14" t="str">
        <v>E</v>
      </c>
      <c r="AG114" s="14" t="str">
        <v>E: sin plan</v>
      </c>
      <c r="AH114" s="14" t="str">
        <v>E</v>
      </c>
      <c r="AI114" s="14" t="str">
        <v>E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14" t="str">
        <v>SOLO_SIES_PRE_2022</v>
      </c>
      <c r="AP114" s="14" t="str">
        <v>PENDIENTE</v>
      </c>
      <c r="AQ114" s="14" t="str">
        <v>SOLO_ANTES_2022</v>
      </c>
      <c r="AR114" s="14" t="str">
        <v>E</v>
      </c>
      <c r="AS114" s="14" t="str">
        <v>PUBLICA</v>
      </c>
      <c r="AT114" s="14" t="str">
        <v>E</v>
      </c>
      <c r="AU114" s="14" t="n">
        <v>5</v>
      </c>
      <c r="AV114" s="14" t="n">
        <v>5</v>
      </c>
      <c r="AW114" s="14" t="str">
        <v>VERSIONES_POR_DURACION_O_TIPO</v>
      </c>
      <c r="AX114" s="14" t="n">
        <v>2021</v>
      </c>
      <c r="AY114" s="14" t="str">
        <v>PUBLICA; última matrícula</v>
      </c>
    </row>
    <row r="115" ht="27" customHeight="1">
      <c r="A115" s="15" t="str">
        <v>I162S2C2J2V2</v>
      </c>
      <c r="B115" s="15" t="str">
        <v>TECNICO EN PROGRAMACION COMPUTACIONAL</v>
      </c>
      <c r="C115" s="15" t="str">
        <v>2</v>
      </c>
      <c r="D115" s="15" t="str">
        <v>2</v>
      </c>
      <c r="E115" s="15" t="str">
        <v>2</v>
      </c>
      <c r="F115" s="15" t="str">
        <v>Presencial</v>
      </c>
      <c r="G115" s="15" t="str">
        <v>Pregrado</v>
      </c>
      <c r="H115" s="15" t="str">
        <v>Plan Regular</v>
      </c>
      <c r="I115" s="23" t="n">
        <v>2019</v>
      </c>
      <c r="J115" s="23" t="n">
        <v>2021</v>
      </c>
      <c r="K115" s="24" t="n">
        <v>0</v>
      </c>
      <c r="L115" s="24" t="n">
        <v>0</v>
      </c>
      <c r="M115" s="24" t="n">
        <v>0</v>
      </c>
      <c r="N115" s="24" t="n">
        <v>0</v>
      </c>
      <c r="O115" s="24" t="n">
        <v>0</v>
      </c>
      <c r="P115" s="24" t="n">
        <v>0</v>
      </c>
      <c r="Q115" s="24" t="n">
        <v>0</v>
      </c>
      <c r="R115" s="24" t="n">
        <v>0</v>
      </c>
      <c r="S115" s="24" t="n">
        <v>0</v>
      </c>
      <c r="T115" s="24" t="n">
        <v>0</v>
      </c>
      <c r="U115" s="24" t="n">
        <v>0</v>
      </c>
      <c r="V115" s="24" t="n">
        <v>0</v>
      </c>
      <c r="W115" s="24" t="n">
        <v>35</v>
      </c>
      <c r="X115" s="24" t="n">
        <v>21</v>
      </c>
      <c r="Y115" s="24" t="n">
        <v>7</v>
      </c>
      <c r="Z115" s="24" t="n">
        <v>0</v>
      </c>
      <c r="AA115" s="24" t="n">
        <v>0</v>
      </c>
      <c r="AB115" s="24" t="n">
        <v>0</v>
      </c>
      <c r="AC115" s="24" t="n">
        <v>0</v>
      </c>
      <c r="AD115" s="24" t="n">
        <v>0</v>
      </c>
      <c r="AE115" s="15" t="str">
        <v>2</v>
      </c>
      <c r="AF115" s="15" t="str">
        <v>E</v>
      </c>
      <c r="AG115" s="15" t="str">
        <v>E: sin plan</v>
      </c>
      <c r="AH115" s="15" t="str">
        <v>E</v>
      </c>
      <c r="AI115" s="15" t="str">
        <v>E</v>
      </c>
      <c r="AJ115" s="24" t="n">
        <v>0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15" t="str">
        <v>SOLO_SIES_PRE_2022</v>
      </c>
      <c r="AP115" s="15" t="str">
        <v>PENDIENTE</v>
      </c>
      <c r="AQ115" s="15" t="str">
        <v>SOLO_ANTES_2022</v>
      </c>
      <c r="AR115" s="15" t="str">
        <v>E</v>
      </c>
      <c r="AS115" s="15" t="str">
        <v>PUBLICA</v>
      </c>
      <c r="AT115" s="15" t="str">
        <v>E</v>
      </c>
      <c r="AU115" s="15" t="n">
        <v>5</v>
      </c>
      <c r="AV115" s="15" t="n">
        <v>5</v>
      </c>
      <c r="AW115" s="15" t="str">
        <v>VERSIONES_POR_DURACION_O_TIPO</v>
      </c>
      <c r="AX115" s="15" t="n">
        <v>2021</v>
      </c>
      <c r="AY115" s="15" t="str">
        <v>PUBLICA; última matrícula</v>
      </c>
    </row>
    <row r="116" ht="27" customHeight="1">
      <c r="A116" s="14" t="str">
        <v>I162S2C2J4V1</v>
      </c>
      <c r="B116" s="14" t="str">
        <v>TECNICO EN PROGRAMACION COMPUTACIONAL</v>
      </c>
      <c r="C116" s="14" t="str">
        <v>2</v>
      </c>
      <c r="D116" s="14" t="str">
        <v>4</v>
      </c>
      <c r="E116" s="14" t="str">
        <v>1</v>
      </c>
      <c r="F116" s="14" t="str">
        <v>No presencial</v>
      </c>
      <c r="G116" s="14" t="str">
        <v>Pregrado</v>
      </c>
      <c r="H116" s="14" t="str">
        <v>Plan Regular</v>
      </c>
      <c r="I116" s="21" t="n">
        <v>2017</v>
      </c>
      <c r="J116" s="21" t="n">
        <v>2021</v>
      </c>
      <c r="K116" s="22" t="n">
        <v>0</v>
      </c>
      <c r="L116" s="22" t="n">
        <v>0</v>
      </c>
      <c r="M116" s="22" t="n">
        <v>0</v>
      </c>
      <c r="N116" s="22" t="n">
        <v>0</v>
      </c>
      <c r="O116" s="22" t="n">
        <v>0</v>
      </c>
      <c r="P116" s="22" t="n">
        <v>0</v>
      </c>
      <c r="Q116" s="22" t="n">
        <v>0</v>
      </c>
      <c r="R116" s="22" t="n">
        <v>0</v>
      </c>
      <c r="S116" s="22" t="n">
        <v>0</v>
      </c>
      <c r="T116" s="22" t="n">
        <v>0</v>
      </c>
      <c r="U116" s="22" t="n">
        <v>22</v>
      </c>
      <c r="V116" s="22" t="n">
        <v>35</v>
      </c>
      <c r="W116" s="22" t="n">
        <v>32</v>
      </c>
      <c r="X116" s="22" t="n">
        <v>20</v>
      </c>
      <c r="Y116" s="22" t="n">
        <v>6</v>
      </c>
      <c r="Z116" s="22" t="n">
        <v>0</v>
      </c>
      <c r="AA116" s="22" t="n">
        <v>0</v>
      </c>
      <c r="AB116" s="22" t="n">
        <v>0</v>
      </c>
      <c r="AC116" s="22" t="n">
        <v>0</v>
      </c>
      <c r="AD116" s="22" t="n">
        <v>0</v>
      </c>
      <c r="AE116" s="14" t="str">
        <v>2</v>
      </c>
      <c r="AF116" s="14" t="str">
        <v>E</v>
      </c>
      <c r="AG116" s="14" t="str">
        <v>E: sin plan</v>
      </c>
      <c r="AH116" s="14" t="str">
        <v>E</v>
      </c>
      <c r="AI116" s="14" t="str">
        <v>E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14" t="str">
        <v>SOLO_SIES_PRE_2022</v>
      </c>
      <c r="AP116" s="14" t="str">
        <v>PENDIENTE</v>
      </c>
      <c r="AQ116" s="14" t="str">
        <v>SOLO_ANTES_2022</v>
      </c>
      <c r="AR116" s="14" t="str">
        <v>E</v>
      </c>
      <c r="AS116" s="14" t="str">
        <v>PUBLICA</v>
      </c>
      <c r="AT116" s="14" t="str">
        <v>E</v>
      </c>
      <c r="AU116" s="14" t="n">
        <v>5</v>
      </c>
      <c r="AV116" s="14" t="n">
        <v>5</v>
      </c>
      <c r="AW116" s="14" t="str">
        <v>VERSIONES_ATRIBUTOS_IDENTICOS</v>
      </c>
      <c r="AX116" s="14" t="n">
        <v>2021</v>
      </c>
      <c r="AY116" s="14" t="str">
        <v>PUBLICA; última matrícula</v>
      </c>
    </row>
    <row r="117" ht="27" customHeight="1">
      <c r="A117" s="15" t="str">
        <v>I162S2C2J4V2</v>
      </c>
      <c r="B117" s="15" t="str">
        <v>TECNICO EN PROGRAMACION COMPUTACIONAL</v>
      </c>
      <c r="C117" s="15" t="str">
        <v>2</v>
      </c>
      <c r="D117" s="15" t="str">
        <v>4</v>
      </c>
      <c r="E117" s="15" t="str">
        <v>2</v>
      </c>
      <c r="F117" s="15" t="str">
        <v>No presencial</v>
      </c>
      <c r="G117" s="15" t="str">
        <v>Pregrado</v>
      </c>
      <c r="H117" s="15" t="str">
        <v>Plan Regular</v>
      </c>
      <c r="I117" s="23" t="n">
        <v>2019</v>
      </c>
      <c r="J117" s="23" t="n">
        <v>2022</v>
      </c>
      <c r="K117" s="24" t="n">
        <v>0</v>
      </c>
      <c r="L117" s="24" t="n">
        <v>0</v>
      </c>
      <c r="M117" s="24" t="n">
        <v>0</v>
      </c>
      <c r="N117" s="24" t="n">
        <v>0</v>
      </c>
      <c r="O117" s="24" t="n">
        <v>0</v>
      </c>
      <c r="P117" s="24" t="n">
        <v>0</v>
      </c>
      <c r="Q117" s="24" t="n">
        <v>0</v>
      </c>
      <c r="R117" s="24" t="n">
        <v>0</v>
      </c>
      <c r="S117" s="24" t="n">
        <v>0</v>
      </c>
      <c r="T117" s="24" t="n">
        <v>0</v>
      </c>
      <c r="U117" s="24" t="n">
        <v>0</v>
      </c>
      <c r="V117" s="24" t="n">
        <v>0</v>
      </c>
      <c r="W117" s="24" t="n">
        <v>12</v>
      </c>
      <c r="X117" s="24" t="n">
        <v>16</v>
      </c>
      <c r="Y117" s="24" t="n">
        <v>9</v>
      </c>
      <c r="Z117" s="24" t="n">
        <v>1</v>
      </c>
      <c r="AA117" s="24" t="n">
        <v>0</v>
      </c>
      <c r="AB117" s="24" t="n">
        <v>0</v>
      </c>
      <c r="AC117" s="24" t="n">
        <v>0</v>
      </c>
      <c r="AD117" s="24" t="n">
        <v>0</v>
      </c>
      <c r="AE117" s="15" t="str">
        <v>2</v>
      </c>
      <c r="AF117" s="15" t="str">
        <v>TPCREOL</v>
      </c>
      <c r="AG117" s="15" t="str">
        <v>TPCREOL</v>
      </c>
      <c r="AH117" s="15" t="str">
        <v>REGULAR</v>
      </c>
      <c r="AI117" s="15" t="str">
        <v>C</v>
      </c>
      <c r="AJ117" s="24" t="n">
        <v>1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15" t="str">
        <v>CRUCE_PERSONA_MU_2022_2026</v>
      </c>
      <c r="AP117" s="15" t="str">
        <v>UNIDO</v>
      </c>
      <c r="AQ117" s="15" t="str">
        <v>UNIDO</v>
      </c>
      <c r="AR117" s="15" t="str">
        <v>B/C</v>
      </c>
      <c r="AS117" s="15" t="str">
        <v>MATRIZ / PUBLICA</v>
      </c>
      <c r="AT117" s="15" t="str">
        <v>ANUAL</v>
      </c>
      <c r="AU117" s="15" t="n">
        <v>5</v>
      </c>
      <c r="AV117" s="15" t="n">
        <v>5</v>
      </c>
      <c r="AW117" s="15" t="str">
        <v>VERSIONES_ATRIBUTOS_IDENTICOS</v>
      </c>
      <c r="AX117" s="15" t="n">
        <v>2022</v>
      </c>
      <c r="AY117" s="15" t="str">
        <v>PUBLICA; última matrícula</v>
      </c>
    </row>
    <row r="118" ht="27" customHeight="1">
      <c r="A118" s="14" t="str">
        <v>I162S2C35J1V1</v>
      </c>
      <c r="B118" s="14" t="str">
        <v>TECNICO EN ANALISIS DE SISTEMAS</v>
      </c>
      <c r="C118" s="14" t="str">
        <v>2</v>
      </c>
      <c r="D118" s="14" t="str">
        <v>1</v>
      </c>
      <c r="E118" s="14" t="str">
        <v>1</v>
      </c>
      <c r="F118" s="14" t="str">
        <v>Presencial</v>
      </c>
      <c r="G118" s="14" t="str">
        <v>Pregrado</v>
      </c>
      <c r="H118" s="14" t="str">
        <v>Plan Regular</v>
      </c>
      <c r="I118" s="21" t="n">
        <v>2015</v>
      </c>
      <c r="J118" s="21" t="n">
        <v>2019</v>
      </c>
      <c r="K118" s="22" t="n">
        <v>0</v>
      </c>
      <c r="L118" s="22" t="n">
        <v>0</v>
      </c>
      <c r="M118" s="22" t="n">
        <v>0</v>
      </c>
      <c r="N118" s="22" t="n">
        <v>0</v>
      </c>
      <c r="O118" s="22" t="n">
        <v>0</v>
      </c>
      <c r="P118" s="22" t="n">
        <v>0</v>
      </c>
      <c r="Q118" s="22" t="n">
        <v>0</v>
      </c>
      <c r="R118" s="22" t="n">
        <v>0</v>
      </c>
      <c r="S118" s="22" t="n">
        <v>7</v>
      </c>
      <c r="T118" s="22" t="n">
        <v>7</v>
      </c>
      <c r="U118" s="22" t="n">
        <v>20</v>
      </c>
      <c r="V118" s="22" t="n">
        <v>8</v>
      </c>
      <c r="W118" s="22" t="n">
        <v>5</v>
      </c>
      <c r="X118" s="22" t="n">
        <v>0</v>
      </c>
      <c r="Y118" s="22" t="n">
        <v>0</v>
      </c>
      <c r="Z118" s="22" t="n">
        <v>0</v>
      </c>
      <c r="AA118" s="22" t="n">
        <v>0</v>
      </c>
      <c r="AB118" s="22" t="n">
        <v>0</v>
      </c>
      <c r="AC118" s="22" t="n">
        <v>0</v>
      </c>
      <c r="AD118" s="22" t="n">
        <v>0</v>
      </c>
      <c r="AE118" s="14" t="str">
        <v>2</v>
      </c>
      <c r="AF118" s="14" t="str">
        <v>E</v>
      </c>
      <c r="AG118" s="14" t="str">
        <v>E: sin plan</v>
      </c>
      <c r="AH118" s="14" t="str">
        <v>E</v>
      </c>
      <c r="AI118" s="14" t="str">
        <v>E</v>
      </c>
      <c r="AJ118" s="22" t="n">
        <v>0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14" t="str">
        <v>SOLO_SIES_PRE_2022</v>
      </c>
      <c r="AP118" s="14" t="str">
        <v>PENDIENTE</v>
      </c>
      <c r="AQ118" s="14" t="str">
        <v>HISTORICO_SIN_MATRICULA_RECIENTE</v>
      </c>
      <c r="AR118" s="14" t="str">
        <v>E</v>
      </c>
      <c r="AS118" s="14" t="str">
        <v>PUBLICA</v>
      </c>
      <c r="AT118" s="14" t="str">
        <v>E</v>
      </c>
      <c r="AU118" s="14" t="n">
        <v>6</v>
      </c>
      <c r="AV118" s="14" t="n">
        <v>6</v>
      </c>
      <c r="AW118" s="14" t="str">
        <v>VERSIONES_ATRIBUTOS_IDENTICOS</v>
      </c>
      <c r="AX118" s="14" t="n">
        <v>2019</v>
      </c>
      <c r="AY118" s="14" t="str">
        <v>PUBLICA; última matrícula</v>
      </c>
    </row>
    <row r="119" ht="27" customHeight="1">
      <c r="A119" s="15" t="str">
        <v>I162S2C35J1V2</v>
      </c>
      <c r="B119" s="15" t="str">
        <v>TECNICO EN ANALISIS DE SISTEMAS</v>
      </c>
      <c r="C119" s="15" t="str">
        <v>2</v>
      </c>
      <c r="D119" s="15" t="str">
        <v>1</v>
      </c>
      <c r="E119" s="15" t="str">
        <v>2</v>
      </c>
      <c r="F119" s="15" t="str">
        <v>Presencial</v>
      </c>
      <c r="G119" s="15" t="str">
        <v>Pregrado</v>
      </c>
      <c r="H119" s="15" t="str">
        <v>Plan Regular</v>
      </c>
      <c r="I119" s="23" t="n">
        <v>2019</v>
      </c>
      <c r="J119" s="23" t="n">
        <v>2019</v>
      </c>
      <c r="K119" s="24" t="n">
        <v>0</v>
      </c>
      <c r="L119" s="24" t="n">
        <v>0</v>
      </c>
      <c r="M119" s="24" t="n">
        <v>0</v>
      </c>
      <c r="N119" s="24" t="n">
        <v>0</v>
      </c>
      <c r="O119" s="24" t="n">
        <v>0</v>
      </c>
      <c r="P119" s="24" t="n">
        <v>0</v>
      </c>
      <c r="Q119" s="24" t="n">
        <v>0</v>
      </c>
      <c r="R119" s="24" t="n">
        <v>0</v>
      </c>
      <c r="S119" s="24" t="n">
        <v>0</v>
      </c>
      <c r="T119" s="24" t="n">
        <v>0</v>
      </c>
      <c r="U119" s="24" t="n">
        <v>0</v>
      </c>
      <c r="V119" s="24" t="n">
        <v>0</v>
      </c>
      <c r="W119" s="24" t="n">
        <v>1</v>
      </c>
      <c r="X119" s="24" t="n">
        <v>0</v>
      </c>
      <c r="Y119" s="24" t="n">
        <v>0</v>
      </c>
      <c r="Z119" s="24" t="n">
        <v>0</v>
      </c>
      <c r="AA119" s="24" t="n">
        <v>0</v>
      </c>
      <c r="AB119" s="24" t="n">
        <v>0</v>
      </c>
      <c r="AC119" s="24" t="n">
        <v>0</v>
      </c>
      <c r="AD119" s="24" t="n">
        <v>0</v>
      </c>
      <c r="AE119" s="15" t="str">
        <v>2</v>
      </c>
      <c r="AF119" s="15" t="str">
        <v>E</v>
      </c>
      <c r="AG119" s="15" t="str">
        <v>E: sin plan</v>
      </c>
      <c r="AH119" s="15" t="str">
        <v>E</v>
      </c>
      <c r="AI119" s="15" t="str">
        <v>E</v>
      </c>
      <c r="AJ119" s="24" t="n">
        <v>0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15" t="str">
        <v>SOLO_SIES_PRE_2022</v>
      </c>
      <c r="AP119" s="15" t="str">
        <v>PENDIENTE</v>
      </c>
      <c r="AQ119" s="15" t="str">
        <v>HISTORICO_SIN_MATRICULA_RECIENTE</v>
      </c>
      <c r="AR119" s="15" t="str">
        <v>E</v>
      </c>
      <c r="AS119" s="15" t="str">
        <v>PUBLICA</v>
      </c>
      <c r="AT119" s="15" t="str">
        <v>E</v>
      </c>
      <c r="AU119" s="15" t="n">
        <v>6</v>
      </c>
      <c r="AV119" s="15" t="n">
        <v>6</v>
      </c>
      <c r="AW119" s="15" t="str">
        <v>VERSIONES_ATRIBUTOS_IDENTICOS</v>
      </c>
      <c r="AX119" s="15" t="n">
        <v>2019</v>
      </c>
      <c r="AY119" s="15" t="str">
        <v>PUBLICA; última matrícula</v>
      </c>
    </row>
    <row r="120" ht="27" customHeight="1">
      <c r="A120" s="14" t="str">
        <v>I162S2C35J2V1</v>
      </c>
      <c r="B120" s="14" t="str">
        <v>TECNICO EN ANALISIS DE SISTEMAS</v>
      </c>
      <c r="C120" s="14" t="str">
        <v>2</v>
      </c>
      <c r="D120" s="14" t="str">
        <v>2</v>
      </c>
      <c r="E120" s="14" t="str">
        <v>1</v>
      </c>
      <c r="F120" s="14" t="str">
        <v>Presencial</v>
      </c>
      <c r="G120" s="14" t="str">
        <v>Pregrado</v>
      </c>
      <c r="H120" s="14" t="str">
        <v>Plan Regular</v>
      </c>
      <c r="I120" s="21" t="n">
        <v>2015</v>
      </c>
      <c r="J120" s="21" t="n">
        <v>2021</v>
      </c>
      <c r="K120" s="22" t="n">
        <v>0</v>
      </c>
      <c r="L120" s="22" t="n">
        <v>0</v>
      </c>
      <c r="M120" s="22" t="n">
        <v>0</v>
      </c>
      <c r="N120" s="22" t="n">
        <v>0</v>
      </c>
      <c r="O120" s="22" t="n">
        <v>0</v>
      </c>
      <c r="P120" s="22" t="n">
        <v>0</v>
      </c>
      <c r="Q120" s="22" t="n">
        <v>0</v>
      </c>
      <c r="R120" s="22" t="n">
        <v>0</v>
      </c>
      <c r="S120" s="22" t="n">
        <v>15</v>
      </c>
      <c r="T120" s="22" t="n">
        <v>26</v>
      </c>
      <c r="U120" s="22" t="n">
        <v>49</v>
      </c>
      <c r="V120" s="22" t="n">
        <v>47</v>
      </c>
      <c r="W120" s="22" t="n">
        <v>31</v>
      </c>
      <c r="X120" s="22" t="n">
        <v>9</v>
      </c>
      <c r="Y120" s="22" t="n">
        <v>2</v>
      </c>
      <c r="Z120" s="22" t="n">
        <v>0</v>
      </c>
      <c r="AA120" s="22" t="n">
        <v>0</v>
      </c>
      <c r="AB120" s="22" t="n">
        <v>0</v>
      </c>
      <c r="AC120" s="22" t="n">
        <v>0</v>
      </c>
      <c r="AD120" s="22" t="n">
        <v>0</v>
      </c>
      <c r="AE120" s="14" t="str">
        <v>2</v>
      </c>
      <c r="AF120" s="14" t="str">
        <v>E</v>
      </c>
      <c r="AG120" s="14" t="str">
        <v>E: sin plan</v>
      </c>
      <c r="AH120" s="14" t="str">
        <v>E</v>
      </c>
      <c r="AI120" s="14" t="str">
        <v>E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14" t="str">
        <v>SOLO_SIES_PRE_2022</v>
      </c>
      <c r="AP120" s="14" t="str">
        <v>PENDIENTE</v>
      </c>
      <c r="AQ120" s="14" t="str">
        <v>HISTORICO_SIN_MATRICULA_RECIENTE</v>
      </c>
      <c r="AR120" s="14" t="str">
        <v>E</v>
      </c>
      <c r="AS120" s="14" t="str">
        <v>PUBLICA</v>
      </c>
      <c r="AT120" s="14" t="str">
        <v>E</v>
      </c>
      <c r="AU120" s="14" t="n">
        <v>6</v>
      </c>
      <c r="AV120" s="14" t="n">
        <v>6</v>
      </c>
      <c r="AW120" s="14" t="str">
        <v>VERSIONES_ATRIBUTOS_IDENTICOS</v>
      </c>
      <c r="AX120" s="14" t="n">
        <v>2021</v>
      </c>
      <c r="AY120" s="14" t="str">
        <v>PUBLICA; última matrícula</v>
      </c>
    </row>
    <row r="121" ht="27" customHeight="1">
      <c r="A121" s="15" t="str">
        <v>I162S2C35J2V2</v>
      </c>
      <c r="B121" s="15" t="str">
        <v>TECNICO EN ANALISIS DE SISTEMAS</v>
      </c>
      <c r="C121" s="15" t="str">
        <v>2</v>
      </c>
      <c r="D121" s="15" t="str">
        <v>2</v>
      </c>
      <c r="E121" s="15" t="str">
        <v>2</v>
      </c>
      <c r="F121" s="15" t="str">
        <v>Presencial</v>
      </c>
      <c r="G121" s="15" t="str">
        <v>Pregrado</v>
      </c>
      <c r="H121" s="15" t="str">
        <v>Plan Regular</v>
      </c>
      <c r="I121" s="23" t="n">
        <v>2019</v>
      </c>
      <c r="J121" s="23" t="n">
        <v>2021</v>
      </c>
      <c r="K121" s="24" t="n">
        <v>0</v>
      </c>
      <c r="L121" s="24" t="n">
        <v>0</v>
      </c>
      <c r="M121" s="24" t="n">
        <v>0</v>
      </c>
      <c r="N121" s="24" t="n">
        <v>0</v>
      </c>
      <c r="O121" s="24" t="n">
        <v>0</v>
      </c>
      <c r="P121" s="24" t="n">
        <v>0</v>
      </c>
      <c r="Q121" s="24" t="n">
        <v>0</v>
      </c>
      <c r="R121" s="24" t="n">
        <v>0</v>
      </c>
      <c r="S121" s="24" t="n">
        <v>0</v>
      </c>
      <c r="T121" s="24" t="n">
        <v>0</v>
      </c>
      <c r="U121" s="24" t="n">
        <v>0</v>
      </c>
      <c r="V121" s="24" t="n">
        <v>0</v>
      </c>
      <c r="W121" s="24" t="n">
        <v>29</v>
      </c>
      <c r="X121" s="24" t="n">
        <v>15</v>
      </c>
      <c r="Y121" s="24" t="n">
        <v>4</v>
      </c>
      <c r="Z121" s="24" t="n">
        <v>0</v>
      </c>
      <c r="AA121" s="24" t="n">
        <v>0</v>
      </c>
      <c r="AB121" s="24" t="n">
        <v>0</v>
      </c>
      <c r="AC121" s="24" t="n">
        <v>0</v>
      </c>
      <c r="AD121" s="24" t="n">
        <v>0</v>
      </c>
      <c r="AE121" s="15" t="str">
        <v>2</v>
      </c>
      <c r="AF121" s="15" t="str">
        <v>E</v>
      </c>
      <c r="AG121" s="15" t="str">
        <v>E: sin plan</v>
      </c>
      <c r="AH121" s="15" t="str">
        <v>E</v>
      </c>
      <c r="AI121" s="15" t="str">
        <v>E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15" t="str">
        <v>SOLO_SIES_PRE_2022</v>
      </c>
      <c r="AP121" s="15" t="str">
        <v>PENDIENTE</v>
      </c>
      <c r="AQ121" s="15" t="str">
        <v>HISTORICO_SIN_MATRICULA_RECIENTE</v>
      </c>
      <c r="AR121" s="15" t="str">
        <v>E</v>
      </c>
      <c r="AS121" s="15" t="str">
        <v>PUBLICA</v>
      </c>
      <c r="AT121" s="15" t="str">
        <v>E</v>
      </c>
      <c r="AU121" s="15" t="n">
        <v>6</v>
      </c>
      <c r="AV121" s="15" t="n">
        <v>6</v>
      </c>
      <c r="AW121" s="15" t="str">
        <v>VERSIONES_ATRIBUTOS_IDENTICOS</v>
      </c>
      <c r="AX121" s="15" t="n">
        <v>2021</v>
      </c>
      <c r="AY121" s="15" t="str">
        <v>PUBLICA; última matrícula</v>
      </c>
    </row>
    <row r="122" ht="27" customHeight="1">
      <c r="A122" s="14" t="str">
        <v>I162S2C35J4V1</v>
      </c>
      <c r="B122" s="14" t="str">
        <v>TECNICO EN ANALISIS DE SISTEMAS</v>
      </c>
      <c r="C122" s="14" t="str">
        <v>2</v>
      </c>
      <c r="D122" s="14" t="str">
        <v>4</v>
      </c>
      <c r="E122" s="14" t="str">
        <v>1</v>
      </c>
      <c r="F122" s="14" t="str">
        <v>No presencial</v>
      </c>
      <c r="G122" s="14" t="str">
        <v>Pregrado</v>
      </c>
      <c r="H122" s="14" t="str">
        <v>Plan Regular</v>
      </c>
      <c r="I122" s="21" t="n">
        <v>2017</v>
      </c>
      <c r="J122" s="21" t="n">
        <v>2021</v>
      </c>
      <c r="K122" s="22" t="n">
        <v>0</v>
      </c>
      <c r="L122" s="22" t="n">
        <v>0</v>
      </c>
      <c r="M122" s="22" t="n">
        <v>0</v>
      </c>
      <c r="N122" s="22" t="n">
        <v>0</v>
      </c>
      <c r="O122" s="22" t="n">
        <v>0</v>
      </c>
      <c r="P122" s="22" t="n">
        <v>0</v>
      </c>
      <c r="Q122" s="22" t="n">
        <v>0</v>
      </c>
      <c r="R122" s="22" t="n">
        <v>0</v>
      </c>
      <c r="S122" s="22" t="n">
        <v>0</v>
      </c>
      <c r="T122" s="22" t="n">
        <v>0</v>
      </c>
      <c r="U122" s="22" t="n">
        <v>13</v>
      </c>
      <c r="V122" s="22" t="n">
        <v>27</v>
      </c>
      <c r="W122" s="22" t="n">
        <v>24</v>
      </c>
      <c r="X122" s="22" t="n">
        <v>22</v>
      </c>
      <c r="Y122" s="22" t="n">
        <v>5</v>
      </c>
      <c r="Z122" s="22" t="n">
        <v>0</v>
      </c>
      <c r="AA122" s="22" t="n">
        <v>0</v>
      </c>
      <c r="AB122" s="22" t="n">
        <v>0</v>
      </c>
      <c r="AC122" s="22" t="n">
        <v>0</v>
      </c>
      <c r="AD122" s="22" t="n">
        <v>0</v>
      </c>
      <c r="AE122" s="14" t="str">
        <v>2</v>
      </c>
      <c r="AF122" s="14" t="str">
        <v>E</v>
      </c>
      <c r="AG122" s="14" t="str">
        <v>E: sin plan</v>
      </c>
      <c r="AH122" s="14" t="str">
        <v>E</v>
      </c>
      <c r="AI122" s="14" t="str">
        <v>E</v>
      </c>
      <c r="AJ122" s="22" t="n">
        <v>0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14" t="str">
        <v>SOLO_SIES_PRE_2022</v>
      </c>
      <c r="AP122" s="14" t="str">
        <v>PENDIENTE</v>
      </c>
      <c r="AQ122" s="14" t="str">
        <v>HISTORICO_SIN_MATRICULA_RECIENTE</v>
      </c>
      <c r="AR122" s="14" t="str">
        <v>E</v>
      </c>
      <c r="AS122" s="14" t="str">
        <v>PUBLICA</v>
      </c>
      <c r="AT122" s="14" t="str">
        <v>E</v>
      </c>
      <c r="AU122" s="14" t="n">
        <v>6</v>
      </c>
      <c r="AV122" s="14" t="n">
        <v>6</v>
      </c>
      <c r="AW122" s="14" t="str">
        <v>VERSIONES_POR_DURACION_O_TIPO</v>
      </c>
      <c r="AX122" s="14" t="n">
        <v>2021</v>
      </c>
      <c r="AY122" s="14" t="str">
        <v>PUBLICA; última matrícula</v>
      </c>
    </row>
    <row r="123" ht="27" customHeight="1">
      <c r="A123" s="15" t="str">
        <v>I162S2C35J4V2</v>
      </c>
      <c r="B123" s="15" t="str">
        <v>TECNICO EN ANALISIS DE SISTEMAS</v>
      </c>
      <c r="C123" s="15" t="str">
        <v>2</v>
      </c>
      <c r="D123" s="15" t="str">
        <v>4</v>
      </c>
      <c r="E123" s="15" t="str">
        <v>2</v>
      </c>
      <c r="F123" s="15" t="str">
        <v>No presencial</v>
      </c>
      <c r="G123" s="15" t="str">
        <v>Pregrado</v>
      </c>
      <c r="H123" s="15" t="str">
        <v>Plan Regular</v>
      </c>
      <c r="I123" s="23" t="n">
        <v>2019</v>
      </c>
      <c r="J123" s="23" t="n">
        <v>2022</v>
      </c>
      <c r="K123" s="24" t="n">
        <v>0</v>
      </c>
      <c r="L123" s="24" t="n">
        <v>0</v>
      </c>
      <c r="M123" s="24" t="n">
        <v>0</v>
      </c>
      <c r="N123" s="24" t="n">
        <v>0</v>
      </c>
      <c r="O123" s="24" t="n">
        <v>0</v>
      </c>
      <c r="P123" s="24" t="n">
        <v>0</v>
      </c>
      <c r="Q123" s="24" t="n">
        <v>0</v>
      </c>
      <c r="R123" s="24" t="n">
        <v>0</v>
      </c>
      <c r="S123" s="24" t="n">
        <v>0</v>
      </c>
      <c r="T123" s="24" t="n">
        <v>0</v>
      </c>
      <c r="U123" s="24" t="n">
        <v>0</v>
      </c>
      <c r="V123" s="24" t="n">
        <v>0</v>
      </c>
      <c r="W123" s="24" t="n">
        <v>14</v>
      </c>
      <c r="X123" s="24" t="n">
        <v>14</v>
      </c>
      <c r="Y123" s="24" t="n">
        <v>10</v>
      </c>
      <c r="Z123" s="24" t="n">
        <v>3</v>
      </c>
      <c r="AA123" s="24" t="n">
        <v>0</v>
      </c>
      <c r="AB123" s="24" t="n">
        <v>0</v>
      </c>
      <c r="AC123" s="24" t="n">
        <v>0</v>
      </c>
      <c r="AD123" s="24" t="n">
        <v>0</v>
      </c>
      <c r="AE123" s="15" t="str">
        <v>2</v>
      </c>
      <c r="AF123" s="15" t="str">
        <v>E</v>
      </c>
      <c r="AG123" s="15" t="str">
        <v>E: sin plan</v>
      </c>
      <c r="AH123" s="15" t="str">
        <v>E</v>
      </c>
      <c r="AI123" s="15" t="str">
        <v>E</v>
      </c>
      <c r="AJ123" s="24" t="n">
        <v>0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15" t="str">
        <v>SIN_UNION</v>
      </c>
      <c r="AP123" s="15" t="str">
        <v>PENDIENTE</v>
      </c>
      <c r="AQ123" s="15" t="str">
        <v>HISTORICO_SIN_MATRICULA_RECIENTE</v>
      </c>
      <c r="AR123" s="15" t="str">
        <v>E</v>
      </c>
      <c r="AS123" s="15" t="str">
        <v>PUBLICA</v>
      </c>
      <c r="AT123" s="15" t="str">
        <v>E</v>
      </c>
      <c r="AU123" s="15" t="n">
        <v>6</v>
      </c>
      <c r="AV123" s="15" t="n">
        <v>6</v>
      </c>
      <c r="AW123" s="15" t="str">
        <v>VERSIONES_POR_DURACION_O_TIPO</v>
      </c>
      <c r="AX123" s="15" t="n">
        <v>2022</v>
      </c>
      <c r="AY123" s="15" t="str">
        <v>PUBLICA; última matrícula</v>
      </c>
    </row>
    <row r="124" ht="27" customHeight="1">
      <c r="A124" s="14" t="str">
        <v>I162S2C3J1V1</v>
      </c>
      <c r="B124" s="14" t="str">
        <v>INGENIERIA EN CONECTIVIDAD Y REDES</v>
      </c>
      <c r="C124" s="14" t="str">
        <v>2</v>
      </c>
      <c r="D124" s="14" t="str">
        <v>1</v>
      </c>
      <c r="E124" s="14" t="str">
        <v>1</v>
      </c>
      <c r="F124" s="14" t="str">
        <v>Presencial</v>
      </c>
      <c r="G124" s="14" t="str">
        <v>Pregrado</v>
      </c>
      <c r="H124" s="14" t="str">
        <v>Plan Regular</v>
      </c>
      <c r="I124" s="21" t="n">
        <v>2008</v>
      </c>
      <c r="J124" s="21" t="n">
        <v>2020</v>
      </c>
      <c r="K124" s="22" t="n">
        <v>0</v>
      </c>
      <c r="L124" s="22" t="n">
        <v>3</v>
      </c>
      <c r="M124" s="22" t="n">
        <v>10</v>
      </c>
      <c r="N124" s="22" t="n">
        <v>13</v>
      </c>
      <c r="O124" s="22" t="n">
        <v>12</v>
      </c>
      <c r="P124" s="22" t="n">
        <v>12</v>
      </c>
      <c r="Q124" s="22" t="n">
        <v>27</v>
      </c>
      <c r="R124" s="22" t="n">
        <v>27</v>
      </c>
      <c r="S124" s="22" t="n">
        <v>18</v>
      </c>
      <c r="T124" s="22" t="n">
        <v>7</v>
      </c>
      <c r="U124" s="22" t="n">
        <v>10</v>
      </c>
      <c r="V124" s="22" t="n">
        <v>9</v>
      </c>
      <c r="W124" s="22" t="n">
        <v>8</v>
      </c>
      <c r="X124" s="22" t="n">
        <v>1</v>
      </c>
      <c r="Y124" s="22" t="n">
        <v>0</v>
      </c>
      <c r="Z124" s="22" t="n">
        <v>0</v>
      </c>
      <c r="AA124" s="22" t="n">
        <v>0</v>
      </c>
      <c r="AB124" s="22" t="n">
        <v>0</v>
      </c>
      <c r="AC124" s="22" t="n">
        <v>0</v>
      </c>
      <c r="AD124" s="22" t="n">
        <v>0</v>
      </c>
      <c r="AE124" s="14" t="str">
        <v>2</v>
      </c>
      <c r="AF124" s="14" t="str">
        <v>E</v>
      </c>
      <c r="AG124" s="14" t="str">
        <v>E: sin plan</v>
      </c>
      <c r="AH124" s="14" t="str">
        <v>E</v>
      </c>
      <c r="AI124" s="14" t="str">
        <v>E</v>
      </c>
      <c r="AJ124" s="22" t="n">
        <v>0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14" t="str">
        <v>SOLO_SIES_PRE_2022</v>
      </c>
      <c r="AP124" s="14" t="str">
        <v>PENDIENTE</v>
      </c>
      <c r="AQ124" s="14" t="str">
        <v>SOLO_ANTES_2022</v>
      </c>
      <c r="AR124" s="14" t="str">
        <v>E</v>
      </c>
      <c r="AS124" s="14" t="str">
        <v>PUBLICA</v>
      </c>
      <c r="AT124" s="14" t="str">
        <v>E</v>
      </c>
      <c r="AU124" s="14" t="n">
        <v>8</v>
      </c>
      <c r="AV124" s="14" t="n">
        <v>8</v>
      </c>
      <c r="AW124" s="14" t="str">
        <v>UNA_VERSION_OBSERVADA</v>
      </c>
      <c r="AX124" s="14" t="n">
        <v>2020</v>
      </c>
      <c r="AY124" s="14" t="str">
        <v>PUBLICA; última matrícula</v>
      </c>
    </row>
    <row r="125" ht="27" customHeight="1">
      <c r="A125" s="15" t="str">
        <v>I162S2C3J1V2</v>
      </c>
      <c r="B125" s="15" t="str">
        <v>INGENIERIA EN CONECTIVIDAD Y REDES</v>
      </c>
      <c r="C125" s="15" t="str">
        <v>2</v>
      </c>
      <c r="D125" s="15" t="str">
        <v>1</v>
      </c>
      <c r="E125" s="15" t="str">
        <v>2</v>
      </c>
      <c r="F125" s="15" t="str">
        <v>Presencial</v>
      </c>
      <c r="G125" s="15" t="str">
        <v>Pregrado</v>
      </c>
      <c r="H125" s="15" t="str">
        <v>Plan Regular</v>
      </c>
      <c r="I125" s="23" t="str">
        <v>n.a.</v>
      </c>
      <c r="J125" s="23" t="str">
        <v>n.a.</v>
      </c>
      <c r="K125" s="24" t="n">
        <v>0</v>
      </c>
      <c r="L125" s="24" t="n">
        <v>0</v>
      </c>
      <c r="M125" s="24" t="n">
        <v>0</v>
      </c>
      <c r="N125" s="24" t="n">
        <v>0</v>
      </c>
      <c r="O125" s="24" t="n">
        <v>0</v>
      </c>
      <c r="P125" s="24" t="n">
        <v>0</v>
      </c>
      <c r="Q125" s="24" t="n">
        <v>0</v>
      </c>
      <c r="R125" s="24" t="n">
        <v>0</v>
      </c>
      <c r="S125" s="24" t="n">
        <v>0</v>
      </c>
      <c r="T125" s="24" t="n">
        <v>0</v>
      </c>
      <c r="U125" s="24" t="n">
        <v>0</v>
      </c>
      <c r="V125" s="24" t="n">
        <v>0</v>
      </c>
      <c r="W125" s="24" t="n">
        <v>0</v>
      </c>
      <c r="X125" s="24" t="n">
        <v>0</v>
      </c>
      <c r="Y125" s="24" t="n">
        <v>0</v>
      </c>
      <c r="Z125" s="24" t="n">
        <v>0</v>
      </c>
      <c r="AA125" s="24" t="n">
        <v>0</v>
      </c>
      <c r="AB125" s="24" t="n">
        <v>0</v>
      </c>
      <c r="AC125" s="24" t="n">
        <v>0</v>
      </c>
      <c r="AD125" s="24" t="n">
        <v>0</v>
      </c>
      <c r="AE125" s="15" t="str">
        <v>2</v>
      </c>
      <c r="AF125" s="15" t="str">
        <v>ICRE</v>
      </c>
      <c r="AG125" s="15" t="str">
        <v>PLAN_NO_OBSERVADO</v>
      </c>
      <c r="AH125" s="15" t="str">
        <v>E</v>
      </c>
      <c r="AI125" s="15" t="str">
        <v>E</v>
      </c>
      <c r="AJ125" s="24" t="n">
        <v>0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15" t="str">
        <v>CRUCE_PERSONA_MU_2022_2026</v>
      </c>
      <c r="AP125" s="15" t="str">
        <v>PENDIENTE</v>
      </c>
      <c r="AQ125" s="15" t="str">
        <v>SIN_ENLACE</v>
      </c>
      <c r="AR125" s="15" t="str">
        <v>E</v>
      </c>
      <c r="AS125" s="15" t="str">
        <v>MATRIZ / PUBLICA</v>
      </c>
      <c r="AT125" s="15" t="str">
        <v>SIN_ACTIVIDAD_ANUAL; ENLACE_EXPEDIENTE_CONSERVADO</v>
      </c>
      <c r="AU125" s="15" t="n">
        <v>8</v>
      </c>
      <c r="AV125" s="15" t="n">
        <v>8</v>
      </c>
      <c r="AW125" s="15" t="str">
        <v>E: sin historia pública</v>
      </c>
      <c r="AX125" s="15" t="n">
        <v>2026</v>
      </c>
      <c r="AY125" s="15" t="str">
        <v>MAESTRO/oferta_anual; sin matrícula</v>
      </c>
    </row>
    <row r="126" ht="27" customHeight="1">
      <c r="A126" s="14" t="str">
        <v>I162S2C3J2V1</v>
      </c>
      <c r="B126" s="14" t="str">
        <v>INGENIERIA EN CONECTIVIDAD Y REDES</v>
      </c>
      <c r="C126" s="14" t="str">
        <v>2</v>
      </c>
      <c r="D126" s="14" t="str">
        <v>2</v>
      </c>
      <c r="E126" s="14" t="str">
        <v>1</v>
      </c>
      <c r="F126" s="14" t="str">
        <v>Presencial</v>
      </c>
      <c r="G126" s="14" t="str">
        <v>Pregrado</v>
      </c>
      <c r="H126" s="14" t="str">
        <v>Plan Regular</v>
      </c>
      <c r="I126" s="21" t="n">
        <v>2007</v>
      </c>
      <c r="J126" s="21" t="n">
        <v>2025</v>
      </c>
      <c r="K126" s="22" t="n">
        <v>96</v>
      </c>
      <c r="L126" s="22" t="n">
        <v>103</v>
      </c>
      <c r="M126" s="22" t="n">
        <v>135</v>
      </c>
      <c r="N126" s="22" t="n">
        <v>172</v>
      </c>
      <c r="O126" s="22" t="n">
        <v>209</v>
      </c>
      <c r="P126" s="22" t="n">
        <v>227</v>
      </c>
      <c r="Q126" s="22" t="n">
        <v>281</v>
      </c>
      <c r="R126" s="22" t="n">
        <v>330</v>
      </c>
      <c r="S126" s="22" t="n">
        <v>360</v>
      </c>
      <c r="T126" s="22" t="n">
        <v>211</v>
      </c>
      <c r="U126" s="22" t="n">
        <v>119</v>
      </c>
      <c r="V126" s="22" t="n">
        <v>91</v>
      </c>
      <c r="W126" s="22" t="n">
        <v>53</v>
      </c>
      <c r="X126" s="22" t="n">
        <v>34</v>
      </c>
      <c r="Y126" s="22" t="n">
        <v>43</v>
      </c>
      <c r="Z126" s="22" t="n">
        <v>0</v>
      </c>
      <c r="AA126" s="22" t="n">
        <v>2</v>
      </c>
      <c r="AB126" s="22" t="n">
        <v>0</v>
      </c>
      <c r="AC126" s="22" t="n">
        <v>4</v>
      </c>
      <c r="AD126" s="22" t="n">
        <v>0</v>
      </c>
      <c r="AE126" s="14" t="str">
        <v>2</v>
      </c>
      <c r="AF126" s="14" t="str">
        <v>ICRE</v>
      </c>
      <c r="AG126" s="14" t="str">
        <v>ICRE20241</v>
      </c>
      <c r="AH126" s="14" t="str">
        <v>REGULAR</v>
      </c>
      <c r="AI126" s="14" t="str">
        <v>C</v>
      </c>
      <c r="AJ126" s="22" t="n">
        <v>0</v>
      </c>
      <c r="AK126" s="22" t="n">
        <v>0</v>
      </c>
      <c r="AL126" s="22" t="n">
        <v>0</v>
      </c>
      <c r="AM126" s="22" t="n">
        <v>3</v>
      </c>
      <c r="AN126" s="22" t="n">
        <v>0</v>
      </c>
      <c r="AO126" s="14" t="str">
        <v>CRUCE_PERSONA_MU_2022_2026</v>
      </c>
      <c r="AP126" s="14" t="str">
        <v>UNIDO</v>
      </c>
      <c r="AQ126" s="14" t="str">
        <v>UNIDO</v>
      </c>
      <c r="AR126" s="14" t="str">
        <v>B/C</v>
      </c>
      <c r="AS126" s="14" t="str">
        <v>MATRIZ / PUBLICA</v>
      </c>
      <c r="AT126" s="14" t="str">
        <v>ANUAL</v>
      </c>
      <c r="AU126" s="14" t="n">
        <v>8</v>
      </c>
      <c r="AV126" s="14" t="n">
        <v>8</v>
      </c>
      <c r="AW126" s="14" t="str">
        <v>VERSIONES_POR_DURACION_O_TIPO</v>
      </c>
      <c r="AX126" s="14" t="n">
        <v>2025</v>
      </c>
      <c r="AY126" s="14" t="str">
        <v>PUBLICA; última matrícula</v>
      </c>
    </row>
    <row r="127" ht="27" customHeight="1">
      <c r="A127" s="15" t="str">
        <v>I162S2C3J2V1</v>
      </c>
      <c r="B127" s="15" t="str">
        <v>INGENIERIA EN CONECTIVIDAD Y REDES</v>
      </c>
      <c r="C127" s="15" t="str">
        <v>2</v>
      </c>
      <c r="D127" s="15" t="str">
        <v>2</v>
      </c>
      <c r="E127" s="15" t="str">
        <v>1</v>
      </c>
      <c r="F127" s="15" t="str">
        <v>Presencial</v>
      </c>
      <c r="G127" s="15" t="str">
        <v>Pregrado</v>
      </c>
      <c r="H127" s="15" t="str">
        <v>Plan Regular</v>
      </c>
      <c r="I127" s="23" t="n">
        <v>2007</v>
      </c>
      <c r="J127" s="23" t="n">
        <v>2025</v>
      </c>
      <c r="K127" s="24" t="n">
        <v>96</v>
      </c>
      <c r="L127" s="24" t="n">
        <v>103</v>
      </c>
      <c r="M127" s="24" t="n">
        <v>135</v>
      </c>
      <c r="N127" s="24" t="n">
        <v>172</v>
      </c>
      <c r="O127" s="24" t="n">
        <v>209</v>
      </c>
      <c r="P127" s="24" t="n">
        <v>227</v>
      </c>
      <c r="Q127" s="24" t="n">
        <v>281</v>
      </c>
      <c r="R127" s="24" t="n">
        <v>330</v>
      </c>
      <c r="S127" s="24" t="n">
        <v>360</v>
      </c>
      <c r="T127" s="24" t="n">
        <v>211</v>
      </c>
      <c r="U127" s="24" t="n">
        <v>119</v>
      </c>
      <c r="V127" s="24" t="n">
        <v>91</v>
      </c>
      <c r="W127" s="24" t="n">
        <v>53</v>
      </c>
      <c r="X127" s="24" t="n">
        <v>34</v>
      </c>
      <c r="Y127" s="24" t="n">
        <v>43</v>
      </c>
      <c r="Z127" s="24" t="n">
        <v>0</v>
      </c>
      <c r="AA127" s="24" t="n">
        <v>2</v>
      </c>
      <c r="AB127" s="24" t="n">
        <v>0</v>
      </c>
      <c r="AC127" s="24" t="n">
        <v>4</v>
      </c>
      <c r="AD127" s="24" t="n">
        <v>0</v>
      </c>
      <c r="AE127" s="15" t="str">
        <v>2</v>
      </c>
      <c r="AF127" s="15" t="str">
        <v>IETMRE</v>
      </c>
      <c r="AG127" s="15" t="str">
        <v>IETMRE20121</v>
      </c>
      <c r="AH127" s="15" t="str">
        <v>REGULAR</v>
      </c>
      <c r="AI127" s="15" t="str">
        <v>C</v>
      </c>
      <c r="AJ127" s="24" t="n">
        <v>0</v>
      </c>
      <c r="AK127" s="24" t="n">
        <v>1</v>
      </c>
      <c r="AL127" s="24" t="n">
        <v>0</v>
      </c>
      <c r="AM127" s="24" t="n">
        <v>0</v>
      </c>
      <c r="AN127" s="24" t="n">
        <v>0</v>
      </c>
      <c r="AO127" s="15" t="str">
        <v>CRUCE_PERSONA_MU_2022_2026</v>
      </c>
      <c r="AP127" s="15" t="str">
        <v>UNIDO</v>
      </c>
      <c r="AQ127" s="15" t="str">
        <v>UNIDO</v>
      </c>
      <c r="AR127" s="15" t="str">
        <v>B/C</v>
      </c>
      <c r="AS127" s="15" t="str">
        <v>MATRIZ / PUBLICA</v>
      </c>
      <c r="AT127" s="15" t="str">
        <v>ANUAL</v>
      </c>
      <c r="AU127" s="15" t="n">
        <v>8</v>
      </c>
      <c r="AV127" s="15" t="n">
        <v>8</v>
      </c>
      <c r="AW127" s="15" t="str">
        <v>VERSIONES_POR_DURACION_O_TIPO</v>
      </c>
      <c r="AX127" s="15" t="n">
        <v>2025</v>
      </c>
      <c r="AY127" s="15" t="str">
        <v>PUBLICA; última matrícula</v>
      </c>
    </row>
    <row r="128" ht="27" customHeight="1">
      <c r="A128" s="14" t="str">
        <v>I162S2C3J2V1</v>
      </c>
      <c r="B128" s="14" t="str">
        <v>INGENIERIA EN CONECTIVIDAD Y REDES</v>
      </c>
      <c r="C128" s="14" t="str">
        <v>2</v>
      </c>
      <c r="D128" s="14" t="str">
        <v>2</v>
      </c>
      <c r="E128" s="14" t="str">
        <v>1</v>
      </c>
      <c r="F128" s="14" t="str">
        <v>Presencial</v>
      </c>
      <c r="G128" s="14" t="str">
        <v>Pregrado</v>
      </c>
      <c r="H128" s="14" t="str">
        <v>Plan Regular</v>
      </c>
      <c r="I128" s="21" t="n">
        <v>2007</v>
      </c>
      <c r="J128" s="21" t="n">
        <v>2025</v>
      </c>
      <c r="K128" s="22" t="n">
        <v>96</v>
      </c>
      <c r="L128" s="22" t="n">
        <v>103</v>
      </c>
      <c r="M128" s="22" t="n">
        <v>135</v>
      </c>
      <c r="N128" s="22" t="n">
        <v>172</v>
      </c>
      <c r="O128" s="22" t="n">
        <v>209</v>
      </c>
      <c r="P128" s="22" t="n">
        <v>227</v>
      </c>
      <c r="Q128" s="22" t="n">
        <v>281</v>
      </c>
      <c r="R128" s="22" t="n">
        <v>330</v>
      </c>
      <c r="S128" s="22" t="n">
        <v>360</v>
      </c>
      <c r="T128" s="22" t="n">
        <v>211</v>
      </c>
      <c r="U128" s="22" t="n">
        <v>119</v>
      </c>
      <c r="V128" s="22" t="n">
        <v>91</v>
      </c>
      <c r="W128" s="22" t="n">
        <v>53</v>
      </c>
      <c r="X128" s="22" t="n">
        <v>34</v>
      </c>
      <c r="Y128" s="22" t="n">
        <v>43</v>
      </c>
      <c r="Z128" s="22" t="n">
        <v>0</v>
      </c>
      <c r="AA128" s="22" t="n">
        <v>2</v>
      </c>
      <c r="AB128" s="22" t="n">
        <v>0</v>
      </c>
      <c r="AC128" s="22" t="n">
        <v>4</v>
      </c>
      <c r="AD128" s="22" t="n">
        <v>0</v>
      </c>
      <c r="AE128" s="14" t="str">
        <v>2</v>
      </c>
      <c r="AF128" s="14" t="str">
        <v>IETMRE</v>
      </c>
      <c r="AG128" s="14" t="str">
        <v>IETMRE20161</v>
      </c>
      <c r="AH128" s="14" t="str">
        <v>REGULAR</v>
      </c>
      <c r="AI128" s="14" t="str">
        <v>C</v>
      </c>
      <c r="AJ128" s="22" t="n">
        <v>0</v>
      </c>
      <c r="AK128" s="22" t="n">
        <v>1</v>
      </c>
      <c r="AL128" s="22" t="n">
        <v>0</v>
      </c>
      <c r="AM128" s="22" t="n">
        <v>0</v>
      </c>
      <c r="AN128" s="22" t="n">
        <v>0</v>
      </c>
      <c r="AO128" s="14" t="str">
        <v>CRUCE_PERSONA_MU_2022_2026</v>
      </c>
      <c r="AP128" s="14" t="str">
        <v>UNIDO</v>
      </c>
      <c r="AQ128" s="14" t="str">
        <v>UNIDO</v>
      </c>
      <c r="AR128" s="14" t="str">
        <v>B/C</v>
      </c>
      <c r="AS128" s="14" t="str">
        <v>MATRIZ / PUBLICA</v>
      </c>
      <c r="AT128" s="14" t="str">
        <v>ANUAL</v>
      </c>
      <c r="AU128" s="14" t="n">
        <v>8</v>
      </c>
      <c r="AV128" s="14" t="n">
        <v>8</v>
      </c>
      <c r="AW128" s="14" t="str">
        <v>VERSIONES_POR_DURACION_O_TIPO</v>
      </c>
      <c r="AX128" s="14" t="n">
        <v>2025</v>
      </c>
      <c r="AY128" s="14" t="str">
        <v>PUBLICA; última matrícula</v>
      </c>
    </row>
    <row r="129" ht="27" customHeight="1">
      <c r="A129" s="15" t="str">
        <v>I162S2C3J2V1</v>
      </c>
      <c r="B129" s="15" t="str">
        <v>INGENIERIA EN CONECTIVIDAD Y REDES</v>
      </c>
      <c r="C129" s="15" t="str">
        <v>2</v>
      </c>
      <c r="D129" s="15" t="str">
        <v>2</v>
      </c>
      <c r="E129" s="15" t="str">
        <v>1</v>
      </c>
      <c r="F129" s="15" t="str">
        <v>Presencial</v>
      </c>
      <c r="G129" s="15" t="str">
        <v>Pregrado</v>
      </c>
      <c r="H129" s="15" t="str">
        <v>Plan Regular</v>
      </c>
      <c r="I129" s="23" t="n">
        <v>2007</v>
      </c>
      <c r="J129" s="23" t="n">
        <v>2025</v>
      </c>
      <c r="K129" s="24" t="n">
        <v>96</v>
      </c>
      <c r="L129" s="24" t="n">
        <v>103</v>
      </c>
      <c r="M129" s="24" t="n">
        <v>135</v>
      </c>
      <c r="N129" s="24" t="n">
        <v>172</v>
      </c>
      <c r="O129" s="24" t="n">
        <v>209</v>
      </c>
      <c r="P129" s="24" t="n">
        <v>227</v>
      </c>
      <c r="Q129" s="24" t="n">
        <v>281</v>
      </c>
      <c r="R129" s="24" t="n">
        <v>330</v>
      </c>
      <c r="S129" s="24" t="n">
        <v>360</v>
      </c>
      <c r="T129" s="24" t="n">
        <v>211</v>
      </c>
      <c r="U129" s="24" t="n">
        <v>119</v>
      </c>
      <c r="V129" s="24" t="n">
        <v>91</v>
      </c>
      <c r="W129" s="24" t="n">
        <v>53</v>
      </c>
      <c r="X129" s="24" t="n">
        <v>34</v>
      </c>
      <c r="Y129" s="24" t="n">
        <v>43</v>
      </c>
      <c r="Z129" s="24" t="n">
        <v>0</v>
      </c>
      <c r="AA129" s="24" t="n">
        <v>2</v>
      </c>
      <c r="AB129" s="24" t="n">
        <v>0</v>
      </c>
      <c r="AC129" s="24" t="n">
        <v>4</v>
      </c>
      <c r="AD129" s="24" t="n">
        <v>0</v>
      </c>
      <c r="AE129" s="15" t="str">
        <v>2</v>
      </c>
      <c r="AF129" s="15" t="str">
        <v>IETMRE</v>
      </c>
      <c r="AG129" s="15" t="str">
        <v>IETMRE20211</v>
      </c>
      <c r="AH129" s="15" t="str">
        <v>REGULAR</v>
      </c>
      <c r="AI129" s="15" t="str">
        <v>C</v>
      </c>
      <c r="AJ129" s="24" t="n">
        <v>0</v>
      </c>
      <c r="AK129" s="24" t="n">
        <v>0</v>
      </c>
      <c r="AL129" s="24" t="n">
        <v>0</v>
      </c>
      <c r="AM129" s="24" t="n">
        <v>1</v>
      </c>
      <c r="AN129" s="24" t="n">
        <v>0</v>
      </c>
      <c r="AO129" s="15" t="str">
        <v>CRUCE_PERSONA_MU_2022_2026</v>
      </c>
      <c r="AP129" s="15" t="str">
        <v>UNIDO</v>
      </c>
      <c r="AQ129" s="15" t="str">
        <v>UNIDO</v>
      </c>
      <c r="AR129" s="15" t="str">
        <v>B/C</v>
      </c>
      <c r="AS129" s="15" t="str">
        <v>MATRIZ / PUBLICA</v>
      </c>
      <c r="AT129" s="15" t="str">
        <v>ANUAL</v>
      </c>
      <c r="AU129" s="15" t="n">
        <v>8</v>
      </c>
      <c r="AV129" s="15" t="n">
        <v>8</v>
      </c>
      <c r="AW129" s="15" t="str">
        <v>VERSIONES_POR_DURACION_O_TIPO</v>
      </c>
      <c r="AX129" s="15" t="n">
        <v>2025</v>
      </c>
      <c r="AY129" s="15" t="str">
        <v>PUBLICA; última matrícula</v>
      </c>
    </row>
    <row r="130" ht="27" customHeight="1">
      <c r="A130" s="14" t="str">
        <v>I162S2C3J2V1</v>
      </c>
      <c r="B130" s="14" t="str">
        <v>INGENIERIA EN CONECTIVIDAD Y REDES</v>
      </c>
      <c r="C130" s="14" t="str">
        <v>2</v>
      </c>
      <c r="D130" s="14" t="str">
        <v>2</v>
      </c>
      <c r="E130" s="14" t="str">
        <v>1</v>
      </c>
      <c r="F130" s="14" t="str">
        <v>Presencial</v>
      </c>
      <c r="G130" s="14" t="str">
        <v>Pregrado</v>
      </c>
      <c r="H130" s="14" t="str">
        <v>Plan Regular</v>
      </c>
      <c r="I130" s="21" t="n">
        <v>2007</v>
      </c>
      <c r="J130" s="21" t="n">
        <v>2025</v>
      </c>
      <c r="K130" s="22" t="n">
        <v>96</v>
      </c>
      <c r="L130" s="22" t="n">
        <v>103</v>
      </c>
      <c r="M130" s="22" t="n">
        <v>135</v>
      </c>
      <c r="N130" s="22" t="n">
        <v>172</v>
      </c>
      <c r="O130" s="22" t="n">
        <v>209</v>
      </c>
      <c r="P130" s="22" t="n">
        <v>227</v>
      </c>
      <c r="Q130" s="22" t="n">
        <v>281</v>
      </c>
      <c r="R130" s="22" t="n">
        <v>330</v>
      </c>
      <c r="S130" s="22" t="n">
        <v>360</v>
      </c>
      <c r="T130" s="22" t="n">
        <v>211</v>
      </c>
      <c r="U130" s="22" t="n">
        <v>119</v>
      </c>
      <c r="V130" s="22" t="n">
        <v>91</v>
      </c>
      <c r="W130" s="22" t="n">
        <v>53</v>
      </c>
      <c r="X130" s="22" t="n">
        <v>34</v>
      </c>
      <c r="Y130" s="22" t="n">
        <v>43</v>
      </c>
      <c r="Z130" s="22" t="n">
        <v>0</v>
      </c>
      <c r="AA130" s="22" t="n">
        <v>2</v>
      </c>
      <c r="AB130" s="22" t="n">
        <v>0</v>
      </c>
      <c r="AC130" s="22" t="n">
        <v>4</v>
      </c>
      <c r="AD130" s="22" t="n">
        <v>0</v>
      </c>
      <c r="AE130" s="14" t="str">
        <v>2</v>
      </c>
      <c r="AF130" s="14" t="str">
        <v>IETMRE</v>
      </c>
      <c r="AG130" s="14" t="str">
        <v>PLAN_NO_OBSERVADO</v>
      </c>
      <c r="AH130" s="14" t="str">
        <v>E</v>
      </c>
      <c r="AI130" s="14" t="str">
        <v>E</v>
      </c>
      <c r="AJ130" s="22" t="n">
        <v>0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14" t="str">
        <v>CRUCE_PERSONA_MU_2022_2026</v>
      </c>
      <c r="AP130" s="14" t="str">
        <v>PENDIENTE</v>
      </c>
      <c r="AQ130" s="14" t="str">
        <v>PLAN_NO_OBSERVADO</v>
      </c>
      <c r="AR130" s="14" t="str">
        <v>E</v>
      </c>
      <c r="AS130" s="14" t="str">
        <v>MATRIZ / PUBLICA</v>
      </c>
      <c r="AT130" s="14" t="str">
        <v>SIN_ACTIVIDAD_ANUAL; ENLACE_EXPEDIENTE_CONSERVADO</v>
      </c>
      <c r="AU130" s="14" t="n">
        <v>8</v>
      </c>
      <c r="AV130" s="14" t="n">
        <v>8</v>
      </c>
      <c r="AW130" s="14" t="str">
        <v>VERSIONES_POR_DURACION_O_TIPO</v>
      </c>
      <c r="AX130" s="14" t="n">
        <v>2025</v>
      </c>
      <c r="AY130" s="14" t="str">
        <v>PUBLICA; última matrícula</v>
      </c>
    </row>
    <row r="131" ht="36" customHeight="1">
      <c r="A131" s="15" t="str">
        <v>I162S2C3J2V2</v>
      </c>
      <c r="B131" s="15" t="str">
        <v>INGENIERIA EN CONECTIVIDAD Y REDES</v>
      </c>
      <c r="C131" s="15" t="str">
        <v>2</v>
      </c>
      <c r="D131" s="15" t="str">
        <v>2</v>
      </c>
      <c r="E131" s="15" t="str">
        <v>2</v>
      </c>
      <c r="F131" s="15" t="str">
        <v>Presencial</v>
      </c>
      <c r="G131" s="15" t="str">
        <v>Pregrado</v>
      </c>
      <c r="H131" s="15" t="str">
        <v>Plan Regular de Continuidad</v>
      </c>
      <c r="I131" s="23" t="n">
        <v>2016</v>
      </c>
      <c r="J131" s="23" t="n">
        <v>2021</v>
      </c>
      <c r="K131" s="24" t="n">
        <v>0</v>
      </c>
      <c r="L131" s="24" t="n">
        <v>0</v>
      </c>
      <c r="M131" s="24" t="n">
        <v>0</v>
      </c>
      <c r="N131" s="24" t="n">
        <v>0</v>
      </c>
      <c r="O131" s="24" t="n">
        <v>0</v>
      </c>
      <c r="P131" s="24" t="n">
        <v>0</v>
      </c>
      <c r="Q131" s="24" t="n">
        <v>0</v>
      </c>
      <c r="R131" s="24" t="n">
        <v>0</v>
      </c>
      <c r="S131" s="24" t="n">
        <v>0</v>
      </c>
      <c r="T131" s="24" t="n">
        <v>142</v>
      </c>
      <c r="U131" s="24" t="n">
        <v>234</v>
      </c>
      <c r="V131" s="24" t="n">
        <v>148</v>
      </c>
      <c r="W131" s="24" t="n">
        <v>65</v>
      </c>
      <c r="X131" s="24" t="n">
        <v>1</v>
      </c>
      <c r="Y131" s="24" t="n">
        <v>1</v>
      </c>
      <c r="Z131" s="24" t="n">
        <v>0</v>
      </c>
      <c r="AA131" s="24" t="n">
        <v>0</v>
      </c>
      <c r="AB131" s="24" t="n">
        <v>0</v>
      </c>
      <c r="AC131" s="24" t="n">
        <v>0</v>
      </c>
      <c r="AD131" s="24" t="n">
        <v>0</v>
      </c>
      <c r="AE131" s="15" t="str">
        <v>n.a.</v>
      </c>
      <c r="AF131" s="15" t="str">
        <v>E</v>
      </c>
      <c r="AG131" s="15" t="str">
        <v>E: sin plan</v>
      </c>
      <c r="AH131" s="15" t="str">
        <v>E</v>
      </c>
      <c r="AI131" s="15" t="str">
        <v>E</v>
      </c>
      <c r="AJ131" s="24" t="n">
        <v>0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15" t="str">
        <v>SOLO_SIES_PRE_2022</v>
      </c>
      <c r="AP131" s="15" t="str">
        <v>PENDIENTE</v>
      </c>
      <c r="AQ131" s="15" t="str">
        <v>SOLO_ANTES_2022</v>
      </c>
      <c r="AR131" s="15" t="str">
        <v>E</v>
      </c>
      <c r="AS131" s="15" t="str">
        <v>PUBLICA</v>
      </c>
      <c r="AT131" s="15" t="str">
        <v>E</v>
      </c>
      <c r="AU131" s="15" t="n">
        <v>5</v>
      </c>
      <c r="AV131" s="15" t="n">
        <v>5</v>
      </c>
      <c r="AW131" s="15" t="str">
        <v>VERSIONES_POR_DURACION_O_TIPO</v>
      </c>
      <c r="AX131" s="15" t="n">
        <v>2021</v>
      </c>
      <c r="AY131" s="15" t="str">
        <v>PUBLICA; última matrícula</v>
      </c>
    </row>
    <row r="132" ht="36" customHeight="1">
      <c r="A132" s="14" t="str">
        <v>I162S2C3J2V3</v>
      </c>
      <c r="B132" s="14" t="str">
        <v>INGENIERIA EN CONECTIVIDAD Y REDES</v>
      </c>
      <c r="C132" s="14" t="str">
        <v>2</v>
      </c>
      <c r="D132" s="14" t="str">
        <v>2</v>
      </c>
      <c r="E132" s="14" t="str">
        <v>3</v>
      </c>
      <c r="F132" s="14" t="str">
        <v>Presencial</v>
      </c>
      <c r="G132" s="14" t="str">
        <v>Pregrado</v>
      </c>
      <c r="H132" s="14" t="str">
        <v>Plan Regular de Continuidad</v>
      </c>
      <c r="I132" s="21" t="n">
        <v>2018</v>
      </c>
      <c r="J132" s="21" t="n">
        <v>2026</v>
      </c>
      <c r="K132" s="22" t="n">
        <v>0</v>
      </c>
      <c r="L132" s="22" t="n">
        <v>0</v>
      </c>
      <c r="M132" s="22" t="n">
        <v>0</v>
      </c>
      <c r="N132" s="22" t="n">
        <v>0</v>
      </c>
      <c r="O132" s="22" t="n">
        <v>0</v>
      </c>
      <c r="P132" s="22" t="n">
        <v>0</v>
      </c>
      <c r="Q132" s="22" t="n">
        <v>0</v>
      </c>
      <c r="R132" s="22" t="n">
        <v>0</v>
      </c>
      <c r="S132" s="22" t="n">
        <v>0</v>
      </c>
      <c r="T132" s="22" t="n">
        <v>0</v>
      </c>
      <c r="U132" s="22" t="n">
        <v>0</v>
      </c>
      <c r="V132" s="22" t="n">
        <v>73</v>
      </c>
      <c r="W132" s="22" t="n">
        <v>95</v>
      </c>
      <c r="X132" s="22" t="n">
        <v>51</v>
      </c>
      <c r="Y132" s="22" t="n">
        <v>23</v>
      </c>
      <c r="Z132" s="22" t="n">
        <v>0</v>
      </c>
      <c r="AA132" s="22" t="n">
        <v>0</v>
      </c>
      <c r="AB132" s="22" t="n">
        <v>0</v>
      </c>
      <c r="AC132" s="22" t="n">
        <v>0</v>
      </c>
      <c r="AD132" s="22" t="n">
        <v>2</v>
      </c>
      <c r="AE132" s="14" t="str">
        <v>2</v>
      </c>
      <c r="AF132" s="14" t="str">
        <v>CICRE</v>
      </c>
      <c r="AG132" s="14" t="str">
        <v>CICRE20241</v>
      </c>
      <c r="AH132" s="14" t="str">
        <v>CONTINUIDAD</v>
      </c>
      <c r="AI132" s="14" t="str">
        <v>C</v>
      </c>
      <c r="AJ132" s="22" t="n">
        <v>0</v>
      </c>
      <c r="AK132" s="22" t="n">
        <v>0</v>
      </c>
      <c r="AL132" s="22" t="n">
        <v>0</v>
      </c>
      <c r="AM132" s="22" t="n">
        <v>0</v>
      </c>
      <c r="AN132" s="22" t="n">
        <v>2</v>
      </c>
      <c r="AO132" s="14" t="str">
        <v>CRUCE_PERSONA_MU_2022_2026</v>
      </c>
      <c r="AP132" s="14" t="str">
        <v>UNIDO</v>
      </c>
      <c r="AQ132" s="14" t="str">
        <v>UNIDO</v>
      </c>
      <c r="AR132" s="14" t="str">
        <v>B/C</v>
      </c>
      <c r="AS132" s="14" t="str">
        <v>MATRIZ / PUBLICA</v>
      </c>
      <c r="AT132" s="14" t="str">
        <v>ANUAL</v>
      </c>
      <c r="AU132" s="14" t="n">
        <v>4</v>
      </c>
      <c r="AV132" s="14" t="n">
        <v>4</v>
      </c>
      <c r="AW132" s="14" t="str">
        <v>VERSIONES_POR_DURACION_O_TIPO</v>
      </c>
      <c r="AX132" s="14" t="n">
        <v>2026</v>
      </c>
      <c r="AY132" s="14" t="str">
        <v>PUBLICA; última matrícula</v>
      </c>
    </row>
    <row r="133" ht="27" customHeight="1">
      <c r="A133" s="15" t="str">
        <v>I162S2C3J2V4</v>
      </c>
      <c r="B133" s="15" t="str">
        <v>INGENIERIA EN CONECTIVIDAD Y REDES</v>
      </c>
      <c r="C133" s="15" t="str">
        <v>2</v>
      </c>
      <c r="D133" s="15" t="str">
        <v>2</v>
      </c>
      <c r="E133" s="15" t="str">
        <v>4</v>
      </c>
      <c r="F133" s="15" t="str">
        <v>Presencial</v>
      </c>
      <c r="G133" s="15" t="str">
        <v>Pregrado</v>
      </c>
      <c r="H133" s="15" t="str">
        <v>Plan Regular</v>
      </c>
      <c r="I133" s="23" t="n">
        <v>2019</v>
      </c>
      <c r="J133" s="23" t="n">
        <v>2026</v>
      </c>
      <c r="K133" s="24" t="n">
        <v>0</v>
      </c>
      <c r="L133" s="24" t="n">
        <v>0</v>
      </c>
      <c r="M133" s="24" t="n">
        <v>0</v>
      </c>
      <c r="N133" s="24" t="n">
        <v>0</v>
      </c>
      <c r="O133" s="24" t="n">
        <v>0</v>
      </c>
      <c r="P133" s="24" t="n">
        <v>0</v>
      </c>
      <c r="Q133" s="24" t="n">
        <v>0</v>
      </c>
      <c r="R133" s="24" t="n">
        <v>0</v>
      </c>
      <c r="S133" s="24" t="n">
        <v>0</v>
      </c>
      <c r="T133" s="24" t="n">
        <v>0</v>
      </c>
      <c r="U133" s="24" t="n">
        <v>0</v>
      </c>
      <c r="V133" s="24" t="n">
        <v>0</v>
      </c>
      <c r="W133" s="24" t="n">
        <v>17</v>
      </c>
      <c r="X133" s="24" t="n">
        <v>35</v>
      </c>
      <c r="Y133" s="24" t="n">
        <v>12</v>
      </c>
      <c r="Z133" s="24" t="n">
        <v>48</v>
      </c>
      <c r="AA133" s="24" t="n">
        <v>29</v>
      </c>
      <c r="AB133" s="24" t="n">
        <v>25</v>
      </c>
      <c r="AC133" s="24" t="n">
        <v>11</v>
      </c>
      <c r="AD133" s="24" t="n">
        <v>6</v>
      </c>
      <c r="AE133" s="15" t="str">
        <v>2</v>
      </c>
      <c r="AF133" s="15" t="str">
        <v>ICRE</v>
      </c>
      <c r="AG133" s="15" t="str">
        <v>ICRE20241</v>
      </c>
      <c r="AH133" s="15" t="str">
        <v>REGULAR</v>
      </c>
      <c r="AI133" s="15" t="str">
        <v>C</v>
      </c>
      <c r="AJ133" s="24" t="n">
        <v>0</v>
      </c>
      <c r="AK133" s="24" t="n">
        <v>0</v>
      </c>
      <c r="AL133" s="24" t="n">
        <v>4</v>
      </c>
      <c r="AM133" s="24" t="n">
        <v>8</v>
      </c>
      <c r="AN133" s="24" t="n">
        <v>6</v>
      </c>
      <c r="AO133" s="15" t="str">
        <v>CRUCE_PERSONA_MU_2022_2026</v>
      </c>
      <c r="AP133" s="15" t="str">
        <v>UNIDO</v>
      </c>
      <c r="AQ133" s="15" t="str">
        <v>UNIDO</v>
      </c>
      <c r="AR133" s="15" t="str">
        <v>B/C</v>
      </c>
      <c r="AS133" s="15" t="str">
        <v>MATRIZ / PUBLICA</v>
      </c>
      <c r="AT133" s="15" t="str">
        <v>ANUAL</v>
      </c>
      <c r="AU133" s="15" t="n">
        <v>8</v>
      </c>
      <c r="AV133" s="15" t="n">
        <v>8</v>
      </c>
      <c r="AW133" s="15" t="str">
        <v>VERSIONES_POR_DURACION_O_TIPO</v>
      </c>
      <c r="AX133" s="15" t="n">
        <v>2026</v>
      </c>
      <c r="AY133" s="15" t="str">
        <v>PUBLICA; última matrícula</v>
      </c>
    </row>
    <row r="134" ht="27" customHeight="1">
      <c r="A134" s="14" t="str">
        <v>I162S2C3J2V4</v>
      </c>
      <c r="B134" s="14" t="str">
        <v>INGENIERIA EN CONECTIVIDAD Y REDES</v>
      </c>
      <c r="C134" s="14" t="str">
        <v>2</v>
      </c>
      <c r="D134" s="14" t="str">
        <v>2</v>
      </c>
      <c r="E134" s="14" t="str">
        <v>4</v>
      </c>
      <c r="F134" s="14" t="str">
        <v>Presencial</v>
      </c>
      <c r="G134" s="14" t="str">
        <v>Pregrado</v>
      </c>
      <c r="H134" s="14" t="str">
        <v>Plan Regular</v>
      </c>
      <c r="I134" s="21" t="n">
        <v>2019</v>
      </c>
      <c r="J134" s="21" t="n">
        <v>2026</v>
      </c>
      <c r="K134" s="22" t="n">
        <v>0</v>
      </c>
      <c r="L134" s="22" t="n">
        <v>0</v>
      </c>
      <c r="M134" s="22" t="n">
        <v>0</v>
      </c>
      <c r="N134" s="22" t="n">
        <v>0</v>
      </c>
      <c r="O134" s="22" t="n">
        <v>0</v>
      </c>
      <c r="P134" s="22" t="n">
        <v>0</v>
      </c>
      <c r="Q134" s="22" t="n">
        <v>0</v>
      </c>
      <c r="R134" s="22" t="n">
        <v>0</v>
      </c>
      <c r="S134" s="22" t="n">
        <v>0</v>
      </c>
      <c r="T134" s="22" t="n">
        <v>0</v>
      </c>
      <c r="U134" s="22" t="n">
        <v>0</v>
      </c>
      <c r="V134" s="22" t="n">
        <v>0</v>
      </c>
      <c r="W134" s="22" t="n">
        <v>17</v>
      </c>
      <c r="X134" s="22" t="n">
        <v>35</v>
      </c>
      <c r="Y134" s="22" t="n">
        <v>12</v>
      </c>
      <c r="Z134" s="22" t="n">
        <v>48</v>
      </c>
      <c r="AA134" s="22" t="n">
        <v>29</v>
      </c>
      <c r="AB134" s="22" t="n">
        <v>25</v>
      </c>
      <c r="AC134" s="22" t="n">
        <v>11</v>
      </c>
      <c r="AD134" s="22" t="n">
        <v>6</v>
      </c>
      <c r="AE134" s="14" t="str">
        <v>2</v>
      </c>
      <c r="AF134" s="14" t="str">
        <v>IETMRE</v>
      </c>
      <c r="AG134" s="14" t="str">
        <v>IETMRE20161</v>
      </c>
      <c r="AH134" s="14" t="str">
        <v>REGULAR</v>
      </c>
      <c r="AI134" s="14" t="str">
        <v>C</v>
      </c>
      <c r="AJ134" s="22" t="n">
        <v>1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14" t="str">
        <v>CRUCE_PERSONA_MU_2022_2026</v>
      </c>
      <c r="AP134" s="14" t="str">
        <v>UNIDO</v>
      </c>
      <c r="AQ134" s="14" t="str">
        <v>UNIDO</v>
      </c>
      <c r="AR134" s="14" t="str">
        <v>B/C</v>
      </c>
      <c r="AS134" s="14" t="str">
        <v>MATRIZ / PUBLICA</v>
      </c>
      <c r="AT134" s="14" t="str">
        <v>ANUAL</v>
      </c>
      <c r="AU134" s="14" t="n">
        <v>8</v>
      </c>
      <c r="AV134" s="14" t="n">
        <v>8</v>
      </c>
      <c r="AW134" s="14" t="str">
        <v>VERSIONES_POR_DURACION_O_TIPO</v>
      </c>
      <c r="AX134" s="14" t="n">
        <v>2026</v>
      </c>
      <c r="AY134" s="14" t="str">
        <v>PUBLICA; última matrícula</v>
      </c>
    </row>
    <row r="135" ht="27" customHeight="1">
      <c r="A135" s="15" t="str">
        <v>I162S2C3J2V4</v>
      </c>
      <c r="B135" s="15" t="str">
        <v>INGENIERIA EN CONECTIVIDAD Y REDES</v>
      </c>
      <c r="C135" s="15" t="str">
        <v>2</v>
      </c>
      <c r="D135" s="15" t="str">
        <v>2</v>
      </c>
      <c r="E135" s="15" t="str">
        <v>4</v>
      </c>
      <c r="F135" s="15" t="str">
        <v>Presencial</v>
      </c>
      <c r="G135" s="15" t="str">
        <v>Pregrado</v>
      </c>
      <c r="H135" s="15" t="str">
        <v>Plan Regular</v>
      </c>
      <c r="I135" s="23" t="n">
        <v>2019</v>
      </c>
      <c r="J135" s="23" t="n">
        <v>2026</v>
      </c>
      <c r="K135" s="24" t="n">
        <v>0</v>
      </c>
      <c r="L135" s="24" t="n">
        <v>0</v>
      </c>
      <c r="M135" s="24" t="n">
        <v>0</v>
      </c>
      <c r="N135" s="24" t="n">
        <v>0</v>
      </c>
      <c r="O135" s="24" t="n">
        <v>0</v>
      </c>
      <c r="P135" s="24" t="n">
        <v>0</v>
      </c>
      <c r="Q135" s="24" t="n">
        <v>0</v>
      </c>
      <c r="R135" s="24" t="n">
        <v>0</v>
      </c>
      <c r="S135" s="24" t="n">
        <v>0</v>
      </c>
      <c r="T135" s="24" t="n">
        <v>0</v>
      </c>
      <c r="U135" s="24" t="n">
        <v>0</v>
      </c>
      <c r="V135" s="24" t="n">
        <v>0</v>
      </c>
      <c r="W135" s="24" t="n">
        <v>17</v>
      </c>
      <c r="X135" s="24" t="n">
        <v>35</v>
      </c>
      <c r="Y135" s="24" t="n">
        <v>12</v>
      </c>
      <c r="Z135" s="24" t="n">
        <v>48</v>
      </c>
      <c r="AA135" s="24" t="n">
        <v>29</v>
      </c>
      <c r="AB135" s="24" t="n">
        <v>25</v>
      </c>
      <c r="AC135" s="24" t="n">
        <v>11</v>
      </c>
      <c r="AD135" s="24" t="n">
        <v>6</v>
      </c>
      <c r="AE135" s="15" t="str">
        <v>2</v>
      </c>
      <c r="AF135" s="15" t="str">
        <v>IETMRE</v>
      </c>
      <c r="AG135" s="15" t="str">
        <v>IETMRE20191</v>
      </c>
      <c r="AH135" s="15" t="str">
        <v>REGULAR</v>
      </c>
      <c r="AI135" s="15" t="str">
        <v>C</v>
      </c>
      <c r="AJ135" s="24" t="n">
        <v>8</v>
      </c>
      <c r="AK135" s="24" t="n">
        <v>4</v>
      </c>
      <c r="AL135" s="24" t="n">
        <v>0</v>
      </c>
      <c r="AM135" s="24" t="n">
        <v>0</v>
      </c>
      <c r="AN135" s="24" t="n">
        <v>0</v>
      </c>
      <c r="AO135" s="15" t="str">
        <v>CRUCE_PERSONA_MU_2022_2026</v>
      </c>
      <c r="AP135" s="15" t="str">
        <v>UNIDO</v>
      </c>
      <c r="AQ135" s="15" t="str">
        <v>UNIDO</v>
      </c>
      <c r="AR135" s="15" t="str">
        <v>B/C</v>
      </c>
      <c r="AS135" s="15" t="str">
        <v>MATRIZ / PUBLICA</v>
      </c>
      <c r="AT135" s="15" t="str">
        <v>ANUAL</v>
      </c>
      <c r="AU135" s="15" t="n">
        <v>8</v>
      </c>
      <c r="AV135" s="15" t="n">
        <v>8</v>
      </c>
      <c r="AW135" s="15" t="str">
        <v>VERSIONES_POR_DURACION_O_TIPO</v>
      </c>
      <c r="AX135" s="15" t="n">
        <v>2026</v>
      </c>
      <c r="AY135" s="15" t="str">
        <v>PUBLICA; última matrícula</v>
      </c>
    </row>
    <row r="136" ht="27" customHeight="1">
      <c r="A136" s="14" t="str">
        <v>I162S2C3J2V4</v>
      </c>
      <c r="B136" s="14" t="str">
        <v>INGENIERIA EN CONECTIVIDAD Y REDES</v>
      </c>
      <c r="C136" s="14" t="str">
        <v>2</v>
      </c>
      <c r="D136" s="14" t="str">
        <v>2</v>
      </c>
      <c r="E136" s="14" t="str">
        <v>4</v>
      </c>
      <c r="F136" s="14" t="str">
        <v>Presencial</v>
      </c>
      <c r="G136" s="14" t="str">
        <v>Pregrado</v>
      </c>
      <c r="H136" s="14" t="str">
        <v>Plan Regular</v>
      </c>
      <c r="I136" s="21" t="n">
        <v>2019</v>
      </c>
      <c r="J136" s="21" t="n">
        <v>2026</v>
      </c>
      <c r="K136" s="22" t="n">
        <v>0</v>
      </c>
      <c r="L136" s="22" t="n">
        <v>0</v>
      </c>
      <c r="M136" s="22" t="n">
        <v>0</v>
      </c>
      <c r="N136" s="22" t="n">
        <v>0</v>
      </c>
      <c r="O136" s="22" t="n">
        <v>0</v>
      </c>
      <c r="P136" s="22" t="n">
        <v>0</v>
      </c>
      <c r="Q136" s="22" t="n">
        <v>0</v>
      </c>
      <c r="R136" s="22" t="n">
        <v>0</v>
      </c>
      <c r="S136" s="22" t="n">
        <v>0</v>
      </c>
      <c r="T136" s="22" t="n">
        <v>0</v>
      </c>
      <c r="U136" s="22" t="n">
        <v>0</v>
      </c>
      <c r="V136" s="22" t="n">
        <v>0</v>
      </c>
      <c r="W136" s="22" t="n">
        <v>17</v>
      </c>
      <c r="X136" s="22" t="n">
        <v>35</v>
      </c>
      <c r="Y136" s="22" t="n">
        <v>12</v>
      </c>
      <c r="Z136" s="22" t="n">
        <v>48</v>
      </c>
      <c r="AA136" s="22" t="n">
        <v>29</v>
      </c>
      <c r="AB136" s="22" t="n">
        <v>25</v>
      </c>
      <c r="AC136" s="22" t="n">
        <v>11</v>
      </c>
      <c r="AD136" s="22" t="n">
        <v>6</v>
      </c>
      <c r="AE136" s="14" t="str">
        <v>2</v>
      </c>
      <c r="AF136" s="14" t="str">
        <v>IETMRE</v>
      </c>
      <c r="AG136" s="14" t="str">
        <v>IETMRE20211</v>
      </c>
      <c r="AH136" s="14" t="str">
        <v>REGULAR</v>
      </c>
      <c r="AI136" s="14" t="str">
        <v>C</v>
      </c>
      <c r="AJ136" s="22" t="n">
        <v>35</v>
      </c>
      <c r="AK136" s="22" t="n">
        <v>25</v>
      </c>
      <c r="AL136" s="22" t="n">
        <v>14</v>
      </c>
      <c r="AM136" s="22" t="n">
        <v>0</v>
      </c>
      <c r="AN136" s="22" t="n">
        <v>0</v>
      </c>
      <c r="AO136" s="14" t="str">
        <v>CRUCE_PERSONA_MU_2022_2026</v>
      </c>
      <c r="AP136" s="14" t="str">
        <v>UNIDO</v>
      </c>
      <c r="AQ136" s="14" t="str">
        <v>UNIDO</v>
      </c>
      <c r="AR136" s="14" t="str">
        <v>B/C</v>
      </c>
      <c r="AS136" s="14" t="str">
        <v>MATRIZ / PUBLICA</v>
      </c>
      <c r="AT136" s="14" t="str">
        <v>ANUAL</v>
      </c>
      <c r="AU136" s="14" t="n">
        <v>8</v>
      </c>
      <c r="AV136" s="14" t="n">
        <v>8</v>
      </c>
      <c r="AW136" s="14" t="str">
        <v>VERSIONES_POR_DURACION_O_TIPO</v>
      </c>
      <c r="AX136" s="14" t="n">
        <v>2026</v>
      </c>
      <c r="AY136" s="14" t="str">
        <v>PUBLICA; última matrícula</v>
      </c>
    </row>
    <row r="137" ht="27" customHeight="1">
      <c r="A137" s="15" t="str">
        <v>I162S2C3J2V4</v>
      </c>
      <c r="B137" s="15" t="str">
        <v>INGENIERIA EN CONECTIVIDAD Y REDES</v>
      </c>
      <c r="C137" s="15" t="str">
        <v>2</v>
      </c>
      <c r="D137" s="15" t="str">
        <v>2</v>
      </c>
      <c r="E137" s="15" t="str">
        <v>4</v>
      </c>
      <c r="F137" s="15" t="str">
        <v>Presencial</v>
      </c>
      <c r="G137" s="15" t="str">
        <v>Pregrado</v>
      </c>
      <c r="H137" s="15" t="str">
        <v>Plan Regular</v>
      </c>
      <c r="I137" s="23" t="n">
        <v>2019</v>
      </c>
      <c r="J137" s="23" t="n">
        <v>2026</v>
      </c>
      <c r="K137" s="24" t="n">
        <v>0</v>
      </c>
      <c r="L137" s="24" t="n">
        <v>0</v>
      </c>
      <c r="M137" s="24" t="n">
        <v>0</v>
      </c>
      <c r="N137" s="24" t="n">
        <v>0</v>
      </c>
      <c r="O137" s="24" t="n">
        <v>0</v>
      </c>
      <c r="P137" s="24" t="n">
        <v>0</v>
      </c>
      <c r="Q137" s="24" t="n">
        <v>0</v>
      </c>
      <c r="R137" s="24" t="n">
        <v>0</v>
      </c>
      <c r="S137" s="24" t="n">
        <v>0</v>
      </c>
      <c r="T137" s="24" t="n">
        <v>0</v>
      </c>
      <c r="U137" s="24" t="n">
        <v>0</v>
      </c>
      <c r="V137" s="24" t="n">
        <v>0</v>
      </c>
      <c r="W137" s="24" t="n">
        <v>17</v>
      </c>
      <c r="X137" s="24" t="n">
        <v>35</v>
      </c>
      <c r="Y137" s="24" t="n">
        <v>12</v>
      </c>
      <c r="Z137" s="24" t="n">
        <v>48</v>
      </c>
      <c r="AA137" s="24" t="n">
        <v>29</v>
      </c>
      <c r="AB137" s="24" t="n">
        <v>25</v>
      </c>
      <c r="AC137" s="24" t="n">
        <v>11</v>
      </c>
      <c r="AD137" s="24" t="n">
        <v>6</v>
      </c>
      <c r="AE137" s="15" t="str">
        <v>2</v>
      </c>
      <c r="AF137" s="15" t="str">
        <v>NCONRE</v>
      </c>
      <c r="AG137" s="15" t="str">
        <v>NCONRE</v>
      </c>
      <c r="AH137" s="15" t="str">
        <v>E</v>
      </c>
      <c r="AI137" s="15" t="str">
        <v>E</v>
      </c>
      <c r="AJ137" s="24" t="n">
        <v>2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15" t="str">
        <v>CRUCE_PERSONA_MU_2022_2026</v>
      </c>
      <c r="AP137" s="15" t="str">
        <v>UNIDO</v>
      </c>
      <c r="AQ137" s="15" t="str">
        <v>UNIDO</v>
      </c>
      <c r="AR137" s="15" t="str">
        <v>B/C</v>
      </c>
      <c r="AS137" s="15" t="str">
        <v>MATRIZ / PUBLICA</v>
      </c>
      <c r="AT137" s="15" t="str">
        <v>ANUAL</v>
      </c>
      <c r="AU137" s="15" t="n">
        <v>8</v>
      </c>
      <c r="AV137" s="15" t="n">
        <v>8</v>
      </c>
      <c r="AW137" s="15" t="str">
        <v>VERSIONES_POR_DURACION_O_TIPO</v>
      </c>
      <c r="AX137" s="15" t="n">
        <v>2026</v>
      </c>
      <c r="AY137" s="15" t="str">
        <v>PUBLICA; última matrícula</v>
      </c>
    </row>
    <row r="138" ht="27" customHeight="1">
      <c r="A138" s="14" t="str">
        <v>I162S2C3J2V4</v>
      </c>
      <c r="B138" s="14" t="str">
        <v>INGENIERIA EN CONECTIVIDAD Y REDES</v>
      </c>
      <c r="C138" s="14" t="str">
        <v>2</v>
      </c>
      <c r="D138" s="14" t="str">
        <v>2</v>
      </c>
      <c r="E138" s="14" t="str">
        <v>4</v>
      </c>
      <c r="F138" s="14" t="str">
        <v>Presencial</v>
      </c>
      <c r="G138" s="14" t="str">
        <v>Pregrado</v>
      </c>
      <c r="H138" s="14" t="str">
        <v>Plan Regular</v>
      </c>
      <c r="I138" s="21" t="n">
        <v>2019</v>
      </c>
      <c r="J138" s="21" t="n">
        <v>2026</v>
      </c>
      <c r="K138" s="22" t="n">
        <v>0</v>
      </c>
      <c r="L138" s="22" t="n">
        <v>0</v>
      </c>
      <c r="M138" s="22" t="n">
        <v>0</v>
      </c>
      <c r="N138" s="22" t="n">
        <v>0</v>
      </c>
      <c r="O138" s="22" t="n">
        <v>0</v>
      </c>
      <c r="P138" s="22" t="n">
        <v>0</v>
      </c>
      <c r="Q138" s="22" t="n">
        <v>0</v>
      </c>
      <c r="R138" s="22" t="n">
        <v>0</v>
      </c>
      <c r="S138" s="22" t="n">
        <v>0</v>
      </c>
      <c r="T138" s="22" t="n">
        <v>0</v>
      </c>
      <c r="U138" s="22" t="n">
        <v>0</v>
      </c>
      <c r="V138" s="22" t="n">
        <v>0</v>
      </c>
      <c r="W138" s="22" t="n">
        <v>17</v>
      </c>
      <c r="X138" s="22" t="n">
        <v>35</v>
      </c>
      <c r="Y138" s="22" t="n">
        <v>12</v>
      </c>
      <c r="Z138" s="22" t="n">
        <v>48</v>
      </c>
      <c r="AA138" s="22" t="n">
        <v>29</v>
      </c>
      <c r="AB138" s="22" t="n">
        <v>25</v>
      </c>
      <c r="AC138" s="22" t="n">
        <v>11</v>
      </c>
      <c r="AD138" s="22" t="n">
        <v>6</v>
      </c>
      <c r="AE138" s="14" t="str">
        <v>2</v>
      </c>
      <c r="AF138" s="14" t="str">
        <v>NITMRE</v>
      </c>
      <c r="AG138" s="14" t="str">
        <v>NITMRE20121</v>
      </c>
      <c r="AH138" s="14" t="str">
        <v>E</v>
      </c>
      <c r="AI138" s="14" t="str">
        <v>E</v>
      </c>
      <c r="AJ138" s="22" t="n">
        <v>0</v>
      </c>
      <c r="AK138" s="22" t="n">
        <v>0</v>
      </c>
      <c r="AL138" s="22" t="n">
        <v>0</v>
      </c>
      <c r="AM138" s="22" t="n">
        <v>1</v>
      </c>
      <c r="AN138" s="22" t="n">
        <v>0</v>
      </c>
      <c r="AO138" s="14" t="str">
        <v>CRUCE_PERSONA_MU_2022_2026</v>
      </c>
      <c r="AP138" s="14" t="str">
        <v>UNIDO</v>
      </c>
      <c r="AQ138" s="14" t="str">
        <v>UNIDO</v>
      </c>
      <c r="AR138" s="14" t="str">
        <v>B/C</v>
      </c>
      <c r="AS138" s="14" t="str">
        <v>MATRIZ / PUBLICA</v>
      </c>
      <c r="AT138" s="14" t="str">
        <v>ANUAL</v>
      </c>
      <c r="AU138" s="14" t="n">
        <v>8</v>
      </c>
      <c r="AV138" s="14" t="n">
        <v>8</v>
      </c>
      <c r="AW138" s="14" t="str">
        <v>VERSIONES_POR_DURACION_O_TIPO</v>
      </c>
      <c r="AX138" s="14" t="n">
        <v>2026</v>
      </c>
      <c r="AY138" s="14" t="str">
        <v>PUBLICA; última matrícula</v>
      </c>
    </row>
    <row r="139" ht="27" customHeight="1">
      <c r="A139" s="15" t="str">
        <v>I162S2C3J2V4</v>
      </c>
      <c r="B139" s="15" t="str">
        <v>INGENIERIA EN CONECTIVIDAD Y REDES</v>
      </c>
      <c r="C139" s="15" t="str">
        <v>2</v>
      </c>
      <c r="D139" s="15" t="str">
        <v>2</v>
      </c>
      <c r="E139" s="15" t="str">
        <v>4</v>
      </c>
      <c r="F139" s="15" t="str">
        <v>Presencial</v>
      </c>
      <c r="G139" s="15" t="str">
        <v>Pregrado</v>
      </c>
      <c r="H139" s="15" t="str">
        <v>Plan Regular</v>
      </c>
      <c r="I139" s="23" t="n">
        <v>2019</v>
      </c>
      <c r="J139" s="23" t="n">
        <v>2026</v>
      </c>
      <c r="K139" s="24" t="n">
        <v>0</v>
      </c>
      <c r="L139" s="24" t="n">
        <v>0</v>
      </c>
      <c r="M139" s="24" t="n">
        <v>0</v>
      </c>
      <c r="N139" s="24" t="n">
        <v>0</v>
      </c>
      <c r="O139" s="24" t="n">
        <v>0</v>
      </c>
      <c r="P139" s="24" t="n">
        <v>0</v>
      </c>
      <c r="Q139" s="24" t="n">
        <v>0</v>
      </c>
      <c r="R139" s="24" t="n">
        <v>0</v>
      </c>
      <c r="S139" s="24" t="n">
        <v>0</v>
      </c>
      <c r="T139" s="24" t="n">
        <v>0</v>
      </c>
      <c r="U139" s="24" t="n">
        <v>0</v>
      </c>
      <c r="V139" s="24" t="n">
        <v>0</v>
      </c>
      <c r="W139" s="24" t="n">
        <v>17</v>
      </c>
      <c r="X139" s="24" t="n">
        <v>35</v>
      </c>
      <c r="Y139" s="24" t="n">
        <v>12</v>
      </c>
      <c r="Z139" s="24" t="n">
        <v>48</v>
      </c>
      <c r="AA139" s="24" t="n">
        <v>29</v>
      </c>
      <c r="AB139" s="24" t="n">
        <v>25</v>
      </c>
      <c r="AC139" s="24" t="n">
        <v>11</v>
      </c>
      <c r="AD139" s="24" t="n">
        <v>6</v>
      </c>
      <c r="AE139" s="15" t="str">
        <v>2</v>
      </c>
      <c r="AF139" s="15" t="str">
        <v>ICRE / IETMRE</v>
      </c>
      <c r="AG139" s="15" t="str">
        <v>PLAN_NO_OBSERVADO</v>
      </c>
      <c r="AH139" s="15" t="str">
        <v>E</v>
      </c>
      <c r="AI139" s="15" t="str">
        <v>E</v>
      </c>
      <c r="AJ139" s="24" t="n">
        <v>1</v>
      </c>
      <c r="AK139" s="24" t="n">
        <v>0</v>
      </c>
      <c r="AL139" s="24" t="n">
        <v>2</v>
      </c>
      <c r="AM139" s="24" t="n">
        <v>0</v>
      </c>
      <c r="AN139" s="24" t="n">
        <v>0</v>
      </c>
      <c r="AO139" s="15" t="str">
        <v>CRUCE_PERSONA_MU_2022_2026</v>
      </c>
      <c r="AP139" s="15" t="str">
        <v>PENDIENTE</v>
      </c>
      <c r="AQ139" s="15" t="str">
        <v>PLAN_NO_OBSERVADO</v>
      </c>
      <c r="AR139" s="15" t="str">
        <v>E</v>
      </c>
      <c r="AS139" s="15" t="str">
        <v>MATRIZ / PUBLICA</v>
      </c>
      <c r="AT139" s="15" t="str">
        <v>SIN_ACTIVIDAD_ANUAL; ENLACE_EXPEDIENTE_CONSERVADO</v>
      </c>
      <c r="AU139" s="15" t="n">
        <v>8</v>
      </c>
      <c r="AV139" s="15" t="n">
        <v>8</v>
      </c>
      <c r="AW139" s="15" t="str">
        <v>VERSIONES_POR_DURACION_O_TIPO</v>
      </c>
      <c r="AX139" s="15" t="n">
        <v>2026</v>
      </c>
      <c r="AY139" s="15" t="str">
        <v>PUBLICA; última matrícula</v>
      </c>
    </row>
    <row r="140" ht="27" customHeight="1">
      <c r="A140" s="14" t="str">
        <v>I162S2C3J4V1</v>
      </c>
      <c r="B140" s="14" t="str">
        <v>INGENIERIA EN CONECTIVIDAD Y REDES</v>
      </c>
      <c r="C140" s="14" t="str">
        <v>2</v>
      </c>
      <c r="D140" s="14" t="str">
        <v>4</v>
      </c>
      <c r="E140" s="14" t="str">
        <v>1</v>
      </c>
      <c r="F140" s="14" t="str">
        <v>No presencial</v>
      </c>
      <c r="G140" s="14" t="str">
        <v>Pregrado</v>
      </c>
      <c r="H140" s="14" t="str">
        <v>Plan Regular</v>
      </c>
      <c r="I140" s="21" t="n">
        <v>2018</v>
      </c>
      <c r="J140" s="21" t="n">
        <v>2022</v>
      </c>
      <c r="K140" s="22" t="n">
        <v>0</v>
      </c>
      <c r="L140" s="22" t="n">
        <v>0</v>
      </c>
      <c r="M140" s="22" t="n">
        <v>0</v>
      </c>
      <c r="N140" s="22" t="n">
        <v>0</v>
      </c>
      <c r="O140" s="22" t="n">
        <v>0</v>
      </c>
      <c r="P140" s="22" t="n">
        <v>0</v>
      </c>
      <c r="Q140" s="22" t="n">
        <v>0</v>
      </c>
      <c r="R140" s="22" t="n">
        <v>0</v>
      </c>
      <c r="S140" s="22" t="n">
        <v>0</v>
      </c>
      <c r="T140" s="22" t="n">
        <v>0</v>
      </c>
      <c r="U140" s="22" t="n">
        <v>0</v>
      </c>
      <c r="V140" s="22" t="n">
        <v>15</v>
      </c>
      <c r="W140" s="22" t="n">
        <v>11</v>
      </c>
      <c r="X140" s="22" t="n">
        <v>61</v>
      </c>
      <c r="Y140" s="22" t="n">
        <v>122</v>
      </c>
      <c r="Z140" s="22" t="n">
        <v>3</v>
      </c>
      <c r="AA140" s="22" t="n">
        <v>0</v>
      </c>
      <c r="AB140" s="22" t="n">
        <v>0</v>
      </c>
      <c r="AC140" s="22" t="n">
        <v>0</v>
      </c>
      <c r="AD140" s="22" t="n">
        <v>0</v>
      </c>
      <c r="AE140" s="14" t="str">
        <v>n.a.</v>
      </c>
      <c r="AF140" s="14" t="str">
        <v>IETMREOL</v>
      </c>
      <c r="AG140" s="14" t="str">
        <v>IETMREOL20211</v>
      </c>
      <c r="AH140" s="14" t="str">
        <v>REGULAR</v>
      </c>
      <c r="AI140" s="14" t="str">
        <v>C</v>
      </c>
      <c r="AJ140" s="22" t="n">
        <v>3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14" t="str">
        <v>CRUCE_PERSONA_MU_2022_2026</v>
      </c>
      <c r="AP140" s="14" t="str">
        <v>UNIDO</v>
      </c>
      <c r="AQ140" s="14" t="str">
        <v>UNIDO</v>
      </c>
      <c r="AR140" s="14" t="str">
        <v>B/C</v>
      </c>
      <c r="AS140" s="14" t="str">
        <v>MATRIZ / PUBLICA</v>
      </c>
      <c r="AT140" s="14" t="str">
        <v>ANUAL</v>
      </c>
      <c r="AU140" s="14" t="n">
        <v>8</v>
      </c>
      <c r="AV140" s="14" t="n">
        <v>8</v>
      </c>
      <c r="AW140" s="14" t="str">
        <v>VERSIONES_POR_DURACION_O_TIPO</v>
      </c>
      <c r="AX140" s="14" t="n">
        <v>2022</v>
      </c>
      <c r="AY140" s="14" t="str">
        <v>PUBLICA; última matrícula</v>
      </c>
    </row>
    <row r="141" ht="27" customHeight="1">
      <c r="A141" s="15" t="str">
        <v>I162S2C3J4V2</v>
      </c>
      <c r="B141" s="15" t="str">
        <v>INGENIERIA EN CONECTIVIDAD Y REDES</v>
      </c>
      <c r="C141" s="15" t="str">
        <v>2</v>
      </c>
      <c r="D141" s="15" t="str">
        <v>4</v>
      </c>
      <c r="E141" s="15" t="str">
        <v>2</v>
      </c>
      <c r="F141" s="15" t="str">
        <v>No presencial</v>
      </c>
      <c r="G141" s="15" t="str">
        <v>Pregrado</v>
      </c>
      <c r="H141" s="15" t="str">
        <v>Plan Regular</v>
      </c>
      <c r="I141" s="23" t="n">
        <v>2019</v>
      </c>
      <c r="J141" s="23" t="n">
        <v>2026</v>
      </c>
      <c r="K141" s="24" t="n">
        <v>0</v>
      </c>
      <c r="L141" s="24" t="n">
        <v>0</v>
      </c>
      <c r="M141" s="24" t="n">
        <v>0</v>
      </c>
      <c r="N141" s="24" t="n">
        <v>0</v>
      </c>
      <c r="O141" s="24" t="n">
        <v>0</v>
      </c>
      <c r="P141" s="24" t="n">
        <v>0</v>
      </c>
      <c r="Q141" s="24" t="n">
        <v>0</v>
      </c>
      <c r="R141" s="24" t="n">
        <v>0</v>
      </c>
      <c r="S141" s="24" t="n">
        <v>0</v>
      </c>
      <c r="T141" s="24" t="n">
        <v>0</v>
      </c>
      <c r="U141" s="24" t="n">
        <v>0</v>
      </c>
      <c r="V141" s="24" t="n">
        <v>0</v>
      </c>
      <c r="W141" s="24" t="n">
        <v>15</v>
      </c>
      <c r="X141" s="24" t="n">
        <v>27</v>
      </c>
      <c r="Y141" s="24" t="n">
        <v>17</v>
      </c>
      <c r="Z141" s="24" t="n">
        <v>155</v>
      </c>
      <c r="AA141" s="24" t="n">
        <v>202</v>
      </c>
      <c r="AB141" s="24" t="n">
        <v>267</v>
      </c>
      <c r="AC141" s="24" t="n">
        <v>244</v>
      </c>
      <c r="AD141" s="24" t="n">
        <v>153</v>
      </c>
      <c r="AE141" s="15" t="str">
        <v>1</v>
      </c>
      <c r="AF141" s="15" t="str">
        <v>CICRE</v>
      </c>
      <c r="AG141" s="15" t="str">
        <v>CICRE20241</v>
      </c>
      <c r="AH141" s="15" t="str">
        <v>CONTINUIDAD</v>
      </c>
      <c r="AI141" s="15" t="str">
        <v>C</v>
      </c>
      <c r="AJ141" s="24" t="n">
        <v>0</v>
      </c>
      <c r="AK141" s="24" t="n">
        <v>0</v>
      </c>
      <c r="AL141" s="24" t="n">
        <v>59</v>
      </c>
      <c r="AM141" s="24" t="n">
        <v>71</v>
      </c>
      <c r="AN141" s="24" t="n">
        <v>0</v>
      </c>
      <c r="AO141" s="15" t="str">
        <v>CRUCE_PERSONA_MU_2022_2026</v>
      </c>
      <c r="AP141" s="15" t="str">
        <v>UNIDO</v>
      </c>
      <c r="AQ141" s="15" t="str">
        <v>UNIDO</v>
      </c>
      <c r="AR141" s="15" t="str">
        <v>B/C</v>
      </c>
      <c r="AS141" s="15" t="str">
        <v>MATRIZ / PUBLICA</v>
      </c>
      <c r="AT141" s="15" t="str">
        <v>ANUAL</v>
      </c>
      <c r="AU141" s="15" t="n">
        <v>8</v>
      </c>
      <c r="AV141" s="15" t="n">
        <v>8</v>
      </c>
      <c r="AW141" s="15" t="str">
        <v>VERSIONES_POR_DURACION_O_TIPO</v>
      </c>
      <c r="AX141" s="15" t="n">
        <v>2026</v>
      </c>
      <c r="AY141" s="15" t="str">
        <v>PUBLICA; última matrícula</v>
      </c>
    </row>
    <row r="142" ht="36" customHeight="1">
      <c r="A142" s="14" t="str">
        <v>I162S2C3J4V2</v>
      </c>
      <c r="B142" s="14" t="str">
        <v>INGENIERIA EN CONECTIVIDAD Y REDES</v>
      </c>
      <c r="C142" s="14" t="str">
        <v>2</v>
      </c>
      <c r="D142" s="14" t="str">
        <v>4</v>
      </c>
      <c r="E142" s="14" t="str">
        <v>2</v>
      </c>
      <c r="F142" s="14" t="str">
        <v>No presencial</v>
      </c>
      <c r="G142" s="14" t="str">
        <v>Pregrado</v>
      </c>
      <c r="H142" s="14" t="str">
        <v>Plan Regular</v>
      </c>
      <c r="I142" s="21" t="n">
        <v>2019</v>
      </c>
      <c r="J142" s="21" t="n">
        <v>2026</v>
      </c>
      <c r="K142" s="22" t="n">
        <v>0</v>
      </c>
      <c r="L142" s="22" t="n">
        <v>0</v>
      </c>
      <c r="M142" s="22" t="n">
        <v>0</v>
      </c>
      <c r="N142" s="22" t="n">
        <v>0</v>
      </c>
      <c r="O142" s="22" t="n">
        <v>0</v>
      </c>
      <c r="P142" s="22" t="n">
        <v>0</v>
      </c>
      <c r="Q142" s="22" t="n">
        <v>0</v>
      </c>
      <c r="R142" s="22" t="n">
        <v>0</v>
      </c>
      <c r="S142" s="22" t="n">
        <v>0</v>
      </c>
      <c r="T142" s="22" t="n">
        <v>0</v>
      </c>
      <c r="U142" s="22" t="n">
        <v>0</v>
      </c>
      <c r="V142" s="22" t="n">
        <v>0</v>
      </c>
      <c r="W142" s="22" t="n">
        <v>15</v>
      </c>
      <c r="X142" s="22" t="n">
        <v>27</v>
      </c>
      <c r="Y142" s="22" t="n">
        <v>17</v>
      </c>
      <c r="Z142" s="22" t="n">
        <v>155</v>
      </c>
      <c r="AA142" s="22" t="n">
        <v>202</v>
      </c>
      <c r="AB142" s="22" t="n">
        <v>267</v>
      </c>
      <c r="AC142" s="22" t="n">
        <v>244</v>
      </c>
      <c r="AD142" s="22" t="n">
        <v>153</v>
      </c>
      <c r="AE142" s="14" t="str">
        <v>1</v>
      </c>
      <c r="AF142" s="14" t="str">
        <v>ICRE</v>
      </c>
      <c r="AG142" s="14" t="str">
        <v>ICRE20241</v>
      </c>
      <c r="AH142" s="14" t="str">
        <v>REGULAR</v>
      </c>
      <c r="AI142" s="14" t="str">
        <v>C</v>
      </c>
      <c r="AJ142" s="22" t="n">
        <v>0</v>
      </c>
      <c r="AK142" s="22" t="n">
        <v>0</v>
      </c>
      <c r="AL142" s="22" t="n">
        <v>115</v>
      </c>
      <c r="AM142" s="22" t="n">
        <v>144</v>
      </c>
      <c r="AN142" s="22" t="n">
        <v>143</v>
      </c>
      <c r="AO142" s="14" t="str">
        <v>CRUCE_PERSONA_MU_2022_2026 / REGLA_MU_2027</v>
      </c>
      <c r="AP142" s="14" t="str">
        <v>UNIDO</v>
      </c>
      <c r="AQ142" s="14" t="str">
        <v>UNIDO</v>
      </c>
      <c r="AR142" s="14" t="str">
        <v>B/C</v>
      </c>
      <c r="AS142" s="14" t="str">
        <v>H002 / MATRIZ / PUBLICA</v>
      </c>
      <c r="AT142" s="14" t="str">
        <v>ANUAL / Catálogo 2027; no atribución retroactiva ni acreditación de cohorte/malla</v>
      </c>
      <c r="AU142" s="14" t="n">
        <v>8</v>
      </c>
      <c r="AV142" s="14" t="n">
        <v>8</v>
      </c>
      <c r="AW142" s="14" t="str">
        <v>VERSIONES_POR_DURACION_O_TIPO</v>
      </c>
      <c r="AX142" s="14" t="n">
        <v>2026</v>
      </c>
      <c r="AY142" s="14" t="str">
        <v>PUBLICA; última matrícula</v>
      </c>
    </row>
    <row r="143" ht="36" customHeight="1">
      <c r="A143" s="15" t="str">
        <v>I162S2C3J4V2</v>
      </c>
      <c r="B143" s="15" t="str">
        <v>INGENIERIA EN CONECTIVIDAD Y REDES</v>
      </c>
      <c r="C143" s="15" t="str">
        <v>2</v>
      </c>
      <c r="D143" s="15" t="str">
        <v>4</v>
      </c>
      <c r="E143" s="15" t="str">
        <v>2</v>
      </c>
      <c r="F143" s="15" t="str">
        <v>No presencial</v>
      </c>
      <c r="G143" s="15" t="str">
        <v>Pregrado</v>
      </c>
      <c r="H143" s="15" t="str">
        <v>Plan Regular</v>
      </c>
      <c r="I143" s="23" t="n">
        <v>2019</v>
      </c>
      <c r="J143" s="23" t="n">
        <v>2026</v>
      </c>
      <c r="K143" s="24" t="n">
        <v>0</v>
      </c>
      <c r="L143" s="24" t="n">
        <v>0</v>
      </c>
      <c r="M143" s="24" t="n">
        <v>0</v>
      </c>
      <c r="N143" s="24" t="n">
        <v>0</v>
      </c>
      <c r="O143" s="24" t="n">
        <v>0</v>
      </c>
      <c r="P143" s="24" t="n">
        <v>0</v>
      </c>
      <c r="Q143" s="24" t="n">
        <v>0</v>
      </c>
      <c r="R143" s="24" t="n">
        <v>0</v>
      </c>
      <c r="S143" s="24" t="n">
        <v>0</v>
      </c>
      <c r="T143" s="24" t="n">
        <v>0</v>
      </c>
      <c r="U143" s="24" t="n">
        <v>0</v>
      </c>
      <c r="V143" s="24" t="n">
        <v>0</v>
      </c>
      <c r="W143" s="24" t="n">
        <v>15</v>
      </c>
      <c r="X143" s="24" t="n">
        <v>27</v>
      </c>
      <c r="Y143" s="24" t="n">
        <v>17</v>
      </c>
      <c r="Z143" s="24" t="n">
        <v>155</v>
      </c>
      <c r="AA143" s="24" t="n">
        <v>202</v>
      </c>
      <c r="AB143" s="24" t="n">
        <v>267</v>
      </c>
      <c r="AC143" s="24" t="n">
        <v>244</v>
      </c>
      <c r="AD143" s="24" t="n">
        <v>153</v>
      </c>
      <c r="AE143" s="15" t="str">
        <v>1</v>
      </c>
      <c r="AF143" s="15" t="str">
        <v>IETMREOL</v>
      </c>
      <c r="AG143" s="15" t="str">
        <v>IETMREOL</v>
      </c>
      <c r="AH143" s="15" t="str">
        <v>REGULAR</v>
      </c>
      <c r="AI143" s="15" t="str">
        <v>C</v>
      </c>
      <c r="AJ143" s="24" t="n">
        <v>1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15" t="str">
        <v>CRUCE_PERSONA_MU_2022_2026 / REGLA_MU_2027</v>
      </c>
      <c r="AP143" s="15" t="str">
        <v>UNIDO</v>
      </c>
      <c r="AQ143" s="15" t="str">
        <v>UNIDO</v>
      </c>
      <c r="AR143" s="15" t="str">
        <v>B/C</v>
      </c>
      <c r="AS143" s="15" t="str">
        <v>H002 / MATRIZ / PUBLICA</v>
      </c>
      <c r="AT143" s="15" t="str">
        <v>ANUAL / Catálogo 2027; no atribución retroactiva ni acreditación de cohorte/malla</v>
      </c>
      <c r="AU143" s="15" t="n">
        <v>8</v>
      </c>
      <c r="AV143" s="15" t="n">
        <v>8</v>
      </c>
      <c r="AW143" s="15" t="str">
        <v>VERSIONES_POR_DURACION_O_TIPO</v>
      </c>
      <c r="AX143" s="15" t="n">
        <v>2026</v>
      </c>
      <c r="AY143" s="15" t="str">
        <v>PUBLICA; última matrícula</v>
      </c>
    </row>
    <row r="144" ht="36" customHeight="1">
      <c r="A144" s="14" t="str">
        <v>I162S2C3J4V2</v>
      </c>
      <c r="B144" s="14" t="str">
        <v>INGENIERIA EN CONECTIVIDAD Y REDES</v>
      </c>
      <c r="C144" s="14" t="str">
        <v>2</v>
      </c>
      <c r="D144" s="14" t="str">
        <v>4</v>
      </c>
      <c r="E144" s="14" t="str">
        <v>2</v>
      </c>
      <c r="F144" s="14" t="str">
        <v>No presencial</v>
      </c>
      <c r="G144" s="14" t="str">
        <v>Pregrado</v>
      </c>
      <c r="H144" s="14" t="str">
        <v>Plan Regular</v>
      </c>
      <c r="I144" s="21" t="n">
        <v>2019</v>
      </c>
      <c r="J144" s="21" t="n">
        <v>2026</v>
      </c>
      <c r="K144" s="22" t="n">
        <v>0</v>
      </c>
      <c r="L144" s="22" t="n">
        <v>0</v>
      </c>
      <c r="M144" s="22" t="n">
        <v>0</v>
      </c>
      <c r="N144" s="22" t="n">
        <v>0</v>
      </c>
      <c r="O144" s="22" t="n">
        <v>0</v>
      </c>
      <c r="P144" s="22" t="n">
        <v>0</v>
      </c>
      <c r="Q144" s="22" t="n">
        <v>0</v>
      </c>
      <c r="R144" s="22" t="n">
        <v>0</v>
      </c>
      <c r="S144" s="22" t="n">
        <v>0</v>
      </c>
      <c r="T144" s="22" t="n">
        <v>0</v>
      </c>
      <c r="U144" s="22" t="n">
        <v>0</v>
      </c>
      <c r="V144" s="22" t="n">
        <v>0</v>
      </c>
      <c r="W144" s="22" t="n">
        <v>15</v>
      </c>
      <c r="X144" s="22" t="n">
        <v>27</v>
      </c>
      <c r="Y144" s="22" t="n">
        <v>17</v>
      </c>
      <c r="Z144" s="22" t="n">
        <v>155</v>
      </c>
      <c r="AA144" s="22" t="n">
        <v>202</v>
      </c>
      <c r="AB144" s="22" t="n">
        <v>267</v>
      </c>
      <c r="AC144" s="22" t="n">
        <v>244</v>
      </c>
      <c r="AD144" s="22" t="n">
        <v>153</v>
      </c>
      <c r="AE144" s="14" t="str">
        <v>1</v>
      </c>
      <c r="AF144" s="14" t="str">
        <v>IETMREOL</v>
      </c>
      <c r="AG144" s="14" t="str">
        <v>IETMREOL20191</v>
      </c>
      <c r="AH144" s="14" t="str">
        <v>REGULAR</v>
      </c>
      <c r="AI144" s="14" t="str">
        <v>C</v>
      </c>
      <c r="AJ144" s="22" t="n">
        <v>15</v>
      </c>
      <c r="AK144" s="22" t="n">
        <v>9</v>
      </c>
      <c r="AL144" s="22" t="n">
        <v>1</v>
      </c>
      <c r="AM144" s="22" t="n">
        <v>1</v>
      </c>
      <c r="AN144" s="22" t="n">
        <v>0</v>
      </c>
      <c r="AO144" s="14" t="str">
        <v>CRUCE_PERSONA_MU_2022_2026 / REGLA_MU_2027</v>
      </c>
      <c r="AP144" s="14" t="str">
        <v>UNIDO</v>
      </c>
      <c r="AQ144" s="14" t="str">
        <v>UNIDO</v>
      </c>
      <c r="AR144" s="14" t="str">
        <v>B/C</v>
      </c>
      <c r="AS144" s="14" t="str">
        <v>H002 / MATRIZ / PUBLICA</v>
      </c>
      <c r="AT144" s="14" t="str">
        <v>ANUAL / Catálogo 2027; no atribución retroactiva ni acreditación de cohorte/malla</v>
      </c>
      <c r="AU144" s="14" t="n">
        <v>8</v>
      </c>
      <c r="AV144" s="14" t="n">
        <v>8</v>
      </c>
      <c r="AW144" s="14" t="str">
        <v>VERSIONES_POR_DURACION_O_TIPO</v>
      </c>
      <c r="AX144" s="14" t="n">
        <v>2026</v>
      </c>
      <c r="AY144" s="14" t="str">
        <v>PUBLICA; última matrícula</v>
      </c>
    </row>
    <row r="145" ht="36" customHeight="1">
      <c r="A145" s="15" t="str">
        <v>I162S2C3J4V2</v>
      </c>
      <c r="B145" s="15" t="str">
        <v>INGENIERIA EN CONECTIVIDAD Y REDES</v>
      </c>
      <c r="C145" s="15" t="str">
        <v>2</v>
      </c>
      <c r="D145" s="15" t="str">
        <v>4</v>
      </c>
      <c r="E145" s="15" t="str">
        <v>2</v>
      </c>
      <c r="F145" s="15" t="str">
        <v>No presencial</v>
      </c>
      <c r="G145" s="15" t="str">
        <v>Pregrado</v>
      </c>
      <c r="H145" s="15" t="str">
        <v>Plan Regular</v>
      </c>
      <c r="I145" s="23" t="n">
        <v>2019</v>
      </c>
      <c r="J145" s="23" t="n">
        <v>2026</v>
      </c>
      <c r="K145" s="24" t="n">
        <v>0</v>
      </c>
      <c r="L145" s="24" t="n">
        <v>0</v>
      </c>
      <c r="M145" s="24" t="n">
        <v>0</v>
      </c>
      <c r="N145" s="24" t="n">
        <v>0</v>
      </c>
      <c r="O145" s="24" t="n">
        <v>0</v>
      </c>
      <c r="P145" s="24" t="n">
        <v>0</v>
      </c>
      <c r="Q145" s="24" t="n">
        <v>0</v>
      </c>
      <c r="R145" s="24" t="n">
        <v>0</v>
      </c>
      <c r="S145" s="24" t="n">
        <v>0</v>
      </c>
      <c r="T145" s="24" t="n">
        <v>0</v>
      </c>
      <c r="U145" s="24" t="n">
        <v>0</v>
      </c>
      <c r="V145" s="24" t="n">
        <v>0</v>
      </c>
      <c r="W145" s="24" t="n">
        <v>15</v>
      </c>
      <c r="X145" s="24" t="n">
        <v>27</v>
      </c>
      <c r="Y145" s="24" t="n">
        <v>17</v>
      </c>
      <c r="Z145" s="24" t="n">
        <v>155</v>
      </c>
      <c r="AA145" s="24" t="n">
        <v>202</v>
      </c>
      <c r="AB145" s="24" t="n">
        <v>267</v>
      </c>
      <c r="AC145" s="24" t="n">
        <v>244</v>
      </c>
      <c r="AD145" s="24" t="n">
        <v>153</v>
      </c>
      <c r="AE145" s="15" t="str">
        <v>1</v>
      </c>
      <c r="AF145" s="15" t="str">
        <v>IETMREOL</v>
      </c>
      <c r="AG145" s="15" t="str">
        <v>IETMREOL20211</v>
      </c>
      <c r="AH145" s="15" t="str">
        <v>REGULAR</v>
      </c>
      <c r="AI145" s="15" t="str">
        <v>C</v>
      </c>
      <c r="AJ145" s="24" t="n">
        <v>132</v>
      </c>
      <c r="AK145" s="24" t="n">
        <v>192</v>
      </c>
      <c r="AL145" s="24" t="n">
        <v>84</v>
      </c>
      <c r="AM145" s="24" t="n">
        <v>16</v>
      </c>
      <c r="AN145" s="24" t="n">
        <v>0</v>
      </c>
      <c r="AO145" s="15" t="str">
        <v>CRUCE_PERSONA_MU_2022_2026 / REGLA_MU_2027</v>
      </c>
      <c r="AP145" s="15" t="str">
        <v>UNIDO</v>
      </c>
      <c r="AQ145" s="15" t="str">
        <v>UNIDO</v>
      </c>
      <c r="AR145" s="15" t="str">
        <v>B/C</v>
      </c>
      <c r="AS145" s="15" t="str">
        <v>H002 / MATRIZ / PUBLICA</v>
      </c>
      <c r="AT145" s="15" t="str">
        <v>ANUAL / Catálogo 2027; no atribución retroactiva ni acreditación de cohorte/malla</v>
      </c>
      <c r="AU145" s="15" t="n">
        <v>8</v>
      </c>
      <c r="AV145" s="15" t="n">
        <v>8</v>
      </c>
      <c r="AW145" s="15" t="str">
        <v>VERSIONES_POR_DURACION_O_TIPO</v>
      </c>
      <c r="AX145" s="15" t="n">
        <v>2026</v>
      </c>
      <c r="AY145" s="15" t="str">
        <v>PUBLICA; última matrícula</v>
      </c>
    </row>
    <row r="146" ht="27" customHeight="1">
      <c r="A146" s="14" t="str">
        <v>I162S2C3J4V2</v>
      </c>
      <c r="B146" s="14" t="str">
        <v>INGENIERIA EN CONECTIVIDAD Y REDES</v>
      </c>
      <c r="C146" s="14" t="str">
        <v>2</v>
      </c>
      <c r="D146" s="14" t="str">
        <v>4</v>
      </c>
      <c r="E146" s="14" t="str">
        <v>2</v>
      </c>
      <c r="F146" s="14" t="str">
        <v>No presencial</v>
      </c>
      <c r="G146" s="14" t="str">
        <v>Pregrado</v>
      </c>
      <c r="H146" s="14" t="str">
        <v>Plan Regular</v>
      </c>
      <c r="I146" s="21" t="n">
        <v>2019</v>
      </c>
      <c r="J146" s="21" t="n">
        <v>2026</v>
      </c>
      <c r="K146" s="22" t="n">
        <v>0</v>
      </c>
      <c r="L146" s="22" t="n">
        <v>0</v>
      </c>
      <c r="M146" s="22" t="n">
        <v>0</v>
      </c>
      <c r="N146" s="22" t="n">
        <v>0</v>
      </c>
      <c r="O146" s="22" t="n">
        <v>0</v>
      </c>
      <c r="P146" s="22" t="n">
        <v>0</v>
      </c>
      <c r="Q146" s="22" t="n">
        <v>0</v>
      </c>
      <c r="R146" s="22" t="n">
        <v>0</v>
      </c>
      <c r="S146" s="22" t="n">
        <v>0</v>
      </c>
      <c r="T146" s="22" t="n">
        <v>0</v>
      </c>
      <c r="U146" s="22" t="n">
        <v>0</v>
      </c>
      <c r="V146" s="22" t="n">
        <v>0</v>
      </c>
      <c r="W146" s="22" t="n">
        <v>15</v>
      </c>
      <c r="X146" s="22" t="n">
        <v>27</v>
      </c>
      <c r="Y146" s="22" t="n">
        <v>17</v>
      </c>
      <c r="Z146" s="22" t="n">
        <v>155</v>
      </c>
      <c r="AA146" s="22" t="n">
        <v>202</v>
      </c>
      <c r="AB146" s="22" t="n">
        <v>267</v>
      </c>
      <c r="AC146" s="22" t="n">
        <v>244</v>
      </c>
      <c r="AD146" s="22" t="n">
        <v>153</v>
      </c>
      <c r="AE146" s="14" t="str">
        <v>1</v>
      </c>
      <c r="AF146" s="14" t="str">
        <v>NCONREOL</v>
      </c>
      <c r="AG146" s="14" t="str">
        <v>NCONREOL2019</v>
      </c>
      <c r="AH146" s="14" t="str">
        <v>E</v>
      </c>
      <c r="AI146" s="14" t="str">
        <v>E</v>
      </c>
      <c r="AJ146" s="22" t="n">
        <v>7</v>
      </c>
      <c r="AK146" s="22" t="n">
        <v>0</v>
      </c>
      <c r="AL146" s="22" t="n">
        <v>0</v>
      </c>
      <c r="AM146" s="22" t="n">
        <v>0</v>
      </c>
      <c r="AN146" s="22" t="n">
        <v>0</v>
      </c>
      <c r="AO146" s="14" t="str">
        <v>CRUCE_PERSONA_MU_2022_2026</v>
      </c>
      <c r="AP146" s="14" t="str">
        <v>UNIDO</v>
      </c>
      <c r="AQ146" s="14" t="str">
        <v>UNIDO</v>
      </c>
      <c r="AR146" s="14" t="str">
        <v>B/C</v>
      </c>
      <c r="AS146" s="14" t="str">
        <v>MATRIZ / PUBLICA</v>
      </c>
      <c r="AT146" s="14" t="str">
        <v>ANUAL</v>
      </c>
      <c r="AU146" s="14" t="n">
        <v>8</v>
      </c>
      <c r="AV146" s="14" t="n">
        <v>8</v>
      </c>
      <c r="AW146" s="14" t="str">
        <v>VERSIONES_POR_DURACION_O_TIPO</v>
      </c>
      <c r="AX146" s="14" t="n">
        <v>2026</v>
      </c>
      <c r="AY146" s="14" t="str">
        <v>PUBLICA; última matrícula</v>
      </c>
    </row>
    <row r="147" ht="36" customHeight="1">
      <c r="A147" s="15" t="str">
        <v>I162S2C3J4V2</v>
      </c>
      <c r="B147" s="15" t="str">
        <v>INGENIERIA EN CONECTIVIDAD Y REDES</v>
      </c>
      <c r="C147" s="15" t="str">
        <v>2</v>
      </c>
      <c r="D147" s="15" t="str">
        <v>4</v>
      </c>
      <c r="E147" s="15" t="str">
        <v>2</v>
      </c>
      <c r="F147" s="15" t="str">
        <v>No presencial</v>
      </c>
      <c r="G147" s="15" t="str">
        <v>Pregrado</v>
      </c>
      <c r="H147" s="15" t="str">
        <v>Plan Regular</v>
      </c>
      <c r="I147" s="23" t="n">
        <v>2019</v>
      </c>
      <c r="J147" s="23" t="n">
        <v>2026</v>
      </c>
      <c r="K147" s="24" t="n">
        <v>0</v>
      </c>
      <c r="L147" s="24" t="n">
        <v>0</v>
      </c>
      <c r="M147" s="24" t="n">
        <v>0</v>
      </c>
      <c r="N147" s="24" t="n">
        <v>0</v>
      </c>
      <c r="O147" s="24" t="n">
        <v>0</v>
      </c>
      <c r="P147" s="24" t="n">
        <v>0</v>
      </c>
      <c r="Q147" s="24" t="n">
        <v>0</v>
      </c>
      <c r="R147" s="24" t="n">
        <v>0</v>
      </c>
      <c r="S147" s="24" t="n">
        <v>0</v>
      </c>
      <c r="T147" s="24" t="n">
        <v>0</v>
      </c>
      <c r="U147" s="24" t="n">
        <v>0</v>
      </c>
      <c r="V147" s="24" t="n">
        <v>0</v>
      </c>
      <c r="W147" s="24" t="n">
        <v>15</v>
      </c>
      <c r="X147" s="24" t="n">
        <v>27</v>
      </c>
      <c r="Y147" s="24" t="n">
        <v>17</v>
      </c>
      <c r="Z147" s="24" t="n">
        <v>155</v>
      </c>
      <c r="AA147" s="24" t="n">
        <v>202</v>
      </c>
      <c r="AB147" s="24" t="n">
        <v>267</v>
      </c>
      <c r="AC147" s="24" t="n">
        <v>244</v>
      </c>
      <c r="AD147" s="24" t="n">
        <v>153</v>
      </c>
      <c r="AE147" s="15" t="str">
        <v>1</v>
      </c>
      <c r="AF147" s="15" t="str">
        <v>NETMRE</v>
      </c>
      <c r="AG147" s="15" t="str">
        <v>NETMRE20091</v>
      </c>
      <c r="AH147" s="15" t="str">
        <v>REGULAR</v>
      </c>
      <c r="AI147" s="15" t="str">
        <v>C</v>
      </c>
      <c r="AJ147" s="24" t="n">
        <v>0</v>
      </c>
      <c r="AK147" s="24" t="n">
        <v>0</v>
      </c>
      <c r="AL147" s="24" t="n">
        <v>0</v>
      </c>
      <c r="AM147" s="24" t="n">
        <v>0</v>
      </c>
      <c r="AN147" s="24" t="n">
        <v>0</v>
      </c>
      <c r="AO147" s="15" t="str">
        <v>REGLA_MU_2027</v>
      </c>
      <c r="AP147" s="15" t="str">
        <v>UNIDO</v>
      </c>
      <c r="AQ147" s="15" t="str">
        <v>UNIDO</v>
      </c>
      <c r="AR147" s="15" t="str">
        <v>B/C</v>
      </c>
      <c r="AS147" s="15" t="str">
        <v>H002 / PUBLICA</v>
      </c>
      <c r="AT147" s="15" t="str">
        <v>Catálogo 2027; no atribución retroactiva ni acreditación de cohorte/malla</v>
      </c>
      <c r="AU147" s="15" t="n">
        <v>8</v>
      </c>
      <c r="AV147" s="15" t="n">
        <v>8</v>
      </c>
      <c r="AW147" s="15" t="str">
        <v>VERSIONES_POR_DURACION_O_TIPO</v>
      </c>
      <c r="AX147" s="15" t="n">
        <v>2026</v>
      </c>
      <c r="AY147" s="15" t="str">
        <v>PUBLICA; última matrícula</v>
      </c>
    </row>
    <row r="148" ht="36" customHeight="1">
      <c r="A148" s="14" t="str">
        <v>I162S2C3J4V2</v>
      </c>
      <c r="B148" s="14" t="str">
        <v>INGENIERIA EN CONECTIVIDAD Y REDES</v>
      </c>
      <c r="C148" s="14" t="str">
        <v>2</v>
      </c>
      <c r="D148" s="14" t="str">
        <v>4</v>
      </c>
      <c r="E148" s="14" t="str">
        <v>2</v>
      </c>
      <c r="F148" s="14" t="str">
        <v>No presencial</v>
      </c>
      <c r="G148" s="14" t="str">
        <v>Pregrado</v>
      </c>
      <c r="H148" s="14" t="str">
        <v>Plan Regular</v>
      </c>
      <c r="I148" s="21" t="n">
        <v>2019</v>
      </c>
      <c r="J148" s="21" t="n">
        <v>2026</v>
      </c>
      <c r="K148" s="22" t="n">
        <v>0</v>
      </c>
      <c r="L148" s="22" t="n">
        <v>0</v>
      </c>
      <c r="M148" s="22" t="n">
        <v>0</v>
      </c>
      <c r="N148" s="22" t="n">
        <v>0</v>
      </c>
      <c r="O148" s="22" t="n">
        <v>0</v>
      </c>
      <c r="P148" s="22" t="n">
        <v>0</v>
      </c>
      <c r="Q148" s="22" t="n">
        <v>0</v>
      </c>
      <c r="R148" s="22" t="n">
        <v>0</v>
      </c>
      <c r="S148" s="22" t="n">
        <v>0</v>
      </c>
      <c r="T148" s="22" t="n">
        <v>0</v>
      </c>
      <c r="U148" s="22" t="n">
        <v>0</v>
      </c>
      <c r="V148" s="22" t="n">
        <v>0</v>
      </c>
      <c r="W148" s="22" t="n">
        <v>15</v>
      </c>
      <c r="X148" s="22" t="n">
        <v>27</v>
      </c>
      <c r="Y148" s="22" t="n">
        <v>17</v>
      </c>
      <c r="Z148" s="22" t="n">
        <v>155</v>
      </c>
      <c r="AA148" s="22" t="n">
        <v>202</v>
      </c>
      <c r="AB148" s="22" t="n">
        <v>267</v>
      </c>
      <c r="AC148" s="22" t="n">
        <v>244</v>
      </c>
      <c r="AD148" s="22" t="n">
        <v>153</v>
      </c>
      <c r="AE148" s="14" t="str">
        <v>1</v>
      </c>
      <c r="AF148" s="14" t="str">
        <v>NETMRE</v>
      </c>
      <c r="AG148" s="14" t="str">
        <v>NETMRE20101</v>
      </c>
      <c r="AH148" s="14" t="str">
        <v>REGULAR</v>
      </c>
      <c r="AI148" s="14" t="str">
        <v>C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14" t="str">
        <v>REGLA_MU_2027</v>
      </c>
      <c r="AP148" s="14" t="str">
        <v>UNIDO</v>
      </c>
      <c r="AQ148" s="14" t="str">
        <v>UNIDO</v>
      </c>
      <c r="AR148" s="14" t="str">
        <v>B/C</v>
      </c>
      <c r="AS148" s="14" t="str">
        <v>H002 / PUBLICA</v>
      </c>
      <c r="AT148" s="14" t="str">
        <v>Catálogo 2027; no atribución retroactiva ni acreditación de cohorte/malla</v>
      </c>
      <c r="AU148" s="14" t="n">
        <v>8</v>
      </c>
      <c r="AV148" s="14" t="n">
        <v>8</v>
      </c>
      <c r="AW148" s="14" t="str">
        <v>VERSIONES_POR_DURACION_O_TIPO</v>
      </c>
      <c r="AX148" s="14" t="n">
        <v>2026</v>
      </c>
      <c r="AY148" s="14" t="str">
        <v>PUBLICA; última matrícula</v>
      </c>
    </row>
    <row r="149" ht="36" customHeight="1">
      <c r="A149" s="15" t="str">
        <v>I162S2C3J4V2</v>
      </c>
      <c r="B149" s="15" t="str">
        <v>INGENIERIA EN CONECTIVIDAD Y REDES</v>
      </c>
      <c r="C149" s="15" t="str">
        <v>2</v>
      </c>
      <c r="D149" s="15" t="str">
        <v>4</v>
      </c>
      <c r="E149" s="15" t="str">
        <v>2</v>
      </c>
      <c r="F149" s="15" t="str">
        <v>No presencial</v>
      </c>
      <c r="G149" s="15" t="str">
        <v>Pregrado</v>
      </c>
      <c r="H149" s="15" t="str">
        <v>Plan Regular</v>
      </c>
      <c r="I149" s="23" t="n">
        <v>2019</v>
      </c>
      <c r="J149" s="23" t="n">
        <v>2026</v>
      </c>
      <c r="K149" s="24" t="n">
        <v>0</v>
      </c>
      <c r="L149" s="24" t="n">
        <v>0</v>
      </c>
      <c r="M149" s="24" t="n">
        <v>0</v>
      </c>
      <c r="N149" s="24" t="n">
        <v>0</v>
      </c>
      <c r="O149" s="24" t="n">
        <v>0</v>
      </c>
      <c r="P149" s="24" t="n">
        <v>0</v>
      </c>
      <c r="Q149" s="24" t="n">
        <v>0</v>
      </c>
      <c r="R149" s="24" t="n">
        <v>0</v>
      </c>
      <c r="S149" s="24" t="n">
        <v>0</v>
      </c>
      <c r="T149" s="24" t="n">
        <v>0</v>
      </c>
      <c r="U149" s="24" t="n">
        <v>0</v>
      </c>
      <c r="V149" s="24" t="n">
        <v>0</v>
      </c>
      <c r="W149" s="24" t="n">
        <v>15</v>
      </c>
      <c r="X149" s="24" t="n">
        <v>27</v>
      </c>
      <c r="Y149" s="24" t="n">
        <v>17</v>
      </c>
      <c r="Z149" s="24" t="n">
        <v>155</v>
      </c>
      <c r="AA149" s="24" t="n">
        <v>202</v>
      </c>
      <c r="AB149" s="24" t="n">
        <v>267</v>
      </c>
      <c r="AC149" s="24" t="n">
        <v>244</v>
      </c>
      <c r="AD149" s="24" t="n">
        <v>153</v>
      </c>
      <c r="AE149" s="15" t="str">
        <v>1</v>
      </c>
      <c r="AF149" s="15" t="str">
        <v>NETMRE</v>
      </c>
      <c r="AG149" s="15" t="str">
        <v>NETMRE20121</v>
      </c>
      <c r="AH149" s="15" t="str">
        <v>E</v>
      </c>
      <c r="AI149" s="15" t="str">
        <v>E</v>
      </c>
      <c r="AJ149" s="24" t="n">
        <v>0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15" t="str">
        <v>REGLA_MU_2027</v>
      </c>
      <c r="AP149" s="15" t="str">
        <v>UNIDO</v>
      </c>
      <c r="AQ149" s="15" t="str">
        <v>UNIDO</v>
      </c>
      <c r="AR149" s="15" t="str">
        <v>B/C</v>
      </c>
      <c r="AS149" s="15" t="str">
        <v>H002 / PUBLICA</v>
      </c>
      <c r="AT149" s="15" t="str">
        <v>Catálogo 2027; no atribución retroactiva ni acreditación de cohorte/malla</v>
      </c>
      <c r="AU149" s="15" t="n">
        <v>8</v>
      </c>
      <c r="AV149" s="15" t="n">
        <v>8</v>
      </c>
      <c r="AW149" s="15" t="str">
        <v>VERSIONES_POR_DURACION_O_TIPO</v>
      </c>
      <c r="AX149" s="15" t="n">
        <v>2026</v>
      </c>
      <c r="AY149" s="15" t="str">
        <v>PUBLICA; última matrícula</v>
      </c>
    </row>
    <row r="150" ht="36" customHeight="1">
      <c r="A150" s="14" t="str">
        <v>I162S2C3J4V2</v>
      </c>
      <c r="B150" s="14" t="str">
        <v>INGENIERIA EN CONECTIVIDAD Y REDES</v>
      </c>
      <c r="C150" s="14" t="str">
        <v>2</v>
      </c>
      <c r="D150" s="14" t="str">
        <v>4</v>
      </c>
      <c r="E150" s="14" t="str">
        <v>2</v>
      </c>
      <c r="F150" s="14" t="str">
        <v>No presencial</v>
      </c>
      <c r="G150" s="14" t="str">
        <v>Pregrado</v>
      </c>
      <c r="H150" s="14" t="str">
        <v>Plan Regular</v>
      </c>
      <c r="I150" s="21" t="n">
        <v>2019</v>
      </c>
      <c r="J150" s="21" t="n">
        <v>2026</v>
      </c>
      <c r="K150" s="22" t="n">
        <v>0</v>
      </c>
      <c r="L150" s="22" t="n">
        <v>0</v>
      </c>
      <c r="M150" s="22" t="n">
        <v>0</v>
      </c>
      <c r="N150" s="22" t="n">
        <v>0</v>
      </c>
      <c r="O150" s="22" t="n">
        <v>0</v>
      </c>
      <c r="P150" s="22" t="n">
        <v>0</v>
      </c>
      <c r="Q150" s="22" t="n">
        <v>0</v>
      </c>
      <c r="R150" s="22" t="n">
        <v>0</v>
      </c>
      <c r="S150" s="22" t="n">
        <v>0</v>
      </c>
      <c r="T150" s="22" t="n">
        <v>0</v>
      </c>
      <c r="U150" s="22" t="n">
        <v>0</v>
      </c>
      <c r="V150" s="22" t="n">
        <v>0</v>
      </c>
      <c r="W150" s="22" t="n">
        <v>15</v>
      </c>
      <c r="X150" s="22" t="n">
        <v>27</v>
      </c>
      <c r="Y150" s="22" t="n">
        <v>17</v>
      </c>
      <c r="Z150" s="22" t="n">
        <v>155</v>
      </c>
      <c r="AA150" s="22" t="n">
        <v>202</v>
      </c>
      <c r="AB150" s="22" t="n">
        <v>267</v>
      </c>
      <c r="AC150" s="22" t="n">
        <v>244</v>
      </c>
      <c r="AD150" s="22" t="n">
        <v>153</v>
      </c>
      <c r="AE150" s="14" t="str">
        <v>1</v>
      </c>
      <c r="AF150" s="14" t="str">
        <v>CICRE / ICRE / IETMREOL</v>
      </c>
      <c r="AG150" s="14" t="str">
        <v>PLAN_NO_OBSERVADO</v>
      </c>
      <c r="AH150" s="14" t="str">
        <v>E</v>
      </c>
      <c r="AI150" s="14" t="str">
        <v>E</v>
      </c>
      <c r="AJ150" s="22" t="n">
        <v>0</v>
      </c>
      <c r="AK150" s="22" t="n">
        <v>1</v>
      </c>
      <c r="AL150" s="22" t="n">
        <v>3</v>
      </c>
      <c r="AM150" s="22" t="n">
        <v>9</v>
      </c>
      <c r="AN150" s="22" t="n">
        <v>8</v>
      </c>
      <c r="AO150" s="14" t="str">
        <v>CRUCE_PERSONA_MU_2022_2026</v>
      </c>
      <c r="AP150" s="14" t="str">
        <v>PENDIENTE</v>
      </c>
      <c r="AQ150" s="14" t="str">
        <v>PLAN_NO_OBSERVADO</v>
      </c>
      <c r="AR150" s="14" t="str">
        <v>E</v>
      </c>
      <c r="AS150" s="14" t="str">
        <v>MATRIZ / PUBLICA</v>
      </c>
      <c r="AT150" s="14" t="str">
        <v>SIN_ACTIVIDAD_ANUAL; ENLACE_EXPEDIENTE_CONSERVADO</v>
      </c>
      <c r="AU150" s="14" t="n">
        <v>8</v>
      </c>
      <c r="AV150" s="14" t="n">
        <v>8</v>
      </c>
      <c r="AW150" s="14" t="str">
        <v>VERSIONES_POR_DURACION_O_TIPO</v>
      </c>
      <c r="AX150" s="14" t="n">
        <v>2026</v>
      </c>
      <c r="AY150" s="14" t="str">
        <v>PUBLICA; última matrícula</v>
      </c>
    </row>
    <row r="151" ht="36" customHeight="1">
      <c r="A151" s="15" t="str">
        <v>I162S2C3J4V3</v>
      </c>
      <c r="B151" s="15" t="str">
        <v>INGENIERIA EN CONECTIVIDAD Y REDES</v>
      </c>
      <c r="C151" s="15" t="str">
        <v>2</v>
      </c>
      <c r="D151" s="15" t="str">
        <v>4</v>
      </c>
      <c r="E151" s="15" t="str">
        <v>3</v>
      </c>
      <c r="F151" s="15" t="str">
        <v>No presencial</v>
      </c>
      <c r="G151" s="15" t="str">
        <v>Pregrado</v>
      </c>
      <c r="H151" s="15" t="str">
        <v>Plan Regular de Continuidad</v>
      </c>
      <c r="I151" s="23" t="n">
        <v>2019</v>
      </c>
      <c r="J151" s="23" t="n">
        <v>2026</v>
      </c>
      <c r="K151" s="24" t="n">
        <v>0</v>
      </c>
      <c r="L151" s="24" t="n">
        <v>0</v>
      </c>
      <c r="M151" s="24" t="n">
        <v>0</v>
      </c>
      <c r="N151" s="24" t="n">
        <v>0</v>
      </c>
      <c r="O151" s="24" t="n">
        <v>0</v>
      </c>
      <c r="P151" s="24" t="n">
        <v>0</v>
      </c>
      <c r="Q151" s="24" t="n">
        <v>0</v>
      </c>
      <c r="R151" s="24" t="n">
        <v>0</v>
      </c>
      <c r="S151" s="24" t="n">
        <v>0</v>
      </c>
      <c r="T151" s="24" t="n">
        <v>0</v>
      </c>
      <c r="U151" s="24" t="n">
        <v>0</v>
      </c>
      <c r="V151" s="24" t="n">
        <v>0</v>
      </c>
      <c r="W151" s="24" t="n">
        <v>12</v>
      </c>
      <c r="X151" s="24" t="n">
        <v>0</v>
      </c>
      <c r="Y151" s="24" t="n">
        <v>0</v>
      </c>
      <c r="Z151" s="24" t="n">
        <v>0</v>
      </c>
      <c r="AA151" s="24" t="n">
        <v>0</v>
      </c>
      <c r="AB151" s="24" t="n">
        <v>0</v>
      </c>
      <c r="AC151" s="24" t="n">
        <v>43</v>
      </c>
      <c r="AD151" s="24" t="n">
        <v>113</v>
      </c>
      <c r="AE151" s="15" t="str">
        <v>1</v>
      </c>
      <c r="AF151" s="15" t="str">
        <v>CICRE</v>
      </c>
      <c r="AG151" s="15" t="str">
        <v>CICRE20241</v>
      </c>
      <c r="AH151" s="15" t="str">
        <v>CONTINUIDAD</v>
      </c>
      <c r="AI151" s="15" t="str">
        <v>C</v>
      </c>
      <c r="AJ151" s="24" t="n">
        <v>0</v>
      </c>
      <c r="AK151" s="24" t="n">
        <v>0</v>
      </c>
      <c r="AL151" s="24" t="n">
        <v>0</v>
      </c>
      <c r="AM151" s="24" t="n">
        <v>43</v>
      </c>
      <c r="AN151" s="24" t="n">
        <v>111</v>
      </c>
      <c r="AO151" s="15" t="str">
        <v>CRUCE_PERSONA_MU_2022_2026 / REGLA_MU_2027</v>
      </c>
      <c r="AP151" s="15" t="str">
        <v>UNIDO</v>
      </c>
      <c r="AQ151" s="15" t="str">
        <v>UNIDO</v>
      </c>
      <c r="AR151" s="15" t="str">
        <v>B/C</v>
      </c>
      <c r="AS151" s="15" t="str">
        <v>H002 / MATRIZ / PUBLICA</v>
      </c>
      <c r="AT151" s="15" t="str">
        <v>ANUAL / Catálogo 2027; no atribución retroactiva ni acreditación de cohorte/malla</v>
      </c>
      <c r="AU151" s="15" t="n">
        <v>4</v>
      </c>
      <c r="AV151" s="15" t="n">
        <v>4</v>
      </c>
      <c r="AW151" s="15" t="str">
        <v>VERSIONES_POR_DURACION_O_TIPO</v>
      </c>
      <c r="AX151" s="15" t="n">
        <v>2026</v>
      </c>
      <c r="AY151" s="15" t="str">
        <v>PUBLICA; última matrícula</v>
      </c>
    </row>
    <row r="152" ht="36" customHeight="1">
      <c r="A152" s="14" t="str">
        <v>I162S2C3J4V3</v>
      </c>
      <c r="B152" s="14" t="str">
        <v>INGENIERIA EN CONECTIVIDAD Y REDES</v>
      </c>
      <c r="C152" s="14" t="str">
        <v>2</v>
      </c>
      <c r="D152" s="14" t="str">
        <v>4</v>
      </c>
      <c r="E152" s="14" t="str">
        <v>3</v>
      </c>
      <c r="F152" s="14" t="str">
        <v>No presencial</v>
      </c>
      <c r="G152" s="14" t="str">
        <v>Pregrado</v>
      </c>
      <c r="H152" s="14" t="str">
        <v>Plan Regular de Continuidad</v>
      </c>
      <c r="I152" s="21" t="n">
        <v>2019</v>
      </c>
      <c r="J152" s="21" t="n">
        <v>2026</v>
      </c>
      <c r="K152" s="22" t="n">
        <v>0</v>
      </c>
      <c r="L152" s="22" t="n">
        <v>0</v>
      </c>
      <c r="M152" s="22" t="n">
        <v>0</v>
      </c>
      <c r="N152" s="22" t="n">
        <v>0</v>
      </c>
      <c r="O152" s="22" t="n">
        <v>0</v>
      </c>
      <c r="P152" s="22" t="n">
        <v>0</v>
      </c>
      <c r="Q152" s="22" t="n">
        <v>0</v>
      </c>
      <c r="R152" s="22" t="n">
        <v>0</v>
      </c>
      <c r="S152" s="22" t="n">
        <v>0</v>
      </c>
      <c r="T152" s="22" t="n">
        <v>0</v>
      </c>
      <c r="U152" s="22" t="n">
        <v>0</v>
      </c>
      <c r="V152" s="22" t="n">
        <v>0</v>
      </c>
      <c r="W152" s="22" t="n">
        <v>12</v>
      </c>
      <c r="X152" s="22" t="n">
        <v>0</v>
      </c>
      <c r="Y152" s="22" t="n">
        <v>0</v>
      </c>
      <c r="Z152" s="22" t="n">
        <v>0</v>
      </c>
      <c r="AA152" s="22" t="n">
        <v>0</v>
      </c>
      <c r="AB152" s="22" t="n">
        <v>0</v>
      </c>
      <c r="AC152" s="22" t="n">
        <v>43</v>
      </c>
      <c r="AD152" s="22" t="n">
        <v>113</v>
      </c>
      <c r="AE152" s="14" t="str">
        <v>1</v>
      </c>
      <c r="AF152" s="14" t="str">
        <v>CICRE</v>
      </c>
      <c r="AG152" s="14" t="str">
        <v>PLAN_NO_OBSERVADO</v>
      </c>
      <c r="AH152" s="14" t="str">
        <v>E</v>
      </c>
      <c r="AI152" s="14" t="str">
        <v>E</v>
      </c>
      <c r="AJ152" s="22" t="n">
        <v>0</v>
      </c>
      <c r="AK152" s="22" t="n">
        <v>0</v>
      </c>
      <c r="AL152" s="22" t="n">
        <v>0</v>
      </c>
      <c r="AM152" s="22" t="n">
        <v>0</v>
      </c>
      <c r="AN152" s="22" t="n">
        <v>1</v>
      </c>
      <c r="AO152" s="14" t="str">
        <v>CRUCE_PERSONA_MU_2022_2026</v>
      </c>
      <c r="AP152" s="14" t="str">
        <v>PENDIENTE</v>
      </c>
      <c r="AQ152" s="14" t="str">
        <v>PLAN_NO_OBSERVADO</v>
      </c>
      <c r="AR152" s="14" t="str">
        <v>E</v>
      </c>
      <c r="AS152" s="14" t="str">
        <v>MATRIZ / PUBLICA</v>
      </c>
      <c r="AT152" s="14" t="str">
        <v>SIN_ACTIVIDAD_ANUAL; ENLACE_EXPEDIENTE_CONSERVADO</v>
      </c>
      <c r="AU152" s="14" t="n">
        <v>4</v>
      </c>
      <c r="AV152" s="14" t="n">
        <v>4</v>
      </c>
      <c r="AW152" s="14" t="str">
        <v>VERSIONES_POR_DURACION_O_TIPO</v>
      </c>
      <c r="AX152" s="14" t="n">
        <v>2026</v>
      </c>
      <c r="AY152" s="14" t="str">
        <v>PUBLICA; última matrícula</v>
      </c>
    </row>
    <row r="153" ht="36" customHeight="1">
      <c r="A153" s="15" t="str">
        <v>I162S2C40J2V1</v>
      </c>
      <c r="B153" s="15" t="str">
        <v>DIPLOMADO EN DOCENCIA EN EDUCACION SUPERIOR TECNICO PROFESIONAL</v>
      </c>
      <c r="C153" s="15" t="str">
        <v>2</v>
      </c>
      <c r="D153" s="15" t="str">
        <v>2</v>
      </c>
      <c r="E153" s="15" t="str">
        <v>1</v>
      </c>
      <c r="F153" s="15" t="str">
        <v>Semipresencial</v>
      </c>
      <c r="G153" s="15" t="str">
        <v>Postítulo/otro</v>
      </c>
      <c r="H153" s="15" t="str">
        <v>Plan Regular</v>
      </c>
      <c r="I153" s="23" t="str">
        <v>n.a.</v>
      </c>
      <c r="J153" s="23" t="str">
        <v>n.a.</v>
      </c>
      <c r="K153" s="24" t="n">
        <v>0</v>
      </c>
      <c r="L153" s="24" t="n">
        <v>0</v>
      </c>
      <c r="M153" s="24" t="n">
        <v>0</v>
      </c>
      <c r="N153" s="24" t="n">
        <v>0</v>
      </c>
      <c r="O153" s="24" t="n">
        <v>0</v>
      </c>
      <c r="P153" s="24" t="n">
        <v>0</v>
      </c>
      <c r="Q153" s="24" t="n">
        <v>0</v>
      </c>
      <c r="R153" s="24" t="n">
        <v>0</v>
      </c>
      <c r="S153" s="24" t="n">
        <v>0</v>
      </c>
      <c r="T153" s="24" t="n">
        <v>0</v>
      </c>
      <c r="U153" s="24" t="n">
        <v>0</v>
      </c>
      <c r="V153" s="24" t="n">
        <v>0</v>
      </c>
      <c r="W153" s="24" t="n">
        <v>0</v>
      </c>
      <c r="X153" s="24" t="n">
        <v>0</v>
      </c>
      <c r="Y153" s="24" t="n">
        <v>0</v>
      </c>
      <c r="Z153" s="24" t="n">
        <v>0</v>
      </c>
      <c r="AA153" s="24" t="n">
        <v>0</v>
      </c>
      <c r="AB153" s="24" t="n">
        <v>0</v>
      </c>
      <c r="AC153" s="24" t="n">
        <v>0</v>
      </c>
      <c r="AD153" s="24" t="n">
        <v>0</v>
      </c>
      <c r="AE153" s="15" t="str">
        <v>3</v>
      </c>
      <c r="AF153" s="15" t="str">
        <v>E</v>
      </c>
      <c r="AG153" s="15" t="str">
        <v>E: sin plan</v>
      </c>
      <c r="AH153" s="15" t="str">
        <v>E</v>
      </c>
      <c r="AI153" s="15" t="str">
        <v>E</v>
      </c>
      <c r="AJ153" s="24" t="n">
        <v>0</v>
      </c>
      <c r="AK153" s="24" t="n">
        <v>0</v>
      </c>
      <c r="AL153" s="24" t="n">
        <v>0</v>
      </c>
      <c r="AM153" s="24" t="n">
        <v>0</v>
      </c>
      <c r="AN153" s="24" t="n">
        <v>0</v>
      </c>
      <c r="AO153" s="15" t="str">
        <v>SIN_UNION</v>
      </c>
      <c r="AP153" s="15" t="str">
        <v>PENDIENTE</v>
      </c>
      <c r="AQ153" s="15" t="str">
        <v>FUERA_ALCANCE</v>
      </c>
      <c r="AR153" s="15" t="str">
        <v>E</v>
      </c>
      <c r="AS153" s="15" t="str">
        <v>PUBLICA</v>
      </c>
      <c r="AT153" s="15" t="str">
        <v>E</v>
      </c>
      <c r="AU153" s="15" t="n">
        <v>2</v>
      </c>
      <c r="AV153" s="15" t="n">
        <v>2</v>
      </c>
      <c r="AW153" s="15" t="str">
        <v>E: sin historia pública</v>
      </c>
      <c r="AX153" s="15" t="n">
        <v>2026</v>
      </c>
      <c r="AY153" s="15" t="str">
        <v>MAESTRO/oferta_anual; sin matrícula</v>
      </c>
    </row>
    <row r="154" ht="27" customHeight="1">
      <c r="A154" s="14" t="str">
        <v>I162S2C46J1V1</v>
      </c>
      <c r="B154" s="14" t="str">
        <v>INGENIERIA EN CIBERSEGURIDAD</v>
      </c>
      <c r="C154" s="14" t="str">
        <v>2</v>
      </c>
      <c r="D154" s="14" t="str">
        <v>1</v>
      </c>
      <c r="E154" s="14" t="str">
        <v>1</v>
      </c>
      <c r="F154" s="14" t="str">
        <v>Presencial</v>
      </c>
      <c r="G154" s="14" t="str">
        <v>Pregrado</v>
      </c>
      <c r="H154" s="14" t="str">
        <v>Plan Regular</v>
      </c>
      <c r="I154" s="21" t="n">
        <v>2020</v>
      </c>
      <c r="J154" s="21" t="n">
        <v>2026</v>
      </c>
      <c r="K154" s="22" t="n">
        <v>0</v>
      </c>
      <c r="L154" s="22" t="n">
        <v>0</v>
      </c>
      <c r="M154" s="22" t="n">
        <v>0</v>
      </c>
      <c r="N154" s="22" t="n">
        <v>0</v>
      </c>
      <c r="O154" s="22" t="n">
        <v>0</v>
      </c>
      <c r="P154" s="22" t="n">
        <v>0</v>
      </c>
      <c r="Q154" s="22" t="n">
        <v>0</v>
      </c>
      <c r="R154" s="22" t="n">
        <v>0</v>
      </c>
      <c r="S154" s="22" t="n">
        <v>0</v>
      </c>
      <c r="T154" s="22" t="n">
        <v>0</v>
      </c>
      <c r="U154" s="22" t="n">
        <v>0</v>
      </c>
      <c r="V154" s="22" t="n">
        <v>0</v>
      </c>
      <c r="W154" s="22" t="n">
        <v>0</v>
      </c>
      <c r="X154" s="22" t="n">
        <v>10</v>
      </c>
      <c r="Y154" s="22" t="n">
        <v>15</v>
      </c>
      <c r="Z154" s="22" t="n">
        <v>15</v>
      </c>
      <c r="AA154" s="22" t="n">
        <v>6</v>
      </c>
      <c r="AB154" s="22" t="n">
        <v>21</v>
      </c>
      <c r="AC154" s="22" t="n">
        <v>33</v>
      </c>
      <c r="AD154" s="22" t="n">
        <v>35</v>
      </c>
      <c r="AE154" s="14" t="str">
        <v>2</v>
      </c>
      <c r="AF154" s="14" t="str">
        <v>ICIB</v>
      </c>
      <c r="AG154" s="14" t="str">
        <v>ICIB20241</v>
      </c>
      <c r="AH154" s="14" t="str">
        <v>REGULAR</v>
      </c>
      <c r="AI154" s="14" t="str">
        <v>C</v>
      </c>
      <c r="AJ154" s="22" t="n">
        <v>0</v>
      </c>
      <c r="AK154" s="22" t="n">
        <v>0</v>
      </c>
      <c r="AL154" s="22" t="n">
        <v>8</v>
      </c>
      <c r="AM154" s="22" t="n">
        <v>22</v>
      </c>
      <c r="AN154" s="22" t="n">
        <v>31</v>
      </c>
      <c r="AO154" s="14" t="str">
        <v>CRUCE_PERSONA_MU_2022_2026</v>
      </c>
      <c r="AP154" s="14" t="str">
        <v>UNIDO</v>
      </c>
      <c r="AQ154" s="14" t="str">
        <v>UNIDO</v>
      </c>
      <c r="AR154" s="14" t="str">
        <v>B/C</v>
      </c>
      <c r="AS154" s="14" t="str">
        <v>MATRIZ / PUBLICA</v>
      </c>
      <c r="AT154" s="14" t="str">
        <v>ANUAL</v>
      </c>
      <c r="AU154" s="14" t="n">
        <v>8</v>
      </c>
      <c r="AV154" s="14" t="n">
        <v>8</v>
      </c>
      <c r="AW154" s="14" t="str">
        <v>UNA_VERSION_OBSERVADA</v>
      </c>
      <c r="AX154" s="14" t="n">
        <v>2026</v>
      </c>
      <c r="AY154" s="14" t="str">
        <v>PUBLICA; última matrícula</v>
      </c>
    </row>
    <row r="155" ht="27" customHeight="1">
      <c r="A155" s="15" t="str">
        <v>I162S2C46J1V1</v>
      </c>
      <c r="B155" s="15" t="str">
        <v>INGENIERIA EN CIBERSEGURIDAD</v>
      </c>
      <c r="C155" s="15" t="str">
        <v>2</v>
      </c>
      <c r="D155" s="15" t="str">
        <v>1</v>
      </c>
      <c r="E155" s="15" t="str">
        <v>1</v>
      </c>
      <c r="F155" s="15" t="str">
        <v>Presencial</v>
      </c>
      <c r="G155" s="15" t="str">
        <v>Pregrado</v>
      </c>
      <c r="H155" s="15" t="str">
        <v>Plan Regular</v>
      </c>
      <c r="I155" s="23" t="n">
        <v>2020</v>
      </c>
      <c r="J155" s="23" t="n">
        <v>2026</v>
      </c>
      <c r="K155" s="24" t="n">
        <v>0</v>
      </c>
      <c r="L155" s="24" t="n">
        <v>0</v>
      </c>
      <c r="M155" s="24" t="n">
        <v>0</v>
      </c>
      <c r="N155" s="24" t="n">
        <v>0</v>
      </c>
      <c r="O155" s="24" t="n">
        <v>0</v>
      </c>
      <c r="P155" s="24" t="n">
        <v>0</v>
      </c>
      <c r="Q155" s="24" t="n">
        <v>0</v>
      </c>
      <c r="R155" s="24" t="n">
        <v>0</v>
      </c>
      <c r="S155" s="24" t="n">
        <v>0</v>
      </c>
      <c r="T155" s="24" t="n">
        <v>0</v>
      </c>
      <c r="U155" s="24" t="n">
        <v>0</v>
      </c>
      <c r="V155" s="24" t="n">
        <v>0</v>
      </c>
      <c r="W155" s="24" t="n">
        <v>0</v>
      </c>
      <c r="X155" s="24" t="n">
        <v>10</v>
      </c>
      <c r="Y155" s="24" t="n">
        <v>15</v>
      </c>
      <c r="Z155" s="24" t="n">
        <v>15</v>
      </c>
      <c r="AA155" s="24" t="n">
        <v>6</v>
      </c>
      <c r="AB155" s="24" t="n">
        <v>21</v>
      </c>
      <c r="AC155" s="24" t="n">
        <v>33</v>
      </c>
      <c r="AD155" s="24" t="n">
        <v>35</v>
      </c>
      <c r="AE155" s="15" t="str">
        <v>2</v>
      </c>
      <c r="AF155" s="15" t="str">
        <v>IECSRE</v>
      </c>
      <c r="AG155" s="15" t="str">
        <v>IECSRE20211</v>
      </c>
      <c r="AH155" s="15" t="str">
        <v>REGULAR</v>
      </c>
      <c r="AI155" s="15" t="str">
        <v>C</v>
      </c>
      <c r="AJ155" s="24" t="n">
        <v>8</v>
      </c>
      <c r="AK155" s="24" t="n">
        <v>5</v>
      </c>
      <c r="AL155" s="24" t="n">
        <v>0</v>
      </c>
      <c r="AM155" s="24" t="n">
        <v>0</v>
      </c>
      <c r="AN155" s="24" t="n">
        <v>0</v>
      </c>
      <c r="AO155" s="15" t="str">
        <v>CRUCE_PERSONA_MU_2022_2026</v>
      </c>
      <c r="AP155" s="15" t="str">
        <v>UNIDO</v>
      </c>
      <c r="AQ155" s="15" t="str">
        <v>UNIDO</v>
      </c>
      <c r="AR155" s="15" t="str">
        <v>B/C</v>
      </c>
      <c r="AS155" s="15" t="str">
        <v>MATRIZ / PUBLICA</v>
      </c>
      <c r="AT155" s="15" t="str">
        <v>ANUAL</v>
      </c>
      <c r="AU155" s="15" t="n">
        <v>8</v>
      </c>
      <c r="AV155" s="15" t="n">
        <v>8</v>
      </c>
      <c r="AW155" s="15" t="str">
        <v>UNA_VERSION_OBSERVADA</v>
      </c>
      <c r="AX155" s="15" t="n">
        <v>2026</v>
      </c>
      <c r="AY155" s="15" t="str">
        <v>PUBLICA; última matrícula</v>
      </c>
    </row>
    <row r="156" ht="27" customHeight="1">
      <c r="A156" s="14" t="str">
        <v>I162S2C46J1V1</v>
      </c>
      <c r="B156" s="14" t="str">
        <v>INGENIERIA EN CIBERSEGURIDAD</v>
      </c>
      <c r="C156" s="14" t="str">
        <v>2</v>
      </c>
      <c r="D156" s="14" t="str">
        <v>1</v>
      </c>
      <c r="E156" s="14" t="str">
        <v>1</v>
      </c>
      <c r="F156" s="14" t="str">
        <v>Presencial</v>
      </c>
      <c r="G156" s="14" t="str">
        <v>Pregrado</v>
      </c>
      <c r="H156" s="14" t="str">
        <v>Plan Regular</v>
      </c>
      <c r="I156" s="21" t="n">
        <v>2020</v>
      </c>
      <c r="J156" s="21" t="n">
        <v>2026</v>
      </c>
      <c r="K156" s="22" t="n">
        <v>0</v>
      </c>
      <c r="L156" s="22" t="n">
        <v>0</v>
      </c>
      <c r="M156" s="22" t="n">
        <v>0</v>
      </c>
      <c r="N156" s="22" t="n">
        <v>0</v>
      </c>
      <c r="O156" s="22" t="n">
        <v>0</v>
      </c>
      <c r="P156" s="22" t="n">
        <v>0</v>
      </c>
      <c r="Q156" s="22" t="n">
        <v>0</v>
      </c>
      <c r="R156" s="22" t="n">
        <v>0</v>
      </c>
      <c r="S156" s="22" t="n">
        <v>0</v>
      </c>
      <c r="T156" s="22" t="n">
        <v>0</v>
      </c>
      <c r="U156" s="22" t="n">
        <v>0</v>
      </c>
      <c r="V156" s="22" t="n">
        <v>0</v>
      </c>
      <c r="W156" s="22" t="n">
        <v>0</v>
      </c>
      <c r="X156" s="22" t="n">
        <v>10</v>
      </c>
      <c r="Y156" s="22" t="n">
        <v>15</v>
      </c>
      <c r="Z156" s="22" t="n">
        <v>15</v>
      </c>
      <c r="AA156" s="22" t="n">
        <v>6</v>
      </c>
      <c r="AB156" s="22" t="n">
        <v>21</v>
      </c>
      <c r="AC156" s="22" t="n">
        <v>33</v>
      </c>
      <c r="AD156" s="22" t="n">
        <v>35</v>
      </c>
      <c r="AE156" s="14" t="str">
        <v>2</v>
      </c>
      <c r="AF156" s="14" t="str">
        <v>ICIB / IECSRE</v>
      </c>
      <c r="AG156" s="14" t="str">
        <v>PLAN_NO_OBSERVADO</v>
      </c>
      <c r="AH156" s="14" t="str">
        <v>E</v>
      </c>
      <c r="AI156" s="14" t="str">
        <v>E</v>
      </c>
      <c r="AJ156" s="22" t="n">
        <v>0</v>
      </c>
      <c r="AK156" s="22" t="n">
        <v>1</v>
      </c>
      <c r="AL156" s="22" t="n">
        <v>0</v>
      </c>
      <c r="AM156" s="22" t="n">
        <v>0</v>
      </c>
      <c r="AN156" s="22" t="n">
        <v>2</v>
      </c>
      <c r="AO156" s="14" t="str">
        <v>CRUCE_PERSONA_MU_2022_2026</v>
      </c>
      <c r="AP156" s="14" t="str">
        <v>PENDIENTE</v>
      </c>
      <c r="AQ156" s="14" t="str">
        <v>PLAN_NO_OBSERVADO</v>
      </c>
      <c r="AR156" s="14" t="str">
        <v>E</v>
      </c>
      <c r="AS156" s="14" t="str">
        <v>MATRIZ / PUBLICA</v>
      </c>
      <c r="AT156" s="14" t="str">
        <v>SIN_ACTIVIDAD_ANUAL; ENLACE_EXPEDIENTE_CONSERVADO</v>
      </c>
      <c r="AU156" s="14" t="n">
        <v>8</v>
      </c>
      <c r="AV156" s="14" t="n">
        <v>8</v>
      </c>
      <c r="AW156" s="14" t="str">
        <v>UNA_VERSION_OBSERVADA</v>
      </c>
      <c r="AX156" s="14" t="n">
        <v>2026</v>
      </c>
      <c r="AY156" s="14" t="str">
        <v>PUBLICA; última matrícula</v>
      </c>
    </row>
    <row r="157" ht="36" customHeight="1">
      <c r="A157" s="15" t="str">
        <v>I162S2C46J2V1</v>
      </c>
      <c r="B157" s="15" t="str">
        <v>INGENIERIA EN CIBERSEGURIDAD</v>
      </c>
      <c r="C157" s="15" t="str">
        <v>2</v>
      </c>
      <c r="D157" s="15" t="str">
        <v>2</v>
      </c>
      <c r="E157" s="15" t="str">
        <v>1</v>
      </c>
      <c r="F157" s="15" t="str">
        <v>Presencial</v>
      </c>
      <c r="G157" s="15" t="str">
        <v>Pregrado</v>
      </c>
      <c r="H157" s="15" t="str">
        <v>Plan Regular</v>
      </c>
      <c r="I157" s="23" t="n">
        <v>2019</v>
      </c>
      <c r="J157" s="23" t="n">
        <v>2026</v>
      </c>
      <c r="K157" s="24" t="n">
        <v>0</v>
      </c>
      <c r="L157" s="24" t="n">
        <v>0</v>
      </c>
      <c r="M157" s="24" t="n">
        <v>0</v>
      </c>
      <c r="N157" s="24" t="n">
        <v>0</v>
      </c>
      <c r="O157" s="24" t="n">
        <v>0</v>
      </c>
      <c r="P157" s="24" t="n">
        <v>0</v>
      </c>
      <c r="Q157" s="24" t="n">
        <v>0</v>
      </c>
      <c r="R157" s="24" t="n">
        <v>0</v>
      </c>
      <c r="S157" s="24" t="n">
        <v>0</v>
      </c>
      <c r="T157" s="24" t="n">
        <v>0</v>
      </c>
      <c r="U157" s="24" t="n">
        <v>0</v>
      </c>
      <c r="V157" s="24" t="n">
        <v>0</v>
      </c>
      <c r="W157" s="24" t="n">
        <v>12</v>
      </c>
      <c r="X157" s="24" t="n">
        <v>15</v>
      </c>
      <c r="Y157" s="24" t="n">
        <v>32</v>
      </c>
      <c r="Z157" s="24" t="n">
        <v>39</v>
      </c>
      <c r="AA157" s="24" t="n">
        <v>41</v>
      </c>
      <c r="AB157" s="24" t="n">
        <v>42</v>
      </c>
      <c r="AC157" s="24" t="n">
        <v>36</v>
      </c>
      <c r="AD157" s="24" t="n">
        <v>41</v>
      </c>
      <c r="AE157" s="15" t="str">
        <v>1</v>
      </c>
      <c r="AF157" s="15" t="str">
        <v>ICIB</v>
      </c>
      <c r="AG157" s="15" t="str">
        <v>ICIB20241</v>
      </c>
      <c r="AH157" s="15" t="str">
        <v>REGULAR</v>
      </c>
      <c r="AI157" s="15" t="str">
        <v>C</v>
      </c>
      <c r="AJ157" s="24" t="n">
        <v>0</v>
      </c>
      <c r="AK157" s="24" t="n">
        <v>0</v>
      </c>
      <c r="AL157" s="24" t="n">
        <v>23</v>
      </c>
      <c r="AM157" s="24" t="n">
        <v>26</v>
      </c>
      <c r="AN157" s="24" t="n">
        <v>34</v>
      </c>
      <c r="AO157" s="15" t="str">
        <v>CRUCE_PERSONA_MU_2022_2026 / REGLA_MU_2027</v>
      </c>
      <c r="AP157" s="15" t="str">
        <v>UNIDO</v>
      </c>
      <c r="AQ157" s="15" t="str">
        <v>UNIDO</v>
      </c>
      <c r="AR157" s="15" t="str">
        <v>B/C</v>
      </c>
      <c r="AS157" s="15" t="str">
        <v>H002 / MATRIZ / PUBLICA</v>
      </c>
      <c r="AT157" s="15" t="str">
        <v>ANUAL / Catálogo 2027; no atribución retroactiva ni acreditación de cohorte/malla</v>
      </c>
      <c r="AU157" s="15" t="n">
        <v>8</v>
      </c>
      <c r="AV157" s="15" t="n">
        <v>8</v>
      </c>
      <c r="AW157" s="15" t="str">
        <v>VERSIONES_POR_DURACION_O_TIPO</v>
      </c>
      <c r="AX157" s="15" t="n">
        <v>2026</v>
      </c>
      <c r="AY157" s="15" t="str">
        <v>PUBLICA; última matrícula</v>
      </c>
    </row>
    <row r="158" ht="36" customHeight="1">
      <c r="A158" s="14" t="str">
        <v>I162S2C46J2V1</v>
      </c>
      <c r="B158" s="14" t="str">
        <v>INGENIERIA EN CIBERSEGURIDAD</v>
      </c>
      <c r="C158" s="14" t="str">
        <v>2</v>
      </c>
      <c r="D158" s="14" t="str">
        <v>2</v>
      </c>
      <c r="E158" s="14" t="str">
        <v>1</v>
      </c>
      <c r="F158" s="14" t="str">
        <v>Presencial</v>
      </c>
      <c r="G158" s="14" t="str">
        <v>Pregrado</v>
      </c>
      <c r="H158" s="14" t="str">
        <v>Plan Regular</v>
      </c>
      <c r="I158" s="21" t="n">
        <v>2019</v>
      </c>
      <c r="J158" s="21" t="n">
        <v>2026</v>
      </c>
      <c r="K158" s="22" t="n">
        <v>0</v>
      </c>
      <c r="L158" s="22" t="n">
        <v>0</v>
      </c>
      <c r="M158" s="22" t="n">
        <v>0</v>
      </c>
      <c r="N158" s="22" t="n">
        <v>0</v>
      </c>
      <c r="O158" s="22" t="n">
        <v>0</v>
      </c>
      <c r="P158" s="22" t="n">
        <v>0</v>
      </c>
      <c r="Q158" s="22" t="n">
        <v>0</v>
      </c>
      <c r="R158" s="22" t="n">
        <v>0</v>
      </c>
      <c r="S158" s="22" t="n">
        <v>0</v>
      </c>
      <c r="T158" s="22" t="n">
        <v>0</v>
      </c>
      <c r="U158" s="22" t="n">
        <v>0</v>
      </c>
      <c r="V158" s="22" t="n">
        <v>0</v>
      </c>
      <c r="W158" s="22" t="n">
        <v>12</v>
      </c>
      <c r="X158" s="22" t="n">
        <v>15</v>
      </c>
      <c r="Y158" s="22" t="n">
        <v>32</v>
      </c>
      <c r="Z158" s="22" t="n">
        <v>39</v>
      </c>
      <c r="AA158" s="22" t="n">
        <v>41</v>
      </c>
      <c r="AB158" s="22" t="n">
        <v>42</v>
      </c>
      <c r="AC158" s="22" t="n">
        <v>36</v>
      </c>
      <c r="AD158" s="22" t="n">
        <v>41</v>
      </c>
      <c r="AE158" s="14" t="str">
        <v>1</v>
      </c>
      <c r="AF158" s="14" t="str">
        <v>NICCRE</v>
      </c>
      <c r="AG158" s="14" t="str">
        <v>NICCRE20191</v>
      </c>
      <c r="AH158" s="14" t="str">
        <v>E</v>
      </c>
      <c r="AI158" s="14" t="str">
        <v>E</v>
      </c>
      <c r="AJ158" s="22" t="n">
        <v>0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14" t="str">
        <v>REGLA_MU_2027</v>
      </c>
      <c r="AP158" s="14" t="str">
        <v>UNIDO</v>
      </c>
      <c r="AQ158" s="14" t="str">
        <v>UNIDO</v>
      </c>
      <c r="AR158" s="14" t="str">
        <v>B/C</v>
      </c>
      <c r="AS158" s="14" t="str">
        <v>H002 / PUBLICA</v>
      </c>
      <c r="AT158" s="14" t="str">
        <v>Catálogo 2027; no atribución retroactiva ni acreditación de cohorte/malla</v>
      </c>
      <c r="AU158" s="14" t="n">
        <v>8</v>
      </c>
      <c r="AV158" s="14" t="n">
        <v>8</v>
      </c>
      <c r="AW158" s="14" t="str">
        <v>VERSIONES_POR_DURACION_O_TIPO</v>
      </c>
      <c r="AX158" s="14" t="n">
        <v>2026</v>
      </c>
      <c r="AY158" s="14" t="str">
        <v>PUBLICA; última matrícula</v>
      </c>
    </row>
    <row r="159" ht="36" customHeight="1">
      <c r="A159" s="15" t="str">
        <v>I162S2C46J2V1</v>
      </c>
      <c r="B159" s="15" t="str">
        <v>INGENIERIA EN CIBERSEGURIDAD</v>
      </c>
      <c r="C159" s="15" t="str">
        <v>2</v>
      </c>
      <c r="D159" s="15" t="str">
        <v>2</v>
      </c>
      <c r="E159" s="15" t="str">
        <v>1</v>
      </c>
      <c r="F159" s="15" t="str">
        <v>Presencial</v>
      </c>
      <c r="G159" s="15" t="str">
        <v>Pregrado</v>
      </c>
      <c r="H159" s="15" t="str">
        <v>Plan Regular</v>
      </c>
      <c r="I159" s="23" t="n">
        <v>2019</v>
      </c>
      <c r="J159" s="23" t="n">
        <v>2026</v>
      </c>
      <c r="K159" s="24" t="n">
        <v>0</v>
      </c>
      <c r="L159" s="24" t="n">
        <v>0</v>
      </c>
      <c r="M159" s="24" t="n">
        <v>0</v>
      </c>
      <c r="N159" s="24" t="n">
        <v>0</v>
      </c>
      <c r="O159" s="24" t="n">
        <v>0</v>
      </c>
      <c r="P159" s="24" t="n">
        <v>0</v>
      </c>
      <c r="Q159" s="24" t="n">
        <v>0</v>
      </c>
      <c r="R159" s="24" t="n">
        <v>0</v>
      </c>
      <c r="S159" s="24" t="n">
        <v>0</v>
      </c>
      <c r="T159" s="24" t="n">
        <v>0</v>
      </c>
      <c r="U159" s="24" t="n">
        <v>0</v>
      </c>
      <c r="V159" s="24" t="n">
        <v>0</v>
      </c>
      <c r="W159" s="24" t="n">
        <v>12</v>
      </c>
      <c r="X159" s="24" t="n">
        <v>15</v>
      </c>
      <c r="Y159" s="24" t="n">
        <v>32</v>
      </c>
      <c r="Z159" s="24" t="n">
        <v>39</v>
      </c>
      <c r="AA159" s="24" t="n">
        <v>41</v>
      </c>
      <c r="AB159" s="24" t="n">
        <v>42</v>
      </c>
      <c r="AC159" s="24" t="n">
        <v>36</v>
      </c>
      <c r="AD159" s="24" t="n">
        <v>41</v>
      </c>
      <c r="AE159" s="15" t="str">
        <v>1</v>
      </c>
      <c r="AF159" s="15" t="str">
        <v>NICCRE</v>
      </c>
      <c r="AG159" s="15" t="str">
        <v>NICCRE2020</v>
      </c>
      <c r="AH159" s="15" t="str">
        <v>E</v>
      </c>
      <c r="AI159" s="15" t="str">
        <v>E</v>
      </c>
      <c r="AJ159" s="24" t="n">
        <v>0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15" t="str">
        <v>REGLA_MU_2027</v>
      </c>
      <c r="AP159" s="15" t="str">
        <v>UNIDO</v>
      </c>
      <c r="AQ159" s="15" t="str">
        <v>UNIDO</v>
      </c>
      <c r="AR159" s="15" t="str">
        <v>B/C</v>
      </c>
      <c r="AS159" s="15" t="str">
        <v>H002 / PUBLICA</v>
      </c>
      <c r="AT159" s="15" t="str">
        <v>Catálogo 2027; no atribución retroactiva ni acreditación de cohorte/malla</v>
      </c>
      <c r="AU159" s="15" t="n">
        <v>8</v>
      </c>
      <c r="AV159" s="15" t="n">
        <v>8</v>
      </c>
      <c r="AW159" s="15" t="str">
        <v>VERSIONES_POR_DURACION_O_TIPO</v>
      </c>
      <c r="AX159" s="15" t="n">
        <v>2026</v>
      </c>
      <c r="AY159" s="15" t="str">
        <v>PUBLICA; última matrícula</v>
      </c>
    </row>
    <row r="160" ht="36" customHeight="1">
      <c r="A160" s="14" t="str">
        <v>I162S2C46J2V1</v>
      </c>
      <c r="B160" s="14" t="str">
        <v>INGENIERIA EN CIBERSEGURIDAD</v>
      </c>
      <c r="C160" s="14" t="str">
        <v>2</v>
      </c>
      <c r="D160" s="14" t="str">
        <v>2</v>
      </c>
      <c r="E160" s="14" t="str">
        <v>1</v>
      </c>
      <c r="F160" s="14" t="str">
        <v>Presencial</v>
      </c>
      <c r="G160" s="14" t="str">
        <v>Pregrado</v>
      </c>
      <c r="H160" s="14" t="str">
        <v>Plan Regular</v>
      </c>
      <c r="I160" s="21" t="n">
        <v>2019</v>
      </c>
      <c r="J160" s="21" t="n">
        <v>2026</v>
      </c>
      <c r="K160" s="22" t="n">
        <v>0</v>
      </c>
      <c r="L160" s="22" t="n">
        <v>0</v>
      </c>
      <c r="M160" s="22" t="n">
        <v>0</v>
      </c>
      <c r="N160" s="22" t="n">
        <v>0</v>
      </c>
      <c r="O160" s="22" t="n">
        <v>0</v>
      </c>
      <c r="P160" s="22" t="n">
        <v>0</v>
      </c>
      <c r="Q160" s="22" t="n">
        <v>0</v>
      </c>
      <c r="R160" s="22" t="n">
        <v>0</v>
      </c>
      <c r="S160" s="22" t="n">
        <v>0</v>
      </c>
      <c r="T160" s="22" t="n">
        <v>0</v>
      </c>
      <c r="U160" s="22" t="n">
        <v>0</v>
      </c>
      <c r="V160" s="22" t="n">
        <v>0</v>
      </c>
      <c r="W160" s="22" t="n">
        <v>12</v>
      </c>
      <c r="X160" s="22" t="n">
        <v>15</v>
      </c>
      <c r="Y160" s="22" t="n">
        <v>32</v>
      </c>
      <c r="Z160" s="22" t="n">
        <v>39</v>
      </c>
      <c r="AA160" s="22" t="n">
        <v>41</v>
      </c>
      <c r="AB160" s="22" t="n">
        <v>42</v>
      </c>
      <c r="AC160" s="22" t="n">
        <v>36</v>
      </c>
      <c r="AD160" s="22" t="n">
        <v>41</v>
      </c>
      <c r="AE160" s="14" t="str">
        <v>1</v>
      </c>
      <c r="AF160" s="14" t="str">
        <v>NTCCRE</v>
      </c>
      <c r="AG160" s="14" t="str">
        <v>NTCCRE20191</v>
      </c>
      <c r="AH160" s="14" t="str">
        <v>E</v>
      </c>
      <c r="AI160" s="14" t="str">
        <v>E</v>
      </c>
      <c r="AJ160" s="22" t="n">
        <v>2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14" t="str">
        <v>CRUCE_PERSONA_MU_2022_2026 / REGLA_MU_2027</v>
      </c>
      <c r="AP160" s="14" t="str">
        <v>UNIDO</v>
      </c>
      <c r="AQ160" s="14" t="str">
        <v>UNIDO</v>
      </c>
      <c r="AR160" s="14" t="str">
        <v>B/C</v>
      </c>
      <c r="AS160" s="14" t="str">
        <v>H002 / MATRIZ / PUBLICA</v>
      </c>
      <c r="AT160" s="14" t="str">
        <v>ANUAL / Catálogo 2027; no atribución retroactiva ni acreditación de cohorte/malla</v>
      </c>
      <c r="AU160" s="14" t="n">
        <v>8</v>
      </c>
      <c r="AV160" s="14" t="n">
        <v>8</v>
      </c>
      <c r="AW160" s="14" t="str">
        <v>VERSIONES_POR_DURACION_O_TIPO</v>
      </c>
      <c r="AX160" s="14" t="n">
        <v>2026</v>
      </c>
      <c r="AY160" s="14" t="str">
        <v>PUBLICA; última matrícula</v>
      </c>
    </row>
    <row r="161" ht="36" customHeight="1">
      <c r="A161" s="15" t="str">
        <v>I162S2C46J2V1</v>
      </c>
      <c r="B161" s="15" t="str">
        <v>INGENIERIA EN CIBERSEGURIDAD</v>
      </c>
      <c r="C161" s="15" t="str">
        <v>2</v>
      </c>
      <c r="D161" s="15" t="str">
        <v>2</v>
      </c>
      <c r="E161" s="15" t="str">
        <v>1</v>
      </c>
      <c r="F161" s="15" t="str">
        <v>Presencial</v>
      </c>
      <c r="G161" s="15" t="str">
        <v>Pregrado</v>
      </c>
      <c r="H161" s="15" t="str">
        <v>Plan Regular</v>
      </c>
      <c r="I161" s="23" t="n">
        <v>2019</v>
      </c>
      <c r="J161" s="23" t="n">
        <v>2026</v>
      </c>
      <c r="K161" s="24" t="n">
        <v>0</v>
      </c>
      <c r="L161" s="24" t="n">
        <v>0</v>
      </c>
      <c r="M161" s="24" t="n">
        <v>0</v>
      </c>
      <c r="N161" s="24" t="n">
        <v>0</v>
      </c>
      <c r="O161" s="24" t="n">
        <v>0</v>
      </c>
      <c r="P161" s="24" t="n">
        <v>0</v>
      </c>
      <c r="Q161" s="24" t="n">
        <v>0</v>
      </c>
      <c r="R161" s="24" t="n">
        <v>0</v>
      </c>
      <c r="S161" s="24" t="n">
        <v>0</v>
      </c>
      <c r="T161" s="24" t="n">
        <v>0</v>
      </c>
      <c r="U161" s="24" t="n">
        <v>0</v>
      </c>
      <c r="V161" s="24" t="n">
        <v>0</v>
      </c>
      <c r="W161" s="24" t="n">
        <v>12</v>
      </c>
      <c r="X161" s="24" t="n">
        <v>15</v>
      </c>
      <c r="Y161" s="24" t="n">
        <v>32</v>
      </c>
      <c r="Z161" s="24" t="n">
        <v>39</v>
      </c>
      <c r="AA161" s="24" t="n">
        <v>41</v>
      </c>
      <c r="AB161" s="24" t="n">
        <v>42</v>
      </c>
      <c r="AC161" s="24" t="n">
        <v>36</v>
      </c>
      <c r="AD161" s="24" t="n">
        <v>41</v>
      </c>
      <c r="AE161" s="15" t="str">
        <v>1</v>
      </c>
      <c r="AF161" s="15" t="str">
        <v>NTCCRE</v>
      </c>
      <c r="AG161" s="15" t="str">
        <v>NTCCRE2020</v>
      </c>
      <c r="AH161" s="15" t="str">
        <v>E</v>
      </c>
      <c r="AI161" s="15" t="str">
        <v>E</v>
      </c>
      <c r="AJ161" s="24" t="n">
        <v>9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15" t="str">
        <v>CRUCE_PERSONA_MU_2022_2026 / REGLA_MU_2027</v>
      </c>
      <c r="AP161" s="15" t="str">
        <v>UNIDO</v>
      </c>
      <c r="AQ161" s="15" t="str">
        <v>UNIDO</v>
      </c>
      <c r="AR161" s="15" t="str">
        <v>B/C</v>
      </c>
      <c r="AS161" s="15" t="str">
        <v>H002 / MATRIZ / PUBLICA</v>
      </c>
      <c r="AT161" s="15" t="str">
        <v>ANUAL / Catálogo 2027; no atribución retroactiva ni acreditación de cohorte/malla</v>
      </c>
      <c r="AU161" s="15" t="n">
        <v>8</v>
      </c>
      <c r="AV161" s="15" t="n">
        <v>8</v>
      </c>
      <c r="AW161" s="15" t="str">
        <v>VERSIONES_POR_DURACION_O_TIPO</v>
      </c>
      <c r="AX161" s="15" t="n">
        <v>2026</v>
      </c>
      <c r="AY161" s="15" t="str">
        <v>PUBLICA; última matrícula</v>
      </c>
    </row>
    <row r="162" ht="27" customHeight="1">
      <c r="A162" s="14" t="str">
        <v>I162S2C46J2V1</v>
      </c>
      <c r="B162" s="14" t="str">
        <v>INGENIERIA EN CIBERSEGURIDAD</v>
      </c>
      <c r="C162" s="14" t="str">
        <v>2</v>
      </c>
      <c r="D162" s="14" t="str">
        <v>2</v>
      </c>
      <c r="E162" s="14" t="str">
        <v>1</v>
      </c>
      <c r="F162" s="14" t="str">
        <v>Presencial</v>
      </c>
      <c r="G162" s="14" t="str">
        <v>Pregrado</v>
      </c>
      <c r="H162" s="14" t="str">
        <v>Plan Regular</v>
      </c>
      <c r="I162" s="21" t="n">
        <v>2019</v>
      </c>
      <c r="J162" s="21" t="n">
        <v>2026</v>
      </c>
      <c r="K162" s="22" t="n">
        <v>0</v>
      </c>
      <c r="L162" s="22" t="n">
        <v>0</v>
      </c>
      <c r="M162" s="22" t="n">
        <v>0</v>
      </c>
      <c r="N162" s="22" t="n">
        <v>0</v>
      </c>
      <c r="O162" s="22" t="n">
        <v>0</v>
      </c>
      <c r="P162" s="22" t="n">
        <v>0</v>
      </c>
      <c r="Q162" s="22" t="n">
        <v>0</v>
      </c>
      <c r="R162" s="22" t="n">
        <v>0</v>
      </c>
      <c r="S162" s="22" t="n">
        <v>0</v>
      </c>
      <c r="T162" s="22" t="n">
        <v>0</v>
      </c>
      <c r="U162" s="22" t="n">
        <v>0</v>
      </c>
      <c r="V162" s="22" t="n">
        <v>0</v>
      </c>
      <c r="W162" s="22" t="n">
        <v>12</v>
      </c>
      <c r="X162" s="22" t="n">
        <v>15</v>
      </c>
      <c r="Y162" s="22" t="n">
        <v>32</v>
      </c>
      <c r="Z162" s="22" t="n">
        <v>39</v>
      </c>
      <c r="AA162" s="22" t="n">
        <v>41</v>
      </c>
      <c r="AB162" s="22" t="n">
        <v>42</v>
      </c>
      <c r="AC162" s="22" t="n">
        <v>36</v>
      </c>
      <c r="AD162" s="22" t="n">
        <v>41</v>
      </c>
      <c r="AE162" s="14" t="str">
        <v>1</v>
      </c>
      <c r="AF162" s="14" t="str">
        <v>ICIB</v>
      </c>
      <c r="AG162" s="14" t="str">
        <v>PLAN_NO_OBSERVADO</v>
      </c>
      <c r="AH162" s="14" t="str">
        <v>E</v>
      </c>
      <c r="AI162" s="14" t="str">
        <v>E</v>
      </c>
      <c r="AJ162" s="22" t="n">
        <v>2</v>
      </c>
      <c r="AK162" s="22" t="n">
        <v>9</v>
      </c>
      <c r="AL162" s="22" t="n">
        <v>0</v>
      </c>
      <c r="AM162" s="22" t="n">
        <v>2</v>
      </c>
      <c r="AN162" s="22" t="n">
        <v>5</v>
      </c>
      <c r="AO162" s="14" t="str">
        <v>CRUCE_PERSONA_MU_2022_2026</v>
      </c>
      <c r="AP162" s="14" t="str">
        <v>PENDIENTE</v>
      </c>
      <c r="AQ162" s="14" t="str">
        <v>PLAN_NO_OBSERVADO</v>
      </c>
      <c r="AR162" s="14" t="str">
        <v>E</v>
      </c>
      <c r="AS162" s="14" t="str">
        <v>MATRIZ / PUBLICA</v>
      </c>
      <c r="AT162" s="14" t="str">
        <v>SIN_ACTIVIDAD_ANUAL; ENLACE_EXPEDIENTE_CONSERVADO</v>
      </c>
      <c r="AU162" s="14" t="n">
        <v>8</v>
      </c>
      <c r="AV162" s="14" t="n">
        <v>8</v>
      </c>
      <c r="AW162" s="14" t="str">
        <v>VERSIONES_POR_DURACION_O_TIPO</v>
      </c>
      <c r="AX162" s="14" t="n">
        <v>2026</v>
      </c>
      <c r="AY162" s="14" t="str">
        <v>PUBLICA; última matrícula</v>
      </c>
    </row>
    <row r="163" ht="36" customHeight="1">
      <c r="A163" s="15" t="str">
        <v>I162S2C46J2V2</v>
      </c>
      <c r="B163" s="15" t="str">
        <v>INGENIERIA EN CIBERSEGURIDAD</v>
      </c>
      <c r="C163" s="15" t="str">
        <v>2</v>
      </c>
      <c r="D163" s="15" t="str">
        <v>2</v>
      </c>
      <c r="E163" s="15" t="str">
        <v>2</v>
      </c>
      <c r="F163" s="15" t="str">
        <v>Presencial</v>
      </c>
      <c r="G163" s="15" t="str">
        <v>Pregrado</v>
      </c>
      <c r="H163" s="15" t="str">
        <v>Plan Regular de Continuidad</v>
      </c>
      <c r="I163" s="23" t="n">
        <v>2019</v>
      </c>
      <c r="J163" s="23" t="n">
        <v>2021</v>
      </c>
      <c r="K163" s="24" t="n">
        <v>0</v>
      </c>
      <c r="L163" s="24" t="n">
        <v>0</v>
      </c>
      <c r="M163" s="24" t="n">
        <v>0</v>
      </c>
      <c r="N163" s="24" t="n">
        <v>0</v>
      </c>
      <c r="O163" s="24" t="n">
        <v>0</v>
      </c>
      <c r="P163" s="24" t="n">
        <v>0</v>
      </c>
      <c r="Q163" s="24" t="n">
        <v>0</v>
      </c>
      <c r="R163" s="24" t="n">
        <v>0</v>
      </c>
      <c r="S163" s="24" t="n">
        <v>0</v>
      </c>
      <c r="T163" s="24" t="n">
        <v>0</v>
      </c>
      <c r="U163" s="24" t="n">
        <v>0</v>
      </c>
      <c r="V163" s="24" t="n">
        <v>0</v>
      </c>
      <c r="W163" s="24" t="n">
        <v>26</v>
      </c>
      <c r="X163" s="24" t="n">
        <v>22</v>
      </c>
      <c r="Y163" s="24" t="n">
        <v>21</v>
      </c>
      <c r="Z163" s="24" t="n">
        <v>0</v>
      </c>
      <c r="AA163" s="24" t="n">
        <v>0</v>
      </c>
      <c r="AB163" s="24" t="n">
        <v>0</v>
      </c>
      <c r="AC163" s="24" t="n">
        <v>0</v>
      </c>
      <c r="AD163" s="24" t="n">
        <v>0</v>
      </c>
      <c r="AE163" s="15" t="str">
        <v>n.a.</v>
      </c>
      <c r="AF163" s="15" t="str">
        <v>E</v>
      </c>
      <c r="AG163" s="15" t="str">
        <v>E: sin plan</v>
      </c>
      <c r="AH163" s="15" t="str">
        <v>E</v>
      </c>
      <c r="AI163" s="15" t="str">
        <v>E</v>
      </c>
      <c r="AJ163" s="24" t="n">
        <v>0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15" t="str">
        <v>SOLO_SIES_PRE_2022</v>
      </c>
      <c r="AP163" s="15" t="str">
        <v>PENDIENTE</v>
      </c>
      <c r="AQ163" s="15" t="str">
        <v>SOLO_ANTES_2022</v>
      </c>
      <c r="AR163" s="15" t="str">
        <v>E</v>
      </c>
      <c r="AS163" s="15" t="str">
        <v>PUBLICA</v>
      </c>
      <c r="AT163" s="15" t="str">
        <v>E</v>
      </c>
      <c r="AU163" s="15" t="n">
        <v>5</v>
      </c>
      <c r="AV163" s="15" t="n">
        <v>5</v>
      </c>
      <c r="AW163" s="15" t="str">
        <v>VERSIONES_POR_DURACION_O_TIPO</v>
      </c>
      <c r="AX163" s="15" t="n">
        <v>2021</v>
      </c>
      <c r="AY163" s="15" t="str">
        <v>PUBLICA; última matrícula</v>
      </c>
    </row>
    <row r="164" ht="36" customHeight="1">
      <c r="A164" s="14" t="str">
        <v>I162S2C46J2V3</v>
      </c>
      <c r="B164" s="14" t="str">
        <v>INGENIERIA EN CIBERSEGURIDAD</v>
      </c>
      <c r="C164" s="14" t="str">
        <v>2</v>
      </c>
      <c r="D164" s="14" t="str">
        <v>2</v>
      </c>
      <c r="E164" s="14" t="str">
        <v>3</v>
      </c>
      <c r="F164" s="14" t="str">
        <v>Presencial</v>
      </c>
      <c r="G164" s="14" t="str">
        <v>Pregrado</v>
      </c>
      <c r="H164" s="14" t="str">
        <v>Plan Regular de Continuidad</v>
      </c>
      <c r="I164" s="21" t="n">
        <v>2019</v>
      </c>
      <c r="J164" s="21" t="n">
        <v>2026</v>
      </c>
      <c r="K164" s="22" t="n">
        <v>0</v>
      </c>
      <c r="L164" s="22" t="n">
        <v>0</v>
      </c>
      <c r="M164" s="22" t="n">
        <v>0</v>
      </c>
      <c r="N164" s="22" t="n">
        <v>0</v>
      </c>
      <c r="O164" s="22" t="n">
        <v>0</v>
      </c>
      <c r="P164" s="22" t="n">
        <v>0</v>
      </c>
      <c r="Q164" s="22" t="n">
        <v>0</v>
      </c>
      <c r="R164" s="22" t="n">
        <v>0</v>
      </c>
      <c r="S164" s="22" t="n">
        <v>0</v>
      </c>
      <c r="T164" s="22" t="n">
        <v>0</v>
      </c>
      <c r="U164" s="22" t="n">
        <v>0</v>
      </c>
      <c r="V164" s="22" t="n">
        <v>0</v>
      </c>
      <c r="W164" s="22" t="n">
        <v>7</v>
      </c>
      <c r="X164" s="22" t="n">
        <v>28</v>
      </c>
      <c r="Y164" s="22" t="n">
        <v>23</v>
      </c>
      <c r="Z164" s="22" t="n">
        <v>0</v>
      </c>
      <c r="AA164" s="22" t="n">
        <v>0</v>
      </c>
      <c r="AB164" s="22" t="n">
        <v>0</v>
      </c>
      <c r="AC164" s="22" t="n">
        <v>0</v>
      </c>
      <c r="AD164" s="22" t="n">
        <v>4</v>
      </c>
      <c r="AE164" s="14" t="str">
        <v>2</v>
      </c>
      <c r="AF164" s="14" t="str">
        <v>CICIB</v>
      </c>
      <c r="AG164" s="14" t="str">
        <v>CICIB20241</v>
      </c>
      <c r="AH164" s="14" t="str">
        <v>CONTINUIDAD</v>
      </c>
      <c r="AI164" s="14" t="str">
        <v>C</v>
      </c>
      <c r="AJ164" s="22" t="n">
        <v>0</v>
      </c>
      <c r="AK164" s="22" t="n">
        <v>0</v>
      </c>
      <c r="AL164" s="22" t="n">
        <v>0</v>
      </c>
      <c r="AM164" s="22" t="n">
        <v>0</v>
      </c>
      <c r="AN164" s="22" t="n">
        <v>4</v>
      </c>
      <c r="AO164" s="14" t="str">
        <v>APROBACION_D_2027 / CRUCE_PERSONA_MU_2022_2026</v>
      </c>
      <c r="AP164" s="14" t="str">
        <v>UNIDO</v>
      </c>
      <c r="AQ164" s="14" t="str">
        <v>UNIDO</v>
      </c>
      <c r="AR164" s="14" t="str">
        <v>D/C</v>
      </c>
      <c r="AS164" s="14" t="str">
        <v>H002 / MATRIZ / PUBLICA</v>
      </c>
      <c r="AT164" s="14" t="str">
        <v>ANUAL / Catálogo 2027; no atribución retroactiva ni acreditación de cohorte/malla</v>
      </c>
      <c r="AU164" s="14" t="n">
        <v>4</v>
      </c>
      <c r="AV164" s="14" t="n">
        <v>4</v>
      </c>
      <c r="AW164" s="14" t="str">
        <v>VERSIONES_POR_DURACION_O_TIPO</v>
      </c>
      <c r="AX164" s="14" t="n">
        <v>2026</v>
      </c>
      <c r="AY164" s="14" t="str">
        <v>PUBLICA; última matrícula</v>
      </c>
    </row>
    <row r="165" ht="36" customHeight="1">
      <c r="A165" s="15" t="str">
        <v>I162S2C46J4V1</v>
      </c>
      <c r="B165" s="15" t="str">
        <v>INGENIERIA EN CIBERSEGURIDAD</v>
      </c>
      <c r="C165" s="15" t="str">
        <v>2</v>
      </c>
      <c r="D165" s="15" t="str">
        <v>4</v>
      </c>
      <c r="E165" s="15" t="str">
        <v>1</v>
      </c>
      <c r="F165" s="15" t="str">
        <v>No presencial</v>
      </c>
      <c r="G165" s="15" t="str">
        <v>Pregrado</v>
      </c>
      <c r="H165" s="15" t="str">
        <v>Plan Regular de Continuidad</v>
      </c>
      <c r="I165" s="23" t="n">
        <v>2020</v>
      </c>
      <c r="J165" s="23" t="n">
        <v>2026</v>
      </c>
      <c r="K165" s="24" t="n">
        <v>0</v>
      </c>
      <c r="L165" s="24" t="n">
        <v>0</v>
      </c>
      <c r="M165" s="24" t="n">
        <v>0</v>
      </c>
      <c r="N165" s="24" t="n">
        <v>0</v>
      </c>
      <c r="O165" s="24" t="n">
        <v>0</v>
      </c>
      <c r="P165" s="24" t="n">
        <v>0</v>
      </c>
      <c r="Q165" s="24" t="n">
        <v>0</v>
      </c>
      <c r="R165" s="24" t="n">
        <v>0</v>
      </c>
      <c r="S165" s="24" t="n">
        <v>0</v>
      </c>
      <c r="T165" s="24" t="n">
        <v>0</v>
      </c>
      <c r="U165" s="24" t="n">
        <v>0</v>
      </c>
      <c r="V165" s="24" t="n">
        <v>0</v>
      </c>
      <c r="W165" s="24" t="n">
        <v>0</v>
      </c>
      <c r="X165" s="24" t="n">
        <v>11</v>
      </c>
      <c r="Y165" s="24" t="n">
        <v>61</v>
      </c>
      <c r="Z165" s="24" t="n">
        <v>0</v>
      </c>
      <c r="AA165" s="24" t="n">
        <v>0</v>
      </c>
      <c r="AB165" s="24" t="n">
        <v>1</v>
      </c>
      <c r="AC165" s="24" t="n">
        <v>42</v>
      </c>
      <c r="AD165" s="24" t="n">
        <v>78</v>
      </c>
      <c r="AE165" s="15" t="str">
        <v>1</v>
      </c>
      <c r="AF165" s="15" t="str">
        <v>CICIB</v>
      </c>
      <c r="AG165" s="15" t="str">
        <v>CICIB20241</v>
      </c>
      <c r="AH165" s="15" t="str">
        <v>CONTINUIDAD</v>
      </c>
      <c r="AI165" s="15" t="str">
        <v>C</v>
      </c>
      <c r="AJ165" s="24" t="n">
        <v>0</v>
      </c>
      <c r="AK165" s="24" t="n">
        <v>0</v>
      </c>
      <c r="AL165" s="24" t="n">
        <v>0</v>
      </c>
      <c r="AM165" s="24" t="n">
        <v>41</v>
      </c>
      <c r="AN165" s="24" t="n">
        <v>77</v>
      </c>
      <c r="AO165" s="15" t="str">
        <v>CRUCE_PERSONA_MU_2022_2026 / REGLA_MU_2027</v>
      </c>
      <c r="AP165" s="15" t="str">
        <v>UNIDO</v>
      </c>
      <c r="AQ165" s="15" t="str">
        <v>UNIDO</v>
      </c>
      <c r="AR165" s="15" t="str">
        <v>B/C</v>
      </c>
      <c r="AS165" s="15" t="str">
        <v>H002 / MATRIZ / PUBLICA</v>
      </c>
      <c r="AT165" s="15" t="str">
        <v>ANUAL / Catálogo 2027; no atribución retroactiva ni acreditación de cohorte/malla</v>
      </c>
      <c r="AU165" s="15" t="n">
        <v>4</v>
      </c>
      <c r="AV165" s="15" t="n">
        <v>4</v>
      </c>
      <c r="AW165" s="15" t="str">
        <v>VERSIONES_POR_DURACION_O_TIPO</v>
      </c>
      <c r="AX165" s="15" t="n">
        <v>2026</v>
      </c>
      <c r="AY165" s="15" t="str">
        <v>PUBLICA; última matrícula</v>
      </c>
    </row>
    <row r="166" ht="36" customHeight="1">
      <c r="A166" s="14" t="str">
        <v>I162S2C46J4V1</v>
      </c>
      <c r="B166" s="14" t="str">
        <v>INGENIERIA EN CIBERSEGURIDAD</v>
      </c>
      <c r="C166" s="14" t="str">
        <v>2</v>
      </c>
      <c r="D166" s="14" t="str">
        <v>4</v>
      </c>
      <c r="E166" s="14" t="str">
        <v>1</v>
      </c>
      <c r="F166" s="14" t="str">
        <v>No presencial</v>
      </c>
      <c r="G166" s="14" t="str">
        <v>Pregrado</v>
      </c>
      <c r="H166" s="14" t="str">
        <v>Plan Regular de Continuidad</v>
      </c>
      <c r="I166" s="21" t="n">
        <v>2020</v>
      </c>
      <c r="J166" s="21" t="n">
        <v>2026</v>
      </c>
      <c r="K166" s="22" t="n">
        <v>0</v>
      </c>
      <c r="L166" s="22" t="n">
        <v>0</v>
      </c>
      <c r="M166" s="22" t="n">
        <v>0</v>
      </c>
      <c r="N166" s="22" t="n">
        <v>0</v>
      </c>
      <c r="O166" s="22" t="n">
        <v>0</v>
      </c>
      <c r="P166" s="22" t="n">
        <v>0</v>
      </c>
      <c r="Q166" s="22" t="n">
        <v>0</v>
      </c>
      <c r="R166" s="22" t="n">
        <v>0</v>
      </c>
      <c r="S166" s="22" t="n">
        <v>0</v>
      </c>
      <c r="T166" s="22" t="n">
        <v>0</v>
      </c>
      <c r="U166" s="22" t="n">
        <v>0</v>
      </c>
      <c r="V166" s="22" t="n">
        <v>0</v>
      </c>
      <c r="W166" s="22" t="n">
        <v>0</v>
      </c>
      <c r="X166" s="22" t="n">
        <v>11</v>
      </c>
      <c r="Y166" s="22" t="n">
        <v>61</v>
      </c>
      <c r="Z166" s="22" t="n">
        <v>0</v>
      </c>
      <c r="AA166" s="22" t="n">
        <v>0</v>
      </c>
      <c r="AB166" s="22" t="n">
        <v>1</v>
      </c>
      <c r="AC166" s="22" t="n">
        <v>42</v>
      </c>
      <c r="AD166" s="22" t="n">
        <v>78</v>
      </c>
      <c r="AE166" s="14" t="str">
        <v>1</v>
      </c>
      <c r="AF166" s="14" t="str">
        <v>IECSREOL</v>
      </c>
      <c r="AG166" s="14" t="str">
        <v>IECSREOL20211</v>
      </c>
      <c r="AH166" s="14" t="str">
        <v>REGULAR</v>
      </c>
      <c r="AI166" s="14" t="str">
        <v>C</v>
      </c>
      <c r="AJ166" s="22" t="n">
        <v>0</v>
      </c>
      <c r="AK166" s="22" t="n">
        <v>0</v>
      </c>
      <c r="AL166" s="22" t="n">
        <v>1</v>
      </c>
      <c r="AM166" s="22" t="n">
        <v>0</v>
      </c>
      <c r="AN166" s="22" t="n">
        <v>0</v>
      </c>
      <c r="AO166" s="14" t="str">
        <v>CRUCE_PERSONA_MU_2022_2026</v>
      </c>
      <c r="AP166" s="14" t="str">
        <v>UNIDO</v>
      </c>
      <c r="AQ166" s="14" t="str">
        <v>UNIDO</v>
      </c>
      <c r="AR166" s="14" t="str">
        <v>B/C</v>
      </c>
      <c r="AS166" s="14" t="str">
        <v>MATRIZ / PUBLICA</v>
      </c>
      <c r="AT166" s="14" t="str">
        <v>ANUAL</v>
      </c>
      <c r="AU166" s="14" t="n">
        <v>4</v>
      </c>
      <c r="AV166" s="14" t="n">
        <v>4</v>
      </c>
      <c r="AW166" s="14" t="str">
        <v>VERSIONES_POR_DURACION_O_TIPO</v>
      </c>
      <c r="AX166" s="14" t="n">
        <v>2026</v>
      </c>
      <c r="AY166" s="14" t="str">
        <v>PUBLICA; última matrícula</v>
      </c>
    </row>
    <row r="167" ht="36" customHeight="1">
      <c r="A167" s="15" t="str">
        <v>I162S2C46J4V1</v>
      </c>
      <c r="B167" s="15" t="str">
        <v>INGENIERIA EN CIBERSEGURIDAD</v>
      </c>
      <c r="C167" s="15" t="str">
        <v>2</v>
      </c>
      <c r="D167" s="15" t="str">
        <v>4</v>
      </c>
      <c r="E167" s="15" t="str">
        <v>1</v>
      </c>
      <c r="F167" s="15" t="str">
        <v>No presencial</v>
      </c>
      <c r="G167" s="15" t="str">
        <v>Pregrado</v>
      </c>
      <c r="H167" s="15" t="str">
        <v>Plan Regular de Continuidad</v>
      </c>
      <c r="I167" s="23" t="n">
        <v>2020</v>
      </c>
      <c r="J167" s="23" t="n">
        <v>2026</v>
      </c>
      <c r="K167" s="24" t="n">
        <v>0</v>
      </c>
      <c r="L167" s="24" t="n">
        <v>0</v>
      </c>
      <c r="M167" s="24" t="n">
        <v>0</v>
      </c>
      <c r="N167" s="24" t="n">
        <v>0</v>
      </c>
      <c r="O167" s="24" t="n">
        <v>0</v>
      </c>
      <c r="P167" s="24" t="n">
        <v>0</v>
      </c>
      <c r="Q167" s="24" t="n">
        <v>0</v>
      </c>
      <c r="R167" s="24" t="n">
        <v>0</v>
      </c>
      <c r="S167" s="24" t="n">
        <v>0</v>
      </c>
      <c r="T167" s="24" t="n">
        <v>0</v>
      </c>
      <c r="U167" s="24" t="n">
        <v>0</v>
      </c>
      <c r="V167" s="24" t="n">
        <v>0</v>
      </c>
      <c r="W167" s="24" t="n">
        <v>0</v>
      </c>
      <c r="X167" s="24" t="n">
        <v>11</v>
      </c>
      <c r="Y167" s="24" t="n">
        <v>61</v>
      </c>
      <c r="Z167" s="24" t="n">
        <v>0</v>
      </c>
      <c r="AA167" s="24" t="n">
        <v>0</v>
      </c>
      <c r="AB167" s="24" t="n">
        <v>1</v>
      </c>
      <c r="AC167" s="24" t="n">
        <v>42</v>
      </c>
      <c r="AD167" s="24" t="n">
        <v>78</v>
      </c>
      <c r="AE167" s="15" t="str">
        <v>1</v>
      </c>
      <c r="AF167" s="15" t="str">
        <v>CICIB</v>
      </c>
      <c r="AG167" s="15" t="str">
        <v>PLAN_NO_OBSERVADO</v>
      </c>
      <c r="AH167" s="15" t="str">
        <v>E</v>
      </c>
      <c r="AI167" s="15" t="str">
        <v>E</v>
      </c>
      <c r="AJ167" s="24" t="n">
        <v>0</v>
      </c>
      <c r="AK167" s="24" t="n">
        <v>0</v>
      </c>
      <c r="AL167" s="24" t="n">
        <v>0</v>
      </c>
      <c r="AM167" s="24" t="n">
        <v>1</v>
      </c>
      <c r="AN167" s="24" t="n">
        <v>0</v>
      </c>
      <c r="AO167" s="15" t="str">
        <v>CRUCE_PERSONA_MU_2022_2026</v>
      </c>
      <c r="AP167" s="15" t="str">
        <v>PENDIENTE</v>
      </c>
      <c r="AQ167" s="15" t="str">
        <v>PLAN_NO_OBSERVADO</v>
      </c>
      <c r="AR167" s="15" t="str">
        <v>E</v>
      </c>
      <c r="AS167" s="15" t="str">
        <v>MATRIZ / PUBLICA</v>
      </c>
      <c r="AT167" s="15" t="str">
        <v>SIN_ACTIVIDAD_ANUAL; ENLACE_EXPEDIENTE_CONSERVADO</v>
      </c>
      <c r="AU167" s="15" t="n">
        <v>4</v>
      </c>
      <c r="AV167" s="15" t="n">
        <v>4</v>
      </c>
      <c r="AW167" s="15" t="str">
        <v>VERSIONES_POR_DURACION_O_TIPO</v>
      </c>
      <c r="AX167" s="15" t="n">
        <v>2026</v>
      </c>
      <c r="AY167" s="15" t="str">
        <v>PUBLICA; última matrícula</v>
      </c>
    </row>
    <row r="168" ht="36" customHeight="1">
      <c r="A168" s="14" t="str">
        <v>I162S2C46J4V2</v>
      </c>
      <c r="B168" s="14" t="str">
        <v>INGENIERIA EN CIBERSEGURIDAD</v>
      </c>
      <c r="C168" s="14" t="str">
        <v>2</v>
      </c>
      <c r="D168" s="14" t="str">
        <v>4</v>
      </c>
      <c r="E168" s="14" t="str">
        <v>2</v>
      </c>
      <c r="F168" s="14" t="str">
        <v>No Presencial</v>
      </c>
      <c r="G168" s="14" t="str">
        <v>Pregrado</v>
      </c>
      <c r="H168" s="14" t="str">
        <v>Plan Regular de Continuidad</v>
      </c>
      <c r="I168" s="21" t="n">
        <v>2020</v>
      </c>
      <c r="J168" s="21" t="n">
        <v>2021</v>
      </c>
      <c r="K168" s="22" t="n">
        <v>0</v>
      </c>
      <c r="L168" s="22" t="n">
        <v>0</v>
      </c>
      <c r="M168" s="22" t="n">
        <v>0</v>
      </c>
      <c r="N168" s="22" t="n">
        <v>0</v>
      </c>
      <c r="O168" s="22" t="n">
        <v>0</v>
      </c>
      <c r="P168" s="22" t="n">
        <v>0</v>
      </c>
      <c r="Q168" s="22" t="n">
        <v>0</v>
      </c>
      <c r="R168" s="22" t="n">
        <v>0</v>
      </c>
      <c r="S168" s="22" t="n">
        <v>0</v>
      </c>
      <c r="T168" s="22" t="n">
        <v>0</v>
      </c>
      <c r="U168" s="22" t="n">
        <v>0</v>
      </c>
      <c r="V168" s="22" t="n">
        <v>0</v>
      </c>
      <c r="W168" s="22" t="n">
        <v>0</v>
      </c>
      <c r="X168" s="22" t="n">
        <v>10</v>
      </c>
      <c r="Y168" s="22" t="n">
        <v>19</v>
      </c>
      <c r="Z168" s="22" t="n">
        <v>0</v>
      </c>
      <c r="AA168" s="22" t="n">
        <v>0</v>
      </c>
      <c r="AB168" s="22" t="n">
        <v>0</v>
      </c>
      <c r="AC168" s="22" t="n">
        <v>0</v>
      </c>
      <c r="AD168" s="22" t="n">
        <v>0</v>
      </c>
      <c r="AE168" s="14" t="str">
        <v>n.a.</v>
      </c>
      <c r="AF168" s="14" t="str">
        <v>E</v>
      </c>
      <c r="AG168" s="14" t="str">
        <v>E: sin plan</v>
      </c>
      <c r="AH168" s="14" t="str">
        <v>E</v>
      </c>
      <c r="AI168" s="14" t="str">
        <v>E</v>
      </c>
      <c r="AJ168" s="22" t="n">
        <v>0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14" t="str">
        <v>SOLO_SIES_PRE_2022</v>
      </c>
      <c r="AP168" s="14" t="str">
        <v>PENDIENTE</v>
      </c>
      <c r="AQ168" s="14" t="str">
        <v>SOLO_ANTES_2022</v>
      </c>
      <c r="AR168" s="14" t="str">
        <v>E</v>
      </c>
      <c r="AS168" s="14" t="str">
        <v>PUBLICA</v>
      </c>
      <c r="AT168" s="14" t="str">
        <v>E</v>
      </c>
      <c r="AU168" s="14" t="n">
        <v>5</v>
      </c>
      <c r="AV168" s="14" t="n">
        <v>5</v>
      </c>
      <c r="AW168" s="14" t="str">
        <v>VERSIONES_POR_DURACION_O_TIPO</v>
      </c>
      <c r="AX168" s="14" t="n">
        <v>2021</v>
      </c>
      <c r="AY168" s="14" t="str">
        <v>PUBLICA; última matrícula</v>
      </c>
    </row>
    <row r="169" ht="27" customHeight="1">
      <c r="A169" s="15" t="str">
        <v>I162S2C46J4V3</v>
      </c>
      <c r="B169" s="15" t="str">
        <v>INGENIERIA EN CIBERSEGURIDAD</v>
      </c>
      <c r="C169" s="15" t="str">
        <v>2</v>
      </c>
      <c r="D169" s="15" t="str">
        <v>4</v>
      </c>
      <c r="E169" s="15" t="str">
        <v>3</v>
      </c>
      <c r="F169" s="15" t="str">
        <v>No presencial</v>
      </c>
      <c r="G169" s="15" t="str">
        <v>Pregrado</v>
      </c>
      <c r="H169" s="15" t="str">
        <v>Plan Regular</v>
      </c>
      <c r="I169" s="23" t="n">
        <v>2022</v>
      </c>
      <c r="J169" s="23" t="n">
        <v>2026</v>
      </c>
      <c r="K169" s="24" t="n">
        <v>0</v>
      </c>
      <c r="L169" s="24" t="n">
        <v>0</v>
      </c>
      <c r="M169" s="24" t="n">
        <v>0</v>
      </c>
      <c r="N169" s="24" t="n">
        <v>0</v>
      </c>
      <c r="O169" s="24" t="n">
        <v>0</v>
      </c>
      <c r="P169" s="24" t="n">
        <v>0</v>
      </c>
      <c r="Q169" s="24" t="n">
        <v>0</v>
      </c>
      <c r="R169" s="24" t="n">
        <v>0</v>
      </c>
      <c r="S169" s="24" t="n">
        <v>0</v>
      </c>
      <c r="T169" s="24" t="n">
        <v>0</v>
      </c>
      <c r="U169" s="24" t="n">
        <v>0</v>
      </c>
      <c r="V169" s="24" t="n">
        <v>0</v>
      </c>
      <c r="W169" s="24" t="n">
        <v>0</v>
      </c>
      <c r="X169" s="24" t="n">
        <v>0</v>
      </c>
      <c r="Y169" s="24" t="n">
        <v>0</v>
      </c>
      <c r="Z169" s="24" t="n">
        <v>106</v>
      </c>
      <c r="AA169" s="24" t="n">
        <v>173</v>
      </c>
      <c r="AB169" s="24" t="n">
        <v>233</v>
      </c>
      <c r="AC169" s="24" t="n">
        <v>264</v>
      </c>
      <c r="AD169" s="24" t="n">
        <v>256</v>
      </c>
      <c r="AE169" s="15" t="str">
        <v>1</v>
      </c>
      <c r="AF169" s="15" t="str">
        <v>CICIB</v>
      </c>
      <c r="AG169" s="15" t="str">
        <v>CICIB20241</v>
      </c>
      <c r="AH169" s="15" t="str">
        <v>CONTINUIDAD</v>
      </c>
      <c r="AI169" s="15" t="str">
        <v>C</v>
      </c>
      <c r="AJ169" s="24" t="n">
        <v>0</v>
      </c>
      <c r="AK169" s="24" t="n">
        <v>0</v>
      </c>
      <c r="AL169" s="24" t="n">
        <v>44</v>
      </c>
      <c r="AM169" s="24" t="n">
        <v>54</v>
      </c>
      <c r="AN169" s="24" t="n">
        <v>0</v>
      </c>
      <c r="AO169" s="15" t="str">
        <v>CRUCE_PERSONA_MU_2022_2026</v>
      </c>
      <c r="AP169" s="15" t="str">
        <v>UNIDO</v>
      </c>
      <c r="AQ169" s="15" t="str">
        <v>UNIDO</v>
      </c>
      <c r="AR169" s="15" t="str">
        <v>B/C</v>
      </c>
      <c r="AS169" s="15" t="str">
        <v>MATRIZ / PUBLICA</v>
      </c>
      <c r="AT169" s="15" t="str">
        <v>ANUAL</v>
      </c>
      <c r="AU169" s="15" t="n">
        <v>8</v>
      </c>
      <c r="AV169" s="15" t="n">
        <v>8</v>
      </c>
      <c r="AW169" s="15" t="str">
        <v>VERSIONES_POR_DURACION_O_TIPO</v>
      </c>
      <c r="AX169" s="15" t="n">
        <v>2026</v>
      </c>
      <c r="AY169" s="15" t="str">
        <v>PUBLICA; última matrícula</v>
      </c>
    </row>
    <row r="170" ht="36" customHeight="1">
      <c r="A170" s="14" t="str">
        <v>I162S2C46J4V3</v>
      </c>
      <c r="B170" s="14" t="str">
        <v>INGENIERIA EN CIBERSEGURIDAD</v>
      </c>
      <c r="C170" s="14" t="str">
        <v>2</v>
      </c>
      <c r="D170" s="14" t="str">
        <v>4</v>
      </c>
      <c r="E170" s="14" t="str">
        <v>3</v>
      </c>
      <c r="F170" s="14" t="str">
        <v>No presencial</v>
      </c>
      <c r="G170" s="14" t="str">
        <v>Pregrado</v>
      </c>
      <c r="H170" s="14" t="str">
        <v>Plan Regular</v>
      </c>
      <c r="I170" s="21" t="n">
        <v>2022</v>
      </c>
      <c r="J170" s="21" t="n">
        <v>2026</v>
      </c>
      <c r="K170" s="22" t="n">
        <v>0</v>
      </c>
      <c r="L170" s="22" t="n">
        <v>0</v>
      </c>
      <c r="M170" s="22" t="n">
        <v>0</v>
      </c>
      <c r="N170" s="22" t="n">
        <v>0</v>
      </c>
      <c r="O170" s="22" t="n">
        <v>0</v>
      </c>
      <c r="P170" s="22" t="n">
        <v>0</v>
      </c>
      <c r="Q170" s="22" t="n">
        <v>0</v>
      </c>
      <c r="R170" s="22" t="n">
        <v>0</v>
      </c>
      <c r="S170" s="22" t="n">
        <v>0</v>
      </c>
      <c r="T170" s="22" t="n">
        <v>0</v>
      </c>
      <c r="U170" s="22" t="n">
        <v>0</v>
      </c>
      <c r="V170" s="22" t="n">
        <v>0</v>
      </c>
      <c r="W170" s="22" t="n">
        <v>0</v>
      </c>
      <c r="X170" s="22" t="n">
        <v>0</v>
      </c>
      <c r="Y170" s="22" t="n">
        <v>0</v>
      </c>
      <c r="Z170" s="22" t="n">
        <v>106</v>
      </c>
      <c r="AA170" s="22" t="n">
        <v>173</v>
      </c>
      <c r="AB170" s="22" t="n">
        <v>233</v>
      </c>
      <c r="AC170" s="22" t="n">
        <v>264</v>
      </c>
      <c r="AD170" s="22" t="n">
        <v>256</v>
      </c>
      <c r="AE170" s="14" t="str">
        <v>1</v>
      </c>
      <c r="AF170" s="14" t="str">
        <v>ICIB</v>
      </c>
      <c r="AG170" s="14" t="str">
        <v>ICIB20241</v>
      </c>
      <c r="AH170" s="14" t="str">
        <v>REGULAR</v>
      </c>
      <c r="AI170" s="14" t="str">
        <v>C</v>
      </c>
      <c r="AJ170" s="22" t="n">
        <v>0</v>
      </c>
      <c r="AK170" s="22" t="n">
        <v>0</v>
      </c>
      <c r="AL170" s="22" t="n">
        <v>123</v>
      </c>
      <c r="AM170" s="22" t="n">
        <v>171</v>
      </c>
      <c r="AN170" s="22" t="n">
        <v>230</v>
      </c>
      <c r="AO170" s="14" t="str">
        <v>CRUCE_PERSONA_MU_2022_2026 / REGLA_MU_2027</v>
      </c>
      <c r="AP170" s="14" t="str">
        <v>UNIDO</v>
      </c>
      <c r="AQ170" s="14" t="str">
        <v>UNIDO</v>
      </c>
      <c r="AR170" s="14" t="str">
        <v>B/C</v>
      </c>
      <c r="AS170" s="14" t="str">
        <v>H002 / MATRIZ / PUBLICA</v>
      </c>
      <c r="AT170" s="14" t="str">
        <v>ANUAL / Catálogo 2027; no atribución retroactiva ni acreditación de cohorte/malla</v>
      </c>
      <c r="AU170" s="14" t="n">
        <v>8</v>
      </c>
      <c r="AV170" s="14" t="n">
        <v>8</v>
      </c>
      <c r="AW170" s="14" t="str">
        <v>VERSIONES_POR_DURACION_O_TIPO</v>
      </c>
      <c r="AX170" s="14" t="n">
        <v>2026</v>
      </c>
      <c r="AY170" s="14" t="str">
        <v>PUBLICA; última matrícula</v>
      </c>
    </row>
    <row r="171" ht="36" customHeight="1">
      <c r="A171" s="15" t="str">
        <v>I162S2C46J4V3</v>
      </c>
      <c r="B171" s="15" t="str">
        <v>INGENIERIA EN CIBERSEGURIDAD</v>
      </c>
      <c r="C171" s="15" t="str">
        <v>2</v>
      </c>
      <c r="D171" s="15" t="str">
        <v>4</v>
      </c>
      <c r="E171" s="15" t="str">
        <v>3</v>
      </c>
      <c r="F171" s="15" t="str">
        <v>No presencial</v>
      </c>
      <c r="G171" s="15" t="str">
        <v>Pregrado</v>
      </c>
      <c r="H171" s="15" t="str">
        <v>Plan Regular</v>
      </c>
      <c r="I171" s="23" t="n">
        <v>2022</v>
      </c>
      <c r="J171" s="23" t="n">
        <v>2026</v>
      </c>
      <c r="K171" s="24" t="n">
        <v>0</v>
      </c>
      <c r="L171" s="24" t="n">
        <v>0</v>
      </c>
      <c r="M171" s="24" t="n">
        <v>0</v>
      </c>
      <c r="N171" s="24" t="n">
        <v>0</v>
      </c>
      <c r="O171" s="24" t="n">
        <v>0</v>
      </c>
      <c r="P171" s="24" t="n">
        <v>0</v>
      </c>
      <c r="Q171" s="24" t="n">
        <v>0</v>
      </c>
      <c r="R171" s="24" t="n">
        <v>0</v>
      </c>
      <c r="S171" s="24" t="n">
        <v>0</v>
      </c>
      <c r="T171" s="24" t="n">
        <v>0</v>
      </c>
      <c r="U171" s="24" t="n">
        <v>0</v>
      </c>
      <c r="V171" s="24" t="n">
        <v>0</v>
      </c>
      <c r="W171" s="24" t="n">
        <v>0</v>
      </c>
      <c r="X171" s="24" t="n">
        <v>0</v>
      </c>
      <c r="Y171" s="24" t="n">
        <v>0</v>
      </c>
      <c r="Z171" s="24" t="n">
        <v>106</v>
      </c>
      <c r="AA171" s="24" t="n">
        <v>173</v>
      </c>
      <c r="AB171" s="24" t="n">
        <v>233</v>
      </c>
      <c r="AC171" s="24" t="n">
        <v>264</v>
      </c>
      <c r="AD171" s="24" t="n">
        <v>256</v>
      </c>
      <c r="AE171" s="15" t="str">
        <v>1</v>
      </c>
      <c r="AF171" s="15" t="str">
        <v>IECSREOL</v>
      </c>
      <c r="AG171" s="15" t="str">
        <v>IECSREOL20211</v>
      </c>
      <c r="AH171" s="15" t="str">
        <v>REGULAR</v>
      </c>
      <c r="AI171" s="15" t="str">
        <v>C</v>
      </c>
      <c r="AJ171" s="24" t="n">
        <v>89</v>
      </c>
      <c r="AK171" s="24" t="n">
        <v>171</v>
      </c>
      <c r="AL171" s="24" t="n">
        <v>61</v>
      </c>
      <c r="AM171" s="24" t="n">
        <v>19</v>
      </c>
      <c r="AN171" s="24" t="n">
        <v>0</v>
      </c>
      <c r="AO171" s="15" t="str">
        <v>CRUCE_PERSONA_MU_2022_2026 / REGLA_MU_2027</v>
      </c>
      <c r="AP171" s="15" t="str">
        <v>UNIDO</v>
      </c>
      <c r="AQ171" s="15" t="str">
        <v>UNIDO</v>
      </c>
      <c r="AR171" s="15" t="str">
        <v>B/C</v>
      </c>
      <c r="AS171" s="15" t="str">
        <v>H002 / MATRIZ / PUBLICA</v>
      </c>
      <c r="AT171" s="15" t="str">
        <v>ANUAL / Catálogo 2027; no atribución retroactiva ni acreditación de cohorte/malla</v>
      </c>
      <c r="AU171" s="15" t="n">
        <v>8</v>
      </c>
      <c r="AV171" s="15" t="n">
        <v>8</v>
      </c>
      <c r="AW171" s="15" t="str">
        <v>VERSIONES_POR_DURACION_O_TIPO</v>
      </c>
      <c r="AX171" s="15" t="n">
        <v>2026</v>
      </c>
      <c r="AY171" s="15" t="str">
        <v>PUBLICA; última matrícula</v>
      </c>
    </row>
    <row r="172" ht="36" customHeight="1">
      <c r="A172" s="14" t="str">
        <v>I162S2C46J4V3</v>
      </c>
      <c r="B172" s="14" t="str">
        <v>INGENIERIA EN CIBERSEGURIDAD</v>
      </c>
      <c r="C172" s="14" t="str">
        <v>2</v>
      </c>
      <c r="D172" s="14" t="str">
        <v>4</v>
      </c>
      <c r="E172" s="14" t="str">
        <v>3</v>
      </c>
      <c r="F172" s="14" t="str">
        <v>No presencial</v>
      </c>
      <c r="G172" s="14" t="str">
        <v>Pregrado</v>
      </c>
      <c r="H172" s="14" t="str">
        <v>Plan Regular</v>
      </c>
      <c r="I172" s="21" t="n">
        <v>2022</v>
      </c>
      <c r="J172" s="21" t="n">
        <v>2026</v>
      </c>
      <c r="K172" s="22" t="n">
        <v>0</v>
      </c>
      <c r="L172" s="22" t="n">
        <v>0</v>
      </c>
      <c r="M172" s="22" t="n">
        <v>0</v>
      </c>
      <c r="N172" s="22" t="n">
        <v>0</v>
      </c>
      <c r="O172" s="22" t="n">
        <v>0</v>
      </c>
      <c r="P172" s="22" t="n">
        <v>0</v>
      </c>
      <c r="Q172" s="22" t="n">
        <v>0</v>
      </c>
      <c r="R172" s="22" t="n">
        <v>0</v>
      </c>
      <c r="S172" s="22" t="n">
        <v>0</v>
      </c>
      <c r="T172" s="22" t="n">
        <v>0</v>
      </c>
      <c r="U172" s="22" t="n">
        <v>0</v>
      </c>
      <c r="V172" s="22" t="n">
        <v>0</v>
      </c>
      <c r="W172" s="22" t="n">
        <v>0</v>
      </c>
      <c r="X172" s="22" t="n">
        <v>0</v>
      </c>
      <c r="Y172" s="22" t="n">
        <v>0</v>
      </c>
      <c r="Z172" s="22" t="n">
        <v>106</v>
      </c>
      <c r="AA172" s="22" t="n">
        <v>173</v>
      </c>
      <c r="AB172" s="22" t="n">
        <v>233</v>
      </c>
      <c r="AC172" s="22" t="n">
        <v>264</v>
      </c>
      <c r="AD172" s="22" t="n">
        <v>256</v>
      </c>
      <c r="AE172" s="14" t="str">
        <v>1</v>
      </c>
      <c r="AF172" s="14" t="str">
        <v>NICCREOL</v>
      </c>
      <c r="AG172" s="14" t="str">
        <v>NICCREOL2020</v>
      </c>
      <c r="AH172" s="14" t="str">
        <v>REGULAR</v>
      </c>
      <c r="AI172" s="14" t="str">
        <v>C</v>
      </c>
      <c r="AJ172" s="22" t="n">
        <v>0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14" t="str">
        <v>REGLA_MU_2027</v>
      </c>
      <c r="AP172" s="14" t="str">
        <v>UNIDO</v>
      </c>
      <c r="AQ172" s="14" t="str">
        <v>UNIDO</v>
      </c>
      <c r="AR172" s="14" t="str">
        <v>B/C</v>
      </c>
      <c r="AS172" s="14" t="str">
        <v>H002 / PUBLICA</v>
      </c>
      <c r="AT172" s="14" t="str">
        <v>Catálogo 2027; no atribución retroactiva ni acreditación de cohorte/malla</v>
      </c>
      <c r="AU172" s="14" t="n">
        <v>8</v>
      </c>
      <c r="AV172" s="14" t="n">
        <v>8</v>
      </c>
      <c r="AW172" s="14" t="str">
        <v>VERSIONES_POR_DURACION_O_TIPO</v>
      </c>
      <c r="AX172" s="14" t="n">
        <v>2026</v>
      </c>
      <c r="AY172" s="14" t="str">
        <v>PUBLICA; última matrícula</v>
      </c>
    </row>
    <row r="173" ht="36" customHeight="1">
      <c r="A173" s="15" t="str">
        <v>I162S2C46J4V3</v>
      </c>
      <c r="B173" s="15" t="str">
        <v>INGENIERIA EN CIBERSEGURIDAD</v>
      </c>
      <c r="C173" s="15" t="str">
        <v>2</v>
      </c>
      <c r="D173" s="15" t="str">
        <v>4</v>
      </c>
      <c r="E173" s="15" t="str">
        <v>3</v>
      </c>
      <c r="F173" s="15" t="str">
        <v>No presencial</v>
      </c>
      <c r="G173" s="15" t="str">
        <v>Pregrado</v>
      </c>
      <c r="H173" s="15" t="str">
        <v>Plan Regular</v>
      </c>
      <c r="I173" s="23" t="n">
        <v>2022</v>
      </c>
      <c r="J173" s="23" t="n">
        <v>2026</v>
      </c>
      <c r="K173" s="24" t="n">
        <v>0</v>
      </c>
      <c r="L173" s="24" t="n">
        <v>0</v>
      </c>
      <c r="M173" s="24" t="n">
        <v>0</v>
      </c>
      <c r="N173" s="24" t="n">
        <v>0</v>
      </c>
      <c r="O173" s="24" t="n">
        <v>0</v>
      </c>
      <c r="P173" s="24" t="n">
        <v>0</v>
      </c>
      <c r="Q173" s="24" t="n">
        <v>0</v>
      </c>
      <c r="R173" s="24" t="n">
        <v>0</v>
      </c>
      <c r="S173" s="24" t="n">
        <v>0</v>
      </c>
      <c r="T173" s="24" t="n">
        <v>0</v>
      </c>
      <c r="U173" s="24" t="n">
        <v>0</v>
      </c>
      <c r="V173" s="24" t="n">
        <v>0</v>
      </c>
      <c r="W173" s="24" t="n">
        <v>0</v>
      </c>
      <c r="X173" s="24" t="n">
        <v>0</v>
      </c>
      <c r="Y173" s="24" t="n">
        <v>0</v>
      </c>
      <c r="Z173" s="24" t="n">
        <v>106</v>
      </c>
      <c r="AA173" s="24" t="n">
        <v>173</v>
      </c>
      <c r="AB173" s="24" t="n">
        <v>233</v>
      </c>
      <c r="AC173" s="24" t="n">
        <v>264</v>
      </c>
      <c r="AD173" s="24" t="n">
        <v>256</v>
      </c>
      <c r="AE173" s="15" t="str">
        <v>1</v>
      </c>
      <c r="AF173" s="15" t="str">
        <v>NTCCREOL</v>
      </c>
      <c r="AG173" s="15" t="str">
        <v>NTCCREOL2020</v>
      </c>
      <c r="AH173" s="15" t="str">
        <v>REGULAR</v>
      </c>
      <c r="AI173" s="15" t="str">
        <v>C</v>
      </c>
      <c r="AJ173" s="24" t="n">
        <v>17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15" t="str">
        <v>CRUCE_PERSONA_MU_2022_2026 / REGLA_MU_2027</v>
      </c>
      <c r="AP173" s="15" t="str">
        <v>UNIDO</v>
      </c>
      <c r="AQ173" s="15" t="str">
        <v>UNIDO</v>
      </c>
      <c r="AR173" s="15" t="str">
        <v>B/C</v>
      </c>
      <c r="AS173" s="15" t="str">
        <v>H002 / MATRIZ / PUBLICA</v>
      </c>
      <c r="AT173" s="15" t="str">
        <v>ANUAL / Catálogo 2027; no atribución retroactiva ni acreditación de cohorte/malla</v>
      </c>
      <c r="AU173" s="15" t="n">
        <v>8</v>
      </c>
      <c r="AV173" s="15" t="n">
        <v>8</v>
      </c>
      <c r="AW173" s="15" t="str">
        <v>VERSIONES_POR_DURACION_O_TIPO</v>
      </c>
      <c r="AX173" s="15" t="n">
        <v>2026</v>
      </c>
      <c r="AY173" s="15" t="str">
        <v>PUBLICA; última matrícula</v>
      </c>
    </row>
    <row r="174" ht="36" customHeight="1">
      <c r="A174" s="14" t="str">
        <v>I162S2C46J4V3</v>
      </c>
      <c r="B174" s="14" t="str">
        <v>INGENIERIA EN CIBERSEGURIDAD</v>
      </c>
      <c r="C174" s="14" t="str">
        <v>2</v>
      </c>
      <c r="D174" s="14" t="str">
        <v>4</v>
      </c>
      <c r="E174" s="14" t="str">
        <v>3</v>
      </c>
      <c r="F174" s="14" t="str">
        <v>No presencial</v>
      </c>
      <c r="G174" s="14" t="str">
        <v>Pregrado</v>
      </c>
      <c r="H174" s="14" t="str">
        <v>Plan Regular</v>
      </c>
      <c r="I174" s="21" t="n">
        <v>2022</v>
      </c>
      <c r="J174" s="21" t="n">
        <v>2026</v>
      </c>
      <c r="K174" s="22" t="n">
        <v>0</v>
      </c>
      <c r="L174" s="22" t="n">
        <v>0</v>
      </c>
      <c r="M174" s="22" t="n">
        <v>0</v>
      </c>
      <c r="N174" s="22" t="n">
        <v>0</v>
      </c>
      <c r="O174" s="22" t="n">
        <v>0</v>
      </c>
      <c r="P174" s="22" t="n">
        <v>0</v>
      </c>
      <c r="Q174" s="22" t="n">
        <v>0</v>
      </c>
      <c r="R174" s="22" t="n">
        <v>0</v>
      </c>
      <c r="S174" s="22" t="n">
        <v>0</v>
      </c>
      <c r="T174" s="22" t="n">
        <v>0</v>
      </c>
      <c r="U174" s="22" t="n">
        <v>0</v>
      </c>
      <c r="V174" s="22" t="n">
        <v>0</v>
      </c>
      <c r="W174" s="22" t="n">
        <v>0</v>
      </c>
      <c r="X174" s="22" t="n">
        <v>0</v>
      </c>
      <c r="Y174" s="22" t="n">
        <v>0</v>
      </c>
      <c r="Z174" s="22" t="n">
        <v>106</v>
      </c>
      <c r="AA174" s="22" t="n">
        <v>173</v>
      </c>
      <c r="AB174" s="22" t="n">
        <v>233</v>
      </c>
      <c r="AC174" s="22" t="n">
        <v>264</v>
      </c>
      <c r="AD174" s="22" t="n">
        <v>256</v>
      </c>
      <c r="AE174" s="14" t="str">
        <v>1</v>
      </c>
      <c r="AF174" s="14" t="str">
        <v>CICIB / ICIB / IECSREOL / NTCCREOL</v>
      </c>
      <c r="AG174" s="14" t="str">
        <v>PLAN_NO_OBSERVADO</v>
      </c>
      <c r="AH174" s="14" t="str">
        <v>E</v>
      </c>
      <c r="AI174" s="14" t="str">
        <v>E</v>
      </c>
      <c r="AJ174" s="22" t="n">
        <v>0</v>
      </c>
      <c r="AK174" s="22" t="n">
        <v>1</v>
      </c>
      <c r="AL174" s="22" t="n">
        <v>4</v>
      </c>
      <c r="AM174" s="22" t="n">
        <v>15</v>
      </c>
      <c r="AN174" s="22" t="n">
        <v>9</v>
      </c>
      <c r="AO174" s="14" t="str">
        <v>CRUCE_PERSONA_MU_2022_2026</v>
      </c>
      <c r="AP174" s="14" t="str">
        <v>PENDIENTE</v>
      </c>
      <c r="AQ174" s="14" t="str">
        <v>PLAN_NO_OBSERVADO</v>
      </c>
      <c r="AR174" s="14" t="str">
        <v>E</v>
      </c>
      <c r="AS174" s="14" t="str">
        <v>MATRIZ / PUBLICA</v>
      </c>
      <c r="AT174" s="14" t="str">
        <v>SIN_ACTIVIDAD_ANUAL; ENLACE_EXPEDIENTE_CONSERVADO</v>
      </c>
      <c r="AU174" s="14" t="n">
        <v>8</v>
      </c>
      <c r="AV174" s="14" t="n">
        <v>8</v>
      </c>
      <c r="AW174" s="14" t="str">
        <v>VERSIONES_POR_DURACION_O_TIPO</v>
      </c>
      <c r="AX174" s="14" t="n">
        <v>2026</v>
      </c>
      <c r="AY174" s="14" t="str">
        <v>PUBLICA; última matrícula</v>
      </c>
    </row>
    <row r="175" ht="27" customHeight="1">
      <c r="A175" s="15" t="str">
        <v>I162S2C47J1V1</v>
      </c>
      <c r="B175" s="15" t="str">
        <v>TECNICO EN CIBERSEGURIDAD</v>
      </c>
      <c r="C175" s="15" t="str">
        <v>2</v>
      </c>
      <c r="D175" s="15" t="str">
        <v>1</v>
      </c>
      <c r="E175" s="15" t="str">
        <v>1</v>
      </c>
      <c r="F175" s="15" t="str">
        <v>Presencial</v>
      </c>
      <c r="G175" s="15" t="str">
        <v>Pregrado</v>
      </c>
      <c r="H175" s="15" t="str">
        <v>Plan Regular</v>
      </c>
      <c r="I175" s="23" t="n">
        <v>2020</v>
      </c>
      <c r="J175" s="23" t="n">
        <v>2026</v>
      </c>
      <c r="K175" s="24" t="n">
        <v>0</v>
      </c>
      <c r="L175" s="24" t="n">
        <v>0</v>
      </c>
      <c r="M175" s="24" t="n">
        <v>0</v>
      </c>
      <c r="N175" s="24" t="n">
        <v>0</v>
      </c>
      <c r="O175" s="24" t="n">
        <v>0</v>
      </c>
      <c r="P175" s="24" t="n">
        <v>0</v>
      </c>
      <c r="Q175" s="24" t="n">
        <v>0</v>
      </c>
      <c r="R175" s="24" t="n">
        <v>0</v>
      </c>
      <c r="S175" s="24" t="n">
        <v>0</v>
      </c>
      <c r="T175" s="24" t="n">
        <v>0</v>
      </c>
      <c r="U175" s="24" t="n">
        <v>0</v>
      </c>
      <c r="V175" s="24" t="n">
        <v>0</v>
      </c>
      <c r="W175" s="24" t="n">
        <v>0</v>
      </c>
      <c r="X175" s="24" t="n">
        <v>12</v>
      </c>
      <c r="Y175" s="24" t="n">
        <v>19</v>
      </c>
      <c r="Z175" s="24" t="n">
        <v>20</v>
      </c>
      <c r="AA175" s="24" t="n">
        <v>12</v>
      </c>
      <c r="AB175" s="24" t="n">
        <v>8</v>
      </c>
      <c r="AC175" s="24" t="n">
        <v>11</v>
      </c>
      <c r="AD175" s="24" t="n">
        <v>19</v>
      </c>
      <c r="AE175" s="15" t="str">
        <v>2</v>
      </c>
      <c r="AF175" s="15" t="str">
        <v>TCIB / TCSRE</v>
      </c>
      <c r="AG175" s="15" t="str">
        <v>PLAN_NO_OBSERVADO</v>
      </c>
      <c r="AH175" s="15" t="str">
        <v>E</v>
      </c>
      <c r="AI175" s="15" t="str">
        <v>E</v>
      </c>
      <c r="AJ175" s="24" t="n">
        <v>1</v>
      </c>
      <c r="AK175" s="24" t="n">
        <v>0</v>
      </c>
      <c r="AL175" s="24" t="n">
        <v>1</v>
      </c>
      <c r="AM175" s="24" t="n">
        <v>0</v>
      </c>
      <c r="AN175" s="24" t="n">
        <v>1</v>
      </c>
      <c r="AO175" s="15" t="str">
        <v>CRUCE_PERSONA_MU_2022_2026</v>
      </c>
      <c r="AP175" s="15" t="str">
        <v>PENDIENTE</v>
      </c>
      <c r="AQ175" s="15" t="str">
        <v>PLAN_NO_OBSERVADO</v>
      </c>
      <c r="AR175" s="15" t="str">
        <v>E</v>
      </c>
      <c r="AS175" s="15" t="str">
        <v>MATRIZ / PUBLICA</v>
      </c>
      <c r="AT175" s="15" t="str">
        <v>SIN_ACTIVIDAD_ANUAL; ENLACE_EXPEDIENTE_CONSERVADO</v>
      </c>
      <c r="AU175" s="15" t="n">
        <v>5</v>
      </c>
      <c r="AV175" s="15" t="n">
        <v>5</v>
      </c>
      <c r="AW175" s="15" t="str">
        <v>UNA_VERSION_OBSERVADA</v>
      </c>
      <c r="AX175" s="15" t="n">
        <v>2026</v>
      </c>
      <c r="AY175" s="15" t="str">
        <v>PUBLICA; última matrícula</v>
      </c>
    </row>
    <row r="176" ht="27" customHeight="1">
      <c r="A176" s="14" t="str">
        <v>I162S2C47J1V1</v>
      </c>
      <c r="B176" s="14" t="str">
        <v>TECNICO EN CIBERSEGURIDAD</v>
      </c>
      <c r="C176" s="14" t="str">
        <v>2</v>
      </c>
      <c r="D176" s="14" t="str">
        <v>1</v>
      </c>
      <c r="E176" s="14" t="str">
        <v>1</v>
      </c>
      <c r="F176" s="14" t="str">
        <v>Presencial</v>
      </c>
      <c r="G176" s="14" t="str">
        <v>Pregrado</v>
      </c>
      <c r="H176" s="14" t="str">
        <v>Plan Regular</v>
      </c>
      <c r="I176" s="21" t="n">
        <v>2020</v>
      </c>
      <c r="J176" s="21" t="n">
        <v>2026</v>
      </c>
      <c r="K176" s="22" t="n">
        <v>0</v>
      </c>
      <c r="L176" s="22" t="n">
        <v>0</v>
      </c>
      <c r="M176" s="22" t="n">
        <v>0</v>
      </c>
      <c r="N176" s="22" t="n">
        <v>0</v>
      </c>
      <c r="O176" s="22" t="n">
        <v>0</v>
      </c>
      <c r="P176" s="22" t="n">
        <v>0</v>
      </c>
      <c r="Q176" s="22" t="n">
        <v>0</v>
      </c>
      <c r="R176" s="22" t="n">
        <v>0</v>
      </c>
      <c r="S176" s="22" t="n">
        <v>0</v>
      </c>
      <c r="T176" s="22" t="n">
        <v>0</v>
      </c>
      <c r="U176" s="22" t="n">
        <v>0</v>
      </c>
      <c r="V176" s="22" t="n">
        <v>0</v>
      </c>
      <c r="W176" s="22" t="n">
        <v>0</v>
      </c>
      <c r="X176" s="22" t="n">
        <v>12</v>
      </c>
      <c r="Y176" s="22" t="n">
        <v>19</v>
      </c>
      <c r="Z176" s="22" t="n">
        <v>20</v>
      </c>
      <c r="AA176" s="22" t="n">
        <v>12</v>
      </c>
      <c r="AB176" s="22" t="n">
        <v>8</v>
      </c>
      <c r="AC176" s="22" t="n">
        <v>11</v>
      </c>
      <c r="AD176" s="22" t="n">
        <v>19</v>
      </c>
      <c r="AE176" s="14" t="str">
        <v>2</v>
      </c>
      <c r="AF176" s="14" t="str">
        <v>TCIB</v>
      </c>
      <c r="AG176" s="14" t="str">
        <v>TCIB20241</v>
      </c>
      <c r="AH176" s="14" t="str">
        <v>REGULAR</v>
      </c>
      <c r="AI176" s="14" t="str">
        <v>C</v>
      </c>
      <c r="AJ176" s="22" t="n">
        <v>0</v>
      </c>
      <c r="AK176" s="22" t="n">
        <v>0</v>
      </c>
      <c r="AL176" s="22" t="n">
        <v>4</v>
      </c>
      <c r="AM176" s="22" t="n">
        <v>10</v>
      </c>
      <c r="AN176" s="22" t="n">
        <v>18</v>
      </c>
      <c r="AO176" s="14" t="str">
        <v>CRUCE_PERSONA_MU_2022_2026</v>
      </c>
      <c r="AP176" s="14" t="str">
        <v>UNIDO</v>
      </c>
      <c r="AQ176" s="14" t="str">
        <v>UNIDO</v>
      </c>
      <c r="AR176" s="14" t="str">
        <v>B/C</v>
      </c>
      <c r="AS176" s="14" t="str">
        <v>MATRIZ / PUBLICA</v>
      </c>
      <c r="AT176" s="14" t="str">
        <v>ANUAL</v>
      </c>
      <c r="AU176" s="14" t="n">
        <v>5</v>
      </c>
      <c r="AV176" s="14" t="n">
        <v>5</v>
      </c>
      <c r="AW176" s="14" t="str">
        <v>UNA_VERSION_OBSERVADA</v>
      </c>
      <c r="AX176" s="14" t="n">
        <v>2026</v>
      </c>
      <c r="AY176" s="14" t="str">
        <v>PUBLICA; última matrícula</v>
      </c>
    </row>
    <row r="177" ht="27" customHeight="1">
      <c r="A177" s="15" t="str">
        <v>I162S2C47J1V1</v>
      </c>
      <c r="B177" s="15" t="str">
        <v>TECNICO EN CIBERSEGURIDAD</v>
      </c>
      <c r="C177" s="15" t="str">
        <v>2</v>
      </c>
      <c r="D177" s="15" t="str">
        <v>1</v>
      </c>
      <c r="E177" s="15" t="str">
        <v>1</v>
      </c>
      <c r="F177" s="15" t="str">
        <v>Presencial</v>
      </c>
      <c r="G177" s="15" t="str">
        <v>Pregrado</v>
      </c>
      <c r="H177" s="15" t="str">
        <v>Plan Regular</v>
      </c>
      <c r="I177" s="23" t="n">
        <v>2020</v>
      </c>
      <c r="J177" s="23" t="n">
        <v>2026</v>
      </c>
      <c r="K177" s="24" t="n">
        <v>0</v>
      </c>
      <c r="L177" s="24" t="n">
        <v>0</v>
      </c>
      <c r="M177" s="24" t="n">
        <v>0</v>
      </c>
      <c r="N177" s="24" t="n">
        <v>0</v>
      </c>
      <c r="O177" s="24" t="n">
        <v>0</v>
      </c>
      <c r="P177" s="24" t="n">
        <v>0</v>
      </c>
      <c r="Q177" s="24" t="n">
        <v>0</v>
      </c>
      <c r="R177" s="24" t="n">
        <v>0</v>
      </c>
      <c r="S177" s="24" t="n">
        <v>0</v>
      </c>
      <c r="T177" s="24" t="n">
        <v>0</v>
      </c>
      <c r="U177" s="24" t="n">
        <v>0</v>
      </c>
      <c r="V177" s="24" t="n">
        <v>0</v>
      </c>
      <c r="W177" s="24" t="n">
        <v>0</v>
      </c>
      <c r="X177" s="24" t="n">
        <v>12</v>
      </c>
      <c r="Y177" s="24" t="n">
        <v>19</v>
      </c>
      <c r="Z177" s="24" t="n">
        <v>20</v>
      </c>
      <c r="AA177" s="24" t="n">
        <v>12</v>
      </c>
      <c r="AB177" s="24" t="n">
        <v>8</v>
      </c>
      <c r="AC177" s="24" t="n">
        <v>11</v>
      </c>
      <c r="AD177" s="24" t="n">
        <v>19</v>
      </c>
      <c r="AE177" s="15" t="str">
        <v>2</v>
      </c>
      <c r="AF177" s="15" t="str">
        <v>TCSRE</v>
      </c>
      <c r="AG177" s="15" t="str">
        <v>TCSRE20191</v>
      </c>
      <c r="AH177" s="15" t="str">
        <v>REGULAR</v>
      </c>
      <c r="AI177" s="15" t="str">
        <v>C</v>
      </c>
      <c r="AJ177" s="24" t="n">
        <v>4</v>
      </c>
      <c r="AK177" s="24" t="n">
        <v>1</v>
      </c>
      <c r="AL177" s="24" t="n">
        <v>0</v>
      </c>
      <c r="AM177" s="24" t="n">
        <v>0</v>
      </c>
      <c r="AN177" s="24" t="n">
        <v>0</v>
      </c>
      <c r="AO177" s="15" t="str">
        <v>CRUCE_PERSONA_MU_2022_2026</v>
      </c>
      <c r="AP177" s="15" t="str">
        <v>UNIDO</v>
      </c>
      <c r="AQ177" s="15" t="str">
        <v>UNIDO</v>
      </c>
      <c r="AR177" s="15" t="str">
        <v>B/C</v>
      </c>
      <c r="AS177" s="15" t="str">
        <v>MATRIZ / PUBLICA</v>
      </c>
      <c r="AT177" s="15" t="str">
        <v>ANUAL</v>
      </c>
      <c r="AU177" s="15" t="n">
        <v>5</v>
      </c>
      <c r="AV177" s="15" t="n">
        <v>5</v>
      </c>
      <c r="AW177" s="15" t="str">
        <v>UNA_VERSION_OBSERVADA</v>
      </c>
      <c r="AX177" s="15" t="n">
        <v>2026</v>
      </c>
      <c r="AY177" s="15" t="str">
        <v>PUBLICA; última matrícula</v>
      </c>
    </row>
    <row r="178" ht="27" customHeight="1">
      <c r="A178" s="14" t="str">
        <v>I162S2C47J1V1</v>
      </c>
      <c r="B178" s="14" t="str">
        <v>TECNICO EN CIBERSEGURIDAD</v>
      </c>
      <c r="C178" s="14" t="str">
        <v>2</v>
      </c>
      <c r="D178" s="14" t="str">
        <v>1</v>
      </c>
      <c r="E178" s="14" t="str">
        <v>1</v>
      </c>
      <c r="F178" s="14" t="str">
        <v>Presencial</v>
      </c>
      <c r="G178" s="14" t="str">
        <v>Pregrado</v>
      </c>
      <c r="H178" s="14" t="str">
        <v>Plan Regular</v>
      </c>
      <c r="I178" s="21" t="n">
        <v>2020</v>
      </c>
      <c r="J178" s="21" t="n">
        <v>2026</v>
      </c>
      <c r="K178" s="22" t="n">
        <v>0</v>
      </c>
      <c r="L178" s="22" t="n">
        <v>0</v>
      </c>
      <c r="M178" s="22" t="n">
        <v>0</v>
      </c>
      <c r="N178" s="22" t="n">
        <v>0</v>
      </c>
      <c r="O178" s="22" t="n">
        <v>0</v>
      </c>
      <c r="P178" s="22" t="n">
        <v>0</v>
      </c>
      <c r="Q178" s="22" t="n">
        <v>0</v>
      </c>
      <c r="R178" s="22" t="n">
        <v>0</v>
      </c>
      <c r="S178" s="22" t="n">
        <v>0</v>
      </c>
      <c r="T178" s="22" t="n">
        <v>0</v>
      </c>
      <c r="U178" s="22" t="n">
        <v>0</v>
      </c>
      <c r="V178" s="22" t="n">
        <v>0</v>
      </c>
      <c r="W178" s="22" t="n">
        <v>0</v>
      </c>
      <c r="X178" s="22" t="n">
        <v>12</v>
      </c>
      <c r="Y178" s="22" t="n">
        <v>19</v>
      </c>
      <c r="Z178" s="22" t="n">
        <v>20</v>
      </c>
      <c r="AA178" s="22" t="n">
        <v>12</v>
      </c>
      <c r="AB178" s="22" t="n">
        <v>8</v>
      </c>
      <c r="AC178" s="22" t="n">
        <v>11</v>
      </c>
      <c r="AD178" s="22" t="n">
        <v>19</v>
      </c>
      <c r="AE178" s="14" t="str">
        <v>2</v>
      </c>
      <c r="AF178" s="14" t="str">
        <v>TCSRE</v>
      </c>
      <c r="AG178" s="14" t="str">
        <v>TCSRE20211</v>
      </c>
      <c r="AH178" s="14" t="str">
        <v>REGULAR</v>
      </c>
      <c r="AI178" s="14" t="str">
        <v>C</v>
      </c>
      <c r="AJ178" s="22" t="n">
        <v>15</v>
      </c>
      <c r="AK178" s="22" t="n">
        <v>11</v>
      </c>
      <c r="AL178" s="22" t="n">
        <v>2</v>
      </c>
      <c r="AM178" s="22" t="n">
        <v>0</v>
      </c>
      <c r="AN178" s="22" t="n">
        <v>0</v>
      </c>
      <c r="AO178" s="14" t="str">
        <v>CRUCE_PERSONA_MU_2022_2026</v>
      </c>
      <c r="AP178" s="14" t="str">
        <v>UNIDO</v>
      </c>
      <c r="AQ178" s="14" t="str">
        <v>UNIDO</v>
      </c>
      <c r="AR178" s="14" t="str">
        <v>B/C</v>
      </c>
      <c r="AS178" s="14" t="str">
        <v>MATRIZ / PUBLICA</v>
      </c>
      <c r="AT178" s="14" t="str">
        <v>ANUAL</v>
      </c>
      <c r="AU178" s="14" t="n">
        <v>5</v>
      </c>
      <c r="AV178" s="14" t="n">
        <v>5</v>
      </c>
      <c r="AW178" s="14" t="str">
        <v>UNA_VERSION_OBSERVADA</v>
      </c>
      <c r="AX178" s="14" t="n">
        <v>2026</v>
      </c>
      <c r="AY178" s="14" t="str">
        <v>PUBLICA; última matrícula</v>
      </c>
    </row>
    <row r="179" ht="27" customHeight="1">
      <c r="A179" s="15" t="str">
        <v>I162S2C47J2V1</v>
      </c>
      <c r="B179" s="15" t="str">
        <v>TECNICO EN CIBERSEGURIDAD</v>
      </c>
      <c r="C179" s="15" t="str">
        <v>2</v>
      </c>
      <c r="D179" s="15" t="str">
        <v>2</v>
      </c>
      <c r="E179" s="15" t="str">
        <v>1</v>
      </c>
      <c r="F179" s="15" t="str">
        <v>Presencial</v>
      </c>
      <c r="G179" s="15" t="str">
        <v>Pregrado</v>
      </c>
      <c r="H179" s="15" t="str">
        <v>Plan Regular</v>
      </c>
      <c r="I179" s="23" t="n">
        <v>2019</v>
      </c>
      <c r="J179" s="23" t="n">
        <v>2026</v>
      </c>
      <c r="K179" s="24" t="n">
        <v>0</v>
      </c>
      <c r="L179" s="24" t="n">
        <v>0</v>
      </c>
      <c r="M179" s="24" t="n">
        <v>0</v>
      </c>
      <c r="N179" s="24" t="n">
        <v>0</v>
      </c>
      <c r="O179" s="24" t="n">
        <v>0</v>
      </c>
      <c r="P179" s="24" t="n">
        <v>0</v>
      </c>
      <c r="Q179" s="24" t="n">
        <v>0</v>
      </c>
      <c r="R179" s="24" t="n">
        <v>0</v>
      </c>
      <c r="S179" s="24" t="n">
        <v>0</v>
      </c>
      <c r="T179" s="24" t="n">
        <v>0</v>
      </c>
      <c r="U179" s="24" t="n">
        <v>0</v>
      </c>
      <c r="V179" s="24" t="n">
        <v>0</v>
      </c>
      <c r="W179" s="24" t="n">
        <v>12</v>
      </c>
      <c r="X179" s="24" t="n">
        <v>23</v>
      </c>
      <c r="Y179" s="24" t="n">
        <v>20</v>
      </c>
      <c r="Z179" s="24" t="n">
        <v>13</v>
      </c>
      <c r="AA179" s="24" t="n">
        <v>5</v>
      </c>
      <c r="AB179" s="24" t="n">
        <v>12</v>
      </c>
      <c r="AC179" s="24" t="n">
        <v>15</v>
      </c>
      <c r="AD179" s="24" t="n">
        <v>27</v>
      </c>
      <c r="AE179" s="15" t="str">
        <v>2</v>
      </c>
      <c r="AF179" s="15" t="str">
        <v>TCIB / TCSRE</v>
      </c>
      <c r="AG179" s="15" t="str">
        <v>PLAN_NO_OBSERVADO</v>
      </c>
      <c r="AH179" s="15" t="str">
        <v>E</v>
      </c>
      <c r="AI179" s="15" t="str">
        <v>E</v>
      </c>
      <c r="AJ179" s="24" t="n">
        <v>1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15" t="str">
        <v>CRUCE_PERSONA_MU_2022_2026</v>
      </c>
      <c r="AP179" s="15" t="str">
        <v>PENDIENTE</v>
      </c>
      <c r="AQ179" s="15" t="str">
        <v>PLAN_NO_OBSERVADO</v>
      </c>
      <c r="AR179" s="15" t="str">
        <v>E</v>
      </c>
      <c r="AS179" s="15" t="str">
        <v>MATRIZ / PUBLICA</v>
      </c>
      <c r="AT179" s="15" t="str">
        <v>SIN_ACTIVIDAD_ANUAL; ENLACE_EXPEDIENTE_CONSERVADO</v>
      </c>
      <c r="AU179" s="15" t="n">
        <v>5</v>
      </c>
      <c r="AV179" s="15" t="n">
        <v>5</v>
      </c>
      <c r="AW179" s="15" t="str">
        <v>UNA_VERSION_OBSERVADA</v>
      </c>
      <c r="AX179" s="15" t="n">
        <v>2026</v>
      </c>
      <c r="AY179" s="15" t="str">
        <v>PUBLICA; última matrícula</v>
      </c>
    </row>
    <row r="180" ht="27" customHeight="1">
      <c r="A180" s="14" t="str">
        <v>I162S2C47J2V1</v>
      </c>
      <c r="B180" s="14" t="str">
        <v>TECNICO EN CIBERSEGURIDAD</v>
      </c>
      <c r="C180" s="14" t="str">
        <v>2</v>
      </c>
      <c r="D180" s="14" t="str">
        <v>2</v>
      </c>
      <c r="E180" s="14" t="str">
        <v>1</v>
      </c>
      <c r="F180" s="14" t="str">
        <v>Presencial</v>
      </c>
      <c r="G180" s="14" t="str">
        <v>Pregrado</v>
      </c>
      <c r="H180" s="14" t="str">
        <v>Plan Regular</v>
      </c>
      <c r="I180" s="21" t="n">
        <v>2019</v>
      </c>
      <c r="J180" s="21" t="n">
        <v>2026</v>
      </c>
      <c r="K180" s="22" t="n">
        <v>0</v>
      </c>
      <c r="L180" s="22" t="n">
        <v>0</v>
      </c>
      <c r="M180" s="22" t="n">
        <v>0</v>
      </c>
      <c r="N180" s="22" t="n">
        <v>0</v>
      </c>
      <c r="O180" s="22" t="n">
        <v>0</v>
      </c>
      <c r="P180" s="22" t="n">
        <v>0</v>
      </c>
      <c r="Q180" s="22" t="n">
        <v>0</v>
      </c>
      <c r="R180" s="22" t="n">
        <v>0</v>
      </c>
      <c r="S180" s="22" t="n">
        <v>0</v>
      </c>
      <c r="T180" s="22" t="n">
        <v>0</v>
      </c>
      <c r="U180" s="22" t="n">
        <v>0</v>
      </c>
      <c r="V180" s="22" t="n">
        <v>0</v>
      </c>
      <c r="W180" s="22" t="n">
        <v>12</v>
      </c>
      <c r="X180" s="22" t="n">
        <v>23</v>
      </c>
      <c r="Y180" s="22" t="n">
        <v>20</v>
      </c>
      <c r="Z180" s="22" t="n">
        <v>13</v>
      </c>
      <c r="AA180" s="22" t="n">
        <v>5</v>
      </c>
      <c r="AB180" s="22" t="n">
        <v>12</v>
      </c>
      <c r="AC180" s="22" t="n">
        <v>15</v>
      </c>
      <c r="AD180" s="22" t="n">
        <v>27</v>
      </c>
      <c r="AE180" s="14" t="str">
        <v>2</v>
      </c>
      <c r="AF180" s="14" t="str">
        <v>TCIB</v>
      </c>
      <c r="AG180" s="14" t="str">
        <v>TCIB20241</v>
      </c>
      <c r="AH180" s="14" t="str">
        <v>REGULAR</v>
      </c>
      <c r="AI180" s="14" t="str">
        <v>C</v>
      </c>
      <c r="AJ180" s="22" t="n">
        <v>0</v>
      </c>
      <c r="AK180" s="22" t="n">
        <v>0</v>
      </c>
      <c r="AL180" s="22" t="n">
        <v>10</v>
      </c>
      <c r="AM180" s="22" t="n">
        <v>12</v>
      </c>
      <c r="AN180" s="22" t="n">
        <v>24</v>
      </c>
      <c r="AO180" s="14" t="str">
        <v>CRUCE_PERSONA_MU_2022_2026</v>
      </c>
      <c r="AP180" s="14" t="str">
        <v>UNIDO</v>
      </c>
      <c r="AQ180" s="14" t="str">
        <v>UNIDO</v>
      </c>
      <c r="AR180" s="14" t="str">
        <v>B/C</v>
      </c>
      <c r="AS180" s="14" t="str">
        <v>MATRIZ / PUBLICA</v>
      </c>
      <c r="AT180" s="14" t="str">
        <v>ANUAL</v>
      </c>
      <c r="AU180" s="14" t="n">
        <v>5</v>
      </c>
      <c r="AV180" s="14" t="n">
        <v>5</v>
      </c>
      <c r="AW180" s="14" t="str">
        <v>UNA_VERSION_OBSERVADA</v>
      </c>
      <c r="AX180" s="14" t="n">
        <v>2026</v>
      </c>
      <c r="AY180" s="14" t="str">
        <v>PUBLICA; última matrícula</v>
      </c>
    </row>
    <row r="181" ht="27" customHeight="1">
      <c r="A181" s="15" t="str">
        <v>I162S2C47J2V1</v>
      </c>
      <c r="B181" s="15" t="str">
        <v>TECNICO EN CIBERSEGURIDAD</v>
      </c>
      <c r="C181" s="15" t="str">
        <v>2</v>
      </c>
      <c r="D181" s="15" t="str">
        <v>2</v>
      </c>
      <c r="E181" s="15" t="str">
        <v>1</v>
      </c>
      <c r="F181" s="15" t="str">
        <v>Presencial</v>
      </c>
      <c r="G181" s="15" t="str">
        <v>Pregrado</v>
      </c>
      <c r="H181" s="15" t="str">
        <v>Plan Regular</v>
      </c>
      <c r="I181" s="23" t="n">
        <v>2019</v>
      </c>
      <c r="J181" s="23" t="n">
        <v>2026</v>
      </c>
      <c r="K181" s="24" t="n">
        <v>0</v>
      </c>
      <c r="L181" s="24" t="n">
        <v>0</v>
      </c>
      <c r="M181" s="24" t="n">
        <v>0</v>
      </c>
      <c r="N181" s="24" t="n">
        <v>0</v>
      </c>
      <c r="O181" s="24" t="n">
        <v>0</v>
      </c>
      <c r="P181" s="24" t="n">
        <v>0</v>
      </c>
      <c r="Q181" s="24" t="n">
        <v>0</v>
      </c>
      <c r="R181" s="24" t="n">
        <v>0</v>
      </c>
      <c r="S181" s="24" t="n">
        <v>0</v>
      </c>
      <c r="T181" s="24" t="n">
        <v>0</v>
      </c>
      <c r="U181" s="24" t="n">
        <v>0</v>
      </c>
      <c r="V181" s="24" t="n">
        <v>0</v>
      </c>
      <c r="W181" s="24" t="n">
        <v>12</v>
      </c>
      <c r="X181" s="24" t="n">
        <v>23</v>
      </c>
      <c r="Y181" s="24" t="n">
        <v>20</v>
      </c>
      <c r="Z181" s="24" t="n">
        <v>13</v>
      </c>
      <c r="AA181" s="24" t="n">
        <v>5</v>
      </c>
      <c r="AB181" s="24" t="n">
        <v>12</v>
      </c>
      <c r="AC181" s="24" t="n">
        <v>15</v>
      </c>
      <c r="AD181" s="24" t="n">
        <v>27</v>
      </c>
      <c r="AE181" s="15" t="str">
        <v>2</v>
      </c>
      <c r="AF181" s="15" t="str">
        <v>TCSRE</v>
      </c>
      <c r="AG181" s="15" t="str">
        <v>TCSRE20191</v>
      </c>
      <c r="AH181" s="15" t="str">
        <v>REGULAR</v>
      </c>
      <c r="AI181" s="15" t="str">
        <v>C</v>
      </c>
      <c r="AJ181" s="24" t="n">
        <v>2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15" t="str">
        <v>CRUCE_PERSONA_MU_2022_2026</v>
      </c>
      <c r="AP181" s="15" t="str">
        <v>UNIDO</v>
      </c>
      <c r="AQ181" s="15" t="str">
        <v>UNIDO</v>
      </c>
      <c r="AR181" s="15" t="str">
        <v>B/C</v>
      </c>
      <c r="AS181" s="15" t="str">
        <v>MATRIZ / PUBLICA</v>
      </c>
      <c r="AT181" s="15" t="str">
        <v>ANUAL</v>
      </c>
      <c r="AU181" s="15" t="n">
        <v>5</v>
      </c>
      <c r="AV181" s="15" t="n">
        <v>5</v>
      </c>
      <c r="AW181" s="15" t="str">
        <v>UNA_VERSION_OBSERVADA</v>
      </c>
      <c r="AX181" s="15" t="n">
        <v>2026</v>
      </c>
      <c r="AY181" s="15" t="str">
        <v>PUBLICA; última matrícula</v>
      </c>
    </row>
    <row r="182" ht="27" customHeight="1">
      <c r="A182" s="14" t="str">
        <v>I162S2C47J2V1</v>
      </c>
      <c r="B182" s="14" t="str">
        <v>TECNICO EN CIBERSEGURIDAD</v>
      </c>
      <c r="C182" s="14" t="str">
        <v>2</v>
      </c>
      <c r="D182" s="14" t="str">
        <v>2</v>
      </c>
      <c r="E182" s="14" t="str">
        <v>1</v>
      </c>
      <c r="F182" s="14" t="str">
        <v>Presencial</v>
      </c>
      <c r="G182" s="14" t="str">
        <v>Pregrado</v>
      </c>
      <c r="H182" s="14" t="str">
        <v>Plan Regular</v>
      </c>
      <c r="I182" s="21" t="n">
        <v>2019</v>
      </c>
      <c r="J182" s="21" t="n">
        <v>2026</v>
      </c>
      <c r="K182" s="22" t="n">
        <v>0</v>
      </c>
      <c r="L182" s="22" t="n">
        <v>0</v>
      </c>
      <c r="M182" s="22" t="n">
        <v>0</v>
      </c>
      <c r="N182" s="22" t="n">
        <v>0</v>
      </c>
      <c r="O182" s="22" t="n">
        <v>0</v>
      </c>
      <c r="P182" s="22" t="n">
        <v>0</v>
      </c>
      <c r="Q182" s="22" t="n">
        <v>0</v>
      </c>
      <c r="R182" s="22" t="n">
        <v>0</v>
      </c>
      <c r="S182" s="22" t="n">
        <v>0</v>
      </c>
      <c r="T182" s="22" t="n">
        <v>0</v>
      </c>
      <c r="U182" s="22" t="n">
        <v>0</v>
      </c>
      <c r="V182" s="22" t="n">
        <v>0</v>
      </c>
      <c r="W182" s="22" t="n">
        <v>12</v>
      </c>
      <c r="X182" s="22" t="n">
        <v>23</v>
      </c>
      <c r="Y182" s="22" t="n">
        <v>20</v>
      </c>
      <c r="Z182" s="22" t="n">
        <v>13</v>
      </c>
      <c r="AA182" s="22" t="n">
        <v>5</v>
      </c>
      <c r="AB182" s="22" t="n">
        <v>12</v>
      </c>
      <c r="AC182" s="22" t="n">
        <v>15</v>
      </c>
      <c r="AD182" s="22" t="n">
        <v>27</v>
      </c>
      <c r="AE182" s="14" t="str">
        <v>2</v>
      </c>
      <c r="AF182" s="14" t="str">
        <v>TCSRE</v>
      </c>
      <c r="AG182" s="14" t="str">
        <v>TCSRE20211</v>
      </c>
      <c r="AH182" s="14" t="str">
        <v>REGULAR</v>
      </c>
      <c r="AI182" s="14" t="str">
        <v>C</v>
      </c>
      <c r="AJ182" s="22" t="n">
        <v>10</v>
      </c>
      <c r="AK182" s="22" t="n">
        <v>5</v>
      </c>
      <c r="AL182" s="22" t="n">
        <v>1</v>
      </c>
      <c r="AM182" s="22" t="n">
        <v>0</v>
      </c>
      <c r="AN182" s="22" t="n">
        <v>0</v>
      </c>
      <c r="AO182" s="14" t="str">
        <v>CRUCE_PERSONA_MU_2022_2026</v>
      </c>
      <c r="AP182" s="14" t="str">
        <v>UNIDO</v>
      </c>
      <c r="AQ182" s="14" t="str">
        <v>UNIDO</v>
      </c>
      <c r="AR182" s="14" t="str">
        <v>B/C</v>
      </c>
      <c r="AS182" s="14" t="str">
        <v>MATRIZ / PUBLICA</v>
      </c>
      <c r="AT182" s="14" t="str">
        <v>ANUAL</v>
      </c>
      <c r="AU182" s="14" t="n">
        <v>5</v>
      </c>
      <c r="AV182" s="14" t="n">
        <v>5</v>
      </c>
      <c r="AW182" s="14" t="str">
        <v>UNA_VERSION_OBSERVADA</v>
      </c>
      <c r="AX182" s="14" t="n">
        <v>2026</v>
      </c>
      <c r="AY182" s="14" t="str">
        <v>PUBLICA; última matrícula</v>
      </c>
    </row>
    <row r="183" ht="27" customHeight="1">
      <c r="A183" s="15" t="str">
        <v>I162S2C47J4V1</v>
      </c>
      <c r="B183" s="15" t="str">
        <v>TECNICO EN CIBERSEGURIDAD</v>
      </c>
      <c r="C183" s="15" t="str">
        <v>2</v>
      </c>
      <c r="D183" s="15" t="str">
        <v>4</v>
      </c>
      <c r="E183" s="15" t="str">
        <v>1</v>
      </c>
      <c r="F183" s="15" t="str">
        <v>No presencial</v>
      </c>
      <c r="G183" s="15" t="str">
        <v>Pregrado</v>
      </c>
      <c r="H183" s="15" t="str">
        <v>Plan Regular</v>
      </c>
      <c r="I183" s="23" t="n">
        <v>2020</v>
      </c>
      <c r="J183" s="23" t="n">
        <v>2026</v>
      </c>
      <c r="K183" s="24" t="n">
        <v>0</v>
      </c>
      <c r="L183" s="24" t="n">
        <v>0</v>
      </c>
      <c r="M183" s="24" t="n">
        <v>0</v>
      </c>
      <c r="N183" s="24" t="n">
        <v>0</v>
      </c>
      <c r="O183" s="24" t="n">
        <v>0</v>
      </c>
      <c r="P183" s="24" t="n">
        <v>0</v>
      </c>
      <c r="Q183" s="24" t="n">
        <v>0</v>
      </c>
      <c r="R183" s="24" t="n">
        <v>0</v>
      </c>
      <c r="S183" s="24" t="n">
        <v>0</v>
      </c>
      <c r="T183" s="24" t="n">
        <v>0</v>
      </c>
      <c r="U183" s="24" t="n">
        <v>0</v>
      </c>
      <c r="V183" s="24" t="n">
        <v>0</v>
      </c>
      <c r="W183" s="24" t="n">
        <v>0</v>
      </c>
      <c r="X183" s="24" t="n">
        <v>26</v>
      </c>
      <c r="Y183" s="24" t="n">
        <v>70</v>
      </c>
      <c r="Z183" s="24" t="n">
        <v>80</v>
      </c>
      <c r="AA183" s="24" t="n">
        <v>103</v>
      </c>
      <c r="AB183" s="24" t="n">
        <v>117</v>
      </c>
      <c r="AC183" s="24" t="n">
        <v>140</v>
      </c>
      <c r="AD183" s="24" t="n">
        <v>111</v>
      </c>
      <c r="AE183" s="15" t="str">
        <v>1</v>
      </c>
      <c r="AF183" s="15" t="str">
        <v>TCIB / TCSREOL</v>
      </c>
      <c r="AG183" s="15" t="str">
        <v>PLAN_NO_OBSERVADO</v>
      </c>
      <c r="AH183" s="15" t="str">
        <v>E</v>
      </c>
      <c r="AI183" s="15" t="str">
        <v>E</v>
      </c>
      <c r="AJ183" s="24" t="n">
        <v>0</v>
      </c>
      <c r="AK183" s="24" t="n">
        <v>0</v>
      </c>
      <c r="AL183" s="24" t="n">
        <v>7</v>
      </c>
      <c r="AM183" s="24" t="n">
        <v>12</v>
      </c>
      <c r="AN183" s="24" t="n">
        <v>9</v>
      </c>
      <c r="AO183" s="15" t="str">
        <v>CRUCE_PERSONA_MU_2022_2026</v>
      </c>
      <c r="AP183" s="15" t="str">
        <v>PENDIENTE</v>
      </c>
      <c r="AQ183" s="15" t="str">
        <v>PLAN_NO_OBSERVADO</v>
      </c>
      <c r="AR183" s="15" t="str">
        <v>E</v>
      </c>
      <c r="AS183" s="15" t="str">
        <v>MATRIZ / PUBLICA</v>
      </c>
      <c r="AT183" s="15" t="str">
        <v>SIN_ACTIVIDAD_ANUAL; ENLACE_EXPEDIENTE_CONSERVADO</v>
      </c>
      <c r="AU183" s="15" t="n">
        <v>5</v>
      </c>
      <c r="AV183" s="15" t="n">
        <v>5</v>
      </c>
      <c r="AW183" s="15" t="str">
        <v>UNA_VERSION_OBSERVADA</v>
      </c>
      <c r="AX183" s="15" t="n">
        <v>2026</v>
      </c>
      <c r="AY183" s="15" t="str">
        <v>PUBLICA; última matrícula</v>
      </c>
    </row>
    <row r="184" ht="36" customHeight="1">
      <c r="A184" s="14" t="str">
        <v>I162S2C47J4V1</v>
      </c>
      <c r="B184" s="14" t="str">
        <v>TECNICO EN CIBERSEGURIDAD</v>
      </c>
      <c r="C184" s="14" t="str">
        <v>2</v>
      </c>
      <c r="D184" s="14" t="str">
        <v>4</v>
      </c>
      <c r="E184" s="14" t="str">
        <v>1</v>
      </c>
      <c r="F184" s="14" t="str">
        <v>No presencial</v>
      </c>
      <c r="G184" s="14" t="str">
        <v>Pregrado</v>
      </c>
      <c r="H184" s="14" t="str">
        <v>Plan Regular</v>
      </c>
      <c r="I184" s="21" t="n">
        <v>2020</v>
      </c>
      <c r="J184" s="21" t="n">
        <v>2026</v>
      </c>
      <c r="K184" s="22" t="n">
        <v>0</v>
      </c>
      <c r="L184" s="22" t="n">
        <v>0</v>
      </c>
      <c r="M184" s="22" t="n">
        <v>0</v>
      </c>
      <c r="N184" s="22" t="n">
        <v>0</v>
      </c>
      <c r="O184" s="22" t="n">
        <v>0</v>
      </c>
      <c r="P184" s="22" t="n">
        <v>0</v>
      </c>
      <c r="Q184" s="22" t="n">
        <v>0</v>
      </c>
      <c r="R184" s="22" t="n">
        <v>0</v>
      </c>
      <c r="S184" s="22" t="n">
        <v>0</v>
      </c>
      <c r="T184" s="22" t="n">
        <v>0</v>
      </c>
      <c r="U184" s="22" t="n">
        <v>0</v>
      </c>
      <c r="V184" s="22" t="n">
        <v>0</v>
      </c>
      <c r="W184" s="22" t="n">
        <v>0</v>
      </c>
      <c r="X184" s="22" t="n">
        <v>26</v>
      </c>
      <c r="Y184" s="22" t="n">
        <v>70</v>
      </c>
      <c r="Z184" s="22" t="n">
        <v>80</v>
      </c>
      <c r="AA184" s="22" t="n">
        <v>103</v>
      </c>
      <c r="AB184" s="22" t="n">
        <v>117</v>
      </c>
      <c r="AC184" s="22" t="n">
        <v>140</v>
      </c>
      <c r="AD184" s="22" t="n">
        <v>111</v>
      </c>
      <c r="AE184" s="14" t="str">
        <v>1</v>
      </c>
      <c r="AF184" s="14" t="str">
        <v>TCIB</v>
      </c>
      <c r="AG184" s="14" t="str">
        <v>TCIB20241</v>
      </c>
      <c r="AH184" s="14" t="str">
        <v>REGULAR</v>
      </c>
      <c r="AI184" s="14" t="str">
        <v>C</v>
      </c>
      <c r="AJ184" s="22" t="n">
        <v>0</v>
      </c>
      <c r="AK184" s="22" t="n">
        <v>0</v>
      </c>
      <c r="AL184" s="22" t="n">
        <v>95</v>
      </c>
      <c r="AM184" s="22" t="n">
        <v>121</v>
      </c>
      <c r="AN184" s="22" t="n">
        <v>101</v>
      </c>
      <c r="AO184" s="14" t="str">
        <v>CRUCE_PERSONA_MU_2022_2026 / REGLA_MU_2027</v>
      </c>
      <c r="AP184" s="14" t="str">
        <v>UNIDO</v>
      </c>
      <c r="AQ184" s="14" t="str">
        <v>UNIDO</v>
      </c>
      <c r="AR184" s="14" t="str">
        <v>B/C</v>
      </c>
      <c r="AS184" s="14" t="str">
        <v>H002 / MATRIZ / PUBLICA</v>
      </c>
      <c r="AT184" s="14" t="str">
        <v>ANUAL / Catálogo 2027; no atribución retroactiva ni acreditación de cohorte/malla</v>
      </c>
      <c r="AU184" s="14" t="n">
        <v>5</v>
      </c>
      <c r="AV184" s="14" t="n">
        <v>5</v>
      </c>
      <c r="AW184" s="14" t="str">
        <v>UNA_VERSION_OBSERVADA</v>
      </c>
      <c r="AX184" s="14" t="n">
        <v>2026</v>
      </c>
      <c r="AY184" s="14" t="str">
        <v>PUBLICA; última matrícula</v>
      </c>
    </row>
    <row r="185" ht="36" customHeight="1">
      <c r="A185" s="15" t="str">
        <v>I162S2C47J4V1</v>
      </c>
      <c r="B185" s="15" t="str">
        <v>TECNICO EN CIBERSEGURIDAD</v>
      </c>
      <c r="C185" s="15" t="str">
        <v>2</v>
      </c>
      <c r="D185" s="15" t="str">
        <v>4</v>
      </c>
      <c r="E185" s="15" t="str">
        <v>1</v>
      </c>
      <c r="F185" s="15" t="str">
        <v>No presencial</v>
      </c>
      <c r="G185" s="15" t="str">
        <v>Pregrado</v>
      </c>
      <c r="H185" s="15" t="str">
        <v>Plan Regular</v>
      </c>
      <c r="I185" s="23" t="n">
        <v>2020</v>
      </c>
      <c r="J185" s="23" t="n">
        <v>2026</v>
      </c>
      <c r="K185" s="24" t="n">
        <v>0</v>
      </c>
      <c r="L185" s="24" t="n">
        <v>0</v>
      </c>
      <c r="M185" s="24" t="n">
        <v>0</v>
      </c>
      <c r="N185" s="24" t="n">
        <v>0</v>
      </c>
      <c r="O185" s="24" t="n">
        <v>0</v>
      </c>
      <c r="P185" s="24" t="n">
        <v>0</v>
      </c>
      <c r="Q185" s="24" t="n">
        <v>0</v>
      </c>
      <c r="R185" s="24" t="n">
        <v>0</v>
      </c>
      <c r="S185" s="24" t="n">
        <v>0</v>
      </c>
      <c r="T185" s="24" t="n">
        <v>0</v>
      </c>
      <c r="U185" s="24" t="n">
        <v>0</v>
      </c>
      <c r="V185" s="24" t="n">
        <v>0</v>
      </c>
      <c r="W185" s="24" t="n">
        <v>0</v>
      </c>
      <c r="X185" s="24" t="n">
        <v>26</v>
      </c>
      <c r="Y185" s="24" t="n">
        <v>70</v>
      </c>
      <c r="Z185" s="24" t="n">
        <v>80</v>
      </c>
      <c r="AA185" s="24" t="n">
        <v>103</v>
      </c>
      <c r="AB185" s="24" t="n">
        <v>117</v>
      </c>
      <c r="AC185" s="24" t="n">
        <v>140</v>
      </c>
      <c r="AD185" s="24" t="n">
        <v>111</v>
      </c>
      <c r="AE185" s="15" t="str">
        <v>1</v>
      </c>
      <c r="AF185" s="15" t="str">
        <v>TCSREOL</v>
      </c>
      <c r="AG185" s="15" t="str">
        <v>TCSREOL2020</v>
      </c>
      <c r="AH185" s="15" t="str">
        <v>REGULAR</v>
      </c>
      <c r="AI185" s="15" t="str">
        <v>C</v>
      </c>
      <c r="AJ185" s="24" t="n">
        <v>21</v>
      </c>
      <c r="AK185" s="24" t="n">
        <v>2</v>
      </c>
      <c r="AL185" s="24" t="n">
        <v>0</v>
      </c>
      <c r="AM185" s="24" t="n">
        <v>0</v>
      </c>
      <c r="AN185" s="24" t="n">
        <v>0</v>
      </c>
      <c r="AO185" s="15" t="str">
        <v>CRUCE_PERSONA_MU_2022_2026 / REGLA_MU_2027</v>
      </c>
      <c r="AP185" s="15" t="str">
        <v>UNIDO</v>
      </c>
      <c r="AQ185" s="15" t="str">
        <v>UNIDO</v>
      </c>
      <c r="AR185" s="15" t="str">
        <v>B/C</v>
      </c>
      <c r="AS185" s="15" t="str">
        <v>H002 / MATRIZ / PUBLICA</v>
      </c>
      <c r="AT185" s="15" t="str">
        <v>ANUAL / Catálogo 2027; no atribución retroactiva ni acreditación de cohorte/malla</v>
      </c>
      <c r="AU185" s="15" t="n">
        <v>5</v>
      </c>
      <c r="AV185" s="15" t="n">
        <v>5</v>
      </c>
      <c r="AW185" s="15" t="str">
        <v>UNA_VERSION_OBSERVADA</v>
      </c>
      <c r="AX185" s="15" t="n">
        <v>2026</v>
      </c>
      <c r="AY185" s="15" t="str">
        <v>PUBLICA; última matrícula</v>
      </c>
    </row>
    <row r="186" ht="36" customHeight="1">
      <c r="A186" s="14" t="str">
        <v>I162S2C47J4V1</v>
      </c>
      <c r="B186" s="14" t="str">
        <v>TECNICO EN CIBERSEGURIDAD</v>
      </c>
      <c r="C186" s="14" t="str">
        <v>2</v>
      </c>
      <c r="D186" s="14" t="str">
        <v>4</v>
      </c>
      <c r="E186" s="14" t="str">
        <v>1</v>
      </c>
      <c r="F186" s="14" t="str">
        <v>No presencial</v>
      </c>
      <c r="G186" s="14" t="str">
        <v>Pregrado</v>
      </c>
      <c r="H186" s="14" t="str">
        <v>Plan Regular</v>
      </c>
      <c r="I186" s="21" t="n">
        <v>2020</v>
      </c>
      <c r="J186" s="21" t="n">
        <v>2026</v>
      </c>
      <c r="K186" s="22" t="n">
        <v>0</v>
      </c>
      <c r="L186" s="22" t="n">
        <v>0</v>
      </c>
      <c r="M186" s="22" t="n">
        <v>0</v>
      </c>
      <c r="N186" s="22" t="n">
        <v>0</v>
      </c>
      <c r="O186" s="22" t="n">
        <v>0</v>
      </c>
      <c r="P186" s="22" t="n">
        <v>0</v>
      </c>
      <c r="Q186" s="22" t="n">
        <v>0</v>
      </c>
      <c r="R186" s="22" t="n">
        <v>0</v>
      </c>
      <c r="S186" s="22" t="n">
        <v>0</v>
      </c>
      <c r="T186" s="22" t="n">
        <v>0</v>
      </c>
      <c r="U186" s="22" t="n">
        <v>0</v>
      </c>
      <c r="V186" s="22" t="n">
        <v>0</v>
      </c>
      <c r="W186" s="22" t="n">
        <v>0</v>
      </c>
      <c r="X186" s="22" t="n">
        <v>26</v>
      </c>
      <c r="Y186" s="22" t="n">
        <v>70</v>
      </c>
      <c r="Z186" s="22" t="n">
        <v>80</v>
      </c>
      <c r="AA186" s="22" t="n">
        <v>103</v>
      </c>
      <c r="AB186" s="22" t="n">
        <v>117</v>
      </c>
      <c r="AC186" s="22" t="n">
        <v>140</v>
      </c>
      <c r="AD186" s="22" t="n">
        <v>111</v>
      </c>
      <c r="AE186" s="14" t="str">
        <v>1</v>
      </c>
      <c r="AF186" s="14" t="str">
        <v>TCSREOL</v>
      </c>
      <c r="AG186" s="14" t="str">
        <v>TCSREOL20211</v>
      </c>
      <c r="AH186" s="14" t="str">
        <v>REGULAR</v>
      </c>
      <c r="AI186" s="14" t="str">
        <v>C</v>
      </c>
      <c r="AJ186" s="22" t="n">
        <v>59</v>
      </c>
      <c r="AK186" s="22" t="n">
        <v>45</v>
      </c>
      <c r="AL186" s="22" t="n">
        <v>11</v>
      </c>
      <c r="AM186" s="22" t="n">
        <v>1</v>
      </c>
      <c r="AN186" s="22" t="n">
        <v>0</v>
      </c>
      <c r="AO186" s="14" t="str">
        <v>CRUCE_PERSONA_MU_2022_2026 / REGLA_MU_2027</v>
      </c>
      <c r="AP186" s="14" t="str">
        <v>UNIDO</v>
      </c>
      <c r="AQ186" s="14" t="str">
        <v>UNIDO</v>
      </c>
      <c r="AR186" s="14" t="str">
        <v>B/C</v>
      </c>
      <c r="AS186" s="14" t="str">
        <v>H002 / MATRIZ / PUBLICA</v>
      </c>
      <c r="AT186" s="14" t="str">
        <v>ANUAL / Catálogo 2027; no atribución retroactiva ni acreditación de cohorte/malla</v>
      </c>
      <c r="AU186" s="14" t="n">
        <v>5</v>
      </c>
      <c r="AV186" s="14" t="n">
        <v>5</v>
      </c>
      <c r="AW186" s="14" t="str">
        <v>UNA_VERSION_OBSERVADA</v>
      </c>
      <c r="AX186" s="14" t="n">
        <v>2026</v>
      </c>
      <c r="AY186" s="14" t="str">
        <v>PUBLICA; última matrícula</v>
      </c>
    </row>
    <row r="187" ht="36" customHeight="1">
      <c r="A187" s="15" t="str">
        <v>I162S2C47J4V1</v>
      </c>
      <c r="B187" s="15" t="str">
        <v>TECNICO EN CIBERSEGURIDAD</v>
      </c>
      <c r="C187" s="15" t="str">
        <v>2</v>
      </c>
      <c r="D187" s="15" t="str">
        <v>4</v>
      </c>
      <c r="E187" s="15" t="str">
        <v>1</v>
      </c>
      <c r="F187" s="15" t="str">
        <v>No presencial</v>
      </c>
      <c r="G187" s="15" t="str">
        <v>Pregrado</v>
      </c>
      <c r="H187" s="15" t="str">
        <v>Plan Regular</v>
      </c>
      <c r="I187" s="23" t="n">
        <v>2020</v>
      </c>
      <c r="J187" s="23" t="n">
        <v>2026</v>
      </c>
      <c r="K187" s="24" t="n">
        <v>0</v>
      </c>
      <c r="L187" s="24" t="n">
        <v>0</v>
      </c>
      <c r="M187" s="24" t="n">
        <v>0</v>
      </c>
      <c r="N187" s="24" t="n">
        <v>0</v>
      </c>
      <c r="O187" s="24" t="n">
        <v>0</v>
      </c>
      <c r="P187" s="24" t="n">
        <v>0</v>
      </c>
      <c r="Q187" s="24" t="n">
        <v>0</v>
      </c>
      <c r="R187" s="24" t="n">
        <v>0</v>
      </c>
      <c r="S187" s="24" t="n">
        <v>0</v>
      </c>
      <c r="T187" s="24" t="n">
        <v>0</v>
      </c>
      <c r="U187" s="24" t="n">
        <v>0</v>
      </c>
      <c r="V187" s="24" t="n">
        <v>0</v>
      </c>
      <c r="W187" s="24" t="n">
        <v>0</v>
      </c>
      <c r="X187" s="24" t="n">
        <v>26</v>
      </c>
      <c r="Y187" s="24" t="n">
        <v>70</v>
      </c>
      <c r="Z187" s="24" t="n">
        <v>80</v>
      </c>
      <c r="AA187" s="24" t="n">
        <v>103</v>
      </c>
      <c r="AB187" s="24" t="n">
        <v>117</v>
      </c>
      <c r="AC187" s="24" t="n">
        <v>140</v>
      </c>
      <c r="AD187" s="24" t="n">
        <v>111</v>
      </c>
      <c r="AE187" s="15" t="str">
        <v>1</v>
      </c>
      <c r="AF187" s="15" t="str">
        <v>TCSREOL</v>
      </c>
      <c r="AG187" s="15" t="str">
        <v>TCSREOL20231</v>
      </c>
      <c r="AH187" s="15" t="str">
        <v>REGULAR</v>
      </c>
      <c r="AI187" s="15" t="str">
        <v>C</v>
      </c>
      <c r="AJ187" s="24" t="n">
        <v>0</v>
      </c>
      <c r="AK187" s="24" t="n">
        <v>56</v>
      </c>
      <c r="AL187" s="24" t="n">
        <v>1</v>
      </c>
      <c r="AM187" s="24" t="n">
        <v>4</v>
      </c>
      <c r="AN187" s="24" t="n">
        <v>0</v>
      </c>
      <c r="AO187" s="15" t="str">
        <v>CRUCE_PERSONA_MU_2022_2026 / REGLA_MU_2027</v>
      </c>
      <c r="AP187" s="15" t="str">
        <v>UNIDO</v>
      </c>
      <c r="AQ187" s="15" t="str">
        <v>UNIDO</v>
      </c>
      <c r="AR187" s="15" t="str">
        <v>B/C</v>
      </c>
      <c r="AS187" s="15" t="str">
        <v>H002 / MATRIZ / PUBLICA</v>
      </c>
      <c r="AT187" s="15" t="str">
        <v>ANUAL / Catálogo 2027; no atribución retroactiva ni acreditación de cohorte/malla</v>
      </c>
      <c r="AU187" s="15" t="n">
        <v>5</v>
      </c>
      <c r="AV187" s="15" t="n">
        <v>5</v>
      </c>
      <c r="AW187" s="15" t="str">
        <v>UNA_VERSION_OBSERVADA</v>
      </c>
      <c r="AX187" s="15" t="n">
        <v>2026</v>
      </c>
      <c r="AY187" s="15" t="str">
        <v>PUBLICA; última matrícula</v>
      </c>
    </row>
    <row r="188" ht="27" customHeight="1">
      <c r="A188" s="14" t="str">
        <v>I162S2C47J4V2</v>
      </c>
      <c r="B188" s="14" t="str">
        <v>TECNICO EN CIBERSEGURIDAD</v>
      </c>
      <c r="C188" s="14" t="str">
        <v>2</v>
      </c>
      <c r="D188" s="14" t="str">
        <v>4</v>
      </c>
      <c r="E188" s="14" t="str">
        <v>2</v>
      </c>
      <c r="F188" s="14" t="str">
        <v>No presencial</v>
      </c>
      <c r="G188" s="14" t="str">
        <v>Pregrado</v>
      </c>
      <c r="H188" s="14" t="str">
        <v>Plan Regular</v>
      </c>
      <c r="I188" s="21" t="str">
        <v>n.a.</v>
      </c>
      <c r="J188" s="21" t="str">
        <v>n.a.</v>
      </c>
      <c r="K188" s="22" t="n">
        <v>0</v>
      </c>
      <c r="L188" s="22" t="n">
        <v>0</v>
      </c>
      <c r="M188" s="22" t="n">
        <v>0</v>
      </c>
      <c r="N188" s="22" t="n">
        <v>0</v>
      </c>
      <c r="O188" s="22" t="n">
        <v>0</v>
      </c>
      <c r="P188" s="22" t="n">
        <v>0</v>
      </c>
      <c r="Q188" s="22" t="n">
        <v>0</v>
      </c>
      <c r="R188" s="22" t="n">
        <v>0</v>
      </c>
      <c r="S188" s="22" t="n">
        <v>0</v>
      </c>
      <c r="T188" s="22" t="n">
        <v>0</v>
      </c>
      <c r="U188" s="22" t="n">
        <v>0</v>
      </c>
      <c r="V188" s="22" t="n">
        <v>0</v>
      </c>
      <c r="W188" s="22" t="n">
        <v>0</v>
      </c>
      <c r="X188" s="22" t="n">
        <v>0</v>
      </c>
      <c r="Y188" s="22" t="n">
        <v>0</v>
      </c>
      <c r="Z188" s="22" t="n">
        <v>0</v>
      </c>
      <c r="AA188" s="22" t="n">
        <v>0</v>
      </c>
      <c r="AB188" s="22" t="n">
        <v>0</v>
      </c>
      <c r="AC188" s="22" t="n">
        <v>0</v>
      </c>
      <c r="AD188" s="22" t="n">
        <v>0</v>
      </c>
      <c r="AE188" s="14" t="str">
        <v>1</v>
      </c>
      <c r="AF188" s="14" t="str">
        <v>E</v>
      </c>
      <c r="AG188" s="14" t="str">
        <v>E: sin plan</v>
      </c>
      <c r="AH188" s="14" t="str">
        <v>E</v>
      </c>
      <c r="AI188" s="14" t="str">
        <v>E</v>
      </c>
      <c r="AJ188" s="22" t="n">
        <v>0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14" t="str">
        <v>SIN_UNION</v>
      </c>
      <c r="AP188" s="14" t="str">
        <v>PENDIENTE</v>
      </c>
      <c r="AQ188" s="14" t="str">
        <v>NUEVO_2027_SIN_ALUMNOS</v>
      </c>
      <c r="AR188" s="14" t="str">
        <v>E</v>
      </c>
      <c r="AS188" s="14" t="str">
        <v>PUBLICA</v>
      </c>
      <c r="AT188" s="14" t="str">
        <v>E</v>
      </c>
      <c r="AU188" s="14" t="str">
        <v>E</v>
      </c>
      <c r="AV188" s="14" t="n">
        <v>4</v>
      </c>
      <c r="AW188" s="14" t="str">
        <v>E: sin historia pública</v>
      </c>
      <c r="AX188" s="14" t="n">
        <v>2027</v>
      </c>
      <c r="AY188" s="14" t="str">
        <v>H002; estudios no acreditados</v>
      </c>
    </row>
    <row r="189" ht="36" customHeight="1">
      <c r="A189" s="15" t="str">
        <v>I162S2C48J4V1</v>
      </c>
      <c r="B189" s="15" t="str">
        <v>TECNICO EN CONTROL INDUSTRIAL</v>
      </c>
      <c r="C189" s="15" t="str">
        <v>2</v>
      </c>
      <c r="D189" s="15" t="str">
        <v>4</v>
      </c>
      <c r="E189" s="15" t="str">
        <v>1</v>
      </c>
      <c r="F189" s="15" t="str">
        <v>No presencial</v>
      </c>
      <c r="G189" s="15" t="str">
        <v>Pregrado</v>
      </c>
      <c r="H189" s="15" t="str">
        <v>Plan Regular</v>
      </c>
      <c r="I189" s="23" t="str">
        <v>n.a.</v>
      </c>
      <c r="J189" s="23" t="str">
        <v>n.a.</v>
      </c>
      <c r="K189" s="24" t="n">
        <v>0</v>
      </c>
      <c r="L189" s="24" t="n">
        <v>0</v>
      </c>
      <c r="M189" s="24" t="n">
        <v>0</v>
      </c>
      <c r="N189" s="24" t="n">
        <v>0</v>
      </c>
      <c r="O189" s="24" t="n">
        <v>0</v>
      </c>
      <c r="P189" s="24" t="n">
        <v>0</v>
      </c>
      <c r="Q189" s="24" t="n">
        <v>0</v>
      </c>
      <c r="R189" s="24" t="n">
        <v>0</v>
      </c>
      <c r="S189" s="24" t="n">
        <v>0</v>
      </c>
      <c r="T189" s="24" t="n">
        <v>0</v>
      </c>
      <c r="U189" s="24" t="n">
        <v>0</v>
      </c>
      <c r="V189" s="24" t="n">
        <v>0</v>
      </c>
      <c r="W189" s="24" t="n">
        <v>0</v>
      </c>
      <c r="X189" s="24" t="n">
        <v>0</v>
      </c>
      <c r="Y189" s="24" t="n">
        <v>0</v>
      </c>
      <c r="Z189" s="24" t="n">
        <v>0</v>
      </c>
      <c r="AA189" s="24" t="n">
        <v>0</v>
      </c>
      <c r="AB189" s="24" t="n">
        <v>0</v>
      </c>
      <c r="AC189" s="24" t="n">
        <v>0</v>
      </c>
      <c r="AD189" s="24" t="n">
        <v>0</v>
      </c>
      <c r="AE189" s="15" t="str">
        <v>2</v>
      </c>
      <c r="AF189" s="15" t="str">
        <v>TCIOL</v>
      </c>
      <c r="AG189" s="15" t="str">
        <v>TCIREOL20191</v>
      </c>
      <c r="AH189" s="15" t="str">
        <v>E</v>
      </c>
      <c r="AI189" s="15" t="str">
        <v>E</v>
      </c>
      <c r="AJ189" s="24" t="n">
        <v>0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15" t="str">
        <v>APROBACION_D_2027</v>
      </c>
      <c r="AP189" s="15" t="str">
        <v>UNIDO</v>
      </c>
      <c r="AQ189" s="15" t="str">
        <v>UNIDO</v>
      </c>
      <c r="AR189" s="15" t="str">
        <v>D/C</v>
      </c>
      <c r="AS189" s="15" t="str">
        <v>H002 / PUBLICA</v>
      </c>
      <c r="AT189" s="15" t="str">
        <v>Catálogo 2027; no atribución retroactiva ni acreditación de cohorte/malla</v>
      </c>
      <c r="AU189" s="15" t="n">
        <v>5</v>
      </c>
      <c r="AV189" s="15" t="n">
        <v>5</v>
      </c>
      <c r="AW189" s="15" t="str">
        <v>E: sin historia pública</v>
      </c>
      <c r="AX189" s="15" t="n">
        <v>2026</v>
      </c>
      <c r="AY189" s="15" t="str">
        <v>MAESTRO/oferta_anual; sin matrícula</v>
      </c>
    </row>
    <row r="190" ht="36" customHeight="1">
      <c r="A190" s="14" t="str">
        <v>I162S2C48J4V1</v>
      </c>
      <c r="B190" s="14" t="str">
        <v>TECNICO EN CONTROL INDUSTRIAL</v>
      </c>
      <c r="C190" s="14" t="str">
        <v>2</v>
      </c>
      <c r="D190" s="14" t="str">
        <v>4</v>
      </c>
      <c r="E190" s="14" t="str">
        <v>1</v>
      </c>
      <c r="F190" s="14" t="str">
        <v>No presencial</v>
      </c>
      <c r="G190" s="14" t="str">
        <v>Pregrado</v>
      </c>
      <c r="H190" s="14" t="str">
        <v>Plan Regular</v>
      </c>
      <c r="I190" s="21" t="str">
        <v>n.a.</v>
      </c>
      <c r="J190" s="21" t="str">
        <v>n.a.</v>
      </c>
      <c r="K190" s="22" t="n">
        <v>0</v>
      </c>
      <c r="L190" s="22" t="n">
        <v>0</v>
      </c>
      <c r="M190" s="22" t="n">
        <v>0</v>
      </c>
      <c r="N190" s="22" t="n">
        <v>0</v>
      </c>
      <c r="O190" s="22" t="n">
        <v>0</v>
      </c>
      <c r="P190" s="22" t="n">
        <v>0</v>
      </c>
      <c r="Q190" s="22" t="n">
        <v>0</v>
      </c>
      <c r="R190" s="22" t="n">
        <v>0</v>
      </c>
      <c r="S190" s="22" t="n">
        <v>0</v>
      </c>
      <c r="T190" s="22" t="n">
        <v>0</v>
      </c>
      <c r="U190" s="22" t="n">
        <v>0</v>
      </c>
      <c r="V190" s="22" t="n">
        <v>0</v>
      </c>
      <c r="W190" s="22" t="n">
        <v>0</v>
      </c>
      <c r="X190" s="22" t="n">
        <v>0</v>
      </c>
      <c r="Y190" s="22" t="n">
        <v>0</v>
      </c>
      <c r="Z190" s="22" t="n">
        <v>0</v>
      </c>
      <c r="AA190" s="22" t="n">
        <v>0</v>
      </c>
      <c r="AB190" s="22" t="n">
        <v>0</v>
      </c>
      <c r="AC190" s="22" t="n">
        <v>0</v>
      </c>
      <c r="AD190" s="22" t="n">
        <v>0</v>
      </c>
      <c r="AE190" s="14" t="str">
        <v>2</v>
      </c>
      <c r="AF190" s="14" t="str">
        <v>TCIOL</v>
      </c>
      <c r="AG190" s="14" t="str">
        <v>TCIREOL20211</v>
      </c>
      <c r="AH190" s="14" t="str">
        <v>E</v>
      </c>
      <c r="AI190" s="14" t="str">
        <v>E</v>
      </c>
      <c r="AJ190" s="22" t="n">
        <v>0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14" t="str">
        <v>APROBACION_D_2027</v>
      </c>
      <c r="AP190" s="14" t="str">
        <v>UNIDO</v>
      </c>
      <c r="AQ190" s="14" t="str">
        <v>UNIDO</v>
      </c>
      <c r="AR190" s="14" t="str">
        <v>D/C</v>
      </c>
      <c r="AS190" s="14" t="str">
        <v>H002 / PUBLICA</v>
      </c>
      <c r="AT190" s="14" t="str">
        <v>Catálogo 2027; no atribución retroactiva ni acreditación de cohorte/malla</v>
      </c>
      <c r="AU190" s="14" t="n">
        <v>5</v>
      </c>
      <c r="AV190" s="14" t="n">
        <v>5</v>
      </c>
      <c r="AW190" s="14" t="str">
        <v>E: sin historia pública</v>
      </c>
      <c r="AX190" s="14" t="n">
        <v>2026</v>
      </c>
      <c r="AY190" s="14" t="str">
        <v>MAESTRO/oferta_anual; sin matrícula</v>
      </c>
    </row>
    <row r="191" ht="27" customHeight="1">
      <c r="A191" s="15" t="str">
        <v>I162S2C53J3V1</v>
      </c>
      <c r="B191" s="15" t="str">
        <v>DIPLOMADO EN CIBERSEGURIDAD APLICADA</v>
      </c>
      <c r="C191" s="15" t="str">
        <v>2</v>
      </c>
      <c r="D191" s="15" t="str">
        <v>3</v>
      </c>
      <c r="E191" s="15" t="str">
        <v>1</v>
      </c>
      <c r="F191" s="15" t="str">
        <v>Semipresencial</v>
      </c>
      <c r="G191" s="15" t="str">
        <v>Postítulo/otro</v>
      </c>
      <c r="H191" s="15" t="str">
        <v>Plan Regular</v>
      </c>
      <c r="I191" s="23" t="n">
        <v>2019</v>
      </c>
      <c r="J191" s="23" t="n">
        <v>2026</v>
      </c>
      <c r="K191" s="24" t="n">
        <v>0</v>
      </c>
      <c r="L191" s="24" t="n">
        <v>0</v>
      </c>
      <c r="M191" s="24" t="n">
        <v>0</v>
      </c>
      <c r="N191" s="24" t="n">
        <v>0</v>
      </c>
      <c r="O191" s="24" t="n">
        <v>0</v>
      </c>
      <c r="P191" s="24" t="n">
        <v>0</v>
      </c>
      <c r="Q191" s="24" t="n">
        <v>0</v>
      </c>
      <c r="R191" s="24" t="n">
        <v>0</v>
      </c>
      <c r="S191" s="24" t="n">
        <v>0</v>
      </c>
      <c r="T191" s="24" t="n">
        <v>0</v>
      </c>
      <c r="U191" s="24" t="n">
        <v>0</v>
      </c>
      <c r="V191" s="24" t="n">
        <v>0</v>
      </c>
      <c r="W191" s="24" t="n">
        <v>16</v>
      </c>
      <c r="X191" s="24" t="n">
        <v>5</v>
      </c>
      <c r="Y191" s="24" t="n">
        <v>0</v>
      </c>
      <c r="Z191" s="24" t="n">
        <v>0</v>
      </c>
      <c r="AA191" s="24" t="n">
        <v>19</v>
      </c>
      <c r="AB191" s="24" t="n">
        <v>13</v>
      </c>
      <c r="AC191" s="24" t="n">
        <v>26</v>
      </c>
      <c r="AD191" s="24" t="n">
        <v>17</v>
      </c>
      <c r="AE191" s="15" t="str">
        <v>1</v>
      </c>
      <c r="AF191" s="15" t="str">
        <v>E</v>
      </c>
      <c r="AG191" s="15" t="str">
        <v>E: sin plan</v>
      </c>
      <c r="AH191" s="15" t="str">
        <v>E</v>
      </c>
      <c r="AI191" s="15" t="str">
        <v>E</v>
      </c>
      <c r="AJ191" s="24" t="n">
        <v>0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15" t="str">
        <v>SIN_UNION</v>
      </c>
      <c r="AP191" s="15" t="str">
        <v>PENDIENTE</v>
      </c>
      <c r="AQ191" s="15" t="str">
        <v>FUERA_ALCANCE</v>
      </c>
      <c r="AR191" s="15" t="str">
        <v>E</v>
      </c>
      <c r="AS191" s="15" t="str">
        <v>PUBLICA</v>
      </c>
      <c r="AT191" s="15" t="str">
        <v>E</v>
      </c>
      <c r="AU191" s="15" t="n">
        <v>1</v>
      </c>
      <c r="AV191" s="15" t="n">
        <v>1</v>
      </c>
      <c r="AW191" s="15" t="str">
        <v>UNA_VERSION_OBSERVADA</v>
      </c>
      <c r="AX191" s="15" t="n">
        <v>2026</v>
      </c>
      <c r="AY191" s="15" t="str">
        <v>PUBLICA; última matrícula</v>
      </c>
    </row>
    <row r="192" ht="27" customHeight="1">
      <c r="A192" s="14" t="str">
        <v>I162S2C57J1V1</v>
      </c>
      <c r="B192" s="14" t="str">
        <v>TECNICO EN PROGRAMACION Y ANALISIS DE SISTEMAS</v>
      </c>
      <c r="C192" s="14" t="str">
        <v>2</v>
      </c>
      <c r="D192" s="14" t="str">
        <v>1</v>
      </c>
      <c r="E192" s="14" t="str">
        <v>1</v>
      </c>
      <c r="F192" s="14" t="str">
        <v>Presencial</v>
      </c>
      <c r="G192" s="14" t="str">
        <v>Pregrado</v>
      </c>
      <c r="H192" s="14" t="str">
        <v>Plan Regular</v>
      </c>
      <c r="I192" s="21" t="n">
        <v>2020</v>
      </c>
      <c r="J192" s="21" t="n">
        <v>2026</v>
      </c>
      <c r="K192" s="22" t="n">
        <v>0</v>
      </c>
      <c r="L192" s="22" t="n">
        <v>0</v>
      </c>
      <c r="M192" s="22" t="n">
        <v>0</v>
      </c>
      <c r="N192" s="22" t="n">
        <v>0</v>
      </c>
      <c r="O192" s="22" t="n">
        <v>0</v>
      </c>
      <c r="P192" s="22" t="n">
        <v>0</v>
      </c>
      <c r="Q192" s="22" t="n">
        <v>0</v>
      </c>
      <c r="R192" s="22" t="n">
        <v>0</v>
      </c>
      <c r="S192" s="22" t="n">
        <v>0</v>
      </c>
      <c r="T192" s="22" t="n">
        <v>0</v>
      </c>
      <c r="U192" s="22" t="n">
        <v>0</v>
      </c>
      <c r="V192" s="22" t="n">
        <v>0</v>
      </c>
      <c r="W192" s="22" t="n">
        <v>0</v>
      </c>
      <c r="X192" s="22" t="n">
        <v>21</v>
      </c>
      <c r="Y192" s="22" t="n">
        <v>21</v>
      </c>
      <c r="Z192" s="22" t="n">
        <v>30</v>
      </c>
      <c r="AA192" s="22" t="n">
        <v>17</v>
      </c>
      <c r="AB192" s="22" t="n">
        <v>22</v>
      </c>
      <c r="AC192" s="22" t="n">
        <v>25</v>
      </c>
      <c r="AD192" s="22" t="n">
        <v>28</v>
      </c>
      <c r="AE192" s="14" t="str">
        <v>2</v>
      </c>
      <c r="AF192" s="14" t="str">
        <v>TPAS</v>
      </c>
      <c r="AG192" s="14" t="str">
        <v>PLAN_NO_OBSERVADO</v>
      </c>
      <c r="AH192" s="14" t="str">
        <v>E</v>
      </c>
      <c r="AI192" s="14" t="str">
        <v>E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3</v>
      </c>
      <c r="AO192" s="14" t="str">
        <v>CRUCE_PERSONA_MU_2022_2026</v>
      </c>
      <c r="AP192" s="14" t="str">
        <v>PENDIENTE</v>
      </c>
      <c r="AQ192" s="14" t="str">
        <v>PLAN_NO_OBSERVADO</v>
      </c>
      <c r="AR192" s="14" t="str">
        <v>E</v>
      </c>
      <c r="AS192" s="14" t="str">
        <v>MATRIZ / PUBLICA</v>
      </c>
      <c r="AT192" s="14" t="str">
        <v>SIN_ACTIVIDAD_ANUAL; ENLACE_EXPEDIENTE_CONSERVADO</v>
      </c>
      <c r="AU192" s="14" t="n">
        <v>5</v>
      </c>
      <c r="AV192" s="14" t="n">
        <v>5</v>
      </c>
      <c r="AW192" s="14" t="str">
        <v>UNA_VERSION_OBSERVADA</v>
      </c>
      <c r="AX192" s="14" t="n">
        <v>2026</v>
      </c>
      <c r="AY192" s="14" t="str">
        <v>PUBLICA; última matrícula</v>
      </c>
    </row>
    <row r="193" ht="27" customHeight="1">
      <c r="A193" s="15" t="str">
        <v>I162S2C57J1V1</v>
      </c>
      <c r="B193" s="15" t="str">
        <v>TECNICO EN PROGRAMACION Y ANALISIS DE SISTEMAS</v>
      </c>
      <c r="C193" s="15" t="str">
        <v>2</v>
      </c>
      <c r="D193" s="15" t="str">
        <v>1</v>
      </c>
      <c r="E193" s="15" t="str">
        <v>1</v>
      </c>
      <c r="F193" s="15" t="str">
        <v>Presencial</v>
      </c>
      <c r="G193" s="15" t="str">
        <v>Pregrado</v>
      </c>
      <c r="H193" s="15" t="str">
        <v>Plan Regular</v>
      </c>
      <c r="I193" s="23" t="n">
        <v>2020</v>
      </c>
      <c r="J193" s="23" t="n">
        <v>2026</v>
      </c>
      <c r="K193" s="24" t="n">
        <v>0</v>
      </c>
      <c r="L193" s="24" t="n">
        <v>0</v>
      </c>
      <c r="M193" s="24" t="n">
        <v>0</v>
      </c>
      <c r="N193" s="24" t="n">
        <v>0</v>
      </c>
      <c r="O193" s="24" t="n">
        <v>0</v>
      </c>
      <c r="P193" s="24" t="n">
        <v>0</v>
      </c>
      <c r="Q193" s="24" t="n">
        <v>0</v>
      </c>
      <c r="R193" s="24" t="n">
        <v>0</v>
      </c>
      <c r="S193" s="24" t="n">
        <v>0</v>
      </c>
      <c r="T193" s="24" t="n">
        <v>0</v>
      </c>
      <c r="U193" s="24" t="n">
        <v>0</v>
      </c>
      <c r="V193" s="24" t="n">
        <v>0</v>
      </c>
      <c r="W193" s="24" t="n">
        <v>0</v>
      </c>
      <c r="X193" s="24" t="n">
        <v>21</v>
      </c>
      <c r="Y193" s="24" t="n">
        <v>21</v>
      </c>
      <c r="Z193" s="24" t="n">
        <v>30</v>
      </c>
      <c r="AA193" s="24" t="n">
        <v>17</v>
      </c>
      <c r="AB193" s="24" t="n">
        <v>22</v>
      </c>
      <c r="AC193" s="24" t="n">
        <v>25</v>
      </c>
      <c r="AD193" s="24" t="n">
        <v>28</v>
      </c>
      <c r="AE193" s="15" t="str">
        <v>2</v>
      </c>
      <c r="AF193" s="15" t="str">
        <v>TPARE</v>
      </c>
      <c r="AG193" s="15" t="str">
        <v>TPARE2020</v>
      </c>
      <c r="AH193" s="15" t="str">
        <v>REGULAR</v>
      </c>
      <c r="AI193" s="15" t="str">
        <v>C</v>
      </c>
      <c r="AJ193" s="24" t="n">
        <v>8</v>
      </c>
      <c r="AK193" s="24" t="n">
        <v>2</v>
      </c>
      <c r="AL193" s="24" t="n">
        <v>1</v>
      </c>
      <c r="AM193" s="24" t="n">
        <v>0</v>
      </c>
      <c r="AN193" s="24" t="n">
        <v>0</v>
      </c>
      <c r="AO193" s="15" t="str">
        <v>CRUCE_PERSONA_MU_2022_2026</v>
      </c>
      <c r="AP193" s="15" t="str">
        <v>UNIDO</v>
      </c>
      <c r="AQ193" s="15" t="str">
        <v>UNIDO</v>
      </c>
      <c r="AR193" s="15" t="str">
        <v>B/C</v>
      </c>
      <c r="AS193" s="15" t="str">
        <v>MATRIZ / PUBLICA</v>
      </c>
      <c r="AT193" s="15" t="str">
        <v>ANUAL</v>
      </c>
      <c r="AU193" s="15" t="n">
        <v>5</v>
      </c>
      <c r="AV193" s="15" t="n">
        <v>5</v>
      </c>
      <c r="AW193" s="15" t="str">
        <v>UNA_VERSION_OBSERVADA</v>
      </c>
      <c r="AX193" s="15" t="n">
        <v>2026</v>
      </c>
      <c r="AY193" s="15" t="str">
        <v>PUBLICA; última matrícula</v>
      </c>
    </row>
    <row r="194" ht="27" customHeight="1">
      <c r="A194" s="14" t="str">
        <v>I162S2C57J1V1</v>
      </c>
      <c r="B194" s="14" t="str">
        <v>TECNICO EN PROGRAMACION Y ANALISIS DE SISTEMAS</v>
      </c>
      <c r="C194" s="14" t="str">
        <v>2</v>
      </c>
      <c r="D194" s="14" t="str">
        <v>1</v>
      </c>
      <c r="E194" s="14" t="str">
        <v>1</v>
      </c>
      <c r="F194" s="14" t="str">
        <v>Presencial</v>
      </c>
      <c r="G194" s="14" t="str">
        <v>Pregrado</v>
      </c>
      <c r="H194" s="14" t="str">
        <v>Plan Regular</v>
      </c>
      <c r="I194" s="21" t="n">
        <v>2020</v>
      </c>
      <c r="J194" s="21" t="n">
        <v>2026</v>
      </c>
      <c r="K194" s="22" t="n">
        <v>0</v>
      </c>
      <c r="L194" s="22" t="n">
        <v>0</v>
      </c>
      <c r="M194" s="22" t="n">
        <v>0</v>
      </c>
      <c r="N194" s="22" t="n">
        <v>0</v>
      </c>
      <c r="O194" s="22" t="n">
        <v>0</v>
      </c>
      <c r="P194" s="22" t="n">
        <v>0</v>
      </c>
      <c r="Q194" s="22" t="n">
        <v>0</v>
      </c>
      <c r="R194" s="22" t="n">
        <v>0</v>
      </c>
      <c r="S194" s="22" t="n">
        <v>0</v>
      </c>
      <c r="T194" s="22" t="n">
        <v>0</v>
      </c>
      <c r="U194" s="22" t="n">
        <v>0</v>
      </c>
      <c r="V194" s="22" t="n">
        <v>0</v>
      </c>
      <c r="W194" s="22" t="n">
        <v>0</v>
      </c>
      <c r="X194" s="22" t="n">
        <v>21</v>
      </c>
      <c r="Y194" s="22" t="n">
        <v>21</v>
      </c>
      <c r="Z194" s="22" t="n">
        <v>30</v>
      </c>
      <c r="AA194" s="22" t="n">
        <v>17</v>
      </c>
      <c r="AB194" s="22" t="n">
        <v>22</v>
      </c>
      <c r="AC194" s="22" t="n">
        <v>25</v>
      </c>
      <c r="AD194" s="22" t="n">
        <v>28</v>
      </c>
      <c r="AE194" s="14" t="str">
        <v>2</v>
      </c>
      <c r="AF194" s="14" t="str">
        <v>TPARE</v>
      </c>
      <c r="AG194" s="14" t="str">
        <v>TPARE20211</v>
      </c>
      <c r="AH194" s="14" t="str">
        <v>REGULAR</v>
      </c>
      <c r="AI194" s="14" t="str">
        <v>C</v>
      </c>
      <c r="AJ194" s="22" t="n">
        <v>21</v>
      </c>
      <c r="AK194" s="22" t="n">
        <v>15</v>
      </c>
      <c r="AL194" s="22" t="n">
        <v>10</v>
      </c>
      <c r="AM194" s="22" t="n">
        <v>0</v>
      </c>
      <c r="AN194" s="22" t="n">
        <v>0</v>
      </c>
      <c r="AO194" s="14" t="str">
        <v>CRUCE_PERSONA_MU_2022_2026</v>
      </c>
      <c r="AP194" s="14" t="str">
        <v>UNIDO</v>
      </c>
      <c r="AQ194" s="14" t="str">
        <v>UNIDO</v>
      </c>
      <c r="AR194" s="14" t="str">
        <v>B/C</v>
      </c>
      <c r="AS194" s="14" t="str">
        <v>MATRIZ / PUBLICA</v>
      </c>
      <c r="AT194" s="14" t="str">
        <v>ANUAL</v>
      </c>
      <c r="AU194" s="14" t="n">
        <v>5</v>
      </c>
      <c r="AV194" s="14" t="n">
        <v>5</v>
      </c>
      <c r="AW194" s="14" t="str">
        <v>UNA_VERSION_OBSERVADA</v>
      </c>
      <c r="AX194" s="14" t="n">
        <v>2026</v>
      </c>
      <c r="AY194" s="14" t="str">
        <v>PUBLICA; última matrícula</v>
      </c>
    </row>
    <row r="195" ht="27" customHeight="1">
      <c r="A195" s="15" t="str">
        <v>I162S2C57J1V1</v>
      </c>
      <c r="B195" s="15" t="str">
        <v>TECNICO EN PROGRAMACION Y ANALISIS DE SISTEMAS</v>
      </c>
      <c r="C195" s="15" t="str">
        <v>2</v>
      </c>
      <c r="D195" s="15" t="str">
        <v>1</v>
      </c>
      <c r="E195" s="15" t="str">
        <v>1</v>
      </c>
      <c r="F195" s="15" t="str">
        <v>Presencial</v>
      </c>
      <c r="G195" s="15" t="str">
        <v>Pregrado</v>
      </c>
      <c r="H195" s="15" t="str">
        <v>Plan Regular</v>
      </c>
      <c r="I195" s="23" t="n">
        <v>2020</v>
      </c>
      <c r="J195" s="23" t="n">
        <v>2026</v>
      </c>
      <c r="K195" s="24" t="n">
        <v>0</v>
      </c>
      <c r="L195" s="24" t="n">
        <v>0</v>
      </c>
      <c r="M195" s="24" t="n">
        <v>0</v>
      </c>
      <c r="N195" s="24" t="n">
        <v>0</v>
      </c>
      <c r="O195" s="24" t="n">
        <v>0</v>
      </c>
      <c r="P195" s="24" t="n">
        <v>0</v>
      </c>
      <c r="Q195" s="24" t="n">
        <v>0</v>
      </c>
      <c r="R195" s="24" t="n">
        <v>0</v>
      </c>
      <c r="S195" s="24" t="n">
        <v>0</v>
      </c>
      <c r="T195" s="24" t="n">
        <v>0</v>
      </c>
      <c r="U195" s="24" t="n">
        <v>0</v>
      </c>
      <c r="V195" s="24" t="n">
        <v>0</v>
      </c>
      <c r="W195" s="24" t="n">
        <v>0</v>
      </c>
      <c r="X195" s="24" t="n">
        <v>21</v>
      </c>
      <c r="Y195" s="24" t="n">
        <v>21</v>
      </c>
      <c r="Z195" s="24" t="n">
        <v>30</v>
      </c>
      <c r="AA195" s="24" t="n">
        <v>17</v>
      </c>
      <c r="AB195" s="24" t="n">
        <v>22</v>
      </c>
      <c r="AC195" s="24" t="n">
        <v>25</v>
      </c>
      <c r="AD195" s="24" t="n">
        <v>28</v>
      </c>
      <c r="AE195" s="15" t="str">
        <v>2</v>
      </c>
      <c r="AF195" s="15" t="str">
        <v>TPAS</v>
      </c>
      <c r="AG195" s="15" t="str">
        <v>TPAS20241</v>
      </c>
      <c r="AH195" s="15" t="str">
        <v>REGULAR</v>
      </c>
      <c r="AI195" s="15" t="str">
        <v>C</v>
      </c>
      <c r="AJ195" s="24" t="n">
        <v>0</v>
      </c>
      <c r="AK195" s="24" t="n">
        <v>0</v>
      </c>
      <c r="AL195" s="24" t="n">
        <v>6</v>
      </c>
      <c r="AM195" s="24" t="n">
        <v>20</v>
      </c>
      <c r="AN195" s="24" t="n">
        <v>21</v>
      </c>
      <c r="AO195" s="15" t="str">
        <v>CRUCE_PERSONA_MU_2022_2026</v>
      </c>
      <c r="AP195" s="15" t="str">
        <v>UNIDO</v>
      </c>
      <c r="AQ195" s="15" t="str">
        <v>UNIDO</v>
      </c>
      <c r="AR195" s="15" t="str">
        <v>B/C</v>
      </c>
      <c r="AS195" s="15" t="str">
        <v>MATRIZ / PUBLICA</v>
      </c>
      <c r="AT195" s="15" t="str">
        <v>ANUAL</v>
      </c>
      <c r="AU195" s="15" t="n">
        <v>5</v>
      </c>
      <c r="AV195" s="15" t="n">
        <v>5</v>
      </c>
      <c r="AW195" s="15" t="str">
        <v>UNA_VERSION_OBSERVADA</v>
      </c>
      <c r="AX195" s="15" t="n">
        <v>2026</v>
      </c>
      <c r="AY195" s="15" t="str">
        <v>PUBLICA; última matrícula</v>
      </c>
    </row>
    <row r="196" ht="27" customHeight="1">
      <c r="A196" s="14" t="str">
        <v>I162S2C57J2V1</v>
      </c>
      <c r="B196" s="14" t="str">
        <v>TECNICO EN PROGRAMACION Y ANALISIS DE SISTEMAS</v>
      </c>
      <c r="C196" s="14" t="str">
        <v>2</v>
      </c>
      <c r="D196" s="14" t="str">
        <v>2</v>
      </c>
      <c r="E196" s="14" t="str">
        <v>1</v>
      </c>
      <c r="F196" s="14" t="str">
        <v>Presencial</v>
      </c>
      <c r="G196" s="14" t="str">
        <v>Pregrado</v>
      </c>
      <c r="H196" s="14" t="str">
        <v>Plan Regular</v>
      </c>
      <c r="I196" s="21" t="n">
        <v>2020</v>
      </c>
      <c r="J196" s="21" t="n">
        <v>2026</v>
      </c>
      <c r="K196" s="22" t="n">
        <v>0</v>
      </c>
      <c r="L196" s="22" t="n">
        <v>0</v>
      </c>
      <c r="M196" s="22" t="n">
        <v>0</v>
      </c>
      <c r="N196" s="22" t="n">
        <v>0</v>
      </c>
      <c r="O196" s="22" t="n">
        <v>0</v>
      </c>
      <c r="P196" s="22" t="n">
        <v>0</v>
      </c>
      <c r="Q196" s="22" t="n">
        <v>0</v>
      </c>
      <c r="R196" s="22" t="n">
        <v>0</v>
      </c>
      <c r="S196" s="22" t="n">
        <v>0</v>
      </c>
      <c r="T196" s="22" t="n">
        <v>0</v>
      </c>
      <c r="U196" s="22" t="n">
        <v>0</v>
      </c>
      <c r="V196" s="22" t="n">
        <v>0</v>
      </c>
      <c r="W196" s="22" t="n">
        <v>0</v>
      </c>
      <c r="X196" s="22" t="n">
        <v>29</v>
      </c>
      <c r="Y196" s="22" t="n">
        <v>49</v>
      </c>
      <c r="Z196" s="22" t="n">
        <v>44</v>
      </c>
      <c r="AA196" s="22" t="n">
        <v>17</v>
      </c>
      <c r="AB196" s="22" t="n">
        <v>24</v>
      </c>
      <c r="AC196" s="22" t="n">
        <v>25</v>
      </c>
      <c r="AD196" s="22" t="n">
        <v>25</v>
      </c>
      <c r="AE196" s="14" t="str">
        <v>2</v>
      </c>
      <c r="AF196" s="14" t="str">
        <v>TPAS</v>
      </c>
      <c r="AG196" s="14" t="str">
        <v>PLAN_NO_OBSERVADO</v>
      </c>
      <c r="AH196" s="14" t="str">
        <v>E</v>
      </c>
      <c r="AI196" s="14" t="str">
        <v>E</v>
      </c>
      <c r="AJ196" s="22" t="n">
        <v>0</v>
      </c>
      <c r="AK196" s="22" t="n">
        <v>0</v>
      </c>
      <c r="AL196" s="22" t="n">
        <v>0</v>
      </c>
      <c r="AM196" s="22" t="n">
        <v>1</v>
      </c>
      <c r="AN196" s="22" t="n">
        <v>1</v>
      </c>
      <c r="AO196" s="14" t="str">
        <v>CRUCE_PERSONA_MU_2022_2026</v>
      </c>
      <c r="AP196" s="14" t="str">
        <v>PENDIENTE</v>
      </c>
      <c r="AQ196" s="14" t="str">
        <v>PLAN_NO_OBSERVADO</v>
      </c>
      <c r="AR196" s="14" t="str">
        <v>E</v>
      </c>
      <c r="AS196" s="14" t="str">
        <v>MATRIZ / PUBLICA</v>
      </c>
      <c r="AT196" s="14" t="str">
        <v>SIN_ACTIVIDAD_ANUAL; ENLACE_EXPEDIENTE_CONSERVADO</v>
      </c>
      <c r="AU196" s="14" t="n">
        <v>5</v>
      </c>
      <c r="AV196" s="14" t="n">
        <v>5</v>
      </c>
      <c r="AW196" s="14" t="str">
        <v>UNA_VERSION_OBSERVADA</v>
      </c>
      <c r="AX196" s="14" t="n">
        <v>2026</v>
      </c>
      <c r="AY196" s="14" t="str">
        <v>PUBLICA; última matrícula</v>
      </c>
    </row>
    <row r="197" ht="27" customHeight="1">
      <c r="A197" s="15" t="str">
        <v>I162S2C57J2V1</v>
      </c>
      <c r="B197" s="15" t="str">
        <v>TECNICO EN PROGRAMACION Y ANALISIS DE SISTEMAS</v>
      </c>
      <c r="C197" s="15" t="str">
        <v>2</v>
      </c>
      <c r="D197" s="15" t="str">
        <v>2</v>
      </c>
      <c r="E197" s="15" t="str">
        <v>1</v>
      </c>
      <c r="F197" s="15" t="str">
        <v>Presencial</v>
      </c>
      <c r="G197" s="15" t="str">
        <v>Pregrado</v>
      </c>
      <c r="H197" s="15" t="str">
        <v>Plan Regular</v>
      </c>
      <c r="I197" s="23" t="n">
        <v>2020</v>
      </c>
      <c r="J197" s="23" t="n">
        <v>2026</v>
      </c>
      <c r="K197" s="24" t="n">
        <v>0</v>
      </c>
      <c r="L197" s="24" t="n">
        <v>0</v>
      </c>
      <c r="M197" s="24" t="n">
        <v>0</v>
      </c>
      <c r="N197" s="24" t="n">
        <v>0</v>
      </c>
      <c r="O197" s="24" t="n">
        <v>0</v>
      </c>
      <c r="P197" s="24" t="n">
        <v>0</v>
      </c>
      <c r="Q197" s="24" t="n">
        <v>0</v>
      </c>
      <c r="R197" s="24" t="n">
        <v>0</v>
      </c>
      <c r="S197" s="24" t="n">
        <v>0</v>
      </c>
      <c r="T197" s="24" t="n">
        <v>0</v>
      </c>
      <c r="U197" s="24" t="n">
        <v>0</v>
      </c>
      <c r="V197" s="24" t="n">
        <v>0</v>
      </c>
      <c r="W197" s="24" t="n">
        <v>0</v>
      </c>
      <c r="X197" s="24" t="n">
        <v>29</v>
      </c>
      <c r="Y197" s="24" t="n">
        <v>49</v>
      </c>
      <c r="Z197" s="24" t="n">
        <v>44</v>
      </c>
      <c r="AA197" s="24" t="n">
        <v>17</v>
      </c>
      <c r="AB197" s="24" t="n">
        <v>24</v>
      </c>
      <c r="AC197" s="24" t="n">
        <v>25</v>
      </c>
      <c r="AD197" s="24" t="n">
        <v>25</v>
      </c>
      <c r="AE197" s="15" t="str">
        <v>2</v>
      </c>
      <c r="AF197" s="15" t="str">
        <v>TPARE</v>
      </c>
      <c r="AG197" s="15" t="str">
        <v>TPARE2020</v>
      </c>
      <c r="AH197" s="15" t="str">
        <v>REGULAR</v>
      </c>
      <c r="AI197" s="15" t="str">
        <v>C</v>
      </c>
      <c r="AJ197" s="24" t="n">
        <v>14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15" t="str">
        <v>CRUCE_PERSONA_MU_2022_2026</v>
      </c>
      <c r="AP197" s="15" t="str">
        <v>UNIDO</v>
      </c>
      <c r="AQ197" s="15" t="str">
        <v>UNIDO</v>
      </c>
      <c r="AR197" s="15" t="str">
        <v>B/C</v>
      </c>
      <c r="AS197" s="15" t="str">
        <v>MATRIZ / PUBLICA</v>
      </c>
      <c r="AT197" s="15" t="str">
        <v>ANUAL</v>
      </c>
      <c r="AU197" s="15" t="n">
        <v>5</v>
      </c>
      <c r="AV197" s="15" t="n">
        <v>5</v>
      </c>
      <c r="AW197" s="15" t="str">
        <v>UNA_VERSION_OBSERVADA</v>
      </c>
      <c r="AX197" s="15" t="n">
        <v>2026</v>
      </c>
      <c r="AY197" s="15" t="str">
        <v>PUBLICA; última matrícula</v>
      </c>
    </row>
    <row r="198" ht="27" customHeight="1">
      <c r="A198" s="14" t="str">
        <v>I162S2C57J2V1</v>
      </c>
      <c r="B198" s="14" t="str">
        <v>TECNICO EN PROGRAMACION Y ANALISIS DE SISTEMAS</v>
      </c>
      <c r="C198" s="14" t="str">
        <v>2</v>
      </c>
      <c r="D198" s="14" t="str">
        <v>2</v>
      </c>
      <c r="E198" s="14" t="str">
        <v>1</v>
      </c>
      <c r="F198" s="14" t="str">
        <v>Presencial</v>
      </c>
      <c r="G198" s="14" t="str">
        <v>Pregrado</v>
      </c>
      <c r="H198" s="14" t="str">
        <v>Plan Regular</v>
      </c>
      <c r="I198" s="21" t="n">
        <v>2020</v>
      </c>
      <c r="J198" s="21" t="n">
        <v>2026</v>
      </c>
      <c r="K198" s="22" t="n">
        <v>0</v>
      </c>
      <c r="L198" s="22" t="n">
        <v>0</v>
      </c>
      <c r="M198" s="22" t="n">
        <v>0</v>
      </c>
      <c r="N198" s="22" t="n">
        <v>0</v>
      </c>
      <c r="O198" s="22" t="n">
        <v>0</v>
      </c>
      <c r="P198" s="22" t="n">
        <v>0</v>
      </c>
      <c r="Q198" s="22" t="n">
        <v>0</v>
      </c>
      <c r="R198" s="22" t="n">
        <v>0</v>
      </c>
      <c r="S198" s="22" t="n">
        <v>0</v>
      </c>
      <c r="T198" s="22" t="n">
        <v>0</v>
      </c>
      <c r="U198" s="22" t="n">
        <v>0</v>
      </c>
      <c r="V198" s="22" t="n">
        <v>0</v>
      </c>
      <c r="W198" s="22" t="n">
        <v>0</v>
      </c>
      <c r="X198" s="22" t="n">
        <v>29</v>
      </c>
      <c r="Y198" s="22" t="n">
        <v>49</v>
      </c>
      <c r="Z198" s="22" t="n">
        <v>44</v>
      </c>
      <c r="AA198" s="22" t="n">
        <v>17</v>
      </c>
      <c r="AB198" s="22" t="n">
        <v>24</v>
      </c>
      <c r="AC198" s="22" t="n">
        <v>25</v>
      </c>
      <c r="AD198" s="22" t="n">
        <v>25</v>
      </c>
      <c r="AE198" s="14" t="str">
        <v>2</v>
      </c>
      <c r="AF198" s="14" t="str">
        <v>TPARE</v>
      </c>
      <c r="AG198" s="14" t="str">
        <v>TPARE20211</v>
      </c>
      <c r="AH198" s="14" t="str">
        <v>REGULAR</v>
      </c>
      <c r="AI198" s="14" t="str">
        <v>C</v>
      </c>
      <c r="AJ198" s="22" t="n">
        <v>30</v>
      </c>
      <c r="AK198" s="22" t="n">
        <v>17</v>
      </c>
      <c r="AL198" s="22" t="n">
        <v>6</v>
      </c>
      <c r="AM198" s="22" t="n">
        <v>1</v>
      </c>
      <c r="AN198" s="22" t="n">
        <v>0</v>
      </c>
      <c r="AO198" s="14" t="str">
        <v>CRUCE_PERSONA_MU_2022_2026</v>
      </c>
      <c r="AP198" s="14" t="str">
        <v>UNIDO</v>
      </c>
      <c r="AQ198" s="14" t="str">
        <v>UNIDO</v>
      </c>
      <c r="AR198" s="14" t="str">
        <v>B/C</v>
      </c>
      <c r="AS198" s="14" t="str">
        <v>MATRIZ / PUBLICA</v>
      </c>
      <c r="AT198" s="14" t="str">
        <v>ANUAL</v>
      </c>
      <c r="AU198" s="14" t="n">
        <v>5</v>
      </c>
      <c r="AV198" s="14" t="n">
        <v>5</v>
      </c>
      <c r="AW198" s="14" t="str">
        <v>UNA_VERSION_OBSERVADA</v>
      </c>
      <c r="AX198" s="14" t="n">
        <v>2026</v>
      </c>
      <c r="AY198" s="14" t="str">
        <v>PUBLICA; última matrícula</v>
      </c>
    </row>
    <row r="199" ht="27" customHeight="1">
      <c r="A199" s="15" t="str">
        <v>I162S2C57J2V1</v>
      </c>
      <c r="B199" s="15" t="str">
        <v>TECNICO EN PROGRAMACION Y ANALISIS DE SISTEMAS</v>
      </c>
      <c r="C199" s="15" t="str">
        <v>2</v>
      </c>
      <c r="D199" s="15" t="str">
        <v>2</v>
      </c>
      <c r="E199" s="15" t="str">
        <v>1</v>
      </c>
      <c r="F199" s="15" t="str">
        <v>Presencial</v>
      </c>
      <c r="G199" s="15" t="str">
        <v>Pregrado</v>
      </c>
      <c r="H199" s="15" t="str">
        <v>Plan Regular</v>
      </c>
      <c r="I199" s="23" t="n">
        <v>2020</v>
      </c>
      <c r="J199" s="23" t="n">
        <v>2026</v>
      </c>
      <c r="K199" s="24" t="n">
        <v>0</v>
      </c>
      <c r="L199" s="24" t="n">
        <v>0</v>
      </c>
      <c r="M199" s="24" t="n">
        <v>0</v>
      </c>
      <c r="N199" s="24" t="n">
        <v>0</v>
      </c>
      <c r="O199" s="24" t="n">
        <v>0</v>
      </c>
      <c r="P199" s="24" t="n">
        <v>0</v>
      </c>
      <c r="Q199" s="24" t="n">
        <v>0</v>
      </c>
      <c r="R199" s="24" t="n">
        <v>0</v>
      </c>
      <c r="S199" s="24" t="n">
        <v>0</v>
      </c>
      <c r="T199" s="24" t="n">
        <v>0</v>
      </c>
      <c r="U199" s="24" t="n">
        <v>0</v>
      </c>
      <c r="V199" s="24" t="n">
        <v>0</v>
      </c>
      <c r="W199" s="24" t="n">
        <v>0</v>
      </c>
      <c r="X199" s="24" t="n">
        <v>29</v>
      </c>
      <c r="Y199" s="24" t="n">
        <v>49</v>
      </c>
      <c r="Z199" s="24" t="n">
        <v>44</v>
      </c>
      <c r="AA199" s="24" t="n">
        <v>17</v>
      </c>
      <c r="AB199" s="24" t="n">
        <v>24</v>
      </c>
      <c r="AC199" s="24" t="n">
        <v>25</v>
      </c>
      <c r="AD199" s="24" t="n">
        <v>25</v>
      </c>
      <c r="AE199" s="15" t="str">
        <v>2</v>
      </c>
      <c r="AF199" s="15" t="str">
        <v>TPAS</v>
      </c>
      <c r="AG199" s="15" t="str">
        <v>TPAS20241</v>
      </c>
      <c r="AH199" s="15" t="str">
        <v>REGULAR</v>
      </c>
      <c r="AI199" s="15" t="str">
        <v>C</v>
      </c>
      <c r="AJ199" s="24" t="n">
        <v>0</v>
      </c>
      <c r="AK199" s="24" t="n">
        <v>0</v>
      </c>
      <c r="AL199" s="24" t="n">
        <v>14</v>
      </c>
      <c r="AM199" s="24" t="n">
        <v>20</v>
      </c>
      <c r="AN199" s="24" t="n">
        <v>21</v>
      </c>
      <c r="AO199" s="15" t="str">
        <v>CRUCE_PERSONA_MU_2022_2026</v>
      </c>
      <c r="AP199" s="15" t="str">
        <v>UNIDO</v>
      </c>
      <c r="AQ199" s="15" t="str">
        <v>UNIDO</v>
      </c>
      <c r="AR199" s="15" t="str">
        <v>B/C</v>
      </c>
      <c r="AS199" s="15" t="str">
        <v>MATRIZ / PUBLICA</v>
      </c>
      <c r="AT199" s="15" t="str">
        <v>ANUAL</v>
      </c>
      <c r="AU199" s="15" t="n">
        <v>5</v>
      </c>
      <c r="AV199" s="15" t="n">
        <v>5</v>
      </c>
      <c r="AW199" s="15" t="str">
        <v>UNA_VERSION_OBSERVADA</v>
      </c>
      <c r="AX199" s="15" t="n">
        <v>2026</v>
      </c>
      <c r="AY199" s="15" t="str">
        <v>PUBLICA; última matrícula</v>
      </c>
    </row>
    <row r="200" ht="27" customHeight="1">
      <c r="A200" s="14" t="str">
        <v>I162S2C57J4V1</v>
      </c>
      <c r="B200" s="14" t="str">
        <v>TECNICO EN PROGRAMACION Y ANALISIS DE SISTEMAS</v>
      </c>
      <c r="C200" s="14" t="str">
        <v>2</v>
      </c>
      <c r="D200" s="14" t="str">
        <v>4</v>
      </c>
      <c r="E200" s="14" t="str">
        <v>1</v>
      </c>
      <c r="F200" s="14" t="str">
        <v>No presencial</v>
      </c>
      <c r="G200" s="14" t="str">
        <v>Pregrado</v>
      </c>
      <c r="H200" s="14" t="str">
        <v>Plan Regular</v>
      </c>
      <c r="I200" s="21" t="n">
        <v>2020</v>
      </c>
      <c r="J200" s="21" t="n">
        <v>2026</v>
      </c>
      <c r="K200" s="22" t="n">
        <v>0</v>
      </c>
      <c r="L200" s="22" t="n">
        <v>0</v>
      </c>
      <c r="M200" s="22" t="n">
        <v>0</v>
      </c>
      <c r="N200" s="22" t="n">
        <v>0</v>
      </c>
      <c r="O200" s="22" t="n">
        <v>0</v>
      </c>
      <c r="P200" s="22" t="n">
        <v>0</v>
      </c>
      <c r="Q200" s="22" t="n">
        <v>0</v>
      </c>
      <c r="R200" s="22" t="n">
        <v>0</v>
      </c>
      <c r="S200" s="22" t="n">
        <v>0</v>
      </c>
      <c r="T200" s="22" t="n">
        <v>0</v>
      </c>
      <c r="U200" s="22" t="n">
        <v>0</v>
      </c>
      <c r="V200" s="22" t="n">
        <v>0</v>
      </c>
      <c r="W200" s="22" t="n">
        <v>0</v>
      </c>
      <c r="X200" s="22" t="n">
        <v>27</v>
      </c>
      <c r="Y200" s="22" t="n">
        <v>124</v>
      </c>
      <c r="Z200" s="22" t="n">
        <v>169</v>
      </c>
      <c r="AA200" s="22" t="n">
        <v>252</v>
      </c>
      <c r="AB200" s="22" t="n">
        <v>275</v>
      </c>
      <c r="AC200" s="22" t="n">
        <v>306</v>
      </c>
      <c r="AD200" s="22" t="n">
        <v>257</v>
      </c>
      <c r="AE200" s="14" t="str">
        <v>1</v>
      </c>
      <c r="AF200" s="14" t="str">
        <v>TPAREOL / TPAS</v>
      </c>
      <c r="AG200" s="14" t="str">
        <v>PLAN_NO_OBSERVADO</v>
      </c>
      <c r="AH200" s="14" t="str">
        <v>E</v>
      </c>
      <c r="AI200" s="14" t="str">
        <v>E</v>
      </c>
      <c r="AJ200" s="22" t="n">
        <v>3</v>
      </c>
      <c r="AK200" s="22" t="n">
        <v>0</v>
      </c>
      <c r="AL200" s="22" t="n">
        <v>15</v>
      </c>
      <c r="AM200" s="22" t="n">
        <v>25</v>
      </c>
      <c r="AN200" s="22" t="n">
        <v>17</v>
      </c>
      <c r="AO200" s="14" t="str">
        <v>CRUCE_PERSONA_MU_2022_2026</v>
      </c>
      <c r="AP200" s="14" t="str">
        <v>PENDIENTE</v>
      </c>
      <c r="AQ200" s="14" t="str">
        <v>PLAN_NO_OBSERVADO</v>
      </c>
      <c r="AR200" s="14" t="str">
        <v>E</v>
      </c>
      <c r="AS200" s="14" t="str">
        <v>MATRIZ / PUBLICA</v>
      </c>
      <c r="AT200" s="14" t="str">
        <v>SIN_ACTIVIDAD_ANUAL; ENLACE_EXPEDIENTE_CONSERVADO</v>
      </c>
      <c r="AU200" s="14" t="n">
        <v>5</v>
      </c>
      <c r="AV200" s="14" t="n">
        <v>5</v>
      </c>
      <c r="AW200" s="14" t="str">
        <v>UNA_VERSION_OBSERVADA</v>
      </c>
      <c r="AX200" s="14" t="n">
        <v>2026</v>
      </c>
      <c r="AY200" s="14" t="str">
        <v>PUBLICA; última matrícula</v>
      </c>
    </row>
    <row r="201" ht="36" customHeight="1">
      <c r="A201" s="15" t="str">
        <v>I162S2C57J4V1</v>
      </c>
      <c r="B201" s="15" t="str">
        <v>TECNICO EN PROGRAMACION Y ANALISIS DE SISTEMAS</v>
      </c>
      <c r="C201" s="15" t="str">
        <v>2</v>
      </c>
      <c r="D201" s="15" t="str">
        <v>4</v>
      </c>
      <c r="E201" s="15" t="str">
        <v>1</v>
      </c>
      <c r="F201" s="15" t="str">
        <v>No presencial</v>
      </c>
      <c r="G201" s="15" t="str">
        <v>Pregrado</v>
      </c>
      <c r="H201" s="15" t="str">
        <v>Plan Regular</v>
      </c>
      <c r="I201" s="23" t="n">
        <v>2020</v>
      </c>
      <c r="J201" s="23" t="n">
        <v>2026</v>
      </c>
      <c r="K201" s="24" t="n">
        <v>0</v>
      </c>
      <c r="L201" s="24" t="n">
        <v>0</v>
      </c>
      <c r="M201" s="24" t="n">
        <v>0</v>
      </c>
      <c r="N201" s="24" t="n">
        <v>0</v>
      </c>
      <c r="O201" s="24" t="n">
        <v>0</v>
      </c>
      <c r="P201" s="24" t="n">
        <v>0</v>
      </c>
      <c r="Q201" s="24" t="n">
        <v>0</v>
      </c>
      <c r="R201" s="24" t="n">
        <v>0</v>
      </c>
      <c r="S201" s="24" t="n">
        <v>0</v>
      </c>
      <c r="T201" s="24" t="n">
        <v>0</v>
      </c>
      <c r="U201" s="24" t="n">
        <v>0</v>
      </c>
      <c r="V201" s="24" t="n">
        <v>0</v>
      </c>
      <c r="W201" s="24" t="n">
        <v>0</v>
      </c>
      <c r="X201" s="24" t="n">
        <v>27</v>
      </c>
      <c r="Y201" s="24" t="n">
        <v>124</v>
      </c>
      <c r="Z201" s="24" t="n">
        <v>169</v>
      </c>
      <c r="AA201" s="24" t="n">
        <v>252</v>
      </c>
      <c r="AB201" s="24" t="n">
        <v>275</v>
      </c>
      <c r="AC201" s="24" t="n">
        <v>306</v>
      </c>
      <c r="AD201" s="24" t="n">
        <v>257</v>
      </c>
      <c r="AE201" s="15" t="str">
        <v>1</v>
      </c>
      <c r="AF201" s="15" t="str">
        <v>TPAREOL</v>
      </c>
      <c r="AG201" s="15" t="str">
        <v>TPAREOL2020</v>
      </c>
      <c r="AH201" s="15" t="str">
        <v>REGULAR</v>
      </c>
      <c r="AI201" s="15" t="str">
        <v>C</v>
      </c>
      <c r="AJ201" s="24" t="n">
        <v>25</v>
      </c>
      <c r="AK201" s="24" t="n">
        <v>9</v>
      </c>
      <c r="AL201" s="24" t="n">
        <v>1</v>
      </c>
      <c r="AM201" s="24" t="n">
        <v>0</v>
      </c>
      <c r="AN201" s="24" t="n">
        <v>0</v>
      </c>
      <c r="AO201" s="15" t="str">
        <v>CRUCE_PERSONA_MU_2022_2026 / REGLA_MU_2027</v>
      </c>
      <c r="AP201" s="15" t="str">
        <v>UNIDO</v>
      </c>
      <c r="AQ201" s="15" t="str">
        <v>UNIDO</v>
      </c>
      <c r="AR201" s="15" t="str">
        <v>B/C</v>
      </c>
      <c r="AS201" s="15" t="str">
        <v>H002 / MATRIZ / PUBLICA</v>
      </c>
      <c r="AT201" s="15" t="str">
        <v>ANUAL / Catálogo 2027; no atribución retroactiva ni acreditación de cohorte/malla</v>
      </c>
      <c r="AU201" s="15" t="n">
        <v>5</v>
      </c>
      <c r="AV201" s="15" t="n">
        <v>5</v>
      </c>
      <c r="AW201" s="15" t="str">
        <v>UNA_VERSION_OBSERVADA</v>
      </c>
      <c r="AX201" s="15" t="n">
        <v>2026</v>
      </c>
      <c r="AY201" s="15" t="str">
        <v>PUBLICA; última matrícula</v>
      </c>
    </row>
    <row r="202" ht="36" customHeight="1">
      <c r="A202" s="14" t="str">
        <v>I162S2C57J4V1</v>
      </c>
      <c r="B202" s="14" t="str">
        <v>TECNICO EN PROGRAMACION Y ANALISIS DE SISTEMAS</v>
      </c>
      <c r="C202" s="14" t="str">
        <v>2</v>
      </c>
      <c r="D202" s="14" t="str">
        <v>4</v>
      </c>
      <c r="E202" s="14" t="str">
        <v>1</v>
      </c>
      <c r="F202" s="14" t="str">
        <v>No presencial</v>
      </c>
      <c r="G202" s="14" t="str">
        <v>Pregrado</v>
      </c>
      <c r="H202" s="14" t="str">
        <v>Plan Regular</v>
      </c>
      <c r="I202" s="21" t="n">
        <v>2020</v>
      </c>
      <c r="J202" s="21" t="n">
        <v>2026</v>
      </c>
      <c r="K202" s="22" t="n">
        <v>0</v>
      </c>
      <c r="L202" s="22" t="n">
        <v>0</v>
      </c>
      <c r="M202" s="22" t="n">
        <v>0</v>
      </c>
      <c r="N202" s="22" t="n">
        <v>0</v>
      </c>
      <c r="O202" s="22" t="n">
        <v>0</v>
      </c>
      <c r="P202" s="22" t="n">
        <v>0</v>
      </c>
      <c r="Q202" s="22" t="n">
        <v>0</v>
      </c>
      <c r="R202" s="22" t="n">
        <v>0</v>
      </c>
      <c r="S202" s="22" t="n">
        <v>0</v>
      </c>
      <c r="T202" s="22" t="n">
        <v>0</v>
      </c>
      <c r="U202" s="22" t="n">
        <v>0</v>
      </c>
      <c r="V202" s="22" t="n">
        <v>0</v>
      </c>
      <c r="W202" s="22" t="n">
        <v>0</v>
      </c>
      <c r="X202" s="22" t="n">
        <v>27</v>
      </c>
      <c r="Y202" s="22" t="n">
        <v>124</v>
      </c>
      <c r="Z202" s="22" t="n">
        <v>169</v>
      </c>
      <c r="AA202" s="22" t="n">
        <v>252</v>
      </c>
      <c r="AB202" s="22" t="n">
        <v>275</v>
      </c>
      <c r="AC202" s="22" t="n">
        <v>306</v>
      </c>
      <c r="AD202" s="22" t="n">
        <v>257</v>
      </c>
      <c r="AE202" s="14" t="str">
        <v>1</v>
      </c>
      <c r="AF202" s="14" t="str">
        <v>TPAREOL</v>
      </c>
      <c r="AG202" s="14" t="str">
        <v>TPAREOL20211</v>
      </c>
      <c r="AH202" s="14" t="str">
        <v>REGULAR</v>
      </c>
      <c r="AI202" s="14" t="str">
        <v>C</v>
      </c>
      <c r="AJ202" s="22" t="n">
        <v>141</v>
      </c>
      <c r="AK202" s="22" t="n">
        <v>128</v>
      </c>
      <c r="AL202" s="22" t="n">
        <v>46</v>
      </c>
      <c r="AM202" s="22" t="n">
        <v>0</v>
      </c>
      <c r="AN202" s="22" t="n">
        <v>0</v>
      </c>
      <c r="AO202" s="14" t="str">
        <v>CRUCE_PERSONA_MU_2022_2026 / REGLA_MU_2027</v>
      </c>
      <c r="AP202" s="14" t="str">
        <v>UNIDO</v>
      </c>
      <c r="AQ202" s="14" t="str">
        <v>UNIDO</v>
      </c>
      <c r="AR202" s="14" t="str">
        <v>B/C</v>
      </c>
      <c r="AS202" s="14" t="str">
        <v>H002 / MATRIZ / PUBLICA</v>
      </c>
      <c r="AT202" s="14" t="str">
        <v>ANUAL / Catálogo 2027; no atribución retroactiva ni acreditación de cohorte/malla</v>
      </c>
      <c r="AU202" s="14" t="n">
        <v>5</v>
      </c>
      <c r="AV202" s="14" t="n">
        <v>5</v>
      </c>
      <c r="AW202" s="14" t="str">
        <v>UNA_VERSION_OBSERVADA</v>
      </c>
      <c r="AX202" s="14" t="n">
        <v>2026</v>
      </c>
      <c r="AY202" s="14" t="str">
        <v>PUBLICA; última matrícula</v>
      </c>
    </row>
    <row r="203" ht="36" customHeight="1">
      <c r="A203" s="15" t="str">
        <v>I162S2C57J4V1</v>
      </c>
      <c r="B203" s="15" t="str">
        <v>TECNICO EN PROGRAMACION Y ANALISIS DE SISTEMAS</v>
      </c>
      <c r="C203" s="15" t="str">
        <v>2</v>
      </c>
      <c r="D203" s="15" t="str">
        <v>4</v>
      </c>
      <c r="E203" s="15" t="str">
        <v>1</v>
      </c>
      <c r="F203" s="15" t="str">
        <v>No presencial</v>
      </c>
      <c r="G203" s="15" t="str">
        <v>Pregrado</v>
      </c>
      <c r="H203" s="15" t="str">
        <v>Plan Regular</v>
      </c>
      <c r="I203" s="23" t="n">
        <v>2020</v>
      </c>
      <c r="J203" s="23" t="n">
        <v>2026</v>
      </c>
      <c r="K203" s="24" t="n">
        <v>0</v>
      </c>
      <c r="L203" s="24" t="n">
        <v>0</v>
      </c>
      <c r="M203" s="24" t="n">
        <v>0</v>
      </c>
      <c r="N203" s="24" t="n">
        <v>0</v>
      </c>
      <c r="O203" s="24" t="n">
        <v>0</v>
      </c>
      <c r="P203" s="24" t="n">
        <v>0</v>
      </c>
      <c r="Q203" s="24" t="n">
        <v>0</v>
      </c>
      <c r="R203" s="24" t="n">
        <v>0</v>
      </c>
      <c r="S203" s="24" t="n">
        <v>0</v>
      </c>
      <c r="T203" s="24" t="n">
        <v>0</v>
      </c>
      <c r="U203" s="24" t="n">
        <v>0</v>
      </c>
      <c r="V203" s="24" t="n">
        <v>0</v>
      </c>
      <c r="W203" s="24" t="n">
        <v>0</v>
      </c>
      <c r="X203" s="24" t="n">
        <v>27</v>
      </c>
      <c r="Y203" s="24" t="n">
        <v>124</v>
      </c>
      <c r="Z203" s="24" t="n">
        <v>169</v>
      </c>
      <c r="AA203" s="24" t="n">
        <v>252</v>
      </c>
      <c r="AB203" s="24" t="n">
        <v>275</v>
      </c>
      <c r="AC203" s="24" t="n">
        <v>306</v>
      </c>
      <c r="AD203" s="24" t="n">
        <v>257</v>
      </c>
      <c r="AE203" s="15" t="str">
        <v>1</v>
      </c>
      <c r="AF203" s="15" t="str">
        <v>TPAREOL</v>
      </c>
      <c r="AG203" s="15" t="str">
        <v>TPAREOL20231</v>
      </c>
      <c r="AH203" s="15" t="str">
        <v>REGULAR</v>
      </c>
      <c r="AI203" s="15" t="str">
        <v>C</v>
      </c>
      <c r="AJ203" s="24" t="n">
        <v>0</v>
      </c>
      <c r="AK203" s="24" t="n">
        <v>114</v>
      </c>
      <c r="AL203" s="24" t="n">
        <v>5</v>
      </c>
      <c r="AM203" s="24" t="n">
        <v>9</v>
      </c>
      <c r="AN203" s="24" t="n">
        <v>0</v>
      </c>
      <c r="AO203" s="15" t="str">
        <v>CRUCE_PERSONA_MU_2022_2026 / REGLA_MU_2027</v>
      </c>
      <c r="AP203" s="15" t="str">
        <v>UNIDO</v>
      </c>
      <c r="AQ203" s="15" t="str">
        <v>UNIDO</v>
      </c>
      <c r="AR203" s="15" t="str">
        <v>B/C</v>
      </c>
      <c r="AS203" s="15" t="str">
        <v>H002 / MATRIZ / PUBLICA</v>
      </c>
      <c r="AT203" s="15" t="str">
        <v>ANUAL / Catálogo 2027; no atribución retroactiva ni acreditación de cohorte/malla</v>
      </c>
      <c r="AU203" s="15" t="n">
        <v>5</v>
      </c>
      <c r="AV203" s="15" t="n">
        <v>5</v>
      </c>
      <c r="AW203" s="15" t="str">
        <v>UNA_VERSION_OBSERVADA</v>
      </c>
      <c r="AX203" s="15" t="n">
        <v>2026</v>
      </c>
      <c r="AY203" s="15" t="str">
        <v>PUBLICA; última matrícula</v>
      </c>
    </row>
    <row r="204" ht="36" customHeight="1">
      <c r="A204" s="14" t="str">
        <v>I162S2C57J4V1</v>
      </c>
      <c r="B204" s="14" t="str">
        <v>TECNICO EN PROGRAMACION Y ANALISIS DE SISTEMAS</v>
      </c>
      <c r="C204" s="14" t="str">
        <v>2</v>
      </c>
      <c r="D204" s="14" t="str">
        <v>4</v>
      </c>
      <c r="E204" s="14" t="str">
        <v>1</v>
      </c>
      <c r="F204" s="14" t="str">
        <v>No presencial</v>
      </c>
      <c r="G204" s="14" t="str">
        <v>Pregrado</v>
      </c>
      <c r="H204" s="14" t="str">
        <v>Plan Regular</v>
      </c>
      <c r="I204" s="21" t="n">
        <v>2020</v>
      </c>
      <c r="J204" s="21" t="n">
        <v>2026</v>
      </c>
      <c r="K204" s="22" t="n">
        <v>0</v>
      </c>
      <c r="L204" s="22" t="n">
        <v>0</v>
      </c>
      <c r="M204" s="22" t="n">
        <v>0</v>
      </c>
      <c r="N204" s="22" t="n">
        <v>0</v>
      </c>
      <c r="O204" s="22" t="n">
        <v>0</v>
      </c>
      <c r="P204" s="22" t="n">
        <v>0</v>
      </c>
      <c r="Q204" s="22" t="n">
        <v>0</v>
      </c>
      <c r="R204" s="22" t="n">
        <v>0</v>
      </c>
      <c r="S204" s="22" t="n">
        <v>0</v>
      </c>
      <c r="T204" s="22" t="n">
        <v>0</v>
      </c>
      <c r="U204" s="22" t="n">
        <v>0</v>
      </c>
      <c r="V204" s="22" t="n">
        <v>0</v>
      </c>
      <c r="W204" s="22" t="n">
        <v>0</v>
      </c>
      <c r="X204" s="22" t="n">
        <v>27</v>
      </c>
      <c r="Y204" s="22" t="n">
        <v>124</v>
      </c>
      <c r="Z204" s="22" t="n">
        <v>169</v>
      </c>
      <c r="AA204" s="22" t="n">
        <v>252</v>
      </c>
      <c r="AB204" s="22" t="n">
        <v>275</v>
      </c>
      <c r="AC204" s="22" t="n">
        <v>306</v>
      </c>
      <c r="AD204" s="22" t="n">
        <v>257</v>
      </c>
      <c r="AE204" s="14" t="str">
        <v>1</v>
      </c>
      <c r="AF204" s="14" t="str">
        <v>TPAS</v>
      </c>
      <c r="AG204" s="14" t="str">
        <v>TPAS20241</v>
      </c>
      <c r="AH204" s="14" t="str">
        <v>REGULAR</v>
      </c>
      <c r="AI204" s="14" t="str">
        <v>C</v>
      </c>
      <c r="AJ204" s="22" t="n">
        <v>0</v>
      </c>
      <c r="AK204" s="22" t="n">
        <v>0</v>
      </c>
      <c r="AL204" s="22" t="n">
        <v>197</v>
      </c>
      <c r="AM204" s="22" t="n">
        <v>265</v>
      </c>
      <c r="AN204" s="22" t="n">
        <v>238</v>
      </c>
      <c r="AO204" s="14" t="str">
        <v>CRUCE_PERSONA_MU_2022_2026 / REGLA_MU_2027</v>
      </c>
      <c r="AP204" s="14" t="str">
        <v>UNIDO</v>
      </c>
      <c r="AQ204" s="14" t="str">
        <v>UNIDO</v>
      </c>
      <c r="AR204" s="14" t="str">
        <v>B/C</v>
      </c>
      <c r="AS204" s="14" t="str">
        <v>H002 / MATRIZ / PUBLICA</v>
      </c>
      <c r="AT204" s="14" t="str">
        <v>ANUAL / Catálogo 2027; no atribución retroactiva ni acreditación de cohorte/malla</v>
      </c>
      <c r="AU204" s="14" t="n">
        <v>5</v>
      </c>
      <c r="AV204" s="14" t="n">
        <v>5</v>
      </c>
      <c r="AW204" s="14" t="str">
        <v>UNA_VERSION_OBSERVADA</v>
      </c>
      <c r="AX204" s="14" t="n">
        <v>2026</v>
      </c>
      <c r="AY204" s="14" t="str">
        <v>PUBLICA; última matrícula</v>
      </c>
    </row>
    <row r="205" ht="27" customHeight="1">
      <c r="A205" s="15" t="str">
        <v>I162S2C57J4V2</v>
      </c>
      <c r="B205" s="15" t="str">
        <v>TECNICO EN PROGRAMACION Y ANALISIS DE SISTEMAS</v>
      </c>
      <c r="C205" s="15" t="str">
        <v>2</v>
      </c>
      <c r="D205" s="15" t="str">
        <v>4</v>
      </c>
      <c r="E205" s="15" t="str">
        <v>2</v>
      </c>
      <c r="F205" s="15" t="str">
        <v>No presencial</v>
      </c>
      <c r="G205" s="15" t="str">
        <v>Pregrado</v>
      </c>
      <c r="H205" s="15" t="str">
        <v>Plan Regular</v>
      </c>
      <c r="I205" s="23" t="str">
        <v>n.a.</v>
      </c>
      <c r="J205" s="23" t="str">
        <v>n.a.</v>
      </c>
      <c r="K205" s="24" t="n">
        <v>0</v>
      </c>
      <c r="L205" s="24" t="n">
        <v>0</v>
      </c>
      <c r="M205" s="24" t="n">
        <v>0</v>
      </c>
      <c r="N205" s="24" t="n">
        <v>0</v>
      </c>
      <c r="O205" s="24" t="n">
        <v>0</v>
      </c>
      <c r="P205" s="24" t="n">
        <v>0</v>
      </c>
      <c r="Q205" s="24" t="n">
        <v>0</v>
      </c>
      <c r="R205" s="24" t="n">
        <v>0</v>
      </c>
      <c r="S205" s="24" t="n">
        <v>0</v>
      </c>
      <c r="T205" s="24" t="n">
        <v>0</v>
      </c>
      <c r="U205" s="24" t="n">
        <v>0</v>
      </c>
      <c r="V205" s="24" t="n">
        <v>0</v>
      </c>
      <c r="W205" s="24" t="n">
        <v>0</v>
      </c>
      <c r="X205" s="24" t="n">
        <v>0</v>
      </c>
      <c r="Y205" s="24" t="n">
        <v>0</v>
      </c>
      <c r="Z205" s="24" t="n">
        <v>0</v>
      </c>
      <c r="AA205" s="24" t="n">
        <v>0</v>
      </c>
      <c r="AB205" s="24" t="n">
        <v>0</v>
      </c>
      <c r="AC205" s="24" t="n">
        <v>0</v>
      </c>
      <c r="AD205" s="24" t="n">
        <v>0</v>
      </c>
      <c r="AE205" s="15" t="str">
        <v>1</v>
      </c>
      <c r="AF205" s="15" t="str">
        <v>E</v>
      </c>
      <c r="AG205" s="15" t="str">
        <v>E: sin plan</v>
      </c>
      <c r="AH205" s="15" t="str">
        <v>E</v>
      </c>
      <c r="AI205" s="15" t="str">
        <v>E</v>
      </c>
      <c r="AJ205" s="24" t="n">
        <v>0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15" t="str">
        <v>SIN_UNION</v>
      </c>
      <c r="AP205" s="15" t="str">
        <v>PENDIENTE</v>
      </c>
      <c r="AQ205" s="15" t="str">
        <v>NUEVO_2027_SIN_ALUMNOS</v>
      </c>
      <c r="AR205" s="15" t="str">
        <v>E</v>
      </c>
      <c r="AS205" s="15" t="str">
        <v>PUBLICA</v>
      </c>
      <c r="AT205" s="15" t="str">
        <v>E</v>
      </c>
      <c r="AU205" s="15" t="str">
        <v>E</v>
      </c>
      <c r="AV205" s="15" t="n">
        <v>4</v>
      </c>
      <c r="AW205" s="15" t="str">
        <v>E: sin historia pública</v>
      </c>
      <c r="AX205" s="15" t="n">
        <v>2027</v>
      </c>
      <c r="AY205" s="15" t="str">
        <v>H002; estudios no acreditados</v>
      </c>
    </row>
    <row r="206" ht="27" customHeight="1">
      <c r="A206" s="14" t="str">
        <v>I162S2C63J4V1</v>
      </c>
      <c r="B206" s="14" t="str">
        <v>DIPLOMADO EN ARQUITECTURA CLOUD</v>
      </c>
      <c r="C206" s="14" t="str">
        <v>2</v>
      </c>
      <c r="D206" s="14" t="str">
        <v>4</v>
      </c>
      <c r="E206" s="14" t="str">
        <v>1</v>
      </c>
      <c r="F206" s="14" t="str">
        <v>No presencial</v>
      </c>
      <c r="G206" s="14" t="str">
        <v>Postítulo/otro</v>
      </c>
      <c r="H206" s="14" t="str">
        <v>Plan Regular</v>
      </c>
      <c r="I206" s="21" t="n">
        <v>2025</v>
      </c>
      <c r="J206" s="21" t="n">
        <v>2025</v>
      </c>
      <c r="K206" s="22" t="n">
        <v>0</v>
      </c>
      <c r="L206" s="22" t="n">
        <v>0</v>
      </c>
      <c r="M206" s="22" t="n">
        <v>0</v>
      </c>
      <c r="N206" s="22" t="n">
        <v>0</v>
      </c>
      <c r="O206" s="22" t="n">
        <v>0</v>
      </c>
      <c r="P206" s="22" t="n">
        <v>0</v>
      </c>
      <c r="Q206" s="22" t="n">
        <v>0</v>
      </c>
      <c r="R206" s="22" t="n">
        <v>0</v>
      </c>
      <c r="S206" s="22" t="n">
        <v>0</v>
      </c>
      <c r="T206" s="22" t="n">
        <v>0</v>
      </c>
      <c r="U206" s="22" t="n">
        <v>0</v>
      </c>
      <c r="V206" s="22" t="n">
        <v>0</v>
      </c>
      <c r="W206" s="22" t="n">
        <v>0</v>
      </c>
      <c r="X206" s="22" t="n">
        <v>0</v>
      </c>
      <c r="Y206" s="22" t="n">
        <v>0</v>
      </c>
      <c r="Z206" s="22" t="n">
        <v>0</v>
      </c>
      <c r="AA206" s="22" t="n">
        <v>0</v>
      </c>
      <c r="AB206" s="22" t="n">
        <v>0</v>
      </c>
      <c r="AC206" s="22" t="n">
        <v>31</v>
      </c>
      <c r="AD206" s="22" t="n">
        <v>0</v>
      </c>
      <c r="AE206" s="14" t="str">
        <v>3</v>
      </c>
      <c r="AF206" s="14" t="str">
        <v>E</v>
      </c>
      <c r="AG206" s="14" t="str">
        <v>E: sin plan</v>
      </c>
      <c r="AH206" s="14" t="str">
        <v>E</v>
      </c>
      <c r="AI206" s="14" t="str">
        <v>E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14" t="str">
        <v>SIN_UNION</v>
      </c>
      <c r="AP206" s="14" t="str">
        <v>PENDIENTE</v>
      </c>
      <c r="AQ206" s="14" t="str">
        <v>FUERA_ALCANCE</v>
      </c>
      <c r="AR206" s="14" t="str">
        <v>E</v>
      </c>
      <c r="AS206" s="14" t="str">
        <v>PUBLICA</v>
      </c>
      <c r="AT206" s="14" t="str">
        <v>E</v>
      </c>
      <c r="AU206" s="14" t="n">
        <v>1</v>
      </c>
      <c r="AV206" s="14" t="n">
        <v>1</v>
      </c>
      <c r="AW206" s="14" t="str">
        <v>UNA_VERSION_OBSERVADA</v>
      </c>
      <c r="AX206" s="14" t="n">
        <v>2025</v>
      </c>
      <c r="AY206" s="14" t="str">
        <v>PUBLICA; última matrícula</v>
      </c>
    </row>
    <row r="207" ht="27" customHeight="1">
      <c r="A207" s="15" t="str">
        <v>I162S2C64J4V1</v>
      </c>
      <c r="B207" s="15" t="str">
        <v>DIPLOMADO EN BACKEND</v>
      </c>
      <c r="C207" s="15" t="str">
        <v>2</v>
      </c>
      <c r="D207" s="15" t="str">
        <v>4</v>
      </c>
      <c r="E207" s="15" t="str">
        <v>1</v>
      </c>
      <c r="F207" s="15" t="str">
        <v>No presencial</v>
      </c>
      <c r="G207" s="15" t="str">
        <v>Postítulo/otro</v>
      </c>
      <c r="H207" s="15" t="str">
        <v>Plan Regular</v>
      </c>
      <c r="I207" s="23" t="str">
        <v>n.a.</v>
      </c>
      <c r="J207" s="23" t="str">
        <v>n.a.</v>
      </c>
      <c r="K207" s="24" t="n">
        <v>0</v>
      </c>
      <c r="L207" s="24" t="n">
        <v>0</v>
      </c>
      <c r="M207" s="24" t="n">
        <v>0</v>
      </c>
      <c r="N207" s="24" t="n">
        <v>0</v>
      </c>
      <c r="O207" s="24" t="n">
        <v>0</v>
      </c>
      <c r="P207" s="24" t="n">
        <v>0</v>
      </c>
      <c r="Q207" s="24" t="n">
        <v>0</v>
      </c>
      <c r="R207" s="24" t="n">
        <v>0</v>
      </c>
      <c r="S207" s="24" t="n">
        <v>0</v>
      </c>
      <c r="T207" s="24" t="n">
        <v>0</v>
      </c>
      <c r="U207" s="24" t="n">
        <v>0</v>
      </c>
      <c r="V207" s="24" t="n">
        <v>0</v>
      </c>
      <c r="W207" s="24" t="n">
        <v>0</v>
      </c>
      <c r="X207" s="24" t="n">
        <v>0</v>
      </c>
      <c r="Y207" s="24" t="n">
        <v>0</v>
      </c>
      <c r="Z207" s="24" t="n">
        <v>0</v>
      </c>
      <c r="AA207" s="24" t="n">
        <v>0</v>
      </c>
      <c r="AB207" s="24" t="n">
        <v>0</v>
      </c>
      <c r="AC207" s="24" t="n">
        <v>0</v>
      </c>
      <c r="AD207" s="24" t="n">
        <v>0</v>
      </c>
      <c r="AE207" s="15" t="str">
        <v>3</v>
      </c>
      <c r="AF207" s="15" t="str">
        <v>E</v>
      </c>
      <c r="AG207" s="15" t="str">
        <v>E: sin plan</v>
      </c>
      <c r="AH207" s="15" t="str">
        <v>E</v>
      </c>
      <c r="AI207" s="15" t="str">
        <v>E</v>
      </c>
      <c r="AJ207" s="24" t="n">
        <v>0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15" t="str">
        <v>SIN_UNION</v>
      </c>
      <c r="AP207" s="15" t="str">
        <v>PENDIENTE</v>
      </c>
      <c r="AQ207" s="15" t="str">
        <v>FUERA_ALCANCE</v>
      </c>
      <c r="AR207" s="15" t="str">
        <v>E</v>
      </c>
      <c r="AS207" s="15" t="str">
        <v>PUBLICA</v>
      </c>
      <c r="AT207" s="15" t="str">
        <v>E</v>
      </c>
      <c r="AU207" s="15" t="n">
        <v>1</v>
      </c>
      <c r="AV207" s="15" t="n">
        <v>1</v>
      </c>
      <c r="AW207" s="15" t="str">
        <v>E: sin historia pública</v>
      </c>
      <c r="AX207" s="15" t="n">
        <v>2026</v>
      </c>
      <c r="AY207" s="15" t="str">
        <v>MAESTRO/oferta_anual; sin matrícula</v>
      </c>
    </row>
    <row r="208" ht="27" customHeight="1">
      <c r="A208" s="14" t="str">
        <v>I162S2C65J4V1</v>
      </c>
      <c r="B208" s="14" t="str">
        <v>DIPLOMADO EN FRONTEND</v>
      </c>
      <c r="C208" s="14" t="str">
        <v>2</v>
      </c>
      <c r="D208" s="14" t="str">
        <v>4</v>
      </c>
      <c r="E208" s="14" t="str">
        <v>1</v>
      </c>
      <c r="F208" s="14" t="str">
        <v>No presencial</v>
      </c>
      <c r="G208" s="14" t="str">
        <v>Postítulo/otro</v>
      </c>
      <c r="H208" s="14" t="str">
        <v>Plan Regular</v>
      </c>
      <c r="I208" s="21" t="str">
        <v>n.a.</v>
      </c>
      <c r="J208" s="21" t="str">
        <v>n.a.</v>
      </c>
      <c r="K208" s="22" t="n">
        <v>0</v>
      </c>
      <c r="L208" s="22" t="n">
        <v>0</v>
      </c>
      <c r="M208" s="22" t="n">
        <v>0</v>
      </c>
      <c r="N208" s="22" t="n">
        <v>0</v>
      </c>
      <c r="O208" s="22" t="n">
        <v>0</v>
      </c>
      <c r="P208" s="22" t="n">
        <v>0</v>
      </c>
      <c r="Q208" s="22" t="n">
        <v>0</v>
      </c>
      <c r="R208" s="22" t="n">
        <v>0</v>
      </c>
      <c r="S208" s="22" t="n">
        <v>0</v>
      </c>
      <c r="T208" s="22" t="n">
        <v>0</v>
      </c>
      <c r="U208" s="22" t="n">
        <v>0</v>
      </c>
      <c r="V208" s="22" t="n">
        <v>0</v>
      </c>
      <c r="W208" s="22" t="n">
        <v>0</v>
      </c>
      <c r="X208" s="22" t="n">
        <v>0</v>
      </c>
      <c r="Y208" s="22" t="n">
        <v>0</v>
      </c>
      <c r="Z208" s="22" t="n">
        <v>0</v>
      </c>
      <c r="AA208" s="22" t="n">
        <v>0</v>
      </c>
      <c r="AB208" s="22" t="n">
        <v>0</v>
      </c>
      <c r="AC208" s="22" t="n">
        <v>0</v>
      </c>
      <c r="AD208" s="22" t="n">
        <v>0</v>
      </c>
      <c r="AE208" s="14" t="str">
        <v>3</v>
      </c>
      <c r="AF208" s="14" t="str">
        <v>E</v>
      </c>
      <c r="AG208" s="14" t="str">
        <v>E: sin plan</v>
      </c>
      <c r="AH208" s="14" t="str">
        <v>E</v>
      </c>
      <c r="AI208" s="14" t="str">
        <v>E</v>
      </c>
      <c r="AJ208" s="22" t="n">
        <v>0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14" t="str">
        <v>SIN_UNION</v>
      </c>
      <c r="AP208" s="14" t="str">
        <v>PENDIENTE</v>
      </c>
      <c r="AQ208" s="14" t="str">
        <v>FUERA_ALCANCE</v>
      </c>
      <c r="AR208" s="14" t="str">
        <v>E</v>
      </c>
      <c r="AS208" s="14" t="str">
        <v>PUBLICA</v>
      </c>
      <c r="AT208" s="14" t="str">
        <v>E</v>
      </c>
      <c r="AU208" s="14" t="n">
        <v>1</v>
      </c>
      <c r="AV208" s="14" t="n">
        <v>1</v>
      </c>
      <c r="AW208" s="14" t="str">
        <v>E: sin historia pública</v>
      </c>
      <c r="AX208" s="14" t="n">
        <v>2026</v>
      </c>
      <c r="AY208" s="14" t="str">
        <v>MAESTRO/oferta_anual; sin matrícula</v>
      </c>
    </row>
    <row r="209" ht="27" customHeight="1">
      <c r="A209" s="15" t="str">
        <v>I162S2C66J4V1</v>
      </c>
      <c r="B209" s="15" t="str">
        <v>DIPLOMADO EN FULLSTACK</v>
      </c>
      <c r="C209" s="15" t="str">
        <v>2</v>
      </c>
      <c r="D209" s="15" t="str">
        <v>4</v>
      </c>
      <c r="E209" s="15" t="str">
        <v>1</v>
      </c>
      <c r="F209" s="15" t="str">
        <v>No presencial</v>
      </c>
      <c r="G209" s="15" t="str">
        <v>Postítulo/otro</v>
      </c>
      <c r="H209" s="15" t="str">
        <v>Plan Regular</v>
      </c>
      <c r="I209" s="23" t="n">
        <v>2025</v>
      </c>
      <c r="J209" s="23" t="n">
        <v>2026</v>
      </c>
      <c r="K209" s="24" t="n">
        <v>0</v>
      </c>
      <c r="L209" s="24" t="n">
        <v>0</v>
      </c>
      <c r="M209" s="24" t="n">
        <v>0</v>
      </c>
      <c r="N209" s="24" t="n">
        <v>0</v>
      </c>
      <c r="O209" s="24" t="n">
        <v>0</v>
      </c>
      <c r="P209" s="24" t="n">
        <v>0</v>
      </c>
      <c r="Q209" s="24" t="n">
        <v>0</v>
      </c>
      <c r="R209" s="24" t="n">
        <v>0</v>
      </c>
      <c r="S209" s="24" t="n">
        <v>0</v>
      </c>
      <c r="T209" s="24" t="n">
        <v>0</v>
      </c>
      <c r="U209" s="24" t="n">
        <v>0</v>
      </c>
      <c r="V209" s="24" t="n">
        <v>0</v>
      </c>
      <c r="W209" s="24" t="n">
        <v>0</v>
      </c>
      <c r="X209" s="24" t="n">
        <v>0</v>
      </c>
      <c r="Y209" s="24" t="n">
        <v>0</v>
      </c>
      <c r="Z209" s="24" t="n">
        <v>0</v>
      </c>
      <c r="AA209" s="24" t="n">
        <v>0</v>
      </c>
      <c r="AB209" s="24" t="n">
        <v>0</v>
      </c>
      <c r="AC209" s="24" t="n">
        <v>41</v>
      </c>
      <c r="AD209" s="24" t="n">
        <v>15</v>
      </c>
      <c r="AE209" s="15" t="str">
        <v>1</v>
      </c>
      <c r="AF209" s="15" t="str">
        <v>E</v>
      </c>
      <c r="AG209" s="15" t="str">
        <v>E: sin plan</v>
      </c>
      <c r="AH209" s="15" t="str">
        <v>E</v>
      </c>
      <c r="AI209" s="15" t="str">
        <v>E</v>
      </c>
      <c r="AJ209" s="24" t="n">
        <v>0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15" t="str">
        <v>SIN_UNION</v>
      </c>
      <c r="AP209" s="15" t="str">
        <v>PENDIENTE</v>
      </c>
      <c r="AQ209" s="15" t="str">
        <v>FUERA_ALCANCE</v>
      </c>
      <c r="AR209" s="15" t="str">
        <v>E</v>
      </c>
      <c r="AS209" s="15" t="str">
        <v>PUBLICA</v>
      </c>
      <c r="AT209" s="15" t="str">
        <v>E</v>
      </c>
      <c r="AU209" s="15" t="n">
        <v>1</v>
      </c>
      <c r="AV209" s="15" t="n">
        <v>1</v>
      </c>
      <c r="AW209" s="15" t="str">
        <v>UNA_VERSION_OBSERVADA</v>
      </c>
      <c r="AX209" s="15" t="n">
        <v>2026</v>
      </c>
      <c r="AY209" s="15" t="str">
        <v>PUBLICA; última matrícula</v>
      </c>
    </row>
    <row r="210" ht="27" customHeight="1">
      <c r="A210" s="14" t="str">
        <v>I162S2C67J4V1</v>
      </c>
      <c r="B210" s="14" t="str">
        <v>DIPLOMADO EN QUALITY ASSURANCE</v>
      </c>
      <c r="C210" s="14" t="str">
        <v>2</v>
      </c>
      <c r="D210" s="14" t="str">
        <v>4</v>
      </c>
      <c r="E210" s="14" t="str">
        <v>1</v>
      </c>
      <c r="F210" s="14" t="str">
        <v>No presencial</v>
      </c>
      <c r="G210" s="14" t="str">
        <v>Postítulo/otro</v>
      </c>
      <c r="H210" s="14" t="str">
        <v>Plan Regular</v>
      </c>
      <c r="I210" s="21" t="n">
        <v>2025</v>
      </c>
      <c r="J210" s="21" t="n">
        <v>2025</v>
      </c>
      <c r="K210" s="22" t="n">
        <v>0</v>
      </c>
      <c r="L210" s="22" t="n">
        <v>0</v>
      </c>
      <c r="M210" s="22" t="n">
        <v>0</v>
      </c>
      <c r="N210" s="22" t="n">
        <v>0</v>
      </c>
      <c r="O210" s="22" t="n">
        <v>0</v>
      </c>
      <c r="P210" s="22" t="n">
        <v>0</v>
      </c>
      <c r="Q210" s="22" t="n">
        <v>0</v>
      </c>
      <c r="R210" s="22" t="n">
        <v>0</v>
      </c>
      <c r="S210" s="22" t="n">
        <v>0</v>
      </c>
      <c r="T210" s="22" t="n">
        <v>0</v>
      </c>
      <c r="U210" s="22" t="n">
        <v>0</v>
      </c>
      <c r="V210" s="22" t="n">
        <v>0</v>
      </c>
      <c r="W210" s="22" t="n">
        <v>0</v>
      </c>
      <c r="X210" s="22" t="n">
        <v>0</v>
      </c>
      <c r="Y210" s="22" t="n">
        <v>0</v>
      </c>
      <c r="Z210" s="22" t="n">
        <v>0</v>
      </c>
      <c r="AA210" s="22" t="n">
        <v>0</v>
      </c>
      <c r="AB210" s="22" t="n">
        <v>0</v>
      </c>
      <c r="AC210" s="22" t="n">
        <v>8</v>
      </c>
      <c r="AD210" s="22" t="n">
        <v>0</v>
      </c>
      <c r="AE210" s="14" t="str">
        <v>3</v>
      </c>
      <c r="AF210" s="14" t="str">
        <v>E</v>
      </c>
      <c r="AG210" s="14" t="str">
        <v>E: sin plan</v>
      </c>
      <c r="AH210" s="14" t="str">
        <v>E</v>
      </c>
      <c r="AI210" s="14" t="str">
        <v>E</v>
      </c>
      <c r="AJ210" s="22" t="n">
        <v>0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14" t="str">
        <v>SIN_UNION</v>
      </c>
      <c r="AP210" s="14" t="str">
        <v>PENDIENTE</v>
      </c>
      <c r="AQ210" s="14" t="str">
        <v>FUERA_ALCANCE</v>
      </c>
      <c r="AR210" s="14" t="str">
        <v>E</v>
      </c>
      <c r="AS210" s="14" t="str">
        <v>PUBLICA</v>
      </c>
      <c r="AT210" s="14" t="str">
        <v>E</v>
      </c>
      <c r="AU210" s="14" t="n">
        <v>1</v>
      </c>
      <c r="AV210" s="14" t="n">
        <v>1</v>
      </c>
      <c r="AW210" s="14" t="str">
        <v>UNA_VERSION_OBSERVADA</v>
      </c>
      <c r="AX210" s="14" t="n">
        <v>2025</v>
      </c>
      <c r="AY210" s="14" t="str">
        <v>PUBLICA; última matrícula</v>
      </c>
    </row>
    <row r="211" ht="27" customHeight="1">
      <c r="A211" s="15" t="str">
        <v>I162S2C68J4V1</v>
      </c>
      <c r="B211" s="15" t="str">
        <v>DIPLOMADO EN SEGURIDAD OFENSIVA</v>
      </c>
      <c r="C211" s="15" t="str">
        <v>2</v>
      </c>
      <c r="D211" s="15" t="str">
        <v>4</v>
      </c>
      <c r="E211" s="15" t="str">
        <v>1</v>
      </c>
      <c r="F211" s="15" t="str">
        <v>No presencial</v>
      </c>
      <c r="G211" s="15" t="str">
        <v>Postítulo/otro</v>
      </c>
      <c r="H211" s="15" t="str">
        <v>Plan Regular</v>
      </c>
      <c r="I211" s="23" t="n">
        <v>2025</v>
      </c>
      <c r="J211" s="23" t="n">
        <v>2025</v>
      </c>
      <c r="K211" s="24" t="n">
        <v>0</v>
      </c>
      <c r="L211" s="24" t="n">
        <v>0</v>
      </c>
      <c r="M211" s="24" t="n">
        <v>0</v>
      </c>
      <c r="N211" s="24" t="n">
        <v>0</v>
      </c>
      <c r="O211" s="24" t="n">
        <v>0</v>
      </c>
      <c r="P211" s="24" t="n">
        <v>0</v>
      </c>
      <c r="Q211" s="24" t="n">
        <v>0</v>
      </c>
      <c r="R211" s="24" t="n">
        <v>0</v>
      </c>
      <c r="S211" s="24" t="n">
        <v>0</v>
      </c>
      <c r="T211" s="24" t="n">
        <v>0</v>
      </c>
      <c r="U211" s="24" t="n">
        <v>0</v>
      </c>
      <c r="V211" s="24" t="n">
        <v>0</v>
      </c>
      <c r="W211" s="24" t="n">
        <v>0</v>
      </c>
      <c r="X211" s="24" t="n">
        <v>0</v>
      </c>
      <c r="Y211" s="24" t="n">
        <v>0</v>
      </c>
      <c r="Z211" s="24" t="n">
        <v>0</v>
      </c>
      <c r="AA211" s="24" t="n">
        <v>0</v>
      </c>
      <c r="AB211" s="24" t="n">
        <v>0</v>
      </c>
      <c r="AC211" s="24" t="n">
        <v>8</v>
      </c>
      <c r="AD211" s="24" t="n">
        <v>0</v>
      </c>
      <c r="AE211" s="15" t="str">
        <v>1</v>
      </c>
      <c r="AF211" s="15" t="str">
        <v>E</v>
      </c>
      <c r="AG211" s="15" t="str">
        <v>E: sin plan</v>
      </c>
      <c r="AH211" s="15" t="str">
        <v>E</v>
      </c>
      <c r="AI211" s="15" t="str">
        <v>E</v>
      </c>
      <c r="AJ211" s="24" t="n">
        <v>0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15" t="str">
        <v>SIN_UNION</v>
      </c>
      <c r="AP211" s="15" t="str">
        <v>PENDIENTE</v>
      </c>
      <c r="AQ211" s="15" t="str">
        <v>FUERA_ALCANCE</v>
      </c>
      <c r="AR211" s="15" t="str">
        <v>E</v>
      </c>
      <c r="AS211" s="15" t="str">
        <v>PUBLICA</v>
      </c>
      <c r="AT211" s="15" t="str">
        <v>E</v>
      </c>
      <c r="AU211" s="15" t="n">
        <v>1</v>
      </c>
      <c r="AV211" s="15" t="n">
        <v>1</v>
      </c>
      <c r="AW211" s="15" t="str">
        <v>UNA_VERSION_OBSERVADA</v>
      </c>
      <c r="AX211" s="15" t="n">
        <v>2025</v>
      </c>
      <c r="AY211" s="15" t="str">
        <v>PUBLICA; última matrícula</v>
      </c>
    </row>
    <row r="212" ht="27" customHeight="1">
      <c r="A212" s="14" t="str">
        <v>I162S2C69J4V1</v>
      </c>
      <c r="B212" s="14" t="str">
        <v>DIPLOMADO INFRAESTRUCTURA CLOUD</v>
      </c>
      <c r="C212" s="14" t="str">
        <v>2</v>
      </c>
      <c r="D212" s="14" t="str">
        <v>4</v>
      </c>
      <c r="E212" s="14" t="str">
        <v>1</v>
      </c>
      <c r="F212" s="14" t="str">
        <v>No presencial</v>
      </c>
      <c r="G212" s="14" t="str">
        <v>Postítulo/otro</v>
      </c>
      <c r="H212" s="14" t="str">
        <v>Plan Regular</v>
      </c>
      <c r="I212" s="21" t="str">
        <v>n.a.</v>
      </c>
      <c r="J212" s="21" t="str">
        <v>n.a.</v>
      </c>
      <c r="K212" s="22" t="n">
        <v>0</v>
      </c>
      <c r="L212" s="22" t="n">
        <v>0</v>
      </c>
      <c r="M212" s="22" t="n">
        <v>0</v>
      </c>
      <c r="N212" s="22" t="n">
        <v>0</v>
      </c>
      <c r="O212" s="22" t="n">
        <v>0</v>
      </c>
      <c r="P212" s="22" t="n">
        <v>0</v>
      </c>
      <c r="Q212" s="22" t="n">
        <v>0</v>
      </c>
      <c r="R212" s="22" t="n">
        <v>0</v>
      </c>
      <c r="S212" s="22" t="n">
        <v>0</v>
      </c>
      <c r="T212" s="22" t="n">
        <v>0</v>
      </c>
      <c r="U212" s="22" t="n">
        <v>0</v>
      </c>
      <c r="V212" s="22" t="n">
        <v>0</v>
      </c>
      <c r="W212" s="22" t="n">
        <v>0</v>
      </c>
      <c r="X212" s="22" t="n">
        <v>0</v>
      </c>
      <c r="Y212" s="22" t="n">
        <v>0</v>
      </c>
      <c r="Z212" s="22" t="n">
        <v>0</v>
      </c>
      <c r="AA212" s="22" t="n">
        <v>0</v>
      </c>
      <c r="AB212" s="22" t="n">
        <v>0</v>
      </c>
      <c r="AC212" s="22" t="n">
        <v>0</v>
      </c>
      <c r="AD212" s="22" t="n">
        <v>0</v>
      </c>
      <c r="AE212" s="14" t="str">
        <v>1</v>
      </c>
      <c r="AF212" s="14" t="str">
        <v>E</v>
      </c>
      <c r="AG212" s="14" t="str">
        <v>E: sin plan</v>
      </c>
      <c r="AH212" s="14" t="str">
        <v>E</v>
      </c>
      <c r="AI212" s="14" t="str">
        <v>E</v>
      </c>
      <c r="AJ212" s="22" t="n">
        <v>0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14" t="str">
        <v>SIN_UNION</v>
      </c>
      <c r="AP212" s="14" t="str">
        <v>PENDIENTE</v>
      </c>
      <c r="AQ212" s="14" t="str">
        <v>FUERA_ALCANCE</v>
      </c>
      <c r="AR212" s="14" t="str">
        <v>E</v>
      </c>
      <c r="AS212" s="14" t="str">
        <v>PUBLICA</v>
      </c>
      <c r="AT212" s="14" t="str">
        <v>E</v>
      </c>
      <c r="AU212" s="14" t="n">
        <v>1</v>
      </c>
      <c r="AV212" s="14" t="n">
        <v>1</v>
      </c>
      <c r="AW212" s="14" t="str">
        <v>E: sin historia pública</v>
      </c>
      <c r="AX212" s="14" t="n">
        <v>2026</v>
      </c>
      <c r="AY212" s="14" t="str">
        <v>MAESTRO/oferta_anual; sin matrícula</v>
      </c>
    </row>
    <row r="213" ht="27" customHeight="1">
      <c r="A213" s="15" t="str">
        <v>I162S2C6J1V1</v>
      </c>
      <c r="B213" s="15" t="str">
        <v>TECNICO EN CONECTIVIDAD Y REDES</v>
      </c>
      <c r="C213" s="15" t="str">
        <v>2</v>
      </c>
      <c r="D213" s="15" t="str">
        <v>1</v>
      </c>
      <c r="E213" s="15" t="str">
        <v>1</v>
      </c>
      <c r="F213" s="15" t="str">
        <v>Presencial</v>
      </c>
      <c r="G213" s="15" t="str">
        <v>Pregrado</v>
      </c>
      <c r="H213" s="15" t="str">
        <v>Plan Regular</v>
      </c>
      <c r="I213" s="23" t="n">
        <v>2009</v>
      </c>
      <c r="J213" s="23" t="n">
        <v>2022</v>
      </c>
      <c r="K213" s="24" t="n">
        <v>0</v>
      </c>
      <c r="L213" s="24" t="n">
        <v>0</v>
      </c>
      <c r="M213" s="24" t="n">
        <v>59</v>
      </c>
      <c r="N213" s="24" t="n">
        <v>60</v>
      </c>
      <c r="O213" s="24" t="n">
        <v>61</v>
      </c>
      <c r="P213" s="24" t="n">
        <v>48</v>
      </c>
      <c r="Q213" s="24" t="n">
        <v>63</v>
      </c>
      <c r="R213" s="24" t="n">
        <v>73</v>
      </c>
      <c r="S213" s="24" t="n">
        <v>57</v>
      </c>
      <c r="T213" s="24" t="n">
        <v>58</v>
      </c>
      <c r="U213" s="24" t="n">
        <v>68</v>
      </c>
      <c r="V213" s="24" t="n">
        <v>60</v>
      </c>
      <c r="W213" s="24" t="n">
        <v>33</v>
      </c>
      <c r="X213" s="24" t="n">
        <v>3</v>
      </c>
      <c r="Y213" s="24" t="n">
        <v>4</v>
      </c>
      <c r="Z213" s="24" t="n">
        <v>4</v>
      </c>
      <c r="AA213" s="24" t="n">
        <v>0</v>
      </c>
      <c r="AB213" s="24" t="n">
        <v>0</v>
      </c>
      <c r="AC213" s="24" t="n">
        <v>0</v>
      </c>
      <c r="AD213" s="24" t="n">
        <v>0</v>
      </c>
      <c r="AE213" s="15" t="str">
        <v>2</v>
      </c>
      <c r="AF213" s="15" t="str">
        <v>TTMRE</v>
      </c>
      <c r="AG213" s="15" t="str">
        <v>TTMRE20211</v>
      </c>
      <c r="AH213" s="15" t="str">
        <v>REGULAR</v>
      </c>
      <c r="AI213" s="15" t="str">
        <v>C</v>
      </c>
      <c r="AJ213" s="24" t="n">
        <v>3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15" t="str">
        <v>CRUCE_PERSONA_MU_2022_2026</v>
      </c>
      <c r="AP213" s="15" t="str">
        <v>UNIDO</v>
      </c>
      <c r="AQ213" s="15" t="str">
        <v>UNIDO</v>
      </c>
      <c r="AR213" s="15" t="str">
        <v>B/C</v>
      </c>
      <c r="AS213" s="15" t="str">
        <v>MATRIZ / PUBLICA</v>
      </c>
      <c r="AT213" s="15" t="str">
        <v>ANUAL</v>
      </c>
      <c r="AU213" s="15" t="n">
        <v>5</v>
      </c>
      <c r="AV213" s="15" t="n">
        <v>5</v>
      </c>
      <c r="AW213" s="15" t="str">
        <v>VERSIONES_POR_DURACION_O_TIPO</v>
      </c>
      <c r="AX213" s="15" t="n">
        <v>2022</v>
      </c>
      <c r="AY213" s="15" t="str">
        <v>PUBLICA; última matrícula</v>
      </c>
    </row>
    <row r="214" ht="27" customHeight="1">
      <c r="A214" s="14" t="str">
        <v>I162S2C6J1V2</v>
      </c>
      <c r="B214" s="14" t="str">
        <v>TECNICO EN CONECTIVIDAD Y REDES</v>
      </c>
      <c r="C214" s="14" t="str">
        <v>2</v>
      </c>
      <c r="D214" s="14" t="str">
        <v>1</v>
      </c>
      <c r="E214" s="14" t="str">
        <v>2</v>
      </c>
      <c r="F214" s="14" t="str">
        <v>Presencial</v>
      </c>
      <c r="G214" s="14" t="str">
        <v>Pregrado</v>
      </c>
      <c r="H214" s="14" t="str">
        <v>Plan Regular</v>
      </c>
      <c r="I214" s="21" t="n">
        <v>2019</v>
      </c>
      <c r="J214" s="21" t="n">
        <v>2024</v>
      </c>
      <c r="K214" s="22" t="n">
        <v>0</v>
      </c>
      <c r="L214" s="22" t="n">
        <v>0</v>
      </c>
      <c r="M214" s="22" t="n">
        <v>0</v>
      </c>
      <c r="N214" s="22" t="n">
        <v>0</v>
      </c>
      <c r="O214" s="22" t="n">
        <v>0</v>
      </c>
      <c r="P214" s="22" t="n">
        <v>0</v>
      </c>
      <c r="Q214" s="22" t="n">
        <v>0</v>
      </c>
      <c r="R214" s="22" t="n">
        <v>0</v>
      </c>
      <c r="S214" s="22" t="n">
        <v>0</v>
      </c>
      <c r="T214" s="22" t="n">
        <v>0</v>
      </c>
      <c r="U214" s="22" t="n">
        <v>0</v>
      </c>
      <c r="V214" s="22" t="n">
        <v>0</v>
      </c>
      <c r="W214" s="22" t="n">
        <v>17</v>
      </c>
      <c r="X214" s="22" t="n">
        <v>17</v>
      </c>
      <c r="Y214" s="22" t="n">
        <v>10</v>
      </c>
      <c r="Z214" s="22" t="n">
        <v>2</v>
      </c>
      <c r="AA214" s="22" t="n">
        <v>3</v>
      </c>
      <c r="AB214" s="22" t="n">
        <v>1</v>
      </c>
      <c r="AC214" s="22" t="n">
        <v>0</v>
      </c>
      <c r="AD214" s="22" t="n">
        <v>0</v>
      </c>
      <c r="AE214" s="14" t="str">
        <v>2</v>
      </c>
      <c r="AF214" s="14" t="str">
        <v>TTMRE</v>
      </c>
      <c r="AG214" s="14" t="str">
        <v>TTMRE20191</v>
      </c>
      <c r="AH214" s="14" t="str">
        <v>REGULAR</v>
      </c>
      <c r="AI214" s="14" t="str">
        <v>C</v>
      </c>
      <c r="AJ214" s="22" t="n">
        <v>2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14" t="str">
        <v>CRUCE_PERSONA_MU_2022_2026</v>
      </c>
      <c r="AP214" s="14" t="str">
        <v>UNIDO</v>
      </c>
      <c r="AQ214" s="14" t="str">
        <v>UNIDO</v>
      </c>
      <c r="AR214" s="14" t="str">
        <v>B/C</v>
      </c>
      <c r="AS214" s="14" t="str">
        <v>MATRIZ / PUBLICA</v>
      </c>
      <c r="AT214" s="14" t="str">
        <v>ANUAL</v>
      </c>
      <c r="AU214" s="14" t="n">
        <v>5</v>
      </c>
      <c r="AV214" s="14" t="n">
        <v>5</v>
      </c>
      <c r="AW214" s="14" t="str">
        <v>VERSIONES_POR_DURACION_O_TIPO</v>
      </c>
      <c r="AX214" s="14" t="n">
        <v>2024</v>
      </c>
      <c r="AY214" s="14" t="str">
        <v>PUBLICA; última matrícula</v>
      </c>
    </row>
    <row r="215" ht="27" customHeight="1">
      <c r="A215" s="15" t="str">
        <v>I162S2C6J1V2</v>
      </c>
      <c r="B215" s="15" t="str">
        <v>TECNICO EN CONECTIVIDAD Y REDES</v>
      </c>
      <c r="C215" s="15" t="str">
        <v>2</v>
      </c>
      <c r="D215" s="15" t="str">
        <v>1</v>
      </c>
      <c r="E215" s="15" t="str">
        <v>2</v>
      </c>
      <c r="F215" s="15" t="str">
        <v>Presencial</v>
      </c>
      <c r="G215" s="15" t="str">
        <v>Pregrado</v>
      </c>
      <c r="H215" s="15" t="str">
        <v>Plan Regular</v>
      </c>
      <c r="I215" s="23" t="n">
        <v>2019</v>
      </c>
      <c r="J215" s="23" t="n">
        <v>2024</v>
      </c>
      <c r="K215" s="24" t="n">
        <v>0</v>
      </c>
      <c r="L215" s="24" t="n">
        <v>0</v>
      </c>
      <c r="M215" s="24" t="n">
        <v>0</v>
      </c>
      <c r="N215" s="24" t="n">
        <v>0</v>
      </c>
      <c r="O215" s="24" t="n">
        <v>0</v>
      </c>
      <c r="P215" s="24" t="n">
        <v>0</v>
      </c>
      <c r="Q215" s="24" t="n">
        <v>0</v>
      </c>
      <c r="R215" s="24" t="n">
        <v>0</v>
      </c>
      <c r="S215" s="24" t="n">
        <v>0</v>
      </c>
      <c r="T215" s="24" t="n">
        <v>0</v>
      </c>
      <c r="U215" s="24" t="n">
        <v>0</v>
      </c>
      <c r="V215" s="24" t="n">
        <v>0</v>
      </c>
      <c r="W215" s="24" t="n">
        <v>17</v>
      </c>
      <c r="X215" s="24" t="n">
        <v>17</v>
      </c>
      <c r="Y215" s="24" t="n">
        <v>10</v>
      </c>
      <c r="Z215" s="24" t="n">
        <v>2</v>
      </c>
      <c r="AA215" s="24" t="n">
        <v>3</v>
      </c>
      <c r="AB215" s="24" t="n">
        <v>1</v>
      </c>
      <c r="AC215" s="24" t="n">
        <v>0</v>
      </c>
      <c r="AD215" s="24" t="n">
        <v>0</v>
      </c>
      <c r="AE215" s="15" t="str">
        <v>2</v>
      </c>
      <c r="AF215" s="15" t="str">
        <v>TTMRE</v>
      </c>
      <c r="AG215" s="15" t="str">
        <v>TTMRE20211</v>
      </c>
      <c r="AH215" s="15" t="str">
        <v>REGULAR</v>
      </c>
      <c r="AI215" s="15" t="str">
        <v>C</v>
      </c>
      <c r="AJ215" s="24" t="n">
        <v>0</v>
      </c>
      <c r="AK215" s="24" t="n">
        <v>3</v>
      </c>
      <c r="AL215" s="24" t="n">
        <v>1</v>
      </c>
      <c r="AM215" s="24" t="n">
        <v>0</v>
      </c>
      <c r="AN215" s="24" t="n">
        <v>0</v>
      </c>
      <c r="AO215" s="15" t="str">
        <v>CRUCE_PERSONA_MU_2022_2026</v>
      </c>
      <c r="AP215" s="15" t="str">
        <v>UNIDO</v>
      </c>
      <c r="AQ215" s="15" t="str">
        <v>UNIDO</v>
      </c>
      <c r="AR215" s="15" t="str">
        <v>B/C</v>
      </c>
      <c r="AS215" s="15" t="str">
        <v>MATRIZ / PUBLICA</v>
      </c>
      <c r="AT215" s="15" t="str">
        <v>ANUAL</v>
      </c>
      <c r="AU215" s="15" t="n">
        <v>5</v>
      </c>
      <c r="AV215" s="15" t="n">
        <v>5</v>
      </c>
      <c r="AW215" s="15" t="str">
        <v>VERSIONES_POR_DURACION_O_TIPO</v>
      </c>
      <c r="AX215" s="15" t="n">
        <v>2024</v>
      </c>
      <c r="AY215" s="15" t="str">
        <v>PUBLICA; última matrícula</v>
      </c>
    </row>
    <row r="216" ht="27" customHeight="1">
      <c r="A216" s="14" t="str">
        <v>I162S2C6J2V1</v>
      </c>
      <c r="B216" s="14" t="str">
        <v>TECNICO EN CONECTIVIDAD Y REDES</v>
      </c>
      <c r="C216" s="14" t="str">
        <v>2</v>
      </c>
      <c r="D216" s="14" t="str">
        <v>2</v>
      </c>
      <c r="E216" s="14" t="str">
        <v>1</v>
      </c>
      <c r="F216" s="14" t="str">
        <v>Presencial</v>
      </c>
      <c r="G216" s="14" t="str">
        <v>Pregrado</v>
      </c>
      <c r="H216" s="14" t="str">
        <v>Plan Regular</v>
      </c>
      <c r="I216" s="21" t="n">
        <v>2007</v>
      </c>
      <c r="J216" s="21" t="n">
        <v>2025</v>
      </c>
      <c r="K216" s="22" t="n">
        <v>343</v>
      </c>
      <c r="L216" s="22" t="n">
        <v>0</v>
      </c>
      <c r="M216" s="22" t="n">
        <v>282</v>
      </c>
      <c r="N216" s="22" t="n">
        <v>275</v>
      </c>
      <c r="O216" s="22" t="n">
        <v>247</v>
      </c>
      <c r="P216" s="22" t="n">
        <v>267</v>
      </c>
      <c r="Q216" s="22" t="n">
        <v>296</v>
      </c>
      <c r="R216" s="22" t="n">
        <v>246</v>
      </c>
      <c r="S216" s="22" t="n">
        <v>261</v>
      </c>
      <c r="T216" s="22" t="n">
        <v>192</v>
      </c>
      <c r="U216" s="22" t="n">
        <v>184</v>
      </c>
      <c r="V216" s="22" t="n">
        <v>134</v>
      </c>
      <c r="W216" s="22" t="n">
        <v>65</v>
      </c>
      <c r="X216" s="22" t="n">
        <v>23</v>
      </c>
      <c r="Y216" s="22" t="n">
        <v>14</v>
      </c>
      <c r="Z216" s="22" t="n">
        <v>7</v>
      </c>
      <c r="AA216" s="22" t="n">
        <v>3</v>
      </c>
      <c r="AB216" s="22" t="n">
        <v>0</v>
      </c>
      <c r="AC216" s="22" t="n">
        <v>2</v>
      </c>
      <c r="AD216" s="22" t="n">
        <v>0</v>
      </c>
      <c r="AE216" s="14" t="str">
        <v>2</v>
      </c>
      <c r="AF216" s="14" t="str">
        <v>TCRE</v>
      </c>
      <c r="AG216" s="14" t="str">
        <v>TCRE20241</v>
      </c>
      <c r="AH216" s="14" t="str">
        <v>REGULAR</v>
      </c>
      <c r="AI216" s="14" t="str">
        <v>C</v>
      </c>
      <c r="AJ216" s="22" t="n">
        <v>0</v>
      </c>
      <c r="AK216" s="22" t="n">
        <v>0</v>
      </c>
      <c r="AL216" s="22" t="n">
        <v>0</v>
      </c>
      <c r="AM216" s="22" t="n">
        <v>2</v>
      </c>
      <c r="AN216" s="22" t="n">
        <v>0</v>
      </c>
      <c r="AO216" s="14" t="str">
        <v>CRUCE_PERSONA_MU_2022_2026</v>
      </c>
      <c r="AP216" s="14" t="str">
        <v>UNIDO</v>
      </c>
      <c r="AQ216" s="14" t="str">
        <v>UNIDO</v>
      </c>
      <c r="AR216" s="14" t="str">
        <v>B/C</v>
      </c>
      <c r="AS216" s="14" t="str">
        <v>MATRIZ / PUBLICA</v>
      </c>
      <c r="AT216" s="14" t="str">
        <v>ANUAL</v>
      </c>
      <c r="AU216" s="14" t="n">
        <v>5</v>
      </c>
      <c r="AV216" s="14" t="n">
        <v>5</v>
      </c>
      <c r="AW216" s="14" t="str">
        <v>VERSIONES_POR_DURACION_O_TIPO</v>
      </c>
      <c r="AX216" s="14" t="n">
        <v>2025</v>
      </c>
      <c r="AY216" s="14" t="str">
        <v>PUBLICA; última matrícula</v>
      </c>
    </row>
    <row r="217" ht="27" customHeight="1">
      <c r="A217" s="15" t="str">
        <v>I162S2C6J2V1</v>
      </c>
      <c r="B217" s="15" t="str">
        <v>TECNICO EN CONECTIVIDAD Y REDES</v>
      </c>
      <c r="C217" s="15" t="str">
        <v>2</v>
      </c>
      <c r="D217" s="15" t="str">
        <v>2</v>
      </c>
      <c r="E217" s="15" t="str">
        <v>1</v>
      </c>
      <c r="F217" s="15" t="str">
        <v>Presencial</v>
      </c>
      <c r="G217" s="15" t="str">
        <v>Pregrado</v>
      </c>
      <c r="H217" s="15" t="str">
        <v>Plan Regular</v>
      </c>
      <c r="I217" s="23" t="n">
        <v>2007</v>
      </c>
      <c r="J217" s="23" t="n">
        <v>2025</v>
      </c>
      <c r="K217" s="24" t="n">
        <v>343</v>
      </c>
      <c r="L217" s="24" t="n">
        <v>0</v>
      </c>
      <c r="M217" s="24" t="n">
        <v>282</v>
      </c>
      <c r="N217" s="24" t="n">
        <v>275</v>
      </c>
      <c r="O217" s="24" t="n">
        <v>247</v>
      </c>
      <c r="P217" s="24" t="n">
        <v>267</v>
      </c>
      <c r="Q217" s="24" t="n">
        <v>296</v>
      </c>
      <c r="R217" s="24" t="n">
        <v>246</v>
      </c>
      <c r="S217" s="24" t="n">
        <v>261</v>
      </c>
      <c r="T217" s="24" t="n">
        <v>192</v>
      </c>
      <c r="U217" s="24" t="n">
        <v>184</v>
      </c>
      <c r="V217" s="24" t="n">
        <v>134</v>
      </c>
      <c r="W217" s="24" t="n">
        <v>65</v>
      </c>
      <c r="X217" s="24" t="n">
        <v>23</v>
      </c>
      <c r="Y217" s="24" t="n">
        <v>14</v>
      </c>
      <c r="Z217" s="24" t="n">
        <v>7</v>
      </c>
      <c r="AA217" s="24" t="n">
        <v>3</v>
      </c>
      <c r="AB217" s="24" t="n">
        <v>0</v>
      </c>
      <c r="AC217" s="24" t="n">
        <v>2</v>
      </c>
      <c r="AD217" s="24" t="n">
        <v>0</v>
      </c>
      <c r="AE217" s="15" t="str">
        <v>2</v>
      </c>
      <c r="AF217" s="15" t="str">
        <v>TTMRE</v>
      </c>
      <c r="AG217" s="15" t="str">
        <v>TTMRE20161</v>
      </c>
      <c r="AH217" s="15" t="str">
        <v>REGULAR</v>
      </c>
      <c r="AI217" s="15" t="str">
        <v>C</v>
      </c>
      <c r="AJ217" s="24" t="n">
        <v>0</v>
      </c>
      <c r="AK217" s="24" t="n">
        <v>1</v>
      </c>
      <c r="AL217" s="24" t="n">
        <v>0</v>
      </c>
      <c r="AM217" s="24" t="n">
        <v>0</v>
      </c>
      <c r="AN217" s="24" t="n">
        <v>0</v>
      </c>
      <c r="AO217" s="15" t="str">
        <v>CRUCE_PERSONA_MU_2022_2026</v>
      </c>
      <c r="AP217" s="15" t="str">
        <v>UNIDO</v>
      </c>
      <c r="AQ217" s="15" t="str">
        <v>UNIDO</v>
      </c>
      <c r="AR217" s="15" t="str">
        <v>B/C</v>
      </c>
      <c r="AS217" s="15" t="str">
        <v>MATRIZ / PUBLICA</v>
      </c>
      <c r="AT217" s="15" t="str">
        <v>ANUAL</v>
      </c>
      <c r="AU217" s="15" t="n">
        <v>5</v>
      </c>
      <c r="AV217" s="15" t="n">
        <v>5</v>
      </c>
      <c r="AW217" s="15" t="str">
        <v>VERSIONES_POR_DURACION_O_TIPO</v>
      </c>
      <c r="AX217" s="15" t="n">
        <v>2025</v>
      </c>
      <c r="AY217" s="15" t="str">
        <v>PUBLICA; última matrícula</v>
      </c>
    </row>
    <row r="218" ht="27" customHeight="1">
      <c r="A218" s="14" t="str">
        <v>I162S2C6J2V1</v>
      </c>
      <c r="B218" s="14" t="str">
        <v>TECNICO EN CONECTIVIDAD Y REDES</v>
      </c>
      <c r="C218" s="14" t="str">
        <v>2</v>
      </c>
      <c r="D218" s="14" t="str">
        <v>2</v>
      </c>
      <c r="E218" s="14" t="str">
        <v>1</v>
      </c>
      <c r="F218" s="14" t="str">
        <v>Presencial</v>
      </c>
      <c r="G218" s="14" t="str">
        <v>Pregrado</v>
      </c>
      <c r="H218" s="14" t="str">
        <v>Plan Regular</v>
      </c>
      <c r="I218" s="21" t="n">
        <v>2007</v>
      </c>
      <c r="J218" s="21" t="n">
        <v>2025</v>
      </c>
      <c r="K218" s="22" t="n">
        <v>343</v>
      </c>
      <c r="L218" s="22" t="n">
        <v>0</v>
      </c>
      <c r="M218" s="22" t="n">
        <v>282</v>
      </c>
      <c r="N218" s="22" t="n">
        <v>275</v>
      </c>
      <c r="O218" s="22" t="n">
        <v>247</v>
      </c>
      <c r="P218" s="22" t="n">
        <v>267</v>
      </c>
      <c r="Q218" s="22" t="n">
        <v>296</v>
      </c>
      <c r="R218" s="22" t="n">
        <v>246</v>
      </c>
      <c r="S218" s="22" t="n">
        <v>261</v>
      </c>
      <c r="T218" s="22" t="n">
        <v>192</v>
      </c>
      <c r="U218" s="22" t="n">
        <v>184</v>
      </c>
      <c r="V218" s="22" t="n">
        <v>134</v>
      </c>
      <c r="W218" s="22" t="n">
        <v>65</v>
      </c>
      <c r="X218" s="22" t="n">
        <v>23</v>
      </c>
      <c r="Y218" s="22" t="n">
        <v>14</v>
      </c>
      <c r="Z218" s="22" t="n">
        <v>7</v>
      </c>
      <c r="AA218" s="22" t="n">
        <v>3</v>
      </c>
      <c r="AB218" s="22" t="n">
        <v>0</v>
      </c>
      <c r="AC218" s="22" t="n">
        <v>2</v>
      </c>
      <c r="AD218" s="22" t="n">
        <v>0</v>
      </c>
      <c r="AE218" s="14" t="str">
        <v>2</v>
      </c>
      <c r="AF218" s="14" t="str">
        <v>TTMRE</v>
      </c>
      <c r="AG218" s="14" t="str">
        <v>TTMRE20211</v>
      </c>
      <c r="AH218" s="14" t="str">
        <v>REGULAR</v>
      </c>
      <c r="AI218" s="14" t="str">
        <v>C</v>
      </c>
      <c r="AJ218" s="22" t="n">
        <v>7</v>
      </c>
      <c r="AK218" s="22" t="n">
        <v>2</v>
      </c>
      <c r="AL218" s="22" t="n">
        <v>0</v>
      </c>
      <c r="AM218" s="22" t="n">
        <v>0</v>
      </c>
      <c r="AN218" s="22" t="n">
        <v>0</v>
      </c>
      <c r="AO218" s="14" t="str">
        <v>CRUCE_PERSONA_MU_2022_2026</v>
      </c>
      <c r="AP218" s="14" t="str">
        <v>UNIDO</v>
      </c>
      <c r="AQ218" s="14" t="str">
        <v>UNIDO</v>
      </c>
      <c r="AR218" s="14" t="str">
        <v>B/C</v>
      </c>
      <c r="AS218" s="14" t="str">
        <v>MATRIZ / PUBLICA</v>
      </c>
      <c r="AT218" s="14" t="str">
        <v>ANUAL</v>
      </c>
      <c r="AU218" s="14" t="n">
        <v>5</v>
      </c>
      <c r="AV218" s="14" t="n">
        <v>5</v>
      </c>
      <c r="AW218" s="14" t="str">
        <v>VERSIONES_POR_DURACION_O_TIPO</v>
      </c>
      <c r="AX218" s="14" t="n">
        <v>2025</v>
      </c>
      <c r="AY218" s="14" t="str">
        <v>PUBLICA; última matrícula</v>
      </c>
    </row>
    <row r="219" ht="27" customHeight="1">
      <c r="A219" s="15" t="str">
        <v>I162S2C6J2V2</v>
      </c>
      <c r="B219" s="15" t="str">
        <v>TECNICO EN CONECTIVIDAD Y REDES</v>
      </c>
      <c r="C219" s="15" t="str">
        <v>2</v>
      </c>
      <c r="D219" s="15" t="str">
        <v>2</v>
      </c>
      <c r="E219" s="15" t="str">
        <v>2</v>
      </c>
      <c r="F219" s="15" t="str">
        <v>Presencial</v>
      </c>
      <c r="G219" s="15" t="str">
        <v>Pregrado</v>
      </c>
      <c r="H219" s="15" t="str">
        <v>Plan Regular</v>
      </c>
      <c r="I219" s="23" t="n">
        <v>2019</v>
      </c>
      <c r="J219" s="23" t="n">
        <v>2026</v>
      </c>
      <c r="K219" s="24" t="n">
        <v>0</v>
      </c>
      <c r="L219" s="24" t="n">
        <v>0</v>
      </c>
      <c r="M219" s="24" t="n">
        <v>0</v>
      </c>
      <c r="N219" s="24" t="n">
        <v>0</v>
      </c>
      <c r="O219" s="24" t="n">
        <v>0</v>
      </c>
      <c r="P219" s="24" t="n">
        <v>0</v>
      </c>
      <c r="Q219" s="24" t="n">
        <v>0</v>
      </c>
      <c r="R219" s="24" t="n">
        <v>0</v>
      </c>
      <c r="S219" s="24" t="n">
        <v>0</v>
      </c>
      <c r="T219" s="24" t="n">
        <v>0</v>
      </c>
      <c r="U219" s="24" t="n">
        <v>0</v>
      </c>
      <c r="V219" s="24" t="n">
        <v>0</v>
      </c>
      <c r="W219" s="24" t="n">
        <v>39</v>
      </c>
      <c r="X219" s="24" t="n">
        <v>49</v>
      </c>
      <c r="Y219" s="24" t="n">
        <v>35</v>
      </c>
      <c r="Z219" s="24" t="n">
        <v>16</v>
      </c>
      <c r="AA219" s="24" t="n">
        <v>5</v>
      </c>
      <c r="AB219" s="24" t="n">
        <v>6</v>
      </c>
      <c r="AC219" s="24" t="n">
        <v>6</v>
      </c>
      <c r="AD219" s="24" t="n">
        <v>7</v>
      </c>
      <c r="AE219" s="15" t="str">
        <v>2</v>
      </c>
      <c r="AF219" s="15" t="str">
        <v>TCRE</v>
      </c>
      <c r="AG219" s="15" t="str">
        <v>PLAN_NO_OBSERVADO</v>
      </c>
      <c r="AH219" s="15" t="str">
        <v>E</v>
      </c>
      <c r="AI219" s="15" t="str">
        <v>E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3</v>
      </c>
      <c r="AO219" s="15" t="str">
        <v>CRUCE_PERSONA_MU_2022_2026</v>
      </c>
      <c r="AP219" s="15" t="str">
        <v>PENDIENTE</v>
      </c>
      <c r="AQ219" s="15" t="str">
        <v>PLAN_NO_OBSERVADO</v>
      </c>
      <c r="AR219" s="15" t="str">
        <v>E</v>
      </c>
      <c r="AS219" s="15" t="str">
        <v>MATRIZ / PUBLICA</v>
      </c>
      <c r="AT219" s="15" t="str">
        <v>SIN_ACTIVIDAD_ANUAL; ENLACE_EXPEDIENTE_CONSERVADO</v>
      </c>
      <c r="AU219" s="15" t="n">
        <v>5</v>
      </c>
      <c r="AV219" s="15" t="n">
        <v>5</v>
      </c>
      <c r="AW219" s="15" t="str">
        <v>VERSIONES_POR_DURACION_O_TIPO</v>
      </c>
      <c r="AX219" s="15" t="n">
        <v>2026</v>
      </c>
      <c r="AY219" s="15" t="str">
        <v>PUBLICA; última matrícula</v>
      </c>
    </row>
    <row r="220" ht="27" customHeight="1">
      <c r="A220" s="14" t="str">
        <v>I162S2C6J2V2</v>
      </c>
      <c r="B220" s="14" t="str">
        <v>TECNICO EN CONECTIVIDAD Y REDES</v>
      </c>
      <c r="C220" s="14" t="str">
        <v>2</v>
      </c>
      <c r="D220" s="14" t="str">
        <v>2</v>
      </c>
      <c r="E220" s="14" t="str">
        <v>2</v>
      </c>
      <c r="F220" s="14" t="str">
        <v>Presencial</v>
      </c>
      <c r="G220" s="14" t="str">
        <v>Pregrado</v>
      </c>
      <c r="H220" s="14" t="str">
        <v>Plan Regular</v>
      </c>
      <c r="I220" s="21" t="n">
        <v>2019</v>
      </c>
      <c r="J220" s="21" t="n">
        <v>2026</v>
      </c>
      <c r="K220" s="22" t="n">
        <v>0</v>
      </c>
      <c r="L220" s="22" t="n">
        <v>0</v>
      </c>
      <c r="M220" s="22" t="n">
        <v>0</v>
      </c>
      <c r="N220" s="22" t="n">
        <v>0</v>
      </c>
      <c r="O220" s="22" t="n">
        <v>0</v>
      </c>
      <c r="P220" s="22" t="n">
        <v>0</v>
      </c>
      <c r="Q220" s="22" t="n">
        <v>0</v>
      </c>
      <c r="R220" s="22" t="n">
        <v>0</v>
      </c>
      <c r="S220" s="22" t="n">
        <v>0</v>
      </c>
      <c r="T220" s="22" t="n">
        <v>0</v>
      </c>
      <c r="U220" s="22" t="n">
        <v>0</v>
      </c>
      <c r="V220" s="22" t="n">
        <v>0</v>
      </c>
      <c r="W220" s="22" t="n">
        <v>39</v>
      </c>
      <c r="X220" s="22" t="n">
        <v>49</v>
      </c>
      <c r="Y220" s="22" t="n">
        <v>35</v>
      </c>
      <c r="Z220" s="22" t="n">
        <v>16</v>
      </c>
      <c r="AA220" s="22" t="n">
        <v>5</v>
      </c>
      <c r="AB220" s="22" t="n">
        <v>6</v>
      </c>
      <c r="AC220" s="22" t="n">
        <v>6</v>
      </c>
      <c r="AD220" s="22" t="n">
        <v>7</v>
      </c>
      <c r="AE220" s="14" t="str">
        <v>2</v>
      </c>
      <c r="AF220" s="14" t="str">
        <v>TCRE</v>
      </c>
      <c r="AG220" s="14" t="str">
        <v>TCRE20241</v>
      </c>
      <c r="AH220" s="14" t="str">
        <v>REGULAR</v>
      </c>
      <c r="AI220" s="14" t="str">
        <v>C</v>
      </c>
      <c r="AJ220" s="22" t="n">
        <v>0</v>
      </c>
      <c r="AK220" s="22" t="n">
        <v>0</v>
      </c>
      <c r="AL220" s="22" t="n">
        <v>3</v>
      </c>
      <c r="AM220" s="22" t="n">
        <v>6</v>
      </c>
      <c r="AN220" s="22" t="n">
        <v>2</v>
      </c>
      <c r="AO220" s="14" t="str">
        <v>CRUCE_PERSONA_MU_2022_2026</v>
      </c>
      <c r="AP220" s="14" t="str">
        <v>UNIDO</v>
      </c>
      <c r="AQ220" s="14" t="str">
        <v>UNIDO</v>
      </c>
      <c r="AR220" s="14" t="str">
        <v>B/C</v>
      </c>
      <c r="AS220" s="14" t="str">
        <v>MATRIZ / PUBLICA</v>
      </c>
      <c r="AT220" s="14" t="str">
        <v>ANUAL</v>
      </c>
      <c r="AU220" s="14" t="n">
        <v>5</v>
      </c>
      <c r="AV220" s="14" t="n">
        <v>5</v>
      </c>
      <c r="AW220" s="14" t="str">
        <v>VERSIONES_POR_DURACION_O_TIPO</v>
      </c>
      <c r="AX220" s="14" t="n">
        <v>2026</v>
      </c>
      <c r="AY220" s="14" t="str">
        <v>PUBLICA; última matrícula</v>
      </c>
    </row>
    <row r="221" ht="27" customHeight="1">
      <c r="A221" s="15" t="str">
        <v>I162S2C6J2V2</v>
      </c>
      <c r="B221" s="15" t="str">
        <v>TECNICO EN CONECTIVIDAD Y REDES</v>
      </c>
      <c r="C221" s="15" t="str">
        <v>2</v>
      </c>
      <c r="D221" s="15" t="str">
        <v>2</v>
      </c>
      <c r="E221" s="15" t="str">
        <v>2</v>
      </c>
      <c r="F221" s="15" t="str">
        <v>Presencial</v>
      </c>
      <c r="G221" s="15" t="str">
        <v>Pregrado</v>
      </c>
      <c r="H221" s="15" t="str">
        <v>Plan Regular</v>
      </c>
      <c r="I221" s="23" t="n">
        <v>2019</v>
      </c>
      <c r="J221" s="23" t="n">
        <v>2026</v>
      </c>
      <c r="K221" s="24" t="n">
        <v>0</v>
      </c>
      <c r="L221" s="24" t="n">
        <v>0</v>
      </c>
      <c r="M221" s="24" t="n">
        <v>0</v>
      </c>
      <c r="N221" s="24" t="n">
        <v>0</v>
      </c>
      <c r="O221" s="24" t="n">
        <v>0</v>
      </c>
      <c r="P221" s="24" t="n">
        <v>0</v>
      </c>
      <c r="Q221" s="24" t="n">
        <v>0</v>
      </c>
      <c r="R221" s="24" t="n">
        <v>0</v>
      </c>
      <c r="S221" s="24" t="n">
        <v>0</v>
      </c>
      <c r="T221" s="24" t="n">
        <v>0</v>
      </c>
      <c r="U221" s="24" t="n">
        <v>0</v>
      </c>
      <c r="V221" s="24" t="n">
        <v>0</v>
      </c>
      <c r="W221" s="24" t="n">
        <v>39</v>
      </c>
      <c r="X221" s="24" t="n">
        <v>49</v>
      </c>
      <c r="Y221" s="24" t="n">
        <v>35</v>
      </c>
      <c r="Z221" s="24" t="n">
        <v>16</v>
      </c>
      <c r="AA221" s="24" t="n">
        <v>5</v>
      </c>
      <c r="AB221" s="24" t="n">
        <v>6</v>
      </c>
      <c r="AC221" s="24" t="n">
        <v>6</v>
      </c>
      <c r="AD221" s="24" t="n">
        <v>7</v>
      </c>
      <c r="AE221" s="15" t="str">
        <v>2</v>
      </c>
      <c r="AF221" s="15" t="str">
        <v>TTMRE</v>
      </c>
      <c r="AG221" s="15" t="str">
        <v>TTMRE20191</v>
      </c>
      <c r="AH221" s="15" t="str">
        <v>REGULAR</v>
      </c>
      <c r="AI221" s="15" t="str">
        <v>C</v>
      </c>
      <c r="AJ221" s="24" t="n">
        <v>16</v>
      </c>
      <c r="AK221" s="24" t="n">
        <v>1</v>
      </c>
      <c r="AL221" s="24" t="n">
        <v>2</v>
      </c>
      <c r="AM221" s="24" t="n">
        <v>0</v>
      </c>
      <c r="AN221" s="24" t="n">
        <v>1</v>
      </c>
      <c r="AO221" s="15" t="str">
        <v>CRUCE_PERSONA_MU_2022_2026</v>
      </c>
      <c r="AP221" s="15" t="str">
        <v>UNIDO</v>
      </c>
      <c r="AQ221" s="15" t="str">
        <v>UNIDO</v>
      </c>
      <c r="AR221" s="15" t="str">
        <v>B/C</v>
      </c>
      <c r="AS221" s="15" t="str">
        <v>MATRIZ / PUBLICA</v>
      </c>
      <c r="AT221" s="15" t="str">
        <v>ANUAL</v>
      </c>
      <c r="AU221" s="15" t="n">
        <v>5</v>
      </c>
      <c r="AV221" s="15" t="n">
        <v>5</v>
      </c>
      <c r="AW221" s="15" t="str">
        <v>VERSIONES_POR_DURACION_O_TIPO</v>
      </c>
      <c r="AX221" s="15" t="n">
        <v>2026</v>
      </c>
      <c r="AY221" s="15" t="str">
        <v>PUBLICA; última matrícula</v>
      </c>
    </row>
    <row r="222" ht="27" customHeight="1">
      <c r="A222" s="14" t="str">
        <v>I162S2C6J2V2</v>
      </c>
      <c r="B222" s="14" t="str">
        <v>TECNICO EN CONECTIVIDAD Y REDES</v>
      </c>
      <c r="C222" s="14" t="str">
        <v>2</v>
      </c>
      <c r="D222" s="14" t="str">
        <v>2</v>
      </c>
      <c r="E222" s="14" t="str">
        <v>2</v>
      </c>
      <c r="F222" s="14" t="str">
        <v>Presencial</v>
      </c>
      <c r="G222" s="14" t="str">
        <v>Pregrado</v>
      </c>
      <c r="H222" s="14" t="str">
        <v>Plan Regular</v>
      </c>
      <c r="I222" s="21" t="n">
        <v>2019</v>
      </c>
      <c r="J222" s="21" t="n">
        <v>2026</v>
      </c>
      <c r="K222" s="22" t="n">
        <v>0</v>
      </c>
      <c r="L222" s="22" t="n">
        <v>0</v>
      </c>
      <c r="M222" s="22" t="n">
        <v>0</v>
      </c>
      <c r="N222" s="22" t="n">
        <v>0</v>
      </c>
      <c r="O222" s="22" t="n">
        <v>0</v>
      </c>
      <c r="P222" s="22" t="n">
        <v>0</v>
      </c>
      <c r="Q222" s="22" t="n">
        <v>0</v>
      </c>
      <c r="R222" s="22" t="n">
        <v>0</v>
      </c>
      <c r="S222" s="22" t="n">
        <v>0</v>
      </c>
      <c r="T222" s="22" t="n">
        <v>0</v>
      </c>
      <c r="U222" s="22" t="n">
        <v>0</v>
      </c>
      <c r="V222" s="22" t="n">
        <v>0</v>
      </c>
      <c r="W222" s="22" t="n">
        <v>39</v>
      </c>
      <c r="X222" s="22" t="n">
        <v>49</v>
      </c>
      <c r="Y222" s="22" t="n">
        <v>35</v>
      </c>
      <c r="Z222" s="22" t="n">
        <v>16</v>
      </c>
      <c r="AA222" s="22" t="n">
        <v>5</v>
      </c>
      <c r="AB222" s="22" t="n">
        <v>6</v>
      </c>
      <c r="AC222" s="22" t="n">
        <v>6</v>
      </c>
      <c r="AD222" s="22" t="n">
        <v>7</v>
      </c>
      <c r="AE222" s="14" t="str">
        <v>2</v>
      </c>
      <c r="AF222" s="14" t="str">
        <v>TTMRE</v>
      </c>
      <c r="AG222" s="14" t="str">
        <v>TTMRE20211</v>
      </c>
      <c r="AH222" s="14" t="str">
        <v>REGULAR</v>
      </c>
      <c r="AI222" s="14" t="str">
        <v>C</v>
      </c>
      <c r="AJ222" s="22" t="n">
        <v>0</v>
      </c>
      <c r="AK222" s="22" t="n">
        <v>4</v>
      </c>
      <c r="AL222" s="22" t="n">
        <v>0</v>
      </c>
      <c r="AM222" s="22" t="n">
        <v>0</v>
      </c>
      <c r="AN222" s="22" t="n">
        <v>0</v>
      </c>
      <c r="AO222" s="14" t="str">
        <v>CRUCE_PERSONA_MU_2022_2026</v>
      </c>
      <c r="AP222" s="14" t="str">
        <v>UNIDO</v>
      </c>
      <c r="AQ222" s="14" t="str">
        <v>UNIDO</v>
      </c>
      <c r="AR222" s="14" t="str">
        <v>B/C</v>
      </c>
      <c r="AS222" s="14" t="str">
        <v>MATRIZ / PUBLICA</v>
      </c>
      <c r="AT222" s="14" t="str">
        <v>ANUAL</v>
      </c>
      <c r="AU222" s="14" t="n">
        <v>5</v>
      </c>
      <c r="AV222" s="14" t="n">
        <v>5</v>
      </c>
      <c r="AW222" s="14" t="str">
        <v>VERSIONES_POR_DURACION_O_TIPO</v>
      </c>
      <c r="AX222" s="14" t="n">
        <v>2026</v>
      </c>
      <c r="AY222" s="14" t="str">
        <v>PUBLICA; última matrícula</v>
      </c>
    </row>
    <row r="223" ht="27" customHeight="1">
      <c r="A223" s="15" t="str">
        <v>I162S2C6J4V1</v>
      </c>
      <c r="B223" s="15" t="str">
        <v>TECNICO EN CONECTIVIDAD Y REDES</v>
      </c>
      <c r="C223" s="15" t="str">
        <v>2</v>
      </c>
      <c r="D223" s="15" t="str">
        <v>4</v>
      </c>
      <c r="E223" s="15" t="str">
        <v>1</v>
      </c>
      <c r="F223" s="15" t="str">
        <v>No presencial</v>
      </c>
      <c r="G223" s="15" t="str">
        <v>Pregrado</v>
      </c>
      <c r="H223" s="15" t="str">
        <v>Plan Regular</v>
      </c>
      <c r="I223" s="23" t="n">
        <v>2017</v>
      </c>
      <c r="J223" s="23" t="n">
        <v>2021</v>
      </c>
      <c r="K223" s="24" t="n">
        <v>0</v>
      </c>
      <c r="L223" s="24" t="n">
        <v>0</v>
      </c>
      <c r="M223" s="24" t="n">
        <v>0</v>
      </c>
      <c r="N223" s="24" t="n">
        <v>0</v>
      </c>
      <c r="O223" s="24" t="n">
        <v>0</v>
      </c>
      <c r="P223" s="24" t="n">
        <v>0</v>
      </c>
      <c r="Q223" s="24" t="n">
        <v>0</v>
      </c>
      <c r="R223" s="24" t="n">
        <v>0</v>
      </c>
      <c r="S223" s="24" t="n">
        <v>0</v>
      </c>
      <c r="T223" s="24" t="n">
        <v>0</v>
      </c>
      <c r="U223" s="24" t="n">
        <v>28</v>
      </c>
      <c r="V223" s="24" t="n">
        <v>39</v>
      </c>
      <c r="W223" s="24" t="n">
        <v>25</v>
      </c>
      <c r="X223" s="24" t="n">
        <v>8</v>
      </c>
      <c r="Y223" s="24" t="n">
        <v>30</v>
      </c>
      <c r="Z223" s="24" t="n">
        <v>0</v>
      </c>
      <c r="AA223" s="24" t="n">
        <v>0</v>
      </c>
      <c r="AB223" s="24" t="n">
        <v>0</v>
      </c>
      <c r="AC223" s="24" t="n">
        <v>0</v>
      </c>
      <c r="AD223" s="24" t="n">
        <v>0</v>
      </c>
      <c r="AE223" s="15" t="str">
        <v>n.a.</v>
      </c>
      <c r="AF223" s="15" t="str">
        <v>E</v>
      </c>
      <c r="AG223" s="15" t="str">
        <v>E: sin plan</v>
      </c>
      <c r="AH223" s="15" t="str">
        <v>E</v>
      </c>
      <c r="AI223" s="15" t="str">
        <v>E</v>
      </c>
      <c r="AJ223" s="24" t="n">
        <v>0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15" t="str">
        <v>SOLO_SIES_PRE_2022</v>
      </c>
      <c r="AP223" s="15" t="str">
        <v>PENDIENTE</v>
      </c>
      <c r="AQ223" s="15" t="str">
        <v>SOLO_ANTES_2022</v>
      </c>
      <c r="AR223" s="15" t="str">
        <v>E</v>
      </c>
      <c r="AS223" s="15" t="str">
        <v>PUBLICA</v>
      </c>
      <c r="AT223" s="15" t="str">
        <v>E</v>
      </c>
      <c r="AU223" s="15" t="n">
        <v>5</v>
      </c>
      <c r="AV223" s="15" t="n">
        <v>5</v>
      </c>
      <c r="AW223" s="15" t="str">
        <v>VERSIONES_ATRIBUTOS_IDENTICOS</v>
      </c>
      <c r="AX223" s="15" t="n">
        <v>2021</v>
      </c>
      <c r="AY223" s="15" t="str">
        <v>PUBLICA; última matrícula</v>
      </c>
    </row>
    <row r="224" ht="27" customHeight="1">
      <c r="A224" s="14" t="str">
        <v>I162S2C6J4V2</v>
      </c>
      <c r="B224" s="14" t="str">
        <v>TECNICO EN CONECTIVIDAD Y REDES</v>
      </c>
      <c r="C224" s="14" t="str">
        <v>2</v>
      </c>
      <c r="D224" s="14" t="str">
        <v>4</v>
      </c>
      <c r="E224" s="14" t="str">
        <v>2</v>
      </c>
      <c r="F224" s="14" t="str">
        <v>No presencial</v>
      </c>
      <c r="G224" s="14" t="str">
        <v>Pregrado</v>
      </c>
      <c r="H224" s="14" t="str">
        <v>Plan Regular</v>
      </c>
      <c r="I224" s="21" t="n">
        <v>2019</v>
      </c>
      <c r="J224" s="21" t="n">
        <v>2026</v>
      </c>
      <c r="K224" s="22" t="n">
        <v>0</v>
      </c>
      <c r="L224" s="22" t="n">
        <v>0</v>
      </c>
      <c r="M224" s="22" t="n">
        <v>0</v>
      </c>
      <c r="N224" s="22" t="n">
        <v>0</v>
      </c>
      <c r="O224" s="22" t="n">
        <v>0</v>
      </c>
      <c r="P224" s="22" t="n">
        <v>0</v>
      </c>
      <c r="Q224" s="22" t="n">
        <v>0</v>
      </c>
      <c r="R224" s="22" t="n">
        <v>0</v>
      </c>
      <c r="S224" s="22" t="n">
        <v>0</v>
      </c>
      <c r="T224" s="22" t="n">
        <v>0</v>
      </c>
      <c r="U224" s="22" t="n">
        <v>0</v>
      </c>
      <c r="V224" s="22" t="n">
        <v>0</v>
      </c>
      <c r="W224" s="22" t="n">
        <v>28</v>
      </c>
      <c r="X224" s="22" t="n">
        <v>35</v>
      </c>
      <c r="Y224" s="22" t="n">
        <v>26</v>
      </c>
      <c r="Z224" s="22" t="n">
        <v>72</v>
      </c>
      <c r="AA224" s="22" t="n">
        <v>73</v>
      </c>
      <c r="AB224" s="22" t="n">
        <v>63</v>
      </c>
      <c r="AC224" s="22" t="n">
        <v>63</v>
      </c>
      <c r="AD224" s="22" t="n">
        <v>45</v>
      </c>
      <c r="AE224" s="14" t="str">
        <v>1</v>
      </c>
      <c r="AF224" s="14" t="str">
        <v>TCRE / TTMREOL</v>
      </c>
      <c r="AG224" s="14" t="str">
        <v>PLAN_NO_OBSERVADO</v>
      </c>
      <c r="AH224" s="14" t="str">
        <v>E</v>
      </c>
      <c r="AI224" s="14" t="str">
        <v>E</v>
      </c>
      <c r="AJ224" s="22" t="n">
        <v>0</v>
      </c>
      <c r="AK224" s="22" t="n">
        <v>1</v>
      </c>
      <c r="AL224" s="22" t="n">
        <v>3</v>
      </c>
      <c r="AM224" s="22" t="n">
        <v>7</v>
      </c>
      <c r="AN224" s="22" t="n">
        <v>9</v>
      </c>
      <c r="AO224" s="14" t="str">
        <v>CRUCE_PERSONA_MU_2022_2026</v>
      </c>
      <c r="AP224" s="14" t="str">
        <v>PENDIENTE</v>
      </c>
      <c r="AQ224" s="14" t="str">
        <v>PLAN_NO_OBSERVADO</v>
      </c>
      <c r="AR224" s="14" t="str">
        <v>E</v>
      </c>
      <c r="AS224" s="14" t="str">
        <v>MATRIZ / PUBLICA</v>
      </c>
      <c r="AT224" s="14" t="str">
        <v>SIN_ACTIVIDAD_ANUAL; ENLACE_EXPEDIENTE_CONSERVADO</v>
      </c>
      <c r="AU224" s="14" t="n">
        <v>5</v>
      </c>
      <c r="AV224" s="14" t="n">
        <v>5</v>
      </c>
      <c r="AW224" s="14" t="str">
        <v>VERSIONES_ATRIBUTOS_IDENTICOS</v>
      </c>
      <c r="AX224" s="14" t="n">
        <v>2026</v>
      </c>
      <c r="AY224" s="14" t="str">
        <v>PUBLICA; última matrícula</v>
      </c>
    </row>
    <row r="225" ht="36" customHeight="1">
      <c r="A225" s="15" t="str">
        <v>I162S2C6J4V2</v>
      </c>
      <c r="B225" s="15" t="str">
        <v>TECNICO EN CONECTIVIDAD Y REDES</v>
      </c>
      <c r="C225" s="15" t="str">
        <v>2</v>
      </c>
      <c r="D225" s="15" t="str">
        <v>4</v>
      </c>
      <c r="E225" s="15" t="str">
        <v>2</v>
      </c>
      <c r="F225" s="15" t="str">
        <v>No presencial</v>
      </c>
      <c r="G225" s="15" t="str">
        <v>Pregrado</v>
      </c>
      <c r="H225" s="15" t="str">
        <v>Plan Regular</v>
      </c>
      <c r="I225" s="23" t="n">
        <v>2019</v>
      </c>
      <c r="J225" s="23" t="n">
        <v>2026</v>
      </c>
      <c r="K225" s="24" t="n">
        <v>0</v>
      </c>
      <c r="L225" s="24" t="n">
        <v>0</v>
      </c>
      <c r="M225" s="24" t="n">
        <v>0</v>
      </c>
      <c r="N225" s="24" t="n">
        <v>0</v>
      </c>
      <c r="O225" s="24" t="n">
        <v>0</v>
      </c>
      <c r="P225" s="24" t="n">
        <v>0</v>
      </c>
      <c r="Q225" s="24" t="n">
        <v>0</v>
      </c>
      <c r="R225" s="24" t="n">
        <v>0</v>
      </c>
      <c r="S225" s="24" t="n">
        <v>0</v>
      </c>
      <c r="T225" s="24" t="n">
        <v>0</v>
      </c>
      <c r="U225" s="24" t="n">
        <v>0</v>
      </c>
      <c r="V225" s="24" t="n">
        <v>0</v>
      </c>
      <c r="W225" s="24" t="n">
        <v>28</v>
      </c>
      <c r="X225" s="24" t="n">
        <v>35</v>
      </c>
      <c r="Y225" s="24" t="n">
        <v>26</v>
      </c>
      <c r="Z225" s="24" t="n">
        <v>72</v>
      </c>
      <c r="AA225" s="24" t="n">
        <v>73</v>
      </c>
      <c r="AB225" s="24" t="n">
        <v>63</v>
      </c>
      <c r="AC225" s="24" t="n">
        <v>63</v>
      </c>
      <c r="AD225" s="24" t="n">
        <v>45</v>
      </c>
      <c r="AE225" s="15" t="str">
        <v>1</v>
      </c>
      <c r="AF225" s="15" t="str">
        <v>TCRE</v>
      </c>
      <c r="AG225" s="15" t="str">
        <v>TCRE20241</v>
      </c>
      <c r="AH225" s="15" t="str">
        <v>REGULAR</v>
      </c>
      <c r="AI225" s="15" t="str">
        <v>C</v>
      </c>
      <c r="AJ225" s="24" t="n">
        <v>0</v>
      </c>
      <c r="AK225" s="24" t="n">
        <v>0</v>
      </c>
      <c r="AL225" s="24" t="n">
        <v>44</v>
      </c>
      <c r="AM225" s="24" t="n">
        <v>53</v>
      </c>
      <c r="AN225" s="24" t="n">
        <v>37</v>
      </c>
      <c r="AO225" s="15" t="str">
        <v>CRUCE_PERSONA_MU_2022_2026 / REGLA_MU_2027</v>
      </c>
      <c r="AP225" s="15" t="str">
        <v>UNIDO</v>
      </c>
      <c r="AQ225" s="15" t="str">
        <v>UNIDO</v>
      </c>
      <c r="AR225" s="15" t="str">
        <v>B/C</v>
      </c>
      <c r="AS225" s="15" t="str">
        <v>H002 / MATRIZ / PUBLICA</v>
      </c>
      <c r="AT225" s="15" t="str">
        <v>ANUAL / Catálogo 2027; no atribución retroactiva ni acreditación de cohorte/malla</v>
      </c>
      <c r="AU225" s="15" t="n">
        <v>5</v>
      </c>
      <c r="AV225" s="15" t="n">
        <v>5</v>
      </c>
      <c r="AW225" s="15" t="str">
        <v>VERSIONES_ATRIBUTOS_IDENTICOS</v>
      </c>
      <c r="AX225" s="15" t="n">
        <v>2026</v>
      </c>
      <c r="AY225" s="15" t="str">
        <v>PUBLICA; última matrícula</v>
      </c>
    </row>
    <row r="226" ht="36" customHeight="1">
      <c r="A226" s="14" t="str">
        <v>I162S2C6J4V2</v>
      </c>
      <c r="B226" s="14" t="str">
        <v>TECNICO EN CONECTIVIDAD Y REDES</v>
      </c>
      <c r="C226" s="14" t="str">
        <v>2</v>
      </c>
      <c r="D226" s="14" t="str">
        <v>4</v>
      </c>
      <c r="E226" s="14" t="str">
        <v>2</v>
      </c>
      <c r="F226" s="14" t="str">
        <v>No presencial</v>
      </c>
      <c r="G226" s="14" t="str">
        <v>Pregrado</v>
      </c>
      <c r="H226" s="14" t="str">
        <v>Plan Regular</v>
      </c>
      <c r="I226" s="21" t="n">
        <v>2019</v>
      </c>
      <c r="J226" s="21" t="n">
        <v>2026</v>
      </c>
      <c r="K226" s="22" t="n">
        <v>0</v>
      </c>
      <c r="L226" s="22" t="n">
        <v>0</v>
      </c>
      <c r="M226" s="22" t="n">
        <v>0</v>
      </c>
      <c r="N226" s="22" t="n">
        <v>0</v>
      </c>
      <c r="O226" s="22" t="n">
        <v>0</v>
      </c>
      <c r="P226" s="22" t="n">
        <v>0</v>
      </c>
      <c r="Q226" s="22" t="n">
        <v>0</v>
      </c>
      <c r="R226" s="22" t="n">
        <v>0</v>
      </c>
      <c r="S226" s="22" t="n">
        <v>0</v>
      </c>
      <c r="T226" s="22" t="n">
        <v>0</v>
      </c>
      <c r="U226" s="22" t="n">
        <v>0</v>
      </c>
      <c r="V226" s="22" t="n">
        <v>0</v>
      </c>
      <c r="W226" s="22" t="n">
        <v>28</v>
      </c>
      <c r="X226" s="22" t="n">
        <v>35</v>
      </c>
      <c r="Y226" s="22" t="n">
        <v>26</v>
      </c>
      <c r="Z226" s="22" t="n">
        <v>72</v>
      </c>
      <c r="AA226" s="22" t="n">
        <v>73</v>
      </c>
      <c r="AB226" s="22" t="n">
        <v>63</v>
      </c>
      <c r="AC226" s="22" t="n">
        <v>63</v>
      </c>
      <c r="AD226" s="22" t="n">
        <v>45</v>
      </c>
      <c r="AE226" s="14" t="str">
        <v>1</v>
      </c>
      <c r="AF226" s="14" t="str">
        <v>TTMREOL</v>
      </c>
      <c r="AG226" s="14" t="str">
        <v>TTMREOL</v>
      </c>
      <c r="AH226" s="14" t="str">
        <v>REGULAR</v>
      </c>
      <c r="AI226" s="14" t="str">
        <v>C</v>
      </c>
      <c r="AJ226" s="22" t="n">
        <v>0</v>
      </c>
      <c r="AK226" s="22" t="n">
        <v>1</v>
      </c>
      <c r="AL226" s="22" t="n">
        <v>1</v>
      </c>
      <c r="AM226" s="22" t="n">
        <v>0</v>
      </c>
      <c r="AN226" s="22" t="n">
        <v>0</v>
      </c>
      <c r="AO226" s="14" t="str">
        <v>CRUCE_PERSONA_MU_2022_2026 / REGLA_MU_2027</v>
      </c>
      <c r="AP226" s="14" t="str">
        <v>UNIDO</v>
      </c>
      <c r="AQ226" s="14" t="str">
        <v>UNIDO</v>
      </c>
      <c r="AR226" s="14" t="str">
        <v>B/C</v>
      </c>
      <c r="AS226" s="14" t="str">
        <v>H002 / MATRIZ / PUBLICA</v>
      </c>
      <c r="AT226" s="14" t="str">
        <v>ANUAL / Catálogo 2027; no atribución retroactiva ni acreditación de cohorte/malla</v>
      </c>
      <c r="AU226" s="14" t="n">
        <v>5</v>
      </c>
      <c r="AV226" s="14" t="n">
        <v>5</v>
      </c>
      <c r="AW226" s="14" t="str">
        <v>VERSIONES_ATRIBUTOS_IDENTICOS</v>
      </c>
      <c r="AX226" s="14" t="n">
        <v>2026</v>
      </c>
      <c r="AY226" s="14" t="str">
        <v>PUBLICA; última matrícula</v>
      </c>
    </row>
    <row r="227" ht="36" customHeight="1">
      <c r="A227" s="15" t="str">
        <v>I162S2C6J4V2</v>
      </c>
      <c r="B227" s="15" t="str">
        <v>TECNICO EN CONECTIVIDAD Y REDES</v>
      </c>
      <c r="C227" s="15" t="str">
        <v>2</v>
      </c>
      <c r="D227" s="15" t="str">
        <v>4</v>
      </c>
      <c r="E227" s="15" t="str">
        <v>2</v>
      </c>
      <c r="F227" s="15" t="str">
        <v>No presencial</v>
      </c>
      <c r="G227" s="15" t="str">
        <v>Pregrado</v>
      </c>
      <c r="H227" s="15" t="str">
        <v>Plan Regular</v>
      </c>
      <c r="I227" s="23" t="n">
        <v>2019</v>
      </c>
      <c r="J227" s="23" t="n">
        <v>2026</v>
      </c>
      <c r="K227" s="24" t="n">
        <v>0</v>
      </c>
      <c r="L227" s="24" t="n">
        <v>0</v>
      </c>
      <c r="M227" s="24" t="n">
        <v>0</v>
      </c>
      <c r="N227" s="24" t="n">
        <v>0</v>
      </c>
      <c r="O227" s="24" t="n">
        <v>0</v>
      </c>
      <c r="P227" s="24" t="n">
        <v>0</v>
      </c>
      <c r="Q227" s="24" t="n">
        <v>0</v>
      </c>
      <c r="R227" s="24" t="n">
        <v>0</v>
      </c>
      <c r="S227" s="24" t="n">
        <v>0</v>
      </c>
      <c r="T227" s="24" t="n">
        <v>0</v>
      </c>
      <c r="U227" s="24" t="n">
        <v>0</v>
      </c>
      <c r="V227" s="24" t="n">
        <v>0</v>
      </c>
      <c r="W227" s="24" t="n">
        <v>28</v>
      </c>
      <c r="X227" s="24" t="n">
        <v>35</v>
      </c>
      <c r="Y227" s="24" t="n">
        <v>26</v>
      </c>
      <c r="Z227" s="24" t="n">
        <v>72</v>
      </c>
      <c r="AA227" s="24" t="n">
        <v>73</v>
      </c>
      <c r="AB227" s="24" t="n">
        <v>63</v>
      </c>
      <c r="AC227" s="24" t="n">
        <v>63</v>
      </c>
      <c r="AD227" s="24" t="n">
        <v>45</v>
      </c>
      <c r="AE227" s="15" t="str">
        <v>1</v>
      </c>
      <c r="AF227" s="15" t="str">
        <v>TTMREOL</v>
      </c>
      <c r="AG227" s="15" t="str">
        <v>TTMREOL20191</v>
      </c>
      <c r="AH227" s="15" t="str">
        <v>REGULAR</v>
      </c>
      <c r="AI227" s="15" t="str">
        <v>C</v>
      </c>
      <c r="AJ227" s="24" t="n">
        <v>10</v>
      </c>
      <c r="AK227" s="24" t="n">
        <v>2</v>
      </c>
      <c r="AL227" s="24" t="n">
        <v>1</v>
      </c>
      <c r="AM227" s="24" t="n">
        <v>0</v>
      </c>
      <c r="AN227" s="24" t="n">
        <v>0</v>
      </c>
      <c r="AO227" s="15" t="str">
        <v>CRUCE_PERSONA_MU_2022_2026 / REGLA_MU_2027</v>
      </c>
      <c r="AP227" s="15" t="str">
        <v>UNIDO</v>
      </c>
      <c r="AQ227" s="15" t="str">
        <v>UNIDO</v>
      </c>
      <c r="AR227" s="15" t="str">
        <v>B/C</v>
      </c>
      <c r="AS227" s="15" t="str">
        <v>H002 / MATRIZ / PUBLICA</v>
      </c>
      <c r="AT227" s="15" t="str">
        <v>ANUAL / Catálogo 2027; no atribución retroactiva ni acreditación de cohorte/malla</v>
      </c>
      <c r="AU227" s="15" t="n">
        <v>5</v>
      </c>
      <c r="AV227" s="15" t="n">
        <v>5</v>
      </c>
      <c r="AW227" s="15" t="str">
        <v>VERSIONES_ATRIBUTOS_IDENTICOS</v>
      </c>
      <c r="AX227" s="15" t="n">
        <v>2026</v>
      </c>
      <c r="AY227" s="15" t="str">
        <v>PUBLICA; última matrícula</v>
      </c>
    </row>
    <row r="228" ht="36" customHeight="1">
      <c r="A228" s="14" t="str">
        <v>I162S2C6J4V2</v>
      </c>
      <c r="B228" s="14" t="str">
        <v>TECNICO EN CONECTIVIDAD Y REDES</v>
      </c>
      <c r="C228" s="14" t="str">
        <v>2</v>
      </c>
      <c r="D228" s="14" t="str">
        <v>4</v>
      </c>
      <c r="E228" s="14" t="str">
        <v>2</v>
      </c>
      <c r="F228" s="14" t="str">
        <v>No presencial</v>
      </c>
      <c r="G228" s="14" t="str">
        <v>Pregrado</v>
      </c>
      <c r="H228" s="14" t="str">
        <v>Plan Regular</v>
      </c>
      <c r="I228" s="21" t="n">
        <v>2019</v>
      </c>
      <c r="J228" s="21" t="n">
        <v>2026</v>
      </c>
      <c r="K228" s="22" t="n">
        <v>0</v>
      </c>
      <c r="L228" s="22" t="n">
        <v>0</v>
      </c>
      <c r="M228" s="22" t="n">
        <v>0</v>
      </c>
      <c r="N228" s="22" t="n">
        <v>0</v>
      </c>
      <c r="O228" s="22" t="n">
        <v>0</v>
      </c>
      <c r="P228" s="22" t="n">
        <v>0</v>
      </c>
      <c r="Q228" s="22" t="n">
        <v>0</v>
      </c>
      <c r="R228" s="22" t="n">
        <v>0</v>
      </c>
      <c r="S228" s="22" t="n">
        <v>0</v>
      </c>
      <c r="T228" s="22" t="n">
        <v>0</v>
      </c>
      <c r="U228" s="22" t="n">
        <v>0</v>
      </c>
      <c r="V228" s="22" t="n">
        <v>0</v>
      </c>
      <c r="W228" s="22" t="n">
        <v>28</v>
      </c>
      <c r="X228" s="22" t="n">
        <v>35</v>
      </c>
      <c r="Y228" s="22" t="n">
        <v>26</v>
      </c>
      <c r="Z228" s="22" t="n">
        <v>72</v>
      </c>
      <c r="AA228" s="22" t="n">
        <v>73</v>
      </c>
      <c r="AB228" s="22" t="n">
        <v>63</v>
      </c>
      <c r="AC228" s="22" t="n">
        <v>63</v>
      </c>
      <c r="AD228" s="22" t="n">
        <v>45</v>
      </c>
      <c r="AE228" s="14" t="str">
        <v>1</v>
      </c>
      <c r="AF228" s="14" t="str">
        <v>TTMREOL</v>
      </c>
      <c r="AG228" s="14" t="str">
        <v>TTMREOL20211</v>
      </c>
      <c r="AH228" s="14" t="str">
        <v>REGULAR</v>
      </c>
      <c r="AI228" s="14" t="str">
        <v>C</v>
      </c>
      <c r="AJ228" s="22" t="n">
        <v>62</v>
      </c>
      <c r="AK228" s="22" t="n">
        <v>45</v>
      </c>
      <c r="AL228" s="22" t="n">
        <v>12</v>
      </c>
      <c r="AM228" s="22" t="n">
        <v>0</v>
      </c>
      <c r="AN228" s="22" t="n">
        <v>0</v>
      </c>
      <c r="AO228" s="14" t="str">
        <v>CRUCE_PERSONA_MU_2022_2026 / REGLA_MU_2027</v>
      </c>
      <c r="AP228" s="14" t="str">
        <v>UNIDO</v>
      </c>
      <c r="AQ228" s="14" t="str">
        <v>UNIDO</v>
      </c>
      <c r="AR228" s="14" t="str">
        <v>B/C</v>
      </c>
      <c r="AS228" s="14" t="str">
        <v>H002 / MATRIZ / PUBLICA</v>
      </c>
      <c r="AT228" s="14" t="str">
        <v>ANUAL / Catálogo 2027; no atribución retroactiva ni acreditación de cohorte/malla</v>
      </c>
      <c r="AU228" s="14" t="n">
        <v>5</v>
      </c>
      <c r="AV228" s="14" t="n">
        <v>5</v>
      </c>
      <c r="AW228" s="14" t="str">
        <v>VERSIONES_ATRIBUTOS_IDENTICOS</v>
      </c>
      <c r="AX228" s="14" t="n">
        <v>2026</v>
      </c>
      <c r="AY228" s="14" t="str">
        <v>PUBLICA; última matrícula</v>
      </c>
    </row>
    <row r="229" ht="36" customHeight="1">
      <c r="A229" s="15" t="str">
        <v>I162S2C6J4V2</v>
      </c>
      <c r="B229" s="15" t="str">
        <v>TECNICO EN CONECTIVIDAD Y REDES</v>
      </c>
      <c r="C229" s="15" t="str">
        <v>2</v>
      </c>
      <c r="D229" s="15" t="str">
        <v>4</v>
      </c>
      <c r="E229" s="15" t="str">
        <v>2</v>
      </c>
      <c r="F229" s="15" t="str">
        <v>No presencial</v>
      </c>
      <c r="G229" s="15" t="str">
        <v>Pregrado</v>
      </c>
      <c r="H229" s="15" t="str">
        <v>Plan Regular</v>
      </c>
      <c r="I229" s="23" t="n">
        <v>2019</v>
      </c>
      <c r="J229" s="23" t="n">
        <v>2026</v>
      </c>
      <c r="K229" s="24" t="n">
        <v>0</v>
      </c>
      <c r="L229" s="24" t="n">
        <v>0</v>
      </c>
      <c r="M229" s="24" t="n">
        <v>0</v>
      </c>
      <c r="N229" s="24" t="n">
        <v>0</v>
      </c>
      <c r="O229" s="24" t="n">
        <v>0</v>
      </c>
      <c r="P229" s="24" t="n">
        <v>0</v>
      </c>
      <c r="Q229" s="24" t="n">
        <v>0</v>
      </c>
      <c r="R229" s="24" t="n">
        <v>0</v>
      </c>
      <c r="S229" s="24" t="n">
        <v>0</v>
      </c>
      <c r="T229" s="24" t="n">
        <v>0</v>
      </c>
      <c r="U229" s="24" t="n">
        <v>0</v>
      </c>
      <c r="V229" s="24" t="n">
        <v>0</v>
      </c>
      <c r="W229" s="24" t="n">
        <v>28</v>
      </c>
      <c r="X229" s="24" t="n">
        <v>35</v>
      </c>
      <c r="Y229" s="24" t="n">
        <v>26</v>
      </c>
      <c r="Z229" s="24" t="n">
        <v>72</v>
      </c>
      <c r="AA229" s="24" t="n">
        <v>73</v>
      </c>
      <c r="AB229" s="24" t="n">
        <v>63</v>
      </c>
      <c r="AC229" s="24" t="n">
        <v>63</v>
      </c>
      <c r="AD229" s="24" t="n">
        <v>45</v>
      </c>
      <c r="AE229" s="15" t="str">
        <v>1</v>
      </c>
      <c r="AF229" s="15" t="str">
        <v>TTMREOL</v>
      </c>
      <c r="AG229" s="15" t="str">
        <v>TTMREOL20231</v>
      </c>
      <c r="AH229" s="15" t="str">
        <v>REGULAR</v>
      </c>
      <c r="AI229" s="15" t="str">
        <v>C</v>
      </c>
      <c r="AJ229" s="24" t="n">
        <v>0</v>
      </c>
      <c r="AK229" s="24" t="n">
        <v>24</v>
      </c>
      <c r="AL229" s="24" t="n">
        <v>1</v>
      </c>
      <c r="AM229" s="24" t="n">
        <v>2</v>
      </c>
      <c r="AN229" s="24" t="n">
        <v>0</v>
      </c>
      <c r="AO229" s="15" t="str">
        <v>CRUCE_PERSONA_MU_2022_2026 / REGLA_MU_2027</v>
      </c>
      <c r="AP229" s="15" t="str">
        <v>UNIDO</v>
      </c>
      <c r="AQ229" s="15" t="str">
        <v>UNIDO</v>
      </c>
      <c r="AR229" s="15" t="str">
        <v>B/C</v>
      </c>
      <c r="AS229" s="15" t="str">
        <v>H002 / MATRIZ / PUBLICA</v>
      </c>
      <c r="AT229" s="15" t="str">
        <v>ANUAL / Catálogo 2027; no atribución retroactiva ni acreditación de cohorte/malla</v>
      </c>
      <c r="AU229" s="15" t="n">
        <v>5</v>
      </c>
      <c r="AV229" s="15" t="n">
        <v>5</v>
      </c>
      <c r="AW229" s="15" t="str">
        <v>VERSIONES_ATRIBUTOS_IDENTICOS</v>
      </c>
      <c r="AX229" s="15" t="n">
        <v>2026</v>
      </c>
      <c r="AY229" s="15" t="str">
        <v>PUBLICA; última matrícula</v>
      </c>
    </row>
    <row r="230" ht="27" customHeight="1">
      <c r="A230" s="14" t="str">
        <v>I162S2C6J4V3</v>
      </c>
      <c r="B230" s="14" t="str">
        <v>TECNICO EN CONECTIVIDAD Y REDES</v>
      </c>
      <c r="C230" s="14" t="str">
        <v>2</v>
      </c>
      <c r="D230" s="14" t="str">
        <v>4</v>
      </c>
      <c r="E230" s="14" t="str">
        <v>3</v>
      </c>
      <c r="F230" s="14" t="str">
        <v>No presencial</v>
      </c>
      <c r="G230" s="14" t="str">
        <v>Pregrado</v>
      </c>
      <c r="H230" s="14" t="str">
        <v>Plan Regular</v>
      </c>
      <c r="I230" s="21" t="str">
        <v>n.a.</v>
      </c>
      <c r="J230" s="21" t="str">
        <v>n.a.</v>
      </c>
      <c r="K230" s="22" t="n">
        <v>0</v>
      </c>
      <c r="L230" s="22" t="n">
        <v>0</v>
      </c>
      <c r="M230" s="22" t="n">
        <v>0</v>
      </c>
      <c r="N230" s="22" t="n">
        <v>0</v>
      </c>
      <c r="O230" s="22" t="n">
        <v>0</v>
      </c>
      <c r="P230" s="22" t="n">
        <v>0</v>
      </c>
      <c r="Q230" s="22" t="n">
        <v>0</v>
      </c>
      <c r="R230" s="22" t="n">
        <v>0</v>
      </c>
      <c r="S230" s="22" t="n">
        <v>0</v>
      </c>
      <c r="T230" s="22" t="n">
        <v>0</v>
      </c>
      <c r="U230" s="22" t="n">
        <v>0</v>
      </c>
      <c r="V230" s="22" t="n">
        <v>0</v>
      </c>
      <c r="W230" s="22" t="n">
        <v>0</v>
      </c>
      <c r="X230" s="22" t="n">
        <v>0</v>
      </c>
      <c r="Y230" s="22" t="n">
        <v>0</v>
      </c>
      <c r="Z230" s="22" t="n">
        <v>0</v>
      </c>
      <c r="AA230" s="22" t="n">
        <v>0</v>
      </c>
      <c r="AB230" s="22" t="n">
        <v>0</v>
      </c>
      <c r="AC230" s="22" t="n">
        <v>0</v>
      </c>
      <c r="AD230" s="22" t="n">
        <v>0</v>
      </c>
      <c r="AE230" s="14" t="str">
        <v>1</v>
      </c>
      <c r="AF230" s="14" t="str">
        <v>E</v>
      </c>
      <c r="AG230" s="14" t="str">
        <v>E: sin plan</v>
      </c>
      <c r="AH230" s="14" t="str">
        <v>E</v>
      </c>
      <c r="AI230" s="14" t="str">
        <v>E</v>
      </c>
      <c r="AJ230" s="22" t="n">
        <v>0</v>
      </c>
      <c r="AK230" s="22" t="n">
        <v>0</v>
      </c>
      <c r="AL230" s="22" t="n">
        <v>0</v>
      </c>
      <c r="AM230" s="22" t="n">
        <v>0</v>
      </c>
      <c r="AN230" s="22" t="n">
        <v>0</v>
      </c>
      <c r="AO230" s="14" t="str">
        <v>SIN_UNION</v>
      </c>
      <c r="AP230" s="14" t="str">
        <v>PENDIENTE</v>
      </c>
      <c r="AQ230" s="14" t="str">
        <v>NUEVO_2027_SIN_ALUMNOS</v>
      </c>
      <c r="AR230" s="14" t="str">
        <v>E</v>
      </c>
      <c r="AS230" s="14" t="str">
        <v>PUBLICA</v>
      </c>
      <c r="AT230" s="14" t="str">
        <v>E</v>
      </c>
      <c r="AU230" s="14" t="str">
        <v>E</v>
      </c>
      <c r="AV230" s="14" t="n">
        <v>4</v>
      </c>
      <c r="AW230" s="14" t="str">
        <v>VERSIONES_ATRIBUTOS_IDENTICOS</v>
      </c>
      <c r="AX230" s="14" t="n">
        <v>2027</v>
      </c>
      <c r="AY230" s="14" t="str">
        <v>H002; estudios no acreditados</v>
      </c>
    </row>
    <row r="231" ht="27" customHeight="1">
      <c r="A231" s="15" t="str">
        <v>I162S2C70J4V1</v>
      </c>
      <c r="B231" s="15" t="str">
        <v>DIPLOMADO REDES INDUSTRIALES</v>
      </c>
      <c r="C231" s="15" t="str">
        <v>2</v>
      </c>
      <c r="D231" s="15" t="str">
        <v>4</v>
      </c>
      <c r="E231" s="15" t="str">
        <v>1</v>
      </c>
      <c r="F231" s="15" t="str">
        <v>No presencial</v>
      </c>
      <c r="G231" s="15" t="str">
        <v>Postítulo/otro</v>
      </c>
      <c r="H231" s="15" t="str">
        <v>Plan Regular</v>
      </c>
      <c r="I231" s="23" t="n">
        <v>2026</v>
      </c>
      <c r="J231" s="23" t="n">
        <v>2026</v>
      </c>
      <c r="K231" s="24" t="n">
        <v>0</v>
      </c>
      <c r="L231" s="24" t="n">
        <v>0</v>
      </c>
      <c r="M231" s="24" t="n">
        <v>0</v>
      </c>
      <c r="N231" s="24" t="n">
        <v>0</v>
      </c>
      <c r="O231" s="24" t="n">
        <v>0</v>
      </c>
      <c r="P231" s="24" t="n">
        <v>0</v>
      </c>
      <c r="Q231" s="24" t="n">
        <v>0</v>
      </c>
      <c r="R231" s="24" t="n">
        <v>0</v>
      </c>
      <c r="S231" s="24" t="n">
        <v>0</v>
      </c>
      <c r="T231" s="24" t="n">
        <v>0</v>
      </c>
      <c r="U231" s="24" t="n">
        <v>0</v>
      </c>
      <c r="V231" s="24" t="n">
        <v>0</v>
      </c>
      <c r="W231" s="24" t="n">
        <v>0</v>
      </c>
      <c r="X231" s="24" t="n">
        <v>0</v>
      </c>
      <c r="Y231" s="24" t="n">
        <v>0</v>
      </c>
      <c r="Z231" s="24" t="n">
        <v>0</v>
      </c>
      <c r="AA231" s="24" t="n">
        <v>0</v>
      </c>
      <c r="AB231" s="24" t="n">
        <v>0</v>
      </c>
      <c r="AC231" s="24" t="n">
        <v>0</v>
      </c>
      <c r="AD231" s="24" t="n">
        <v>22</v>
      </c>
      <c r="AE231" s="15" t="str">
        <v>1</v>
      </c>
      <c r="AF231" s="15" t="str">
        <v>E</v>
      </c>
      <c r="AG231" s="15" t="str">
        <v>E: sin plan</v>
      </c>
      <c r="AH231" s="15" t="str">
        <v>E</v>
      </c>
      <c r="AI231" s="15" t="str">
        <v>E</v>
      </c>
      <c r="AJ231" s="24" t="n">
        <v>0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15" t="str">
        <v>SIN_UNION</v>
      </c>
      <c r="AP231" s="15" t="str">
        <v>PENDIENTE</v>
      </c>
      <c r="AQ231" s="15" t="str">
        <v>FUERA_ALCANCE</v>
      </c>
      <c r="AR231" s="15" t="str">
        <v>E</v>
      </c>
      <c r="AS231" s="15" t="str">
        <v>PUBLICA</v>
      </c>
      <c r="AT231" s="15" t="str">
        <v>E</v>
      </c>
      <c r="AU231" s="15" t="n">
        <v>1</v>
      </c>
      <c r="AV231" s="15" t="n">
        <v>1</v>
      </c>
      <c r="AW231" s="15" t="str">
        <v>UNA_VERSION_OBSERVADA</v>
      </c>
      <c r="AX231" s="15" t="n">
        <v>2026</v>
      </c>
      <c r="AY231" s="15" t="str">
        <v>PUBLICA; última matrícula</v>
      </c>
    </row>
    <row r="232" ht="27" customHeight="1">
      <c r="A232" s="14" t="str">
        <v>I162S2C71J4V1</v>
      </c>
      <c r="B232" s="14" t="str">
        <v>DIPLOMADO SEGURIDAD EN ARQUITECTURA DE REDES</v>
      </c>
      <c r="C232" s="14" t="str">
        <v>2</v>
      </c>
      <c r="D232" s="14" t="str">
        <v>4</v>
      </c>
      <c r="E232" s="14" t="str">
        <v>1</v>
      </c>
      <c r="F232" s="14" t="str">
        <v>No presencial</v>
      </c>
      <c r="G232" s="14" t="str">
        <v>Postítulo/otro</v>
      </c>
      <c r="H232" s="14" t="str">
        <v>Plan Regular</v>
      </c>
      <c r="I232" s="21" t="n">
        <v>2025</v>
      </c>
      <c r="J232" s="21" t="n">
        <v>2025</v>
      </c>
      <c r="K232" s="22" t="n">
        <v>0</v>
      </c>
      <c r="L232" s="22" t="n">
        <v>0</v>
      </c>
      <c r="M232" s="22" t="n">
        <v>0</v>
      </c>
      <c r="N232" s="22" t="n">
        <v>0</v>
      </c>
      <c r="O232" s="22" t="n">
        <v>0</v>
      </c>
      <c r="P232" s="22" t="n">
        <v>0</v>
      </c>
      <c r="Q232" s="22" t="n">
        <v>0</v>
      </c>
      <c r="R232" s="22" t="n">
        <v>0</v>
      </c>
      <c r="S232" s="22" t="n">
        <v>0</v>
      </c>
      <c r="T232" s="22" t="n">
        <v>0</v>
      </c>
      <c r="U232" s="22" t="n">
        <v>0</v>
      </c>
      <c r="V232" s="22" t="n">
        <v>0</v>
      </c>
      <c r="W232" s="22" t="n">
        <v>0</v>
      </c>
      <c r="X232" s="22" t="n">
        <v>0</v>
      </c>
      <c r="Y232" s="22" t="n">
        <v>0</v>
      </c>
      <c r="Z232" s="22" t="n">
        <v>0</v>
      </c>
      <c r="AA232" s="22" t="n">
        <v>0</v>
      </c>
      <c r="AB232" s="22" t="n">
        <v>0</v>
      </c>
      <c r="AC232" s="22" t="n">
        <v>20</v>
      </c>
      <c r="AD232" s="22" t="n">
        <v>0</v>
      </c>
      <c r="AE232" s="14" t="str">
        <v>3</v>
      </c>
      <c r="AF232" s="14" t="str">
        <v>E</v>
      </c>
      <c r="AG232" s="14" t="str">
        <v>E: sin plan</v>
      </c>
      <c r="AH232" s="14" t="str">
        <v>E</v>
      </c>
      <c r="AI232" s="14" t="str">
        <v>E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14" t="str">
        <v>SIN_UNION</v>
      </c>
      <c r="AP232" s="14" t="str">
        <v>PENDIENTE</v>
      </c>
      <c r="AQ232" s="14" t="str">
        <v>FUERA_ALCANCE</v>
      </c>
      <c r="AR232" s="14" t="str">
        <v>E</v>
      </c>
      <c r="AS232" s="14" t="str">
        <v>PUBLICA</v>
      </c>
      <c r="AT232" s="14" t="str">
        <v>E</v>
      </c>
      <c r="AU232" s="14" t="n">
        <v>1</v>
      </c>
      <c r="AV232" s="14" t="n">
        <v>1</v>
      </c>
      <c r="AW232" s="14" t="str">
        <v>UNA_VERSION_OBSERVADA</v>
      </c>
      <c r="AX232" s="14" t="n">
        <v>2025</v>
      </c>
      <c r="AY232" s="14" t="str">
        <v>PUBLICA; última matrícula</v>
      </c>
    </row>
    <row r="233" ht="27" customHeight="1">
      <c r="A233" s="15" t="str">
        <v>I162S2C76J1V1</v>
      </c>
      <c r="B233" s="15" t="str">
        <v>INGENIERIA EN ADMINISTRACION DE EMPRESAS</v>
      </c>
      <c r="C233" s="15" t="str">
        <v>2</v>
      </c>
      <c r="D233" s="15" t="str">
        <v>1</v>
      </c>
      <c r="E233" s="15" t="str">
        <v>1</v>
      </c>
      <c r="F233" s="15" t="str">
        <v>Presencial</v>
      </c>
      <c r="G233" s="15" t="str">
        <v>Pregrado</v>
      </c>
      <c r="H233" s="15" t="str">
        <v>Plan Regular</v>
      </c>
      <c r="I233" s="23" t="n">
        <v>2026</v>
      </c>
      <c r="J233" s="23" t="n">
        <v>2026</v>
      </c>
      <c r="K233" s="24" t="n">
        <v>0</v>
      </c>
      <c r="L233" s="24" t="n">
        <v>0</v>
      </c>
      <c r="M233" s="24" t="n">
        <v>0</v>
      </c>
      <c r="N233" s="24" t="n">
        <v>0</v>
      </c>
      <c r="O233" s="24" t="n">
        <v>0</v>
      </c>
      <c r="P233" s="24" t="n">
        <v>0</v>
      </c>
      <c r="Q233" s="24" t="n">
        <v>0</v>
      </c>
      <c r="R233" s="24" t="n">
        <v>0</v>
      </c>
      <c r="S233" s="24" t="n">
        <v>0</v>
      </c>
      <c r="T233" s="24" t="n">
        <v>0</v>
      </c>
      <c r="U233" s="24" t="n">
        <v>0</v>
      </c>
      <c r="V233" s="24" t="n">
        <v>0</v>
      </c>
      <c r="W233" s="24" t="n">
        <v>0</v>
      </c>
      <c r="X233" s="24" t="n">
        <v>0</v>
      </c>
      <c r="Y233" s="24" t="n">
        <v>0</v>
      </c>
      <c r="Z233" s="24" t="n">
        <v>0</v>
      </c>
      <c r="AA233" s="24" t="n">
        <v>0</v>
      </c>
      <c r="AB233" s="24" t="n">
        <v>0</v>
      </c>
      <c r="AC233" s="24" t="n">
        <v>0</v>
      </c>
      <c r="AD233" s="24" t="n">
        <v>7</v>
      </c>
      <c r="AE233" s="15" t="str">
        <v>2</v>
      </c>
      <c r="AF233" s="15" t="str">
        <v>IADM</v>
      </c>
      <c r="AG233" s="15" t="str">
        <v>IADM20241</v>
      </c>
      <c r="AH233" s="15" t="str">
        <v>REGULAR</v>
      </c>
      <c r="AI233" s="15" t="str">
        <v>C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6</v>
      </c>
      <c r="AO233" s="15" t="str">
        <v>CRUCE_PERSONA_MU_2022_2026</v>
      </c>
      <c r="AP233" s="15" t="str">
        <v>UNIDO</v>
      </c>
      <c r="AQ233" s="15" t="str">
        <v>UNIDO</v>
      </c>
      <c r="AR233" s="15" t="str">
        <v>B/C</v>
      </c>
      <c r="AS233" s="15" t="str">
        <v>MATRIZ / PUBLICA</v>
      </c>
      <c r="AT233" s="15" t="str">
        <v>ANUAL</v>
      </c>
      <c r="AU233" s="15" t="n">
        <v>8</v>
      </c>
      <c r="AV233" s="15" t="n">
        <v>8</v>
      </c>
      <c r="AW233" s="15" t="str">
        <v>UNA_VERSION_OBSERVADA</v>
      </c>
      <c r="AX233" s="15" t="n">
        <v>2026</v>
      </c>
      <c r="AY233" s="15" t="str">
        <v>PUBLICA; última matrícula</v>
      </c>
    </row>
    <row r="234" ht="27" customHeight="1">
      <c r="A234" s="14" t="str">
        <v>I162S2C76J1V1</v>
      </c>
      <c r="B234" s="14" t="str">
        <v>INGENIERIA EN ADMINISTRACION DE EMPRESAS</v>
      </c>
      <c r="C234" s="14" t="str">
        <v>2</v>
      </c>
      <c r="D234" s="14" t="str">
        <v>1</v>
      </c>
      <c r="E234" s="14" t="str">
        <v>1</v>
      </c>
      <c r="F234" s="14" t="str">
        <v>Presencial</v>
      </c>
      <c r="G234" s="14" t="str">
        <v>Pregrado</v>
      </c>
      <c r="H234" s="14" t="str">
        <v>Plan Regular</v>
      </c>
      <c r="I234" s="21" t="n">
        <v>2026</v>
      </c>
      <c r="J234" s="21" t="n">
        <v>2026</v>
      </c>
      <c r="K234" s="22" t="n">
        <v>0</v>
      </c>
      <c r="L234" s="22" t="n">
        <v>0</v>
      </c>
      <c r="M234" s="22" t="n">
        <v>0</v>
      </c>
      <c r="N234" s="22" t="n">
        <v>0</v>
      </c>
      <c r="O234" s="22" t="n">
        <v>0</v>
      </c>
      <c r="P234" s="22" t="n">
        <v>0</v>
      </c>
      <c r="Q234" s="22" t="n">
        <v>0</v>
      </c>
      <c r="R234" s="22" t="n">
        <v>0</v>
      </c>
      <c r="S234" s="22" t="n">
        <v>0</v>
      </c>
      <c r="T234" s="22" t="n">
        <v>0</v>
      </c>
      <c r="U234" s="22" t="n">
        <v>0</v>
      </c>
      <c r="V234" s="22" t="n">
        <v>0</v>
      </c>
      <c r="W234" s="22" t="n">
        <v>0</v>
      </c>
      <c r="X234" s="22" t="n">
        <v>0</v>
      </c>
      <c r="Y234" s="22" t="n">
        <v>0</v>
      </c>
      <c r="Z234" s="22" t="n">
        <v>0</v>
      </c>
      <c r="AA234" s="22" t="n">
        <v>0</v>
      </c>
      <c r="AB234" s="22" t="n">
        <v>0</v>
      </c>
      <c r="AC234" s="22" t="n">
        <v>0</v>
      </c>
      <c r="AD234" s="22" t="n">
        <v>7</v>
      </c>
      <c r="AE234" s="14" t="str">
        <v>2</v>
      </c>
      <c r="AF234" s="14" t="str">
        <v>IADM</v>
      </c>
      <c r="AG234" s="14" t="str">
        <v>PLAN_NO_OBSERVADO</v>
      </c>
      <c r="AH234" s="14" t="str">
        <v>E</v>
      </c>
      <c r="AI234" s="14" t="str">
        <v>E</v>
      </c>
      <c r="AJ234" s="22" t="n">
        <v>0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14" t="str">
        <v>CRUCE_PERSONA_MU_2022_2026</v>
      </c>
      <c r="AP234" s="14" t="str">
        <v>PENDIENTE</v>
      </c>
      <c r="AQ234" s="14" t="str">
        <v>PLAN_NO_OBSERVADO</v>
      </c>
      <c r="AR234" s="14" t="str">
        <v>E</v>
      </c>
      <c r="AS234" s="14" t="str">
        <v>MATRIZ / PUBLICA</v>
      </c>
      <c r="AT234" s="14" t="str">
        <v>SIN_ACTIVIDAD_ANUAL; ENLACE_EXPEDIENTE_CONSERVADO</v>
      </c>
      <c r="AU234" s="14" t="n">
        <v>8</v>
      </c>
      <c r="AV234" s="14" t="n">
        <v>8</v>
      </c>
      <c r="AW234" s="14" t="str">
        <v>UNA_VERSION_OBSERVADA</v>
      </c>
      <c r="AX234" s="14" t="n">
        <v>2026</v>
      </c>
      <c r="AY234" s="14" t="str">
        <v>PUBLICA; última matrícula</v>
      </c>
    </row>
    <row r="235" ht="36" customHeight="1">
      <c r="A235" s="15" t="str">
        <v>I162S2C76J2V1</v>
      </c>
      <c r="B235" s="15" t="str">
        <v>INGENIERIA EN ADMINISTRACION DE EMPRESAS</v>
      </c>
      <c r="C235" s="15" t="str">
        <v>2</v>
      </c>
      <c r="D235" s="15" t="str">
        <v>2</v>
      </c>
      <c r="E235" s="15" t="str">
        <v>1</v>
      </c>
      <c r="F235" s="15" t="str">
        <v>Presencial</v>
      </c>
      <c r="G235" s="15" t="str">
        <v>Pregrado</v>
      </c>
      <c r="H235" s="15" t="str">
        <v>Plan Regular</v>
      </c>
      <c r="I235" s="23" t="n">
        <v>2024</v>
      </c>
      <c r="J235" s="23" t="n">
        <v>2026</v>
      </c>
      <c r="K235" s="24" t="n">
        <v>0</v>
      </c>
      <c r="L235" s="24" t="n">
        <v>0</v>
      </c>
      <c r="M235" s="24" t="n">
        <v>0</v>
      </c>
      <c r="N235" s="24" t="n">
        <v>0</v>
      </c>
      <c r="O235" s="24" t="n">
        <v>0</v>
      </c>
      <c r="P235" s="24" t="n">
        <v>0</v>
      </c>
      <c r="Q235" s="24" t="n">
        <v>0</v>
      </c>
      <c r="R235" s="24" t="n">
        <v>0</v>
      </c>
      <c r="S235" s="24" t="n">
        <v>0</v>
      </c>
      <c r="T235" s="24" t="n">
        <v>0</v>
      </c>
      <c r="U235" s="24" t="n">
        <v>0</v>
      </c>
      <c r="V235" s="24" t="n">
        <v>0</v>
      </c>
      <c r="W235" s="24" t="n">
        <v>0</v>
      </c>
      <c r="X235" s="24" t="n">
        <v>0</v>
      </c>
      <c r="Y235" s="24" t="n">
        <v>0</v>
      </c>
      <c r="Z235" s="24" t="n">
        <v>0</v>
      </c>
      <c r="AA235" s="24" t="n">
        <v>0</v>
      </c>
      <c r="AB235" s="24" t="n">
        <v>1</v>
      </c>
      <c r="AC235" s="24" t="n">
        <v>22</v>
      </c>
      <c r="AD235" s="24" t="n">
        <v>25</v>
      </c>
      <c r="AE235" s="15" t="str">
        <v>1</v>
      </c>
      <c r="AF235" s="15" t="str">
        <v>IADM</v>
      </c>
      <c r="AG235" s="15" t="str">
        <v>IADM20241</v>
      </c>
      <c r="AH235" s="15" t="str">
        <v>REGULAR</v>
      </c>
      <c r="AI235" s="15" t="str">
        <v>C</v>
      </c>
      <c r="AJ235" s="24" t="n">
        <v>0</v>
      </c>
      <c r="AK235" s="24" t="n">
        <v>0</v>
      </c>
      <c r="AL235" s="24" t="n">
        <v>1</v>
      </c>
      <c r="AM235" s="24" t="n">
        <v>17</v>
      </c>
      <c r="AN235" s="24" t="n">
        <v>15</v>
      </c>
      <c r="AO235" s="15" t="str">
        <v>CRUCE_PERSONA_MU_2022_2026 / REGLA_MU_2027</v>
      </c>
      <c r="AP235" s="15" t="str">
        <v>UNIDO</v>
      </c>
      <c r="AQ235" s="15" t="str">
        <v>UNIDO</v>
      </c>
      <c r="AR235" s="15" t="str">
        <v>B/C</v>
      </c>
      <c r="AS235" s="15" t="str">
        <v>H002 / MATRIZ / PUBLICA</v>
      </c>
      <c r="AT235" s="15" t="str">
        <v>ANUAL / Catálogo 2027; no atribución retroactiva ni acreditación de cohorte/malla</v>
      </c>
      <c r="AU235" s="15" t="n">
        <v>8</v>
      </c>
      <c r="AV235" s="15" t="n">
        <v>8</v>
      </c>
      <c r="AW235" s="15" t="str">
        <v>UNA_VERSION_OBSERVADA</v>
      </c>
      <c r="AX235" s="15" t="n">
        <v>2026</v>
      </c>
      <c r="AY235" s="15" t="str">
        <v>PUBLICA; última matrícula</v>
      </c>
    </row>
    <row r="236" ht="27" customHeight="1">
      <c r="A236" s="14" t="str">
        <v>I162S2C76J2V1</v>
      </c>
      <c r="B236" s="14" t="str">
        <v>INGENIERIA EN ADMINISTRACION DE EMPRESAS</v>
      </c>
      <c r="C236" s="14" t="str">
        <v>2</v>
      </c>
      <c r="D236" s="14" t="str">
        <v>2</v>
      </c>
      <c r="E236" s="14" t="str">
        <v>1</v>
      </c>
      <c r="F236" s="14" t="str">
        <v>Presencial</v>
      </c>
      <c r="G236" s="14" t="str">
        <v>Pregrado</v>
      </c>
      <c r="H236" s="14" t="str">
        <v>Plan Regular</v>
      </c>
      <c r="I236" s="21" t="n">
        <v>2024</v>
      </c>
      <c r="J236" s="21" t="n">
        <v>2026</v>
      </c>
      <c r="K236" s="22" t="n">
        <v>0</v>
      </c>
      <c r="L236" s="22" t="n">
        <v>0</v>
      </c>
      <c r="M236" s="22" t="n">
        <v>0</v>
      </c>
      <c r="N236" s="22" t="n">
        <v>0</v>
      </c>
      <c r="O236" s="22" t="n">
        <v>0</v>
      </c>
      <c r="P236" s="22" t="n">
        <v>0</v>
      </c>
      <c r="Q236" s="22" t="n">
        <v>0</v>
      </c>
      <c r="R236" s="22" t="n">
        <v>0</v>
      </c>
      <c r="S236" s="22" t="n">
        <v>0</v>
      </c>
      <c r="T236" s="22" t="n">
        <v>0</v>
      </c>
      <c r="U236" s="22" t="n">
        <v>0</v>
      </c>
      <c r="V236" s="22" t="n">
        <v>0</v>
      </c>
      <c r="W236" s="22" t="n">
        <v>0</v>
      </c>
      <c r="X236" s="22" t="n">
        <v>0</v>
      </c>
      <c r="Y236" s="22" t="n">
        <v>0</v>
      </c>
      <c r="Z236" s="22" t="n">
        <v>0</v>
      </c>
      <c r="AA236" s="22" t="n">
        <v>0</v>
      </c>
      <c r="AB236" s="22" t="n">
        <v>1</v>
      </c>
      <c r="AC236" s="22" t="n">
        <v>22</v>
      </c>
      <c r="AD236" s="22" t="n">
        <v>25</v>
      </c>
      <c r="AE236" s="14" t="str">
        <v>1</v>
      </c>
      <c r="AF236" s="14" t="str">
        <v>IADM</v>
      </c>
      <c r="AG236" s="14" t="str">
        <v>PLAN_NO_OBSERVADO</v>
      </c>
      <c r="AH236" s="14" t="str">
        <v>E</v>
      </c>
      <c r="AI236" s="14" t="str">
        <v>E</v>
      </c>
      <c r="AJ236" s="22" t="n">
        <v>0</v>
      </c>
      <c r="AK236" s="22" t="n">
        <v>0</v>
      </c>
      <c r="AL236" s="22" t="n">
        <v>0</v>
      </c>
      <c r="AM236" s="22" t="n">
        <v>0</v>
      </c>
      <c r="AN236" s="22" t="n">
        <v>1</v>
      </c>
      <c r="AO236" s="14" t="str">
        <v>CRUCE_PERSONA_MU_2022_2026</v>
      </c>
      <c r="AP236" s="14" t="str">
        <v>PENDIENTE</v>
      </c>
      <c r="AQ236" s="14" t="str">
        <v>PLAN_NO_OBSERVADO</v>
      </c>
      <c r="AR236" s="14" t="str">
        <v>E</v>
      </c>
      <c r="AS236" s="14" t="str">
        <v>MATRIZ / PUBLICA</v>
      </c>
      <c r="AT236" s="14" t="str">
        <v>SIN_ACTIVIDAD_ANUAL; ENLACE_EXPEDIENTE_CONSERVADO</v>
      </c>
      <c r="AU236" s="14" t="n">
        <v>8</v>
      </c>
      <c r="AV236" s="14" t="n">
        <v>8</v>
      </c>
      <c r="AW236" s="14" t="str">
        <v>UNA_VERSION_OBSERVADA</v>
      </c>
      <c r="AX236" s="14" t="n">
        <v>2026</v>
      </c>
      <c r="AY236" s="14" t="str">
        <v>PUBLICA; última matrícula</v>
      </c>
    </row>
    <row r="237" ht="27" customHeight="1">
      <c r="A237" s="15" t="str">
        <v>I162S2C76J4V1</v>
      </c>
      <c r="B237" s="15" t="str">
        <v>INGENIERIA EN ADMINISTRACION DE EMPRESAS</v>
      </c>
      <c r="C237" s="15" t="str">
        <v>2</v>
      </c>
      <c r="D237" s="15" t="str">
        <v>4</v>
      </c>
      <c r="E237" s="15" t="str">
        <v>1</v>
      </c>
      <c r="F237" s="15" t="str">
        <v>No presencial</v>
      </c>
      <c r="G237" s="15" t="str">
        <v>Pregrado</v>
      </c>
      <c r="H237" s="15" t="str">
        <v>Plan Regular</v>
      </c>
      <c r="I237" s="23" t="n">
        <v>2024</v>
      </c>
      <c r="J237" s="23" t="n">
        <v>2026</v>
      </c>
      <c r="K237" s="24" t="n">
        <v>0</v>
      </c>
      <c r="L237" s="24" t="n">
        <v>0</v>
      </c>
      <c r="M237" s="24" t="n">
        <v>0</v>
      </c>
      <c r="N237" s="24" t="n">
        <v>0</v>
      </c>
      <c r="O237" s="24" t="n">
        <v>0</v>
      </c>
      <c r="P237" s="24" t="n">
        <v>0</v>
      </c>
      <c r="Q237" s="24" t="n">
        <v>0</v>
      </c>
      <c r="R237" s="24" t="n">
        <v>0</v>
      </c>
      <c r="S237" s="24" t="n">
        <v>0</v>
      </c>
      <c r="T237" s="24" t="n">
        <v>0</v>
      </c>
      <c r="U237" s="24" t="n">
        <v>0</v>
      </c>
      <c r="V237" s="24" t="n">
        <v>0</v>
      </c>
      <c r="W237" s="24" t="n">
        <v>0</v>
      </c>
      <c r="X237" s="24" t="n">
        <v>0</v>
      </c>
      <c r="Y237" s="24" t="n">
        <v>0</v>
      </c>
      <c r="Z237" s="24" t="n">
        <v>0</v>
      </c>
      <c r="AA237" s="24" t="n">
        <v>0</v>
      </c>
      <c r="AB237" s="24" t="n">
        <v>7</v>
      </c>
      <c r="AC237" s="24" t="n">
        <v>84</v>
      </c>
      <c r="AD237" s="24" t="n">
        <v>132</v>
      </c>
      <c r="AE237" s="15" t="str">
        <v>1</v>
      </c>
      <c r="AF237" s="15" t="str">
        <v>CIADM</v>
      </c>
      <c r="AG237" s="15" t="str">
        <v>CIADM20241</v>
      </c>
      <c r="AH237" s="15" t="str">
        <v>CONTINUIDAD</v>
      </c>
      <c r="AI237" s="15" t="str">
        <v>C</v>
      </c>
      <c r="AJ237" s="24" t="n">
        <v>0</v>
      </c>
      <c r="AK237" s="24" t="n">
        <v>0</v>
      </c>
      <c r="AL237" s="24" t="n">
        <v>0</v>
      </c>
      <c r="AM237" s="24" t="n">
        <v>1</v>
      </c>
      <c r="AN237" s="24" t="n">
        <v>0</v>
      </c>
      <c r="AO237" s="15" t="str">
        <v>CRUCE_PERSONA_MU_2022_2026</v>
      </c>
      <c r="AP237" s="15" t="str">
        <v>UNIDO</v>
      </c>
      <c r="AQ237" s="15" t="str">
        <v>UNIDO</v>
      </c>
      <c r="AR237" s="15" t="str">
        <v>B/C</v>
      </c>
      <c r="AS237" s="15" t="str">
        <v>MATRIZ / PUBLICA</v>
      </c>
      <c r="AT237" s="15" t="str">
        <v>ANUAL</v>
      </c>
      <c r="AU237" s="15" t="n">
        <v>8</v>
      </c>
      <c r="AV237" s="15" t="n">
        <v>8</v>
      </c>
      <c r="AW237" s="15" t="str">
        <v>VERSIONES_POR_DURACION_O_TIPO</v>
      </c>
      <c r="AX237" s="15" t="n">
        <v>2026</v>
      </c>
      <c r="AY237" s="15" t="str">
        <v>PUBLICA; última matrícula</v>
      </c>
    </row>
    <row r="238" ht="36" customHeight="1">
      <c r="A238" s="14" t="str">
        <v>I162S2C76J4V1</v>
      </c>
      <c r="B238" s="14" t="str">
        <v>INGENIERIA EN ADMINISTRACION DE EMPRESAS</v>
      </c>
      <c r="C238" s="14" t="str">
        <v>2</v>
      </c>
      <c r="D238" s="14" t="str">
        <v>4</v>
      </c>
      <c r="E238" s="14" t="str">
        <v>1</v>
      </c>
      <c r="F238" s="14" t="str">
        <v>No presencial</v>
      </c>
      <c r="G238" s="14" t="str">
        <v>Pregrado</v>
      </c>
      <c r="H238" s="14" t="str">
        <v>Plan Regular</v>
      </c>
      <c r="I238" s="21" t="n">
        <v>2024</v>
      </c>
      <c r="J238" s="21" t="n">
        <v>2026</v>
      </c>
      <c r="K238" s="22" t="n">
        <v>0</v>
      </c>
      <c r="L238" s="22" t="n">
        <v>0</v>
      </c>
      <c r="M238" s="22" t="n">
        <v>0</v>
      </c>
      <c r="N238" s="22" t="n">
        <v>0</v>
      </c>
      <c r="O238" s="22" t="n">
        <v>0</v>
      </c>
      <c r="P238" s="22" t="n">
        <v>0</v>
      </c>
      <c r="Q238" s="22" t="n">
        <v>0</v>
      </c>
      <c r="R238" s="22" t="n">
        <v>0</v>
      </c>
      <c r="S238" s="22" t="n">
        <v>0</v>
      </c>
      <c r="T238" s="22" t="n">
        <v>0</v>
      </c>
      <c r="U238" s="22" t="n">
        <v>0</v>
      </c>
      <c r="V238" s="22" t="n">
        <v>0</v>
      </c>
      <c r="W238" s="22" t="n">
        <v>0</v>
      </c>
      <c r="X238" s="22" t="n">
        <v>0</v>
      </c>
      <c r="Y238" s="22" t="n">
        <v>0</v>
      </c>
      <c r="Z238" s="22" t="n">
        <v>0</v>
      </c>
      <c r="AA238" s="22" t="n">
        <v>0</v>
      </c>
      <c r="AB238" s="22" t="n">
        <v>7</v>
      </c>
      <c r="AC238" s="22" t="n">
        <v>84</v>
      </c>
      <c r="AD238" s="22" t="n">
        <v>132</v>
      </c>
      <c r="AE238" s="14" t="str">
        <v>1</v>
      </c>
      <c r="AF238" s="14" t="str">
        <v>IADM</v>
      </c>
      <c r="AG238" s="14" t="str">
        <v>IADM20241</v>
      </c>
      <c r="AH238" s="14" t="str">
        <v>REGULAR</v>
      </c>
      <c r="AI238" s="14" t="str">
        <v>C</v>
      </c>
      <c r="AJ238" s="22" t="n">
        <v>0</v>
      </c>
      <c r="AK238" s="22" t="n">
        <v>0</v>
      </c>
      <c r="AL238" s="22" t="n">
        <v>7</v>
      </c>
      <c r="AM238" s="22" t="n">
        <v>80</v>
      </c>
      <c r="AN238" s="22" t="n">
        <v>105</v>
      </c>
      <c r="AO238" s="14" t="str">
        <v>CRUCE_PERSONA_MU_2022_2026 / REGLA_MU_2027</v>
      </c>
      <c r="AP238" s="14" t="str">
        <v>UNIDO</v>
      </c>
      <c r="AQ238" s="14" t="str">
        <v>UNIDO</v>
      </c>
      <c r="AR238" s="14" t="str">
        <v>B/C</v>
      </c>
      <c r="AS238" s="14" t="str">
        <v>H002 / MATRIZ / PUBLICA</v>
      </c>
      <c r="AT238" s="14" t="str">
        <v>ANUAL / Catálogo 2027; no atribución retroactiva ni acreditación de cohorte/malla</v>
      </c>
      <c r="AU238" s="14" t="n">
        <v>8</v>
      </c>
      <c r="AV238" s="14" t="n">
        <v>8</v>
      </c>
      <c r="AW238" s="14" t="str">
        <v>VERSIONES_POR_DURACION_O_TIPO</v>
      </c>
      <c r="AX238" s="14" t="n">
        <v>2026</v>
      </c>
      <c r="AY238" s="14" t="str">
        <v>PUBLICA; última matrícula</v>
      </c>
    </row>
    <row r="239" ht="27" customHeight="1">
      <c r="A239" s="15" t="str">
        <v>I162S2C76J4V1</v>
      </c>
      <c r="B239" s="15" t="str">
        <v>INGENIERIA EN ADMINISTRACION DE EMPRESAS</v>
      </c>
      <c r="C239" s="15" t="str">
        <v>2</v>
      </c>
      <c r="D239" s="15" t="str">
        <v>4</v>
      </c>
      <c r="E239" s="15" t="str">
        <v>1</v>
      </c>
      <c r="F239" s="15" t="str">
        <v>No presencial</v>
      </c>
      <c r="G239" s="15" t="str">
        <v>Pregrado</v>
      </c>
      <c r="H239" s="15" t="str">
        <v>Plan Regular</v>
      </c>
      <c r="I239" s="23" t="n">
        <v>2024</v>
      </c>
      <c r="J239" s="23" t="n">
        <v>2026</v>
      </c>
      <c r="K239" s="24" t="n">
        <v>0</v>
      </c>
      <c r="L239" s="24" t="n">
        <v>0</v>
      </c>
      <c r="M239" s="24" t="n">
        <v>0</v>
      </c>
      <c r="N239" s="24" t="n">
        <v>0</v>
      </c>
      <c r="O239" s="24" t="n">
        <v>0</v>
      </c>
      <c r="P239" s="24" t="n">
        <v>0</v>
      </c>
      <c r="Q239" s="24" t="n">
        <v>0</v>
      </c>
      <c r="R239" s="24" t="n">
        <v>0</v>
      </c>
      <c r="S239" s="24" t="n">
        <v>0</v>
      </c>
      <c r="T239" s="24" t="n">
        <v>0</v>
      </c>
      <c r="U239" s="24" t="n">
        <v>0</v>
      </c>
      <c r="V239" s="24" t="n">
        <v>0</v>
      </c>
      <c r="W239" s="24" t="n">
        <v>0</v>
      </c>
      <c r="X239" s="24" t="n">
        <v>0</v>
      </c>
      <c r="Y239" s="24" t="n">
        <v>0</v>
      </c>
      <c r="Z239" s="24" t="n">
        <v>0</v>
      </c>
      <c r="AA239" s="24" t="n">
        <v>0</v>
      </c>
      <c r="AB239" s="24" t="n">
        <v>7</v>
      </c>
      <c r="AC239" s="24" t="n">
        <v>84</v>
      </c>
      <c r="AD239" s="24" t="n">
        <v>132</v>
      </c>
      <c r="AE239" s="15" t="str">
        <v>1</v>
      </c>
      <c r="AF239" s="15" t="str">
        <v>IADM</v>
      </c>
      <c r="AG239" s="15" t="str">
        <v>PLAN_NO_OBSERVADO</v>
      </c>
      <c r="AH239" s="15" t="str">
        <v>E</v>
      </c>
      <c r="AI239" s="15" t="str">
        <v>E</v>
      </c>
      <c r="AJ239" s="24" t="n">
        <v>0</v>
      </c>
      <c r="AK239" s="24" t="n">
        <v>0</v>
      </c>
      <c r="AL239" s="24" t="n">
        <v>0</v>
      </c>
      <c r="AM239" s="24" t="n">
        <v>3</v>
      </c>
      <c r="AN239" s="24" t="n">
        <v>15</v>
      </c>
      <c r="AO239" s="15" t="str">
        <v>CRUCE_PERSONA_MU_2022_2026</v>
      </c>
      <c r="AP239" s="15" t="str">
        <v>PENDIENTE</v>
      </c>
      <c r="AQ239" s="15" t="str">
        <v>PLAN_NO_OBSERVADO</v>
      </c>
      <c r="AR239" s="15" t="str">
        <v>E</v>
      </c>
      <c r="AS239" s="15" t="str">
        <v>MATRIZ / PUBLICA</v>
      </c>
      <c r="AT239" s="15" t="str">
        <v>SIN_ACTIVIDAD_ANUAL; ENLACE_EXPEDIENTE_CONSERVADO</v>
      </c>
      <c r="AU239" s="15" t="n">
        <v>8</v>
      </c>
      <c r="AV239" s="15" t="n">
        <v>8</v>
      </c>
      <c r="AW239" s="15" t="str">
        <v>VERSIONES_POR_DURACION_O_TIPO</v>
      </c>
      <c r="AX239" s="15" t="n">
        <v>2026</v>
      </c>
      <c r="AY239" s="15" t="str">
        <v>PUBLICA; última matrícula</v>
      </c>
    </row>
    <row r="240" ht="36" customHeight="1">
      <c r="A240" s="14" t="str">
        <v>I162S2C76J4V2</v>
      </c>
      <c r="B240" s="14" t="str">
        <v>INGENIERIA EN ADMINISTRACION DE EMPRESAS</v>
      </c>
      <c r="C240" s="14" t="str">
        <v>2</v>
      </c>
      <c r="D240" s="14" t="str">
        <v>4</v>
      </c>
      <c r="E240" s="14" t="str">
        <v>2</v>
      </c>
      <c r="F240" s="14" t="str">
        <v>No presencial</v>
      </c>
      <c r="G240" s="14" t="str">
        <v>Pregrado</v>
      </c>
      <c r="H240" s="14" t="str">
        <v>Plan Regular de Continuidad</v>
      </c>
      <c r="I240" s="21" t="n">
        <v>2025</v>
      </c>
      <c r="J240" s="21" t="n">
        <v>2026</v>
      </c>
      <c r="K240" s="22" t="n">
        <v>0</v>
      </c>
      <c r="L240" s="22" t="n">
        <v>0</v>
      </c>
      <c r="M240" s="22" t="n">
        <v>0</v>
      </c>
      <c r="N240" s="22" t="n">
        <v>0</v>
      </c>
      <c r="O240" s="22" t="n">
        <v>0</v>
      </c>
      <c r="P240" s="22" t="n">
        <v>0</v>
      </c>
      <c r="Q240" s="22" t="n">
        <v>0</v>
      </c>
      <c r="R240" s="22" t="n">
        <v>0</v>
      </c>
      <c r="S240" s="22" t="n">
        <v>0</v>
      </c>
      <c r="T240" s="22" t="n">
        <v>0</v>
      </c>
      <c r="U240" s="22" t="n">
        <v>0</v>
      </c>
      <c r="V240" s="22" t="n">
        <v>0</v>
      </c>
      <c r="W240" s="22" t="n">
        <v>0</v>
      </c>
      <c r="X240" s="22" t="n">
        <v>0</v>
      </c>
      <c r="Y240" s="22" t="n">
        <v>0</v>
      </c>
      <c r="Z240" s="22" t="n">
        <v>0</v>
      </c>
      <c r="AA240" s="22" t="n">
        <v>0</v>
      </c>
      <c r="AB240" s="22" t="n">
        <v>0</v>
      </c>
      <c r="AC240" s="22" t="n">
        <v>17</v>
      </c>
      <c r="AD240" s="22" t="n">
        <v>21</v>
      </c>
      <c r="AE240" s="14" t="str">
        <v>1</v>
      </c>
      <c r="AF240" s="14" t="str">
        <v>CIADM</v>
      </c>
      <c r="AG240" s="14" t="str">
        <v>CIADM20241</v>
      </c>
      <c r="AH240" s="14" t="str">
        <v>CONTINUIDAD</v>
      </c>
      <c r="AI240" s="14" t="str">
        <v>C</v>
      </c>
      <c r="AJ240" s="22" t="n">
        <v>0</v>
      </c>
      <c r="AK240" s="22" t="n">
        <v>0</v>
      </c>
      <c r="AL240" s="22" t="n">
        <v>0</v>
      </c>
      <c r="AM240" s="22" t="n">
        <v>15</v>
      </c>
      <c r="AN240" s="22" t="n">
        <v>21</v>
      </c>
      <c r="AO240" s="14" t="str">
        <v>APROBACION_D_2027 / CRUCE_PERSONA_MU_2022_2026</v>
      </c>
      <c r="AP240" s="14" t="str">
        <v>UNIDO</v>
      </c>
      <c r="AQ240" s="14" t="str">
        <v>UNIDO</v>
      </c>
      <c r="AR240" s="14" t="str">
        <v>D/C</v>
      </c>
      <c r="AS240" s="14" t="str">
        <v>H002 / MATRIZ / PUBLICA</v>
      </c>
      <c r="AT240" s="14" t="str">
        <v>ANUAL / Catálogo 2027; no atribución retroactiva ni acreditación de cohorte/malla</v>
      </c>
      <c r="AU240" s="14" t="n">
        <v>4</v>
      </c>
      <c r="AV240" s="14" t="n">
        <v>4</v>
      </c>
      <c r="AW240" s="14" t="str">
        <v>VERSIONES_POR_DURACION_O_TIPO</v>
      </c>
      <c r="AX240" s="14" t="n">
        <v>2026</v>
      </c>
      <c r="AY240" s="14" t="str">
        <v>PUBLICA; última matrícula</v>
      </c>
    </row>
    <row r="241" ht="36" customHeight="1">
      <c r="A241" s="15" t="str">
        <v>I162S2C76J4V2</v>
      </c>
      <c r="B241" s="15" t="str">
        <v>INGENIERIA EN ADMINISTRACION DE EMPRESAS</v>
      </c>
      <c r="C241" s="15" t="str">
        <v>2</v>
      </c>
      <c r="D241" s="15" t="str">
        <v>4</v>
      </c>
      <c r="E241" s="15" t="str">
        <v>2</v>
      </c>
      <c r="F241" s="15" t="str">
        <v>No presencial</v>
      </c>
      <c r="G241" s="15" t="str">
        <v>Pregrado</v>
      </c>
      <c r="H241" s="15" t="str">
        <v>Plan Regular de Continuidad</v>
      </c>
      <c r="I241" s="23" t="n">
        <v>2025</v>
      </c>
      <c r="J241" s="23" t="n">
        <v>2026</v>
      </c>
      <c r="K241" s="24" t="n">
        <v>0</v>
      </c>
      <c r="L241" s="24" t="n">
        <v>0</v>
      </c>
      <c r="M241" s="24" t="n">
        <v>0</v>
      </c>
      <c r="N241" s="24" t="n">
        <v>0</v>
      </c>
      <c r="O241" s="24" t="n">
        <v>0</v>
      </c>
      <c r="P241" s="24" t="n">
        <v>0</v>
      </c>
      <c r="Q241" s="24" t="n">
        <v>0</v>
      </c>
      <c r="R241" s="24" t="n">
        <v>0</v>
      </c>
      <c r="S241" s="24" t="n">
        <v>0</v>
      </c>
      <c r="T241" s="24" t="n">
        <v>0</v>
      </c>
      <c r="U241" s="24" t="n">
        <v>0</v>
      </c>
      <c r="V241" s="24" t="n">
        <v>0</v>
      </c>
      <c r="W241" s="24" t="n">
        <v>0</v>
      </c>
      <c r="X241" s="24" t="n">
        <v>0</v>
      </c>
      <c r="Y241" s="24" t="n">
        <v>0</v>
      </c>
      <c r="Z241" s="24" t="n">
        <v>0</v>
      </c>
      <c r="AA241" s="24" t="n">
        <v>0</v>
      </c>
      <c r="AB241" s="24" t="n">
        <v>0</v>
      </c>
      <c r="AC241" s="24" t="n">
        <v>17</v>
      </c>
      <c r="AD241" s="24" t="n">
        <v>21</v>
      </c>
      <c r="AE241" s="15" t="str">
        <v>1</v>
      </c>
      <c r="AF241" s="15" t="str">
        <v>CIADM</v>
      </c>
      <c r="AG241" s="15" t="str">
        <v>PLAN_NO_OBSERVADO</v>
      </c>
      <c r="AH241" s="15" t="str">
        <v>E</v>
      </c>
      <c r="AI241" s="15" t="str">
        <v>E</v>
      </c>
      <c r="AJ241" s="24" t="n">
        <v>0</v>
      </c>
      <c r="AK241" s="24" t="n">
        <v>0</v>
      </c>
      <c r="AL241" s="24" t="n">
        <v>0</v>
      </c>
      <c r="AM241" s="24" t="n">
        <v>2</v>
      </c>
      <c r="AN241" s="24" t="n">
        <v>0</v>
      </c>
      <c r="AO241" s="15" t="str">
        <v>CRUCE_PERSONA_MU_2022_2026</v>
      </c>
      <c r="AP241" s="15" t="str">
        <v>PENDIENTE</v>
      </c>
      <c r="AQ241" s="15" t="str">
        <v>PLAN_NO_OBSERVADO</v>
      </c>
      <c r="AR241" s="15" t="str">
        <v>E</v>
      </c>
      <c r="AS241" s="15" t="str">
        <v>MATRIZ / PUBLICA</v>
      </c>
      <c r="AT241" s="15" t="str">
        <v>SIN_ACTIVIDAD_ANUAL; ENLACE_EXPEDIENTE_CONSERVADO</v>
      </c>
      <c r="AU241" s="15" t="n">
        <v>4</v>
      </c>
      <c r="AV241" s="15" t="n">
        <v>4</v>
      </c>
      <c r="AW241" s="15" t="str">
        <v>VERSIONES_POR_DURACION_O_TIPO</v>
      </c>
      <c r="AX241" s="15" t="n">
        <v>2026</v>
      </c>
      <c r="AY241" s="15" t="str">
        <v>PUBLICA; última matrícula</v>
      </c>
    </row>
    <row r="242" ht="27" customHeight="1">
      <c r="A242" s="14" t="str">
        <v>I162S2C77J1V1</v>
      </c>
      <c r="B242" s="14" t="str">
        <v>INGENIERIA EN LOGISTICA</v>
      </c>
      <c r="C242" s="14" t="str">
        <v>2</v>
      </c>
      <c r="D242" s="14" t="str">
        <v>1</v>
      </c>
      <c r="E242" s="14" t="str">
        <v>1</v>
      </c>
      <c r="F242" s="14" t="str">
        <v>Presencial</v>
      </c>
      <c r="G242" s="14" t="str">
        <v>Pregrado</v>
      </c>
      <c r="H242" s="14" t="str">
        <v>Plan Regular</v>
      </c>
      <c r="I242" s="21" t="n">
        <v>2026</v>
      </c>
      <c r="J242" s="21" t="n">
        <v>2026</v>
      </c>
      <c r="K242" s="22" t="n">
        <v>0</v>
      </c>
      <c r="L242" s="22" t="n">
        <v>0</v>
      </c>
      <c r="M242" s="22" t="n">
        <v>0</v>
      </c>
      <c r="N242" s="22" t="n">
        <v>0</v>
      </c>
      <c r="O242" s="22" t="n">
        <v>0</v>
      </c>
      <c r="P242" s="22" t="n">
        <v>0</v>
      </c>
      <c r="Q242" s="22" t="n">
        <v>0</v>
      </c>
      <c r="R242" s="22" t="n">
        <v>0</v>
      </c>
      <c r="S242" s="22" t="n">
        <v>0</v>
      </c>
      <c r="T242" s="22" t="n">
        <v>0</v>
      </c>
      <c r="U242" s="22" t="n">
        <v>0</v>
      </c>
      <c r="V242" s="22" t="n">
        <v>0</v>
      </c>
      <c r="W242" s="22" t="n">
        <v>0</v>
      </c>
      <c r="X242" s="22" t="n">
        <v>0</v>
      </c>
      <c r="Y242" s="22" t="n">
        <v>0</v>
      </c>
      <c r="Z242" s="22" t="n">
        <v>0</v>
      </c>
      <c r="AA242" s="22" t="n">
        <v>0</v>
      </c>
      <c r="AB242" s="22" t="n">
        <v>0</v>
      </c>
      <c r="AC242" s="22" t="n">
        <v>0</v>
      </c>
      <c r="AD242" s="22" t="n">
        <v>1</v>
      </c>
      <c r="AE242" s="14" t="str">
        <v>2</v>
      </c>
      <c r="AF242" s="14" t="str">
        <v>E</v>
      </c>
      <c r="AG242" s="14" t="str">
        <v>E: sin plan</v>
      </c>
      <c r="AH242" s="14" t="str">
        <v>E</v>
      </c>
      <c r="AI242" s="14" t="str">
        <v>E</v>
      </c>
      <c r="AJ242" s="22" t="n">
        <v>0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14" t="str">
        <v>SIN_UNION</v>
      </c>
      <c r="AP242" s="14" t="str">
        <v>PENDIENTE</v>
      </c>
      <c r="AQ242" s="14" t="str">
        <v>SIN_ENLACE</v>
      </c>
      <c r="AR242" s="14" t="str">
        <v>E</v>
      </c>
      <c r="AS242" s="14" t="str">
        <v>PUBLICA</v>
      </c>
      <c r="AT242" s="14" t="str">
        <v>E</v>
      </c>
      <c r="AU242" s="14" t="n">
        <v>8</v>
      </c>
      <c r="AV242" s="14" t="n">
        <v>8</v>
      </c>
      <c r="AW242" s="14" t="str">
        <v>UNA_VERSION_OBSERVADA</v>
      </c>
      <c r="AX242" s="14" t="n">
        <v>2026</v>
      </c>
      <c r="AY242" s="14" t="str">
        <v>PUBLICA; última matrícula</v>
      </c>
    </row>
    <row r="243" ht="27" customHeight="1">
      <c r="A243" s="15" t="str">
        <v>I162S2C77J2V1</v>
      </c>
      <c r="B243" s="15" t="str">
        <v>INGENIERIA EN LOGISTICA</v>
      </c>
      <c r="C243" s="15" t="str">
        <v>2</v>
      </c>
      <c r="D243" s="15" t="str">
        <v>2</v>
      </c>
      <c r="E243" s="15" t="str">
        <v>1</v>
      </c>
      <c r="F243" s="15" t="str">
        <v>Presencial</v>
      </c>
      <c r="G243" s="15" t="str">
        <v>Pregrado</v>
      </c>
      <c r="H243" s="15" t="str">
        <v>Plan Regular</v>
      </c>
      <c r="I243" s="23" t="n">
        <v>2024</v>
      </c>
      <c r="J243" s="23" t="n">
        <v>2026</v>
      </c>
      <c r="K243" s="24" t="n">
        <v>0</v>
      </c>
      <c r="L243" s="24" t="n">
        <v>0</v>
      </c>
      <c r="M243" s="24" t="n">
        <v>0</v>
      </c>
      <c r="N243" s="24" t="n">
        <v>0</v>
      </c>
      <c r="O243" s="24" t="n">
        <v>0</v>
      </c>
      <c r="P243" s="24" t="n">
        <v>0</v>
      </c>
      <c r="Q243" s="24" t="n">
        <v>0</v>
      </c>
      <c r="R243" s="24" t="n">
        <v>0</v>
      </c>
      <c r="S243" s="24" t="n">
        <v>0</v>
      </c>
      <c r="T243" s="24" t="n">
        <v>0</v>
      </c>
      <c r="U243" s="24" t="n">
        <v>0</v>
      </c>
      <c r="V243" s="24" t="n">
        <v>0</v>
      </c>
      <c r="W243" s="24" t="n">
        <v>0</v>
      </c>
      <c r="X243" s="24" t="n">
        <v>0</v>
      </c>
      <c r="Y243" s="24" t="n">
        <v>0</v>
      </c>
      <c r="Z243" s="24" t="n">
        <v>0</v>
      </c>
      <c r="AA243" s="24" t="n">
        <v>0</v>
      </c>
      <c r="AB243" s="24" t="n">
        <v>7</v>
      </c>
      <c r="AC243" s="24" t="n">
        <v>15</v>
      </c>
      <c r="AD243" s="24" t="n">
        <v>20</v>
      </c>
      <c r="AE243" s="15" t="str">
        <v>2</v>
      </c>
      <c r="AF243" s="15" t="str">
        <v>ILOG</v>
      </c>
      <c r="AG243" s="15" t="str">
        <v>ILOG20241</v>
      </c>
      <c r="AH243" s="15" t="str">
        <v>REGULAR</v>
      </c>
      <c r="AI243" s="15" t="str">
        <v>C</v>
      </c>
      <c r="AJ243" s="24" t="n">
        <v>0</v>
      </c>
      <c r="AK243" s="24" t="n">
        <v>0</v>
      </c>
      <c r="AL243" s="24" t="n">
        <v>6</v>
      </c>
      <c r="AM243" s="24" t="n">
        <v>11</v>
      </c>
      <c r="AN243" s="24" t="n">
        <v>19</v>
      </c>
      <c r="AO243" s="15" t="str">
        <v>CRUCE_PERSONA_MU_2022_2026</v>
      </c>
      <c r="AP243" s="15" t="str">
        <v>UNIDO</v>
      </c>
      <c r="AQ243" s="15" t="str">
        <v>UNIDO</v>
      </c>
      <c r="AR243" s="15" t="str">
        <v>B/C</v>
      </c>
      <c r="AS243" s="15" t="str">
        <v>MATRIZ / PUBLICA</v>
      </c>
      <c r="AT243" s="15" t="str">
        <v>ANUAL</v>
      </c>
      <c r="AU243" s="15" t="n">
        <v>8</v>
      </c>
      <c r="AV243" s="15" t="n">
        <v>8</v>
      </c>
      <c r="AW243" s="15" t="str">
        <v>UNA_VERSION_OBSERVADA</v>
      </c>
      <c r="AX243" s="15" t="n">
        <v>2026</v>
      </c>
      <c r="AY243" s="15" t="str">
        <v>PUBLICA; última matrícula</v>
      </c>
    </row>
    <row r="244" ht="27" customHeight="1">
      <c r="A244" s="14" t="str">
        <v>I162S2C77J2V1</v>
      </c>
      <c r="B244" s="14" t="str">
        <v>INGENIERIA EN LOGISTICA</v>
      </c>
      <c r="C244" s="14" t="str">
        <v>2</v>
      </c>
      <c r="D244" s="14" t="str">
        <v>2</v>
      </c>
      <c r="E244" s="14" t="str">
        <v>1</v>
      </c>
      <c r="F244" s="14" t="str">
        <v>Presencial</v>
      </c>
      <c r="G244" s="14" t="str">
        <v>Pregrado</v>
      </c>
      <c r="H244" s="14" t="str">
        <v>Plan Regular</v>
      </c>
      <c r="I244" s="21" t="n">
        <v>2024</v>
      </c>
      <c r="J244" s="21" t="n">
        <v>2026</v>
      </c>
      <c r="K244" s="22" t="n">
        <v>0</v>
      </c>
      <c r="L244" s="22" t="n">
        <v>0</v>
      </c>
      <c r="M244" s="22" t="n">
        <v>0</v>
      </c>
      <c r="N244" s="22" t="n">
        <v>0</v>
      </c>
      <c r="O244" s="22" t="n">
        <v>0</v>
      </c>
      <c r="P244" s="22" t="n">
        <v>0</v>
      </c>
      <c r="Q244" s="22" t="n">
        <v>0</v>
      </c>
      <c r="R244" s="22" t="n">
        <v>0</v>
      </c>
      <c r="S244" s="22" t="n">
        <v>0</v>
      </c>
      <c r="T244" s="22" t="n">
        <v>0</v>
      </c>
      <c r="U244" s="22" t="n">
        <v>0</v>
      </c>
      <c r="V244" s="22" t="n">
        <v>0</v>
      </c>
      <c r="W244" s="22" t="n">
        <v>0</v>
      </c>
      <c r="X244" s="22" t="n">
        <v>0</v>
      </c>
      <c r="Y244" s="22" t="n">
        <v>0</v>
      </c>
      <c r="Z244" s="22" t="n">
        <v>0</v>
      </c>
      <c r="AA244" s="22" t="n">
        <v>0</v>
      </c>
      <c r="AB244" s="22" t="n">
        <v>7</v>
      </c>
      <c r="AC244" s="22" t="n">
        <v>15</v>
      </c>
      <c r="AD244" s="22" t="n">
        <v>20</v>
      </c>
      <c r="AE244" s="14" t="str">
        <v>2</v>
      </c>
      <c r="AF244" s="14" t="str">
        <v>ILOG</v>
      </c>
      <c r="AG244" s="14" t="str">
        <v>PLAN_NO_OBSERVADO</v>
      </c>
      <c r="AH244" s="14" t="str">
        <v>E</v>
      </c>
      <c r="AI244" s="14" t="str">
        <v>E</v>
      </c>
      <c r="AJ244" s="22" t="n">
        <v>0</v>
      </c>
      <c r="AK244" s="22" t="n">
        <v>0</v>
      </c>
      <c r="AL244" s="22" t="n">
        <v>0</v>
      </c>
      <c r="AM244" s="22" t="n">
        <v>0</v>
      </c>
      <c r="AN244" s="22" t="n">
        <v>1</v>
      </c>
      <c r="AO244" s="14" t="str">
        <v>CRUCE_PERSONA_MU_2022_2026</v>
      </c>
      <c r="AP244" s="14" t="str">
        <v>PENDIENTE</v>
      </c>
      <c r="AQ244" s="14" t="str">
        <v>PLAN_NO_OBSERVADO</v>
      </c>
      <c r="AR244" s="14" t="str">
        <v>E</v>
      </c>
      <c r="AS244" s="14" t="str">
        <v>MATRIZ / PUBLICA</v>
      </c>
      <c r="AT244" s="14" t="str">
        <v>SIN_ACTIVIDAD_ANUAL; ENLACE_EXPEDIENTE_CONSERVADO</v>
      </c>
      <c r="AU244" s="14" t="n">
        <v>8</v>
      </c>
      <c r="AV244" s="14" t="n">
        <v>8</v>
      </c>
      <c r="AW244" s="14" t="str">
        <v>UNA_VERSION_OBSERVADA</v>
      </c>
      <c r="AX244" s="14" t="n">
        <v>2026</v>
      </c>
      <c r="AY244" s="14" t="str">
        <v>PUBLICA; última matrícula</v>
      </c>
    </row>
    <row r="245" ht="27" customHeight="1">
      <c r="A245" s="15" t="str">
        <v>I162S2C77J4V1</v>
      </c>
      <c r="B245" s="15" t="str">
        <v>INGENIERIA EN LOGISTICA</v>
      </c>
      <c r="C245" s="15" t="str">
        <v>2</v>
      </c>
      <c r="D245" s="15" t="str">
        <v>4</v>
      </c>
      <c r="E245" s="15" t="str">
        <v>1</v>
      </c>
      <c r="F245" s="15" t="str">
        <v>No presencial</v>
      </c>
      <c r="G245" s="15" t="str">
        <v>Pregrado</v>
      </c>
      <c r="H245" s="15" t="str">
        <v>Plan Regular</v>
      </c>
      <c r="I245" s="23" t="n">
        <v>2024</v>
      </c>
      <c r="J245" s="23" t="n">
        <v>2026</v>
      </c>
      <c r="K245" s="24" t="n">
        <v>0</v>
      </c>
      <c r="L245" s="24" t="n">
        <v>0</v>
      </c>
      <c r="M245" s="24" t="n">
        <v>0</v>
      </c>
      <c r="N245" s="24" t="n">
        <v>0</v>
      </c>
      <c r="O245" s="24" t="n">
        <v>0</v>
      </c>
      <c r="P245" s="24" t="n">
        <v>0</v>
      </c>
      <c r="Q245" s="24" t="n">
        <v>0</v>
      </c>
      <c r="R245" s="24" t="n">
        <v>0</v>
      </c>
      <c r="S245" s="24" t="n">
        <v>0</v>
      </c>
      <c r="T245" s="24" t="n">
        <v>0</v>
      </c>
      <c r="U245" s="24" t="n">
        <v>0</v>
      </c>
      <c r="V245" s="24" t="n">
        <v>0</v>
      </c>
      <c r="W245" s="24" t="n">
        <v>0</v>
      </c>
      <c r="X245" s="24" t="n">
        <v>0</v>
      </c>
      <c r="Y245" s="24" t="n">
        <v>0</v>
      </c>
      <c r="Z245" s="24" t="n">
        <v>0</v>
      </c>
      <c r="AA245" s="24" t="n">
        <v>0</v>
      </c>
      <c r="AB245" s="24" t="n">
        <v>9</v>
      </c>
      <c r="AC245" s="24" t="n">
        <v>62</v>
      </c>
      <c r="AD245" s="24" t="n">
        <v>98</v>
      </c>
      <c r="AE245" s="15" t="str">
        <v>1</v>
      </c>
      <c r="AF245" s="15" t="str">
        <v>CILOG</v>
      </c>
      <c r="AG245" s="15" t="str">
        <v>CILOG20241</v>
      </c>
      <c r="AH245" s="15" t="str">
        <v>CONTINUIDAD</v>
      </c>
      <c r="AI245" s="15" t="str">
        <v>C</v>
      </c>
      <c r="AJ245" s="24" t="n">
        <v>0</v>
      </c>
      <c r="AK245" s="24" t="n">
        <v>0</v>
      </c>
      <c r="AL245" s="24" t="n">
        <v>0</v>
      </c>
      <c r="AM245" s="24" t="n">
        <v>3</v>
      </c>
      <c r="AN245" s="24" t="n">
        <v>0</v>
      </c>
      <c r="AO245" s="15" t="str">
        <v>CRUCE_PERSONA_MU_2022_2026</v>
      </c>
      <c r="AP245" s="15" t="str">
        <v>UNIDO</v>
      </c>
      <c r="AQ245" s="15" t="str">
        <v>UNIDO</v>
      </c>
      <c r="AR245" s="15" t="str">
        <v>B/C</v>
      </c>
      <c r="AS245" s="15" t="str">
        <v>MATRIZ / PUBLICA</v>
      </c>
      <c r="AT245" s="15" t="str">
        <v>ANUAL</v>
      </c>
      <c r="AU245" s="15" t="n">
        <v>8</v>
      </c>
      <c r="AV245" s="15" t="n">
        <v>8</v>
      </c>
      <c r="AW245" s="15" t="str">
        <v>VERSIONES_POR_DURACION_O_TIPO</v>
      </c>
      <c r="AX245" s="15" t="n">
        <v>2026</v>
      </c>
      <c r="AY245" s="15" t="str">
        <v>PUBLICA; última matrícula</v>
      </c>
    </row>
    <row r="246" ht="36" customHeight="1">
      <c r="A246" s="14" t="str">
        <v>I162S2C77J4V1</v>
      </c>
      <c r="B246" s="14" t="str">
        <v>INGENIERIA EN LOGISTICA</v>
      </c>
      <c r="C246" s="14" t="str">
        <v>2</v>
      </c>
      <c r="D246" s="14" t="str">
        <v>4</v>
      </c>
      <c r="E246" s="14" t="str">
        <v>1</v>
      </c>
      <c r="F246" s="14" t="str">
        <v>No presencial</v>
      </c>
      <c r="G246" s="14" t="str">
        <v>Pregrado</v>
      </c>
      <c r="H246" s="14" t="str">
        <v>Plan Regular</v>
      </c>
      <c r="I246" s="21" t="n">
        <v>2024</v>
      </c>
      <c r="J246" s="21" t="n">
        <v>2026</v>
      </c>
      <c r="K246" s="22" t="n">
        <v>0</v>
      </c>
      <c r="L246" s="22" t="n">
        <v>0</v>
      </c>
      <c r="M246" s="22" t="n">
        <v>0</v>
      </c>
      <c r="N246" s="22" t="n">
        <v>0</v>
      </c>
      <c r="O246" s="22" t="n">
        <v>0</v>
      </c>
      <c r="P246" s="22" t="n">
        <v>0</v>
      </c>
      <c r="Q246" s="22" t="n">
        <v>0</v>
      </c>
      <c r="R246" s="22" t="n">
        <v>0</v>
      </c>
      <c r="S246" s="22" t="n">
        <v>0</v>
      </c>
      <c r="T246" s="22" t="n">
        <v>0</v>
      </c>
      <c r="U246" s="22" t="n">
        <v>0</v>
      </c>
      <c r="V246" s="22" t="n">
        <v>0</v>
      </c>
      <c r="W246" s="22" t="n">
        <v>0</v>
      </c>
      <c r="X246" s="22" t="n">
        <v>0</v>
      </c>
      <c r="Y246" s="22" t="n">
        <v>0</v>
      </c>
      <c r="Z246" s="22" t="n">
        <v>0</v>
      </c>
      <c r="AA246" s="22" t="n">
        <v>0</v>
      </c>
      <c r="AB246" s="22" t="n">
        <v>9</v>
      </c>
      <c r="AC246" s="22" t="n">
        <v>62</v>
      </c>
      <c r="AD246" s="22" t="n">
        <v>98</v>
      </c>
      <c r="AE246" s="14" t="str">
        <v>1</v>
      </c>
      <c r="AF246" s="14" t="str">
        <v>ILOG</v>
      </c>
      <c r="AG246" s="14" t="str">
        <v>ILOG20241</v>
      </c>
      <c r="AH246" s="14" t="str">
        <v>REGULAR</v>
      </c>
      <c r="AI246" s="14" t="str">
        <v>C</v>
      </c>
      <c r="AJ246" s="22" t="n">
        <v>0</v>
      </c>
      <c r="AK246" s="22" t="n">
        <v>0</v>
      </c>
      <c r="AL246" s="22" t="n">
        <v>9</v>
      </c>
      <c r="AM246" s="22" t="n">
        <v>58</v>
      </c>
      <c r="AN246" s="22" t="n">
        <v>79</v>
      </c>
      <c r="AO246" s="14" t="str">
        <v>CRUCE_PERSONA_MU_2022_2026 / REGLA_MU_2027</v>
      </c>
      <c r="AP246" s="14" t="str">
        <v>UNIDO</v>
      </c>
      <c r="AQ246" s="14" t="str">
        <v>UNIDO</v>
      </c>
      <c r="AR246" s="14" t="str">
        <v>B/C</v>
      </c>
      <c r="AS246" s="14" t="str">
        <v>H002 / MATRIZ / PUBLICA</v>
      </c>
      <c r="AT246" s="14" t="str">
        <v>ANUAL / Catálogo 2027; no atribución retroactiva ni acreditación de cohorte/malla</v>
      </c>
      <c r="AU246" s="14" t="n">
        <v>8</v>
      </c>
      <c r="AV246" s="14" t="n">
        <v>8</v>
      </c>
      <c r="AW246" s="14" t="str">
        <v>VERSIONES_POR_DURACION_O_TIPO</v>
      </c>
      <c r="AX246" s="14" t="n">
        <v>2026</v>
      </c>
      <c r="AY246" s="14" t="str">
        <v>PUBLICA; última matrícula</v>
      </c>
    </row>
    <row r="247" ht="27" customHeight="1">
      <c r="A247" s="15" t="str">
        <v>I162S2C77J4V1</v>
      </c>
      <c r="B247" s="15" t="str">
        <v>INGENIERIA EN LOGISTICA</v>
      </c>
      <c r="C247" s="15" t="str">
        <v>2</v>
      </c>
      <c r="D247" s="15" t="str">
        <v>4</v>
      </c>
      <c r="E247" s="15" t="str">
        <v>1</v>
      </c>
      <c r="F247" s="15" t="str">
        <v>No presencial</v>
      </c>
      <c r="G247" s="15" t="str">
        <v>Pregrado</v>
      </c>
      <c r="H247" s="15" t="str">
        <v>Plan Regular</v>
      </c>
      <c r="I247" s="23" t="n">
        <v>2024</v>
      </c>
      <c r="J247" s="23" t="n">
        <v>2026</v>
      </c>
      <c r="K247" s="24" t="n">
        <v>0</v>
      </c>
      <c r="L247" s="24" t="n">
        <v>0</v>
      </c>
      <c r="M247" s="24" t="n">
        <v>0</v>
      </c>
      <c r="N247" s="24" t="n">
        <v>0</v>
      </c>
      <c r="O247" s="24" t="n">
        <v>0</v>
      </c>
      <c r="P247" s="24" t="n">
        <v>0</v>
      </c>
      <c r="Q247" s="24" t="n">
        <v>0</v>
      </c>
      <c r="R247" s="24" t="n">
        <v>0</v>
      </c>
      <c r="S247" s="24" t="n">
        <v>0</v>
      </c>
      <c r="T247" s="24" t="n">
        <v>0</v>
      </c>
      <c r="U247" s="24" t="n">
        <v>0</v>
      </c>
      <c r="V247" s="24" t="n">
        <v>0</v>
      </c>
      <c r="W247" s="24" t="n">
        <v>0</v>
      </c>
      <c r="X247" s="24" t="n">
        <v>0</v>
      </c>
      <c r="Y247" s="24" t="n">
        <v>0</v>
      </c>
      <c r="Z247" s="24" t="n">
        <v>0</v>
      </c>
      <c r="AA247" s="24" t="n">
        <v>0</v>
      </c>
      <c r="AB247" s="24" t="n">
        <v>9</v>
      </c>
      <c r="AC247" s="24" t="n">
        <v>62</v>
      </c>
      <c r="AD247" s="24" t="n">
        <v>98</v>
      </c>
      <c r="AE247" s="15" t="str">
        <v>1</v>
      </c>
      <c r="AF247" s="15" t="str">
        <v>ILOG</v>
      </c>
      <c r="AG247" s="15" t="str">
        <v>PLAN_NO_OBSERVADO</v>
      </c>
      <c r="AH247" s="15" t="str">
        <v>E</v>
      </c>
      <c r="AI247" s="15" t="str">
        <v>E</v>
      </c>
      <c r="AJ247" s="24" t="n">
        <v>0</v>
      </c>
      <c r="AK247" s="24" t="n">
        <v>0</v>
      </c>
      <c r="AL247" s="24" t="n">
        <v>0</v>
      </c>
      <c r="AM247" s="24" t="n">
        <v>1</v>
      </c>
      <c r="AN247" s="24" t="n">
        <v>11</v>
      </c>
      <c r="AO247" s="15" t="str">
        <v>CRUCE_PERSONA_MU_2022_2026</v>
      </c>
      <c r="AP247" s="15" t="str">
        <v>PENDIENTE</v>
      </c>
      <c r="AQ247" s="15" t="str">
        <v>PLAN_NO_OBSERVADO</v>
      </c>
      <c r="AR247" s="15" t="str">
        <v>E</v>
      </c>
      <c r="AS247" s="15" t="str">
        <v>MATRIZ / PUBLICA</v>
      </c>
      <c r="AT247" s="15" t="str">
        <v>SIN_ACTIVIDAD_ANUAL; ENLACE_EXPEDIENTE_CONSERVADO</v>
      </c>
      <c r="AU247" s="15" t="n">
        <v>8</v>
      </c>
      <c r="AV247" s="15" t="n">
        <v>8</v>
      </c>
      <c r="AW247" s="15" t="str">
        <v>VERSIONES_POR_DURACION_O_TIPO</v>
      </c>
      <c r="AX247" s="15" t="n">
        <v>2026</v>
      </c>
      <c r="AY247" s="15" t="str">
        <v>PUBLICA; última matrícula</v>
      </c>
    </row>
    <row r="248" ht="36" customHeight="1">
      <c r="A248" s="14" t="str">
        <v>I162S2C77J4V2</v>
      </c>
      <c r="B248" s="14" t="str">
        <v>INGENIERIA EN LOGISTICA</v>
      </c>
      <c r="C248" s="14" t="str">
        <v>2</v>
      </c>
      <c r="D248" s="14" t="str">
        <v>4</v>
      </c>
      <c r="E248" s="14" t="str">
        <v>2</v>
      </c>
      <c r="F248" s="14" t="str">
        <v>No presencial</v>
      </c>
      <c r="G248" s="14" t="str">
        <v>Pregrado</v>
      </c>
      <c r="H248" s="14" t="str">
        <v>Plan Regular de Continuidad</v>
      </c>
      <c r="I248" s="21" t="n">
        <v>2025</v>
      </c>
      <c r="J248" s="21" t="n">
        <v>2026</v>
      </c>
      <c r="K248" s="22" t="n">
        <v>0</v>
      </c>
      <c r="L248" s="22" t="n">
        <v>0</v>
      </c>
      <c r="M248" s="22" t="n">
        <v>0</v>
      </c>
      <c r="N248" s="22" t="n">
        <v>0</v>
      </c>
      <c r="O248" s="22" t="n">
        <v>0</v>
      </c>
      <c r="P248" s="22" t="n">
        <v>0</v>
      </c>
      <c r="Q248" s="22" t="n">
        <v>0</v>
      </c>
      <c r="R248" s="22" t="n">
        <v>0</v>
      </c>
      <c r="S248" s="22" t="n">
        <v>0</v>
      </c>
      <c r="T248" s="22" t="n">
        <v>0</v>
      </c>
      <c r="U248" s="22" t="n">
        <v>0</v>
      </c>
      <c r="V248" s="22" t="n">
        <v>0</v>
      </c>
      <c r="W248" s="22" t="n">
        <v>0</v>
      </c>
      <c r="X248" s="22" t="n">
        <v>0</v>
      </c>
      <c r="Y248" s="22" t="n">
        <v>0</v>
      </c>
      <c r="Z248" s="22" t="n">
        <v>0</v>
      </c>
      <c r="AA248" s="22" t="n">
        <v>0</v>
      </c>
      <c r="AB248" s="22" t="n">
        <v>0</v>
      </c>
      <c r="AC248" s="22" t="n">
        <v>14</v>
      </c>
      <c r="AD248" s="22" t="n">
        <v>32</v>
      </c>
      <c r="AE248" s="14" t="str">
        <v>1</v>
      </c>
      <c r="AF248" s="14" t="str">
        <v>CILOG</v>
      </c>
      <c r="AG248" s="14" t="str">
        <v>CILOG20241</v>
      </c>
      <c r="AH248" s="14" t="str">
        <v>CONTINUIDAD</v>
      </c>
      <c r="AI248" s="14" t="str">
        <v>C</v>
      </c>
      <c r="AJ248" s="22" t="n">
        <v>0</v>
      </c>
      <c r="AK248" s="22" t="n">
        <v>0</v>
      </c>
      <c r="AL248" s="22" t="n">
        <v>0</v>
      </c>
      <c r="AM248" s="22" t="n">
        <v>14</v>
      </c>
      <c r="AN248" s="22" t="n">
        <v>32</v>
      </c>
      <c r="AO248" s="14" t="str">
        <v>CRUCE_PERSONA_MU_2022_2026 / REGLA_MU_2027</v>
      </c>
      <c r="AP248" s="14" t="str">
        <v>UNIDO</v>
      </c>
      <c r="AQ248" s="14" t="str">
        <v>UNIDO</v>
      </c>
      <c r="AR248" s="14" t="str">
        <v>B/C</v>
      </c>
      <c r="AS248" s="14" t="str">
        <v>H002 / MATRIZ / PUBLICA</v>
      </c>
      <c r="AT248" s="14" t="str">
        <v>ANUAL / Catálogo 2027; no atribución retroactiva ni acreditación de cohorte/malla</v>
      </c>
      <c r="AU248" s="14" t="n">
        <v>4</v>
      </c>
      <c r="AV248" s="14" t="n">
        <v>4</v>
      </c>
      <c r="AW248" s="14" t="str">
        <v>VERSIONES_POR_DURACION_O_TIPO</v>
      </c>
      <c r="AX248" s="14" t="n">
        <v>2026</v>
      </c>
      <c r="AY248" s="14" t="str">
        <v>PUBLICA; última matrícula</v>
      </c>
    </row>
    <row r="249" ht="36" customHeight="1">
      <c r="A249" s="15" t="str">
        <v>I162S2C77J4V2</v>
      </c>
      <c r="B249" s="15" t="str">
        <v>INGENIERIA EN LOGISTICA</v>
      </c>
      <c r="C249" s="15" t="str">
        <v>2</v>
      </c>
      <c r="D249" s="15" t="str">
        <v>4</v>
      </c>
      <c r="E249" s="15" t="str">
        <v>2</v>
      </c>
      <c r="F249" s="15" t="str">
        <v>No presencial</v>
      </c>
      <c r="G249" s="15" t="str">
        <v>Pregrado</v>
      </c>
      <c r="H249" s="15" t="str">
        <v>Plan Regular de Continuidad</v>
      </c>
      <c r="I249" s="23" t="n">
        <v>2025</v>
      </c>
      <c r="J249" s="23" t="n">
        <v>2026</v>
      </c>
      <c r="K249" s="24" t="n">
        <v>0</v>
      </c>
      <c r="L249" s="24" t="n">
        <v>0</v>
      </c>
      <c r="M249" s="24" t="n">
        <v>0</v>
      </c>
      <c r="N249" s="24" t="n">
        <v>0</v>
      </c>
      <c r="O249" s="24" t="n">
        <v>0</v>
      </c>
      <c r="P249" s="24" t="n">
        <v>0</v>
      </c>
      <c r="Q249" s="24" t="n">
        <v>0</v>
      </c>
      <c r="R249" s="24" t="n">
        <v>0</v>
      </c>
      <c r="S249" s="24" t="n">
        <v>0</v>
      </c>
      <c r="T249" s="24" t="n">
        <v>0</v>
      </c>
      <c r="U249" s="24" t="n">
        <v>0</v>
      </c>
      <c r="V249" s="24" t="n">
        <v>0</v>
      </c>
      <c r="W249" s="24" t="n">
        <v>0</v>
      </c>
      <c r="X249" s="24" t="n">
        <v>0</v>
      </c>
      <c r="Y249" s="24" t="n">
        <v>0</v>
      </c>
      <c r="Z249" s="24" t="n">
        <v>0</v>
      </c>
      <c r="AA249" s="24" t="n">
        <v>0</v>
      </c>
      <c r="AB249" s="24" t="n">
        <v>0</v>
      </c>
      <c r="AC249" s="24" t="n">
        <v>14</v>
      </c>
      <c r="AD249" s="24" t="n">
        <v>32</v>
      </c>
      <c r="AE249" s="15" t="str">
        <v>1</v>
      </c>
      <c r="AF249" s="15" t="str">
        <v>CILOG</v>
      </c>
      <c r="AG249" s="15" t="str">
        <v>PLAN_NO_OBSERVADO</v>
      </c>
      <c r="AH249" s="15" t="str">
        <v>E</v>
      </c>
      <c r="AI249" s="15" t="str">
        <v>E</v>
      </c>
      <c r="AJ249" s="24" t="n">
        <v>0</v>
      </c>
      <c r="AK249" s="24" t="n">
        <v>0</v>
      </c>
      <c r="AL249" s="24" t="n">
        <v>0</v>
      </c>
      <c r="AM249" s="24" t="n">
        <v>0</v>
      </c>
      <c r="AN249" s="24" t="n">
        <v>0</v>
      </c>
      <c r="AO249" s="15" t="str">
        <v>CRUCE_PERSONA_MU_2022_2026</v>
      </c>
      <c r="AP249" s="15" t="str">
        <v>PENDIENTE</v>
      </c>
      <c r="AQ249" s="15" t="str">
        <v>PLAN_NO_OBSERVADO</v>
      </c>
      <c r="AR249" s="15" t="str">
        <v>E</v>
      </c>
      <c r="AS249" s="15" t="str">
        <v>MATRIZ / PUBLICA</v>
      </c>
      <c r="AT249" s="15" t="str">
        <v>SIN_ACTIVIDAD_ANUAL; ENLACE_EXPEDIENTE_CONSERVADO</v>
      </c>
      <c r="AU249" s="15" t="n">
        <v>4</v>
      </c>
      <c r="AV249" s="15" t="n">
        <v>4</v>
      </c>
      <c r="AW249" s="15" t="str">
        <v>VERSIONES_POR_DURACION_O_TIPO</v>
      </c>
      <c r="AX249" s="15" t="n">
        <v>2026</v>
      </c>
      <c r="AY249" s="15" t="str">
        <v>PUBLICA; última matrícula</v>
      </c>
    </row>
    <row r="250" ht="27" customHeight="1">
      <c r="A250" s="14" t="str">
        <v>I162S2C78J1V1</v>
      </c>
      <c r="B250" s="14" t="str">
        <v>TECNICO EN ADMINISTRACION DE EMPRESAS</v>
      </c>
      <c r="C250" s="14" t="str">
        <v>2</v>
      </c>
      <c r="D250" s="14" t="str">
        <v>1</v>
      </c>
      <c r="E250" s="14" t="str">
        <v>1</v>
      </c>
      <c r="F250" s="14" t="str">
        <v>Presencial</v>
      </c>
      <c r="G250" s="14" t="str">
        <v>Pregrado</v>
      </c>
      <c r="H250" s="14" t="str">
        <v>Plan Regular</v>
      </c>
      <c r="I250" s="21" t="n">
        <v>2026</v>
      </c>
      <c r="J250" s="21" t="n">
        <v>2026</v>
      </c>
      <c r="K250" s="22" t="n">
        <v>0</v>
      </c>
      <c r="L250" s="22" t="n">
        <v>0</v>
      </c>
      <c r="M250" s="22" t="n">
        <v>0</v>
      </c>
      <c r="N250" s="22" t="n">
        <v>0</v>
      </c>
      <c r="O250" s="22" t="n">
        <v>0</v>
      </c>
      <c r="P250" s="22" t="n">
        <v>0</v>
      </c>
      <c r="Q250" s="22" t="n">
        <v>0</v>
      </c>
      <c r="R250" s="22" t="n">
        <v>0</v>
      </c>
      <c r="S250" s="22" t="n">
        <v>0</v>
      </c>
      <c r="T250" s="22" t="n">
        <v>0</v>
      </c>
      <c r="U250" s="22" t="n">
        <v>0</v>
      </c>
      <c r="V250" s="22" t="n">
        <v>0</v>
      </c>
      <c r="W250" s="22" t="n">
        <v>0</v>
      </c>
      <c r="X250" s="22" t="n">
        <v>0</v>
      </c>
      <c r="Y250" s="22" t="n">
        <v>0</v>
      </c>
      <c r="Z250" s="22" t="n">
        <v>0</v>
      </c>
      <c r="AA250" s="22" t="n">
        <v>0</v>
      </c>
      <c r="AB250" s="22" t="n">
        <v>0</v>
      </c>
      <c r="AC250" s="22" t="n">
        <v>0</v>
      </c>
      <c r="AD250" s="22" t="n">
        <v>10</v>
      </c>
      <c r="AE250" s="14" t="str">
        <v>2</v>
      </c>
      <c r="AF250" s="14" t="str">
        <v>TAMD</v>
      </c>
      <c r="AG250" s="14" t="str">
        <v>PLAN_NO_OBSERVADO</v>
      </c>
      <c r="AH250" s="14" t="str">
        <v>E</v>
      </c>
      <c r="AI250" s="14" t="str">
        <v>E</v>
      </c>
      <c r="AJ250" s="22" t="n">
        <v>0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14" t="str">
        <v>CRUCE_PERSONA_MU_2022_2026</v>
      </c>
      <c r="AP250" s="14" t="str">
        <v>PENDIENTE</v>
      </c>
      <c r="AQ250" s="14" t="str">
        <v>PLAN_NO_OBSERVADO</v>
      </c>
      <c r="AR250" s="14" t="str">
        <v>E</v>
      </c>
      <c r="AS250" s="14" t="str">
        <v>MATRIZ / PUBLICA</v>
      </c>
      <c r="AT250" s="14" t="str">
        <v>SIN_ACTIVIDAD_ANUAL; ENLACE_EXPEDIENTE_CONSERVADO</v>
      </c>
      <c r="AU250" s="14" t="n">
        <v>5</v>
      </c>
      <c r="AV250" s="14" t="n">
        <v>5</v>
      </c>
      <c r="AW250" s="14" t="str">
        <v>UNA_VERSION_OBSERVADA</v>
      </c>
      <c r="AX250" s="14" t="n">
        <v>2026</v>
      </c>
      <c r="AY250" s="14" t="str">
        <v>PUBLICA; última matrícula</v>
      </c>
    </row>
    <row r="251" ht="27" customHeight="1">
      <c r="A251" s="15" t="str">
        <v>I162S2C78J1V1</v>
      </c>
      <c r="B251" s="15" t="str">
        <v>TECNICO EN ADMINISTRACION DE EMPRESAS</v>
      </c>
      <c r="C251" s="15" t="str">
        <v>2</v>
      </c>
      <c r="D251" s="15" t="str">
        <v>1</v>
      </c>
      <c r="E251" s="15" t="str">
        <v>1</v>
      </c>
      <c r="F251" s="15" t="str">
        <v>Presencial</v>
      </c>
      <c r="G251" s="15" t="str">
        <v>Pregrado</v>
      </c>
      <c r="H251" s="15" t="str">
        <v>Plan Regular</v>
      </c>
      <c r="I251" s="23" t="n">
        <v>2026</v>
      </c>
      <c r="J251" s="23" t="n">
        <v>2026</v>
      </c>
      <c r="K251" s="24" t="n">
        <v>0</v>
      </c>
      <c r="L251" s="24" t="n">
        <v>0</v>
      </c>
      <c r="M251" s="24" t="n">
        <v>0</v>
      </c>
      <c r="N251" s="24" t="n">
        <v>0</v>
      </c>
      <c r="O251" s="24" t="n">
        <v>0</v>
      </c>
      <c r="P251" s="24" t="n">
        <v>0</v>
      </c>
      <c r="Q251" s="24" t="n">
        <v>0</v>
      </c>
      <c r="R251" s="24" t="n">
        <v>0</v>
      </c>
      <c r="S251" s="24" t="n">
        <v>0</v>
      </c>
      <c r="T251" s="24" t="n">
        <v>0</v>
      </c>
      <c r="U251" s="24" t="n">
        <v>0</v>
      </c>
      <c r="V251" s="24" t="n">
        <v>0</v>
      </c>
      <c r="W251" s="24" t="n">
        <v>0</v>
      </c>
      <c r="X251" s="24" t="n">
        <v>0</v>
      </c>
      <c r="Y251" s="24" t="n">
        <v>0</v>
      </c>
      <c r="Z251" s="24" t="n">
        <v>0</v>
      </c>
      <c r="AA251" s="24" t="n">
        <v>0</v>
      </c>
      <c r="AB251" s="24" t="n">
        <v>0</v>
      </c>
      <c r="AC251" s="24" t="n">
        <v>0</v>
      </c>
      <c r="AD251" s="24" t="n">
        <v>10</v>
      </c>
      <c r="AE251" s="15" t="str">
        <v>2</v>
      </c>
      <c r="AF251" s="15" t="str">
        <v>TAMD</v>
      </c>
      <c r="AG251" s="15" t="str">
        <v>TAMD20241</v>
      </c>
      <c r="AH251" s="15" t="str">
        <v>REGULAR</v>
      </c>
      <c r="AI251" s="15" t="str">
        <v>C</v>
      </c>
      <c r="AJ251" s="24" t="n">
        <v>0</v>
      </c>
      <c r="AK251" s="24" t="n">
        <v>0</v>
      </c>
      <c r="AL251" s="24" t="n">
        <v>0</v>
      </c>
      <c r="AM251" s="24" t="n">
        <v>0</v>
      </c>
      <c r="AN251" s="24" t="n">
        <v>10</v>
      </c>
      <c r="AO251" s="15" t="str">
        <v>CRUCE_PERSONA_MU_2022_2026</v>
      </c>
      <c r="AP251" s="15" t="str">
        <v>UNIDO</v>
      </c>
      <c r="AQ251" s="15" t="str">
        <v>UNIDO</v>
      </c>
      <c r="AR251" s="15" t="str">
        <v>B/C</v>
      </c>
      <c r="AS251" s="15" t="str">
        <v>MATRIZ / PUBLICA</v>
      </c>
      <c r="AT251" s="15" t="str">
        <v>ANUAL</v>
      </c>
      <c r="AU251" s="15" t="n">
        <v>5</v>
      </c>
      <c r="AV251" s="15" t="n">
        <v>5</v>
      </c>
      <c r="AW251" s="15" t="str">
        <v>UNA_VERSION_OBSERVADA</v>
      </c>
      <c r="AX251" s="15" t="n">
        <v>2026</v>
      </c>
      <c r="AY251" s="15" t="str">
        <v>PUBLICA; última matrícula</v>
      </c>
    </row>
    <row r="252" ht="27" customHeight="1">
      <c r="A252" s="14" t="str">
        <v>I162S2C78J2V1</v>
      </c>
      <c r="B252" s="14" t="str">
        <v>TECNICO EN ADMINISTRACION DE EMPRESAS</v>
      </c>
      <c r="C252" s="14" t="str">
        <v>2</v>
      </c>
      <c r="D252" s="14" t="str">
        <v>2</v>
      </c>
      <c r="E252" s="14" t="str">
        <v>1</v>
      </c>
      <c r="F252" s="14" t="str">
        <v>Presencial</v>
      </c>
      <c r="G252" s="14" t="str">
        <v>Pregrado</v>
      </c>
      <c r="H252" s="14" t="str">
        <v>Plan Regular</v>
      </c>
      <c r="I252" s="21" t="n">
        <v>2024</v>
      </c>
      <c r="J252" s="21" t="n">
        <v>2026</v>
      </c>
      <c r="K252" s="22" t="n">
        <v>0</v>
      </c>
      <c r="L252" s="22" t="n">
        <v>0</v>
      </c>
      <c r="M252" s="22" t="n">
        <v>0</v>
      </c>
      <c r="N252" s="22" t="n">
        <v>0</v>
      </c>
      <c r="O252" s="22" t="n">
        <v>0</v>
      </c>
      <c r="P252" s="22" t="n">
        <v>0</v>
      </c>
      <c r="Q252" s="22" t="n">
        <v>0</v>
      </c>
      <c r="R252" s="22" t="n">
        <v>0</v>
      </c>
      <c r="S252" s="22" t="n">
        <v>0</v>
      </c>
      <c r="T252" s="22" t="n">
        <v>0</v>
      </c>
      <c r="U252" s="22" t="n">
        <v>0</v>
      </c>
      <c r="V252" s="22" t="n">
        <v>0</v>
      </c>
      <c r="W252" s="22" t="n">
        <v>0</v>
      </c>
      <c r="X252" s="22" t="n">
        <v>0</v>
      </c>
      <c r="Y252" s="22" t="n">
        <v>0</v>
      </c>
      <c r="Z252" s="22" t="n">
        <v>0</v>
      </c>
      <c r="AA252" s="22" t="n">
        <v>0</v>
      </c>
      <c r="AB252" s="22" t="n">
        <v>7</v>
      </c>
      <c r="AC252" s="22" t="n">
        <v>11</v>
      </c>
      <c r="AD252" s="22" t="n">
        <v>36</v>
      </c>
      <c r="AE252" s="14" t="str">
        <v>2</v>
      </c>
      <c r="AF252" s="14" t="str">
        <v>TAMD</v>
      </c>
      <c r="AG252" s="14" t="str">
        <v>PLAN_NO_OBSERVADO</v>
      </c>
      <c r="AH252" s="14" t="str">
        <v>E</v>
      </c>
      <c r="AI252" s="14" t="str">
        <v>E</v>
      </c>
      <c r="AJ252" s="22" t="n">
        <v>0</v>
      </c>
      <c r="AK252" s="22" t="n">
        <v>0</v>
      </c>
      <c r="AL252" s="22" t="n">
        <v>1</v>
      </c>
      <c r="AM252" s="22" t="n">
        <v>1</v>
      </c>
      <c r="AN252" s="22" t="n">
        <v>0</v>
      </c>
      <c r="AO252" s="14" t="str">
        <v>CRUCE_PERSONA_MU_2022_2026</v>
      </c>
      <c r="AP252" s="14" t="str">
        <v>PENDIENTE</v>
      </c>
      <c r="AQ252" s="14" t="str">
        <v>PLAN_NO_OBSERVADO</v>
      </c>
      <c r="AR252" s="14" t="str">
        <v>E</v>
      </c>
      <c r="AS252" s="14" t="str">
        <v>MATRIZ / PUBLICA</v>
      </c>
      <c r="AT252" s="14" t="str">
        <v>SIN_ACTIVIDAD_ANUAL; ENLACE_EXPEDIENTE_CONSERVADO</v>
      </c>
      <c r="AU252" s="14" t="n">
        <v>5</v>
      </c>
      <c r="AV252" s="14" t="n">
        <v>5</v>
      </c>
      <c r="AW252" s="14" t="str">
        <v>UNA_VERSION_OBSERVADA</v>
      </c>
      <c r="AX252" s="14" t="n">
        <v>2026</v>
      </c>
      <c r="AY252" s="14" t="str">
        <v>PUBLICA; última matrícula</v>
      </c>
    </row>
    <row r="253" ht="36" customHeight="1">
      <c r="A253" s="15" t="str">
        <v>I162S2C78J2V1</v>
      </c>
      <c r="B253" s="15" t="str">
        <v>TECNICO EN ADMINISTRACION DE EMPRESAS</v>
      </c>
      <c r="C253" s="15" t="str">
        <v>2</v>
      </c>
      <c r="D253" s="15" t="str">
        <v>2</v>
      </c>
      <c r="E253" s="15" t="str">
        <v>1</v>
      </c>
      <c r="F253" s="15" t="str">
        <v>Presencial</v>
      </c>
      <c r="G253" s="15" t="str">
        <v>Pregrado</v>
      </c>
      <c r="H253" s="15" t="str">
        <v>Plan Regular</v>
      </c>
      <c r="I253" s="23" t="n">
        <v>2024</v>
      </c>
      <c r="J253" s="23" t="n">
        <v>2026</v>
      </c>
      <c r="K253" s="24" t="n">
        <v>0</v>
      </c>
      <c r="L253" s="24" t="n">
        <v>0</v>
      </c>
      <c r="M253" s="24" t="n">
        <v>0</v>
      </c>
      <c r="N253" s="24" t="n">
        <v>0</v>
      </c>
      <c r="O253" s="24" t="n">
        <v>0</v>
      </c>
      <c r="P253" s="24" t="n">
        <v>0</v>
      </c>
      <c r="Q253" s="24" t="n">
        <v>0</v>
      </c>
      <c r="R253" s="24" t="n">
        <v>0</v>
      </c>
      <c r="S253" s="24" t="n">
        <v>0</v>
      </c>
      <c r="T253" s="24" t="n">
        <v>0</v>
      </c>
      <c r="U253" s="24" t="n">
        <v>0</v>
      </c>
      <c r="V253" s="24" t="n">
        <v>0</v>
      </c>
      <c r="W253" s="24" t="n">
        <v>0</v>
      </c>
      <c r="X253" s="24" t="n">
        <v>0</v>
      </c>
      <c r="Y253" s="24" t="n">
        <v>0</v>
      </c>
      <c r="Z253" s="24" t="n">
        <v>0</v>
      </c>
      <c r="AA253" s="24" t="n">
        <v>0</v>
      </c>
      <c r="AB253" s="24" t="n">
        <v>7</v>
      </c>
      <c r="AC253" s="24" t="n">
        <v>11</v>
      </c>
      <c r="AD253" s="24" t="n">
        <v>36</v>
      </c>
      <c r="AE253" s="15" t="str">
        <v>2</v>
      </c>
      <c r="AF253" s="15" t="str">
        <v>TAMD</v>
      </c>
      <c r="AG253" s="15" t="str">
        <v>TAMD20241</v>
      </c>
      <c r="AH253" s="15" t="str">
        <v>REGULAR</v>
      </c>
      <c r="AI253" s="15" t="str">
        <v>C</v>
      </c>
      <c r="AJ253" s="24" t="n">
        <v>0</v>
      </c>
      <c r="AK253" s="24" t="n">
        <v>0</v>
      </c>
      <c r="AL253" s="24" t="n">
        <v>3</v>
      </c>
      <c r="AM253" s="24" t="n">
        <v>7</v>
      </c>
      <c r="AN253" s="24" t="n">
        <v>32</v>
      </c>
      <c r="AO253" s="15" t="str">
        <v>APROBACION_D_2027 / CRUCE_PERSONA_MU_2022_2026</v>
      </c>
      <c r="AP253" s="15" t="str">
        <v>UNIDO</v>
      </c>
      <c r="AQ253" s="15" t="str">
        <v>UNIDO</v>
      </c>
      <c r="AR253" s="15" t="str">
        <v>D/C</v>
      </c>
      <c r="AS253" s="15" t="str">
        <v>H002 / MATRIZ / PUBLICA</v>
      </c>
      <c r="AT253" s="15" t="str">
        <v>ANUAL / Catálogo 2027; no atribución retroactiva ni acreditación de cohorte/malla</v>
      </c>
      <c r="AU253" s="15" t="n">
        <v>5</v>
      </c>
      <c r="AV253" s="15" t="n">
        <v>5</v>
      </c>
      <c r="AW253" s="15" t="str">
        <v>UNA_VERSION_OBSERVADA</v>
      </c>
      <c r="AX253" s="15" t="n">
        <v>2026</v>
      </c>
      <c r="AY253" s="15" t="str">
        <v>PUBLICA; última matrícula</v>
      </c>
    </row>
    <row r="254" ht="27" customHeight="1">
      <c r="A254" s="14" t="str">
        <v>I162S2C78J2V2</v>
      </c>
      <c r="B254" s="14" t="str">
        <v>TECNICO EN ADMINISTRACION DE EMPRESAS</v>
      </c>
      <c r="C254" s="14" t="str">
        <v>2</v>
      </c>
      <c r="D254" s="14" t="str">
        <v>2</v>
      </c>
      <c r="E254" s="14" t="str">
        <v>2</v>
      </c>
      <c r="F254" s="14" t="str">
        <v>Presencial</v>
      </c>
      <c r="G254" s="14" t="str">
        <v>Pregrado</v>
      </c>
      <c r="H254" s="14" t="str">
        <v>Plan Regular</v>
      </c>
      <c r="I254" s="21" t="str">
        <v>n.a.</v>
      </c>
      <c r="J254" s="21" t="str">
        <v>n.a.</v>
      </c>
      <c r="K254" s="22" t="n">
        <v>0</v>
      </c>
      <c r="L254" s="22" t="n">
        <v>0</v>
      </c>
      <c r="M254" s="22" t="n">
        <v>0</v>
      </c>
      <c r="N254" s="22" t="n">
        <v>0</v>
      </c>
      <c r="O254" s="22" t="n">
        <v>0</v>
      </c>
      <c r="P254" s="22" t="n">
        <v>0</v>
      </c>
      <c r="Q254" s="22" t="n">
        <v>0</v>
      </c>
      <c r="R254" s="22" t="n">
        <v>0</v>
      </c>
      <c r="S254" s="22" t="n">
        <v>0</v>
      </c>
      <c r="T254" s="22" t="n">
        <v>0</v>
      </c>
      <c r="U254" s="22" t="n">
        <v>0</v>
      </c>
      <c r="V254" s="22" t="n">
        <v>0</v>
      </c>
      <c r="W254" s="22" t="n">
        <v>0</v>
      </c>
      <c r="X254" s="22" t="n">
        <v>0</v>
      </c>
      <c r="Y254" s="22" t="n">
        <v>0</v>
      </c>
      <c r="Z254" s="22" t="n">
        <v>0</v>
      </c>
      <c r="AA254" s="22" t="n">
        <v>0</v>
      </c>
      <c r="AB254" s="22" t="n">
        <v>0</v>
      </c>
      <c r="AC254" s="22" t="n">
        <v>0</v>
      </c>
      <c r="AD254" s="22" t="n">
        <v>0</v>
      </c>
      <c r="AE254" s="14" t="str">
        <v>1</v>
      </c>
      <c r="AF254" s="14" t="str">
        <v>E</v>
      </c>
      <c r="AG254" s="14" t="str">
        <v>E: sin plan</v>
      </c>
      <c r="AH254" s="14" t="str">
        <v>E</v>
      </c>
      <c r="AI254" s="14" t="str">
        <v>E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14" t="str">
        <v>SIN_UNION</v>
      </c>
      <c r="AP254" s="14" t="str">
        <v>PENDIENTE</v>
      </c>
      <c r="AQ254" s="14" t="str">
        <v>NUEVO_2027_SIN_ALUMNOS</v>
      </c>
      <c r="AR254" s="14" t="str">
        <v>E</v>
      </c>
      <c r="AS254" s="14" t="str">
        <v>PUBLICA</v>
      </c>
      <c r="AT254" s="14" t="str">
        <v>E</v>
      </c>
      <c r="AU254" s="14" t="str">
        <v>E</v>
      </c>
      <c r="AV254" s="14" t="n">
        <v>4</v>
      </c>
      <c r="AW254" s="14" t="str">
        <v>E: sin historia pública</v>
      </c>
      <c r="AX254" s="14" t="n">
        <v>2027</v>
      </c>
      <c r="AY254" s="14" t="str">
        <v>H002; estudios no acreditados</v>
      </c>
    </row>
    <row r="255" ht="27" customHeight="1">
      <c r="A255" s="15" t="str">
        <v>I162S2C78J4V1</v>
      </c>
      <c r="B255" s="15" t="str">
        <v>TECNICO EN ADMINISTRACION DE EMPRESAS</v>
      </c>
      <c r="C255" s="15" t="str">
        <v>2</v>
      </c>
      <c r="D255" s="15" t="str">
        <v>4</v>
      </c>
      <c r="E255" s="15" t="str">
        <v>1</v>
      </c>
      <c r="F255" s="15" t="str">
        <v>No presencial</v>
      </c>
      <c r="G255" s="15" t="str">
        <v>Pregrado</v>
      </c>
      <c r="H255" s="15" t="str">
        <v>Plan Regular</v>
      </c>
      <c r="I255" s="23" t="n">
        <v>2024</v>
      </c>
      <c r="J255" s="23" t="n">
        <v>2026</v>
      </c>
      <c r="K255" s="24" t="n">
        <v>0</v>
      </c>
      <c r="L255" s="24" t="n">
        <v>0</v>
      </c>
      <c r="M255" s="24" t="n">
        <v>0</v>
      </c>
      <c r="N255" s="24" t="n">
        <v>0</v>
      </c>
      <c r="O255" s="24" t="n">
        <v>0</v>
      </c>
      <c r="P255" s="24" t="n">
        <v>0</v>
      </c>
      <c r="Q255" s="24" t="n">
        <v>0</v>
      </c>
      <c r="R255" s="24" t="n">
        <v>0</v>
      </c>
      <c r="S255" s="24" t="n">
        <v>0</v>
      </c>
      <c r="T255" s="24" t="n">
        <v>0</v>
      </c>
      <c r="U255" s="24" t="n">
        <v>0</v>
      </c>
      <c r="V255" s="24" t="n">
        <v>0</v>
      </c>
      <c r="W255" s="24" t="n">
        <v>0</v>
      </c>
      <c r="X255" s="24" t="n">
        <v>0</v>
      </c>
      <c r="Y255" s="24" t="n">
        <v>0</v>
      </c>
      <c r="Z255" s="24" t="n">
        <v>0</v>
      </c>
      <c r="AA255" s="24" t="n">
        <v>0</v>
      </c>
      <c r="AB255" s="24" t="n">
        <v>8</v>
      </c>
      <c r="AC255" s="24" t="n">
        <v>74</v>
      </c>
      <c r="AD255" s="24" t="n">
        <v>88</v>
      </c>
      <c r="AE255" s="15" t="str">
        <v>1</v>
      </c>
      <c r="AF255" s="15" t="str">
        <v>TAMD</v>
      </c>
      <c r="AG255" s="15" t="str">
        <v>PLAN_NO_OBSERVADO</v>
      </c>
      <c r="AH255" s="15" t="str">
        <v>E</v>
      </c>
      <c r="AI255" s="15" t="str">
        <v>E</v>
      </c>
      <c r="AJ255" s="24" t="n">
        <v>0</v>
      </c>
      <c r="AK255" s="24" t="n">
        <v>0</v>
      </c>
      <c r="AL255" s="24" t="n">
        <v>1</v>
      </c>
      <c r="AM255" s="24" t="n">
        <v>3</v>
      </c>
      <c r="AN255" s="24" t="n">
        <v>13</v>
      </c>
      <c r="AO255" s="15" t="str">
        <v>CRUCE_PERSONA_MU_2022_2026</v>
      </c>
      <c r="AP255" s="15" t="str">
        <v>PENDIENTE</v>
      </c>
      <c r="AQ255" s="15" t="str">
        <v>PLAN_NO_OBSERVADO</v>
      </c>
      <c r="AR255" s="15" t="str">
        <v>E</v>
      </c>
      <c r="AS255" s="15" t="str">
        <v>MATRIZ / PUBLICA</v>
      </c>
      <c r="AT255" s="15" t="str">
        <v>SIN_ACTIVIDAD_ANUAL; ENLACE_EXPEDIENTE_CONSERVADO</v>
      </c>
      <c r="AU255" s="15" t="n">
        <v>5</v>
      </c>
      <c r="AV255" s="15" t="n">
        <v>5</v>
      </c>
      <c r="AW255" s="15" t="str">
        <v>UNA_VERSION_OBSERVADA</v>
      </c>
      <c r="AX255" s="15" t="n">
        <v>2026</v>
      </c>
      <c r="AY255" s="15" t="str">
        <v>PUBLICA; última matrícula</v>
      </c>
    </row>
    <row r="256" ht="36" customHeight="1">
      <c r="A256" s="14" t="str">
        <v>I162S2C78J4V1</v>
      </c>
      <c r="B256" s="14" t="str">
        <v>TECNICO EN ADMINISTRACION DE EMPRESAS</v>
      </c>
      <c r="C256" s="14" t="str">
        <v>2</v>
      </c>
      <c r="D256" s="14" t="str">
        <v>4</v>
      </c>
      <c r="E256" s="14" t="str">
        <v>1</v>
      </c>
      <c r="F256" s="14" t="str">
        <v>No presencial</v>
      </c>
      <c r="G256" s="14" t="str">
        <v>Pregrado</v>
      </c>
      <c r="H256" s="14" t="str">
        <v>Plan Regular</v>
      </c>
      <c r="I256" s="21" t="n">
        <v>2024</v>
      </c>
      <c r="J256" s="21" t="n">
        <v>2026</v>
      </c>
      <c r="K256" s="22" t="n">
        <v>0</v>
      </c>
      <c r="L256" s="22" t="n">
        <v>0</v>
      </c>
      <c r="M256" s="22" t="n">
        <v>0</v>
      </c>
      <c r="N256" s="22" t="n">
        <v>0</v>
      </c>
      <c r="O256" s="22" t="n">
        <v>0</v>
      </c>
      <c r="P256" s="22" t="n">
        <v>0</v>
      </c>
      <c r="Q256" s="22" t="n">
        <v>0</v>
      </c>
      <c r="R256" s="22" t="n">
        <v>0</v>
      </c>
      <c r="S256" s="22" t="n">
        <v>0</v>
      </c>
      <c r="T256" s="22" t="n">
        <v>0</v>
      </c>
      <c r="U256" s="22" t="n">
        <v>0</v>
      </c>
      <c r="V256" s="22" t="n">
        <v>0</v>
      </c>
      <c r="W256" s="22" t="n">
        <v>0</v>
      </c>
      <c r="X256" s="22" t="n">
        <v>0</v>
      </c>
      <c r="Y256" s="22" t="n">
        <v>0</v>
      </c>
      <c r="Z256" s="22" t="n">
        <v>0</v>
      </c>
      <c r="AA256" s="22" t="n">
        <v>0</v>
      </c>
      <c r="AB256" s="22" t="n">
        <v>8</v>
      </c>
      <c r="AC256" s="22" t="n">
        <v>74</v>
      </c>
      <c r="AD256" s="22" t="n">
        <v>88</v>
      </c>
      <c r="AE256" s="14" t="str">
        <v>1</v>
      </c>
      <c r="AF256" s="14" t="str">
        <v>TAMD</v>
      </c>
      <c r="AG256" s="14" t="str">
        <v>TAMD20241</v>
      </c>
      <c r="AH256" s="14" t="str">
        <v>REGULAR</v>
      </c>
      <c r="AI256" s="14" t="str">
        <v>C</v>
      </c>
      <c r="AJ256" s="22" t="n">
        <v>0</v>
      </c>
      <c r="AK256" s="22" t="n">
        <v>0</v>
      </c>
      <c r="AL256" s="22" t="n">
        <v>7</v>
      </c>
      <c r="AM256" s="22" t="n">
        <v>69</v>
      </c>
      <c r="AN256" s="22" t="n">
        <v>69</v>
      </c>
      <c r="AO256" s="14" t="str">
        <v>CRUCE_PERSONA_MU_2022_2026 / REGLA_MU_2027</v>
      </c>
      <c r="AP256" s="14" t="str">
        <v>UNIDO</v>
      </c>
      <c r="AQ256" s="14" t="str">
        <v>UNIDO</v>
      </c>
      <c r="AR256" s="14" t="str">
        <v>B/C</v>
      </c>
      <c r="AS256" s="14" t="str">
        <v>H002 / MATRIZ / PUBLICA</v>
      </c>
      <c r="AT256" s="14" t="str">
        <v>ANUAL / Catálogo 2027; no atribución retroactiva ni acreditación de cohorte/malla</v>
      </c>
      <c r="AU256" s="14" t="n">
        <v>5</v>
      </c>
      <c r="AV256" s="14" t="n">
        <v>5</v>
      </c>
      <c r="AW256" s="14" t="str">
        <v>UNA_VERSION_OBSERVADA</v>
      </c>
      <c r="AX256" s="14" t="n">
        <v>2026</v>
      </c>
      <c r="AY256" s="14" t="str">
        <v>PUBLICA; última matrícula</v>
      </c>
    </row>
    <row r="257" ht="27" customHeight="1">
      <c r="A257" s="15" t="str">
        <v>I162S2C78J4V2</v>
      </c>
      <c r="B257" s="15" t="str">
        <v>TECNICO EN ADMINISTRACION DE EMPRESAS</v>
      </c>
      <c r="C257" s="15" t="str">
        <v>2</v>
      </c>
      <c r="D257" s="15" t="str">
        <v>4</v>
      </c>
      <c r="E257" s="15" t="str">
        <v>2</v>
      </c>
      <c r="F257" s="15" t="str">
        <v>No presencial</v>
      </c>
      <c r="G257" s="15" t="str">
        <v>Pregrado</v>
      </c>
      <c r="H257" s="15" t="str">
        <v>Plan Regular</v>
      </c>
      <c r="I257" s="23" t="str">
        <v>n.a.</v>
      </c>
      <c r="J257" s="23" t="str">
        <v>n.a.</v>
      </c>
      <c r="K257" s="24" t="n">
        <v>0</v>
      </c>
      <c r="L257" s="24" t="n">
        <v>0</v>
      </c>
      <c r="M257" s="24" t="n">
        <v>0</v>
      </c>
      <c r="N257" s="24" t="n">
        <v>0</v>
      </c>
      <c r="O257" s="24" t="n">
        <v>0</v>
      </c>
      <c r="P257" s="24" t="n">
        <v>0</v>
      </c>
      <c r="Q257" s="24" t="n">
        <v>0</v>
      </c>
      <c r="R257" s="24" t="n">
        <v>0</v>
      </c>
      <c r="S257" s="24" t="n">
        <v>0</v>
      </c>
      <c r="T257" s="24" t="n">
        <v>0</v>
      </c>
      <c r="U257" s="24" t="n">
        <v>0</v>
      </c>
      <c r="V257" s="24" t="n">
        <v>0</v>
      </c>
      <c r="W257" s="24" t="n">
        <v>0</v>
      </c>
      <c r="X257" s="24" t="n">
        <v>0</v>
      </c>
      <c r="Y257" s="24" t="n">
        <v>0</v>
      </c>
      <c r="Z257" s="24" t="n">
        <v>0</v>
      </c>
      <c r="AA257" s="24" t="n">
        <v>0</v>
      </c>
      <c r="AB257" s="24" t="n">
        <v>0</v>
      </c>
      <c r="AC257" s="24" t="n">
        <v>0</v>
      </c>
      <c r="AD257" s="24" t="n">
        <v>0</v>
      </c>
      <c r="AE257" s="15" t="str">
        <v>1</v>
      </c>
      <c r="AF257" s="15" t="str">
        <v>E</v>
      </c>
      <c r="AG257" s="15" t="str">
        <v>E: sin plan</v>
      </c>
      <c r="AH257" s="15" t="str">
        <v>E</v>
      </c>
      <c r="AI257" s="15" t="str">
        <v>E</v>
      </c>
      <c r="AJ257" s="24" t="n">
        <v>0</v>
      </c>
      <c r="AK257" s="24" t="n">
        <v>0</v>
      </c>
      <c r="AL257" s="24" t="n">
        <v>0</v>
      </c>
      <c r="AM257" s="24" t="n">
        <v>0</v>
      </c>
      <c r="AN257" s="24" t="n">
        <v>0</v>
      </c>
      <c r="AO257" s="15" t="str">
        <v>SIN_UNION</v>
      </c>
      <c r="AP257" s="15" t="str">
        <v>PENDIENTE</v>
      </c>
      <c r="AQ257" s="15" t="str">
        <v>NUEVO_2027_SIN_ALUMNOS</v>
      </c>
      <c r="AR257" s="15" t="str">
        <v>E</v>
      </c>
      <c r="AS257" s="15" t="str">
        <v>PUBLICA</v>
      </c>
      <c r="AT257" s="15" t="str">
        <v>E</v>
      </c>
      <c r="AU257" s="15" t="str">
        <v>E</v>
      </c>
      <c r="AV257" s="15" t="n">
        <v>4</v>
      </c>
      <c r="AW257" s="15" t="str">
        <v>E: sin historia pública</v>
      </c>
      <c r="AX257" s="15" t="n">
        <v>2027</v>
      </c>
      <c r="AY257" s="15" t="str">
        <v>H002; estudios no acreditados</v>
      </c>
    </row>
    <row r="258" ht="27" customHeight="1">
      <c r="A258" s="14" t="str">
        <v>I162S2C79J1V1</v>
      </c>
      <c r="B258" s="14" t="str">
        <v>TECNICO EN LOGISTICA</v>
      </c>
      <c r="C258" s="14" t="str">
        <v>2</v>
      </c>
      <c r="D258" s="14" t="str">
        <v>1</v>
      </c>
      <c r="E258" s="14" t="str">
        <v>1</v>
      </c>
      <c r="F258" s="14" t="str">
        <v>Presencial</v>
      </c>
      <c r="G258" s="14" t="str">
        <v>Pregrado</v>
      </c>
      <c r="H258" s="14" t="str">
        <v>Plan Regular</v>
      </c>
      <c r="I258" s="21" t="str">
        <v>n.a.</v>
      </c>
      <c r="J258" s="21" t="str">
        <v>n.a.</v>
      </c>
      <c r="K258" s="22" t="n">
        <v>0</v>
      </c>
      <c r="L258" s="22" t="n">
        <v>0</v>
      </c>
      <c r="M258" s="22" t="n">
        <v>0</v>
      </c>
      <c r="N258" s="22" t="n">
        <v>0</v>
      </c>
      <c r="O258" s="22" t="n">
        <v>0</v>
      </c>
      <c r="P258" s="22" t="n">
        <v>0</v>
      </c>
      <c r="Q258" s="22" t="n">
        <v>0</v>
      </c>
      <c r="R258" s="22" t="n">
        <v>0</v>
      </c>
      <c r="S258" s="22" t="n">
        <v>0</v>
      </c>
      <c r="T258" s="22" t="n">
        <v>0</v>
      </c>
      <c r="U258" s="22" t="n">
        <v>0</v>
      </c>
      <c r="V258" s="22" t="n">
        <v>0</v>
      </c>
      <c r="W258" s="22" t="n">
        <v>0</v>
      </c>
      <c r="X258" s="22" t="n">
        <v>0</v>
      </c>
      <c r="Y258" s="22" t="n">
        <v>0</v>
      </c>
      <c r="Z258" s="22" t="n">
        <v>0</v>
      </c>
      <c r="AA258" s="22" t="n">
        <v>0</v>
      </c>
      <c r="AB258" s="22" t="n">
        <v>0</v>
      </c>
      <c r="AC258" s="22" t="n">
        <v>0</v>
      </c>
      <c r="AD258" s="22" t="n">
        <v>0</v>
      </c>
      <c r="AE258" s="14" t="str">
        <v>2</v>
      </c>
      <c r="AF258" s="14" t="str">
        <v>E</v>
      </c>
      <c r="AG258" s="14" t="str">
        <v>E: sin plan</v>
      </c>
      <c r="AH258" s="14" t="str">
        <v>E</v>
      </c>
      <c r="AI258" s="14" t="str">
        <v>E</v>
      </c>
      <c r="AJ258" s="22" t="n">
        <v>0</v>
      </c>
      <c r="AK258" s="22" t="n">
        <v>0</v>
      </c>
      <c r="AL258" s="22" t="n">
        <v>0</v>
      </c>
      <c r="AM258" s="22" t="n">
        <v>0</v>
      </c>
      <c r="AN258" s="22" t="n">
        <v>0</v>
      </c>
      <c r="AO258" s="14" t="str">
        <v>SIN_UNION</v>
      </c>
      <c r="AP258" s="14" t="str">
        <v>PENDIENTE</v>
      </c>
      <c r="AQ258" s="14" t="str">
        <v>SIN_ENLACE</v>
      </c>
      <c r="AR258" s="14" t="str">
        <v>E</v>
      </c>
      <c r="AS258" s="14" t="str">
        <v>PUBLICA</v>
      </c>
      <c r="AT258" s="14" t="str">
        <v>E</v>
      </c>
      <c r="AU258" s="14" t="n">
        <v>5</v>
      </c>
      <c r="AV258" s="14" t="n">
        <v>5</v>
      </c>
      <c r="AW258" s="14" t="str">
        <v>E: sin historia pública</v>
      </c>
      <c r="AX258" s="14" t="n">
        <v>2026</v>
      </c>
      <c r="AY258" s="14" t="str">
        <v>MAESTRO/oferta_anual; sin matrícula</v>
      </c>
    </row>
    <row r="259" ht="27" customHeight="1">
      <c r="A259" s="15" t="str">
        <v>I162S2C79J2V1</v>
      </c>
      <c r="B259" s="15" t="str">
        <v>TECNICO EN LOGISTICA</v>
      </c>
      <c r="C259" s="15" t="str">
        <v>2</v>
      </c>
      <c r="D259" s="15" t="str">
        <v>2</v>
      </c>
      <c r="E259" s="15" t="str">
        <v>1</v>
      </c>
      <c r="F259" s="15" t="str">
        <v>Presencial</v>
      </c>
      <c r="G259" s="15" t="str">
        <v>Pregrado</v>
      </c>
      <c r="H259" s="15" t="str">
        <v>Plan Regular</v>
      </c>
      <c r="I259" s="23" t="n">
        <v>2024</v>
      </c>
      <c r="J259" s="23" t="n">
        <v>2026</v>
      </c>
      <c r="K259" s="24" t="n">
        <v>0</v>
      </c>
      <c r="L259" s="24" t="n">
        <v>0</v>
      </c>
      <c r="M259" s="24" t="n">
        <v>0</v>
      </c>
      <c r="N259" s="24" t="n">
        <v>0</v>
      </c>
      <c r="O259" s="24" t="n">
        <v>0</v>
      </c>
      <c r="P259" s="24" t="n">
        <v>0</v>
      </c>
      <c r="Q259" s="24" t="n">
        <v>0</v>
      </c>
      <c r="R259" s="24" t="n">
        <v>0</v>
      </c>
      <c r="S259" s="24" t="n">
        <v>0</v>
      </c>
      <c r="T259" s="24" t="n">
        <v>0</v>
      </c>
      <c r="U259" s="24" t="n">
        <v>0</v>
      </c>
      <c r="V259" s="24" t="n">
        <v>0</v>
      </c>
      <c r="W259" s="24" t="n">
        <v>0</v>
      </c>
      <c r="X259" s="24" t="n">
        <v>0</v>
      </c>
      <c r="Y259" s="24" t="n">
        <v>0</v>
      </c>
      <c r="Z259" s="24" t="n">
        <v>0</v>
      </c>
      <c r="AA259" s="24" t="n">
        <v>0</v>
      </c>
      <c r="AB259" s="24" t="n">
        <v>8</v>
      </c>
      <c r="AC259" s="24" t="n">
        <v>24</v>
      </c>
      <c r="AD259" s="24" t="n">
        <v>25</v>
      </c>
      <c r="AE259" s="15" t="str">
        <v>2</v>
      </c>
      <c r="AF259" s="15" t="str">
        <v>TLOG</v>
      </c>
      <c r="AG259" s="15" t="str">
        <v>PLAN_NO_OBSERVADO</v>
      </c>
      <c r="AH259" s="15" t="str">
        <v>E</v>
      </c>
      <c r="AI259" s="15" t="str">
        <v>E</v>
      </c>
      <c r="AJ259" s="24" t="n">
        <v>0</v>
      </c>
      <c r="AK259" s="24" t="n">
        <v>0</v>
      </c>
      <c r="AL259" s="24" t="n">
        <v>0</v>
      </c>
      <c r="AM259" s="24" t="n">
        <v>0</v>
      </c>
      <c r="AN259" s="24" t="n">
        <v>3</v>
      </c>
      <c r="AO259" s="15" t="str">
        <v>CRUCE_PERSONA_MU_2022_2026</v>
      </c>
      <c r="AP259" s="15" t="str">
        <v>PENDIENTE</v>
      </c>
      <c r="AQ259" s="15" t="str">
        <v>PLAN_NO_OBSERVADO</v>
      </c>
      <c r="AR259" s="15" t="str">
        <v>E</v>
      </c>
      <c r="AS259" s="15" t="str">
        <v>MATRIZ / PUBLICA</v>
      </c>
      <c r="AT259" s="15" t="str">
        <v>SIN_ACTIVIDAD_ANUAL; ENLACE_EXPEDIENTE_CONSERVADO</v>
      </c>
      <c r="AU259" s="15" t="n">
        <v>5</v>
      </c>
      <c r="AV259" s="15" t="n">
        <v>5</v>
      </c>
      <c r="AW259" s="15" t="str">
        <v>UNA_VERSION_OBSERVADA</v>
      </c>
      <c r="AX259" s="15" t="n">
        <v>2026</v>
      </c>
      <c r="AY259" s="15" t="str">
        <v>PUBLICA; última matrícula</v>
      </c>
    </row>
    <row r="260" ht="27" customHeight="1">
      <c r="A260" s="14" t="str">
        <v>I162S2C79J2V1</v>
      </c>
      <c r="B260" s="14" t="str">
        <v>TECNICO EN LOGISTICA</v>
      </c>
      <c r="C260" s="14" t="str">
        <v>2</v>
      </c>
      <c r="D260" s="14" t="str">
        <v>2</v>
      </c>
      <c r="E260" s="14" t="str">
        <v>1</v>
      </c>
      <c r="F260" s="14" t="str">
        <v>Presencial</v>
      </c>
      <c r="G260" s="14" t="str">
        <v>Pregrado</v>
      </c>
      <c r="H260" s="14" t="str">
        <v>Plan Regular</v>
      </c>
      <c r="I260" s="21" t="n">
        <v>2024</v>
      </c>
      <c r="J260" s="21" t="n">
        <v>2026</v>
      </c>
      <c r="K260" s="22" t="n">
        <v>0</v>
      </c>
      <c r="L260" s="22" t="n">
        <v>0</v>
      </c>
      <c r="M260" s="22" t="n">
        <v>0</v>
      </c>
      <c r="N260" s="22" t="n">
        <v>0</v>
      </c>
      <c r="O260" s="22" t="n">
        <v>0</v>
      </c>
      <c r="P260" s="22" t="n">
        <v>0</v>
      </c>
      <c r="Q260" s="22" t="n">
        <v>0</v>
      </c>
      <c r="R260" s="22" t="n">
        <v>0</v>
      </c>
      <c r="S260" s="22" t="n">
        <v>0</v>
      </c>
      <c r="T260" s="22" t="n">
        <v>0</v>
      </c>
      <c r="U260" s="22" t="n">
        <v>0</v>
      </c>
      <c r="V260" s="22" t="n">
        <v>0</v>
      </c>
      <c r="W260" s="22" t="n">
        <v>0</v>
      </c>
      <c r="X260" s="22" t="n">
        <v>0</v>
      </c>
      <c r="Y260" s="22" t="n">
        <v>0</v>
      </c>
      <c r="Z260" s="22" t="n">
        <v>0</v>
      </c>
      <c r="AA260" s="22" t="n">
        <v>0</v>
      </c>
      <c r="AB260" s="22" t="n">
        <v>8</v>
      </c>
      <c r="AC260" s="22" t="n">
        <v>24</v>
      </c>
      <c r="AD260" s="22" t="n">
        <v>25</v>
      </c>
      <c r="AE260" s="14" t="str">
        <v>2</v>
      </c>
      <c r="AF260" s="14" t="str">
        <v>TLOG</v>
      </c>
      <c r="AG260" s="14" t="str">
        <v>TLOG20241</v>
      </c>
      <c r="AH260" s="14" t="str">
        <v>REGULAR</v>
      </c>
      <c r="AI260" s="14" t="str">
        <v>C</v>
      </c>
      <c r="AJ260" s="22" t="n">
        <v>0</v>
      </c>
      <c r="AK260" s="22" t="n">
        <v>0</v>
      </c>
      <c r="AL260" s="22" t="n">
        <v>7</v>
      </c>
      <c r="AM260" s="22" t="n">
        <v>20</v>
      </c>
      <c r="AN260" s="22" t="n">
        <v>21</v>
      </c>
      <c r="AO260" s="14" t="str">
        <v>CRUCE_PERSONA_MU_2022_2026</v>
      </c>
      <c r="AP260" s="14" t="str">
        <v>UNIDO</v>
      </c>
      <c r="AQ260" s="14" t="str">
        <v>UNIDO</v>
      </c>
      <c r="AR260" s="14" t="str">
        <v>B/C</v>
      </c>
      <c r="AS260" s="14" t="str">
        <v>MATRIZ / PUBLICA</v>
      </c>
      <c r="AT260" s="14" t="str">
        <v>ANUAL</v>
      </c>
      <c r="AU260" s="14" t="n">
        <v>5</v>
      </c>
      <c r="AV260" s="14" t="n">
        <v>5</v>
      </c>
      <c r="AW260" s="14" t="str">
        <v>UNA_VERSION_OBSERVADA</v>
      </c>
      <c r="AX260" s="14" t="n">
        <v>2026</v>
      </c>
      <c r="AY260" s="14" t="str">
        <v>PUBLICA; última matrícula</v>
      </c>
    </row>
    <row r="261" ht="27" customHeight="1">
      <c r="A261" s="15" t="str">
        <v>I162S2C79J4V1</v>
      </c>
      <c r="B261" s="15" t="str">
        <v>TECNICO EN LOGISTICA</v>
      </c>
      <c r="C261" s="15" t="str">
        <v>2</v>
      </c>
      <c r="D261" s="15" t="str">
        <v>4</v>
      </c>
      <c r="E261" s="15" t="str">
        <v>1</v>
      </c>
      <c r="F261" s="15" t="str">
        <v>No presencial</v>
      </c>
      <c r="G261" s="15" t="str">
        <v>Pregrado</v>
      </c>
      <c r="H261" s="15" t="str">
        <v>Plan Regular</v>
      </c>
      <c r="I261" s="23" t="n">
        <v>2024</v>
      </c>
      <c r="J261" s="23" t="n">
        <v>2026</v>
      </c>
      <c r="K261" s="24" t="n">
        <v>0</v>
      </c>
      <c r="L261" s="24" t="n">
        <v>0</v>
      </c>
      <c r="M261" s="24" t="n">
        <v>0</v>
      </c>
      <c r="N261" s="24" t="n">
        <v>0</v>
      </c>
      <c r="O261" s="24" t="n">
        <v>0</v>
      </c>
      <c r="P261" s="24" t="n">
        <v>0</v>
      </c>
      <c r="Q261" s="24" t="n">
        <v>0</v>
      </c>
      <c r="R261" s="24" t="n">
        <v>0</v>
      </c>
      <c r="S261" s="24" t="n">
        <v>0</v>
      </c>
      <c r="T261" s="24" t="n">
        <v>0</v>
      </c>
      <c r="U261" s="24" t="n">
        <v>0</v>
      </c>
      <c r="V261" s="24" t="n">
        <v>0</v>
      </c>
      <c r="W261" s="24" t="n">
        <v>0</v>
      </c>
      <c r="X261" s="24" t="n">
        <v>0</v>
      </c>
      <c r="Y261" s="24" t="n">
        <v>0</v>
      </c>
      <c r="Z261" s="24" t="n">
        <v>0</v>
      </c>
      <c r="AA261" s="24" t="n">
        <v>0</v>
      </c>
      <c r="AB261" s="24" t="n">
        <v>15</v>
      </c>
      <c r="AC261" s="24" t="n">
        <v>74</v>
      </c>
      <c r="AD261" s="24" t="n">
        <v>87</v>
      </c>
      <c r="AE261" s="15" t="str">
        <v>1</v>
      </c>
      <c r="AF261" s="15" t="str">
        <v>TLOG</v>
      </c>
      <c r="AG261" s="15" t="str">
        <v>PLAN_NO_OBSERVADO</v>
      </c>
      <c r="AH261" s="15" t="str">
        <v>E</v>
      </c>
      <c r="AI261" s="15" t="str">
        <v>E</v>
      </c>
      <c r="AJ261" s="24" t="n">
        <v>0</v>
      </c>
      <c r="AK261" s="24" t="n">
        <v>0</v>
      </c>
      <c r="AL261" s="24" t="n">
        <v>0</v>
      </c>
      <c r="AM261" s="24" t="n">
        <v>2</v>
      </c>
      <c r="AN261" s="24" t="n">
        <v>14</v>
      </c>
      <c r="AO261" s="15" t="str">
        <v>CRUCE_PERSONA_MU_2022_2026</v>
      </c>
      <c r="AP261" s="15" t="str">
        <v>PENDIENTE</v>
      </c>
      <c r="AQ261" s="15" t="str">
        <v>PLAN_NO_OBSERVADO</v>
      </c>
      <c r="AR261" s="15" t="str">
        <v>E</v>
      </c>
      <c r="AS261" s="15" t="str">
        <v>MATRIZ / PUBLICA</v>
      </c>
      <c r="AT261" s="15" t="str">
        <v>SIN_ACTIVIDAD_ANUAL; ENLACE_EXPEDIENTE_CONSERVADO</v>
      </c>
      <c r="AU261" s="15" t="n">
        <v>5</v>
      </c>
      <c r="AV261" s="15" t="n">
        <v>5</v>
      </c>
      <c r="AW261" s="15" t="str">
        <v>UNA_VERSION_OBSERVADA</v>
      </c>
      <c r="AX261" s="15" t="n">
        <v>2026</v>
      </c>
      <c r="AY261" s="15" t="str">
        <v>PUBLICA; última matrícula</v>
      </c>
    </row>
    <row r="262" ht="36" customHeight="1">
      <c r="A262" s="14" t="str">
        <v>I162S2C79J4V1</v>
      </c>
      <c r="B262" s="14" t="str">
        <v>TECNICO EN LOGISTICA</v>
      </c>
      <c r="C262" s="14" t="str">
        <v>2</v>
      </c>
      <c r="D262" s="14" t="str">
        <v>4</v>
      </c>
      <c r="E262" s="14" t="str">
        <v>1</v>
      </c>
      <c r="F262" s="14" t="str">
        <v>No presencial</v>
      </c>
      <c r="G262" s="14" t="str">
        <v>Pregrado</v>
      </c>
      <c r="H262" s="14" t="str">
        <v>Plan Regular</v>
      </c>
      <c r="I262" s="21" t="n">
        <v>2024</v>
      </c>
      <c r="J262" s="21" t="n">
        <v>2026</v>
      </c>
      <c r="K262" s="22" t="n">
        <v>0</v>
      </c>
      <c r="L262" s="22" t="n">
        <v>0</v>
      </c>
      <c r="M262" s="22" t="n">
        <v>0</v>
      </c>
      <c r="N262" s="22" t="n">
        <v>0</v>
      </c>
      <c r="O262" s="22" t="n">
        <v>0</v>
      </c>
      <c r="P262" s="22" t="n">
        <v>0</v>
      </c>
      <c r="Q262" s="22" t="n">
        <v>0</v>
      </c>
      <c r="R262" s="22" t="n">
        <v>0</v>
      </c>
      <c r="S262" s="22" t="n">
        <v>0</v>
      </c>
      <c r="T262" s="22" t="n">
        <v>0</v>
      </c>
      <c r="U262" s="22" t="n">
        <v>0</v>
      </c>
      <c r="V262" s="22" t="n">
        <v>0</v>
      </c>
      <c r="W262" s="22" t="n">
        <v>0</v>
      </c>
      <c r="X262" s="22" t="n">
        <v>0</v>
      </c>
      <c r="Y262" s="22" t="n">
        <v>0</v>
      </c>
      <c r="Z262" s="22" t="n">
        <v>0</v>
      </c>
      <c r="AA262" s="22" t="n">
        <v>0</v>
      </c>
      <c r="AB262" s="22" t="n">
        <v>15</v>
      </c>
      <c r="AC262" s="22" t="n">
        <v>74</v>
      </c>
      <c r="AD262" s="22" t="n">
        <v>87</v>
      </c>
      <c r="AE262" s="14" t="str">
        <v>1</v>
      </c>
      <c r="AF262" s="14" t="str">
        <v>TLOG</v>
      </c>
      <c r="AG262" s="14" t="str">
        <v>TLOG20241</v>
      </c>
      <c r="AH262" s="14" t="str">
        <v>REGULAR</v>
      </c>
      <c r="AI262" s="14" t="str">
        <v>C</v>
      </c>
      <c r="AJ262" s="22" t="n">
        <v>0</v>
      </c>
      <c r="AK262" s="22" t="n">
        <v>0</v>
      </c>
      <c r="AL262" s="22" t="n">
        <v>15</v>
      </c>
      <c r="AM262" s="22" t="n">
        <v>72</v>
      </c>
      <c r="AN262" s="22" t="n">
        <v>72</v>
      </c>
      <c r="AO262" s="14" t="str">
        <v>CRUCE_PERSONA_MU_2022_2026 / REGLA_MU_2027</v>
      </c>
      <c r="AP262" s="14" t="str">
        <v>UNIDO</v>
      </c>
      <c r="AQ262" s="14" t="str">
        <v>UNIDO</v>
      </c>
      <c r="AR262" s="14" t="str">
        <v>B/C</v>
      </c>
      <c r="AS262" s="14" t="str">
        <v>H002 / MATRIZ / PUBLICA</v>
      </c>
      <c r="AT262" s="14" t="str">
        <v>ANUAL / Catálogo 2027; no atribución retroactiva ni acreditación de cohorte/malla</v>
      </c>
      <c r="AU262" s="14" t="n">
        <v>5</v>
      </c>
      <c r="AV262" s="14" t="n">
        <v>5</v>
      </c>
      <c r="AW262" s="14" t="str">
        <v>UNA_VERSION_OBSERVADA</v>
      </c>
      <c r="AX262" s="14" t="n">
        <v>2026</v>
      </c>
      <c r="AY262" s="14" t="str">
        <v>PUBLICA; última matrícula</v>
      </c>
    </row>
    <row r="263" ht="27" customHeight="1">
      <c r="A263" s="15" t="str">
        <v>I162S2C79J4V2</v>
      </c>
      <c r="B263" s="15" t="str">
        <v>TECNICO EN LOGISTICA</v>
      </c>
      <c r="C263" s="15" t="str">
        <v>2</v>
      </c>
      <c r="D263" s="15" t="str">
        <v>4</v>
      </c>
      <c r="E263" s="15" t="str">
        <v>2</v>
      </c>
      <c r="F263" s="15" t="str">
        <v>No presencial</v>
      </c>
      <c r="G263" s="15" t="str">
        <v>Pregrado</v>
      </c>
      <c r="H263" s="15" t="str">
        <v>Plan Regular</v>
      </c>
      <c r="I263" s="23" t="str">
        <v>n.a.</v>
      </c>
      <c r="J263" s="23" t="str">
        <v>n.a.</v>
      </c>
      <c r="K263" s="24" t="n">
        <v>0</v>
      </c>
      <c r="L263" s="24" t="n">
        <v>0</v>
      </c>
      <c r="M263" s="24" t="n">
        <v>0</v>
      </c>
      <c r="N263" s="24" t="n">
        <v>0</v>
      </c>
      <c r="O263" s="24" t="n">
        <v>0</v>
      </c>
      <c r="P263" s="24" t="n">
        <v>0</v>
      </c>
      <c r="Q263" s="24" t="n">
        <v>0</v>
      </c>
      <c r="R263" s="24" t="n">
        <v>0</v>
      </c>
      <c r="S263" s="24" t="n">
        <v>0</v>
      </c>
      <c r="T263" s="24" t="n">
        <v>0</v>
      </c>
      <c r="U263" s="24" t="n">
        <v>0</v>
      </c>
      <c r="V263" s="24" t="n">
        <v>0</v>
      </c>
      <c r="W263" s="24" t="n">
        <v>0</v>
      </c>
      <c r="X263" s="24" t="n">
        <v>0</v>
      </c>
      <c r="Y263" s="24" t="n">
        <v>0</v>
      </c>
      <c r="Z263" s="24" t="n">
        <v>0</v>
      </c>
      <c r="AA263" s="24" t="n">
        <v>0</v>
      </c>
      <c r="AB263" s="24" t="n">
        <v>0</v>
      </c>
      <c r="AC263" s="24" t="n">
        <v>0</v>
      </c>
      <c r="AD263" s="24" t="n">
        <v>0</v>
      </c>
      <c r="AE263" s="15" t="str">
        <v>1</v>
      </c>
      <c r="AF263" s="15" t="str">
        <v>E</v>
      </c>
      <c r="AG263" s="15" t="str">
        <v>E: sin plan</v>
      </c>
      <c r="AH263" s="15" t="str">
        <v>E</v>
      </c>
      <c r="AI263" s="15" t="str">
        <v>E</v>
      </c>
      <c r="AJ263" s="24" t="n">
        <v>0</v>
      </c>
      <c r="AK263" s="24" t="n">
        <v>0</v>
      </c>
      <c r="AL263" s="24" t="n">
        <v>0</v>
      </c>
      <c r="AM263" s="24" t="n">
        <v>0</v>
      </c>
      <c r="AN263" s="24" t="n">
        <v>0</v>
      </c>
      <c r="AO263" s="15" t="str">
        <v>SIN_UNION</v>
      </c>
      <c r="AP263" s="15" t="str">
        <v>PENDIENTE</v>
      </c>
      <c r="AQ263" s="15" t="str">
        <v>NUEVO_2027_SIN_ALUMNOS</v>
      </c>
      <c r="AR263" s="15" t="str">
        <v>E</v>
      </c>
      <c r="AS263" s="15" t="str">
        <v>PUBLICA</v>
      </c>
      <c r="AT263" s="15" t="str">
        <v>E</v>
      </c>
      <c r="AU263" s="15" t="str">
        <v>E</v>
      </c>
      <c r="AV263" s="15" t="n">
        <v>4</v>
      </c>
      <c r="AW263" s="15" t="str">
        <v>E: sin historia pública</v>
      </c>
      <c r="AX263" s="15" t="n">
        <v>2027</v>
      </c>
      <c r="AY263" s="15" t="str">
        <v>H002; estudios no acreditados</v>
      </c>
    </row>
    <row r="264" ht="36" customHeight="1">
      <c r="A264" s="14" t="str">
        <v>I162S2C83J4V1</v>
      </c>
      <c r="B264" s="14" t="str">
        <v>ADMINISTRACION PUBLICA</v>
      </c>
      <c r="C264" s="14" t="str">
        <v>2</v>
      </c>
      <c r="D264" s="14" t="str">
        <v>4</v>
      </c>
      <c r="E264" s="14" t="str">
        <v>1</v>
      </c>
      <c r="F264" s="14" t="str">
        <v>No presencial</v>
      </c>
      <c r="G264" s="14" t="str">
        <v>Pregrado</v>
      </c>
      <c r="H264" s="14" t="str">
        <v>Plan Regular</v>
      </c>
      <c r="I264" s="21" t="n">
        <v>2025</v>
      </c>
      <c r="J264" s="21" t="n">
        <v>2026</v>
      </c>
      <c r="K264" s="22" t="n">
        <v>0</v>
      </c>
      <c r="L264" s="22" t="n">
        <v>0</v>
      </c>
      <c r="M264" s="22" t="n">
        <v>0</v>
      </c>
      <c r="N264" s="22" t="n">
        <v>0</v>
      </c>
      <c r="O264" s="22" t="n">
        <v>0</v>
      </c>
      <c r="P264" s="22" t="n">
        <v>0</v>
      </c>
      <c r="Q264" s="22" t="n">
        <v>0</v>
      </c>
      <c r="R264" s="22" t="n">
        <v>0</v>
      </c>
      <c r="S264" s="22" t="n">
        <v>0</v>
      </c>
      <c r="T264" s="22" t="n">
        <v>0</v>
      </c>
      <c r="U264" s="22" t="n">
        <v>0</v>
      </c>
      <c r="V264" s="22" t="n">
        <v>0</v>
      </c>
      <c r="W264" s="22" t="n">
        <v>0</v>
      </c>
      <c r="X264" s="22" t="n">
        <v>0</v>
      </c>
      <c r="Y264" s="22" t="n">
        <v>0</v>
      </c>
      <c r="Z264" s="22" t="n">
        <v>0</v>
      </c>
      <c r="AA264" s="22" t="n">
        <v>0</v>
      </c>
      <c r="AB264" s="22" t="n">
        <v>0</v>
      </c>
      <c r="AC264" s="22" t="n">
        <v>70</v>
      </c>
      <c r="AD264" s="22" t="n">
        <v>94</v>
      </c>
      <c r="AE264" s="14" t="str">
        <v>1</v>
      </c>
      <c r="AF264" s="14" t="str">
        <v>ADMP</v>
      </c>
      <c r="AG264" s="14" t="str">
        <v>ADMP20251</v>
      </c>
      <c r="AH264" s="14" t="str">
        <v>REGULAR</v>
      </c>
      <c r="AI264" s="14" t="str">
        <v>C</v>
      </c>
      <c r="AJ264" s="22" t="n">
        <v>0</v>
      </c>
      <c r="AK264" s="22" t="n">
        <v>0</v>
      </c>
      <c r="AL264" s="22" t="n">
        <v>0</v>
      </c>
      <c r="AM264" s="22" t="n">
        <v>69</v>
      </c>
      <c r="AN264" s="22" t="n">
        <v>72</v>
      </c>
      <c r="AO264" s="14" t="str">
        <v>APROBACION_D_2027 / CRUCE_PERSONA_MU_2022_2026</v>
      </c>
      <c r="AP264" s="14" t="str">
        <v>UNIDO</v>
      </c>
      <c r="AQ264" s="14" t="str">
        <v>UNIDO</v>
      </c>
      <c r="AR264" s="14" t="str">
        <v>D/C</v>
      </c>
      <c r="AS264" s="14" t="str">
        <v>H002 / MATRIZ / PUBLICA</v>
      </c>
      <c r="AT264" s="14" t="str">
        <v>ANUAL / Catálogo 2027; no atribución retroactiva ni acreditación de cohorte/malla</v>
      </c>
      <c r="AU264" s="14" t="n">
        <v>8</v>
      </c>
      <c r="AV264" s="14" t="n">
        <v>8</v>
      </c>
      <c r="AW264" s="14" t="str">
        <v>VERSIONES_POR_DURACION_O_TIPO</v>
      </c>
      <c r="AX264" s="14" t="n">
        <v>2026</v>
      </c>
      <c r="AY264" s="14" t="str">
        <v>PUBLICA; última matrícula</v>
      </c>
    </row>
    <row r="265" ht="27" customHeight="1">
      <c r="A265" s="15" t="str">
        <v>I162S2C83J4V1</v>
      </c>
      <c r="B265" s="15" t="str">
        <v>ADMINISTRACION PUBLICA</v>
      </c>
      <c r="C265" s="15" t="str">
        <v>2</v>
      </c>
      <c r="D265" s="15" t="str">
        <v>4</v>
      </c>
      <c r="E265" s="15" t="str">
        <v>1</v>
      </c>
      <c r="F265" s="15" t="str">
        <v>No presencial</v>
      </c>
      <c r="G265" s="15" t="str">
        <v>Pregrado</v>
      </c>
      <c r="H265" s="15" t="str">
        <v>Plan Regular</v>
      </c>
      <c r="I265" s="23" t="n">
        <v>2025</v>
      </c>
      <c r="J265" s="23" t="n">
        <v>2026</v>
      </c>
      <c r="K265" s="24" t="n">
        <v>0</v>
      </c>
      <c r="L265" s="24" t="n">
        <v>0</v>
      </c>
      <c r="M265" s="24" t="n">
        <v>0</v>
      </c>
      <c r="N265" s="24" t="n">
        <v>0</v>
      </c>
      <c r="O265" s="24" t="n">
        <v>0</v>
      </c>
      <c r="P265" s="24" t="n">
        <v>0</v>
      </c>
      <c r="Q265" s="24" t="n">
        <v>0</v>
      </c>
      <c r="R265" s="24" t="n">
        <v>0</v>
      </c>
      <c r="S265" s="24" t="n">
        <v>0</v>
      </c>
      <c r="T265" s="24" t="n">
        <v>0</v>
      </c>
      <c r="U265" s="24" t="n">
        <v>0</v>
      </c>
      <c r="V265" s="24" t="n">
        <v>0</v>
      </c>
      <c r="W265" s="24" t="n">
        <v>0</v>
      </c>
      <c r="X265" s="24" t="n">
        <v>0</v>
      </c>
      <c r="Y265" s="24" t="n">
        <v>0</v>
      </c>
      <c r="Z265" s="24" t="n">
        <v>0</v>
      </c>
      <c r="AA265" s="24" t="n">
        <v>0</v>
      </c>
      <c r="AB265" s="24" t="n">
        <v>0</v>
      </c>
      <c r="AC265" s="24" t="n">
        <v>70</v>
      </c>
      <c r="AD265" s="24" t="n">
        <v>94</v>
      </c>
      <c r="AE265" s="15" t="str">
        <v>1</v>
      </c>
      <c r="AF265" s="15" t="str">
        <v>ADMP</v>
      </c>
      <c r="AG265" s="15" t="str">
        <v>PLAN_NO_OBSERVADO</v>
      </c>
      <c r="AH265" s="15" t="str">
        <v>E</v>
      </c>
      <c r="AI265" s="15" t="str">
        <v>E</v>
      </c>
      <c r="AJ265" s="24" t="n">
        <v>0</v>
      </c>
      <c r="AK265" s="24" t="n">
        <v>0</v>
      </c>
      <c r="AL265" s="24" t="n">
        <v>0</v>
      </c>
      <c r="AM265" s="24" t="n">
        <v>1</v>
      </c>
      <c r="AN265" s="24" t="n">
        <v>12</v>
      </c>
      <c r="AO265" s="15" t="str">
        <v>CRUCE_PERSONA_MU_2022_2026</v>
      </c>
      <c r="AP265" s="15" t="str">
        <v>PENDIENTE</v>
      </c>
      <c r="AQ265" s="15" t="str">
        <v>PLAN_NO_OBSERVADO</v>
      </c>
      <c r="AR265" s="15" t="str">
        <v>E</v>
      </c>
      <c r="AS265" s="15" t="str">
        <v>MATRIZ / PUBLICA</v>
      </c>
      <c r="AT265" s="15" t="str">
        <v>SIN_ACTIVIDAD_ANUAL; ENLACE_EXPEDIENTE_CONSERVADO</v>
      </c>
      <c r="AU265" s="15" t="n">
        <v>8</v>
      </c>
      <c r="AV265" s="15" t="n">
        <v>8</v>
      </c>
      <c r="AW265" s="15" t="str">
        <v>VERSIONES_POR_DURACION_O_TIPO</v>
      </c>
      <c r="AX265" s="15" t="n">
        <v>2026</v>
      </c>
      <c r="AY265" s="15" t="str">
        <v>PUBLICA; última matrícula</v>
      </c>
    </row>
    <row r="266" ht="36" customHeight="1">
      <c r="A266" s="14" t="str">
        <v>I162S2C83J4V2</v>
      </c>
      <c r="B266" s="14" t="str">
        <v>ADMINISTRACION PUBLICA</v>
      </c>
      <c r="C266" s="14" t="str">
        <v>2</v>
      </c>
      <c r="D266" s="14" t="str">
        <v>4</v>
      </c>
      <c r="E266" s="14" t="str">
        <v>2</v>
      </c>
      <c r="F266" s="14" t="str">
        <v>No presencial</v>
      </c>
      <c r="G266" s="14" t="str">
        <v>Pregrado</v>
      </c>
      <c r="H266" s="14" t="str">
        <v>Plan Regular de Continuidad</v>
      </c>
      <c r="I266" s="21" t="n">
        <v>2026</v>
      </c>
      <c r="J266" s="21" t="n">
        <v>2026</v>
      </c>
      <c r="K266" s="22" t="n">
        <v>0</v>
      </c>
      <c r="L266" s="22" t="n">
        <v>0</v>
      </c>
      <c r="M266" s="22" t="n">
        <v>0</v>
      </c>
      <c r="N266" s="22" t="n">
        <v>0</v>
      </c>
      <c r="O266" s="22" t="n">
        <v>0</v>
      </c>
      <c r="P266" s="22" t="n">
        <v>0</v>
      </c>
      <c r="Q266" s="22" t="n">
        <v>0</v>
      </c>
      <c r="R266" s="22" t="n">
        <v>0</v>
      </c>
      <c r="S266" s="22" t="n">
        <v>0</v>
      </c>
      <c r="T266" s="22" t="n">
        <v>0</v>
      </c>
      <c r="U266" s="22" t="n">
        <v>0</v>
      </c>
      <c r="V266" s="22" t="n">
        <v>0</v>
      </c>
      <c r="W266" s="22" t="n">
        <v>0</v>
      </c>
      <c r="X266" s="22" t="n">
        <v>0</v>
      </c>
      <c r="Y266" s="22" t="n">
        <v>0</v>
      </c>
      <c r="Z266" s="22" t="n">
        <v>0</v>
      </c>
      <c r="AA266" s="22" t="n">
        <v>0</v>
      </c>
      <c r="AB266" s="22" t="n">
        <v>0</v>
      </c>
      <c r="AC266" s="22" t="n">
        <v>0</v>
      </c>
      <c r="AD266" s="22" t="n">
        <v>9</v>
      </c>
      <c r="AE266" s="14" t="str">
        <v>1</v>
      </c>
      <c r="AF266" s="14" t="str">
        <v>CADMP</v>
      </c>
      <c r="AG266" s="14" t="str">
        <v>CADMP20251</v>
      </c>
      <c r="AH266" s="14" t="str">
        <v>CONTINUIDAD</v>
      </c>
      <c r="AI266" s="14" t="str">
        <v>C</v>
      </c>
      <c r="AJ266" s="22" t="n">
        <v>0</v>
      </c>
      <c r="AK266" s="22" t="n">
        <v>0</v>
      </c>
      <c r="AL266" s="22" t="n">
        <v>0</v>
      </c>
      <c r="AM266" s="22" t="n">
        <v>0</v>
      </c>
      <c r="AN266" s="22" t="n">
        <v>7</v>
      </c>
      <c r="AO266" s="14" t="str">
        <v>APROBACION_D_2027 / CRUCE_PERSONA_MU_2022_2026</v>
      </c>
      <c r="AP266" s="14" t="str">
        <v>UNIDO</v>
      </c>
      <c r="AQ266" s="14" t="str">
        <v>UNIDO</v>
      </c>
      <c r="AR266" s="14" t="str">
        <v>D/C</v>
      </c>
      <c r="AS266" s="14" t="str">
        <v>H002 / MATRIZ / PUBLICA</v>
      </c>
      <c r="AT266" s="14" t="str">
        <v>ANUAL / Catálogo 2027; no atribución retroactiva ni acreditación de cohorte/malla</v>
      </c>
      <c r="AU266" s="14" t="n">
        <v>4</v>
      </c>
      <c r="AV266" s="14" t="n">
        <v>4</v>
      </c>
      <c r="AW266" s="14" t="str">
        <v>VERSIONES_POR_DURACION_O_TIPO</v>
      </c>
      <c r="AX266" s="14" t="n">
        <v>2026</v>
      </c>
      <c r="AY266" s="14" t="str">
        <v>PUBLICA; última matrícula</v>
      </c>
    </row>
    <row r="267" ht="36" customHeight="1">
      <c r="A267" s="15" t="str">
        <v>I162S2C83J4V2</v>
      </c>
      <c r="B267" s="15" t="str">
        <v>ADMINISTRACION PUBLICA</v>
      </c>
      <c r="C267" s="15" t="str">
        <v>2</v>
      </c>
      <c r="D267" s="15" t="str">
        <v>4</v>
      </c>
      <c r="E267" s="15" t="str">
        <v>2</v>
      </c>
      <c r="F267" s="15" t="str">
        <v>No presencial</v>
      </c>
      <c r="G267" s="15" t="str">
        <v>Pregrado</v>
      </c>
      <c r="H267" s="15" t="str">
        <v>Plan Regular de Continuidad</v>
      </c>
      <c r="I267" s="23" t="n">
        <v>2026</v>
      </c>
      <c r="J267" s="23" t="n">
        <v>2026</v>
      </c>
      <c r="K267" s="24" t="n">
        <v>0</v>
      </c>
      <c r="L267" s="24" t="n">
        <v>0</v>
      </c>
      <c r="M267" s="24" t="n">
        <v>0</v>
      </c>
      <c r="N267" s="24" t="n">
        <v>0</v>
      </c>
      <c r="O267" s="24" t="n">
        <v>0</v>
      </c>
      <c r="P267" s="24" t="n">
        <v>0</v>
      </c>
      <c r="Q267" s="24" t="n">
        <v>0</v>
      </c>
      <c r="R267" s="24" t="n">
        <v>0</v>
      </c>
      <c r="S267" s="24" t="n">
        <v>0</v>
      </c>
      <c r="T267" s="24" t="n">
        <v>0</v>
      </c>
      <c r="U267" s="24" t="n">
        <v>0</v>
      </c>
      <c r="V267" s="24" t="n">
        <v>0</v>
      </c>
      <c r="W267" s="24" t="n">
        <v>0</v>
      </c>
      <c r="X267" s="24" t="n">
        <v>0</v>
      </c>
      <c r="Y267" s="24" t="n">
        <v>0</v>
      </c>
      <c r="Z267" s="24" t="n">
        <v>0</v>
      </c>
      <c r="AA267" s="24" t="n">
        <v>0</v>
      </c>
      <c r="AB267" s="24" t="n">
        <v>0</v>
      </c>
      <c r="AC267" s="24" t="n">
        <v>0</v>
      </c>
      <c r="AD267" s="24" t="n">
        <v>9</v>
      </c>
      <c r="AE267" s="15" t="str">
        <v>1</v>
      </c>
      <c r="AF267" s="15" t="str">
        <v>CADMP</v>
      </c>
      <c r="AG267" s="15" t="str">
        <v>PLAN_NO_OBSERVADO</v>
      </c>
      <c r="AH267" s="15" t="str">
        <v>E</v>
      </c>
      <c r="AI267" s="15" t="str">
        <v>E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2</v>
      </c>
      <c r="AO267" s="15" t="str">
        <v>CRUCE_PERSONA_MU_2022_2026</v>
      </c>
      <c r="AP267" s="15" t="str">
        <v>PENDIENTE</v>
      </c>
      <c r="AQ267" s="15" t="str">
        <v>PLAN_NO_OBSERVADO</v>
      </c>
      <c r="AR267" s="15" t="str">
        <v>E</v>
      </c>
      <c r="AS267" s="15" t="str">
        <v>MATRIZ / PUBLICA</v>
      </c>
      <c r="AT267" s="15" t="str">
        <v>SIN_ACTIVIDAD_ANUAL; ENLACE_EXPEDIENTE_CONSERVADO</v>
      </c>
      <c r="AU267" s="15" t="n">
        <v>4</v>
      </c>
      <c r="AV267" s="15" t="n">
        <v>4</v>
      </c>
      <c r="AW267" s="15" t="str">
        <v>VERSIONES_POR_DURACION_O_TIPO</v>
      </c>
      <c r="AX267" s="15" t="n">
        <v>2026</v>
      </c>
      <c r="AY267" s="15" t="str">
        <v>PUBLICA; última matrícula</v>
      </c>
    </row>
    <row r="268" ht="27" customHeight="1">
      <c r="A268" s="14" t="str">
        <v>I162S2C84J4V1</v>
      </c>
      <c r="B268" s="14" t="str">
        <v>TECNICO EN ADMINISTRACION PUBLICA</v>
      </c>
      <c r="C268" s="14" t="str">
        <v>2</v>
      </c>
      <c r="D268" s="14" t="str">
        <v>4</v>
      </c>
      <c r="E268" s="14" t="str">
        <v>1</v>
      </c>
      <c r="F268" s="14" t="str">
        <v>No presencial</v>
      </c>
      <c r="G268" s="14" t="str">
        <v>Pregrado</v>
      </c>
      <c r="H268" s="14" t="str">
        <v>Plan Regular</v>
      </c>
      <c r="I268" s="21" t="n">
        <v>2025</v>
      </c>
      <c r="J268" s="21" t="n">
        <v>2026</v>
      </c>
      <c r="K268" s="22" t="n">
        <v>0</v>
      </c>
      <c r="L268" s="22" t="n">
        <v>0</v>
      </c>
      <c r="M268" s="22" t="n">
        <v>0</v>
      </c>
      <c r="N268" s="22" t="n">
        <v>0</v>
      </c>
      <c r="O268" s="22" t="n">
        <v>0</v>
      </c>
      <c r="P268" s="22" t="n">
        <v>0</v>
      </c>
      <c r="Q268" s="22" t="n">
        <v>0</v>
      </c>
      <c r="R268" s="22" t="n">
        <v>0</v>
      </c>
      <c r="S268" s="22" t="n">
        <v>0</v>
      </c>
      <c r="T268" s="22" t="n">
        <v>0</v>
      </c>
      <c r="U268" s="22" t="n">
        <v>0</v>
      </c>
      <c r="V268" s="22" t="n">
        <v>0</v>
      </c>
      <c r="W268" s="22" t="n">
        <v>0</v>
      </c>
      <c r="X268" s="22" t="n">
        <v>0</v>
      </c>
      <c r="Y268" s="22" t="n">
        <v>0</v>
      </c>
      <c r="Z268" s="22" t="n">
        <v>0</v>
      </c>
      <c r="AA268" s="22" t="n">
        <v>0</v>
      </c>
      <c r="AB268" s="22" t="n">
        <v>0</v>
      </c>
      <c r="AC268" s="22" t="n">
        <v>22</v>
      </c>
      <c r="AD268" s="22" t="n">
        <v>34</v>
      </c>
      <c r="AE268" s="14" t="str">
        <v>1</v>
      </c>
      <c r="AF268" s="14" t="str">
        <v>TADP</v>
      </c>
      <c r="AG268" s="14" t="str">
        <v>PLAN_NO_OBSERVADO</v>
      </c>
      <c r="AH268" s="14" t="str">
        <v>E</v>
      </c>
      <c r="AI268" s="14" t="str">
        <v>E</v>
      </c>
      <c r="AJ268" s="22" t="n">
        <v>0</v>
      </c>
      <c r="AK268" s="22" t="n">
        <v>0</v>
      </c>
      <c r="AL268" s="22" t="n">
        <v>0</v>
      </c>
      <c r="AM268" s="22" t="n">
        <v>2</v>
      </c>
      <c r="AN268" s="22" t="n">
        <v>6</v>
      </c>
      <c r="AO268" s="14" t="str">
        <v>CRUCE_PERSONA_MU_2022_2026</v>
      </c>
      <c r="AP268" s="14" t="str">
        <v>PENDIENTE</v>
      </c>
      <c r="AQ268" s="14" t="str">
        <v>PLAN_NO_OBSERVADO</v>
      </c>
      <c r="AR268" s="14" t="str">
        <v>E</v>
      </c>
      <c r="AS268" s="14" t="str">
        <v>MATRIZ / PUBLICA</v>
      </c>
      <c r="AT268" s="14" t="str">
        <v>SIN_ACTIVIDAD_ANUAL; ENLACE_EXPEDIENTE_CONSERVADO</v>
      </c>
      <c r="AU268" s="14" t="n">
        <v>5</v>
      </c>
      <c r="AV268" s="14" t="n">
        <v>5</v>
      </c>
      <c r="AW268" s="14" t="str">
        <v>UNA_VERSION_OBSERVADA</v>
      </c>
      <c r="AX268" s="14" t="n">
        <v>2026</v>
      </c>
      <c r="AY268" s="14" t="str">
        <v>PUBLICA; última matrícula</v>
      </c>
    </row>
    <row r="269" ht="36" customHeight="1">
      <c r="A269" s="15" t="str">
        <v>I162S2C84J4V1</v>
      </c>
      <c r="B269" s="15" t="str">
        <v>TECNICO EN ADMINISTRACION PUBLICA</v>
      </c>
      <c r="C269" s="15" t="str">
        <v>2</v>
      </c>
      <c r="D269" s="15" t="str">
        <v>4</v>
      </c>
      <c r="E269" s="15" t="str">
        <v>1</v>
      </c>
      <c r="F269" s="15" t="str">
        <v>No presencial</v>
      </c>
      <c r="G269" s="15" t="str">
        <v>Pregrado</v>
      </c>
      <c r="H269" s="15" t="str">
        <v>Plan Regular</v>
      </c>
      <c r="I269" s="23" t="n">
        <v>2025</v>
      </c>
      <c r="J269" s="23" t="n">
        <v>2026</v>
      </c>
      <c r="K269" s="24" t="n">
        <v>0</v>
      </c>
      <c r="L269" s="24" t="n">
        <v>0</v>
      </c>
      <c r="M269" s="24" t="n">
        <v>0</v>
      </c>
      <c r="N269" s="24" t="n">
        <v>0</v>
      </c>
      <c r="O269" s="24" t="n">
        <v>0</v>
      </c>
      <c r="P269" s="24" t="n">
        <v>0</v>
      </c>
      <c r="Q269" s="24" t="n">
        <v>0</v>
      </c>
      <c r="R269" s="24" t="n">
        <v>0</v>
      </c>
      <c r="S269" s="24" t="n">
        <v>0</v>
      </c>
      <c r="T269" s="24" t="n">
        <v>0</v>
      </c>
      <c r="U269" s="24" t="n">
        <v>0</v>
      </c>
      <c r="V269" s="24" t="n">
        <v>0</v>
      </c>
      <c r="W269" s="24" t="n">
        <v>0</v>
      </c>
      <c r="X269" s="24" t="n">
        <v>0</v>
      </c>
      <c r="Y269" s="24" t="n">
        <v>0</v>
      </c>
      <c r="Z269" s="24" t="n">
        <v>0</v>
      </c>
      <c r="AA269" s="24" t="n">
        <v>0</v>
      </c>
      <c r="AB269" s="24" t="n">
        <v>0</v>
      </c>
      <c r="AC269" s="24" t="n">
        <v>22</v>
      </c>
      <c r="AD269" s="24" t="n">
        <v>34</v>
      </c>
      <c r="AE269" s="15" t="str">
        <v>1</v>
      </c>
      <c r="AF269" s="15" t="str">
        <v>TADP</v>
      </c>
      <c r="AG269" s="15" t="str">
        <v>TADP20251</v>
      </c>
      <c r="AH269" s="15" t="str">
        <v>REGULAR</v>
      </c>
      <c r="AI269" s="15" t="str">
        <v>C</v>
      </c>
      <c r="AJ269" s="24" t="n">
        <v>0</v>
      </c>
      <c r="AK269" s="24" t="n">
        <v>0</v>
      </c>
      <c r="AL269" s="24" t="n">
        <v>0</v>
      </c>
      <c r="AM269" s="24" t="n">
        <v>20</v>
      </c>
      <c r="AN269" s="24" t="n">
        <v>24</v>
      </c>
      <c r="AO269" s="15" t="str">
        <v>CRUCE_PERSONA_MU_2022_2026 / REGLA_MU_2027</v>
      </c>
      <c r="AP269" s="15" t="str">
        <v>UNIDO</v>
      </c>
      <c r="AQ269" s="15" t="str">
        <v>UNIDO</v>
      </c>
      <c r="AR269" s="15" t="str">
        <v>B/C</v>
      </c>
      <c r="AS269" s="15" t="str">
        <v>H002 / MATRIZ / PUBLICA</v>
      </c>
      <c r="AT269" s="15" t="str">
        <v>ANUAL / Catálogo 2027; no atribución retroactiva ni acreditación de cohorte/malla</v>
      </c>
      <c r="AU269" s="15" t="n">
        <v>5</v>
      </c>
      <c r="AV269" s="15" t="n">
        <v>5</v>
      </c>
      <c r="AW269" s="15" t="str">
        <v>UNA_VERSION_OBSERVADA</v>
      </c>
      <c r="AX269" s="15" t="n">
        <v>2026</v>
      </c>
      <c r="AY269" s="15" t="str">
        <v>PUBLICA; última matrícula</v>
      </c>
    </row>
    <row r="270" ht="36" customHeight="1">
      <c r="A270" s="14" t="str">
        <v>I162S2C85J4V1</v>
      </c>
      <c r="B270" s="14" t="str">
        <v>CONTABILIDAD GENERAL</v>
      </c>
      <c r="C270" s="14" t="str">
        <v>2</v>
      </c>
      <c r="D270" s="14" t="str">
        <v>4</v>
      </c>
      <c r="E270" s="14" t="str">
        <v>1</v>
      </c>
      <c r="F270" s="14" t="str">
        <v>No presencial</v>
      </c>
      <c r="G270" s="14" t="str">
        <v>Pregrado</v>
      </c>
      <c r="H270" s="14" t="str">
        <v>Plan Regular</v>
      </c>
      <c r="I270" s="21" t="n">
        <v>2025</v>
      </c>
      <c r="J270" s="21" t="n">
        <v>2026</v>
      </c>
      <c r="K270" s="22" t="n">
        <v>0</v>
      </c>
      <c r="L270" s="22" t="n">
        <v>0</v>
      </c>
      <c r="M270" s="22" t="n">
        <v>0</v>
      </c>
      <c r="N270" s="22" t="n">
        <v>0</v>
      </c>
      <c r="O270" s="22" t="n">
        <v>0</v>
      </c>
      <c r="P270" s="22" t="n">
        <v>0</v>
      </c>
      <c r="Q270" s="22" t="n">
        <v>0</v>
      </c>
      <c r="R270" s="22" t="n">
        <v>0</v>
      </c>
      <c r="S270" s="22" t="n">
        <v>0</v>
      </c>
      <c r="T270" s="22" t="n">
        <v>0</v>
      </c>
      <c r="U270" s="22" t="n">
        <v>0</v>
      </c>
      <c r="V270" s="22" t="n">
        <v>0</v>
      </c>
      <c r="W270" s="22" t="n">
        <v>0</v>
      </c>
      <c r="X270" s="22" t="n">
        <v>0</v>
      </c>
      <c r="Y270" s="22" t="n">
        <v>0</v>
      </c>
      <c r="Z270" s="22" t="n">
        <v>0</v>
      </c>
      <c r="AA270" s="22" t="n">
        <v>0</v>
      </c>
      <c r="AB270" s="22" t="n">
        <v>0</v>
      </c>
      <c r="AC270" s="22" t="n">
        <v>38</v>
      </c>
      <c r="AD270" s="22" t="n">
        <v>56</v>
      </c>
      <c r="AE270" s="14" t="str">
        <v>1</v>
      </c>
      <c r="AF270" s="14" t="str">
        <v>CONG</v>
      </c>
      <c r="AG270" s="14" t="str">
        <v>CONG20251</v>
      </c>
      <c r="AH270" s="14" t="str">
        <v>REGULAR</v>
      </c>
      <c r="AI270" s="14" t="str">
        <v>C</v>
      </c>
      <c r="AJ270" s="22" t="n">
        <v>0</v>
      </c>
      <c r="AK270" s="22" t="n">
        <v>0</v>
      </c>
      <c r="AL270" s="22" t="n">
        <v>0</v>
      </c>
      <c r="AM270" s="22" t="n">
        <v>38</v>
      </c>
      <c r="AN270" s="22" t="n">
        <v>44</v>
      </c>
      <c r="AO270" s="14" t="str">
        <v>CRUCE_PERSONA_MU_2022_2026 / REGLA_MU_2027</v>
      </c>
      <c r="AP270" s="14" t="str">
        <v>UNIDO</v>
      </c>
      <c r="AQ270" s="14" t="str">
        <v>UNIDO</v>
      </c>
      <c r="AR270" s="14" t="str">
        <v>B/C</v>
      </c>
      <c r="AS270" s="14" t="str">
        <v>H002 / MATRIZ / PUBLICA</v>
      </c>
      <c r="AT270" s="14" t="str">
        <v>ANUAL / Catálogo 2027; no atribución retroactiva ni acreditación de cohorte/malla</v>
      </c>
      <c r="AU270" s="14" t="n">
        <v>5</v>
      </c>
      <c r="AV270" s="14" t="n">
        <v>5</v>
      </c>
      <c r="AW270" s="14" t="str">
        <v>UNA_VERSION_OBSERVADA</v>
      </c>
      <c r="AX270" s="14" t="n">
        <v>2026</v>
      </c>
      <c r="AY270" s="14" t="str">
        <v>PUBLICA; última matrícula</v>
      </c>
    </row>
    <row r="271" ht="27" customHeight="1">
      <c r="A271" s="15" t="str">
        <v>I162S2C85J4V1</v>
      </c>
      <c r="B271" s="15" t="str">
        <v>CONTABILIDAD GENERAL</v>
      </c>
      <c r="C271" s="15" t="str">
        <v>2</v>
      </c>
      <c r="D271" s="15" t="str">
        <v>4</v>
      </c>
      <c r="E271" s="15" t="str">
        <v>1</v>
      </c>
      <c r="F271" s="15" t="str">
        <v>No presencial</v>
      </c>
      <c r="G271" s="15" t="str">
        <v>Pregrado</v>
      </c>
      <c r="H271" s="15" t="str">
        <v>Plan Regular</v>
      </c>
      <c r="I271" s="23" t="n">
        <v>2025</v>
      </c>
      <c r="J271" s="23" t="n">
        <v>2026</v>
      </c>
      <c r="K271" s="24" t="n">
        <v>0</v>
      </c>
      <c r="L271" s="24" t="n">
        <v>0</v>
      </c>
      <c r="M271" s="24" t="n">
        <v>0</v>
      </c>
      <c r="N271" s="24" t="n">
        <v>0</v>
      </c>
      <c r="O271" s="24" t="n">
        <v>0</v>
      </c>
      <c r="P271" s="24" t="n">
        <v>0</v>
      </c>
      <c r="Q271" s="24" t="n">
        <v>0</v>
      </c>
      <c r="R271" s="24" t="n">
        <v>0</v>
      </c>
      <c r="S271" s="24" t="n">
        <v>0</v>
      </c>
      <c r="T271" s="24" t="n">
        <v>0</v>
      </c>
      <c r="U271" s="24" t="n">
        <v>0</v>
      </c>
      <c r="V271" s="24" t="n">
        <v>0</v>
      </c>
      <c r="W271" s="24" t="n">
        <v>0</v>
      </c>
      <c r="X271" s="24" t="n">
        <v>0</v>
      </c>
      <c r="Y271" s="24" t="n">
        <v>0</v>
      </c>
      <c r="Z271" s="24" t="n">
        <v>0</v>
      </c>
      <c r="AA271" s="24" t="n">
        <v>0</v>
      </c>
      <c r="AB271" s="24" t="n">
        <v>0</v>
      </c>
      <c r="AC271" s="24" t="n">
        <v>38</v>
      </c>
      <c r="AD271" s="24" t="n">
        <v>56</v>
      </c>
      <c r="AE271" s="15" t="str">
        <v>1</v>
      </c>
      <c r="AF271" s="15" t="str">
        <v>CONG</v>
      </c>
      <c r="AG271" s="15" t="str">
        <v>PLAN_NO_OBSERVADO</v>
      </c>
      <c r="AH271" s="15" t="str">
        <v>E</v>
      </c>
      <c r="AI271" s="15" t="str">
        <v>E</v>
      </c>
      <c r="AJ271" s="24" t="n">
        <v>0</v>
      </c>
      <c r="AK271" s="24" t="n">
        <v>0</v>
      </c>
      <c r="AL271" s="24" t="n">
        <v>0</v>
      </c>
      <c r="AM271" s="24" t="n">
        <v>0</v>
      </c>
      <c r="AN271" s="24" t="n">
        <v>8</v>
      </c>
      <c r="AO271" s="15" t="str">
        <v>CRUCE_PERSONA_MU_2022_2026</v>
      </c>
      <c r="AP271" s="15" t="str">
        <v>PENDIENTE</v>
      </c>
      <c r="AQ271" s="15" t="str">
        <v>PLAN_NO_OBSERVADO</v>
      </c>
      <c r="AR271" s="15" t="str">
        <v>E</v>
      </c>
      <c r="AS271" s="15" t="str">
        <v>MATRIZ / PUBLICA</v>
      </c>
      <c r="AT271" s="15" t="str">
        <v>SIN_ACTIVIDAD_ANUAL; ENLACE_EXPEDIENTE_CONSERVADO</v>
      </c>
      <c r="AU271" s="15" t="n">
        <v>5</v>
      </c>
      <c r="AV271" s="15" t="n">
        <v>5</v>
      </c>
      <c r="AW271" s="15" t="str">
        <v>UNA_VERSION_OBSERVADA</v>
      </c>
      <c r="AX271" s="15" t="n">
        <v>2026</v>
      </c>
      <c r="AY271" s="15" t="str">
        <v>PUBLICA; última matrícula</v>
      </c>
    </row>
    <row r="272" ht="36" customHeight="1">
      <c r="A272" s="14" t="str">
        <v>I162S2C86J4V1</v>
      </c>
      <c r="B272" s="14" t="str">
        <v>AUDITORIA</v>
      </c>
      <c r="C272" s="14" t="str">
        <v>2</v>
      </c>
      <c r="D272" s="14" t="str">
        <v>4</v>
      </c>
      <c r="E272" s="14" t="str">
        <v>1</v>
      </c>
      <c r="F272" s="14" t="str">
        <v>No presencial</v>
      </c>
      <c r="G272" s="14" t="str">
        <v>Pregrado</v>
      </c>
      <c r="H272" s="14" t="str">
        <v>Plan Regular</v>
      </c>
      <c r="I272" s="21" t="n">
        <v>2025</v>
      </c>
      <c r="J272" s="21" t="n">
        <v>2026</v>
      </c>
      <c r="K272" s="22" t="n">
        <v>0</v>
      </c>
      <c r="L272" s="22" t="n">
        <v>0</v>
      </c>
      <c r="M272" s="22" t="n">
        <v>0</v>
      </c>
      <c r="N272" s="22" t="n">
        <v>0</v>
      </c>
      <c r="O272" s="22" t="n">
        <v>0</v>
      </c>
      <c r="P272" s="22" t="n">
        <v>0</v>
      </c>
      <c r="Q272" s="22" t="n">
        <v>0</v>
      </c>
      <c r="R272" s="22" t="n">
        <v>0</v>
      </c>
      <c r="S272" s="22" t="n">
        <v>0</v>
      </c>
      <c r="T272" s="22" t="n">
        <v>0</v>
      </c>
      <c r="U272" s="22" t="n">
        <v>0</v>
      </c>
      <c r="V272" s="22" t="n">
        <v>0</v>
      </c>
      <c r="W272" s="22" t="n">
        <v>0</v>
      </c>
      <c r="X272" s="22" t="n">
        <v>0</v>
      </c>
      <c r="Y272" s="22" t="n">
        <v>0</v>
      </c>
      <c r="Z272" s="22" t="n">
        <v>0</v>
      </c>
      <c r="AA272" s="22" t="n">
        <v>0</v>
      </c>
      <c r="AB272" s="22" t="n">
        <v>0</v>
      </c>
      <c r="AC272" s="22" t="n">
        <v>41</v>
      </c>
      <c r="AD272" s="22" t="n">
        <v>62</v>
      </c>
      <c r="AE272" s="14" t="str">
        <v>1</v>
      </c>
      <c r="AF272" s="14" t="str">
        <v>AUDT</v>
      </c>
      <c r="AG272" s="14" t="str">
        <v>AUDT20251</v>
      </c>
      <c r="AH272" s="14" t="str">
        <v>REGULAR</v>
      </c>
      <c r="AI272" s="14" t="str">
        <v>C</v>
      </c>
      <c r="AJ272" s="22" t="n">
        <v>0</v>
      </c>
      <c r="AK272" s="22" t="n">
        <v>0</v>
      </c>
      <c r="AL272" s="22" t="n">
        <v>0</v>
      </c>
      <c r="AM272" s="22" t="n">
        <v>41</v>
      </c>
      <c r="AN272" s="22" t="n">
        <v>46</v>
      </c>
      <c r="AO272" s="14" t="str">
        <v>CRUCE_PERSONA_MU_2022_2026 / REGLA_MU_2027</v>
      </c>
      <c r="AP272" s="14" t="str">
        <v>UNIDO</v>
      </c>
      <c r="AQ272" s="14" t="str">
        <v>UNIDO</v>
      </c>
      <c r="AR272" s="14" t="str">
        <v>B/C</v>
      </c>
      <c r="AS272" s="14" t="str">
        <v>H002 / MATRIZ / PUBLICA</v>
      </c>
      <c r="AT272" s="14" t="str">
        <v>ANUAL / Catálogo 2027; no atribución retroactiva ni acreditación de cohorte/malla</v>
      </c>
      <c r="AU272" s="14" t="n">
        <v>8</v>
      </c>
      <c r="AV272" s="14" t="n">
        <v>8</v>
      </c>
      <c r="AW272" s="14" t="str">
        <v>UNA_VERSION_OBSERVADA</v>
      </c>
      <c r="AX272" s="14" t="n">
        <v>2026</v>
      </c>
      <c r="AY272" s="14" t="str">
        <v>PUBLICA; última matrícula</v>
      </c>
    </row>
    <row r="273" ht="27" customHeight="1">
      <c r="A273" s="15" t="str">
        <v>I162S2C86J4V1</v>
      </c>
      <c r="B273" s="15" t="str">
        <v>AUDITORIA</v>
      </c>
      <c r="C273" s="15" t="str">
        <v>2</v>
      </c>
      <c r="D273" s="15" t="str">
        <v>4</v>
      </c>
      <c r="E273" s="15" t="str">
        <v>1</v>
      </c>
      <c r="F273" s="15" t="str">
        <v>No presencial</v>
      </c>
      <c r="G273" s="15" t="str">
        <v>Pregrado</v>
      </c>
      <c r="H273" s="15" t="str">
        <v>Plan Regular</v>
      </c>
      <c r="I273" s="23" t="n">
        <v>2025</v>
      </c>
      <c r="J273" s="23" t="n">
        <v>2026</v>
      </c>
      <c r="K273" s="24" t="n">
        <v>0</v>
      </c>
      <c r="L273" s="24" t="n">
        <v>0</v>
      </c>
      <c r="M273" s="24" t="n">
        <v>0</v>
      </c>
      <c r="N273" s="24" t="n">
        <v>0</v>
      </c>
      <c r="O273" s="24" t="n">
        <v>0</v>
      </c>
      <c r="P273" s="24" t="n">
        <v>0</v>
      </c>
      <c r="Q273" s="24" t="n">
        <v>0</v>
      </c>
      <c r="R273" s="24" t="n">
        <v>0</v>
      </c>
      <c r="S273" s="24" t="n">
        <v>0</v>
      </c>
      <c r="T273" s="24" t="n">
        <v>0</v>
      </c>
      <c r="U273" s="24" t="n">
        <v>0</v>
      </c>
      <c r="V273" s="24" t="n">
        <v>0</v>
      </c>
      <c r="W273" s="24" t="n">
        <v>0</v>
      </c>
      <c r="X273" s="24" t="n">
        <v>0</v>
      </c>
      <c r="Y273" s="24" t="n">
        <v>0</v>
      </c>
      <c r="Z273" s="24" t="n">
        <v>0</v>
      </c>
      <c r="AA273" s="24" t="n">
        <v>0</v>
      </c>
      <c r="AB273" s="24" t="n">
        <v>0</v>
      </c>
      <c r="AC273" s="24" t="n">
        <v>41</v>
      </c>
      <c r="AD273" s="24" t="n">
        <v>62</v>
      </c>
      <c r="AE273" s="15" t="str">
        <v>1</v>
      </c>
      <c r="AF273" s="15" t="str">
        <v>AUDT</v>
      </c>
      <c r="AG273" s="15" t="str">
        <v>PLAN_NO_OBSERVADO</v>
      </c>
      <c r="AH273" s="15" t="str">
        <v>E</v>
      </c>
      <c r="AI273" s="15" t="str">
        <v>E</v>
      </c>
      <c r="AJ273" s="24" t="n">
        <v>0</v>
      </c>
      <c r="AK273" s="24" t="n">
        <v>0</v>
      </c>
      <c r="AL273" s="24" t="n">
        <v>0</v>
      </c>
      <c r="AM273" s="24" t="n">
        <v>0</v>
      </c>
      <c r="AN273" s="24" t="n">
        <v>14</v>
      </c>
      <c r="AO273" s="15" t="str">
        <v>CRUCE_PERSONA_MU_2022_2026</v>
      </c>
      <c r="AP273" s="15" t="str">
        <v>PENDIENTE</v>
      </c>
      <c r="AQ273" s="15" t="str">
        <v>PLAN_NO_OBSERVADO</v>
      </c>
      <c r="AR273" s="15" t="str">
        <v>E</v>
      </c>
      <c r="AS273" s="15" t="str">
        <v>MATRIZ / PUBLICA</v>
      </c>
      <c r="AT273" s="15" t="str">
        <v>SIN_ACTIVIDAD_ANUAL; ENLACE_EXPEDIENTE_CONSERVADO</v>
      </c>
      <c r="AU273" s="15" t="n">
        <v>8</v>
      </c>
      <c r="AV273" s="15" t="n">
        <v>8</v>
      </c>
      <c r="AW273" s="15" t="str">
        <v>UNA_VERSION_OBSERVADA</v>
      </c>
      <c r="AX273" s="15" t="n">
        <v>2026</v>
      </c>
      <c r="AY273" s="15" t="str">
        <v>PUBLICA; última matrícula</v>
      </c>
    </row>
    <row r="274" ht="36" customHeight="1">
      <c r="A274" s="14" t="str">
        <v>I162S2C86J4V2</v>
      </c>
      <c r="B274" s="14" t="str">
        <v>AUDITORIA</v>
      </c>
      <c r="C274" s="14" t="str">
        <v>2</v>
      </c>
      <c r="D274" s="14" t="str">
        <v>4</v>
      </c>
      <c r="E274" s="14" t="str">
        <v>2</v>
      </c>
      <c r="F274" s="14" t="str">
        <v>No presencial</v>
      </c>
      <c r="G274" s="14" t="str">
        <v>Pregrado</v>
      </c>
      <c r="H274" s="14" t="str">
        <v>Plan Regular de Continuidad</v>
      </c>
      <c r="I274" s="21" t="str">
        <v>n.a.</v>
      </c>
      <c r="J274" s="21" t="str">
        <v>n.a.</v>
      </c>
      <c r="K274" s="22" t="n">
        <v>0</v>
      </c>
      <c r="L274" s="22" t="n">
        <v>0</v>
      </c>
      <c r="M274" s="22" t="n">
        <v>0</v>
      </c>
      <c r="N274" s="22" t="n">
        <v>0</v>
      </c>
      <c r="O274" s="22" t="n">
        <v>0</v>
      </c>
      <c r="P274" s="22" t="n">
        <v>0</v>
      </c>
      <c r="Q274" s="22" t="n">
        <v>0</v>
      </c>
      <c r="R274" s="22" t="n">
        <v>0</v>
      </c>
      <c r="S274" s="22" t="n">
        <v>0</v>
      </c>
      <c r="T274" s="22" t="n">
        <v>0</v>
      </c>
      <c r="U274" s="22" t="n">
        <v>0</v>
      </c>
      <c r="V274" s="22" t="n">
        <v>0</v>
      </c>
      <c r="W274" s="22" t="n">
        <v>0</v>
      </c>
      <c r="X274" s="22" t="n">
        <v>0</v>
      </c>
      <c r="Y274" s="22" t="n">
        <v>0</v>
      </c>
      <c r="Z274" s="22" t="n">
        <v>0</v>
      </c>
      <c r="AA274" s="22" t="n">
        <v>0</v>
      </c>
      <c r="AB274" s="22" t="n">
        <v>0</v>
      </c>
      <c r="AC274" s="22" t="n">
        <v>0</v>
      </c>
      <c r="AD274" s="22" t="n">
        <v>0</v>
      </c>
      <c r="AE274" s="14" t="str">
        <v>1</v>
      </c>
      <c r="AF274" s="14" t="str">
        <v>CAUDT</v>
      </c>
      <c r="AG274" s="14" t="str">
        <v>CAUDT20251</v>
      </c>
      <c r="AH274" s="14" t="str">
        <v>CONTINUIDAD</v>
      </c>
      <c r="AI274" s="14" t="str">
        <v>C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14" t="str">
        <v>REGLA_MU_2027</v>
      </c>
      <c r="AP274" s="14" t="str">
        <v>UNIDO</v>
      </c>
      <c r="AQ274" s="14" t="str">
        <v>UNIDO</v>
      </c>
      <c r="AR274" s="14" t="str">
        <v>B/C</v>
      </c>
      <c r="AS274" s="14" t="str">
        <v>H002 / PUBLICA</v>
      </c>
      <c r="AT274" s="14" t="str">
        <v>Catálogo 2027; no atribución retroactiva ni acreditación de cohorte/malla</v>
      </c>
      <c r="AU274" s="14" t="n">
        <v>4</v>
      </c>
      <c r="AV274" s="14" t="n">
        <v>4</v>
      </c>
      <c r="AW274" s="14" t="str">
        <v>E: sin historia pública</v>
      </c>
      <c r="AX274" s="14" t="n">
        <v>2026</v>
      </c>
      <c r="AY274" s="14" t="str">
        <v>MAESTRO/oferta_anual; sin matrícula</v>
      </c>
    </row>
    <row r="275" ht="36" customHeight="1">
      <c r="A275" s="15" t="str">
        <v>I162S2C87J4V1</v>
      </c>
      <c r="B275" s="15" t="str">
        <v>INGENIERIA INDUSTRIAL</v>
      </c>
      <c r="C275" s="15" t="str">
        <v>2</v>
      </c>
      <c r="D275" s="15" t="str">
        <v>4</v>
      </c>
      <c r="E275" s="15" t="str">
        <v>1</v>
      </c>
      <c r="F275" s="15" t="str">
        <v>No presencial</v>
      </c>
      <c r="G275" s="15" t="str">
        <v>Pregrado</v>
      </c>
      <c r="H275" s="15" t="str">
        <v>Plan Regular de Continuidad</v>
      </c>
      <c r="I275" s="23" t="n">
        <v>2025</v>
      </c>
      <c r="J275" s="23" t="n">
        <v>2026</v>
      </c>
      <c r="K275" s="24" t="n">
        <v>0</v>
      </c>
      <c r="L275" s="24" t="n">
        <v>0</v>
      </c>
      <c r="M275" s="24" t="n">
        <v>0</v>
      </c>
      <c r="N275" s="24" t="n">
        <v>0</v>
      </c>
      <c r="O275" s="24" t="n">
        <v>0</v>
      </c>
      <c r="P275" s="24" t="n">
        <v>0</v>
      </c>
      <c r="Q275" s="24" t="n">
        <v>0</v>
      </c>
      <c r="R275" s="24" t="n">
        <v>0</v>
      </c>
      <c r="S275" s="24" t="n">
        <v>0</v>
      </c>
      <c r="T275" s="24" t="n">
        <v>0</v>
      </c>
      <c r="U275" s="24" t="n">
        <v>0</v>
      </c>
      <c r="V275" s="24" t="n">
        <v>0</v>
      </c>
      <c r="W275" s="24" t="n">
        <v>0</v>
      </c>
      <c r="X275" s="24" t="n">
        <v>0</v>
      </c>
      <c r="Y275" s="24" t="n">
        <v>0</v>
      </c>
      <c r="Z275" s="24" t="n">
        <v>0</v>
      </c>
      <c r="AA275" s="24" t="n">
        <v>0</v>
      </c>
      <c r="AB275" s="24" t="n">
        <v>0</v>
      </c>
      <c r="AC275" s="24" t="n">
        <v>37</v>
      </c>
      <c r="AD275" s="24" t="n">
        <v>5</v>
      </c>
      <c r="AE275" s="15" t="str">
        <v>1</v>
      </c>
      <c r="AF275" s="15" t="str">
        <v>E</v>
      </c>
      <c r="AG275" s="15" t="str">
        <v>E: sin plan</v>
      </c>
      <c r="AH275" s="15" t="str">
        <v>E</v>
      </c>
      <c r="AI275" s="15" t="str">
        <v>E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15" t="str">
        <v>SIN_UNION</v>
      </c>
      <c r="AP275" s="15" t="str">
        <v>PENDIENTE</v>
      </c>
      <c r="AQ275" s="15" t="str">
        <v>SIN_ENLACE</v>
      </c>
      <c r="AR275" s="15" t="str">
        <v>E</v>
      </c>
      <c r="AS275" s="15" t="str">
        <v>PUBLICA</v>
      </c>
      <c r="AT275" s="15" t="str">
        <v>E</v>
      </c>
      <c r="AU275" s="15" t="n">
        <v>4</v>
      </c>
      <c r="AV275" s="15" t="n">
        <v>4</v>
      </c>
      <c r="AW275" s="15" t="str">
        <v>VERSIONES_POR_DURACION_O_TIPO</v>
      </c>
      <c r="AX275" s="15" t="n">
        <v>2026</v>
      </c>
      <c r="AY275" s="15" t="str">
        <v>PUBLICA; última matrícula</v>
      </c>
    </row>
    <row r="276" ht="36" customHeight="1">
      <c r="A276" s="14" t="str">
        <v>I162S2C87J4V2</v>
      </c>
      <c r="B276" s="14" t="str">
        <v>INGENIERIA INDUSTRIAL</v>
      </c>
      <c r="C276" s="14" t="str">
        <v>2</v>
      </c>
      <c r="D276" s="14" t="str">
        <v>4</v>
      </c>
      <c r="E276" s="14" t="str">
        <v>2</v>
      </c>
      <c r="F276" s="14" t="str">
        <v>No presencial</v>
      </c>
      <c r="G276" s="14" t="str">
        <v>Pregrado</v>
      </c>
      <c r="H276" s="14" t="str">
        <v>Plan Regular</v>
      </c>
      <c r="I276" s="21" t="n">
        <v>2026</v>
      </c>
      <c r="J276" s="21" t="n">
        <v>2026</v>
      </c>
      <c r="K276" s="22" t="n">
        <v>0</v>
      </c>
      <c r="L276" s="22" t="n">
        <v>0</v>
      </c>
      <c r="M276" s="22" t="n">
        <v>0</v>
      </c>
      <c r="N276" s="22" t="n">
        <v>0</v>
      </c>
      <c r="O276" s="22" t="n">
        <v>0</v>
      </c>
      <c r="P276" s="22" t="n">
        <v>0</v>
      </c>
      <c r="Q276" s="22" t="n">
        <v>0</v>
      </c>
      <c r="R276" s="22" t="n">
        <v>0</v>
      </c>
      <c r="S276" s="22" t="n">
        <v>0</v>
      </c>
      <c r="T276" s="22" t="n">
        <v>0</v>
      </c>
      <c r="U276" s="22" t="n">
        <v>0</v>
      </c>
      <c r="V276" s="22" t="n">
        <v>0</v>
      </c>
      <c r="W276" s="22" t="n">
        <v>0</v>
      </c>
      <c r="X276" s="22" t="n">
        <v>0</v>
      </c>
      <c r="Y276" s="22" t="n">
        <v>0</v>
      </c>
      <c r="Z276" s="22" t="n">
        <v>0</v>
      </c>
      <c r="AA276" s="22" t="n">
        <v>0</v>
      </c>
      <c r="AB276" s="22" t="n">
        <v>0</v>
      </c>
      <c r="AC276" s="22" t="n">
        <v>0</v>
      </c>
      <c r="AD276" s="22" t="n">
        <v>77</v>
      </c>
      <c r="AE276" s="14" t="str">
        <v>1</v>
      </c>
      <c r="AF276" s="14" t="str">
        <v>IIND</v>
      </c>
      <c r="AG276" s="14" t="str">
        <v>IIND20251</v>
      </c>
      <c r="AH276" s="14" t="str">
        <v>REGULAR</v>
      </c>
      <c r="AI276" s="14" t="str">
        <v>C</v>
      </c>
      <c r="AJ276" s="22" t="n">
        <v>0</v>
      </c>
      <c r="AK276" s="22" t="n">
        <v>0</v>
      </c>
      <c r="AL276" s="22" t="n">
        <v>0</v>
      </c>
      <c r="AM276" s="22" t="n">
        <v>0</v>
      </c>
      <c r="AN276" s="22" t="n">
        <v>69</v>
      </c>
      <c r="AO276" s="14" t="str">
        <v>APROBACION_D_2027 / CRUCE_PERSONA_MU_2022_2026</v>
      </c>
      <c r="AP276" s="14" t="str">
        <v>UNIDO</v>
      </c>
      <c r="AQ276" s="14" t="str">
        <v>UNIDO</v>
      </c>
      <c r="AR276" s="14" t="str">
        <v>D/C</v>
      </c>
      <c r="AS276" s="14" t="str">
        <v>H002 / MATRIZ / PUBLICA</v>
      </c>
      <c r="AT276" s="14" t="str">
        <v>ANUAL / Catálogo 2027; no atribución retroactiva ni acreditación de cohorte/malla</v>
      </c>
      <c r="AU276" s="14" t="n">
        <v>8</v>
      </c>
      <c r="AV276" s="14" t="n">
        <v>8</v>
      </c>
      <c r="AW276" s="14" t="str">
        <v>VERSIONES_POR_DURACION_O_TIPO</v>
      </c>
      <c r="AX276" s="14" t="n">
        <v>2026</v>
      </c>
      <c r="AY276" s="14" t="str">
        <v>PUBLICA; última matrícula</v>
      </c>
    </row>
    <row r="277" ht="27" customHeight="1">
      <c r="A277" s="15" t="str">
        <v>I162S2C87J4V2</v>
      </c>
      <c r="B277" s="15" t="str">
        <v>INGENIERIA INDUSTRIAL</v>
      </c>
      <c r="C277" s="15" t="str">
        <v>2</v>
      </c>
      <c r="D277" s="15" t="str">
        <v>4</v>
      </c>
      <c r="E277" s="15" t="str">
        <v>2</v>
      </c>
      <c r="F277" s="15" t="str">
        <v>No presencial</v>
      </c>
      <c r="G277" s="15" t="str">
        <v>Pregrado</v>
      </c>
      <c r="H277" s="15" t="str">
        <v>Plan Regular</v>
      </c>
      <c r="I277" s="23" t="n">
        <v>2026</v>
      </c>
      <c r="J277" s="23" t="n">
        <v>2026</v>
      </c>
      <c r="K277" s="24" t="n">
        <v>0</v>
      </c>
      <c r="L277" s="24" t="n">
        <v>0</v>
      </c>
      <c r="M277" s="24" t="n">
        <v>0</v>
      </c>
      <c r="N277" s="24" t="n">
        <v>0</v>
      </c>
      <c r="O277" s="24" t="n">
        <v>0</v>
      </c>
      <c r="P277" s="24" t="n">
        <v>0</v>
      </c>
      <c r="Q277" s="24" t="n">
        <v>0</v>
      </c>
      <c r="R277" s="24" t="n">
        <v>0</v>
      </c>
      <c r="S277" s="24" t="n">
        <v>0</v>
      </c>
      <c r="T277" s="24" t="n">
        <v>0</v>
      </c>
      <c r="U277" s="24" t="n">
        <v>0</v>
      </c>
      <c r="V277" s="24" t="n">
        <v>0</v>
      </c>
      <c r="W277" s="24" t="n">
        <v>0</v>
      </c>
      <c r="X277" s="24" t="n">
        <v>0</v>
      </c>
      <c r="Y277" s="24" t="n">
        <v>0</v>
      </c>
      <c r="Z277" s="24" t="n">
        <v>0</v>
      </c>
      <c r="AA277" s="24" t="n">
        <v>0</v>
      </c>
      <c r="AB277" s="24" t="n">
        <v>0</v>
      </c>
      <c r="AC277" s="24" t="n">
        <v>0</v>
      </c>
      <c r="AD277" s="24" t="n">
        <v>77</v>
      </c>
      <c r="AE277" s="15" t="str">
        <v>1</v>
      </c>
      <c r="AF277" s="15" t="str">
        <v>IIND</v>
      </c>
      <c r="AG277" s="15" t="str">
        <v>PLAN_NO_OBSERVADO</v>
      </c>
      <c r="AH277" s="15" t="str">
        <v>E</v>
      </c>
      <c r="AI277" s="15" t="str">
        <v>E</v>
      </c>
      <c r="AJ277" s="24" t="n">
        <v>0</v>
      </c>
      <c r="AK277" s="24" t="n">
        <v>0</v>
      </c>
      <c r="AL277" s="24" t="n">
        <v>0</v>
      </c>
      <c r="AM277" s="24" t="n">
        <v>0</v>
      </c>
      <c r="AN277" s="24" t="n">
        <v>0</v>
      </c>
      <c r="AO277" s="15" t="str">
        <v>CRUCE_PERSONA_MU_2022_2026</v>
      </c>
      <c r="AP277" s="15" t="str">
        <v>PENDIENTE</v>
      </c>
      <c r="AQ277" s="15" t="str">
        <v>PLAN_NO_OBSERVADO</v>
      </c>
      <c r="AR277" s="15" t="str">
        <v>E</v>
      </c>
      <c r="AS277" s="15" t="str">
        <v>MATRIZ / PUBLICA</v>
      </c>
      <c r="AT277" s="15" t="str">
        <v>SIN_ACTIVIDAD_ANUAL; ENLACE_EXPEDIENTE_CONSERVADO</v>
      </c>
      <c r="AU277" s="15" t="n">
        <v>8</v>
      </c>
      <c r="AV277" s="15" t="n">
        <v>8</v>
      </c>
      <c r="AW277" s="15" t="str">
        <v>VERSIONES_POR_DURACION_O_TIPO</v>
      </c>
      <c r="AX277" s="15" t="n">
        <v>2026</v>
      </c>
      <c r="AY277" s="15" t="str">
        <v>PUBLICA; última matrícula</v>
      </c>
    </row>
    <row r="278" ht="36" customHeight="1">
      <c r="A278" s="14" t="str">
        <v>I162S2C88J4V1</v>
      </c>
      <c r="B278" s="14" t="str">
        <v>INGENIERIA EN CIENCIA DE DATOS</v>
      </c>
      <c r="C278" s="14" t="str">
        <v>2</v>
      </c>
      <c r="D278" s="14" t="str">
        <v>4</v>
      </c>
      <c r="E278" s="14" t="str">
        <v>1</v>
      </c>
      <c r="F278" s="14" t="str">
        <v>No presencial</v>
      </c>
      <c r="G278" s="14" t="str">
        <v>Pregrado</v>
      </c>
      <c r="H278" s="14" t="str">
        <v>Plan Regular</v>
      </c>
      <c r="I278" s="21" t="n">
        <v>2025</v>
      </c>
      <c r="J278" s="21" t="n">
        <v>2026</v>
      </c>
      <c r="K278" s="22" t="n">
        <v>0</v>
      </c>
      <c r="L278" s="22" t="n">
        <v>0</v>
      </c>
      <c r="M278" s="22" t="n">
        <v>0</v>
      </c>
      <c r="N278" s="22" t="n">
        <v>0</v>
      </c>
      <c r="O278" s="22" t="n">
        <v>0</v>
      </c>
      <c r="P278" s="22" t="n">
        <v>0</v>
      </c>
      <c r="Q278" s="22" t="n">
        <v>0</v>
      </c>
      <c r="R278" s="22" t="n">
        <v>0</v>
      </c>
      <c r="S278" s="22" t="n">
        <v>0</v>
      </c>
      <c r="T278" s="22" t="n">
        <v>0</v>
      </c>
      <c r="U278" s="22" t="n">
        <v>0</v>
      </c>
      <c r="V278" s="22" t="n">
        <v>0</v>
      </c>
      <c r="W278" s="22" t="n">
        <v>0</v>
      </c>
      <c r="X278" s="22" t="n">
        <v>0</v>
      </c>
      <c r="Y278" s="22" t="n">
        <v>0</v>
      </c>
      <c r="Z278" s="22" t="n">
        <v>0</v>
      </c>
      <c r="AA278" s="22" t="n">
        <v>0</v>
      </c>
      <c r="AB278" s="22" t="n">
        <v>0</v>
      </c>
      <c r="AC278" s="22" t="n">
        <v>43</v>
      </c>
      <c r="AD278" s="22" t="n">
        <v>52</v>
      </c>
      <c r="AE278" s="14" t="str">
        <v>1</v>
      </c>
      <c r="AF278" s="14" t="str">
        <v>ICDA</v>
      </c>
      <c r="AG278" s="14" t="str">
        <v>ICDA20251</v>
      </c>
      <c r="AH278" s="14" t="str">
        <v>REGULAR</v>
      </c>
      <c r="AI278" s="14" t="str">
        <v>C</v>
      </c>
      <c r="AJ278" s="22" t="n">
        <v>0</v>
      </c>
      <c r="AK278" s="22" t="n">
        <v>0</v>
      </c>
      <c r="AL278" s="22" t="n">
        <v>0</v>
      </c>
      <c r="AM278" s="22" t="n">
        <v>43</v>
      </c>
      <c r="AN278" s="22" t="n">
        <v>43</v>
      </c>
      <c r="AO278" s="14" t="str">
        <v>CRUCE_PERSONA_MU_2022_2026 / REGLA_MU_2027</v>
      </c>
      <c r="AP278" s="14" t="str">
        <v>UNIDO</v>
      </c>
      <c r="AQ278" s="14" t="str">
        <v>UNIDO</v>
      </c>
      <c r="AR278" s="14" t="str">
        <v>B/C</v>
      </c>
      <c r="AS278" s="14" t="str">
        <v>H002 / MATRIZ / PUBLICA</v>
      </c>
      <c r="AT278" s="14" t="str">
        <v>ANUAL / Catálogo 2027; no atribución retroactiva ni acreditación de cohorte/malla</v>
      </c>
      <c r="AU278" s="14" t="n">
        <v>8</v>
      </c>
      <c r="AV278" s="14" t="n">
        <v>8</v>
      </c>
      <c r="AW278" s="14" t="str">
        <v>UNA_VERSION_OBSERVADA</v>
      </c>
      <c r="AX278" s="14" t="n">
        <v>2026</v>
      </c>
      <c r="AY278" s="14" t="str">
        <v>PUBLICA; última matrícula</v>
      </c>
    </row>
    <row r="279" ht="27" customHeight="1">
      <c r="A279" s="15" t="str">
        <v>I162S2C88J4V1</v>
      </c>
      <c r="B279" s="15" t="str">
        <v>INGENIERIA EN CIENCIA DE DATOS</v>
      </c>
      <c r="C279" s="15" t="str">
        <v>2</v>
      </c>
      <c r="D279" s="15" t="str">
        <v>4</v>
      </c>
      <c r="E279" s="15" t="str">
        <v>1</v>
      </c>
      <c r="F279" s="15" t="str">
        <v>No presencial</v>
      </c>
      <c r="G279" s="15" t="str">
        <v>Pregrado</v>
      </c>
      <c r="H279" s="15" t="str">
        <v>Plan Regular</v>
      </c>
      <c r="I279" s="23" t="n">
        <v>2025</v>
      </c>
      <c r="J279" s="23" t="n">
        <v>2026</v>
      </c>
      <c r="K279" s="24" t="n">
        <v>0</v>
      </c>
      <c r="L279" s="24" t="n">
        <v>0</v>
      </c>
      <c r="M279" s="24" t="n">
        <v>0</v>
      </c>
      <c r="N279" s="24" t="n">
        <v>0</v>
      </c>
      <c r="O279" s="24" t="n">
        <v>0</v>
      </c>
      <c r="P279" s="24" t="n">
        <v>0</v>
      </c>
      <c r="Q279" s="24" t="n">
        <v>0</v>
      </c>
      <c r="R279" s="24" t="n">
        <v>0</v>
      </c>
      <c r="S279" s="24" t="n">
        <v>0</v>
      </c>
      <c r="T279" s="24" t="n">
        <v>0</v>
      </c>
      <c r="U279" s="24" t="n">
        <v>0</v>
      </c>
      <c r="V279" s="24" t="n">
        <v>0</v>
      </c>
      <c r="W279" s="24" t="n">
        <v>0</v>
      </c>
      <c r="X279" s="24" t="n">
        <v>0</v>
      </c>
      <c r="Y279" s="24" t="n">
        <v>0</v>
      </c>
      <c r="Z279" s="24" t="n">
        <v>0</v>
      </c>
      <c r="AA279" s="24" t="n">
        <v>0</v>
      </c>
      <c r="AB279" s="24" t="n">
        <v>0</v>
      </c>
      <c r="AC279" s="24" t="n">
        <v>43</v>
      </c>
      <c r="AD279" s="24" t="n">
        <v>52</v>
      </c>
      <c r="AE279" s="15" t="str">
        <v>1</v>
      </c>
      <c r="AF279" s="15" t="str">
        <v>ICDA</v>
      </c>
      <c r="AG279" s="15" t="str">
        <v>PLAN_NO_OBSERVADO</v>
      </c>
      <c r="AH279" s="15" t="str">
        <v>E</v>
      </c>
      <c r="AI279" s="15" t="str">
        <v>E</v>
      </c>
      <c r="AJ279" s="24" t="n">
        <v>0</v>
      </c>
      <c r="AK279" s="24" t="n">
        <v>0</v>
      </c>
      <c r="AL279" s="24" t="n">
        <v>0</v>
      </c>
      <c r="AM279" s="24" t="n">
        <v>0</v>
      </c>
      <c r="AN279" s="24" t="n">
        <v>4</v>
      </c>
      <c r="AO279" s="15" t="str">
        <v>CRUCE_PERSONA_MU_2022_2026</v>
      </c>
      <c r="AP279" s="15" t="str">
        <v>PENDIENTE</v>
      </c>
      <c r="AQ279" s="15" t="str">
        <v>PLAN_NO_OBSERVADO</v>
      </c>
      <c r="AR279" s="15" t="str">
        <v>E</v>
      </c>
      <c r="AS279" s="15" t="str">
        <v>MATRIZ / PUBLICA</v>
      </c>
      <c r="AT279" s="15" t="str">
        <v>SIN_ACTIVIDAD_ANUAL; ENLACE_EXPEDIENTE_CONSERVADO</v>
      </c>
      <c r="AU279" s="15" t="n">
        <v>8</v>
      </c>
      <c r="AV279" s="15" t="n">
        <v>8</v>
      </c>
      <c r="AW279" s="15" t="str">
        <v>UNA_VERSION_OBSERVADA</v>
      </c>
      <c r="AX279" s="15" t="n">
        <v>2026</v>
      </c>
      <c r="AY279" s="15" t="str">
        <v>PUBLICA; última matrícula</v>
      </c>
    </row>
    <row r="280" ht="36" customHeight="1">
      <c r="A280" s="14" t="str">
        <v>I162S2C88J4V2</v>
      </c>
      <c r="B280" s="14" t="str">
        <v>INGENIERIA EN CIENCIA DE DATOS</v>
      </c>
      <c r="C280" s="14" t="str">
        <v>2</v>
      </c>
      <c r="D280" s="14" t="str">
        <v>4</v>
      </c>
      <c r="E280" s="14" t="str">
        <v>2</v>
      </c>
      <c r="F280" s="14" t="str">
        <v>No presencial</v>
      </c>
      <c r="G280" s="14" t="str">
        <v>Pregrado</v>
      </c>
      <c r="H280" s="14" t="str">
        <v>Plan Regular de Continuidad</v>
      </c>
      <c r="I280" s="21" t="str">
        <v>n.a.</v>
      </c>
      <c r="J280" s="21" t="str">
        <v>n.a.</v>
      </c>
      <c r="K280" s="22" t="n">
        <v>0</v>
      </c>
      <c r="L280" s="22" t="n">
        <v>0</v>
      </c>
      <c r="M280" s="22" t="n">
        <v>0</v>
      </c>
      <c r="N280" s="22" t="n">
        <v>0</v>
      </c>
      <c r="O280" s="22" t="n">
        <v>0</v>
      </c>
      <c r="P280" s="22" t="n">
        <v>0</v>
      </c>
      <c r="Q280" s="22" t="n">
        <v>0</v>
      </c>
      <c r="R280" s="22" t="n">
        <v>0</v>
      </c>
      <c r="S280" s="22" t="n">
        <v>0</v>
      </c>
      <c r="T280" s="22" t="n">
        <v>0</v>
      </c>
      <c r="U280" s="22" t="n">
        <v>0</v>
      </c>
      <c r="V280" s="22" t="n">
        <v>0</v>
      </c>
      <c r="W280" s="22" t="n">
        <v>0</v>
      </c>
      <c r="X280" s="22" t="n">
        <v>0</v>
      </c>
      <c r="Y280" s="22" t="n">
        <v>0</v>
      </c>
      <c r="Z280" s="22" t="n">
        <v>0</v>
      </c>
      <c r="AA280" s="22" t="n">
        <v>0</v>
      </c>
      <c r="AB280" s="22" t="n">
        <v>0</v>
      </c>
      <c r="AC280" s="22" t="n">
        <v>0</v>
      </c>
      <c r="AD280" s="22" t="n">
        <v>0</v>
      </c>
      <c r="AE280" s="14" t="str">
        <v>1</v>
      </c>
      <c r="AF280" s="14" t="str">
        <v>CICDA</v>
      </c>
      <c r="AG280" s="14" t="str">
        <v>CICDA20251</v>
      </c>
      <c r="AH280" s="14" t="str">
        <v>CONTINUIDAD</v>
      </c>
      <c r="AI280" s="14" t="str">
        <v>C</v>
      </c>
      <c r="AJ280" s="22" t="n">
        <v>0</v>
      </c>
      <c r="AK280" s="22" t="n">
        <v>0</v>
      </c>
      <c r="AL280" s="22" t="n">
        <v>0</v>
      </c>
      <c r="AM280" s="22" t="n">
        <v>0</v>
      </c>
      <c r="AN280" s="22" t="n">
        <v>0</v>
      </c>
      <c r="AO280" s="14" t="str">
        <v>REGLA_MU_2027</v>
      </c>
      <c r="AP280" s="14" t="str">
        <v>UNIDO</v>
      </c>
      <c r="AQ280" s="14" t="str">
        <v>UNIDO</v>
      </c>
      <c r="AR280" s="14" t="str">
        <v>B/C</v>
      </c>
      <c r="AS280" s="14" t="str">
        <v>H002 / PUBLICA</v>
      </c>
      <c r="AT280" s="14" t="str">
        <v>Catálogo 2027; no atribución retroactiva ni acreditación de cohorte/malla</v>
      </c>
      <c r="AU280" s="14" t="n">
        <v>4</v>
      </c>
      <c r="AV280" s="14" t="n">
        <v>4</v>
      </c>
      <c r="AW280" s="14" t="str">
        <v>E: sin historia pública</v>
      </c>
      <c r="AX280" s="14" t="n">
        <v>2026</v>
      </c>
      <c r="AY280" s="14" t="str">
        <v>MAESTRO/oferta_anual; sin matrícula</v>
      </c>
    </row>
    <row r="281" ht="27" customHeight="1">
      <c r="A281" s="15" t="str">
        <v>I162S2C89J4V1</v>
      </c>
      <c r="B281" s="15" t="str">
        <v>TECNICO EN CIENCIA DE DATOS</v>
      </c>
      <c r="C281" s="15" t="str">
        <v>2</v>
      </c>
      <c r="D281" s="15" t="str">
        <v>4</v>
      </c>
      <c r="E281" s="15" t="str">
        <v>1</v>
      </c>
      <c r="F281" s="15" t="str">
        <v>No presencial</v>
      </c>
      <c r="G281" s="15" t="str">
        <v>Pregrado</v>
      </c>
      <c r="H281" s="15" t="str">
        <v>Plan Regular</v>
      </c>
      <c r="I281" s="23" t="n">
        <v>2025</v>
      </c>
      <c r="J281" s="23" t="n">
        <v>2026</v>
      </c>
      <c r="K281" s="24" t="n">
        <v>0</v>
      </c>
      <c r="L281" s="24" t="n">
        <v>0</v>
      </c>
      <c r="M281" s="24" t="n">
        <v>0</v>
      </c>
      <c r="N281" s="24" t="n">
        <v>0</v>
      </c>
      <c r="O281" s="24" t="n">
        <v>0</v>
      </c>
      <c r="P281" s="24" t="n">
        <v>0</v>
      </c>
      <c r="Q281" s="24" t="n">
        <v>0</v>
      </c>
      <c r="R281" s="24" t="n">
        <v>0</v>
      </c>
      <c r="S281" s="24" t="n">
        <v>0</v>
      </c>
      <c r="T281" s="24" t="n">
        <v>0</v>
      </c>
      <c r="U281" s="24" t="n">
        <v>0</v>
      </c>
      <c r="V281" s="24" t="n">
        <v>0</v>
      </c>
      <c r="W281" s="24" t="n">
        <v>0</v>
      </c>
      <c r="X281" s="24" t="n">
        <v>0</v>
      </c>
      <c r="Y281" s="24" t="n">
        <v>0</v>
      </c>
      <c r="Z281" s="24" t="n">
        <v>0</v>
      </c>
      <c r="AA281" s="24" t="n">
        <v>0</v>
      </c>
      <c r="AB281" s="24" t="n">
        <v>0</v>
      </c>
      <c r="AC281" s="24" t="n">
        <v>23</v>
      </c>
      <c r="AD281" s="24" t="n">
        <v>37</v>
      </c>
      <c r="AE281" s="15" t="str">
        <v>1</v>
      </c>
      <c r="AF281" s="15" t="str">
        <v>TCDA</v>
      </c>
      <c r="AG281" s="15" t="str">
        <v>PLAN_NO_OBSERVADO</v>
      </c>
      <c r="AH281" s="15" t="str">
        <v>E</v>
      </c>
      <c r="AI281" s="15" t="str">
        <v>E</v>
      </c>
      <c r="AJ281" s="24" t="n">
        <v>0</v>
      </c>
      <c r="AK281" s="24" t="n">
        <v>0</v>
      </c>
      <c r="AL281" s="24" t="n">
        <v>0</v>
      </c>
      <c r="AM281" s="24" t="n">
        <v>2</v>
      </c>
      <c r="AN281" s="24" t="n">
        <v>5</v>
      </c>
      <c r="AO281" s="15" t="str">
        <v>CRUCE_PERSONA_MU_2022_2026</v>
      </c>
      <c r="AP281" s="15" t="str">
        <v>PENDIENTE</v>
      </c>
      <c r="AQ281" s="15" t="str">
        <v>PLAN_NO_OBSERVADO</v>
      </c>
      <c r="AR281" s="15" t="str">
        <v>E</v>
      </c>
      <c r="AS281" s="15" t="str">
        <v>MATRIZ / PUBLICA</v>
      </c>
      <c r="AT281" s="15" t="str">
        <v>SIN_ACTIVIDAD_ANUAL; ENLACE_EXPEDIENTE_CONSERVADO</v>
      </c>
      <c r="AU281" s="15" t="n">
        <v>5</v>
      </c>
      <c r="AV281" s="15" t="n">
        <v>5</v>
      </c>
      <c r="AW281" s="15" t="str">
        <v>UNA_VERSION_OBSERVADA</v>
      </c>
      <c r="AX281" s="15" t="n">
        <v>2026</v>
      </c>
      <c r="AY281" s="15" t="str">
        <v>PUBLICA; última matrícula</v>
      </c>
    </row>
    <row r="282" ht="36" customHeight="1">
      <c r="A282" s="14" t="str">
        <v>I162S2C89J4V1</v>
      </c>
      <c r="B282" s="14" t="str">
        <v>TECNICO EN CIENCIA DE DATOS</v>
      </c>
      <c r="C282" s="14" t="str">
        <v>2</v>
      </c>
      <c r="D282" s="14" t="str">
        <v>4</v>
      </c>
      <c r="E282" s="14" t="str">
        <v>1</v>
      </c>
      <c r="F282" s="14" t="str">
        <v>No presencial</v>
      </c>
      <c r="G282" s="14" t="str">
        <v>Pregrado</v>
      </c>
      <c r="H282" s="14" t="str">
        <v>Plan Regular</v>
      </c>
      <c r="I282" s="21" t="n">
        <v>2025</v>
      </c>
      <c r="J282" s="21" t="n">
        <v>2026</v>
      </c>
      <c r="K282" s="22" t="n">
        <v>0</v>
      </c>
      <c r="L282" s="22" t="n">
        <v>0</v>
      </c>
      <c r="M282" s="22" t="n">
        <v>0</v>
      </c>
      <c r="N282" s="22" t="n">
        <v>0</v>
      </c>
      <c r="O282" s="22" t="n">
        <v>0</v>
      </c>
      <c r="P282" s="22" t="n">
        <v>0</v>
      </c>
      <c r="Q282" s="22" t="n">
        <v>0</v>
      </c>
      <c r="R282" s="22" t="n">
        <v>0</v>
      </c>
      <c r="S282" s="22" t="n">
        <v>0</v>
      </c>
      <c r="T282" s="22" t="n">
        <v>0</v>
      </c>
      <c r="U282" s="22" t="n">
        <v>0</v>
      </c>
      <c r="V282" s="22" t="n">
        <v>0</v>
      </c>
      <c r="W282" s="22" t="n">
        <v>0</v>
      </c>
      <c r="X282" s="22" t="n">
        <v>0</v>
      </c>
      <c r="Y282" s="22" t="n">
        <v>0</v>
      </c>
      <c r="Z282" s="22" t="n">
        <v>0</v>
      </c>
      <c r="AA282" s="22" t="n">
        <v>0</v>
      </c>
      <c r="AB282" s="22" t="n">
        <v>0</v>
      </c>
      <c r="AC282" s="22" t="n">
        <v>23</v>
      </c>
      <c r="AD282" s="22" t="n">
        <v>37</v>
      </c>
      <c r="AE282" s="14" t="str">
        <v>1</v>
      </c>
      <c r="AF282" s="14" t="str">
        <v>TCDA</v>
      </c>
      <c r="AG282" s="14" t="str">
        <v>TCDA20251</v>
      </c>
      <c r="AH282" s="14" t="str">
        <v>REGULAR</v>
      </c>
      <c r="AI282" s="14" t="str">
        <v>C</v>
      </c>
      <c r="AJ282" s="22" t="n">
        <v>0</v>
      </c>
      <c r="AK282" s="22" t="n">
        <v>0</v>
      </c>
      <c r="AL282" s="22" t="n">
        <v>0</v>
      </c>
      <c r="AM282" s="22" t="n">
        <v>21</v>
      </c>
      <c r="AN282" s="22" t="n">
        <v>25</v>
      </c>
      <c r="AO282" s="14" t="str">
        <v>CRUCE_PERSONA_MU_2022_2026 / REGLA_MU_2027</v>
      </c>
      <c r="AP282" s="14" t="str">
        <v>UNIDO</v>
      </c>
      <c r="AQ282" s="14" t="str">
        <v>UNIDO</v>
      </c>
      <c r="AR282" s="14" t="str">
        <v>B/C</v>
      </c>
      <c r="AS282" s="14" t="str">
        <v>H002 / MATRIZ / PUBLICA</v>
      </c>
      <c r="AT282" s="14" t="str">
        <v>ANUAL / Catálogo 2027; no atribución retroactiva ni acreditación de cohorte/malla</v>
      </c>
      <c r="AU282" s="14" t="n">
        <v>5</v>
      </c>
      <c r="AV282" s="14" t="n">
        <v>5</v>
      </c>
      <c r="AW282" s="14" t="str">
        <v>UNA_VERSION_OBSERVADA</v>
      </c>
      <c r="AX282" s="14" t="n">
        <v>2026</v>
      </c>
      <c r="AY282" s="14" t="str">
        <v>PUBLICA; última matrícula</v>
      </c>
    </row>
    <row r="283" ht="36" customHeight="1">
      <c r="A283" s="15" t="str">
        <v>I162S2C90J2V1</v>
      </c>
      <c r="B283" s="15" t="str">
        <v>NATUROPATIA</v>
      </c>
      <c r="C283" s="15" t="str">
        <v>2</v>
      </c>
      <c r="D283" s="15" t="str">
        <v>2</v>
      </c>
      <c r="E283" s="15" t="str">
        <v>1</v>
      </c>
      <c r="F283" s="15" t="str">
        <v>Presencial</v>
      </c>
      <c r="G283" s="15" t="str">
        <v>Pregrado</v>
      </c>
      <c r="H283" s="15" t="str">
        <v>Plan Regular de Continuidad</v>
      </c>
      <c r="I283" s="23" t="str">
        <v>n.a.</v>
      </c>
      <c r="J283" s="23" t="str">
        <v>n.a.</v>
      </c>
      <c r="K283" s="24" t="n">
        <v>0</v>
      </c>
      <c r="L283" s="24" t="n">
        <v>0</v>
      </c>
      <c r="M283" s="24" t="n">
        <v>0</v>
      </c>
      <c r="N283" s="24" t="n">
        <v>0</v>
      </c>
      <c r="O283" s="24" t="n">
        <v>0</v>
      </c>
      <c r="P283" s="24" t="n">
        <v>0</v>
      </c>
      <c r="Q283" s="24" t="n">
        <v>0</v>
      </c>
      <c r="R283" s="24" t="n">
        <v>0</v>
      </c>
      <c r="S283" s="24" t="n">
        <v>0</v>
      </c>
      <c r="T283" s="24" t="n">
        <v>0</v>
      </c>
      <c r="U283" s="24" t="n">
        <v>0</v>
      </c>
      <c r="V283" s="24" t="n">
        <v>0</v>
      </c>
      <c r="W283" s="24" t="n">
        <v>0</v>
      </c>
      <c r="X283" s="24" t="n">
        <v>0</v>
      </c>
      <c r="Y283" s="24" t="n">
        <v>0</v>
      </c>
      <c r="Z283" s="24" t="n">
        <v>0</v>
      </c>
      <c r="AA283" s="24" t="n">
        <v>0</v>
      </c>
      <c r="AB283" s="24" t="n">
        <v>0</v>
      </c>
      <c r="AC283" s="24" t="n">
        <v>0</v>
      </c>
      <c r="AD283" s="24" t="n">
        <v>0</v>
      </c>
      <c r="AE283" s="15" t="str">
        <v>2</v>
      </c>
      <c r="AF283" s="15" t="str">
        <v>E</v>
      </c>
      <c r="AG283" s="15" t="str">
        <v>E: sin plan</v>
      </c>
      <c r="AH283" s="15" t="str">
        <v>E</v>
      </c>
      <c r="AI283" s="15" t="str">
        <v>E</v>
      </c>
      <c r="AJ283" s="24" t="n">
        <v>0</v>
      </c>
      <c r="AK283" s="24" t="n">
        <v>0</v>
      </c>
      <c r="AL283" s="24" t="n">
        <v>0</v>
      </c>
      <c r="AM283" s="24" t="n">
        <v>0</v>
      </c>
      <c r="AN283" s="24" t="n">
        <v>0</v>
      </c>
      <c r="AO283" s="15" t="str">
        <v>SIN_UNION</v>
      </c>
      <c r="AP283" s="15" t="str">
        <v>PENDIENTE</v>
      </c>
      <c r="AQ283" s="15" t="str">
        <v>SIN_ENLACE</v>
      </c>
      <c r="AR283" s="15" t="str">
        <v>E</v>
      </c>
      <c r="AS283" s="15" t="str">
        <v>PUBLICA</v>
      </c>
      <c r="AT283" s="15" t="str">
        <v>E</v>
      </c>
      <c r="AU283" s="15" t="n">
        <v>4</v>
      </c>
      <c r="AV283" s="15" t="n">
        <v>4</v>
      </c>
      <c r="AW283" s="15" t="str">
        <v>E: sin historia pública</v>
      </c>
      <c r="AX283" s="15" t="n">
        <v>2026</v>
      </c>
      <c r="AY283" s="15" t="str">
        <v>MAESTRO/oferta_anual; sin matrícula</v>
      </c>
    </row>
    <row r="284" ht="36" customHeight="1">
      <c r="A284" s="14" t="str">
        <v>I162S2C90J2V2</v>
      </c>
      <c r="B284" s="14" t="str">
        <v>NATUROPATIA</v>
      </c>
      <c r="C284" s="14" t="str">
        <v>2</v>
      </c>
      <c r="D284" s="14" t="str">
        <v>2</v>
      </c>
      <c r="E284" s="14" t="str">
        <v>2</v>
      </c>
      <c r="F284" s="14" t="str">
        <v>Presencial</v>
      </c>
      <c r="G284" s="14" t="str">
        <v>Pregrado</v>
      </c>
      <c r="H284" s="14" t="str">
        <v>Plan Regular</v>
      </c>
      <c r="I284" s="21" t="n">
        <v>2026</v>
      </c>
      <c r="J284" s="21" t="n">
        <v>2026</v>
      </c>
      <c r="K284" s="22" t="n">
        <v>0</v>
      </c>
      <c r="L284" s="22" t="n">
        <v>0</v>
      </c>
      <c r="M284" s="22" t="n">
        <v>0</v>
      </c>
      <c r="N284" s="22" t="n">
        <v>0</v>
      </c>
      <c r="O284" s="22" t="n">
        <v>0</v>
      </c>
      <c r="P284" s="22" t="n">
        <v>0</v>
      </c>
      <c r="Q284" s="22" t="n">
        <v>0</v>
      </c>
      <c r="R284" s="22" t="n">
        <v>0</v>
      </c>
      <c r="S284" s="22" t="n">
        <v>0</v>
      </c>
      <c r="T284" s="22" t="n">
        <v>0</v>
      </c>
      <c r="U284" s="22" t="n">
        <v>0</v>
      </c>
      <c r="V284" s="22" t="n">
        <v>0</v>
      </c>
      <c r="W284" s="22" t="n">
        <v>0</v>
      </c>
      <c r="X284" s="22" t="n">
        <v>0</v>
      </c>
      <c r="Y284" s="22" t="n">
        <v>0</v>
      </c>
      <c r="Z284" s="22" t="n">
        <v>0</v>
      </c>
      <c r="AA284" s="22" t="n">
        <v>0</v>
      </c>
      <c r="AB284" s="22" t="n">
        <v>0</v>
      </c>
      <c r="AC284" s="22" t="n">
        <v>0</v>
      </c>
      <c r="AD284" s="22" t="n">
        <v>22</v>
      </c>
      <c r="AE284" s="14" t="str">
        <v>1</v>
      </c>
      <c r="AF284" s="14" t="str">
        <v>NATP</v>
      </c>
      <c r="AG284" s="14" t="str">
        <v>NATP20251</v>
      </c>
      <c r="AH284" s="14" t="str">
        <v>REGULAR</v>
      </c>
      <c r="AI284" s="14" t="str">
        <v>C</v>
      </c>
      <c r="AJ284" s="22" t="n">
        <v>0</v>
      </c>
      <c r="AK284" s="22" t="n">
        <v>0</v>
      </c>
      <c r="AL284" s="22" t="n">
        <v>0</v>
      </c>
      <c r="AM284" s="22" t="n">
        <v>0</v>
      </c>
      <c r="AN284" s="22" t="n">
        <v>18</v>
      </c>
      <c r="AO284" s="14" t="str">
        <v>CRUCE_PERSONA_MU_2022_2026 / REGLA_MU_2027</v>
      </c>
      <c r="AP284" s="14" t="str">
        <v>UNIDO</v>
      </c>
      <c r="AQ284" s="14" t="str">
        <v>UNIDO</v>
      </c>
      <c r="AR284" s="14" t="str">
        <v>B/C</v>
      </c>
      <c r="AS284" s="14" t="str">
        <v>H002 / MATRIZ / PUBLICA</v>
      </c>
      <c r="AT284" s="14" t="str">
        <v>ANUAL / Catálogo 2027; no atribución retroactiva ni acreditación de cohorte/malla</v>
      </c>
      <c r="AU284" s="14" t="n">
        <v>8</v>
      </c>
      <c r="AV284" s="14" t="n">
        <v>8</v>
      </c>
      <c r="AW284" s="14" t="str">
        <v>UNA_VERSION_OBSERVADA</v>
      </c>
      <c r="AX284" s="14" t="n">
        <v>2026</v>
      </c>
      <c r="AY284" s="14" t="str">
        <v>PUBLICA; última matrícula</v>
      </c>
    </row>
    <row r="285" ht="27" customHeight="1">
      <c r="A285" s="15" t="str">
        <v>I162S2C90J2V2</v>
      </c>
      <c r="B285" s="15" t="str">
        <v>NATUROPATIA</v>
      </c>
      <c r="C285" s="15" t="str">
        <v>2</v>
      </c>
      <c r="D285" s="15" t="str">
        <v>2</v>
      </c>
      <c r="E285" s="15" t="str">
        <v>2</v>
      </c>
      <c r="F285" s="15" t="str">
        <v>Presencial</v>
      </c>
      <c r="G285" s="15" t="str">
        <v>Pregrado</v>
      </c>
      <c r="H285" s="15" t="str">
        <v>Plan Regular</v>
      </c>
      <c r="I285" s="23" t="n">
        <v>2026</v>
      </c>
      <c r="J285" s="23" t="n">
        <v>2026</v>
      </c>
      <c r="K285" s="24" t="n">
        <v>0</v>
      </c>
      <c r="L285" s="24" t="n">
        <v>0</v>
      </c>
      <c r="M285" s="24" t="n">
        <v>0</v>
      </c>
      <c r="N285" s="24" t="n">
        <v>0</v>
      </c>
      <c r="O285" s="24" t="n">
        <v>0</v>
      </c>
      <c r="P285" s="24" t="n">
        <v>0</v>
      </c>
      <c r="Q285" s="24" t="n">
        <v>0</v>
      </c>
      <c r="R285" s="24" t="n">
        <v>0</v>
      </c>
      <c r="S285" s="24" t="n">
        <v>0</v>
      </c>
      <c r="T285" s="24" t="n">
        <v>0</v>
      </c>
      <c r="U285" s="24" t="n">
        <v>0</v>
      </c>
      <c r="V285" s="24" t="n">
        <v>0</v>
      </c>
      <c r="W285" s="24" t="n">
        <v>0</v>
      </c>
      <c r="X285" s="24" t="n">
        <v>0</v>
      </c>
      <c r="Y285" s="24" t="n">
        <v>0</v>
      </c>
      <c r="Z285" s="24" t="n">
        <v>0</v>
      </c>
      <c r="AA285" s="24" t="n">
        <v>0</v>
      </c>
      <c r="AB285" s="24" t="n">
        <v>0</v>
      </c>
      <c r="AC285" s="24" t="n">
        <v>0</v>
      </c>
      <c r="AD285" s="24" t="n">
        <v>22</v>
      </c>
      <c r="AE285" s="15" t="str">
        <v>1</v>
      </c>
      <c r="AF285" s="15" t="str">
        <v>NATP</v>
      </c>
      <c r="AG285" s="15" t="str">
        <v>PLAN_NO_OBSERVADO</v>
      </c>
      <c r="AH285" s="15" t="str">
        <v>E</v>
      </c>
      <c r="AI285" s="15" t="str">
        <v>E</v>
      </c>
      <c r="AJ285" s="24" t="n">
        <v>0</v>
      </c>
      <c r="AK285" s="24" t="n">
        <v>0</v>
      </c>
      <c r="AL285" s="24" t="n">
        <v>0</v>
      </c>
      <c r="AM285" s="24" t="n">
        <v>0</v>
      </c>
      <c r="AN285" s="24" t="n">
        <v>1</v>
      </c>
      <c r="AO285" s="15" t="str">
        <v>CRUCE_PERSONA_MU_2022_2026</v>
      </c>
      <c r="AP285" s="15" t="str">
        <v>PENDIENTE</v>
      </c>
      <c r="AQ285" s="15" t="str">
        <v>PLAN_NO_OBSERVADO</v>
      </c>
      <c r="AR285" s="15" t="str">
        <v>E</v>
      </c>
      <c r="AS285" s="15" t="str">
        <v>MATRIZ / PUBLICA</v>
      </c>
      <c r="AT285" s="15" t="str">
        <v>SIN_ACTIVIDAD_ANUAL; ENLACE_EXPEDIENTE_CONSERVADO</v>
      </c>
      <c r="AU285" s="15" t="n">
        <v>8</v>
      </c>
      <c r="AV285" s="15" t="n">
        <v>8</v>
      </c>
      <c r="AW285" s="15" t="str">
        <v>UNA_VERSION_OBSERVADA</v>
      </c>
      <c r="AX285" s="15" t="n">
        <v>2026</v>
      </c>
      <c r="AY285" s="15" t="str">
        <v>PUBLICA; última matrícula</v>
      </c>
    </row>
    <row r="286" ht="50" customHeight="1">
      <c r="A286" s="14" t="str">
        <v>I162S2C91J1V1</v>
      </c>
      <c r="B286" s="14" t="str">
        <v>TECNICO EN ENFERMERIA</v>
      </c>
      <c r="C286" s="14" t="str">
        <v>2</v>
      </c>
      <c r="D286" s="14" t="str">
        <v>1</v>
      </c>
      <c r="E286" s="14" t="str">
        <v>1</v>
      </c>
      <c r="F286" s="14" t="str">
        <v>Presencial</v>
      </c>
      <c r="G286" s="14" t="str">
        <v>Pregrado</v>
      </c>
      <c r="H286" s="14" t="str">
        <v>Plan Regular</v>
      </c>
      <c r="I286" s="21" t="n">
        <v>2025</v>
      </c>
      <c r="J286" s="21" t="n">
        <v>2026</v>
      </c>
      <c r="K286" s="22" t="n">
        <v>0</v>
      </c>
      <c r="L286" s="22" t="n">
        <v>0</v>
      </c>
      <c r="M286" s="22" t="n">
        <v>0</v>
      </c>
      <c r="N286" s="22" t="n">
        <v>0</v>
      </c>
      <c r="O286" s="22" t="n">
        <v>0</v>
      </c>
      <c r="P286" s="22" t="n">
        <v>0</v>
      </c>
      <c r="Q286" s="22" t="n">
        <v>0</v>
      </c>
      <c r="R286" s="22" t="n">
        <v>0</v>
      </c>
      <c r="S286" s="22" t="n">
        <v>0</v>
      </c>
      <c r="T286" s="22" t="n">
        <v>0</v>
      </c>
      <c r="U286" s="22" t="n">
        <v>0</v>
      </c>
      <c r="V286" s="22" t="n">
        <v>0</v>
      </c>
      <c r="W286" s="22" t="n">
        <v>0</v>
      </c>
      <c r="X286" s="22" t="n">
        <v>0</v>
      </c>
      <c r="Y286" s="22" t="n">
        <v>0</v>
      </c>
      <c r="Z286" s="22" t="n">
        <v>0</v>
      </c>
      <c r="AA286" s="22" t="n">
        <v>0</v>
      </c>
      <c r="AB286" s="22" t="n">
        <v>0</v>
      </c>
      <c r="AC286" s="22" t="n">
        <v>35</v>
      </c>
      <c r="AD286" s="22" t="n">
        <v>87</v>
      </c>
      <c r="AE286" s="14" t="str">
        <v>1</v>
      </c>
      <c r="AF286" s="14" t="str">
        <v>COTENS / TENS</v>
      </c>
      <c r="AG286" s="14" t="str">
        <v>PLAN_NO_OBSERVADO</v>
      </c>
      <c r="AH286" s="14" t="str">
        <v>E</v>
      </c>
      <c r="AI286" s="14" t="str">
        <v>E</v>
      </c>
      <c r="AJ286" s="22" t="n">
        <v>0</v>
      </c>
      <c r="AK286" s="22" t="n">
        <v>0</v>
      </c>
      <c r="AL286" s="22" t="n">
        <v>0</v>
      </c>
      <c r="AM286" s="22" t="n">
        <v>1</v>
      </c>
      <c r="AN286" s="22" t="n">
        <v>2</v>
      </c>
      <c r="AO286" s="14" t="str">
        <v>CRUCE_PERSONA_MU_2022_2026 / REGLA_MU_2027</v>
      </c>
      <c r="AP286" s="14" t="str">
        <v>PENDIENTE</v>
      </c>
      <c r="AQ286" s="14" t="str">
        <v>PLAN_NO_OBSERVADO</v>
      </c>
      <c r="AR286" s="14" t="str">
        <v>E</v>
      </c>
      <c r="AS286" s="14" t="str">
        <v>H002 / MATRIZ / PUBLICA</v>
      </c>
      <c r="AT286" s="14" t="str">
        <v>Catálogo 2027; no atribución retroactiva ni acreditación de cohorte/malla / SIN_ACTIVIDAD_ANUAL; ENLACE_EXPEDIENTE_CONSERVADO</v>
      </c>
      <c r="AU286" s="14" t="n">
        <v>5</v>
      </c>
      <c r="AV286" s="14" t="n">
        <v>5</v>
      </c>
      <c r="AW286" s="14" t="str">
        <v>UNA_VERSION_OBSERVADA</v>
      </c>
      <c r="AX286" s="14" t="n">
        <v>2026</v>
      </c>
      <c r="AY286" s="14" t="str">
        <v>PUBLICA; última matrícula</v>
      </c>
    </row>
    <row r="287" ht="36" customHeight="1">
      <c r="A287" s="15" t="str">
        <v>I162S2C91J1V1</v>
      </c>
      <c r="B287" s="15" t="str">
        <v>TECNICO EN ENFERMERIA</v>
      </c>
      <c r="C287" s="15" t="str">
        <v>2</v>
      </c>
      <c r="D287" s="15" t="str">
        <v>1</v>
      </c>
      <c r="E287" s="15" t="str">
        <v>1</v>
      </c>
      <c r="F287" s="15" t="str">
        <v>Presencial</v>
      </c>
      <c r="G287" s="15" t="str">
        <v>Pregrado</v>
      </c>
      <c r="H287" s="15" t="str">
        <v>Plan Regular</v>
      </c>
      <c r="I287" s="23" t="n">
        <v>2025</v>
      </c>
      <c r="J287" s="23" t="n">
        <v>2026</v>
      </c>
      <c r="K287" s="24" t="n">
        <v>0</v>
      </c>
      <c r="L287" s="24" t="n">
        <v>0</v>
      </c>
      <c r="M287" s="24" t="n">
        <v>0</v>
      </c>
      <c r="N287" s="24" t="n">
        <v>0</v>
      </c>
      <c r="O287" s="24" t="n">
        <v>0</v>
      </c>
      <c r="P287" s="24" t="n">
        <v>0</v>
      </c>
      <c r="Q287" s="24" t="n">
        <v>0</v>
      </c>
      <c r="R287" s="24" t="n">
        <v>0</v>
      </c>
      <c r="S287" s="24" t="n">
        <v>0</v>
      </c>
      <c r="T287" s="24" t="n">
        <v>0</v>
      </c>
      <c r="U287" s="24" t="n">
        <v>0</v>
      </c>
      <c r="V287" s="24" t="n">
        <v>0</v>
      </c>
      <c r="W287" s="24" t="n">
        <v>0</v>
      </c>
      <c r="X287" s="24" t="n">
        <v>0</v>
      </c>
      <c r="Y287" s="24" t="n">
        <v>0</v>
      </c>
      <c r="Z287" s="24" t="n">
        <v>0</v>
      </c>
      <c r="AA287" s="24" t="n">
        <v>0</v>
      </c>
      <c r="AB287" s="24" t="n">
        <v>0</v>
      </c>
      <c r="AC287" s="24" t="n">
        <v>35</v>
      </c>
      <c r="AD287" s="24" t="n">
        <v>87</v>
      </c>
      <c r="AE287" s="15" t="str">
        <v>1</v>
      </c>
      <c r="AF287" s="15" t="str">
        <v>TENS</v>
      </c>
      <c r="AG287" s="15" t="str">
        <v>TENS20251</v>
      </c>
      <c r="AH287" s="15" t="str">
        <v>REGULAR</v>
      </c>
      <c r="AI287" s="15" t="str">
        <v>C</v>
      </c>
      <c r="AJ287" s="24" t="n">
        <v>0</v>
      </c>
      <c r="AK287" s="24" t="n">
        <v>0</v>
      </c>
      <c r="AL287" s="24" t="n">
        <v>0</v>
      </c>
      <c r="AM287" s="24" t="n">
        <v>25</v>
      </c>
      <c r="AN287" s="24" t="n">
        <v>65</v>
      </c>
      <c r="AO287" s="15" t="str">
        <v>CRUCE_PERSONA_MU_2022_2026 / REGLA_MU_2027</v>
      </c>
      <c r="AP287" s="15" t="str">
        <v>UNIDO</v>
      </c>
      <c r="AQ287" s="15" t="str">
        <v>UNIDO</v>
      </c>
      <c r="AR287" s="15" t="str">
        <v>B/C</v>
      </c>
      <c r="AS287" s="15" t="str">
        <v>H002 / MATRIZ / PUBLICA</v>
      </c>
      <c r="AT287" s="15" t="str">
        <v>ANUAL / Catálogo 2027; no atribución retroactiva ni acreditación de cohorte/malla</v>
      </c>
      <c r="AU287" s="15" t="n">
        <v>5</v>
      </c>
      <c r="AV287" s="15" t="n">
        <v>5</v>
      </c>
      <c r="AW287" s="15" t="str">
        <v>UNA_VERSION_OBSERVADA</v>
      </c>
      <c r="AX287" s="15" t="n">
        <v>2026</v>
      </c>
      <c r="AY287" s="15" t="str">
        <v>PUBLICA; última matrícula</v>
      </c>
    </row>
    <row r="288" ht="50" customHeight="1">
      <c r="A288" s="14" t="str">
        <v>I162S2C91J2V1</v>
      </c>
      <c r="B288" s="14" t="str">
        <v>TECNICO EN ENFERMERIA</v>
      </c>
      <c r="C288" s="14" t="str">
        <v>2</v>
      </c>
      <c r="D288" s="14" t="str">
        <v>2</v>
      </c>
      <c r="E288" s="14" t="str">
        <v>1</v>
      </c>
      <c r="F288" s="14" t="str">
        <v>Presencial</v>
      </c>
      <c r="G288" s="14" t="str">
        <v>Pregrado</v>
      </c>
      <c r="H288" s="14" t="str">
        <v>Plan Regular</v>
      </c>
      <c r="I288" s="21" t="n">
        <v>2025</v>
      </c>
      <c r="J288" s="21" t="n">
        <v>2026</v>
      </c>
      <c r="K288" s="22" t="n">
        <v>0</v>
      </c>
      <c r="L288" s="22" t="n">
        <v>0</v>
      </c>
      <c r="M288" s="22" t="n">
        <v>0</v>
      </c>
      <c r="N288" s="22" t="n">
        <v>0</v>
      </c>
      <c r="O288" s="22" t="n">
        <v>0</v>
      </c>
      <c r="P288" s="22" t="n">
        <v>0</v>
      </c>
      <c r="Q288" s="22" t="n">
        <v>0</v>
      </c>
      <c r="R288" s="22" t="n">
        <v>0</v>
      </c>
      <c r="S288" s="22" t="n">
        <v>0</v>
      </c>
      <c r="T288" s="22" t="n">
        <v>0</v>
      </c>
      <c r="U288" s="22" t="n">
        <v>0</v>
      </c>
      <c r="V288" s="22" t="n">
        <v>0</v>
      </c>
      <c r="W288" s="22" t="n">
        <v>0</v>
      </c>
      <c r="X288" s="22" t="n">
        <v>0</v>
      </c>
      <c r="Y288" s="22" t="n">
        <v>0</v>
      </c>
      <c r="Z288" s="22" t="n">
        <v>0</v>
      </c>
      <c r="AA288" s="22" t="n">
        <v>0</v>
      </c>
      <c r="AB288" s="22" t="n">
        <v>0</v>
      </c>
      <c r="AC288" s="22" t="n">
        <v>43</v>
      </c>
      <c r="AD288" s="22" t="n">
        <v>112</v>
      </c>
      <c r="AE288" s="14" t="str">
        <v>1</v>
      </c>
      <c r="AF288" s="14" t="str">
        <v>COTENS / TENS</v>
      </c>
      <c r="AG288" s="14" t="str">
        <v>PLAN_NO_OBSERVADO</v>
      </c>
      <c r="AH288" s="14" t="str">
        <v>E</v>
      </c>
      <c r="AI288" s="14" t="str">
        <v>E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7</v>
      </c>
      <c r="AO288" s="14" t="str">
        <v>CRUCE_PERSONA_MU_2022_2026 / REGLA_MU_2027</v>
      </c>
      <c r="AP288" s="14" t="str">
        <v>PENDIENTE</v>
      </c>
      <c r="AQ288" s="14" t="str">
        <v>PLAN_NO_OBSERVADO</v>
      </c>
      <c r="AR288" s="14" t="str">
        <v>E</v>
      </c>
      <c r="AS288" s="14" t="str">
        <v>H002 / MATRIZ / PUBLICA</v>
      </c>
      <c r="AT288" s="14" t="str">
        <v>Catálogo 2027; no atribución retroactiva ni acreditación de cohorte/malla / SIN_ACTIVIDAD_ANUAL; ENLACE_EXPEDIENTE_CONSERVADO</v>
      </c>
      <c r="AU288" s="14" t="n">
        <v>5</v>
      </c>
      <c r="AV288" s="14" t="n">
        <v>5</v>
      </c>
      <c r="AW288" s="14" t="str">
        <v>UNA_VERSION_OBSERVADA</v>
      </c>
      <c r="AX288" s="14" t="n">
        <v>2026</v>
      </c>
      <c r="AY288" s="14" t="str">
        <v>PUBLICA; última matrícula</v>
      </c>
    </row>
    <row r="289" ht="36" customHeight="1">
      <c r="A289" s="15" t="str">
        <v>I162S2C91J2V1</v>
      </c>
      <c r="B289" s="15" t="str">
        <v>TECNICO EN ENFERMERIA</v>
      </c>
      <c r="C289" s="15" t="str">
        <v>2</v>
      </c>
      <c r="D289" s="15" t="str">
        <v>2</v>
      </c>
      <c r="E289" s="15" t="str">
        <v>1</v>
      </c>
      <c r="F289" s="15" t="str">
        <v>Presencial</v>
      </c>
      <c r="G289" s="15" t="str">
        <v>Pregrado</v>
      </c>
      <c r="H289" s="15" t="str">
        <v>Plan Regular</v>
      </c>
      <c r="I289" s="23" t="n">
        <v>2025</v>
      </c>
      <c r="J289" s="23" t="n">
        <v>2026</v>
      </c>
      <c r="K289" s="24" t="n">
        <v>0</v>
      </c>
      <c r="L289" s="24" t="n">
        <v>0</v>
      </c>
      <c r="M289" s="24" t="n">
        <v>0</v>
      </c>
      <c r="N289" s="24" t="n">
        <v>0</v>
      </c>
      <c r="O289" s="24" t="n">
        <v>0</v>
      </c>
      <c r="P289" s="24" t="n">
        <v>0</v>
      </c>
      <c r="Q289" s="24" t="n">
        <v>0</v>
      </c>
      <c r="R289" s="24" t="n">
        <v>0</v>
      </c>
      <c r="S289" s="24" t="n">
        <v>0</v>
      </c>
      <c r="T289" s="24" t="n">
        <v>0</v>
      </c>
      <c r="U289" s="24" t="n">
        <v>0</v>
      </c>
      <c r="V289" s="24" t="n">
        <v>0</v>
      </c>
      <c r="W289" s="24" t="n">
        <v>0</v>
      </c>
      <c r="X289" s="24" t="n">
        <v>0</v>
      </c>
      <c r="Y289" s="24" t="n">
        <v>0</v>
      </c>
      <c r="Z289" s="24" t="n">
        <v>0</v>
      </c>
      <c r="AA289" s="24" t="n">
        <v>0</v>
      </c>
      <c r="AB289" s="24" t="n">
        <v>0</v>
      </c>
      <c r="AC289" s="24" t="n">
        <v>43</v>
      </c>
      <c r="AD289" s="24" t="n">
        <v>112</v>
      </c>
      <c r="AE289" s="15" t="str">
        <v>1</v>
      </c>
      <c r="AF289" s="15" t="str">
        <v>TENS</v>
      </c>
      <c r="AG289" s="15" t="str">
        <v>TENS20251</v>
      </c>
      <c r="AH289" s="15" t="str">
        <v>REGULAR</v>
      </c>
      <c r="AI289" s="15" t="str">
        <v>C</v>
      </c>
      <c r="AJ289" s="24" t="n">
        <v>0</v>
      </c>
      <c r="AK289" s="24" t="n">
        <v>0</v>
      </c>
      <c r="AL289" s="24" t="n">
        <v>0</v>
      </c>
      <c r="AM289" s="24" t="n">
        <v>35</v>
      </c>
      <c r="AN289" s="24" t="n">
        <v>85</v>
      </c>
      <c r="AO289" s="15" t="str">
        <v>CRUCE_PERSONA_MU_2022_2026 / REGLA_MU_2027</v>
      </c>
      <c r="AP289" s="15" t="str">
        <v>UNIDO</v>
      </c>
      <c r="AQ289" s="15" t="str">
        <v>UNIDO</v>
      </c>
      <c r="AR289" s="15" t="str">
        <v>B/C</v>
      </c>
      <c r="AS289" s="15" t="str">
        <v>H002 / MATRIZ / PUBLICA</v>
      </c>
      <c r="AT289" s="15" t="str">
        <v>ANUAL / Catálogo 2027; no atribución retroactiva ni acreditación de cohorte/malla</v>
      </c>
      <c r="AU289" s="15" t="n">
        <v>5</v>
      </c>
      <c r="AV289" s="15" t="n">
        <v>5</v>
      </c>
      <c r="AW289" s="15" t="str">
        <v>UNA_VERSION_OBSERVADA</v>
      </c>
      <c r="AX289" s="15" t="n">
        <v>2026</v>
      </c>
      <c r="AY289" s="15" t="str">
        <v>PUBLICA; última matrícula</v>
      </c>
    </row>
    <row r="290" ht="27" customHeight="1">
      <c r="A290" s="14" t="str">
        <v>I162S2C91J3V1</v>
      </c>
      <c r="B290" s="14" t="str">
        <v>TECNICO EN ENFERMERIA</v>
      </c>
      <c r="C290" s="14" t="str">
        <v>2</v>
      </c>
      <c r="D290" s="14" t="str">
        <v>3</v>
      </c>
      <c r="E290" s="14" t="str">
        <v>1</v>
      </c>
      <c r="F290" s="14" t="str">
        <v>Semipresencial</v>
      </c>
      <c r="G290" s="14" t="str">
        <v>Pregrado</v>
      </c>
      <c r="H290" s="14" t="str">
        <v>Plan Regular</v>
      </c>
      <c r="I290" s="21" t="str">
        <v>n.a.</v>
      </c>
      <c r="J290" s="21" t="str">
        <v>n.a.</v>
      </c>
      <c r="K290" s="22" t="n">
        <v>0</v>
      </c>
      <c r="L290" s="22" t="n">
        <v>0</v>
      </c>
      <c r="M290" s="22" t="n">
        <v>0</v>
      </c>
      <c r="N290" s="22" t="n">
        <v>0</v>
      </c>
      <c r="O290" s="22" t="n">
        <v>0</v>
      </c>
      <c r="P290" s="22" t="n">
        <v>0</v>
      </c>
      <c r="Q290" s="22" t="n">
        <v>0</v>
      </c>
      <c r="R290" s="22" t="n">
        <v>0</v>
      </c>
      <c r="S290" s="22" t="n">
        <v>0</v>
      </c>
      <c r="T290" s="22" t="n">
        <v>0</v>
      </c>
      <c r="U290" s="22" t="n">
        <v>0</v>
      </c>
      <c r="V290" s="22" t="n">
        <v>0</v>
      </c>
      <c r="W290" s="22" t="n">
        <v>0</v>
      </c>
      <c r="X290" s="22" t="n">
        <v>0</v>
      </c>
      <c r="Y290" s="22" t="n">
        <v>0</v>
      </c>
      <c r="Z290" s="22" t="n">
        <v>0</v>
      </c>
      <c r="AA290" s="22" t="n">
        <v>0</v>
      </c>
      <c r="AB290" s="22" t="n">
        <v>0</v>
      </c>
      <c r="AC290" s="22" t="n">
        <v>0</v>
      </c>
      <c r="AD290" s="22" t="n">
        <v>0</v>
      </c>
      <c r="AE290" s="14" t="str">
        <v>1</v>
      </c>
      <c r="AF290" s="14" t="str">
        <v>E</v>
      </c>
      <c r="AG290" s="14" t="str">
        <v>E: sin plan</v>
      </c>
      <c r="AH290" s="14" t="str">
        <v>E</v>
      </c>
      <c r="AI290" s="14" t="str">
        <v>E</v>
      </c>
      <c r="AJ290" s="22" t="n">
        <v>0</v>
      </c>
      <c r="AK290" s="22" t="n">
        <v>0</v>
      </c>
      <c r="AL290" s="22" t="n">
        <v>0</v>
      </c>
      <c r="AM290" s="22" t="n">
        <v>0</v>
      </c>
      <c r="AN290" s="22" t="n">
        <v>0</v>
      </c>
      <c r="AO290" s="14" t="str">
        <v>SIN_UNION</v>
      </c>
      <c r="AP290" s="14" t="str">
        <v>PENDIENTE</v>
      </c>
      <c r="AQ290" s="14" t="str">
        <v>NUEVO_2027_SIN_ALUMNOS</v>
      </c>
      <c r="AR290" s="14" t="str">
        <v>E</v>
      </c>
      <c r="AS290" s="14" t="str">
        <v>PUBLICA</v>
      </c>
      <c r="AT290" s="14" t="str">
        <v>E</v>
      </c>
      <c r="AU290" s="14" t="str">
        <v>E</v>
      </c>
      <c r="AV290" s="14" t="n">
        <v>5</v>
      </c>
      <c r="AW290" s="14" t="str">
        <v>E: sin historia pública</v>
      </c>
      <c r="AX290" s="14" t="n">
        <v>2027</v>
      </c>
      <c r="AY290" s="14" t="str">
        <v>H002; estudios no acreditados</v>
      </c>
    </row>
    <row r="291" ht="27" customHeight="1">
      <c r="A291" s="15" t="str">
        <v>I162S2C95J4V1</v>
      </c>
      <c r="B291" s="15" t="str">
        <v>DIPLOMADO EN INTELIGENCIA ARTIFICIAL</v>
      </c>
      <c r="C291" s="15" t="str">
        <v>2</v>
      </c>
      <c r="D291" s="15" t="str">
        <v>4</v>
      </c>
      <c r="E291" s="15" t="str">
        <v>1</v>
      </c>
      <c r="F291" s="15" t="str">
        <v>No presencial</v>
      </c>
      <c r="G291" s="15" t="str">
        <v>Postítulo/otro</v>
      </c>
      <c r="H291" s="15" t="str">
        <v>Plan Regular</v>
      </c>
      <c r="I291" s="23" t="n">
        <v>2025</v>
      </c>
      <c r="J291" s="23" t="n">
        <v>2025</v>
      </c>
      <c r="K291" s="24" t="n">
        <v>0</v>
      </c>
      <c r="L291" s="24" t="n">
        <v>0</v>
      </c>
      <c r="M291" s="24" t="n">
        <v>0</v>
      </c>
      <c r="N291" s="24" t="n">
        <v>0</v>
      </c>
      <c r="O291" s="24" t="n">
        <v>0</v>
      </c>
      <c r="P291" s="24" t="n">
        <v>0</v>
      </c>
      <c r="Q291" s="24" t="n">
        <v>0</v>
      </c>
      <c r="R291" s="24" t="n">
        <v>0</v>
      </c>
      <c r="S291" s="24" t="n">
        <v>0</v>
      </c>
      <c r="T291" s="24" t="n">
        <v>0</v>
      </c>
      <c r="U291" s="24" t="n">
        <v>0</v>
      </c>
      <c r="V291" s="24" t="n">
        <v>0</v>
      </c>
      <c r="W291" s="24" t="n">
        <v>0</v>
      </c>
      <c r="X291" s="24" t="n">
        <v>0</v>
      </c>
      <c r="Y291" s="24" t="n">
        <v>0</v>
      </c>
      <c r="Z291" s="24" t="n">
        <v>0</v>
      </c>
      <c r="AA291" s="24" t="n">
        <v>0</v>
      </c>
      <c r="AB291" s="24" t="n">
        <v>0</v>
      </c>
      <c r="AC291" s="24" t="n">
        <v>17</v>
      </c>
      <c r="AD291" s="24" t="n">
        <v>0</v>
      </c>
      <c r="AE291" s="15" t="str">
        <v>3</v>
      </c>
      <c r="AF291" s="15" t="str">
        <v>E</v>
      </c>
      <c r="AG291" s="15" t="str">
        <v>E: sin plan</v>
      </c>
      <c r="AH291" s="15" t="str">
        <v>E</v>
      </c>
      <c r="AI291" s="15" t="str">
        <v>E</v>
      </c>
      <c r="AJ291" s="24" t="n">
        <v>0</v>
      </c>
      <c r="AK291" s="24" t="n">
        <v>0</v>
      </c>
      <c r="AL291" s="24" t="n">
        <v>0</v>
      </c>
      <c r="AM291" s="24" t="n">
        <v>0</v>
      </c>
      <c r="AN291" s="24" t="n">
        <v>0</v>
      </c>
      <c r="AO291" s="15" t="str">
        <v>SIN_UNION</v>
      </c>
      <c r="AP291" s="15" t="str">
        <v>PENDIENTE</v>
      </c>
      <c r="AQ291" s="15" t="str">
        <v>FUERA_ALCANCE</v>
      </c>
      <c r="AR291" s="15" t="str">
        <v>E</v>
      </c>
      <c r="AS291" s="15" t="str">
        <v>PUBLICA</v>
      </c>
      <c r="AT291" s="15" t="str">
        <v>E</v>
      </c>
      <c r="AU291" s="15" t="n">
        <v>1</v>
      </c>
      <c r="AV291" s="15" t="n">
        <v>1</v>
      </c>
      <c r="AW291" s="15" t="str">
        <v>UNA_VERSION_OBSERVADA</v>
      </c>
      <c r="AX291" s="15" t="n">
        <v>2025</v>
      </c>
      <c r="AY291" s="15" t="str">
        <v>PUBLICA; última matrícula</v>
      </c>
    </row>
    <row r="292" ht="27" customHeight="1">
      <c r="A292" s="14" t="str">
        <v>I162S2C96J4V1</v>
      </c>
      <c r="B292" s="14" t="str">
        <v>DIPLOMADO EN GOBERNANZA DE DATOS</v>
      </c>
      <c r="C292" s="14" t="str">
        <v>2</v>
      </c>
      <c r="D292" s="14" t="str">
        <v>4</v>
      </c>
      <c r="E292" s="14" t="str">
        <v>1</v>
      </c>
      <c r="F292" s="14" t="str">
        <v>No presencial</v>
      </c>
      <c r="G292" s="14" t="str">
        <v>Postítulo/otro</v>
      </c>
      <c r="H292" s="14" t="str">
        <v>Plan Regular</v>
      </c>
      <c r="I292" s="21" t="str">
        <v>n.a.</v>
      </c>
      <c r="J292" s="21" t="str">
        <v>n.a.</v>
      </c>
      <c r="K292" s="22" t="n">
        <v>0</v>
      </c>
      <c r="L292" s="22" t="n">
        <v>0</v>
      </c>
      <c r="M292" s="22" t="n">
        <v>0</v>
      </c>
      <c r="N292" s="22" t="n">
        <v>0</v>
      </c>
      <c r="O292" s="22" t="n">
        <v>0</v>
      </c>
      <c r="P292" s="22" t="n">
        <v>0</v>
      </c>
      <c r="Q292" s="22" t="n">
        <v>0</v>
      </c>
      <c r="R292" s="22" t="n">
        <v>0</v>
      </c>
      <c r="S292" s="22" t="n">
        <v>0</v>
      </c>
      <c r="T292" s="22" t="n">
        <v>0</v>
      </c>
      <c r="U292" s="22" t="n">
        <v>0</v>
      </c>
      <c r="V292" s="22" t="n">
        <v>0</v>
      </c>
      <c r="W292" s="22" t="n">
        <v>0</v>
      </c>
      <c r="X292" s="22" t="n">
        <v>0</v>
      </c>
      <c r="Y292" s="22" t="n">
        <v>0</v>
      </c>
      <c r="Z292" s="22" t="n">
        <v>0</v>
      </c>
      <c r="AA292" s="22" t="n">
        <v>0</v>
      </c>
      <c r="AB292" s="22" t="n">
        <v>0</v>
      </c>
      <c r="AC292" s="22" t="n">
        <v>0</v>
      </c>
      <c r="AD292" s="22" t="n">
        <v>0</v>
      </c>
      <c r="AE292" s="14" t="str">
        <v>1</v>
      </c>
      <c r="AF292" s="14" t="str">
        <v>E</v>
      </c>
      <c r="AG292" s="14" t="str">
        <v>E: sin plan</v>
      </c>
      <c r="AH292" s="14" t="str">
        <v>E</v>
      </c>
      <c r="AI292" s="14" t="str">
        <v>E</v>
      </c>
      <c r="AJ292" s="22" t="n">
        <v>0</v>
      </c>
      <c r="AK292" s="22" t="n">
        <v>0</v>
      </c>
      <c r="AL292" s="22" t="n">
        <v>0</v>
      </c>
      <c r="AM292" s="22" t="n">
        <v>0</v>
      </c>
      <c r="AN292" s="22" t="n">
        <v>0</v>
      </c>
      <c r="AO292" s="14" t="str">
        <v>SIN_UNION</v>
      </c>
      <c r="AP292" s="14" t="str">
        <v>PENDIENTE</v>
      </c>
      <c r="AQ292" s="14" t="str">
        <v>FUERA_ALCANCE</v>
      </c>
      <c r="AR292" s="14" t="str">
        <v>E</v>
      </c>
      <c r="AS292" s="14" t="str">
        <v>PUBLICA</v>
      </c>
      <c r="AT292" s="14" t="str">
        <v>E</v>
      </c>
      <c r="AU292" s="14" t="n">
        <v>1</v>
      </c>
      <c r="AV292" s="14" t="n">
        <v>1</v>
      </c>
      <c r="AW292" s="14" t="str">
        <v>E: sin historia pública</v>
      </c>
      <c r="AX292" s="14" t="n">
        <v>2026</v>
      </c>
      <c r="AY292" s="14" t="str">
        <v>MAESTRO/oferta_anual; sin matrícula</v>
      </c>
    </row>
    <row r="293" ht="36" customHeight="1">
      <c r="A293" s="15" t="str">
        <v>I162S2C97J4V1</v>
      </c>
      <c r="B293" s="15" t="str">
        <v>DIPLOMADO EN SUPPLY CHAIN MANAGEMENT Y MINERIA DE REQUERIMIENTOS</v>
      </c>
      <c r="C293" s="15" t="str">
        <v>2</v>
      </c>
      <c r="D293" s="15" t="str">
        <v>4</v>
      </c>
      <c r="E293" s="15" t="str">
        <v>1</v>
      </c>
      <c r="F293" s="15" t="str">
        <v>No presencial</v>
      </c>
      <c r="G293" s="15" t="str">
        <v>Postítulo/otro</v>
      </c>
      <c r="H293" s="15" t="str">
        <v>Plan Regular</v>
      </c>
      <c r="I293" s="23" t="str">
        <v>n.a.</v>
      </c>
      <c r="J293" s="23" t="str">
        <v>n.a.</v>
      </c>
      <c r="K293" s="24" t="n">
        <v>0</v>
      </c>
      <c r="L293" s="24" t="n">
        <v>0</v>
      </c>
      <c r="M293" s="24" t="n">
        <v>0</v>
      </c>
      <c r="N293" s="24" t="n">
        <v>0</v>
      </c>
      <c r="O293" s="24" t="n">
        <v>0</v>
      </c>
      <c r="P293" s="24" t="n">
        <v>0</v>
      </c>
      <c r="Q293" s="24" t="n">
        <v>0</v>
      </c>
      <c r="R293" s="24" t="n">
        <v>0</v>
      </c>
      <c r="S293" s="24" t="n">
        <v>0</v>
      </c>
      <c r="T293" s="24" t="n">
        <v>0</v>
      </c>
      <c r="U293" s="24" t="n">
        <v>0</v>
      </c>
      <c r="V293" s="24" t="n">
        <v>0</v>
      </c>
      <c r="W293" s="24" t="n">
        <v>0</v>
      </c>
      <c r="X293" s="24" t="n">
        <v>0</v>
      </c>
      <c r="Y293" s="24" t="n">
        <v>0</v>
      </c>
      <c r="Z293" s="24" t="n">
        <v>0</v>
      </c>
      <c r="AA293" s="24" t="n">
        <v>0</v>
      </c>
      <c r="AB293" s="24" t="n">
        <v>0</v>
      </c>
      <c r="AC293" s="24" t="n">
        <v>0</v>
      </c>
      <c r="AD293" s="24" t="n">
        <v>0</v>
      </c>
      <c r="AE293" s="15" t="str">
        <v>3</v>
      </c>
      <c r="AF293" s="15" t="str">
        <v>E</v>
      </c>
      <c r="AG293" s="15" t="str">
        <v>E: sin plan</v>
      </c>
      <c r="AH293" s="15" t="str">
        <v>E</v>
      </c>
      <c r="AI293" s="15" t="str">
        <v>E</v>
      </c>
      <c r="AJ293" s="24" t="n">
        <v>0</v>
      </c>
      <c r="AK293" s="24" t="n">
        <v>0</v>
      </c>
      <c r="AL293" s="24" t="n">
        <v>0</v>
      </c>
      <c r="AM293" s="24" t="n">
        <v>0</v>
      </c>
      <c r="AN293" s="24" t="n">
        <v>0</v>
      </c>
      <c r="AO293" s="15" t="str">
        <v>SIN_UNION</v>
      </c>
      <c r="AP293" s="15" t="str">
        <v>PENDIENTE</v>
      </c>
      <c r="AQ293" s="15" t="str">
        <v>FUERA_ALCANCE</v>
      </c>
      <c r="AR293" s="15" t="str">
        <v>E</v>
      </c>
      <c r="AS293" s="15" t="str">
        <v>PUBLICA</v>
      </c>
      <c r="AT293" s="15" t="str">
        <v>E</v>
      </c>
      <c r="AU293" s="15" t="n">
        <v>1</v>
      </c>
      <c r="AV293" s="15" t="n">
        <v>1</v>
      </c>
      <c r="AW293" s="15" t="str">
        <v>E: sin historia pública</v>
      </c>
      <c r="AX293" s="15" t="n">
        <v>2026</v>
      </c>
      <c r="AY293" s="15" t="str">
        <v>MAESTRO/oferta_anual; sin matrícula</v>
      </c>
    </row>
    <row r="294" ht="36" customHeight="1">
      <c r="A294" s="14" t="str">
        <v>I162S2C98J4V1</v>
      </c>
      <c r="B294" s="14" t="str">
        <v>DIPLOMADO EN HABILIDADES DIRECTIVAS PARA PROFESIONALES STEM</v>
      </c>
      <c r="C294" s="14" t="str">
        <v>2</v>
      </c>
      <c r="D294" s="14" t="str">
        <v>4</v>
      </c>
      <c r="E294" s="14" t="str">
        <v>1</v>
      </c>
      <c r="F294" s="14" t="str">
        <v>No presencial</v>
      </c>
      <c r="G294" s="14" t="str">
        <v>Postítulo/otro</v>
      </c>
      <c r="H294" s="14" t="str">
        <v>Plan Regular</v>
      </c>
      <c r="I294" s="21" t="str">
        <v>n.a.</v>
      </c>
      <c r="J294" s="21" t="str">
        <v>n.a.</v>
      </c>
      <c r="K294" s="22" t="n">
        <v>0</v>
      </c>
      <c r="L294" s="22" t="n">
        <v>0</v>
      </c>
      <c r="M294" s="22" t="n">
        <v>0</v>
      </c>
      <c r="N294" s="22" t="n">
        <v>0</v>
      </c>
      <c r="O294" s="22" t="n">
        <v>0</v>
      </c>
      <c r="P294" s="22" t="n">
        <v>0</v>
      </c>
      <c r="Q294" s="22" t="n">
        <v>0</v>
      </c>
      <c r="R294" s="22" t="n">
        <v>0</v>
      </c>
      <c r="S294" s="22" t="n">
        <v>0</v>
      </c>
      <c r="T294" s="22" t="n">
        <v>0</v>
      </c>
      <c r="U294" s="22" t="n">
        <v>0</v>
      </c>
      <c r="V294" s="22" t="n">
        <v>0</v>
      </c>
      <c r="W294" s="22" t="n">
        <v>0</v>
      </c>
      <c r="X294" s="22" t="n">
        <v>0</v>
      </c>
      <c r="Y294" s="22" t="n">
        <v>0</v>
      </c>
      <c r="Z294" s="22" t="n">
        <v>0</v>
      </c>
      <c r="AA294" s="22" t="n">
        <v>0</v>
      </c>
      <c r="AB294" s="22" t="n">
        <v>0</v>
      </c>
      <c r="AC294" s="22" t="n">
        <v>0</v>
      </c>
      <c r="AD294" s="22" t="n">
        <v>0</v>
      </c>
      <c r="AE294" s="14" t="str">
        <v>3</v>
      </c>
      <c r="AF294" s="14" t="str">
        <v>E</v>
      </c>
      <c r="AG294" s="14" t="str">
        <v>E: sin plan</v>
      </c>
      <c r="AH294" s="14" t="str">
        <v>E</v>
      </c>
      <c r="AI294" s="14" t="str">
        <v>E</v>
      </c>
      <c r="AJ294" s="22" t="n">
        <v>0</v>
      </c>
      <c r="AK294" s="22" t="n">
        <v>0</v>
      </c>
      <c r="AL294" s="22" t="n">
        <v>0</v>
      </c>
      <c r="AM294" s="22" t="n">
        <v>0</v>
      </c>
      <c r="AN294" s="22" t="n">
        <v>0</v>
      </c>
      <c r="AO294" s="14" t="str">
        <v>SIN_UNION</v>
      </c>
      <c r="AP294" s="14" t="str">
        <v>PENDIENTE</v>
      </c>
      <c r="AQ294" s="14" t="str">
        <v>FUERA_ALCANCE</v>
      </c>
      <c r="AR294" s="14" t="str">
        <v>E</v>
      </c>
      <c r="AS294" s="14" t="str">
        <v>PUBLICA</v>
      </c>
      <c r="AT294" s="14" t="str">
        <v>E</v>
      </c>
      <c r="AU294" s="14" t="n">
        <v>1</v>
      </c>
      <c r="AV294" s="14" t="n">
        <v>1</v>
      </c>
      <c r="AW294" s="14" t="str">
        <v>E: sin historia pública</v>
      </c>
      <c r="AX294" s="14" t="n">
        <v>2026</v>
      </c>
      <c r="AY294" s="14" t="str">
        <v>MAESTRO/oferta_anual; sin matrícula</v>
      </c>
    </row>
    <row r="295" ht="27" customHeight="1">
      <c r="A295" s="15" t="str">
        <v>I162S2C99J4V1</v>
      </c>
      <c r="B295" s="15" t="str">
        <v>DIPLOMADO EN GESTION PUBLICA LOCAL</v>
      </c>
      <c r="C295" s="15" t="str">
        <v>2</v>
      </c>
      <c r="D295" s="15" t="str">
        <v>4</v>
      </c>
      <c r="E295" s="15" t="str">
        <v>1</v>
      </c>
      <c r="F295" s="15" t="str">
        <v>No presencial</v>
      </c>
      <c r="G295" s="15" t="str">
        <v>Postítulo/otro</v>
      </c>
      <c r="H295" s="15" t="str">
        <v>Plan Regular</v>
      </c>
      <c r="I295" s="23" t="str">
        <v>n.a.</v>
      </c>
      <c r="J295" s="23" t="str">
        <v>n.a.</v>
      </c>
      <c r="K295" s="24" t="n">
        <v>0</v>
      </c>
      <c r="L295" s="24" t="n">
        <v>0</v>
      </c>
      <c r="M295" s="24" t="n">
        <v>0</v>
      </c>
      <c r="N295" s="24" t="n">
        <v>0</v>
      </c>
      <c r="O295" s="24" t="n">
        <v>0</v>
      </c>
      <c r="P295" s="24" t="n">
        <v>0</v>
      </c>
      <c r="Q295" s="24" t="n">
        <v>0</v>
      </c>
      <c r="R295" s="24" t="n">
        <v>0</v>
      </c>
      <c r="S295" s="24" t="n">
        <v>0</v>
      </c>
      <c r="T295" s="24" t="n">
        <v>0</v>
      </c>
      <c r="U295" s="24" t="n">
        <v>0</v>
      </c>
      <c r="V295" s="24" t="n">
        <v>0</v>
      </c>
      <c r="W295" s="24" t="n">
        <v>0</v>
      </c>
      <c r="X295" s="24" t="n">
        <v>0</v>
      </c>
      <c r="Y295" s="24" t="n">
        <v>0</v>
      </c>
      <c r="Z295" s="24" t="n">
        <v>0</v>
      </c>
      <c r="AA295" s="24" t="n">
        <v>0</v>
      </c>
      <c r="AB295" s="24" t="n">
        <v>0</v>
      </c>
      <c r="AC295" s="24" t="n">
        <v>0</v>
      </c>
      <c r="AD295" s="24" t="n">
        <v>0</v>
      </c>
      <c r="AE295" s="15" t="str">
        <v>1</v>
      </c>
      <c r="AF295" s="15" t="str">
        <v>E</v>
      </c>
      <c r="AG295" s="15" t="str">
        <v>E: sin plan</v>
      </c>
      <c r="AH295" s="15" t="str">
        <v>E</v>
      </c>
      <c r="AI295" s="15" t="str">
        <v>E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15" t="str">
        <v>SIN_UNION</v>
      </c>
      <c r="AP295" s="15" t="str">
        <v>PENDIENTE</v>
      </c>
      <c r="AQ295" s="15" t="str">
        <v>FUERA_ALCANCE</v>
      </c>
      <c r="AR295" s="15" t="str">
        <v>E</v>
      </c>
      <c r="AS295" s="15" t="str">
        <v>PUBLICA</v>
      </c>
      <c r="AT295" s="15" t="str">
        <v>E</v>
      </c>
      <c r="AU295" s="15" t="n">
        <v>1</v>
      </c>
      <c r="AV295" s="15" t="n">
        <v>1</v>
      </c>
      <c r="AW295" s="15" t="str">
        <v>E: sin historia pública</v>
      </c>
      <c r="AX295" s="15" t="n">
        <v>2026</v>
      </c>
      <c r="AY295" s="15" t="str">
        <v>MAESTRO/oferta_anual; sin matrícula</v>
      </c>
    </row>
    <row r="296" ht="36" customHeight="1">
      <c r="A296" s="14" t="str">
        <v>I162S3C114J2V1</v>
      </c>
      <c r="B296" s="14" t="str">
        <v>TECNICO EN ENFERMERIA E INSTRUMENTACION QUIRURGICA</v>
      </c>
      <c r="C296" s="14" t="str">
        <v>3</v>
      </c>
      <c r="D296" s="14" t="str">
        <v>2</v>
      </c>
      <c r="E296" s="14" t="str">
        <v>1</v>
      </c>
      <c r="F296" s="14" t="str">
        <v>Presencial</v>
      </c>
      <c r="G296" s="14" t="str">
        <v>Pregrado</v>
      </c>
      <c r="H296" s="14" t="str">
        <v>Plan Regular</v>
      </c>
      <c r="I296" s="21" t="n">
        <v>2026</v>
      </c>
      <c r="J296" s="21" t="n">
        <v>2026</v>
      </c>
      <c r="K296" s="22" t="n">
        <v>0</v>
      </c>
      <c r="L296" s="22" t="n">
        <v>0</v>
      </c>
      <c r="M296" s="22" t="n">
        <v>0</v>
      </c>
      <c r="N296" s="22" t="n">
        <v>0</v>
      </c>
      <c r="O296" s="22" t="n">
        <v>0</v>
      </c>
      <c r="P296" s="22" t="n">
        <v>0</v>
      </c>
      <c r="Q296" s="22" t="n">
        <v>0</v>
      </c>
      <c r="R296" s="22" t="n">
        <v>0</v>
      </c>
      <c r="S296" s="22" t="n">
        <v>0</v>
      </c>
      <c r="T296" s="22" t="n">
        <v>0</v>
      </c>
      <c r="U296" s="22" t="n">
        <v>0</v>
      </c>
      <c r="V296" s="22" t="n">
        <v>0</v>
      </c>
      <c r="W296" s="22" t="n">
        <v>0</v>
      </c>
      <c r="X296" s="22" t="n">
        <v>0</v>
      </c>
      <c r="Y296" s="22" t="n">
        <v>0</v>
      </c>
      <c r="Z296" s="22" t="n">
        <v>0</v>
      </c>
      <c r="AA296" s="22" t="n">
        <v>0</v>
      </c>
      <c r="AB296" s="22" t="n">
        <v>0</v>
      </c>
      <c r="AC296" s="22" t="n">
        <v>0</v>
      </c>
      <c r="AD296" s="22" t="n">
        <v>36</v>
      </c>
      <c r="AE296" s="14" t="str">
        <v>1</v>
      </c>
      <c r="AF296" s="14" t="str">
        <v>COTEIQ</v>
      </c>
      <c r="AG296" s="14" t="str">
        <v>COTEIQ20261</v>
      </c>
      <c r="AH296" s="14" t="str">
        <v>REGULAR</v>
      </c>
      <c r="AI296" s="14" t="str">
        <v>C</v>
      </c>
      <c r="AJ296" s="22" t="n">
        <v>0</v>
      </c>
      <c r="AK296" s="22" t="n">
        <v>0</v>
      </c>
      <c r="AL296" s="22" t="n">
        <v>0</v>
      </c>
      <c r="AM296" s="22" t="n">
        <v>0</v>
      </c>
      <c r="AN296" s="22" t="n">
        <v>33</v>
      </c>
      <c r="AO296" s="14" t="str">
        <v>CRUCE_PERSONA_MU_2022_2026 / REGLA_MU_2027</v>
      </c>
      <c r="AP296" s="14" t="str">
        <v>UNIDO</v>
      </c>
      <c r="AQ296" s="14" t="str">
        <v>UNIDO</v>
      </c>
      <c r="AR296" s="14" t="str">
        <v>B/C</v>
      </c>
      <c r="AS296" s="14" t="str">
        <v>H002 / MATRIZ / PUBLICA</v>
      </c>
      <c r="AT296" s="14" t="str">
        <v>ANUAL / Catálogo 2027; no atribución retroactiva ni acreditación de cohorte/malla</v>
      </c>
      <c r="AU296" s="14" t="n">
        <v>5</v>
      </c>
      <c r="AV296" s="14" t="n">
        <v>5</v>
      </c>
      <c r="AW296" s="14" t="str">
        <v>UNA_VERSION_OBSERVADA</v>
      </c>
      <c r="AX296" s="14" t="n">
        <v>2026</v>
      </c>
      <c r="AY296" s="14" t="str">
        <v>PUBLICA; última matrícula</v>
      </c>
    </row>
    <row r="297" ht="36" customHeight="1">
      <c r="A297" s="15" t="str">
        <v>I162S3C114J2V1</v>
      </c>
      <c r="B297" s="15" t="str">
        <v>TECNICO EN ENFERMERIA E INSTRUMENTACION QUIRURGICA</v>
      </c>
      <c r="C297" s="15" t="str">
        <v>3</v>
      </c>
      <c r="D297" s="15" t="str">
        <v>2</v>
      </c>
      <c r="E297" s="15" t="str">
        <v>1</v>
      </c>
      <c r="F297" s="15" t="str">
        <v>Presencial</v>
      </c>
      <c r="G297" s="15" t="str">
        <v>Pregrado</v>
      </c>
      <c r="H297" s="15" t="str">
        <v>Plan Regular</v>
      </c>
      <c r="I297" s="23" t="n">
        <v>2026</v>
      </c>
      <c r="J297" s="23" t="n">
        <v>2026</v>
      </c>
      <c r="K297" s="24" t="n">
        <v>0</v>
      </c>
      <c r="L297" s="24" t="n">
        <v>0</v>
      </c>
      <c r="M297" s="24" t="n">
        <v>0</v>
      </c>
      <c r="N297" s="24" t="n">
        <v>0</v>
      </c>
      <c r="O297" s="24" t="n">
        <v>0</v>
      </c>
      <c r="P297" s="24" t="n">
        <v>0</v>
      </c>
      <c r="Q297" s="24" t="n">
        <v>0</v>
      </c>
      <c r="R297" s="24" t="n">
        <v>0</v>
      </c>
      <c r="S297" s="24" t="n">
        <v>0</v>
      </c>
      <c r="T297" s="24" t="n">
        <v>0</v>
      </c>
      <c r="U297" s="24" t="n">
        <v>0</v>
      </c>
      <c r="V297" s="24" t="n">
        <v>0</v>
      </c>
      <c r="W297" s="24" t="n">
        <v>0</v>
      </c>
      <c r="X297" s="24" t="n">
        <v>0</v>
      </c>
      <c r="Y297" s="24" t="n">
        <v>0</v>
      </c>
      <c r="Z297" s="24" t="n">
        <v>0</v>
      </c>
      <c r="AA297" s="24" t="n">
        <v>0</v>
      </c>
      <c r="AB297" s="24" t="n">
        <v>0</v>
      </c>
      <c r="AC297" s="24" t="n">
        <v>0</v>
      </c>
      <c r="AD297" s="24" t="n">
        <v>36</v>
      </c>
      <c r="AE297" s="15" t="str">
        <v>1</v>
      </c>
      <c r="AF297" s="15" t="str">
        <v>COTEIQ</v>
      </c>
      <c r="AG297" s="15" t="str">
        <v>PLAN_NO_OBSERVADO</v>
      </c>
      <c r="AH297" s="15" t="str">
        <v>E</v>
      </c>
      <c r="AI297" s="15" t="str">
        <v>E</v>
      </c>
      <c r="AJ297" s="24" t="n">
        <v>0</v>
      </c>
      <c r="AK297" s="24" t="n">
        <v>0</v>
      </c>
      <c r="AL297" s="24" t="n">
        <v>0</v>
      </c>
      <c r="AM297" s="24" t="n">
        <v>0</v>
      </c>
      <c r="AN297" s="24" t="n">
        <v>0</v>
      </c>
      <c r="AO297" s="15" t="str">
        <v>CRUCE_PERSONA_MU_2022_2026</v>
      </c>
      <c r="AP297" s="15" t="str">
        <v>PENDIENTE</v>
      </c>
      <c r="AQ297" s="15" t="str">
        <v>PLAN_NO_OBSERVADO</v>
      </c>
      <c r="AR297" s="15" t="str">
        <v>E</v>
      </c>
      <c r="AS297" s="15" t="str">
        <v>MATRIZ / PUBLICA</v>
      </c>
      <c r="AT297" s="15" t="str">
        <v>SIN_ACTIVIDAD_ANUAL; ENLACE_EXPEDIENTE_CONSERVADO</v>
      </c>
      <c r="AU297" s="15" t="n">
        <v>5</v>
      </c>
      <c r="AV297" s="15" t="n">
        <v>5</v>
      </c>
      <c r="AW297" s="15" t="str">
        <v>UNA_VERSION_OBSERVADA</v>
      </c>
      <c r="AX297" s="15" t="n">
        <v>2026</v>
      </c>
      <c r="AY297" s="15" t="str">
        <v>PUBLICA; última matrícula</v>
      </c>
    </row>
    <row r="298" ht="36" customHeight="1">
      <c r="A298" s="14" t="str">
        <v>I162S3C115J2V1</v>
      </c>
      <c r="B298" s="14" t="str">
        <v>TECNICO EN FARMACIA</v>
      </c>
      <c r="C298" s="14" t="str">
        <v>3</v>
      </c>
      <c r="D298" s="14" t="str">
        <v>2</v>
      </c>
      <c r="E298" s="14" t="str">
        <v>1</v>
      </c>
      <c r="F298" s="14" t="str">
        <v>Presencial</v>
      </c>
      <c r="G298" s="14" t="str">
        <v>Pregrado</v>
      </c>
      <c r="H298" s="14" t="str">
        <v>Plan Regular</v>
      </c>
      <c r="I298" s="21" t="n">
        <v>2026</v>
      </c>
      <c r="J298" s="21" t="n">
        <v>2026</v>
      </c>
      <c r="K298" s="22" t="n">
        <v>0</v>
      </c>
      <c r="L298" s="22" t="n">
        <v>0</v>
      </c>
      <c r="M298" s="22" t="n">
        <v>0</v>
      </c>
      <c r="N298" s="22" t="n">
        <v>0</v>
      </c>
      <c r="O298" s="22" t="n">
        <v>0</v>
      </c>
      <c r="P298" s="22" t="n">
        <v>0</v>
      </c>
      <c r="Q298" s="22" t="n">
        <v>0</v>
      </c>
      <c r="R298" s="22" t="n">
        <v>0</v>
      </c>
      <c r="S298" s="22" t="n">
        <v>0</v>
      </c>
      <c r="T298" s="22" t="n">
        <v>0</v>
      </c>
      <c r="U298" s="22" t="n">
        <v>0</v>
      </c>
      <c r="V298" s="22" t="n">
        <v>0</v>
      </c>
      <c r="W298" s="22" t="n">
        <v>0</v>
      </c>
      <c r="X298" s="22" t="n">
        <v>0</v>
      </c>
      <c r="Y298" s="22" t="n">
        <v>0</v>
      </c>
      <c r="Z298" s="22" t="n">
        <v>0</v>
      </c>
      <c r="AA298" s="22" t="n">
        <v>0</v>
      </c>
      <c r="AB298" s="22" t="n">
        <v>0</v>
      </c>
      <c r="AC298" s="22" t="n">
        <v>0</v>
      </c>
      <c r="AD298" s="22" t="n">
        <v>19</v>
      </c>
      <c r="AE298" s="14" t="str">
        <v>1</v>
      </c>
      <c r="AF298" s="14" t="str">
        <v>COTFAR</v>
      </c>
      <c r="AG298" s="14" t="str">
        <v>COTFAR20261</v>
      </c>
      <c r="AH298" s="14" t="str">
        <v>REGULAR</v>
      </c>
      <c r="AI298" s="14" t="str">
        <v>C</v>
      </c>
      <c r="AJ298" s="22" t="n">
        <v>0</v>
      </c>
      <c r="AK298" s="22" t="n">
        <v>0</v>
      </c>
      <c r="AL298" s="22" t="n">
        <v>0</v>
      </c>
      <c r="AM298" s="22" t="n">
        <v>0</v>
      </c>
      <c r="AN298" s="22" t="n">
        <v>18</v>
      </c>
      <c r="AO298" s="14" t="str">
        <v>CRUCE_PERSONA_MU_2022_2026 / REGLA_MU_2027</v>
      </c>
      <c r="AP298" s="14" t="str">
        <v>UNIDO</v>
      </c>
      <c r="AQ298" s="14" t="str">
        <v>UNIDO</v>
      </c>
      <c r="AR298" s="14" t="str">
        <v>B/C</v>
      </c>
      <c r="AS298" s="14" t="str">
        <v>H002 / MATRIZ / PUBLICA</v>
      </c>
      <c r="AT298" s="14" t="str">
        <v>ANUAL / Catálogo 2027; no atribución retroactiva ni acreditación de cohorte/malla</v>
      </c>
      <c r="AU298" s="14" t="n">
        <v>5</v>
      </c>
      <c r="AV298" s="14" t="n">
        <v>5</v>
      </c>
      <c r="AW298" s="14" t="str">
        <v>UNA_VERSION_OBSERVADA</v>
      </c>
      <c r="AX298" s="14" t="n">
        <v>2026</v>
      </c>
      <c r="AY298" s="14" t="str">
        <v>PUBLICA; última matrícula</v>
      </c>
    </row>
    <row r="299" ht="27" customHeight="1">
      <c r="A299" s="15" t="str">
        <v>I162S3C115J2V1</v>
      </c>
      <c r="B299" s="15" t="str">
        <v>TECNICO EN FARMACIA</v>
      </c>
      <c r="C299" s="15" t="str">
        <v>3</v>
      </c>
      <c r="D299" s="15" t="str">
        <v>2</v>
      </c>
      <c r="E299" s="15" t="str">
        <v>1</v>
      </c>
      <c r="F299" s="15" t="str">
        <v>Presencial</v>
      </c>
      <c r="G299" s="15" t="str">
        <v>Pregrado</v>
      </c>
      <c r="H299" s="15" t="str">
        <v>Plan Regular</v>
      </c>
      <c r="I299" s="23" t="n">
        <v>2026</v>
      </c>
      <c r="J299" s="23" t="n">
        <v>2026</v>
      </c>
      <c r="K299" s="24" t="n">
        <v>0</v>
      </c>
      <c r="L299" s="24" t="n">
        <v>0</v>
      </c>
      <c r="M299" s="24" t="n">
        <v>0</v>
      </c>
      <c r="N299" s="24" t="n">
        <v>0</v>
      </c>
      <c r="O299" s="24" t="n">
        <v>0</v>
      </c>
      <c r="P299" s="24" t="n">
        <v>0</v>
      </c>
      <c r="Q299" s="24" t="n">
        <v>0</v>
      </c>
      <c r="R299" s="24" t="n">
        <v>0</v>
      </c>
      <c r="S299" s="24" t="n">
        <v>0</v>
      </c>
      <c r="T299" s="24" t="n">
        <v>0</v>
      </c>
      <c r="U299" s="24" t="n">
        <v>0</v>
      </c>
      <c r="V299" s="24" t="n">
        <v>0</v>
      </c>
      <c r="W299" s="24" t="n">
        <v>0</v>
      </c>
      <c r="X299" s="24" t="n">
        <v>0</v>
      </c>
      <c r="Y299" s="24" t="n">
        <v>0</v>
      </c>
      <c r="Z299" s="24" t="n">
        <v>0</v>
      </c>
      <c r="AA299" s="24" t="n">
        <v>0</v>
      </c>
      <c r="AB299" s="24" t="n">
        <v>0</v>
      </c>
      <c r="AC299" s="24" t="n">
        <v>0</v>
      </c>
      <c r="AD299" s="24" t="n">
        <v>19</v>
      </c>
      <c r="AE299" s="15" t="str">
        <v>1</v>
      </c>
      <c r="AF299" s="15" t="str">
        <v>COTFAR</v>
      </c>
      <c r="AG299" s="15" t="str">
        <v>PLAN_NO_OBSERVADO</v>
      </c>
      <c r="AH299" s="15" t="str">
        <v>E</v>
      </c>
      <c r="AI299" s="15" t="str">
        <v>E</v>
      </c>
      <c r="AJ299" s="24" t="n">
        <v>0</v>
      </c>
      <c r="AK299" s="24" t="n">
        <v>0</v>
      </c>
      <c r="AL299" s="24" t="n">
        <v>0</v>
      </c>
      <c r="AM299" s="24" t="n">
        <v>0</v>
      </c>
      <c r="AN299" s="24" t="n">
        <v>0</v>
      </c>
      <c r="AO299" s="15" t="str">
        <v>CRUCE_PERSONA_MU_2022_2026</v>
      </c>
      <c r="AP299" s="15" t="str">
        <v>PENDIENTE</v>
      </c>
      <c r="AQ299" s="15" t="str">
        <v>PLAN_NO_OBSERVADO</v>
      </c>
      <c r="AR299" s="15" t="str">
        <v>E</v>
      </c>
      <c r="AS299" s="15" t="str">
        <v>MATRIZ / PUBLICA</v>
      </c>
      <c r="AT299" s="15" t="str">
        <v>SIN_ACTIVIDAD_ANUAL; ENLACE_EXPEDIENTE_CONSERVADO</v>
      </c>
      <c r="AU299" s="15" t="n">
        <v>5</v>
      </c>
      <c r="AV299" s="15" t="n">
        <v>5</v>
      </c>
      <c r="AW299" s="15" t="str">
        <v>UNA_VERSION_OBSERVADA</v>
      </c>
      <c r="AX299" s="15" t="n">
        <v>2026</v>
      </c>
      <c r="AY299" s="15" t="str">
        <v>PUBLICA; última matrícula</v>
      </c>
    </row>
    <row r="300" ht="27" customHeight="1">
      <c r="A300" s="14" t="str">
        <v>I162S3C115J3V1</v>
      </c>
      <c r="B300" s="14" t="str">
        <v>TECNICO EN FARMACIA</v>
      </c>
      <c r="C300" s="14" t="str">
        <v>3</v>
      </c>
      <c r="D300" s="14" t="str">
        <v>3</v>
      </c>
      <c r="E300" s="14" t="str">
        <v>1</v>
      </c>
      <c r="F300" s="14" t="str">
        <v>Semipresencial</v>
      </c>
      <c r="G300" s="14" t="str">
        <v>Pregrado</v>
      </c>
      <c r="H300" s="14" t="str">
        <v>Plan Regular</v>
      </c>
      <c r="I300" s="21" t="str">
        <v>n.a.</v>
      </c>
      <c r="J300" s="21" t="str">
        <v>n.a.</v>
      </c>
      <c r="K300" s="22" t="n">
        <v>0</v>
      </c>
      <c r="L300" s="22" t="n">
        <v>0</v>
      </c>
      <c r="M300" s="22" t="n">
        <v>0</v>
      </c>
      <c r="N300" s="22" t="n">
        <v>0</v>
      </c>
      <c r="O300" s="22" t="n">
        <v>0</v>
      </c>
      <c r="P300" s="22" t="n">
        <v>0</v>
      </c>
      <c r="Q300" s="22" t="n">
        <v>0</v>
      </c>
      <c r="R300" s="22" t="n">
        <v>0</v>
      </c>
      <c r="S300" s="22" t="n">
        <v>0</v>
      </c>
      <c r="T300" s="22" t="n">
        <v>0</v>
      </c>
      <c r="U300" s="22" t="n">
        <v>0</v>
      </c>
      <c r="V300" s="22" t="n">
        <v>0</v>
      </c>
      <c r="W300" s="22" t="n">
        <v>0</v>
      </c>
      <c r="X300" s="22" t="n">
        <v>0</v>
      </c>
      <c r="Y300" s="22" t="n">
        <v>0</v>
      </c>
      <c r="Z300" s="22" t="n">
        <v>0</v>
      </c>
      <c r="AA300" s="22" t="n">
        <v>0</v>
      </c>
      <c r="AB300" s="22" t="n">
        <v>0</v>
      </c>
      <c r="AC300" s="22" t="n">
        <v>0</v>
      </c>
      <c r="AD300" s="22" t="n">
        <v>0</v>
      </c>
      <c r="AE300" s="14" t="str">
        <v>1</v>
      </c>
      <c r="AF300" s="14" t="str">
        <v>E</v>
      </c>
      <c r="AG300" s="14" t="str">
        <v>E: sin plan</v>
      </c>
      <c r="AH300" s="14" t="str">
        <v>E</v>
      </c>
      <c r="AI300" s="14" t="str">
        <v>E</v>
      </c>
      <c r="AJ300" s="22" t="n">
        <v>0</v>
      </c>
      <c r="AK300" s="22" t="n">
        <v>0</v>
      </c>
      <c r="AL300" s="22" t="n">
        <v>0</v>
      </c>
      <c r="AM300" s="22" t="n">
        <v>0</v>
      </c>
      <c r="AN300" s="22" t="n">
        <v>0</v>
      </c>
      <c r="AO300" s="14" t="str">
        <v>SIN_UNION</v>
      </c>
      <c r="AP300" s="14" t="str">
        <v>PENDIENTE</v>
      </c>
      <c r="AQ300" s="14" t="str">
        <v>NUEVO_2027_SIN_ALUMNOS</v>
      </c>
      <c r="AR300" s="14" t="str">
        <v>E</v>
      </c>
      <c r="AS300" s="14" t="str">
        <v>PUBLICA</v>
      </c>
      <c r="AT300" s="14" t="str">
        <v>E</v>
      </c>
      <c r="AU300" s="14" t="str">
        <v>E</v>
      </c>
      <c r="AV300" s="14" t="n">
        <v>5</v>
      </c>
      <c r="AW300" s="14" t="str">
        <v>E: sin historia pública</v>
      </c>
      <c r="AX300" s="14" t="n">
        <v>2027</v>
      </c>
      <c r="AY300" s="14" t="str">
        <v>H002; estudios no acreditados</v>
      </c>
    </row>
    <row r="301" ht="27" customHeight="1">
      <c r="A301" s="15" t="str">
        <v>I162S3C132J3V1</v>
      </c>
      <c r="B301" s="15" t="str">
        <v>INGENIERIA EN CONSTRUCCION</v>
      </c>
      <c r="C301" s="15" t="str">
        <v>3</v>
      </c>
      <c r="D301" s="15" t="str">
        <v>3</v>
      </c>
      <c r="E301" s="15" t="str">
        <v>1</v>
      </c>
      <c r="F301" s="15" t="str">
        <v>Semipresencial</v>
      </c>
      <c r="G301" s="15" t="str">
        <v>Pregrado</v>
      </c>
      <c r="H301" s="15" t="str">
        <v>Plan Regular</v>
      </c>
      <c r="I301" s="23" t="str">
        <v>n.a.</v>
      </c>
      <c r="J301" s="23" t="str">
        <v>n.a.</v>
      </c>
      <c r="K301" s="24" t="n">
        <v>0</v>
      </c>
      <c r="L301" s="24" t="n">
        <v>0</v>
      </c>
      <c r="M301" s="24" t="n">
        <v>0</v>
      </c>
      <c r="N301" s="24" t="n">
        <v>0</v>
      </c>
      <c r="O301" s="24" t="n">
        <v>0</v>
      </c>
      <c r="P301" s="24" t="n">
        <v>0</v>
      </c>
      <c r="Q301" s="24" t="n">
        <v>0</v>
      </c>
      <c r="R301" s="24" t="n">
        <v>0</v>
      </c>
      <c r="S301" s="24" t="n">
        <v>0</v>
      </c>
      <c r="T301" s="24" t="n">
        <v>0</v>
      </c>
      <c r="U301" s="24" t="n">
        <v>0</v>
      </c>
      <c r="V301" s="24" t="n">
        <v>0</v>
      </c>
      <c r="W301" s="24" t="n">
        <v>0</v>
      </c>
      <c r="X301" s="24" t="n">
        <v>0</v>
      </c>
      <c r="Y301" s="24" t="n">
        <v>0</v>
      </c>
      <c r="Z301" s="24" t="n">
        <v>0</v>
      </c>
      <c r="AA301" s="24" t="n">
        <v>0</v>
      </c>
      <c r="AB301" s="24" t="n">
        <v>0</v>
      </c>
      <c r="AC301" s="24" t="n">
        <v>0</v>
      </c>
      <c r="AD301" s="24" t="n">
        <v>0</v>
      </c>
      <c r="AE301" s="15" t="str">
        <v>1</v>
      </c>
      <c r="AF301" s="15" t="str">
        <v>E</v>
      </c>
      <c r="AG301" s="15" t="str">
        <v>E: sin plan</v>
      </c>
      <c r="AH301" s="15" t="str">
        <v>E</v>
      </c>
      <c r="AI301" s="15" t="str">
        <v>E</v>
      </c>
      <c r="AJ301" s="24" t="n">
        <v>0</v>
      </c>
      <c r="AK301" s="24" t="n">
        <v>0</v>
      </c>
      <c r="AL301" s="24" t="n">
        <v>0</v>
      </c>
      <c r="AM301" s="24" t="n">
        <v>0</v>
      </c>
      <c r="AN301" s="24" t="n">
        <v>0</v>
      </c>
      <c r="AO301" s="15" t="str">
        <v>SIN_UNION</v>
      </c>
      <c r="AP301" s="15" t="str">
        <v>PENDIENTE</v>
      </c>
      <c r="AQ301" s="15" t="str">
        <v>NUEVO_2027_SIN_ALUMNOS</v>
      </c>
      <c r="AR301" s="15" t="str">
        <v>E</v>
      </c>
      <c r="AS301" s="15" t="str">
        <v>PUBLICA</v>
      </c>
      <c r="AT301" s="15" t="str">
        <v>E</v>
      </c>
      <c r="AU301" s="15" t="str">
        <v>E</v>
      </c>
      <c r="AV301" s="15" t="n">
        <v>8</v>
      </c>
      <c r="AW301" s="15" t="str">
        <v>E: sin historia pública</v>
      </c>
      <c r="AX301" s="15" t="n">
        <v>2027</v>
      </c>
      <c r="AY301" s="15" t="str">
        <v>H002; estudios no acreditados</v>
      </c>
    </row>
    <row r="302" ht="27" customHeight="1">
      <c r="A302" s="14" t="str">
        <v>I162S3C133J3V1</v>
      </c>
      <c r="B302" s="14" t="str">
        <v>INGENIERIA EN ELECTRICIDAD</v>
      </c>
      <c r="C302" s="14" t="str">
        <v>3</v>
      </c>
      <c r="D302" s="14" t="str">
        <v>3</v>
      </c>
      <c r="E302" s="14" t="str">
        <v>1</v>
      </c>
      <c r="F302" s="14" t="str">
        <v>Semipresencial</v>
      </c>
      <c r="G302" s="14" t="str">
        <v>Pregrado</v>
      </c>
      <c r="H302" s="14" t="str">
        <v>Plan Regular</v>
      </c>
      <c r="I302" s="21" t="str">
        <v>n.a.</v>
      </c>
      <c r="J302" s="21" t="str">
        <v>n.a.</v>
      </c>
      <c r="K302" s="22" t="n">
        <v>0</v>
      </c>
      <c r="L302" s="22" t="n">
        <v>0</v>
      </c>
      <c r="M302" s="22" t="n">
        <v>0</v>
      </c>
      <c r="N302" s="22" t="n">
        <v>0</v>
      </c>
      <c r="O302" s="22" t="n">
        <v>0</v>
      </c>
      <c r="P302" s="22" t="n">
        <v>0</v>
      </c>
      <c r="Q302" s="22" t="n">
        <v>0</v>
      </c>
      <c r="R302" s="22" t="n">
        <v>0</v>
      </c>
      <c r="S302" s="22" t="n">
        <v>0</v>
      </c>
      <c r="T302" s="22" t="n">
        <v>0</v>
      </c>
      <c r="U302" s="22" t="n">
        <v>0</v>
      </c>
      <c r="V302" s="22" t="n">
        <v>0</v>
      </c>
      <c r="W302" s="22" t="n">
        <v>0</v>
      </c>
      <c r="X302" s="22" t="n">
        <v>0</v>
      </c>
      <c r="Y302" s="22" t="n">
        <v>0</v>
      </c>
      <c r="Z302" s="22" t="n">
        <v>0</v>
      </c>
      <c r="AA302" s="22" t="n">
        <v>0</v>
      </c>
      <c r="AB302" s="22" t="n">
        <v>0</v>
      </c>
      <c r="AC302" s="22" t="n">
        <v>0</v>
      </c>
      <c r="AD302" s="22" t="n">
        <v>0</v>
      </c>
      <c r="AE302" s="14" t="str">
        <v>1</v>
      </c>
      <c r="AF302" s="14" t="str">
        <v>E</v>
      </c>
      <c r="AG302" s="14" t="str">
        <v>E: sin plan</v>
      </c>
      <c r="AH302" s="14" t="str">
        <v>E</v>
      </c>
      <c r="AI302" s="14" t="str">
        <v>E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14" t="str">
        <v>SIN_UNION</v>
      </c>
      <c r="AP302" s="14" t="str">
        <v>PENDIENTE</v>
      </c>
      <c r="AQ302" s="14" t="str">
        <v>NUEVO_2027_SIN_ALUMNOS</v>
      </c>
      <c r="AR302" s="14" t="str">
        <v>E</v>
      </c>
      <c r="AS302" s="14" t="str">
        <v>PUBLICA</v>
      </c>
      <c r="AT302" s="14" t="str">
        <v>E</v>
      </c>
      <c r="AU302" s="14" t="str">
        <v>E</v>
      </c>
      <c r="AV302" s="14" t="n">
        <v>8</v>
      </c>
      <c r="AW302" s="14" t="str">
        <v>E: sin historia pública</v>
      </c>
      <c r="AX302" s="14" t="n">
        <v>2027</v>
      </c>
      <c r="AY302" s="14" t="str">
        <v>H002; estudios no acreditados</v>
      </c>
    </row>
    <row r="303" ht="27" customHeight="1">
      <c r="A303" s="15" t="str">
        <v>I162S3C137J3V1</v>
      </c>
      <c r="B303" s="15" t="str">
        <v>TECNICO EN CONSTRUCCION</v>
      </c>
      <c r="C303" s="15" t="str">
        <v>3</v>
      </c>
      <c r="D303" s="15" t="str">
        <v>3</v>
      </c>
      <c r="E303" s="15" t="str">
        <v>1</v>
      </c>
      <c r="F303" s="15" t="str">
        <v>Semipresencial</v>
      </c>
      <c r="G303" s="15" t="str">
        <v>Pregrado</v>
      </c>
      <c r="H303" s="15" t="str">
        <v>Plan Regular</v>
      </c>
      <c r="I303" s="23" t="str">
        <v>n.a.</v>
      </c>
      <c r="J303" s="23" t="str">
        <v>n.a.</v>
      </c>
      <c r="K303" s="24" t="n">
        <v>0</v>
      </c>
      <c r="L303" s="24" t="n">
        <v>0</v>
      </c>
      <c r="M303" s="24" t="n">
        <v>0</v>
      </c>
      <c r="N303" s="24" t="n">
        <v>0</v>
      </c>
      <c r="O303" s="24" t="n">
        <v>0</v>
      </c>
      <c r="P303" s="24" t="n">
        <v>0</v>
      </c>
      <c r="Q303" s="24" t="n">
        <v>0</v>
      </c>
      <c r="R303" s="24" t="n">
        <v>0</v>
      </c>
      <c r="S303" s="24" t="n">
        <v>0</v>
      </c>
      <c r="T303" s="24" t="n">
        <v>0</v>
      </c>
      <c r="U303" s="24" t="n">
        <v>0</v>
      </c>
      <c r="V303" s="24" t="n">
        <v>0</v>
      </c>
      <c r="W303" s="24" t="n">
        <v>0</v>
      </c>
      <c r="X303" s="24" t="n">
        <v>0</v>
      </c>
      <c r="Y303" s="24" t="n">
        <v>0</v>
      </c>
      <c r="Z303" s="24" t="n">
        <v>0</v>
      </c>
      <c r="AA303" s="24" t="n">
        <v>0</v>
      </c>
      <c r="AB303" s="24" t="n">
        <v>0</v>
      </c>
      <c r="AC303" s="24" t="n">
        <v>0</v>
      </c>
      <c r="AD303" s="24" t="n">
        <v>0</v>
      </c>
      <c r="AE303" s="15" t="str">
        <v>1</v>
      </c>
      <c r="AF303" s="15" t="str">
        <v>E</v>
      </c>
      <c r="AG303" s="15" t="str">
        <v>E: sin plan</v>
      </c>
      <c r="AH303" s="15" t="str">
        <v>E</v>
      </c>
      <c r="AI303" s="15" t="str">
        <v>E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15" t="str">
        <v>SIN_UNION</v>
      </c>
      <c r="AP303" s="15" t="str">
        <v>PENDIENTE</v>
      </c>
      <c r="AQ303" s="15" t="str">
        <v>NUEVO_2027_SIN_ALUMNOS</v>
      </c>
      <c r="AR303" s="15" t="str">
        <v>E</v>
      </c>
      <c r="AS303" s="15" t="str">
        <v>PUBLICA</v>
      </c>
      <c r="AT303" s="15" t="str">
        <v>E</v>
      </c>
      <c r="AU303" s="15" t="str">
        <v>E</v>
      </c>
      <c r="AV303" s="15" t="n">
        <v>4</v>
      </c>
      <c r="AW303" s="15" t="str">
        <v>E: sin historia pública</v>
      </c>
      <c r="AX303" s="15" t="n">
        <v>2027</v>
      </c>
      <c r="AY303" s="15" t="str">
        <v>H002; estudios no acreditados</v>
      </c>
    </row>
    <row r="304" ht="27" customHeight="1">
      <c r="A304" s="14" t="str">
        <v>I162S3C138J3V1</v>
      </c>
      <c r="B304" s="14" t="str">
        <v>TECNICO EN ELECTRICIDAD</v>
      </c>
      <c r="C304" s="14" t="str">
        <v>3</v>
      </c>
      <c r="D304" s="14" t="str">
        <v>3</v>
      </c>
      <c r="E304" s="14" t="str">
        <v>1</v>
      </c>
      <c r="F304" s="14" t="str">
        <v>Semipresencial</v>
      </c>
      <c r="G304" s="14" t="str">
        <v>Pregrado</v>
      </c>
      <c r="H304" s="14" t="str">
        <v>Plan Regular</v>
      </c>
      <c r="I304" s="21" t="str">
        <v>n.a.</v>
      </c>
      <c r="J304" s="21" t="str">
        <v>n.a.</v>
      </c>
      <c r="K304" s="22" t="n">
        <v>0</v>
      </c>
      <c r="L304" s="22" t="n">
        <v>0</v>
      </c>
      <c r="M304" s="22" t="n">
        <v>0</v>
      </c>
      <c r="N304" s="22" t="n">
        <v>0</v>
      </c>
      <c r="O304" s="22" t="n">
        <v>0</v>
      </c>
      <c r="P304" s="22" t="n">
        <v>0</v>
      </c>
      <c r="Q304" s="22" t="n">
        <v>0</v>
      </c>
      <c r="R304" s="22" t="n">
        <v>0</v>
      </c>
      <c r="S304" s="22" t="n">
        <v>0</v>
      </c>
      <c r="T304" s="22" t="n">
        <v>0</v>
      </c>
      <c r="U304" s="22" t="n">
        <v>0</v>
      </c>
      <c r="V304" s="22" t="n">
        <v>0</v>
      </c>
      <c r="W304" s="22" t="n">
        <v>0</v>
      </c>
      <c r="X304" s="22" t="n">
        <v>0</v>
      </c>
      <c r="Y304" s="22" t="n">
        <v>0</v>
      </c>
      <c r="Z304" s="22" t="n">
        <v>0</v>
      </c>
      <c r="AA304" s="22" t="n">
        <v>0</v>
      </c>
      <c r="AB304" s="22" t="n">
        <v>0</v>
      </c>
      <c r="AC304" s="22" t="n">
        <v>0</v>
      </c>
      <c r="AD304" s="22" t="n">
        <v>0</v>
      </c>
      <c r="AE304" s="14" t="str">
        <v>1</v>
      </c>
      <c r="AF304" s="14" t="str">
        <v>E</v>
      </c>
      <c r="AG304" s="14" t="str">
        <v>E: sin plan</v>
      </c>
      <c r="AH304" s="14" t="str">
        <v>E</v>
      </c>
      <c r="AI304" s="14" t="str">
        <v>E</v>
      </c>
      <c r="AJ304" s="22" t="n">
        <v>0</v>
      </c>
      <c r="AK304" s="22" t="n">
        <v>0</v>
      </c>
      <c r="AL304" s="22" t="n">
        <v>0</v>
      </c>
      <c r="AM304" s="22" t="n">
        <v>0</v>
      </c>
      <c r="AN304" s="22" t="n">
        <v>0</v>
      </c>
      <c r="AO304" s="14" t="str">
        <v>SIN_UNION</v>
      </c>
      <c r="AP304" s="14" t="str">
        <v>PENDIENTE</v>
      </c>
      <c r="AQ304" s="14" t="str">
        <v>NUEVO_2027_SIN_ALUMNOS</v>
      </c>
      <c r="AR304" s="14" t="str">
        <v>E</v>
      </c>
      <c r="AS304" s="14" t="str">
        <v>PUBLICA</v>
      </c>
      <c r="AT304" s="14" t="str">
        <v>E</v>
      </c>
      <c r="AU304" s="14" t="str">
        <v>E</v>
      </c>
      <c r="AV304" s="14" t="n">
        <v>4</v>
      </c>
      <c r="AW304" s="14" t="str">
        <v>E: sin historia pública</v>
      </c>
      <c r="AX304" s="14" t="n">
        <v>2027</v>
      </c>
      <c r="AY304" s="14" t="str">
        <v>H002; estudios no acreditados</v>
      </c>
    </row>
    <row r="305" ht="27" customHeight="1">
      <c r="A305" s="15" t="str">
        <v>I162S3C139J3V1</v>
      </c>
      <c r="B305" s="15" t="str">
        <v>TECNICO EN IMAGENOLOGIA</v>
      </c>
      <c r="C305" s="15" t="str">
        <v>3</v>
      </c>
      <c r="D305" s="15" t="str">
        <v>3</v>
      </c>
      <c r="E305" s="15" t="str">
        <v>1</v>
      </c>
      <c r="F305" s="15" t="str">
        <v>Semipresencial</v>
      </c>
      <c r="G305" s="15" t="str">
        <v>Pregrado</v>
      </c>
      <c r="H305" s="15" t="str">
        <v>Plan Regular</v>
      </c>
      <c r="I305" s="23" t="str">
        <v>n.a.</v>
      </c>
      <c r="J305" s="23" t="str">
        <v>n.a.</v>
      </c>
      <c r="K305" s="24" t="n">
        <v>0</v>
      </c>
      <c r="L305" s="24" t="n">
        <v>0</v>
      </c>
      <c r="M305" s="24" t="n">
        <v>0</v>
      </c>
      <c r="N305" s="24" t="n">
        <v>0</v>
      </c>
      <c r="O305" s="24" t="n">
        <v>0</v>
      </c>
      <c r="P305" s="24" t="n">
        <v>0</v>
      </c>
      <c r="Q305" s="24" t="n">
        <v>0</v>
      </c>
      <c r="R305" s="24" t="n">
        <v>0</v>
      </c>
      <c r="S305" s="24" t="n">
        <v>0</v>
      </c>
      <c r="T305" s="24" t="n">
        <v>0</v>
      </c>
      <c r="U305" s="24" t="n">
        <v>0</v>
      </c>
      <c r="V305" s="24" t="n">
        <v>0</v>
      </c>
      <c r="W305" s="24" t="n">
        <v>0</v>
      </c>
      <c r="X305" s="24" t="n">
        <v>0</v>
      </c>
      <c r="Y305" s="24" t="n">
        <v>0</v>
      </c>
      <c r="Z305" s="24" t="n">
        <v>0</v>
      </c>
      <c r="AA305" s="24" t="n">
        <v>0</v>
      </c>
      <c r="AB305" s="24" t="n">
        <v>0</v>
      </c>
      <c r="AC305" s="24" t="n">
        <v>0</v>
      </c>
      <c r="AD305" s="24" t="n">
        <v>0</v>
      </c>
      <c r="AE305" s="15" t="str">
        <v>1</v>
      </c>
      <c r="AF305" s="15" t="str">
        <v>E</v>
      </c>
      <c r="AG305" s="15" t="str">
        <v>E: sin plan</v>
      </c>
      <c r="AH305" s="15" t="str">
        <v>E</v>
      </c>
      <c r="AI305" s="15" t="str">
        <v>E</v>
      </c>
      <c r="AJ305" s="24" t="n">
        <v>0</v>
      </c>
      <c r="AK305" s="24" t="n">
        <v>0</v>
      </c>
      <c r="AL305" s="24" t="n">
        <v>0</v>
      </c>
      <c r="AM305" s="24" t="n">
        <v>0</v>
      </c>
      <c r="AN305" s="24" t="n">
        <v>0</v>
      </c>
      <c r="AO305" s="15" t="str">
        <v>SIN_UNION</v>
      </c>
      <c r="AP305" s="15" t="str">
        <v>PENDIENTE</v>
      </c>
      <c r="AQ305" s="15" t="str">
        <v>NUEVO_2027_SIN_ALUMNOS</v>
      </c>
      <c r="AR305" s="15" t="str">
        <v>E</v>
      </c>
      <c r="AS305" s="15" t="str">
        <v>PUBLICA</v>
      </c>
      <c r="AT305" s="15" t="str">
        <v>E</v>
      </c>
      <c r="AU305" s="15" t="str">
        <v>E</v>
      </c>
      <c r="AV305" s="15" t="n">
        <v>4</v>
      </c>
      <c r="AW305" s="15" t="str">
        <v>E: sin historia pública</v>
      </c>
      <c r="AX305" s="15" t="n">
        <v>2027</v>
      </c>
      <c r="AY305" s="15" t="str">
        <v>H002; estudios no acreditados</v>
      </c>
    </row>
    <row r="306" ht="27" customHeight="1">
      <c r="A306" s="14" t="str">
        <v>I162S3C141J3V1</v>
      </c>
      <c r="B306" s="14" t="str">
        <v>TECNICO EN ODONTOLOGIA</v>
      </c>
      <c r="C306" s="14" t="str">
        <v>3</v>
      </c>
      <c r="D306" s="14" t="str">
        <v>3</v>
      </c>
      <c r="E306" s="14" t="str">
        <v>1</v>
      </c>
      <c r="F306" s="14" t="str">
        <v>Semipresencial</v>
      </c>
      <c r="G306" s="14" t="str">
        <v>Pregrado</v>
      </c>
      <c r="H306" s="14" t="str">
        <v>Plan Regular</v>
      </c>
      <c r="I306" s="21" t="str">
        <v>n.a.</v>
      </c>
      <c r="J306" s="21" t="str">
        <v>n.a.</v>
      </c>
      <c r="K306" s="22" t="n">
        <v>0</v>
      </c>
      <c r="L306" s="22" t="n">
        <v>0</v>
      </c>
      <c r="M306" s="22" t="n">
        <v>0</v>
      </c>
      <c r="N306" s="22" t="n">
        <v>0</v>
      </c>
      <c r="O306" s="22" t="n">
        <v>0</v>
      </c>
      <c r="P306" s="22" t="n">
        <v>0</v>
      </c>
      <c r="Q306" s="22" t="n">
        <v>0</v>
      </c>
      <c r="R306" s="22" t="n">
        <v>0</v>
      </c>
      <c r="S306" s="22" t="n">
        <v>0</v>
      </c>
      <c r="T306" s="22" t="n">
        <v>0</v>
      </c>
      <c r="U306" s="22" t="n">
        <v>0</v>
      </c>
      <c r="V306" s="22" t="n">
        <v>0</v>
      </c>
      <c r="W306" s="22" t="n">
        <v>0</v>
      </c>
      <c r="X306" s="22" t="n">
        <v>0</v>
      </c>
      <c r="Y306" s="22" t="n">
        <v>0</v>
      </c>
      <c r="Z306" s="22" t="n">
        <v>0</v>
      </c>
      <c r="AA306" s="22" t="n">
        <v>0</v>
      </c>
      <c r="AB306" s="22" t="n">
        <v>0</v>
      </c>
      <c r="AC306" s="22" t="n">
        <v>0</v>
      </c>
      <c r="AD306" s="22" t="n">
        <v>0</v>
      </c>
      <c r="AE306" s="14" t="str">
        <v>1</v>
      </c>
      <c r="AF306" s="14" t="str">
        <v>E</v>
      </c>
      <c r="AG306" s="14" t="str">
        <v>E: sin plan</v>
      </c>
      <c r="AH306" s="14" t="str">
        <v>E</v>
      </c>
      <c r="AI306" s="14" t="str">
        <v>E</v>
      </c>
      <c r="AJ306" s="22" t="n">
        <v>0</v>
      </c>
      <c r="AK306" s="22" t="n">
        <v>0</v>
      </c>
      <c r="AL306" s="22" t="n">
        <v>0</v>
      </c>
      <c r="AM306" s="22" t="n">
        <v>0</v>
      </c>
      <c r="AN306" s="22" t="n">
        <v>0</v>
      </c>
      <c r="AO306" s="14" t="str">
        <v>SIN_UNION</v>
      </c>
      <c r="AP306" s="14" t="str">
        <v>PENDIENTE</v>
      </c>
      <c r="AQ306" s="14" t="str">
        <v>NUEVO_2027_SIN_ALUMNOS</v>
      </c>
      <c r="AR306" s="14" t="str">
        <v>E</v>
      </c>
      <c r="AS306" s="14" t="str">
        <v>PUBLICA</v>
      </c>
      <c r="AT306" s="14" t="str">
        <v>E</v>
      </c>
      <c r="AU306" s="14" t="str">
        <v>E</v>
      </c>
      <c r="AV306" s="14" t="n">
        <v>5</v>
      </c>
      <c r="AW306" s="14" t="str">
        <v>E: sin historia pública</v>
      </c>
      <c r="AX306" s="14" t="n">
        <v>2027</v>
      </c>
      <c r="AY306" s="14" t="str">
        <v>H002; estudios no acreditados</v>
      </c>
    </row>
    <row r="307" ht="36" customHeight="1">
      <c r="A307" s="15" t="str">
        <v>I162S3C143J3V1</v>
      </c>
      <c r="B307" s="15" t="str">
        <v>TECNICO VETERINARIO EN CLINICA DE ANIMALES DE COMPAÑIA</v>
      </c>
      <c r="C307" s="15" t="str">
        <v>3</v>
      </c>
      <c r="D307" s="15" t="str">
        <v>3</v>
      </c>
      <c r="E307" s="15" t="str">
        <v>1</v>
      </c>
      <c r="F307" s="15" t="str">
        <v>Semipresencial</v>
      </c>
      <c r="G307" s="15" t="str">
        <v>Pregrado</v>
      </c>
      <c r="H307" s="15" t="str">
        <v>Plan Regular</v>
      </c>
      <c r="I307" s="23" t="str">
        <v>n.a.</v>
      </c>
      <c r="J307" s="23" t="str">
        <v>n.a.</v>
      </c>
      <c r="K307" s="24" t="n">
        <v>0</v>
      </c>
      <c r="L307" s="24" t="n">
        <v>0</v>
      </c>
      <c r="M307" s="24" t="n">
        <v>0</v>
      </c>
      <c r="N307" s="24" t="n">
        <v>0</v>
      </c>
      <c r="O307" s="24" t="n">
        <v>0</v>
      </c>
      <c r="P307" s="24" t="n">
        <v>0</v>
      </c>
      <c r="Q307" s="24" t="n">
        <v>0</v>
      </c>
      <c r="R307" s="24" t="n">
        <v>0</v>
      </c>
      <c r="S307" s="24" t="n">
        <v>0</v>
      </c>
      <c r="T307" s="24" t="n">
        <v>0</v>
      </c>
      <c r="U307" s="24" t="n">
        <v>0</v>
      </c>
      <c r="V307" s="24" t="n">
        <v>0</v>
      </c>
      <c r="W307" s="24" t="n">
        <v>0</v>
      </c>
      <c r="X307" s="24" t="n">
        <v>0</v>
      </c>
      <c r="Y307" s="24" t="n">
        <v>0</v>
      </c>
      <c r="Z307" s="24" t="n">
        <v>0</v>
      </c>
      <c r="AA307" s="24" t="n">
        <v>0</v>
      </c>
      <c r="AB307" s="24" t="n">
        <v>0</v>
      </c>
      <c r="AC307" s="24" t="n">
        <v>0</v>
      </c>
      <c r="AD307" s="24" t="n">
        <v>0</v>
      </c>
      <c r="AE307" s="15" t="str">
        <v>1</v>
      </c>
      <c r="AF307" s="15" t="str">
        <v>E</v>
      </c>
      <c r="AG307" s="15" t="str">
        <v>E: sin plan</v>
      </c>
      <c r="AH307" s="15" t="str">
        <v>E</v>
      </c>
      <c r="AI307" s="15" t="str">
        <v>E</v>
      </c>
      <c r="AJ307" s="24" t="n">
        <v>0</v>
      </c>
      <c r="AK307" s="24" t="n">
        <v>0</v>
      </c>
      <c r="AL307" s="24" t="n">
        <v>0</v>
      </c>
      <c r="AM307" s="24" t="n">
        <v>0</v>
      </c>
      <c r="AN307" s="24" t="n">
        <v>0</v>
      </c>
      <c r="AO307" s="15" t="str">
        <v>SIN_UNION</v>
      </c>
      <c r="AP307" s="15" t="str">
        <v>PENDIENTE</v>
      </c>
      <c r="AQ307" s="15" t="str">
        <v>NUEVO_2027_SIN_ALUMNOS</v>
      </c>
      <c r="AR307" s="15" t="str">
        <v>E</v>
      </c>
      <c r="AS307" s="15" t="str">
        <v>PUBLICA</v>
      </c>
      <c r="AT307" s="15" t="str">
        <v>E</v>
      </c>
      <c r="AU307" s="15" t="str">
        <v>E</v>
      </c>
      <c r="AV307" s="15" t="n">
        <v>5</v>
      </c>
      <c r="AW307" s="15" t="str">
        <v>E: sin historia pública</v>
      </c>
      <c r="AX307" s="15" t="n">
        <v>2027</v>
      </c>
      <c r="AY307" s="15" t="str">
        <v>H002; estudios no acreditados</v>
      </c>
    </row>
    <row r="308" ht="27" customHeight="1">
      <c r="A308" s="14" t="str">
        <v>I162S3C91J1V1</v>
      </c>
      <c r="B308" s="14" t="str">
        <v>TECNICO EN ENFERMERIA</v>
      </c>
      <c r="C308" s="14" t="str">
        <v>3</v>
      </c>
      <c r="D308" s="14" t="str">
        <v>1</v>
      </c>
      <c r="E308" s="14" t="str">
        <v>1</v>
      </c>
      <c r="F308" s="14" t="str">
        <v>Presencial</v>
      </c>
      <c r="G308" s="14" t="str">
        <v>Pregrado</v>
      </c>
      <c r="H308" s="14" t="str">
        <v>Plan Regular</v>
      </c>
      <c r="I308" s="21" t="str">
        <v>n.a.</v>
      </c>
      <c r="J308" s="21" t="str">
        <v>n.a.</v>
      </c>
      <c r="K308" s="22" t="n">
        <v>0</v>
      </c>
      <c r="L308" s="22" t="n">
        <v>0</v>
      </c>
      <c r="M308" s="22" t="n">
        <v>0</v>
      </c>
      <c r="N308" s="22" t="n">
        <v>0</v>
      </c>
      <c r="O308" s="22" t="n">
        <v>0</v>
      </c>
      <c r="P308" s="22" t="n">
        <v>0</v>
      </c>
      <c r="Q308" s="22" t="n">
        <v>0</v>
      </c>
      <c r="R308" s="22" t="n">
        <v>0</v>
      </c>
      <c r="S308" s="22" t="n">
        <v>0</v>
      </c>
      <c r="T308" s="22" t="n">
        <v>0</v>
      </c>
      <c r="U308" s="22" t="n">
        <v>0</v>
      </c>
      <c r="V308" s="22" t="n">
        <v>0</v>
      </c>
      <c r="W308" s="22" t="n">
        <v>0</v>
      </c>
      <c r="X308" s="22" t="n">
        <v>0</v>
      </c>
      <c r="Y308" s="22" t="n">
        <v>0</v>
      </c>
      <c r="Z308" s="22" t="n">
        <v>0</v>
      </c>
      <c r="AA308" s="22" t="n">
        <v>0</v>
      </c>
      <c r="AB308" s="22" t="n">
        <v>0</v>
      </c>
      <c r="AC308" s="22" t="n">
        <v>0</v>
      </c>
      <c r="AD308" s="22" t="n">
        <v>0</v>
      </c>
      <c r="AE308" s="14" t="str">
        <v>1</v>
      </c>
      <c r="AF308" s="14" t="str">
        <v>E</v>
      </c>
      <c r="AG308" s="14" t="str">
        <v>E: sin plan</v>
      </c>
      <c r="AH308" s="14" t="str">
        <v>E</v>
      </c>
      <c r="AI308" s="14" t="str">
        <v>E</v>
      </c>
      <c r="AJ308" s="22" t="n">
        <v>0</v>
      </c>
      <c r="AK308" s="22" t="n">
        <v>0</v>
      </c>
      <c r="AL308" s="22" t="n">
        <v>0</v>
      </c>
      <c r="AM308" s="22" t="n">
        <v>0</v>
      </c>
      <c r="AN308" s="22" t="n">
        <v>0</v>
      </c>
      <c r="AO308" s="14" t="str">
        <v>SIN_UNION</v>
      </c>
      <c r="AP308" s="14" t="str">
        <v>PENDIENTE</v>
      </c>
      <c r="AQ308" s="14" t="str">
        <v>NUEVO_2027_SIN_ALUMNOS</v>
      </c>
      <c r="AR308" s="14" t="str">
        <v>E</v>
      </c>
      <c r="AS308" s="14" t="str">
        <v>PUBLICA</v>
      </c>
      <c r="AT308" s="14" t="str">
        <v>E</v>
      </c>
      <c r="AU308" s="14" t="str">
        <v>E</v>
      </c>
      <c r="AV308" s="14" t="n">
        <v>5</v>
      </c>
      <c r="AW308" s="14" t="str">
        <v>E: sin historia pública</v>
      </c>
      <c r="AX308" s="14" t="n">
        <v>2027</v>
      </c>
      <c r="AY308" s="14" t="str">
        <v>H002; estudios no acreditados</v>
      </c>
    </row>
    <row r="309" ht="36" customHeight="1">
      <c r="A309" s="15" t="str">
        <v>I162S3C91J2V1</v>
      </c>
      <c r="B309" s="15" t="str">
        <v>TECNICO EN ENFERMERIA</v>
      </c>
      <c r="C309" s="15" t="str">
        <v>3</v>
      </c>
      <c r="D309" s="15" t="str">
        <v>2</v>
      </c>
      <c r="E309" s="15" t="str">
        <v>1</v>
      </c>
      <c r="F309" s="15" t="str">
        <v>Presencial</v>
      </c>
      <c r="G309" s="15" t="str">
        <v>Pregrado</v>
      </c>
      <c r="H309" s="15" t="str">
        <v>Plan Regular</v>
      </c>
      <c r="I309" s="23" t="n">
        <v>2026</v>
      </c>
      <c r="J309" s="23" t="n">
        <v>2026</v>
      </c>
      <c r="K309" s="24" t="n">
        <v>0</v>
      </c>
      <c r="L309" s="24" t="n">
        <v>0</v>
      </c>
      <c r="M309" s="24" t="n">
        <v>0</v>
      </c>
      <c r="N309" s="24" t="n">
        <v>0</v>
      </c>
      <c r="O309" s="24" t="n">
        <v>0</v>
      </c>
      <c r="P309" s="24" t="n">
        <v>0</v>
      </c>
      <c r="Q309" s="24" t="n">
        <v>0</v>
      </c>
      <c r="R309" s="24" t="n">
        <v>0</v>
      </c>
      <c r="S309" s="24" t="n">
        <v>0</v>
      </c>
      <c r="T309" s="24" t="n">
        <v>0</v>
      </c>
      <c r="U309" s="24" t="n">
        <v>0</v>
      </c>
      <c r="V309" s="24" t="n">
        <v>0</v>
      </c>
      <c r="W309" s="24" t="n">
        <v>0</v>
      </c>
      <c r="X309" s="24" t="n">
        <v>0</v>
      </c>
      <c r="Y309" s="24" t="n">
        <v>0</v>
      </c>
      <c r="Z309" s="24" t="n">
        <v>0</v>
      </c>
      <c r="AA309" s="24" t="n">
        <v>0</v>
      </c>
      <c r="AB309" s="24" t="n">
        <v>0</v>
      </c>
      <c r="AC309" s="24" t="n">
        <v>0</v>
      </c>
      <c r="AD309" s="24" t="n">
        <v>18</v>
      </c>
      <c r="AE309" s="15" t="str">
        <v>1</v>
      </c>
      <c r="AF309" s="15" t="str">
        <v>COTENS</v>
      </c>
      <c r="AG309" s="15" t="str">
        <v>COTENS20261</v>
      </c>
      <c r="AH309" s="15" t="str">
        <v>REGULAR</v>
      </c>
      <c r="AI309" s="15" t="str">
        <v>C</v>
      </c>
      <c r="AJ309" s="24" t="n">
        <v>0</v>
      </c>
      <c r="AK309" s="24" t="n">
        <v>0</v>
      </c>
      <c r="AL309" s="24" t="n">
        <v>0</v>
      </c>
      <c r="AM309" s="24" t="n">
        <v>0</v>
      </c>
      <c r="AN309" s="24" t="n">
        <v>14</v>
      </c>
      <c r="AO309" s="15" t="str">
        <v>CRUCE_PERSONA_MU_2022_2026 / REGLA_MU_2027</v>
      </c>
      <c r="AP309" s="15" t="str">
        <v>UNIDO</v>
      </c>
      <c r="AQ309" s="15" t="str">
        <v>UNIDO</v>
      </c>
      <c r="AR309" s="15" t="str">
        <v>B/C</v>
      </c>
      <c r="AS309" s="15" t="str">
        <v>H002 / MATRIZ / PUBLICA</v>
      </c>
      <c r="AT309" s="15" t="str">
        <v>ANUAL / Catálogo 2027; no atribución retroactiva ni acreditación de cohorte/malla</v>
      </c>
      <c r="AU309" s="15" t="n">
        <v>5</v>
      </c>
      <c r="AV309" s="15" t="n">
        <v>5</v>
      </c>
      <c r="AW309" s="15" t="str">
        <v>UNA_VERSION_OBSERVADA</v>
      </c>
      <c r="AX309" s="15" t="n">
        <v>2026</v>
      </c>
      <c r="AY309" s="15" t="str">
        <v>PUBLICA; última matrícula</v>
      </c>
    </row>
    <row r="310" ht="27" customHeight="1">
      <c r="A310" s="14" t="str">
        <v>I162S3C91J2V1</v>
      </c>
      <c r="B310" s="14" t="str">
        <v>TECNICO EN ENFERMERIA</v>
      </c>
      <c r="C310" s="14" t="str">
        <v>3</v>
      </c>
      <c r="D310" s="14" t="str">
        <v>2</v>
      </c>
      <c r="E310" s="14" t="str">
        <v>1</v>
      </c>
      <c r="F310" s="14" t="str">
        <v>Presencial</v>
      </c>
      <c r="G310" s="14" t="str">
        <v>Pregrado</v>
      </c>
      <c r="H310" s="14" t="str">
        <v>Plan Regular</v>
      </c>
      <c r="I310" s="21" t="n">
        <v>2026</v>
      </c>
      <c r="J310" s="21" t="n">
        <v>2026</v>
      </c>
      <c r="K310" s="22" t="n">
        <v>0</v>
      </c>
      <c r="L310" s="22" t="n">
        <v>0</v>
      </c>
      <c r="M310" s="22" t="n">
        <v>0</v>
      </c>
      <c r="N310" s="22" t="n">
        <v>0</v>
      </c>
      <c r="O310" s="22" t="n">
        <v>0</v>
      </c>
      <c r="P310" s="22" t="n">
        <v>0</v>
      </c>
      <c r="Q310" s="22" t="n">
        <v>0</v>
      </c>
      <c r="R310" s="22" t="n">
        <v>0</v>
      </c>
      <c r="S310" s="22" t="n">
        <v>0</v>
      </c>
      <c r="T310" s="22" t="n">
        <v>0</v>
      </c>
      <c r="U310" s="22" t="n">
        <v>0</v>
      </c>
      <c r="V310" s="22" t="n">
        <v>0</v>
      </c>
      <c r="W310" s="22" t="n">
        <v>0</v>
      </c>
      <c r="X310" s="22" t="n">
        <v>0</v>
      </c>
      <c r="Y310" s="22" t="n">
        <v>0</v>
      </c>
      <c r="Z310" s="22" t="n">
        <v>0</v>
      </c>
      <c r="AA310" s="22" t="n">
        <v>0</v>
      </c>
      <c r="AB310" s="22" t="n">
        <v>0</v>
      </c>
      <c r="AC310" s="22" t="n">
        <v>0</v>
      </c>
      <c r="AD310" s="22" t="n">
        <v>18</v>
      </c>
      <c r="AE310" s="14" t="str">
        <v>1</v>
      </c>
      <c r="AF310" s="14" t="str">
        <v>COTENS</v>
      </c>
      <c r="AG310" s="14" t="str">
        <v>PLAN_NO_OBSERVADO</v>
      </c>
      <c r="AH310" s="14" t="str">
        <v>E</v>
      </c>
      <c r="AI310" s="14" t="str">
        <v>E</v>
      </c>
      <c r="AJ310" s="22" t="n">
        <v>0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14" t="str">
        <v>CRUCE_PERSONA_MU_2022_2026</v>
      </c>
      <c r="AP310" s="14" t="str">
        <v>PENDIENTE</v>
      </c>
      <c r="AQ310" s="14" t="str">
        <v>PLAN_NO_OBSERVADO</v>
      </c>
      <c r="AR310" s="14" t="str">
        <v>E</v>
      </c>
      <c r="AS310" s="14" t="str">
        <v>MATRIZ / PUBLICA</v>
      </c>
      <c r="AT310" s="14" t="str">
        <v>SIN_ACTIVIDAD_ANUAL; ENLACE_EXPEDIENTE_CONSERVADO</v>
      </c>
      <c r="AU310" s="14" t="n">
        <v>5</v>
      </c>
      <c r="AV310" s="14" t="n">
        <v>5</v>
      </c>
      <c r="AW310" s="14" t="str">
        <v>UNA_VERSION_OBSERVADA</v>
      </c>
      <c r="AX310" s="14" t="n">
        <v>2026</v>
      </c>
      <c r="AY310" s="14" t="str">
        <v>PUBLICA; última matrícula</v>
      </c>
    </row>
    <row r="311" ht="27" customHeight="1">
      <c r="A311" s="15" t="str">
        <v>I162S3C91J3V1</v>
      </c>
      <c r="B311" s="15" t="str">
        <v>TECNICO EN ENFERMERIA</v>
      </c>
      <c r="C311" s="15" t="str">
        <v>3</v>
      </c>
      <c r="D311" s="15" t="str">
        <v>3</v>
      </c>
      <c r="E311" s="15" t="str">
        <v>1</v>
      </c>
      <c r="F311" s="15" t="str">
        <v>Semipresencial</v>
      </c>
      <c r="G311" s="15" t="str">
        <v>Pregrado</v>
      </c>
      <c r="H311" s="15" t="str">
        <v>Plan Regular</v>
      </c>
      <c r="I311" s="23" t="str">
        <v>n.a.</v>
      </c>
      <c r="J311" s="23" t="str">
        <v>n.a.</v>
      </c>
      <c r="K311" s="24" t="n">
        <v>0</v>
      </c>
      <c r="L311" s="24" t="n">
        <v>0</v>
      </c>
      <c r="M311" s="24" t="n">
        <v>0</v>
      </c>
      <c r="N311" s="24" t="n">
        <v>0</v>
      </c>
      <c r="O311" s="24" t="n">
        <v>0</v>
      </c>
      <c r="P311" s="24" t="n">
        <v>0</v>
      </c>
      <c r="Q311" s="24" t="n">
        <v>0</v>
      </c>
      <c r="R311" s="24" t="n">
        <v>0</v>
      </c>
      <c r="S311" s="24" t="n">
        <v>0</v>
      </c>
      <c r="T311" s="24" t="n">
        <v>0</v>
      </c>
      <c r="U311" s="24" t="n">
        <v>0</v>
      </c>
      <c r="V311" s="24" t="n">
        <v>0</v>
      </c>
      <c r="W311" s="24" t="n">
        <v>0</v>
      </c>
      <c r="X311" s="24" t="n">
        <v>0</v>
      </c>
      <c r="Y311" s="24" t="n">
        <v>0</v>
      </c>
      <c r="Z311" s="24" t="n">
        <v>0</v>
      </c>
      <c r="AA311" s="24" t="n">
        <v>0</v>
      </c>
      <c r="AB311" s="24" t="n">
        <v>0</v>
      </c>
      <c r="AC311" s="24" t="n">
        <v>0</v>
      </c>
      <c r="AD311" s="24" t="n">
        <v>0</v>
      </c>
      <c r="AE311" s="15" t="str">
        <v>1</v>
      </c>
      <c r="AF311" s="15" t="str">
        <v>E</v>
      </c>
      <c r="AG311" s="15" t="str">
        <v>E: sin plan</v>
      </c>
      <c r="AH311" s="15" t="str">
        <v>E</v>
      </c>
      <c r="AI311" s="15" t="str">
        <v>E</v>
      </c>
      <c r="AJ311" s="24" t="n">
        <v>0</v>
      </c>
      <c r="AK311" s="24" t="n">
        <v>0</v>
      </c>
      <c r="AL311" s="24" t="n">
        <v>0</v>
      </c>
      <c r="AM311" s="24" t="n">
        <v>0</v>
      </c>
      <c r="AN311" s="24" t="n">
        <v>0</v>
      </c>
      <c r="AO311" s="15" t="str">
        <v>SIN_UNION</v>
      </c>
      <c r="AP311" s="15" t="str">
        <v>PENDIENTE</v>
      </c>
      <c r="AQ311" s="15" t="str">
        <v>NUEVO_2027_SIN_ALUMNOS</v>
      </c>
      <c r="AR311" s="15" t="str">
        <v>E</v>
      </c>
      <c r="AS311" s="15" t="str">
        <v>PUBLICA</v>
      </c>
      <c r="AT311" s="15" t="str">
        <v>E</v>
      </c>
      <c r="AU311" s="15" t="str">
        <v>E</v>
      </c>
      <c r="AV311" s="15" t="n">
        <v>5</v>
      </c>
      <c r="AW311" s="15" t="str">
        <v>E: sin historia pública</v>
      </c>
      <c r="AX311" s="15" t="n">
        <v>2027</v>
      </c>
      <c r="AY311" s="15" t="str">
        <v>H002; estudios no acreditados</v>
      </c>
    </row>
    <row r="312" ht="36" customHeight="1">
      <c r="A312" s="14" t="str">
        <v>I162S4C114J2V1</v>
      </c>
      <c r="B312" s="14" t="str">
        <v>TECNICO EN ENFERMERIA E INSTRUMENTACION QUIRURGICA</v>
      </c>
      <c r="C312" s="14" t="str">
        <v>4</v>
      </c>
      <c r="D312" s="14" t="str">
        <v>2</v>
      </c>
      <c r="E312" s="14" t="str">
        <v>1</v>
      </c>
      <c r="F312" s="14" t="str">
        <v>Presencial</v>
      </c>
      <c r="G312" s="14" t="str">
        <v>Pregrado</v>
      </c>
      <c r="H312" s="14" t="str">
        <v>Plan Regular</v>
      </c>
      <c r="I312" s="21" t="str">
        <v>n.a.</v>
      </c>
      <c r="J312" s="21" t="str">
        <v>n.a.</v>
      </c>
      <c r="K312" s="22" t="n">
        <v>0</v>
      </c>
      <c r="L312" s="22" t="n">
        <v>0</v>
      </c>
      <c r="M312" s="22" t="n">
        <v>0</v>
      </c>
      <c r="N312" s="22" t="n">
        <v>0</v>
      </c>
      <c r="O312" s="22" t="n">
        <v>0</v>
      </c>
      <c r="P312" s="22" t="n">
        <v>0</v>
      </c>
      <c r="Q312" s="22" t="n">
        <v>0</v>
      </c>
      <c r="R312" s="22" t="n">
        <v>0</v>
      </c>
      <c r="S312" s="22" t="n">
        <v>0</v>
      </c>
      <c r="T312" s="22" t="n">
        <v>0</v>
      </c>
      <c r="U312" s="22" t="n">
        <v>0</v>
      </c>
      <c r="V312" s="22" t="n">
        <v>0</v>
      </c>
      <c r="W312" s="22" t="n">
        <v>0</v>
      </c>
      <c r="X312" s="22" t="n">
        <v>0</v>
      </c>
      <c r="Y312" s="22" t="n">
        <v>0</v>
      </c>
      <c r="Z312" s="22" t="n">
        <v>0</v>
      </c>
      <c r="AA312" s="22" t="n">
        <v>0</v>
      </c>
      <c r="AB312" s="22" t="n">
        <v>0</v>
      </c>
      <c r="AC312" s="22" t="n">
        <v>0</v>
      </c>
      <c r="AD312" s="22" t="n">
        <v>0</v>
      </c>
      <c r="AE312" s="14" t="str">
        <v>1</v>
      </c>
      <c r="AF312" s="14" t="str">
        <v>E</v>
      </c>
      <c r="AG312" s="14" t="str">
        <v>E: sin plan</v>
      </c>
      <c r="AH312" s="14" t="str">
        <v>E</v>
      </c>
      <c r="AI312" s="14" t="str">
        <v>E</v>
      </c>
      <c r="AJ312" s="22" t="n">
        <v>0</v>
      </c>
      <c r="AK312" s="22" t="n">
        <v>0</v>
      </c>
      <c r="AL312" s="22" t="n">
        <v>0</v>
      </c>
      <c r="AM312" s="22" t="n">
        <v>0</v>
      </c>
      <c r="AN312" s="22" t="n">
        <v>0</v>
      </c>
      <c r="AO312" s="14" t="str">
        <v>SIN_UNION</v>
      </c>
      <c r="AP312" s="14" t="str">
        <v>PENDIENTE</v>
      </c>
      <c r="AQ312" s="14" t="str">
        <v>NUEVO_2027_SIN_ALUMNOS</v>
      </c>
      <c r="AR312" s="14" t="str">
        <v>E</v>
      </c>
      <c r="AS312" s="14" t="str">
        <v>PUBLICA</v>
      </c>
      <c r="AT312" s="14" t="str">
        <v>E</v>
      </c>
      <c r="AU312" s="14" t="str">
        <v>E</v>
      </c>
      <c r="AV312" s="14" t="n">
        <v>5</v>
      </c>
      <c r="AW312" s="14" t="str">
        <v>E: sin historia pública</v>
      </c>
      <c r="AX312" s="14" t="n">
        <v>2027</v>
      </c>
      <c r="AY312" s="14" t="str">
        <v>H002; estudios no acreditados</v>
      </c>
    </row>
    <row r="313" ht="27" customHeight="1">
      <c r="A313" s="15" t="str">
        <v>I162S4C115J2V1</v>
      </c>
      <c r="B313" s="15" t="str">
        <v>TECNICO EN FARMACIA</v>
      </c>
      <c r="C313" s="15" t="str">
        <v>4</v>
      </c>
      <c r="D313" s="15" t="str">
        <v>2</v>
      </c>
      <c r="E313" s="15" t="str">
        <v>1</v>
      </c>
      <c r="F313" s="15" t="str">
        <v>Presencial</v>
      </c>
      <c r="G313" s="15" t="str">
        <v>Pregrado</v>
      </c>
      <c r="H313" s="15" t="str">
        <v>Plan Regular</v>
      </c>
      <c r="I313" s="23" t="str">
        <v>n.a.</v>
      </c>
      <c r="J313" s="23" t="str">
        <v>n.a.</v>
      </c>
      <c r="K313" s="24" t="n">
        <v>0</v>
      </c>
      <c r="L313" s="24" t="n">
        <v>0</v>
      </c>
      <c r="M313" s="24" t="n">
        <v>0</v>
      </c>
      <c r="N313" s="24" t="n">
        <v>0</v>
      </c>
      <c r="O313" s="24" t="n">
        <v>0</v>
      </c>
      <c r="P313" s="24" t="n">
        <v>0</v>
      </c>
      <c r="Q313" s="24" t="n">
        <v>0</v>
      </c>
      <c r="R313" s="24" t="n">
        <v>0</v>
      </c>
      <c r="S313" s="24" t="n">
        <v>0</v>
      </c>
      <c r="T313" s="24" t="n">
        <v>0</v>
      </c>
      <c r="U313" s="24" t="n">
        <v>0</v>
      </c>
      <c r="V313" s="24" t="n">
        <v>0</v>
      </c>
      <c r="W313" s="24" t="n">
        <v>0</v>
      </c>
      <c r="X313" s="24" t="n">
        <v>0</v>
      </c>
      <c r="Y313" s="24" t="n">
        <v>0</v>
      </c>
      <c r="Z313" s="24" t="n">
        <v>0</v>
      </c>
      <c r="AA313" s="24" t="n">
        <v>0</v>
      </c>
      <c r="AB313" s="24" t="n">
        <v>0</v>
      </c>
      <c r="AC313" s="24" t="n">
        <v>0</v>
      </c>
      <c r="AD313" s="24" t="n">
        <v>0</v>
      </c>
      <c r="AE313" s="15" t="str">
        <v>1</v>
      </c>
      <c r="AF313" s="15" t="str">
        <v>E</v>
      </c>
      <c r="AG313" s="15" t="str">
        <v>E: sin plan</v>
      </c>
      <c r="AH313" s="15" t="str">
        <v>E</v>
      </c>
      <c r="AI313" s="15" t="str">
        <v>E</v>
      </c>
      <c r="AJ313" s="24" t="n">
        <v>0</v>
      </c>
      <c r="AK313" s="24" t="n">
        <v>0</v>
      </c>
      <c r="AL313" s="24" t="n">
        <v>0</v>
      </c>
      <c r="AM313" s="24" t="n">
        <v>0</v>
      </c>
      <c r="AN313" s="24" t="n">
        <v>0</v>
      </c>
      <c r="AO313" s="15" t="str">
        <v>SIN_UNION</v>
      </c>
      <c r="AP313" s="15" t="str">
        <v>PENDIENTE</v>
      </c>
      <c r="AQ313" s="15" t="str">
        <v>NUEVO_2027_SIN_ALUMNOS</v>
      </c>
      <c r="AR313" s="15" t="str">
        <v>E</v>
      </c>
      <c r="AS313" s="15" t="str">
        <v>PUBLICA</v>
      </c>
      <c r="AT313" s="15" t="str">
        <v>E</v>
      </c>
      <c r="AU313" s="15" t="str">
        <v>E</v>
      </c>
      <c r="AV313" s="15" t="n">
        <v>5</v>
      </c>
      <c r="AW313" s="15" t="str">
        <v>E: sin historia pública</v>
      </c>
      <c r="AX313" s="15" t="n">
        <v>2027</v>
      </c>
      <c r="AY313" s="15" t="str">
        <v>H002; estudios no acreditados</v>
      </c>
    </row>
    <row r="314" ht="27" customHeight="1">
      <c r="A314" s="14" t="str">
        <v>I162S4C115J3V1</v>
      </c>
      <c r="B314" s="14" t="str">
        <v>TECNICO EN FARMACIA</v>
      </c>
      <c r="C314" s="14" t="str">
        <v>4</v>
      </c>
      <c r="D314" s="14" t="str">
        <v>3</v>
      </c>
      <c r="E314" s="14" t="str">
        <v>1</v>
      </c>
      <c r="F314" s="14" t="str">
        <v>Semipresencial</v>
      </c>
      <c r="G314" s="14" t="str">
        <v>Pregrado</v>
      </c>
      <c r="H314" s="14" t="str">
        <v>Plan Regular</v>
      </c>
      <c r="I314" s="21" t="str">
        <v>n.a.</v>
      </c>
      <c r="J314" s="21" t="str">
        <v>n.a.</v>
      </c>
      <c r="K314" s="22" t="n">
        <v>0</v>
      </c>
      <c r="L314" s="22" t="n">
        <v>0</v>
      </c>
      <c r="M314" s="22" t="n">
        <v>0</v>
      </c>
      <c r="N314" s="22" t="n">
        <v>0</v>
      </c>
      <c r="O314" s="22" t="n">
        <v>0</v>
      </c>
      <c r="P314" s="22" t="n">
        <v>0</v>
      </c>
      <c r="Q314" s="22" t="n">
        <v>0</v>
      </c>
      <c r="R314" s="22" t="n">
        <v>0</v>
      </c>
      <c r="S314" s="22" t="n">
        <v>0</v>
      </c>
      <c r="T314" s="22" t="n">
        <v>0</v>
      </c>
      <c r="U314" s="22" t="n">
        <v>0</v>
      </c>
      <c r="V314" s="22" t="n">
        <v>0</v>
      </c>
      <c r="W314" s="22" t="n">
        <v>0</v>
      </c>
      <c r="X314" s="22" t="n">
        <v>0</v>
      </c>
      <c r="Y314" s="22" t="n">
        <v>0</v>
      </c>
      <c r="Z314" s="22" t="n">
        <v>0</v>
      </c>
      <c r="AA314" s="22" t="n">
        <v>0</v>
      </c>
      <c r="AB314" s="22" t="n">
        <v>0</v>
      </c>
      <c r="AC314" s="22" t="n">
        <v>0</v>
      </c>
      <c r="AD314" s="22" t="n">
        <v>0</v>
      </c>
      <c r="AE314" s="14" t="str">
        <v>1</v>
      </c>
      <c r="AF314" s="14" t="str">
        <v>E</v>
      </c>
      <c r="AG314" s="14" t="str">
        <v>E: sin plan</v>
      </c>
      <c r="AH314" s="14" t="str">
        <v>E</v>
      </c>
      <c r="AI314" s="14" t="str">
        <v>E</v>
      </c>
      <c r="AJ314" s="22" t="n">
        <v>0</v>
      </c>
      <c r="AK314" s="22" t="n">
        <v>0</v>
      </c>
      <c r="AL314" s="22" t="n">
        <v>0</v>
      </c>
      <c r="AM314" s="22" t="n">
        <v>0</v>
      </c>
      <c r="AN314" s="22" t="n">
        <v>0</v>
      </c>
      <c r="AO314" s="14" t="str">
        <v>SIN_UNION</v>
      </c>
      <c r="AP314" s="14" t="str">
        <v>PENDIENTE</v>
      </c>
      <c r="AQ314" s="14" t="str">
        <v>NUEVO_2027_SIN_ALUMNOS</v>
      </c>
      <c r="AR314" s="14" t="str">
        <v>E</v>
      </c>
      <c r="AS314" s="14" t="str">
        <v>PUBLICA</v>
      </c>
      <c r="AT314" s="14" t="str">
        <v>E</v>
      </c>
      <c r="AU314" s="14" t="str">
        <v>E</v>
      </c>
      <c r="AV314" s="14" t="n">
        <v>5</v>
      </c>
      <c r="AW314" s="14" t="str">
        <v>E: sin historia pública</v>
      </c>
      <c r="AX314" s="14" t="n">
        <v>2027</v>
      </c>
      <c r="AY314" s="14" t="str">
        <v>H002; estudios no acreditados</v>
      </c>
    </row>
    <row r="315" ht="27" customHeight="1">
      <c r="A315" s="15" t="str">
        <v>I162S4C91J2V1</v>
      </c>
      <c r="B315" s="15" t="str">
        <v>TECNICO EN ENFERMERIA</v>
      </c>
      <c r="C315" s="15" t="str">
        <v>4</v>
      </c>
      <c r="D315" s="15" t="str">
        <v>2</v>
      </c>
      <c r="E315" s="15" t="str">
        <v>1</v>
      </c>
      <c r="F315" s="15" t="str">
        <v>Presencial</v>
      </c>
      <c r="G315" s="15" t="str">
        <v>Pregrado</v>
      </c>
      <c r="H315" s="15" t="str">
        <v>Plan Regular</v>
      </c>
      <c r="I315" s="23" t="str">
        <v>n.a.</v>
      </c>
      <c r="J315" s="23" t="str">
        <v>n.a.</v>
      </c>
      <c r="K315" s="24" t="n">
        <v>0</v>
      </c>
      <c r="L315" s="24" t="n">
        <v>0</v>
      </c>
      <c r="M315" s="24" t="n">
        <v>0</v>
      </c>
      <c r="N315" s="24" t="n">
        <v>0</v>
      </c>
      <c r="O315" s="24" t="n">
        <v>0</v>
      </c>
      <c r="P315" s="24" t="n">
        <v>0</v>
      </c>
      <c r="Q315" s="24" t="n">
        <v>0</v>
      </c>
      <c r="R315" s="24" t="n">
        <v>0</v>
      </c>
      <c r="S315" s="24" t="n">
        <v>0</v>
      </c>
      <c r="T315" s="24" t="n">
        <v>0</v>
      </c>
      <c r="U315" s="24" t="n">
        <v>0</v>
      </c>
      <c r="V315" s="24" t="n">
        <v>0</v>
      </c>
      <c r="W315" s="24" t="n">
        <v>0</v>
      </c>
      <c r="X315" s="24" t="n">
        <v>0</v>
      </c>
      <c r="Y315" s="24" t="n">
        <v>0</v>
      </c>
      <c r="Z315" s="24" t="n">
        <v>0</v>
      </c>
      <c r="AA315" s="24" t="n">
        <v>0</v>
      </c>
      <c r="AB315" s="24" t="n">
        <v>0</v>
      </c>
      <c r="AC315" s="24" t="n">
        <v>0</v>
      </c>
      <c r="AD315" s="24" t="n">
        <v>0</v>
      </c>
      <c r="AE315" s="15" t="str">
        <v>1</v>
      </c>
      <c r="AF315" s="15" t="str">
        <v>E</v>
      </c>
      <c r="AG315" s="15" t="str">
        <v>E: sin plan</v>
      </c>
      <c r="AH315" s="15" t="str">
        <v>E</v>
      </c>
      <c r="AI315" s="15" t="str">
        <v>E</v>
      </c>
      <c r="AJ315" s="24" t="n">
        <v>0</v>
      </c>
      <c r="AK315" s="24" t="n">
        <v>0</v>
      </c>
      <c r="AL315" s="24" t="n">
        <v>0</v>
      </c>
      <c r="AM315" s="24" t="n">
        <v>0</v>
      </c>
      <c r="AN315" s="24" t="n">
        <v>0</v>
      </c>
      <c r="AO315" s="15" t="str">
        <v>SIN_UNION</v>
      </c>
      <c r="AP315" s="15" t="str">
        <v>PENDIENTE</v>
      </c>
      <c r="AQ315" s="15" t="str">
        <v>NUEVO_2027_SIN_ALUMNOS</v>
      </c>
      <c r="AR315" s="15" t="str">
        <v>E</v>
      </c>
      <c r="AS315" s="15" t="str">
        <v>PUBLICA</v>
      </c>
      <c r="AT315" s="15" t="str">
        <v>E</v>
      </c>
      <c r="AU315" s="15" t="str">
        <v>E</v>
      </c>
      <c r="AV315" s="15" t="n">
        <v>5</v>
      </c>
      <c r="AW315" s="15" t="str">
        <v>E: sin historia pública</v>
      </c>
      <c r="AX315" s="15" t="n">
        <v>2027</v>
      </c>
      <c r="AY315" s="15" t="str">
        <v>H002; estudios no acreditados</v>
      </c>
    </row>
  </sheetData>
  <mergeCells>
    <mergeCell ref="A2:H2"/>
    <mergeCell ref="A3:H3"/>
    <mergeCell ref="A4:H4"/>
    <mergeCell ref="A5:H5"/>
  </mergeCells>
  <printOptions headings="0" gridLines="0"/>
  <pageMargins left="0.25" right="0.25" top="0.25" bottom="0.25" header="0" footer="0"/>
  <pageSetup paperSize="8" orientation="landscape" fitToWidth="1" fitToHeight="1"/>
  <tableParts count="1">
    <tablePart ns1:id="R38fccfe5a04245b2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Pr>
    <tabColor rgb="FF102B42"/>
    <pageSetUpPr fitToPage="1"/>
  </sheetPr>
  <sheetViews>
    <sheetView showGridLines="0" workbookViewId="0">
      <pane xSplit="1" ySplit="5" topLeftCell="B6" activePane="bottomRight" state="frozen"/>
    </sheetView>
  </sheetViews>
  <sheetFormatPr defaultRowHeight="15"/>
  <cols>
    <col min="1" max="1" width="25" hidden="0" customWidth="1"/>
    <col min="2" max="2" width="54" hidden="0" customWidth="1"/>
    <col min="3" max="3" width="18" hidden="0" customWidth="1"/>
    <col min="4" max="4" width="14" hidden="0" customWidth="1"/>
    <col min="5" max="5" width="14" hidden="0" customWidth="1"/>
    <col min="6" max="6" width="14" hidden="0" customWidth="1"/>
    <col min="7" max="7" width="12" hidden="0" customWidth="1"/>
    <col min="8" max="8" width="43" hidden="0" customWidth="1"/>
    <col min="9" max="9" width="18" hidden="0" customWidth="1"/>
    <col min="10" max="10" width="12" hidden="0" customWidth="1"/>
    <col min="11" max="11" width="12" hidden="0" customWidth="1"/>
    <col min="12" max="12" width="12" hidden="0" customWidth="1"/>
    <col min="13" max="13" width="12" hidden="0" customWidth="1"/>
    <col min="14" max="14" width="12" hidden="0" customWidth="1"/>
    <col min="15" max="15" width="12" hidden="0" customWidth="1"/>
    <col min="16" max="16" width="12" hidden="0" customWidth="1"/>
    <col min="17" max="17" width="12" hidden="0" customWidth="1"/>
    <col min="18" max="18" width="12" hidden="0" customWidth="1"/>
    <col min="19" max="19" width="42" hidden="0" customWidth="1"/>
    <col min="20" max="20" width="16" hidden="0" customWidth="1"/>
    <col min="21" max="21" width="12" hidden="0" customWidth="1"/>
    <col min="22" max="22" width="12" hidden="0" customWidth="1"/>
    <col min="23" max="23" width="12" hidden="0" customWidth="1"/>
    <col min="24" max="24" width="12" hidden="0" customWidth="1"/>
    <col min="25" max="25" width="12" hidden="0" customWidth="1"/>
    <col min="26" max="26" width="12" hidden="0" customWidth="1"/>
    <col min="27" max="27" width="40" hidden="0" customWidth="1"/>
    <col min="28" max="28" width="16" hidden="0" customWidth="1"/>
    <col min="29" max="29" width="25" hidden="0" customWidth="1"/>
    <col min="30" max="30" width="20" hidden="0" customWidth="1"/>
    <col min="31" max="31" width="14" hidden="0" customWidth="1"/>
    <col min="32" max="32" width="14" hidden="0" customWidth="1"/>
    <col min="33" max="33" width="14" hidden="0" customWidth="1"/>
    <col min="34" max="34" width="14" hidden="0" customWidth="1"/>
    <col min="35" max="35" width="14" hidden="0" customWidth="1"/>
    <col min="36" max="36" width="14" hidden="0" customWidth="1"/>
    <col min="37" max="37" width="14" hidden="0" customWidth="1"/>
    <col min="38" max="38" width="14" hidden="0" customWidth="1"/>
    <col min="39" max="39" width="14" hidden="0" customWidth="1"/>
    <col min="40" max="40" width="14" hidden="0" customWidth="1"/>
    <col min="41" max="41" width="14" hidden="0" customWidth="1"/>
    <col min="42" max="42" width="14" hidden="0" customWidth="1"/>
    <col min="43" max="43" width="14" hidden="0" customWidth="1"/>
    <col min="44" max="44" width="14" hidden="0" customWidth="1"/>
    <col min="45" max="45" width="14" hidden="0" customWidth="1"/>
    <col min="46" max="46" width="14" hidden="0" customWidth="1"/>
    <col min="47" max="47" width="14" hidden="0" customWidth="1"/>
    <col min="48" max="48" width="14" hidden="0" customWidth="1"/>
    <col min="49" max="49" width="14" hidden="0" customWidth="1"/>
    <col min="50" max="50" width="15" hidden="0" customWidth="1"/>
    <col min="51" max="51" width="20" hidden="0" customWidth="1"/>
    <col min="52" max="52" width="20" hidden="0" customWidth="1"/>
    <col min="53" max="53" width="14" hidden="0" customWidth="1"/>
    <col min="54" max="54" width="14" hidden="0" customWidth="1"/>
    <col min="55" max="55" width="14" hidden="0" customWidth="1"/>
    <col min="56" max="56" width="14" hidden="0" customWidth="1"/>
    <col min="57" max="57" width="14" hidden="0" customWidth="1"/>
    <col min="58" max="58" width="14" hidden="0" customWidth="1"/>
    <col min="59" max="59" width="14" hidden="0" customWidth="1"/>
    <col min="60" max="60" width="14" hidden="0" customWidth="1"/>
    <col min="61" max="61" width="14" hidden="0" customWidth="1"/>
    <col min="62" max="62" width="14" hidden="0" customWidth="1"/>
    <col min="63" max="63" width="14" hidden="0" customWidth="1"/>
    <col min="64" max="64" width="14" hidden="0" customWidth="1"/>
    <col min="65" max="65" width="14" hidden="0" customWidth="1"/>
    <col min="66" max="66" width="14" hidden="0" customWidth="1"/>
    <col min="67" max="67" width="14" hidden="0" customWidth="1"/>
    <col min="68" max="68" width="14" hidden="0" customWidth="1"/>
    <col min="69" max="69" width="14" hidden="0" customWidth="1"/>
    <col min="70" max="70" width="14" hidden="0" customWidth="1"/>
  </cols>
  <sheetData>
    <row r="1" ht="2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32" customHeight="1">
      <c r="A2" s="16" t="str">
        <v>IPSS · Programas SIES históricos y oferta 2027</v>
      </c>
      <c r="B2" s="16"/>
      <c r="C2" s="16"/>
      <c r="D2" s="16"/>
      <c r="E2" s="16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</row>
    <row r="3" ht="56" customHeight="1">
      <c r="A3" s="13" t="str">
        <v>EN_OFERTA: código presente con vigencia 1 o 2 en oferta_anual del maestro; CON_MATRÍCULA: matrícula pública mayor que cero.</v>
      </c>
      <c r="B3" s="13" t="str">
        <v>EN_OFERTA: código presente con vigencia 1 o 2 en oferta_anual del maestro; CON_MATRÍCULA: matrícula pública mayor que cero.</v>
      </c>
      <c r="C3" s="13" t="str">
        <v>EN_OFERTA: código presente con vigencia 1 o 2 en oferta_anual del maestro; CON_MATRÍCULA: matrícula pública mayor que cero.</v>
      </c>
      <c r="D3" s="13" t="str">
        <v>EN_OFERTA: código presente con vigencia 1 o 2 en oferta_anual del maestro; CON_MATRÍCULA: matrícula pública mayor que cero.</v>
      </c>
      <c r="E3" s="13" t="str">
        <v>EN_OFERTA: código presente con vigencia 1 o 2 en oferta_anual del maestro; CON_MATRÍCULA: matrícula pública mayor que cero.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</row>
    <row r="4" ht="56" customHeight="1">
      <c r="A4" s="13" t="str">
        <v>La oferta incluye versiones sin alumnos, vigentes sólo por antiguos y diplomados sin matrícula.
2007–2009: oferta no disponible; no se representa como cero.</v>
      </c>
      <c r="B4" s="13" t="str">
        <v>La oferta incluye versiones sin alumnos, vigentes sólo por antiguos y diplomados sin matrícula.
2007–2009: oferta no disponible; no se representa como cero.</v>
      </c>
      <c r="C4" s="13" t="str">
        <v>La oferta incluye versiones sin alumnos, vigentes sólo por antiguos y diplomados sin matrícula.
2007–2009: oferta no disponible; no se representa como cero.</v>
      </c>
      <c r="D4" s="13" t="str">
        <v>La oferta incluye versiones sin alumnos, vigentes sólo por antiguos y diplomados sin matrícula.
2007–2009: oferta no disponible; no se representa como cero.</v>
      </c>
      <c r="E4" s="13" t="str">
        <v>La oferta incluye versiones sin alumnos, vigentes sólo por antiguos y diplomados sin matrícula.
2007–2009: oferta no disponible; no se representa como cero.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</row>
    <row r="5" ht="48" customHeight="1">
      <c r="A5" s="9" t="str">
        <v>Universo</v>
      </c>
      <c r="B5" s="9" t="str">
        <v>Códigos</v>
      </c>
      <c r="C5" s="15"/>
      <c r="D5" s="9" t="str">
        <v>Nivel</v>
      </c>
      <c r="E5" s="9" t="str">
        <v>Códigos</v>
      </c>
      <c r="F5" s="15"/>
      <c r="G5" s="15"/>
      <c r="H5" s="9" t="str">
        <v>Oferta histórica</v>
      </c>
      <c r="I5" s="9" t="str">
        <v>Códigos</v>
      </c>
      <c r="J5" s="15"/>
      <c r="K5" s="15"/>
      <c r="L5" s="15"/>
      <c r="M5" s="15"/>
      <c r="N5" s="15"/>
      <c r="O5" s="15"/>
      <c r="P5" s="15"/>
      <c r="Q5" s="15"/>
      <c r="R5" s="15"/>
      <c r="S5" s="9" t="str">
        <v>Estado</v>
      </c>
      <c r="T5" s="9" t="str">
        <v>Códigos</v>
      </c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9" t="str">
        <v>Año</v>
      </c>
      <c r="AY5" s="9" t="str">
        <v>Códigos activos</v>
      </c>
      <c r="AZ5" s="9" t="str">
        <v>EN_OFERTA</v>
      </c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</row>
    <row r="6" ht="36" customHeight="1">
      <c r="A6" s="14" t="str">
        <v>Con matrícula 2007–2026</v>
      </c>
      <c r="B6" s="14" t="n">
        <f>SUM(AB15:AB183)</f>
        <v>106</v>
      </c>
      <c r="C6" s="15"/>
      <c r="D6" s="14" t="str">
        <v>Postítulo/otro</v>
      </c>
      <c r="E6" s="14" t="n">
        <f>COUNTIFS(C15:C183,D6,AB15:AB183,1)</f>
        <v>8</v>
      </c>
      <c r="F6" s="15"/>
      <c r="G6" s="15"/>
      <c r="H6" s="14" t="str">
        <v>EN_OFERTA 2010–2026</v>
      </c>
      <c r="I6" s="14" t="n">
        <f>COUNTA(A201:A339)</f>
        <v>139</v>
      </c>
      <c r="J6" s="15"/>
      <c r="K6" s="15"/>
      <c r="L6" s="15"/>
      <c r="M6" s="15"/>
      <c r="N6" s="15"/>
      <c r="O6" s="15"/>
      <c r="P6" s="15"/>
      <c r="Q6" s="15"/>
      <c r="R6" s="15"/>
      <c r="S6" s="14" t="str">
        <v>APROBADA_D_2027</v>
      </c>
      <c r="T6" s="14" t="n">
        <f>COUNTIFS(AA15:AA183,S6)</f>
        <v>13</v>
      </c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4" t="str">
        <v>2007</v>
      </c>
      <c r="AY6" s="14" t="n">
        <f>COUNTIFS(G15:G183,"&gt;0")</f>
        <v>4</v>
      </c>
      <c r="AZ6" s="14" t="str">
        <v>E: sin fuente</v>
      </c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</row>
    <row r="7" ht="27" customHeight="1">
      <c r="A7" s="15" t="str">
        <v>Con matrícula 2026</v>
      </c>
      <c r="B7" s="15" t="n">
        <f>COUNTIFS(Z15:Z183,"&gt;0")</f>
        <v>66</v>
      </c>
      <c r="C7" s="15"/>
      <c r="D7" s="15" t="str">
        <v>Pregrado</v>
      </c>
      <c r="E7" s="15" t="n">
        <f>COUNTIFS(C15:C183,D7,AB15:AB183,1)</f>
        <v>98</v>
      </c>
      <c r="F7" s="15"/>
      <c r="G7" s="15"/>
      <c r="H7" s="15" t="str">
        <v>Postítulo</v>
      </c>
      <c r="I7" s="15" t="n">
        <f>COUNTIFS(C201:C339,H7)</f>
        <v>22</v>
      </c>
      <c r="J7" s="15"/>
      <c r="K7" s="15"/>
      <c r="L7" s="15"/>
      <c r="M7" s="15"/>
      <c r="N7" s="15"/>
      <c r="O7" s="15"/>
      <c r="P7" s="15"/>
      <c r="Q7" s="15"/>
      <c r="R7" s="15"/>
      <c r="S7" s="15" t="str">
        <v>CONTINUA</v>
      </c>
      <c r="T7" s="15" t="n">
        <f>COUNTIFS(AA15:AA183,S7)</f>
        <v>53</v>
      </c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 t="str">
        <v>2008</v>
      </c>
      <c r="AY7" s="15" t="n">
        <f>COUNTIFS(H15:H183,"&gt;0")</f>
        <v>8</v>
      </c>
      <c r="AZ7" s="15" t="str">
        <v>E: sin fuente</v>
      </c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</row>
    <row r="8" ht="27" customHeight="1">
      <c r="A8" s="14" t="str">
        <v>Catálogo H002 2026</v>
      </c>
      <c r="B8" s="14" t="n">
        <v>106</v>
      </c>
      <c r="C8" s="15"/>
      <c r="D8" s="15"/>
      <c r="E8" s="15"/>
      <c r="F8" s="15"/>
      <c r="G8" s="15"/>
      <c r="H8" s="14" t="str">
        <v>Pregrado</v>
      </c>
      <c r="I8" s="14" t="n">
        <f>COUNTIFS(C201:C339,H8)</f>
        <v>117</v>
      </c>
      <c r="J8" s="15"/>
      <c r="K8" s="15"/>
      <c r="L8" s="15"/>
      <c r="M8" s="15"/>
      <c r="N8" s="15"/>
      <c r="O8" s="15"/>
      <c r="P8" s="15"/>
      <c r="Q8" s="15"/>
      <c r="R8" s="15"/>
      <c r="S8" s="14" t="str">
        <v>FUERA_ALCANCE</v>
      </c>
      <c r="T8" s="14" t="n">
        <f>COUNTIFS(AA15:AA183,S8)</f>
        <v>21</v>
      </c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4" t="str">
        <v>2009</v>
      </c>
      <c r="AY8" s="14" t="n">
        <f>COUNTIFS(I15:I183,"&gt;0")</f>
        <v>8</v>
      </c>
      <c r="AZ8" s="14" t="str">
        <v>E: sin fuente</v>
      </c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</row>
    <row r="9" ht="27" customHeight="1">
      <c r="A9" s="15" t="str">
        <v>Oferta H002 2027</v>
      </c>
      <c r="B9" s="15" t="n">
        <v>161</v>
      </c>
      <c r="C9" s="15"/>
      <c r="D9" s="15"/>
      <c r="E9" s="15"/>
      <c r="F9" s="15"/>
      <c r="G9" s="15"/>
      <c r="H9" s="15" t="str">
        <v>EN_OFERTA 2026</v>
      </c>
      <c r="I9" s="15" t="n">
        <f>COUNTIFS(W201:W339,1)+COUNTIFS(W201:W339,2)</f>
        <v>124</v>
      </c>
      <c r="J9" s="15"/>
      <c r="K9" s="15"/>
      <c r="L9" s="15"/>
      <c r="M9" s="15"/>
      <c r="N9" s="15"/>
      <c r="O9" s="15"/>
      <c r="P9" s="15"/>
      <c r="Q9" s="15"/>
      <c r="R9" s="15"/>
      <c r="S9" s="15" t="str">
        <v>HISTORICO_SIN_MATRICULA_RECIENTE</v>
      </c>
      <c r="T9" s="15" t="n">
        <f>COUNTIFS(AA15:AA183,S9)</f>
        <v>6</v>
      </c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 t="str">
        <v>2010</v>
      </c>
      <c r="AY9" s="15" t="n">
        <f>COUNTIFS(J15:J183,"&gt;0")</f>
        <v>8</v>
      </c>
      <c r="AZ9" s="15" t="n">
        <f>COUNTIFS(G201:G339,1)+COUNTIFS(G201:G339,2)</f>
        <v>8</v>
      </c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</row>
    <row r="10" ht="36" customHeight="1">
      <c r="A10" s="14" t="str">
        <v>Universo unión de catálogos</v>
      </c>
      <c r="B10" s="14" t="n">
        <f>COUNTA(A15:A183)</f>
        <v>169</v>
      </c>
      <c r="C10" s="15"/>
      <c r="D10" s="15"/>
      <c r="E10" s="15"/>
      <c r="F10" s="15"/>
      <c r="G10" s="15"/>
      <c r="H10" s="14" t="str">
        <v>Sólo oferta; fuera del detalle H005</v>
      </c>
      <c r="I10" s="14" t="n">
        <f>COUNTIFS(F201:F339,0)</f>
        <v>9</v>
      </c>
      <c r="J10" s="15"/>
      <c r="K10" s="15"/>
      <c r="L10" s="15"/>
      <c r="M10" s="15"/>
      <c r="N10" s="15"/>
      <c r="O10" s="15"/>
      <c r="P10" s="15"/>
      <c r="Q10" s="15"/>
      <c r="R10" s="15"/>
      <c r="S10" s="14" t="str">
        <v>NUEVO_2027_SIN_PLAN_E</v>
      </c>
      <c r="T10" s="14" t="n">
        <f>COUNTIFS(AA15:AA183,S10)</f>
        <v>37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4" t="str">
        <v>2011</v>
      </c>
      <c r="AY10" s="14" t="n">
        <f>COUNTIFS(K15:K183,"&gt;0")</f>
        <v>8</v>
      </c>
      <c r="AZ10" s="14" t="n">
        <f>COUNTIFS(H201:H339,1)+COUNTIFS(H201:H339,2)</f>
        <v>8</v>
      </c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</row>
    <row r="11" ht="36" customHeight="1">
      <c r="A11" s="15" t="str">
        <v>Solo matrícula anterior a 2022</v>
      </c>
      <c r="B11" s="15" t="n">
        <f>SUM(AD15:AD183)</f>
        <v>23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 t="str">
        <v>VERSION_MULTIPLE_RESUELTA</v>
      </c>
      <c r="T11" s="15" t="n">
        <f>COUNTIFS(AA15:AA183,S11)</f>
        <v>31</v>
      </c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 t="str">
        <v>2012</v>
      </c>
      <c r="AY11" s="15" t="n">
        <f>COUNTIFS(L15:L183,"&gt;0")</f>
        <v>8</v>
      </c>
      <c r="AZ11" s="15" t="n">
        <f>COUNTIFS(I201:I339,1)+COUNTIFS(I201:I339,2)</f>
        <v>8</v>
      </c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</row>
    <row r="12" ht="27" customHeight="1">
      <c r="A12" s="13" t="str">
        <v>Detalle H005 A14; vigencias por año AE14; oferta completa A200; serie y gráfico AX5. n.a. = no observado en esa oferta, no cierre.</v>
      </c>
      <c r="B12" s="13" t="str">
        <v>Detalle H005 A14; vigencias por año AE14; oferta completa A200; serie y gráfico AX5. n.a. = no observado en esa oferta, no cierre.</v>
      </c>
      <c r="C12" s="13" t="str">
        <v>Detalle H005 A14; vigencias por año AE14; oferta completa A200; serie y gráfico AX5. n.a. = no observado en esa oferta, no cierre.</v>
      </c>
      <c r="D12" s="13" t="str">
        <v>Detalle H005 A14; vigencias por año AE14; oferta completa A200; serie y gráfico AX5. n.a. = no observado en esa oferta, no cierre.</v>
      </c>
      <c r="E12" s="13" t="str">
        <v>Detalle H005 A14; vigencias por año AE14; oferta completa A200; serie y gráfico AX5. n.a. = no observado en esa oferta, no cierre.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4" t="str">
        <v>2013</v>
      </c>
      <c r="AY12" s="14" t="n">
        <f>COUNTIFS(M15:M183,"&gt;0")</f>
        <v>12</v>
      </c>
      <c r="AZ12" s="14" t="n">
        <f>COUNTIFS(J201:J339,1)+COUNTIFS(J201:J339,2)</f>
        <v>14</v>
      </c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</row>
    <row r="13" ht="27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 t="str">
        <v>2014</v>
      </c>
      <c r="AY13" s="15" t="n">
        <f>COUNTIFS(N15:N183,"&gt;0")</f>
        <v>13</v>
      </c>
      <c r="AZ13" s="15" t="n">
        <f>COUNTIFS(K201:K339,1)+COUNTIFS(K201:K339,2)</f>
        <v>20</v>
      </c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</row>
    <row r="14" ht="27" customHeight="1">
      <c r="A14" s="9" t="str">
        <v>Código SIES</v>
      </c>
      <c r="B14" s="9" t="str">
        <v>Carrera SIES</v>
      </c>
      <c r="C14" s="9" t="str">
        <v>Nivel</v>
      </c>
      <c r="D14" s="9" t="str">
        <v>Primer año</v>
      </c>
      <c r="E14" s="9" t="str">
        <v>Último año</v>
      </c>
      <c r="F14" s="9" t="str">
        <v>Años activos</v>
      </c>
      <c r="G14" s="9" t="str">
        <v>2007</v>
      </c>
      <c r="H14" s="9" t="str">
        <v>2008</v>
      </c>
      <c r="I14" s="9" t="str">
        <v>2009</v>
      </c>
      <c r="J14" s="9" t="str">
        <v>2010</v>
      </c>
      <c r="K14" s="9" t="str">
        <v>2011</v>
      </c>
      <c r="L14" s="9" t="str">
        <v>2012</v>
      </c>
      <c r="M14" s="9" t="str">
        <v>2013</v>
      </c>
      <c r="N14" s="9" t="str">
        <v>2014</v>
      </c>
      <c r="O14" s="9" t="str">
        <v>2015</v>
      </c>
      <c r="P14" s="9" t="str">
        <v>2016</v>
      </c>
      <c r="Q14" s="9" t="str">
        <v>2017</v>
      </c>
      <c r="R14" s="9" t="str">
        <v>2018</v>
      </c>
      <c r="S14" s="9" t="str">
        <v>2019</v>
      </c>
      <c r="T14" s="9" t="str">
        <v>2020</v>
      </c>
      <c r="U14" s="9" t="str">
        <v>2021</v>
      </c>
      <c r="V14" s="9" t="str">
        <v>2022</v>
      </c>
      <c r="W14" s="9" t="str">
        <v>2023</v>
      </c>
      <c r="X14" s="9" t="str">
        <v>2024</v>
      </c>
      <c r="Y14" s="9" t="str">
        <v>2025</v>
      </c>
      <c r="Z14" s="9" t="str">
        <v>2026</v>
      </c>
      <c r="AA14" s="9" t="str">
        <v>Estado H002 2027</v>
      </c>
      <c r="AB14" s="9" t="str">
        <v>Con historia (1/0)</v>
      </c>
      <c r="AC14" s="9" t="str">
        <v>Fuente (ID)</v>
      </c>
      <c r="AD14" s="9" t="str">
        <v>Solo antes de 2022 (1/0)</v>
      </c>
      <c r="AE14" s="9" t="str">
        <v>Vigencia 2010</v>
      </c>
      <c r="AF14" s="9" t="str">
        <v>Vigencia 2011</v>
      </c>
      <c r="AG14" s="9" t="str">
        <v>Vigencia 2012</v>
      </c>
      <c r="AH14" s="9" t="str">
        <v>Vigencia 2013</v>
      </c>
      <c r="AI14" s="9" t="str">
        <v>Vigencia 2014</v>
      </c>
      <c r="AJ14" s="9" t="str">
        <v>Vigencia 2015</v>
      </c>
      <c r="AK14" s="9" t="str">
        <v>Vigencia 2016</v>
      </c>
      <c r="AL14" s="9" t="str">
        <v>Vigencia 2017</v>
      </c>
      <c r="AM14" s="9" t="str">
        <v>Vigencia 2018</v>
      </c>
      <c r="AN14" s="9" t="str">
        <v>Vigencia 2019</v>
      </c>
      <c r="AO14" s="9" t="str">
        <v>Vigencia 2020</v>
      </c>
      <c r="AP14" s="9" t="str">
        <v>Vigencia 2021</v>
      </c>
      <c r="AQ14" s="9" t="str">
        <v>Vigencia 2022</v>
      </c>
      <c r="AR14" s="9" t="str">
        <v>Vigencia 2023</v>
      </c>
      <c r="AS14" s="9" t="str">
        <v>Vigencia 2024</v>
      </c>
      <c r="AT14" s="9" t="str">
        <v>Vigencia 2025</v>
      </c>
      <c r="AU14" s="9" t="str">
        <v>Vigencia 2026</v>
      </c>
      <c r="AV14" s="15"/>
      <c r="AW14" s="15"/>
      <c r="AX14" s="14" t="str">
        <v>2015</v>
      </c>
      <c r="AY14" s="14" t="n">
        <f>COUNTIFS(O15:O183,"&gt;0")</f>
        <v>14</v>
      </c>
      <c r="AZ14" s="14" t="n">
        <f>COUNTIFS(L201:L339,1)+COUNTIFS(L201:L339,2)</f>
        <v>16</v>
      </c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</row>
    <row r="15" ht="36" customHeight="1">
      <c r="A15" s="14" t="str">
        <v>I162M2008N1</v>
      </c>
      <c r="B15" s="14" t="str">
        <v>CONSTRUCCION Y ADMINISTRACION DE REDES DE COMUNICACIONES</v>
      </c>
      <c r="C15" s="14" t="str">
        <v>Pregrado</v>
      </c>
      <c r="D15" s="21" t="n">
        <v>2008</v>
      </c>
      <c r="E15" s="21" t="n">
        <v>2008</v>
      </c>
      <c r="F15" s="14" t="n">
        <v>1</v>
      </c>
      <c r="G15" s="22" t="n">
        <v>0</v>
      </c>
      <c r="H15" s="22" t="n">
        <v>69</v>
      </c>
      <c r="I15" s="22" t="n">
        <v>0</v>
      </c>
      <c r="J15" s="22" t="n">
        <v>0</v>
      </c>
      <c r="K15" s="22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2" t="n">
        <v>0</v>
      </c>
      <c r="T15" s="22" t="n">
        <v>0</v>
      </c>
      <c r="U15" s="22" t="n">
        <v>0</v>
      </c>
      <c r="V15" s="22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14" t="str">
        <v>SIN_OFERTA_2027</v>
      </c>
      <c r="AB15" s="14" t="n">
        <v>1</v>
      </c>
      <c r="AC15" s="14" t="str">
        <v>PUBLICA; H002</v>
      </c>
      <c r="AD15" s="14" t="n">
        <v>1</v>
      </c>
      <c r="AE15" s="14" t="str">
        <v>n.a.</v>
      </c>
      <c r="AF15" s="14" t="str">
        <v>n.a.</v>
      </c>
      <c r="AG15" s="14" t="str">
        <v>n.a.</v>
      </c>
      <c r="AH15" s="14" t="str">
        <v>n.a.</v>
      </c>
      <c r="AI15" s="14" t="str">
        <v>n.a.</v>
      </c>
      <c r="AJ15" s="14" t="str">
        <v>n.a.</v>
      </c>
      <c r="AK15" s="14" t="str">
        <v>n.a.</v>
      </c>
      <c r="AL15" s="14" t="str">
        <v>n.a.</v>
      </c>
      <c r="AM15" s="14" t="str">
        <v>n.a.</v>
      </c>
      <c r="AN15" s="14" t="str">
        <v>n.a.</v>
      </c>
      <c r="AO15" s="14" t="str">
        <v>n.a.</v>
      </c>
      <c r="AP15" s="14" t="str">
        <v>n.a.</v>
      </c>
      <c r="AQ15" s="14" t="str">
        <v>n.a.</v>
      </c>
      <c r="AR15" s="14" t="str">
        <v>n.a.</v>
      </c>
      <c r="AS15" s="14" t="str">
        <v>n.a.</v>
      </c>
      <c r="AT15" s="14" t="str">
        <v>n.a.</v>
      </c>
      <c r="AU15" s="14" t="str">
        <v>n.a.</v>
      </c>
      <c r="AV15" s="15"/>
      <c r="AW15" s="15"/>
      <c r="AX15" s="15" t="str">
        <v>2016</v>
      </c>
      <c r="AY15" s="15" t="n">
        <f>COUNTIFS(P15:P183,"&gt;0")</f>
        <v>16</v>
      </c>
      <c r="AZ15" s="15" t="n">
        <f>COUNTIFS(M201:M339,1)+COUNTIFS(M201:M339,2)</f>
        <v>18</v>
      </c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</row>
    <row r="16" ht="36" customHeight="1">
      <c r="A16" s="15" t="str">
        <v>I162M2008N3</v>
      </c>
      <c r="B16" s="15" t="str">
        <v>CONSTRUCCION Y ADMINISTRACION DE REDES DE COMUNICACIONES</v>
      </c>
      <c r="C16" s="15" t="str">
        <v>Pregrado</v>
      </c>
      <c r="D16" s="23" t="n">
        <v>2008</v>
      </c>
      <c r="E16" s="23" t="n">
        <v>2008</v>
      </c>
      <c r="F16" s="15" t="n">
        <v>1</v>
      </c>
      <c r="G16" s="24" t="n">
        <v>0</v>
      </c>
      <c r="H16" s="24" t="n">
        <v>265</v>
      </c>
      <c r="I16" s="24" t="n">
        <v>0</v>
      </c>
      <c r="J16" s="24" t="n">
        <v>0</v>
      </c>
      <c r="K16" s="24" t="n">
        <v>0</v>
      </c>
      <c r="L16" s="24" t="n">
        <v>0</v>
      </c>
      <c r="M16" s="24" t="n">
        <v>0</v>
      </c>
      <c r="N16" s="24" t="n">
        <v>0</v>
      </c>
      <c r="O16" s="24" t="n">
        <v>0</v>
      </c>
      <c r="P16" s="24" t="n">
        <v>0</v>
      </c>
      <c r="Q16" s="24" t="n">
        <v>0</v>
      </c>
      <c r="R16" s="24" t="n">
        <v>0</v>
      </c>
      <c r="S16" s="24" t="n">
        <v>0</v>
      </c>
      <c r="T16" s="24" t="n">
        <v>0</v>
      </c>
      <c r="U16" s="24" t="n">
        <v>0</v>
      </c>
      <c r="V16" s="24" t="n">
        <v>0</v>
      </c>
      <c r="W16" s="24" t="n">
        <v>0</v>
      </c>
      <c r="X16" s="24" t="n">
        <v>0</v>
      </c>
      <c r="Y16" s="24" t="n">
        <v>0</v>
      </c>
      <c r="Z16" s="24" t="n">
        <v>0</v>
      </c>
      <c r="AA16" s="15" t="str">
        <v>SIN_OFERTA_2027</v>
      </c>
      <c r="AB16" s="15" t="n">
        <v>1</v>
      </c>
      <c r="AC16" s="15" t="str">
        <v>PUBLICA; H002</v>
      </c>
      <c r="AD16" s="15" t="n">
        <v>1</v>
      </c>
      <c r="AE16" s="15" t="str">
        <v>n.a.</v>
      </c>
      <c r="AF16" s="15" t="str">
        <v>n.a.</v>
      </c>
      <c r="AG16" s="15" t="str">
        <v>n.a.</v>
      </c>
      <c r="AH16" s="15" t="str">
        <v>n.a.</v>
      </c>
      <c r="AI16" s="15" t="str">
        <v>n.a.</v>
      </c>
      <c r="AJ16" s="15" t="str">
        <v>n.a.</v>
      </c>
      <c r="AK16" s="15" t="str">
        <v>n.a.</v>
      </c>
      <c r="AL16" s="15" t="str">
        <v>n.a.</v>
      </c>
      <c r="AM16" s="15" t="str">
        <v>n.a.</v>
      </c>
      <c r="AN16" s="15" t="str">
        <v>n.a.</v>
      </c>
      <c r="AO16" s="15" t="str">
        <v>n.a.</v>
      </c>
      <c r="AP16" s="15" t="str">
        <v>n.a.</v>
      </c>
      <c r="AQ16" s="15" t="str">
        <v>n.a.</v>
      </c>
      <c r="AR16" s="15" t="str">
        <v>n.a.</v>
      </c>
      <c r="AS16" s="15" t="str">
        <v>n.a.</v>
      </c>
      <c r="AT16" s="15" t="str">
        <v>n.a.</v>
      </c>
      <c r="AU16" s="15" t="str">
        <v>n.a.</v>
      </c>
      <c r="AV16" s="15"/>
      <c r="AW16" s="15"/>
      <c r="AX16" s="14" t="str">
        <v>2017</v>
      </c>
      <c r="AY16" s="14" t="n">
        <f>COUNTIFS(Q15:Q183,"&gt;0")</f>
        <v>18</v>
      </c>
      <c r="AZ16" s="14" t="n">
        <f>COUNTIFS(N201:N339,1)+COUNTIFS(N201:N339,2)</f>
        <v>23</v>
      </c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</row>
    <row r="17" ht="36" customHeight="1">
      <c r="A17" s="14" t="str">
        <v>I162S2C101J4V1</v>
      </c>
      <c r="B17" s="14" t="str">
        <v>DIPLOMADO EN SALUD FAMILIAR CON ENFOQUE COMUNITARIO</v>
      </c>
      <c r="C17" s="14" t="str">
        <v>Postítulo/otro</v>
      </c>
      <c r="D17" s="21" t="str">
        <v>n.a.</v>
      </c>
      <c r="E17" s="21" t="str">
        <v>n.a.</v>
      </c>
      <c r="F17" s="14" t="n">
        <v>0</v>
      </c>
      <c r="G17" s="22" t="n">
        <v>0</v>
      </c>
      <c r="H17" s="22" t="n">
        <v>0</v>
      </c>
      <c r="I17" s="22" t="n">
        <v>0</v>
      </c>
      <c r="J17" s="22" t="n">
        <v>0</v>
      </c>
      <c r="K17" s="22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0</v>
      </c>
      <c r="R17" s="22" t="n">
        <v>0</v>
      </c>
      <c r="S17" s="22" t="n">
        <v>0</v>
      </c>
      <c r="T17" s="22" t="n">
        <v>0</v>
      </c>
      <c r="U17" s="22" t="n">
        <v>0</v>
      </c>
      <c r="V17" s="22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14" t="str">
        <v>FUERA_ALCANCE</v>
      </c>
      <c r="AB17" s="14" t="n">
        <v>0</v>
      </c>
      <c r="AC17" s="14" t="str">
        <v>PUBLICA; H002</v>
      </c>
      <c r="AD17" s="14" t="n">
        <v>0</v>
      </c>
      <c r="AE17" s="14" t="str">
        <v>n.a.</v>
      </c>
      <c r="AF17" s="14" t="str">
        <v>n.a.</v>
      </c>
      <c r="AG17" s="14" t="str">
        <v>n.a.</v>
      </c>
      <c r="AH17" s="14" t="str">
        <v>n.a.</v>
      </c>
      <c r="AI17" s="14" t="str">
        <v>n.a.</v>
      </c>
      <c r="AJ17" s="14" t="str">
        <v>n.a.</v>
      </c>
      <c r="AK17" s="14" t="str">
        <v>n.a.</v>
      </c>
      <c r="AL17" s="14" t="str">
        <v>n.a.</v>
      </c>
      <c r="AM17" s="14" t="str">
        <v>n.a.</v>
      </c>
      <c r="AN17" s="14" t="str">
        <v>n.a.</v>
      </c>
      <c r="AO17" s="14" t="str">
        <v>n.a.</v>
      </c>
      <c r="AP17" s="14" t="str">
        <v>n.a.</v>
      </c>
      <c r="AQ17" s="14" t="str">
        <v>n.a.</v>
      </c>
      <c r="AR17" s="14" t="str">
        <v>n.a.</v>
      </c>
      <c r="AS17" s="14" t="str">
        <v>n.a.</v>
      </c>
      <c r="AT17" s="14" t="n">
        <v>1</v>
      </c>
      <c r="AU17" s="14" t="n">
        <v>1</v>
      </c>
      <c r="AV17" s="15"/>
      <c r="AW17" s="15"/>
      <c r="AX17" s="15" t="str">
        <v>2018</v>
      </c>
      <c r="AY17" s="15" t="n">
        <f>COUNTIFS(R15:R183,"&gt;0")</f>
        <v>24</v>
      </c>
      <c r="AZ17" s="15" t="n">
        <f>COUNTIFS(O201:O339,1)+COUNTIFS(O201:O339,2)</f>
        <v>28</v>
      </c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</row>
    <row r="18" ht="27" customHeight="1">
      <c r="A18" s="15" t="str">
        <v>I162S2C102J4V1</v>
      </c>
      <c r="B18" s="15" t="str">
        <v>DIPLOMADO SALUD CON FOCO EN MIGRACION</v>
      </c>
      <c r="C18" s="15" t="str">
        <v>Postítulo/otro</v>
      </c>
      <c r="D18" s="23" t="str">
        <v>n.a.</v>
      </c>
      <c r="E18" s="23" t="str">
        <v>n.a.</v>
      </c>
      <c r="F18" s="15" t="n">
        <v>0</v>
      </c>
      <c r="G18" s="24" t="n">
        <v>0</v>
      </c>
      <c r="H18" s="24" t="n">
        <v>0</v>
      </c>
      <c r="I18" s="24" t="n">
        <v>0</v>
      </c>
      <c r="J18" s="24" t="n">
        <v>0</v>
      </c>
      <c r="K18" s="24" t="n">
        <v>0</v>
      </c>
      <c r="L18" s="24" t="n">
        <v>0</v>
      </c>
      <c r="M18" s="24" t="n">
        <v>0</v>
      </c>
      <c r="N18" s="24" t="n">
        <v>0</v>
      </c>
      <c r="O18" s="24" t="n">
        <v>0</v>
      </c>
      <c r="P18" s="24" t="n">
        <v>0</v>
      </c>
      <c r="Q18" s="24" t="n">
        <v>0</v>
      </c>
      <c r="R18" s="24" t="n">
        <v>0</v>
      </c>
      <c r="S18" s="24" t="n">
        <v>0</v>
      </c>
      <c r="T18" s="24" t="n">
        <v>0</v>
      </c>
      <c r="U18" s="24" t="n">
        <v>0</v>
      </c>
      <c r="V18" s="24" t="n">
        <v>0</v>
      </c>
      <c r="W18" s="24" t="n">
        <v>0</v>
      </c>
      <c r="X18" s="24" t="n">
        <v>0</v>
      </c>
      <c r="Y18" s="24" t="n">
        <v>0</v>
      </c>
      <c r="Z18" s="24" t="n">
        <v>0</v>
      </c>
      <c r="AA18" s="15" t="str">
        <v>FUERA_ALCANCE</v>
      </c>
      <c r="AB18" s="15" t="n">
        <v>0</v>
      </c>
      <c r="AC18" s="15" t="str">
        <v>PUBLICA; H002</v>
      </c>
      <c r="AD18" s="15" t="n">
        <v>0</v>
      </c>
      <c r="AE18" s="15" t="str">
        <v>n.a.</v>
      </c>
      <c r="AF18" s="15" t="str">
        <v>n.a.</v>
      </c>
      <c r="AG18" s="15" t="str">
        <v>n.a.</v>
      </c>
      <c r="AH18" s="15" t="str">
        <v>n.a.</v>
      </c>
      <c r="AI18" s="15" t="str">
        <v>n.a.</v>
      </c>
      <c r="AJ18" s="15" t="str">
        <v>n.a.</v>
      </c>
      <c r="AK18" s="15" t="str">
        <v>n.a.</v>
      </c>
      <c r="AL18" s="15" t="str">
        <v>n.a.</v>
      </c>
      <c r="AM18" s="15" t="str">
        <v>n.a.</v>
      </c>
      <c r="AN18" s="15" t="str">
        <v>n.a.</v>
      </c>
      <c r="AO18" s="15" t="str">
        <v>n.a.</v>
      </c>
      <c r="AP18" s="15" t="str">
        <v>n.a.</v>
      </c>
      <c r="AQ18" s="15" t="str">
        <v>n.a.</v>
      </c>
      <c r="AR18" s="15" t="str">
        <v>n.a.</v>
      </c>
      <c r="AS18" s="15" t="str">
        <v>n.a.</v>
      </c>
      <c r="AT18" s="15" t="n">
        <v>1</v>
      </c>
      <c r="AU18" s="15" t="n">
        <v>1</v>
      </c>
      <c r="AV18" s="15"/>
      <c r="AW18" s="15"/>
      <c r="AX18" s="14" t="str">
        <v>2019</v>
      </c>
      <c r="AY18" s="14" t="n">
        <f>COUNTIFS(S15:S183,"&gt;0")</f>
        <v>45</v>
      </c>
      <c r="AZ18" s="14" t="n">
        <f>COUNTIFS(P201:P339,1)+COUNTIFS(P201:P339,2)</f>
        <v>53</v>
      </c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</row>
    <row r="19" ht="36" customHeight="1">
      <c r="A19" s="14" t="str">
        <v>I162S2C103J4V1</v>
      </c>
      <c r="B19" s="14" t="str">
        <v>DIPLOMADO ABORDAJE INTEGRAL DE LA VIOLENCIA DE GENERO EN ATENCION PRIMARIA DE SALUD</v>
      </c>
      <c r="C19" s="14" t="str">
        <v>Postítulo/otro</v>
      </c>
      <c r="D19" s="21" t="str">
        <v>n.a.</v>
      </c>
      <c r="E19" s="21" t="str">
        <v>n.a.</v>
      </c>
      <c r="F19" s="14" t="n">
        <v>0</v>
      </c>
      <c r="G19" s="22" t="n">
        <v>0</v>
      </c>
      <c r="H19" s="22" t="n">
        <v>0</v>
      </c>
      <c r="I19" s="22" t="n">
        <v>0</v>
      </c>
      <c r="J19" s="22" t="n">
        <v>0</v>
      </c>
      <c r="K19" s="22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14" t="str">
        <v>FUERA_ALCANCE</v>
      </c>
      <c r="AB19" s="14" t="n">
        <v>0</v>
      </c>
      <c r="AC19" s="14" t="str">
        <v>PUBLICA; H002</v>
      </c>
      <c r="AD19" s="14" t="n">
        <v>0</v>
      </c>
      <c r="AE19" s="14" t="str">
        <v>n.a.</v>
      </c>
      <c r="AF19" s="14" t="str">
        <v>n.a.</v>
      </c>
      <c r="AG19" s="14" t="str">
        <v>n.a.</v>
      </c>
      <c r="AH19" s="14" t="str">
        <v>n.a.</v>
      </c>
      <c r="AI19" s="14" t="str">
        <v>n.a.</v>
      </c>
      <c r="AJ19" s="14" t="str">
        <v>n.a.</v>
      </c>
      <c r="AK19" s="14" t="str">
        <v>n.a.</v>
      </c>
      <c r="AL19" s="14" t="str">
        <v>n.a.</v>
      </c>
      <c r="AM19" s="14" t="str">
        <v>n.a.</v>
      </c>
      <c r="AN19" s="14" t="str">
        <v>n.a.</v>
      </c>
      <c r="AO19" s="14" t="str">
        <v>n.a.</v>
      </c>
      <c r="AP19" s="14" t="str">
        <v>n.a.</v>
      </c>
      <c r="AQ19" s="14" t="str">
        <v>n.a.</v>
      </c>
      <c r="AR19" s="14" t="str">
        <v>n.a.</v>
      </c>
      <c r="AS19" s="14" t="str">
        <v>n.a.</v>
      </c>
      <c r="AT19" s="14" t="n">
        <v>1</v>
      </c>
      <c r="AU19" s="14" t="n">
        <v>1</v>
      </c>
      <c r="AV19" s="15"/>
      <c r="AW19" s="15"/>
      <c r="AX19" s="15" t="str">
        <v>2020</v>
      </c>
      <c r="AY19" s="15" t="n">
        <f>COUNTIFS(T15:T183,"&gt;0")</f>
        <v>48</v>
      </c>
      <c r="AZ19" s="15" t="n">
        <f>COUNTIFS(Q201:Q339,1)+COUNTIFS(Q201:Q339,2)</f>
        <v>58</v>
      </c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</row>
    <row r="20" ht="27" customHeight="1">
      <c r="A20" s="15" t="str">
        <v>I162S2C104J4V1</v>
      </c>
      <c r="B20" s="15" t="str">
        <v>DIPLOMADO EN INNOVACION PARA LA DOCENCIA</v>
      </c>
      <c r="C20" s="15" t="str">
        <v>Postítulo/otro</v>
      </c>
      <c r="D20" s="23" t="str">
        <v>n.a.</v>
      </c>
      <c r="E20" s="23" t="str">
        <v>n.a.</v>
      </c>
      <c r="F20" s="15" t="n">
        <v>0</v>
      </c>
      <c r="G20" s="24" t="n">
        <v>0</v>
      </c>
      <c r="H20" s="24" t="n">
        <v>0</v>
      </c>
      <c r="I20" s="24" t="n">
        <v>0</v>
      </c>
      <c r="J20" s="24" t="n">
        <v>0</v>
      </c>
      <c r="K20" s="24" t="n">
        <v>0</v>
      </c>
      <c r="L20" s="24" t="n">
        <v>0</v>
      </c>
      <c r="M20" s="24" t="n">
        <v>0</v>
      </c>
      <c r="N20" s="24" t="n">
        <v>0</v>
      </c>
      <c r="O20" s="24" t="n">
        <v>0</v>
      </c>
      <c r="P20" s="24" t="n">
        <v>0</v>
      </c>
      <c r="Q20" s="24" t="n">
        <v>0</v>
      </c>
      <c r="R20" s="24" t="n">
        <v>0</v>
      </c>
      <c r="S20" s="24" t="n">
        <v>0</v>
      </c>
      <c r="T20" s="24" t="n">
        <v>0</v>
      </c>
      <c r="U20" s="24" t="n">
        <v>0</v>
      </c>
      <c r="V20" s="24" t="n">
        <v>0</v>
      </c>
      <c r="W20" s="24" t="n">
        <v>0</v>
      </c>
      <c r="X20" s="24" t="n">
        <v>0</v>
      </c>
      <c r="Y20" s="24" t="n">
        <v>0</v>
      </c>
      <c r="Z20" s="24" t="n">
        <v>0</v>
      </c>
      <c r="AA20" s="15" t="str">
        <v>FUERA_ALCANCE</v>
      </c>
      <c r="AB20" s="15" t="n">
        <v>0</v>
      </c>
      <c r="AC20" s="15" t="str">
        <v>PUBLICA; H002</v>
      </c>
      <c r="AD20" s="15" t="n">
        <v>0</v>
      </c>
      <c r="AE20" s="15" t="str">
        <v>n.a.</v>
      </c>
      <c r="AF20" s="15" t="str">
        <v>n.a.</v>
      </c>
      <c r="AG20" s="15" t="str">
        <v>n.a.</v>
      </c>
      <c r="AH20" s="15" t="str">
        <v>n.a.</v>
      </c>
      <c r="AI20" s="15" t="str">
        <v>n.a.</v>
      </c>
      <c r="AJ20" s="15" t="str">
        <v>n.a.</v>
      </c>
      <c r="AK20" s="15" t="str">
        <v>n.a.</v>
      </c>
      <c r="AL20" s="15" t="str">
        <v>n.a.</v>
      </c>
      <c r="AM20" s="15" t="str">
        <v>n.a.</v>
      </c>
      <c r="AN20" s="15" t="str">
        <v>n.a.</v>
      </c>
      <c r="AO20" s="15" t="str">
        <v>n.a.</v>
      </c>
      <c r="AP20" s="15" t="str">
        <v>n.a.</v>
      </c>
      <c r="AQ20" s="15" t="str">
        <v>n.a.</v>
      </c>
      <c r="AR20" s="15" t="str">
        <v>n.a.</v>
      </c>
      <c r="AS20" s="15" t="str">
        <v>n.a.</v>
      </c>
      <c r="AT20" s="15" t="n">
        <v>1</v>
      </c>
      <c r="AU20" s="15" t="n">
        <v>1</v>
      </c>
      <c r="AV20" s="15"/>
      <c r="AW20" s="15"/>
      <c r="AX20" s="14" t="str">
        <v>2021</v>
      </c>
      <c r="AY20" s="14" t="n">
        <f>COUNTIFS(U15:U183,"&gt;0")</f>
        <v>46</v>
      </c>
      <c r="AZ20" s="14" t="n">
        <f>COUNTIFS(R201:R339,1)+COUNTIFS(R201:R339,2)</f>
        <v>59</v>
      </c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</row>
    <row r="21" ht="27" customHeight="1">
      <c r="A21" s="14" t="str">
        <v>I162S2C105J4V1</v>
      </c>
      <c r="B21" s="14" t="str">
        <v>DIPLOMADO EN HUMANIZACION EN SALUD</v>
      </c>
      <c r="C21" s="14" t="str">
        <v>Postítulo/otro</v>
      </c>
      <c r="D21" s="21" t="str">
        <v>n.a.</v>
      </c>
      <c r="E21" s="21" t="str">
        <v>n.a.</v>
      </c>
      <c r="F21" s="14" t="n">
        <v>0</v>
      </c>
      <c r="G21" s="22" t="n">
        <v>0</v>
      </c>
      <c r="H21" s="22" t="n">
        <v>0</v>
      </c>
      <c r="I21" s="22" t="n">
        <v>0</v>
      </c>
      <c r="J21" s="22" t="n">
        <v>0</v>
      </c>
      <c r="K21" s="22" t="n">
        <v>0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2" t="n">
        <v>0</v>
      </c>
      <c r="R21" s="22" t="n">
        <v>0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0</v>
      </c>
      <c r="X21" s="22" t="n">
        <v>0</v>
      </c>
      <c r="Y21" s="22" t="n">
        <v>0</v>
      </c>
      <c r="Z21" s="22" t="n">
        <v>0</v>
      </c>
      <c r="AA21" s="14" t="str">
        <v>FUERA_ALCANCE</v>
      </c>
      <c r="AB21" s="14" t="n">
        <v>0</v>
      </c>
      <c r="AC21" s="14" t="str">
        <v>PUBLICA; H002</v>
      </c>
      <c r="AD21" s="14" t="n">
        <v>0</v>
      </c>
      <c r="AE21" s="14" t="str">
        <v>n.a.</v>
      </c>
      <c r="AF21" s="14" t="str">
        <v>n.a.</v>
      </c>
      <c r="AG21" s="14" t="str">
        <v>n.a.</v>
      </c>
      <c r="AH21" s="14" t="str">
        <v>n.a.</v>
      </c>
      <c r="AI21" s="14" t="str">
        <v>n.a.</v>
      </c>
      <c r="AJ21" s="14" t="str">
        <v>n.a.</v>
      </c>
      <c r="AK21" s="14" t="str">
        <v>n.a.</v>
      </c>
      <c r="AL21" s="14" t="str">
        <v>n.a.</v>
      </c>
      <c r="AM21" s="14" t="str">
        <v>n.a.</v>
      </c>
      <c r="AN21" s="14" t="str">
        <v>n.a.</v>
      </c>
      <c r="AO21" s="14" t="str">
        <v>n.a.</v>
      </c>
      <c r="AP21" s="14" t="str">
        <v>n.a.</v>
      </c>
      <c r="AQ21" s="14" t="str">
        <v>n.a.</v>
      </c>
      <c r="AR21" s="14" t="str">
        <v>n.a.</v>
      </c>
      <c r="AS21" s="14" t="str">
        <v>n.a.</v>
      </c>
      <c r="AT21" s="14" t="n">
        <v>1</v>
      </c>
      <c r="AU21" s="14" t="n">
        <v>1</v>
      </c>
      <c r="AV21" s="15"/>
      <c r="AW21" s="15"/>
      <c r="AX21" s="15" t="str">
        <v>2022</v>
      </c>
      <c r="AY21" s="15" t="n">
        <f>COUNTIFS(V15:V183,"&gt;0")</f>
        <v>26</v>
      </c>
      <c r="AZ21" s="15" t="n">
        <f>COUNTIFS(S201:S339,1)+COUNTIFS(S201:S339,2)</f>
        <v>61</v>
      </c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</row>
    <row r="22" ht="27" customHeight="1">
      <c r="A22" s="15" t="str">
        <v>I162S2C10J1V1</v>
      </c>
      <c r="B22" s="15" t="str">
        <v>TECNICO EN PREVENCION DE RIESGOS</v>
      </c>
      <c r="C22" s="15" t="str">
        <v>Pregrado</v>
      </c>
      <c r="D22" s="23" t="n">
        <v>2013</v>
      </c>
      <c r="E22" s="23" t="n">
        <v>2013</v>
      </c>
      <c r="F22" s="15" t="n">
        <v>1</v>
      </c>
      <c r="G22" s="24" t="n">
        <v>0</v>
      </c>
      <c r="H22" s="24" t="n">
        <v>0</v>
      </c>
      <c r="I22" s="24" t="n">
        <v>0</v>
      </c>
      <c r="J22" s="24" t="n">
        <v>0</v>
      </c>
      <c r="K22" s="24" t="n">
        <v>0</v>
      </c>
      <c r="L22" s="24" t="n">
        <v>0</v>
      </c>
      <c r="M22" s="24" t="n">
        <v>9</v>
      </c>
      <c r="N22" s="24" t="n">
        <v>0</v>
      </c>
      <c r="O22" s="24" t="n">
        <v>0</v>
      </c>
      <c r="P22" s="24" t="n">
        <v>0</v>
      </c>
      <c r="Q22" s="24" t="n">
        <v>0</v>
      </c>
      <c r="R22" s="24" t="n">
        <v>0</v>
      </c>
      <c r="S22" s="24" t="n">
        <v>0</v>
      </c>
      <c r="T22" s="24" t="n">
        <v>0</v>
      </c>
      <c r="U22" s="24" t="n">
        <v>0</v>
      </c>
      <c r="V22" s="24" t="n">
        <v>0</v>
      </c>
      <c r="W22" s="24" t="n">
        <v>0</v>
      </c>
      <c r="X22" s="24" t="n">
        <v>0</v>
      </c>
      <c r="Y22" s="24" t="n">
        <v>0</v>
      </c>
      <c r="Z22" s="24" t="n">
        <v>0</v>
      </c>
      <c r="AA22" s="15" t="str">
        <v>APROBADA_D_2027</v>
      </c>
      <c r="AB22" s="15" t="n">
        <v>1</v>
      </c>
      <c r="AC22" s="15" t="str">
        <v>PUBLICA; H002</v>
      </c>
      <c r="AD22" s="15" t="n">
        <v>1</v>
      </c>
      <c r="AE22" s="15" t="str">
        <v>n.a.</v>
      </c>
      <c r="AF22" s="15" t="str">
        <v>n.a.</v>
      </c>
      <c r="AG22" s="15" t="str">
        <v>n.a.</v>
      </c>
      <c r="AH22" s="15" t="n">
        <v>1</v>
      </c>
      <c r="AI22" s="15" t="n">
        <v>1</v>
      </c>
      <c r="AJ22" s="15" t="n">
        <v>1</v>
      </c>
      <c r="AK22" s="15" t="n">
        <v>2</v>
      </c>
      <c r="AL22" s="15" t="n">
        <v>2</v>
      </c>
      <c r="AM22" s="15" t="n">
        <v>2</v>
      </c>
      <c r="AN22" s="15" t="n">
        <v>2</v>
      </c>
      <c r="AO22" s="15" t="n">
        <v>2</v>
      </c>
      <c r="AP22" s="15" t="n">
        <v>2</v>
      </c>
      <c r="AQ22" s="15" t="n">
        <v>2</v>
      </c>
      <c r="AR22" s="15" t="n">
        <v>2</v>
      </c>
      <c r="AS22" s="15" t="n">
        <v>2</v>
      </c>
      <c r="AT22" s="15" t="n">
        <v>2</v>
      </c>
      <c r="AU22" s="15" t="n">
        <v>2</v>
      </c>
      <c r="AV22" s="15"/>
      <c r="AW22" s="15"/>
      <c r="AX22" s="14" t="str">
        <v>2023</v>
      </c>
      <c r="AY22" s="14" t="n">
        <f>COUNTIFS(W15:W183,"&gt;0")</f>
        <v>22</v>
      </c>
      <c r="AZ22" s="14" t="n">
        <f>COUNTIFS(T201:T339,1)+COUNTIFS(T201:T339,2)</f>
        <v>70</v>
      </c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</row>
    <row r="23" ht="27" customHeight="1">
      <c r="A23" s="14" t="str">
        <v>I162S2C10J2V1</v>
      </c>
      <c r="B23" s="14" t="str">
        <v>TECNICO EN PREVENCION DE RIESGOS</v>
      </c>
      <c r="C23" s="14" t="str">
        <v>Pregrado</v>
      </c>
      <c r="D23" s="21" t="n">
        <v>2013</v>
      </c>
      <c r="E23" s="21" t="n">
        <v>2019</v>
      </c>
      <c r="F23" s="14" t="n">
        <v>6</v>
      </c>
      <c r="G23" s="22" t="n">
        <v>0</v>
      </c>
      <c r="H23" s="22" t="n">
        <v>0</v>
      </c>
      <c r="I23" s="22" t="n">
        <v>0</v>
      </c>
      <c r="J23" s="22" t="n">
        <v>0</v>
      </c>
      <c r="K23" s="22" t="n">
        <v>0</v>
      </c>
      <c r="L23" s="22" t="n">
        <v>0</v>
      </c>
      <c r="M23" s="22" t="n">
        <v>21</v>
      </c>
      <c r="N23" s="22" t="n">
        <v>22</v>
      </c>
      <c r="O23" s="22" t="n">
        <v>15</v>
      </c>
      <c r="P23" s="22" t="n">
        <v>8</v>
      </c>
      <c r="Q23" s="22" t="n">
        <v>0</v>
      </c>
      <c r="R23" s="22" t="n">
        <v>1</v>
      </c>
      <c r="S23" s="22" t="n">
        <v>1</v>
      </c>
      <c r="T23" s="22" t="n">
        <v>0</v>
      </c>
      <c r="U23" s="22" t="n">
        <v>0</v>
      </c>
      <c r="V23" s="22" t="n">
        <v>0</v>
      </c>
      <c r="W23" s="22" t="n">
        <v>0</v>
      </c>
      <c r="X23" s="22" t="n">
        <v>0</v>
      </c>
      <c r="Y23" s="22" t="n">
        <v>0</v>
      </c>
      <c r="Z23" s="22" t="n">
        <v>0</v>
      </c>
      <c r="AA23" s="14" t="str">
        <v>APROBADA_D_2027</v>
      </c>
      <c r="AB23" s="14" t="n">
        <v>1</v>
      </c>
      <c r="AC23" s="14" t="str">
        <v>PUBLICA; H002</v>
      </c>
      <c r="AD23" s="14" t="n">
        <v>1</v>
      </c>
      <c r="AE23" s="14" t="str">
        <v>n.a.</v>
      </c>
      <c r="AF23" s="14" t="str">
        <v>n.a.</v>
      </c>
      <c r="AG23" s="14" t="str">
        <v>n.a.</v>
      </c>
      <c r="AH23" s="14" t="n">
        <v>1</v>
      </c>
      <c r="AI23" s="14" t="n">
        <v>1</v>
      </c>
      <c r="AJ23" s="14" t="n">
        <v>1</v>
      </c>
      <c r="AK23" s="14" t="n">
        <v>2</v>
      </c>
      <c r="AL23" s="14" t="n">
        <v>2</v>
      </c>
      <c r="AM23" s="14" t="n">
        <v>2</v>
      </c>
      <c r="AN23" s="14" t="n">
        <v>2</v>
      </c>
      <c r="AO23" s="14" t="n">
        <v>2</v>
      </c>
      <c r="AP23" s="14" t="n">
        <v>2</v>
      </c>
      <c r="AQ23" s="14" t="n">
        <v>2</v>
      </c>
      <c r="AR23" s="14" t="n">
        <v>2</v>
      </c>
      <c r="AS23" s="14" t="n">
        <v>2</v>
      </c>
      <c r="AT23" s="14" t="n">
        <v>2</v>
      </c>
      <c r="AU23" s="14" t="n">
        <v>2</v>
      </c>
      <c r="AV23" s="15"/>
      <c r="AW23" s="15"/>
      <c r="AX23" s="15" t="str">
        <v>2024</v>
      </c>
      <c r="AY23" s="15" t="n">
        <f>COUNTIFS(X15:X183,"&gt;0")</f>
        <v>28</v>
      </c>
      <c r="AZ23" s="15" t="n">
        <f>COUNTIFS(U201:U339,1)+COUNTIFS(U201:U339,2)</f>
        <v>77</v>
      </c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</row>
    <row r="24" ht="27" customHeight="1">
      <c r="A24" s="15" t="str">
        <v>I162S2C10J4V1</v>
      </c>
      <c r="B24" s="15" t="str">
        <v>TECNICO EN PREVENCION DE RIESGOS</v>
      </c>
      <c r="C24" s="15" t="str">
        <v>Pregrado</v>
      </c>
      <c r="D24" s="23" t="n">
        <v>2026</v>
      </c>
      <c r="E24" s="23" t="n">
        <v>2026</v>
      </c>
      <c r="F24" s="15" t="n">
        <v>1</v>
      </c>
      <c r="G24" s="24" t="n">
        <v>0</v>
      </c>
      <c r="H24" s="24" t="n">
        <v>0</v>
      </c>
      <c r="I24" s="24" t="n">
        <v>0</v>
      </c>
      <c r="J24" s="24" t="n">
        <v>0</v>
      </c>
      <c r="K24" s="24" t="n">
        <v>0</v>
      </c>
      <c r="L24" s="24" t="n">
        <v>0</v>
      </c>
      <c r="M24" s="24" t="n">
        <v>0</v>
      </c>
      <c r="N24" s="24" t="n">
        <v>0</v>
      </c>
      <c r="O24" s="24" t="n">
        <v>0</v>
      </c>
      <c r="P24" s="24" t="n">
        <v>0</v>
      </c>
      <c r="Q24" s="24" t="n">
        <v>0</v>
      </c>
      <c r="R24" s="24" t="n">
        <v>0</v>
      </c>
      <c r="S24" s="24" t="n">
        <v>0</v>
      </c>
      <c r="T24" s="24" t="n">
        <v>0</v>
      </c>
      <c r="U24" s="24" t="n">
        <v>0</v>
      </c>
      <c r="V24" s="24" t="n">
        <v>0</v>
      </c>
      <c r="W24" s="24" t="n">
        <v>0</v>
      </c>
      <c r="X24" s="24" t="n">
        <v>0</v>
      </c>
      <c r="Y24" s="24" t="n">
        <v>0</v>
      </c>
      <c r="Z24" s="24" t="n">
        <v>17</v>
      </c>
      <c r="AA24" s="15" t="str">
        <v>CONTINUA</v>
      </c>
      <c r="AB24" s="15" t="n">
        <v>1</v>
      </c>
      <c r="AC24" s="15" t="str">
        <v>PUBLICA; H002</v>
      </c>
      <c r="AD24" s="15" t="n">
        <v>0</v>
      </c>
      <c r="AE24" s="15" t="str">
        <v>n.a.</v>
      </c>
      <c r="AF24" s="15" t="str">
        <v>n.a.</v>
      </c>
      <c r="AG24" s="15" t="str">
        <v>n.a.</v>
      </c>
      <c r="AH24" s="15" t="str">
        <v>n.a.</v>
      </c>
      <c r="AI24" s="15" t="str">
        <v>n.a.</v>
      </c>
      <c r="AJ24" s="15" t="str">
        <v>n.a.</v>
      </c>
      <c r="AK24" s="15" t="str">
        <v>n.a.</v>
      </c>
      <c r="AL24" s="15" t="str">
        <v>n.a.</v>
      </c>
      <c r="AM24" s="15" t="str">
        <v>n.a.</v>
      </c>
      <c r="AN24" s="15" t="str">
        <v>n.a.</v>
      </c>
      <c r="AO24" s="15" t="str">
        <v>n.a.</v>
      </c>
      <c r="AP24" s="15" t="str">
        <v>n.a.</v>
      </c>
      <c r="AQ24" s="15" t="str">
        <v>n.a.</v>
      </c>
      <c r="AR24" s="15" t="str">
        <v>n.a.</v>
      </c>
      <c r="AS24" s="15" t="str">
        <v>n.a.</v>
      </c>
      <c r="AT24" s="15" t="str">
        <v>n.a.</v>
      </c>
      <c r="AU24" s="15" t="n">
        <v>1</v>
      </c>
      <c r="AV24" s="15"/>
      <c r="AW24" s="15"/>
      <c r="AX24" s="14" t="str">
        <v>2025</v>
      </c>
      <c r="AY24" s="14" t="n">
        <f>COUNTIFS(Y15:Y183,"&gt;0")</f>
        <v>50</v>
      </c>
      <c r="AZ24" s="14" t="n">
        <f>COUNTIFS(V201:V339,1)+COUNTIFS(V201:V339,2)</f>
        <v>102</v>
      </c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</row>
    <row r="25" ht="27" customHeight="1">
      <c r="A25" s="14" t="str">
        <v>I162S2C111J4V1</v>
      </c>
      <c r="B25" s="14" t="str">
        <v>INGENIERIA EN FINANZAS</v>
      </c>
      <c r="C25" s="14" t="str">
        <v>Pregrado</v>
      </c>
      <c r="D25" s="21" t="n">
        <v>2026</v>
      </c>
      <c r="E25" s="21" t="n">
        <v>2026</v>
      </c>
      <c r="F25" s="14" t="n">
        <v>1</v>
      </c>
      <c r="G25" s="22" t="n">
        <v>0</v>
      </c>
      <c r="H25" s="22" t="n">
        <v>0</v>
      </c>
      <c r="I25" s="22" t="n">
        <v>0</v>
      </c>
      <c r="J25" s="22" t="n">
        <v>0</v>
      </c>
      <c r="K25" s="22" t="n">
        <v>0</v>
      </c>
      <c r="L25" s="22" t="n">
        <v>0</v>
      </c>
      <c r="M25" s="22" t="n">
        <v>0</v>
      </c>
      <c r="N25" s="22" t="n">
        <v>0</v>
      </c>
      <c r="O25" s="22" t="n">
        <v>0</v>
      </c>
      <c r="P25" s="22" t="n">
        <v>0</v>
      </c>
      <c r="Q25" s="22" t="n">
        <v>0</v>
      </c>
      <c r="R25" s="22" t="n">
        <v>0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0</v>
      </c>
      <c r="X25" s="22" t="n">
        <v>0</v>
      </c>
      <c r="Y25" s="22" t="n">
        <v>0</v>
      </c>
      <c r="Z25" s="22" t="n">
        <v>30</v>
      </c>
      <c r="AA25" s="14" t="str">
        <v>VERSION_MULTIPLE_RESUELTA</v>
      </c>
      <c r="AB25" s="14" t="n">
        <v>1</v>
      </c>
      <c r="AC25" s="14" t="str">
        <v>PUBLICA; H002</v>
      </c>
      <c r="AD25" s="14" t="n">
        <v>0</v>
      </c>
      <c r="AE25" s="14" t="str">
        <v>n.a.</v>
      </c>
      <c r="AF25" s="14" t="str">
        <v>n.a.</v>
      </c>
      <c r="AG25" s="14" t="str">
        <v>n.a.</v>
      </c>
      <c r="AH25" s="14" t="str">
        <v>n.a.</v>
      </c>
      <c r="AI25" s="14" t="str">
        <v>n.a.</v>
      </c>
      <c r="AJ25" s="14" t="str">
        <v>n.a.</v>
      </c>
      <c r="AK25" s="14" t="str">
        <v>n.a.</v>
      </c>
      <c r="AL25" s="14" t="str">
        <v>n.a.</v>
      </c>
      <c r="AM25" s="14" t="str">
        <v>n.a.</v>
      </c>
      <c r="AN25" s="14" t="str">
        <v>n.a.</v>
      </c>
      <c r="AO25" s="14" t="str">
        <v>n.a.</v>
      </c>
      <c r="AP25" s="14" t="str">
        <v>n.a.</v>
      </c>
      <c r="AQ25" s="14" t="str">
        <v>n.a.</v>
      </c>
      <c r="AR25" s="14" t="str">
        <v>n.a.</v>
      </c>
      <c r="AS25" s="14" t="str">
        <v>n.a.</v>
      </c>
      <c r="AT25" s="14" t="str">
        <v>n.a.</v>
      </c>
      <c r="AU25" s="14" t="n">
        <v>1</v>
      </c>
      <c r="AV25" s="15"/>
      <c r="AW25" s="15"/>
      <c r="AX25" s="15" t="str">
        <v>2026</v>
      </c>
      <c r="AY25" s="15" t="n">
        <f>COUNTIFS(Z15:Z183,"&gt;0")</f>
        <v>66</v>
      </c>
      <c r="AZ25" s="15" t="n">
        <f>COUNTIFS(W201:W339,1)+COUNTIFS(W201:W339,2)</f>
        <v>124</v>
      </c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</row>
    <row r="26" ht="27" customHeight="1">
      <c r="A26" s="15" t="str">
        <v>I162S2C111J4V2</v>
      </c>
      <c r="B26" s="15" t="str">
        <v>INGENIERIA EN FINANZAS</v>
      </c>
      <c r="C26" s="15" t="str">
        <v>Pregrado</v>
      </c>
      <c r="D26" s="23" t="str">
        <v>n.a.</v>
      </c>
      <c r="E26" s="23" t="str">
        <v>n.a.</v>
      </c>
      <c r="F26" s="15" t="n">
        <v>0</v>
      </c>
      <c r="G26" s="24" t="n">
        <v>0</v>
      </c>
      <c r="H26" s="24" t="n">
        <v>0</v>
      </c>
      <c r="I26" s="24" t="n">
        <v>0</v>
      </c>
      <c r="J26" s="24" t="n">
        <v>0</v>
      </c>
      <c r="K26" s="24" t="n">
        <v>0</v>
      </c>
      <c r="L26" s="24" t="n">
        <v>0</v>
      </c>
      <c r="M26" s="24" t="n">
        <v>0</v>
      </c>
      <c r="N26" s="24" t="n">
        <v>0</v>
      </c>
      <c r="O26" s="24" t="n">
        <v>0</v>
      </c>
      <c r="P26" s="24" t="n">
        <v>0</v>
      </c>
      <c r="Q26" s="24" t="n">
        <v>0</v>
      </c>
      <c r="R26" s="24" t="n">
        <v>0</v>
      </c>
      <c r="S26" s="24" t="n">
        <v>0</v>
      </c>
      <c r="T26" s="24" t="n">
        <v>0</v>
      </c>
      <c r="U26" s="24" t="n">
        <v>0</v>
      </c>
      <c r="V26" s="24" t="n">
        <v>0</v>
      </c>
      <c r="W26" s="24" t="n">
        <v>0</v>
      </c>
      <c r="X26" s="24" t="n">
        <v>0</v>
      </c>
      <c r="Y26" s="24" t="n">
        <v>0</v>
      </c>
      <c r="Z26" s="24" t="n">
        <v>0</v>
      </c>
      <c r="AA26" s="15" t="str">
        <v>VERSION_MULTIPLE_RESUELTA</v>
      </c>
      <c r="AB26" s="15" t="n">
        <v>0</v>
      </c>
      <c r="AC26" s="15" t="str">
        <v>PUBLICA; H002</v>
      </c>
      <c r="AD26" s="15" t="n">
        <v>0</v>
      </c>
      <c r="AE26" s="15" t="str">
        <v>n.a.</v>
      </c>
      <c r="AF26" s="15" t="str">
        <v>n.a.</v>
      </c>
      <c r="AG26" s="15" t="str">
        <v>n.a.</v>
      </c>
      <c r="AH26" s="15" t="str">
        <v>n.a.</v>
      </c>
      <c r="AI26" s="15" t="str">
        <v>n.a.</v>
      </c>
      <c r="AJ26" s="15" t="str">
        <v>n.a.</v>
      </c>
      <c r="AK26" s="15" t="str">
        <v>n.a.</v>
      </c>
      <c r="AL26" s="15" t="str">
        <v>n.a.</v>
      </c>
      <c r="AM26" s="15" t="str">
        <v>n.a.</v>
      </c>
      <c r="AN26" s="15" t="str">
        <v>n.a.</v>
      </c>
      <c r="AO26" s="15" t="str">
        <v>n.a.</v>
      </c>
      <c r="AP26" s="15" t="str">
        <v>n.a.</v>
      </c>
      <c r="AQ26" s="15" t="str">
        <v>n.a.</v>
      </c>
      <c r="AR26" s="15" t="str">
        <v>n.a.</v>
      </c>
      <c r="AS26" s="15" t="str">
        <v>n.a.</v>
      </c>
      <c r="AT26" s="15" t="str">
        <v>n.a.</v>
      </c>
      <c r="AU26" s="15" t="n">
        <v>1</v>
      </c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</row>
    <row r="27" ht="27" customHeight="1">
      <c r="A27" s="14" t="str">
        <v>I162S2C112J4V1</v>
      </c>
      <c r="B27" s="14" t="str">
        <v>INGENIERIA EN MARKETING DIGITAL</v>
      </c>
      <c r="C27" s="14" t="str">
        <v>Pregrado</v>
      </c>
      <c r="D27" s="21" t="n">
        <v>2026</v>
      </c>
      <c r="E27" s="21" t="n">
        <v>2026</v>
      </c>
      <c r="F27" s="14" t="n">
        <v>1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2" t="n">
        <v>0</v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0</v>
      </c>
      <c r="X27" s="22" t="n">
        <v>0</v>
      </c>
      <c r="Y27" s="22" t="n">
        <v>0</v>
      </c>
      <c r="Z27" s="22" t="n">
        <v>66</v>
      </c>
      <c r="AA27" s="14" t="str">
        <v>VERSION_MULTIPLE_RESUELTA</v>
      </c>
      <c r="AB27" s="14" t="n">
        <v>1</v>
      </c>
      <c r="AC27" s="14" t="str">
        <v>PUBLICA; H002</v>
      </c>
      <c r="AD27" s="14" t="n">
        <v>0</v>
      </c>
      <c r="AE27" s="14" t="str">
        <v>n.a.</v>
      </c>
      <c r="AF27" s="14" t="str">
        <v>n.a.</v>
      </c>
      <c r="AG27" s="14" t="str">
        <v>n.a.</v>
      </c>
      <c r="AH27" s="14" t="str">
        <v>n.a.</v>
      </c>
      <c r="AI27" s="14" t="str">
        <v>n.a.</v>
      </c>
      <c r="AJ27" s="14" t="str">
        <v>n.a.</v>
      </c>
      <c r="AK27" s="14" t="str">
        <v>n.a.</v>
      </c>
      <c r="AL27" s="14" t="str">
        <v>n.a.</v>
      </c>
      <c r="AM27" s="14" t="str">
        <v>n.a.</v>
      </c>
      <c r="AN27" s="14" t="str">
        <v>n.a.</v>
      </c>
      <c r="AO27" s="14" t="str">
        <v>n.a.</v>
      </c>
      <c r="AP27" s="14" t="str">
        <v>n.a.</v>
      </c>
      <c r="AQ27" s="14" t="str">
        <v>n.a.</v>
      </c>
      <c r="AR27" s="14" t="str">
        <v>n.a.</v>
      </c>
      <c r="AS27" s="14" t="str">
        <v>n.a.</v>
      </c>
      <c r="AT27" s="14" t="str">
        <v>n.a.</v>
      </c>
      <c r="AU27" s="14" t="n">
        <v>1</v>
      </c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</row>
    <row r="28" ht="27" customHeight="1">
      <c r="A28" s="15" t="str">
        <v>I162S2C112J4V2</v>
      </c>
      <c r="B28" s="15" t="str">
        <v>INGENIERIA EN MARKETING DIGITAL</v>
      </c>
      <c r="C28" s="15" t="str">
        <v>Pregrado</v>
      </c>
      <c r="D28" s="23" t="str">
        <v>n.a.</v>
      </c>
      <c r="E28" s="23" t="str">
        <v>n.a.</v>
      </c>
      <c r="F28" s="15" t="n">
        <v>0</v>
      </c>
      <c r="G28" s="24" t="n">
        <v>0</v>
      </c>
      <c r="H28" s="24" t="n">
        <v>0</v>
      </c>
      <c r="I28" s="24" t="n">
        <v>0</v>
      </c>
      <c r="J28" s="24" t="n">
        <v>0</v>
      </c>
      <c r="K28" s="24" t="n">
        <v>0</v>
      </c>
      <c r="L28" s="24" t="n">
        <v>0</v>
      </c>
      <c r="M28" s="24" t="n">
        <v>0</v>
      </c>
      <c r="N28" s="24" t="n">
        <v>0</v>
      </c>
      <c r="O28" s="24" t="n">
        <v>0</v>
      </c>
      <c r="P28" s="24" t="n">
        <v>0</v>
      </c>
      <c r="Q28" s="24" t="n">
        <v>0</v>
      </c>
      <c r="R28" s="24" t="n">
        <v>0</v>
      </c>
      <c r="S28" s="24" t="n">
        <v>0</v>
      </c>
      <c r="T28" s="24" t="n">
        <v>0</v>
      </c>
      <c r="U28" s="24" t="n">
        <v>0</v>
      </c>
      <c r="V28" s="24" t="n">
        <v>0</v>
      </c>
      <c r="W28" s="24" t="n">
        <v>0</v>
      </c>
      <c r="X28" s="24" t="n">
        <v>0</v>
      </c>
      <c r="Y28" s="24" t="n">
        <v>0</v>
      </c>
      <c r="Z28" s="24" t="n">
        <v>0</v>
      </c>
      <c r="AA28" s="15" t="str">
        <v>VERSION_MULTIPLE_RESUELTA</v>
      </c>
      <c r="AB28" s="15" t="n">
        <v>0</v>
      </c>
      <c r="AC28" s="15" t="str">
        <v>PUBLICA; H002</v>
      </c>
      <c r="AD28" s="15" t="n">
        <v>0</v>
      </c>
      <c r="AE28" s="15" t="str">
        <v>n.a.</v>
      </c>
      <c r="AF28" s="15" t="str">
        <v>n.a.</v>
      </c>
      <c r="AG28" s="15" t="str">
        <v>n.a.</v>
      </c>
      <c r="AH28" s="15" t="str">
        <v>n.a.</v>
      </c>
      <c r="AI28" s="15" t="str">
        <v>n.a.</v>
      </c>
      <c r="AJ28" s="15" t="str">
        <v>n.a.</v>
      </c>
      <c r="AK28" s="15" t="str">
        <v>n.a.</v>
      </c>
      <c r="AL28" s="15" t="str">
        <v>n.a.</v>
      </c>
      <c r="AM28" s="15" t="str">
        <v>n.a.</v>
      </c>
      <c r="AN28" s="15" t="str">
        <v>n.a.</v>
      </c>
      <c r="AO28" s="15" t="str">
        <v>n.a.</v>
      </c>
      <c r="AP28" s="15" t="str">
        <v>n.a.</v>
      </c>
      <c r="AQ28" s="15" t="str">
        <v>n.a.</v>
      </c>
      <c r="AR28" s="15" t="str">
        <v>n.a.</v>
      </c>
      <c r="AS28" s="15" t="str">
        <v>n.a.</v>
      </c>
      <c r="AT28" s="15" t="str">
        <v>n.a.</v>
      </c>
      <c r="AU28" s="15" t="n">
        <v>1</v>
      </c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</row>
    <row r="29" ht="27" customHeight="1">
      <c r="A29" s="14" t="str">
        <v>I162S2C113J4V1</v>
      </c>
      <c r="B29" s="14" t="str">
        <v>INGENIERIA EN RECURSOS HUMANOS</v>
      </c>
      <c r="C29" s="14" t="str">
        <v>Pregrado</v>
      </c>
      <c r="D29" s="21" t="n">
        <v>2026</v>
      </c>
      <c r="E29" s="21" t="n">
        <v>2026</v>
      </c>
      <c r="F29" s="14" t="n">
        <v>1</v>
      </c>
      <c r="G29" s="22" t="n">
        <v>0</v>
      </c>
      <c r="H29" s="22" t="n">
        <v>0</v>
      </c>
      <c r="I29" s="22" t="n">
        <v>0</v>
      </c>
      <c r="J29" s="22" t="n">
        <v>0</v>
      </c>
      <c r="K29" s="22" t="n">
        <v>0</v>
      </c>
      <c r="L29" s="22" t="n">
        <v>0</v>
      </c>
      <c r="M29" s="22" t="n">
        <v>0</v>
      </c>
      <c r="N29" s="22" t="n">
        <v>0</v>
      </c>
      <c r="O29" s="22" t="n">
        <v>0</v>
      </c>
      <c r="P29" s="22" t="n">
        <v>0</v>
      </c>
      <c r="Q29" s="22" t="n">
        <v>0</v>
      </c>
      <c r="R29" s="22" t="n">
        <v>0</v>
      </c>
      <c r="S29" s="22" t="n">
        <v>0</v>
      </c>
      <c r="T29" s="22" t="n">
        <v>0</v>
      </c>
      <c r="U29" s="22" t="n">
        <v>0</v>
      </c>
      <c r="V29" s="22" t="n">
        <v>0</v>
      </c>
      <c r="W29" s="22" t="n">
        <v>0</v>
      </c>
      <c r="X29" s="22" t="n">
        <v>0</v>
      </c>
      <c r="Y29" s="22" t="n">
        <v>0</v>
      </c>
      <c r="Z29" s="22" t="n">
        <v>33</v>
      </c>
      <c r="AA29" s="14" t="str">
        <v>VERSION_MULTIPLE_RESUELTA</v>
      </c>
      <c r="AB29" s="14" t="n">
        <v>1</v>
      </c>
      <c r="AC29" s="14" t="str">
        <v>PUBLICA; H002</v>
      </c>
      <c r="AD29" s="14" t="n">
        <v>0</v>
      </c>
      <c r="AE29" s="14" t="str">
        <v>n.a.</v>
      </c>
      <c r="AF29" s="14" t="str">
        <v>n.a.</v>
      </c>
      <c r="AG29" s="14" t="str">
        <v>n.a.</v>
      </c>
      <c r="AH29" s="14" t="str">
        <v>n.a.</v>
      </c>
      <c r="AI29" s="14" t="str">
        <v>n.a.</v>
      </c>
      <c r="AJ29" s="14" t="str">
        <v>n.a.</v>
      </c>
      <c r="AK29" s="14" t="str">
        <v>n.a.</v>
      </c>
      <c r="AL29" s="14" t="str">
        <v>n.a.</v>
      </c>
      <c r="AM29" s="14" t="str">
        <v>n.a.</v>
      </c>
      <c r="AN29" s="14" t="str">
        <v>n.a.</v>
      </c>
      <c r="AO29" s="14" t="str">
        <v>n.a.</v>
      </c>
      <c r="AP29" s="14" t="str">
        <v>n.a.</v>
      </c>
      <c r="AQ29" s="14" t="str">
        <v>n.a.</v>
      </c>
      <c r="AR29" s="14" t="str">
        <v>n.a.</v>
      </c>
      <c r="AS29" s="14" t="str">
        <v>n.a.</v>
      </c>
      <c r="AT29" s="14" t="str">
        <v>n.a.</v>
      </c>
      <c r="AU29" s="14" t="n">
        <v>1</v>
      </c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</row>
    <row r="30" ht="27" customHeight="1">
      <c r="A30" s="15" t="str">
        <v>I162S2C113J4V2</v>
      </c>
      <c r="B30" s="15" t="str">
        <v>INGENIERIA EN RECURSOS HUMANOS</v>
      </c>
      <c r="C30" s="15" t="str">
        <v>Pregrado</v>
      </c>
      <c r="D30" s="23" t="str">
        <v>n.a.</v>
      </c>
      <c r="E30" s="23" t="str">
        <v>n.a.</v>
      </c>
      <c r="F30" s="15" t="n">
        <v>0</v>
      </c>
      <c r="G30" s="24" t="n">
        <v>0</v>
      </c>
      <c r="H30" s="24" t="n">
        <v>0</v>
      </c>
      <c r="I30" s="24" t="n">
        <v>0</v>
      </c>
      <c r="J30" s="24" t="n">
        <v>0</v>
      </c>
      <c r="K30" s="24" t="n">
        <v>0</v>
      </c>
      <c r="L30" s="24" t="n">
        <v>0</v>
      </c>
      <c r="M30" s="24" t="n">
        <v>0</v>
      </c>
      <c r="N30" s="24" t="n">
        <v>0</v>
      </c>
      <c r="O30" s="24" t="n">
        <v>0</v>
      </c>
      <c r="P30" s="24" t="n">
        <v>0</v>
      </c>
      <c r="Q30" s="24" t="n">
        <v>0</v>
      </c>
      <c r="R30" s="24" t="n">
        <v>0</v>
      </c>
      <c r="S30" s="24" t="n">
        <v>0</v>
      </c>
      <c r="T30" s="24" t="n">
        <v>0</v>
      </c>
      <c r="U30" s="24" t="n">
        <v>0</v>
      </c>
      <c r="V30" s="24" t="n">
        <v>0</v>
      </c>
      <c r="W30" s="24" t="n">
        <v>0</v>
      </c>
      <c r="X30" s="24" t="n">
        <v>0</v>
      </c>
      <c r="Y30" s="24" t="n">
        <v>0</v>
      </c>
      <c r="Z30" s="24" t="n">
        <v>0</v>
      </c>
      <c r="AA30" s="15" t="str">
        <v>VERSION_MULTIPLE_RESUELTA</v>
      </c>
      <c r="AB30" s="15" t="n">
        <v>0</v>
      </c>
      <c r="AC30" s="15" t="str">
        <v>PUBLICA; H002</v>
      </c>
      <c r="AD30" s="15" t="n">
        <v>0</v>
      </c>
      <c r="AE30" s="15" t="str">
        <v>n.a.</v>
      </c>
      <c r="AF30" s="15" t="str">
        <v>n.a.</v>
      </c>
      <c r="AG30" s="15" t="str">
        <v>n.a.</v>
      </c>
      <c r="AH30" s="15" t="str">
        <v>n.a.</v>
      </c>
      <c r="AI30" s="15" t="str">
        <v>n.a.</v>
      </c>
      <c r="AJ30" s="15" t="str">
        <v>n.a.</v>
      </c>
      <c r="AK30" s="15" t="str">
        <v>n.a.</v>
      </c>
      <c r="AL30" s="15" t="str">
        <v>n.a.</v>
      </c>
      <c r="AM30" s="15" t="str">
        <v>n.a.</v>
      </c>
      <c r="AN30" s="15" t="str">
        <v>n.a.</v>
      </c>
      <c r="AO30" s="15" t="str">
        <v>n.a.</v>
      </c>
      <c r="AP30" s="15" t="str">
        <v>n.a.</v>
      </c>
      <c r="AQ30" s="15" t="str">
        <v>n.a.</v>
      </c>
      <c r="AR30" s="15" t="str">
        <v>n.a.</v>
      </c>
      <c r="AS30" s="15" t="str">
        <v>n.a.</v>
      </c>
      <c r="AT30" s="15" t="str">
        <v>n.a.</v>
      </c>
      <c r="AU30" s="15" t="n">
        <v>1</v>
      </c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</row>
    <row r="31" ht="36" customHeight="1">
      <c r="A31" s="14" t="str">
        <v>I162S2C114J1V1</v>
      </c>
      <c r="B31" s="14" t="str">
        <v>TECNICO EN ENFERMERIA E INSTRUMENTACION QUIRURGICA</v>
      </c>
      <c r="C31" s="14" t="str">
        <v>Pregrado</v>
      </c>
      <c r="D31" s="21" t="str">
        <v>n.a.</v>
      </c>
      <c r="E31" s="21" t="str">
        <v>n.a.</v>
      </c>
      <c r="F31" s="14" t="n">
        <v>0</v>
      </c>
      <c r="G31" s="22" t="n">
        <v>0</v>
      </c>
      <c r="H31" s="22" t="n">
        <v>0</v>
      </c>
      <c r="I31" s="22" t="n">
        <v>0</v>
      </c>
      <c r="J31" s="22" t="n">
        <v>0</v>
      </c>
      <c r="K31" s="22" t="n">
        <v>0</v>
      </c>
      <c r="L31" s="22" t="n">
        <v>0</v>
      </c>
      <c r="M31" s="22" t="n">
        <v>0</v>
      </c>
      <c r="N31" s="22" t="n">
        <v>0</v>
      </c>
      <c r="O31" s="22" t="n">
        <v>0</v>
      </c>
      <c r="P31" s="22" t="n">
        <v>0</v>
      </c>
      <c r="Q31" s="22" t="n">
        <v>0</v>
      </c>
      <c r="R31" s="22" t="n">
        <v>0</v>
      </c>
      <c r="S31" s="22" t="n">
        <v>0</v>
      </c>
      <c r="T31" s="22" t="n">
        <v>0</v>
      </c>
      <c r="U31" s="22" t="n">
        <v>0</v>
      </c>
      <c r="V31" s="22" t="n">
        <v>0</v>
      </c>
      <c r="W31" s="22" t="n">
        <v>0</v>
      </c>
      <c r="X31" s="22" t="n">
        <v>0</v>
      </c>
      <c r="Y31" s="22" t="n">
        <v>0</v>
      </c>
      <c r="Z31" s="22" t="n">
        <v>0</v>
      </c>
      <c r="AA31" s="14" t="str">
        <v>APROBADA_D_2027</v>
      </c>
      <c r="AB31" s="14" t="n">
        <v>0</v>
      </c>
      <c r="AC31" s="14" t="str">
        <v>PUBLICA; H002</v>
      </c>
      <c r="AD31" s="14" t="n">
        <v>0</v>
      </c>
      <c r="AE31" s="14" t="str">
        <v>n.a.</v>
      </c>
      <c r="AF31" s="14" t="str">
        <v>n.a.</v>
      </c>
      <c r="AG31" s="14" t="str">
        <v>n.a.</v>
      </c>
      <c r="AH31" s="14" t="str">
        <v>n.a.</v>
      </c>
      <c r="AI31" s="14" t="str">
        <v>n.a.</v>
      </c>
      <c r="AJ31" s="14" t="str">
        <v>n.a.</v>
      </c>
      <c r="AK31" s="14" t="str">
        <v>n.a.</v>
      </c>
      <c r="AL31" s="14" t="str">
        <v>n.a.</v>
      </c>
      <c r="AM31" s="14" t="str">
        <v>n.a.</v>
      </c>
      <c r="AN31" s="14" t="str">
        <v>n.a.</v>
      </c>
      <c r="AO31" s="14" t="str">
        <v>n.a.</v>
      </c>
      <c r="AP31" s="14" t="str">
        <v>n.a.</v>
      </c>
      <c r="AQ31" s="14" t="str">
        <v>n.a.</v>
      </c>
      <c r="AR31" s="14" t="str">
        <v>n.a.</v>
      </c>
      <c r="AS31" s="14" t="str">
        <v>n.a.</v>
      </c>
      <c r="AT31" s="14" t="str">
        <v>n.a.</v>
      </c>
      <c r="AU31" s="14" t="str">
        <v>n.a.</v>
      </c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</row>
    <row r="32" ht="36" customHeight="1">
      <c r="A32" s="15" t="str">
        <v>I162S2C114J2V1</v>
      </c>
      <c r="B32" s="15" t="str">
        <v>TECNICO EN ENFERMERIA E INSTRUMENTACION QUIRURGICA</v>
      </c>
      <c r="C32" s="15" t="str">
        <v>Pregrado</v>
      </c>
      <c r="D32" s="23" t="n">
        <v>2026</v>
      </c>
      <c r="E32" s="23" t="n">
        <v>2026</v>
      </c>
      <c r="F32" s="15" t="n">
        <v>1</v>
      </c>
      <c r="G32" s="24" t="n">
        <v>0</v>
      </c>
      <c r="H32" s="24" t="n">
        <v>0</v>
      </c>
      <c r="I32" s="24" t="n">
        <v>0</v>
      </c>
      <c r="J32" s="24" t="n">
        <v>0</v>
      </c>
      <c r="K32" s="24" t="n">
        <v>0</v>
      </c>
      <c r="L32" s="24" t="n">
        <v>0</v>
      </c>
      <c r="M32" s="24" t="n">
        <v>0</v>
      </c>
      <c r="N32" s="24" t="n">
        <v>0</v>
      </c>
      <c r="O32" s="24" t="n">
        <v>0</v>
      </c>
      <c r="P32" s="24" t="n">
        <v>0</v>
      </c>
      <c r="Q32" s="24" t="n">
        <v>0</v>
      </c>
      <c r="R32" s="24" t="n">
        <v>0</v>
      </c>
      <c r="S32" s="24" t="n">
        <v>0</v>
      </c>
      <c r="T32" s="24" t="n">
        <v>0</v>
      </c>
      <c r="U32" s="24" t="n">
        <v>0</v>
      </c>
      <c r="V32" s="24" t="n">
        <v>0</v>
      </c>
      <c r="W32" s="24" t="n">
        <v>0</v>
      </c>
      <c r="X32" s="24" t="n">
        <v>0</v>
      </c>
      <c r="Y32" s="24" t="n">
        <v>0</v>
      </c>
      <c r="Z32" s="24" t="n">
        <v>94</v>
      </c>
      <c r="AA32" s="15" t="str">
        <v>CONTINUA</v>
      </c>
      <c r="AB32" s="15" t="n">
        <v>1</v>
      </c>
      <c r="AC32" s="15" t="str">
        <v>PUBLICA; H002</v>
      </c>
      <c r="AD32" s="15" t="n">
        <v>0</v>
      </c>
      <c r="AE32" s="15" t="str">
        <v>n.a.</v>
      </c>
      <c r="AF32" s="15" t="str">
        <v>n.a.</v>
      </c>
      <c r="AG32" s="15" t="str">
        <v>n.a.</v>
      </c>
      <c r="AH32" s="15" t="str">
        <v>n.a.</v>
      </c>
      <c r="AI32" s="15" t="str">
        <v>n.a.</v>
      </c>
      <c r="AJ32" s="15" t="str">
        <v>n.a.</v>
      </c>
      <c r="AK32" s="15" t="str">
        <v>n.a.</v>
      </c>
      <c r="AL32" s="15" t="str">
        <v>n.a.</v>
      </c>
      <c r="AM32" s="15" t="str">
        <v>n.a.</v>
      </c>
      <c r="AN32" s="15" t="str">
        <v>n.a.</v>
      </c>
      <c r="AO32" s="15" t="str">
        <v>n.a.</v>
      </c>
      <c r="AP32" s="15" t="str">
        <v>n.a.</v>
      </c>
      <c r="AQ32" s="15" t="str">
        <v>n.a.</v>
      </c>
      <c r="AR32" s="15" t="str">
        <v>n.a.</v>
      </c>
      <c r="AS32" s="15" t="str">
        <v>n.a.</v>
      </c>
      <c r="AT32" s="15" t="str">
        <v>n.a.</v>
      </c>
      <c r="AU32" s="15" t="n">
        <v>1</v>
      </c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</row>
    <row r="33" ht="27" customHeight="1">
      <c r="A33" s="14" t="str">
        <v>I162S2C115J2V1</v>
      </c>
      <c r="B33" s="14" t="str">
        <v>TECNICO EN FARMACIA</v>
      </c>
      <c r="C33" s="14" t="str">
        <v>Pregrado</v>
      </c>
      <c r="D33" s="21" t="n">
        <v>2026</v>
      </c>
      <c r="E33" s="21" t="n">
        <v>2026</v>
      </c>
      <c r="F33" s="14" t="n">
        <v>1</v>
      </c>
      <c r="G33" s="22" t="n">
        <v>0</v>
      </c>
      <c r="H33" s="22" t="n">
        <v>0</v>
      </c>
      <c r="I33" s="22" t="n">
        <v>0</v>
      </c>
      <c r="J33" s="22" t="n">
        <v>0</v>
      </c>
      <c r="K33" s="22" t="n">
        <v>0</v>
      </c>
      <c r="L33" s="22" t="n">
        <v>0</v>
      </c>
      <c r="M33" s="22" t="n">
        <v>0</v>
      </c>
      <c r="N33" s="22" t="n">
        <v>0</v>
      </c>
      <c r="O33" s="22" t="n">
        <v>0</v>
      </c>
      <c r="P33" s="22" t="n">
        <v>0</v>
      </c>
      <c r="Q33" s="22" t="n">
        <v>0</v>
      </c>
      <c r="R33" s="22" t="n">
        <v>0</v>
      </c>
      <c r="S33" s="22" t="n">
        <v>0</v>
      </c>
      <c r="T33" s="22" t="n">
        <v>0</v>
      </c>
      <c r="U33" s="22" t="n">
        <v>0</v>
      </c>
      <c r="V33" s="22" t="n">
        <v>0</v>
      </c>
      <c r="W33" s="22" t="n">
        <v>0</v>
      </c>
      <c r="X33" s="22" t="n">
        <v>0</v>
      </c>
      <c r="Y33" s="22" t="n">
        <v>0</v>
      </c>
      <c r="Z33" s="22" t="n">
        <v>27</v>
      </c>
      <c r="AA33" s="14" t="str">
        <v>CONTINUA</v>
      </c>
      <c r="AB33" s="14" t="n">
        <v>1</v>
      </c>
      <c r="AC33" s="14" t="str">
        <v>PUBLICA; H002</v>
      </c>
      <c r="AD33" s="14" t="n">
        <v>0</v>
      </c>
      <c r="AE33" s="14" t="str">
        <v>n.a.</v>
      </c>
      <c r="AF33" s="14" t="str">
        <v>n.a.</v>
      </c>
      <c r="AG33" s="14" t="str">
        <v>n.a.</v>
      </c>
      <c r="AH33" s="14" t="str">
        <v>n.a.</v>
      </c>
      <c r="AI33" s="14" t="str">
        <v>n.a.</v>
      </c>
      <c r="AJ33" s="14" t="str">
        <v>n.a.</v>
      </c>
      <c r="AK33" s="14" t="str">
        <v>n.a.</v>
      </c>
      <c r="AL33" s="14" t="str">
        <v>n.a.</v>
      </c>
      <c r="AM33" s="14" t="str">
        <v>n.a.</v>
      </c>
      <c r="AN33" s="14" t="str">
        <v>n.a.</v>
      </c>
      <c r="AO33" s="14" t="str">
        <v>n.a.</v>
      </c>
      <c r="AP33" s="14" t="str">
        <v>n.a.</v>
      </c>
      <c r="AQ33" s="14" t="str">
        <v>n.a.</v>
      </c>
      <c r="AR33" s="14" t="str">
        <v>n.a.</v>
      </c>
      <c r="AS33" s="14" t="str">
        <v>n.a.</v>
      </c>
      <c r="AT33" s="14" t="str">
        <v>n.a.</v>
      </c>
      <c r="AU33" s="14" t="n">
        <v>1</v>
      </c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</row>
    <row r="34" ht="27" customHeight="1">
      <c r="A34" s="15" t="str">
        <v>I162S2C115J3V1</v>
      </c>
      <c r="B34" s="15" t="str">
        <v>TECNICO EN FARMACIA</v>
      </c>
      <c r="C34" s="15" t="str">
        <v>Pregrado</v>
      </c>
      <c r="D34" s="23" t="str">
        <v>n.a.</v>
      </c>
      <c r="E34" s="23" t="str">
        <v>n.a.</v>
      </c>
      <c r="F34" s="15" t="n">
        <v>0</v>
      </c>
      <c r="G34" s="24" t="n">
        <v>0</v>
      </c>
      <c r="H34" s="24" t="n">
        <v>0</v>
      </c>
      <c r="I34" s="24" t="n">
        <v>0</v>
      </c>
      <c r="J34" s="24" t="n">
        <v>0</v>
      </c>
      <c r="K34" s="24" t="n">
        <v>0</v>
      </c>
      <c r="L34" s="24" t="n">
        <v>0</v>
      </c>
      <c r="M34" s="24" t="n">
        <v>0</v>
      </c>
      <c r="N34" s="24" t="n">
        <v>0</v>
      </c>
      <c r="O34" s="24" t="n">
        <v>0</v>
      </c>
      <c r="P34" s="24" t="n">
        <v>0</v>
      </c>
      <c r="Q34" s="24" t="n">
        <v>0</v>
      </c>
      <c r="R34" s="24" t="n">
        <v>0</v>
      </c>
      <c r="S34" s="24" t="n">
        <v>0</v>
      </c>
      <c r="T34" s="24" t="n">
        <v>0</v>
      </c>
      <c r="U34" s="24" t="n">
        <v>0</v>
      </c>
      <c r="V34" s="24" t="n">
        <v>0</v>
      </c>
      <c r="W34" s="24" t="n">
        <v>0</v>
      </c>
      <c r="X34" s="24" t="n">
        <v>0</v>
      </c>
      <c r="Y34" s="24" t="n">
        <v>0</v>
      </c>
      <c r="Z34" s="24" t="n">
        <v>0</v>
      </c>
      <c r="AA34" s="15" t="str">
        <v>NUEVO_2027_SIN_PLAN_E</v>
      </c>
      <c r="AB34" s="15" t="n">
        <v>0</v>
      </c>
      <c r="AC34" s="15" t="str">
        <v>PUBLICA; H002</v>
      </c>
      <c r="AD34" s="15" t="n">
        <v>0</v>
      </c>
      <c r="AE34" s="15" t="str">
        <v>n.a.</v>
      </c>
      <c r="AF34" s="15" t="str">
        <v>n.a.</v>
      </c>
      <c r="AG34" s="15" t="str">
        <v>n.a.</v>
      </c>
      <c r="AH34" s="15" t="str">
        <v>n.a.</v>
      </c>
      <c r="AI34" s="15" t="str">
        <v>n.a.</v>
      </c>
      <c r="AJ34" s="15" t="str">
        <v>n.a.</v>
      </c>
      <c r="AK34" s="15" t="str">
        <v>n.a.</v>
      </c>
      <c r="AL34" s="15" t="str">
        <v>n.a.</v>
      </c>
      <c r="AM34" s="15" t="str">
        <v>n.a.</v>
      </c>
      <c r="AN34" s="15" t="str">
        <v>n.a.</v>
      </c>
      <c r="AO34" s="15" t="str">
        <v>n.a.</v>
      </c>
      <c r="AP34" s="15" t="str">
        <v>n.a.</v>
      </c>
      <c r="AQ34" s="15" t="str">
        <v>n.a.</v>
      </c>
      <c r="AR34" s="15" t="str">
        <v>n.a.</v>
      </c>
      <c r="AS34" s="15" t="str">
        <v>n.a.</v>
      </c>
      <c r="AT34" s="15" t="str">
        <v>n.a.</v>
      </c>
      <c r="AU34" s="15" t="str">
        <v>n.a.</v>
      </c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</row>
    <row r="35" ht="27" customHeight="1">
      <c r="A35" s="14" t="str">
        <v>I162S2C116J4V1</v>
      </c>
      <c r="B35" s="14" t="str">
        <v>TECNICO EN FINANZAS</v>
      </c>
      <c r="C35" s="14" t="str">
        <v>Pregrado</v>
      </c>
      <c r="D35" s="21" t="n">
        <v>2026</v>
      </c>
      <c r="E35" s="21" t="n">
        <v>2026</v>
      </c>
      <c r="F35" s="14" t="n">
        <v>1</v>
      </c>
      <c r="G35" s="22" t="n">
        <v>0</v>
      </c>
      <c r="H35" s="22" t="n">
        <v>0</v>
      </c>
      <c r="I35" s="22" t="n">
        <v>0</v>
      </c>
      <c r="J35" s="22" t="n">
        <v>0</v>
      </c>
      <c r="K35" s="22" t="n">
        <v>0</v>
      </c>
      <c r="L35" s="22" t="n">
        <v>0</v>
      </c>
      <c r="M35" s="22" t="n">
        <v>0</v>
      </c>
      <c r="N35" s="22" t="n">
        <v>0</v>
      </c>
      <c r="O35" s="22" t="n">
        <v>0</v>
      </c>
      <c r="P35" s="22" t="n">
        <v>0</v>
      </c>
      <c r="Q35" s="22" t="n">
        <v>0</v>
      </c>
      <c r="R35" s="22" t="n">
        <v>0</v>
      </c>
      <c r="S35" s="22" t="n">
        <v>0</v>
      </c>
      <c r="T35" s="22" t="n">
        <v>0</v>
      </c>
      <c r="U35" s="22" t="n">
        <v>0</v>
      </c>
      <c r="V35" s="22" t="n">
        <v>0</v>
      </c>
      <c r="W35" s="22" t="n">
        <v>0</v>
      </c>
      <c r="X35" s="22" t="n">
        <v>0</v>
      </c>
      <c r="Y35" s="22" t="n">
        <v>0</v>
      </c>
      <c r="Z35" s="22" t="n">
        <v>24</v>
      </c>
      <c r="AA35" s="14" t="str">
        <v>CONTINUA</v>
      </c>
      <c r="AB35" s="14" t="n">
        <v>1</v>
      </c>
      <c r="AC35" s="14" t="str">
        <v>PUBLICA; H002</v>
      </c>
      <c r="AD35" s="14" t="n">
        <v>0</v>
      </c>
      <c r="AE35" s="14" t="str">
        <v>n.a.</v>
      </c>
      <c r="AF35" s="14" t="str">
        <v>n.a.</v>
      </c>
      <c r="AG35" s="14" t="str">
        <v>n.a.</v>
      </c>
      <c r="AH35" s="14" t="str">
        <v>n.a.</v>
      </c>
      <c r="AI35" s="14" t="str">
        <v>n.a.</v>
      </c>
      <c r="AJ35" s="14" t="str">
        <v>n.a.</v>
      </c>
      <c r="AK35" s="14" t="str">
        <v>n.a.</v>
      </c>
      <c r="AL35" s="14" t="str">
        <v>n.a.</v>
      </c>
      <c r="AM35" s="14" t="str">
        <v>n.a.</v>
      </c>
      <c r="AN35" s="14" t="str">
        <v>n.a.</v>
      </c>
      <c r="AO35" s="14" t="str">
        <v>n.a.</v>
      </c>
      <c r="AP35" s="14" t="str">
        <v>n.a.</v>
      </c>
      <c r="AQ35" s="14" t="str">
        <v>n.a.</v>
      </c>
      <c r="AR35" s="14" t="str">
        <v>n.a.</v>
      </c>
      <c r="AS35" s="14" t="str">
        <v>n.a.</v>
      </c>
      <c r="AT35" s="14" t="str">
        <v>n.a.</v>
      </c>
      <c r="AU35" s="14" t="n">
        <v>1</v>
      </c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</row>
    <row r="36" ht="27" customHeight="1">
      <c r="A36" s="15" t="str">
        <v>I162S2C117J4V1</v>
      </c>
      <c r="B36" s="15" t="str">
        <v>TECNICO EN INFRAESTRUCTURA CLOUD</v>
      </c>
      <c r="C36" s="15" t="str">
        <v>Pregrado</v>
      </c>
      <c r="D36" s="23" t="n">
        <v>2026</v>
      </c>
      <c r="E36" s="23" t="n">
        <v>2026</v>
      </c>
      <c r="F36" s="15" t="n">
        <v>1</v>
      </c>
      <c r="G36" s="24" t="n">
        <v>0</v>
      </c>
      <c r="H36" s="24" t="n">
        <v>0</v>
      </c>
      <c r="I36" s="24" t="n">
        <v>0</v>
      </c>
      <c r="J36" s="24" t="n">
        <v>0</v>
      </c>
      <c r="K36" s="24" t="n">
        <v>0</v>
      </c>
      <c r="L36" s="24" t="n">
        <v>0</v>
      </c>
      <c r="M36" s="24" t="n">
        <v>0</v>
      </c>
      <c r="N36" s="24" t="n">
        <v>0</v>
      </c>
      <c r="O36" s="24" t="n">
        <v>0</v>
      </c>
      <c r="P36" s="24" t="n">
        <v>0</v>
      </c>
      <c r="Q36" s="24" t="n">
        <v>0</v>
      </c>
      <c r="R36" s="24" t="n">
        <v>0</v>
      </c>
      <c r="S36" s="24" t="n">
        <v>0</v>
      </c>
      <c r="T36" s="24" t="n">
        <v>0</v>
      </c>
      <c r="U36" s="24" t="n">
        <v>0</v>
      </c>
      <c r="V36" s="24" t="n">
        <v>0</v>
      </c>
      <c r="W36" s="24" t="n">
        <v>0</v>
      </c>
      <c r="X36" s="24" t="n">
        <v>0</v>
      </c>
      <c r="Y36" s="24" t="n">
        <v>0</v>
      </c>
      <c r="Z36" s="24" t="n">
        <v>12</v>
      </c>
      <c r="AA36" s="15" t="str">
        <v>CONTINUA</v>
      </c>
      <c r="AB36" s="15" t="n">
        <v>1</v>
      </c>
      <c r="AC36" s="15" t="str">
        <v>PUBLICA; H002</v>
      </c>
      <c r="AD36" s="15" t="n">
        <v>0</v>
      </c>
      <c r="AE36" s="15" t="str">
        <v>n.a.</v>
      </c>
      <c r="AF36" s="15" t="str">
        <v>n.a.</v>
      </c>
      <c r="AG36" s="15" t="str">
        <v>n.a.</v>
      </c>
      <c r="AH36" s="15" t="str">
        <v>n.a.</v>
      </c>
      <c r="AI36" s="15" t="str">
        <v>n.a.</v>
      </c>
      <c r="AJ36" s="15" t="str">
        <v>n.a.</v>
      </c>
      <c r="AK36" s="15" t="str">
        <v>n.a.</v>
      </c>
      <c r="AL36" s="15" t="str">
        <v>n.a.</v>
      </c>
      <c r="AM36" s="15" t="str">
        <v>n.a.</v>
      </c>
      <c r="AN36" s="15" t="str">
        <v>n.a.</v>
      </c>
      <c r="AO36" s="15" t="str">
        <v>n.a.</v>
      </c>
      <c r="AP36" s="15" t="str">
        <v>n.a.</v>
      </c>
      <c r="AQ36" s="15" t="str">
        <v>n.a.</v>
      </c>
      <c r="AR36" s="15" t="str">
        <v>n.a.</v>
      </c>
      <c r="AS36" s="15" t="str">
        <v>n.a.</v>
      </c>
      <c r="AT36" s="15" t="str">
        <v>n.a.</v>
      </c>
      <c r="AU36" s="15" t="n">
        <v>1</v>
      </c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</row>
    <row r="37" ht="27" customHeight="1">
      <c r="A37" s="14" t="str">
        <v>I162S2C118J4V1</v>
      </c>
      <c r="B37" s="14" t="str">
        <v>TECNICO EN MARKETING DIGITAL</v>
      </c>
      <c r="C37" s="14" t="str">
        <v>Pregrado</v>
      </c>
      <c r="D37" s="21" t="n">
        <v>2026</v>
      </c>
      <c r="E37" s="21" t="n">
        <v>2026</v>
      </c>
      <c r="F37" s="14" t="n">
        <v>1</v>
      </c>
      <c r="G37" s="22" t="n">
        <v>0</v>
      </c>
      <c r="H37" s="22" t="n">
        <v>0</v>
      </c>
      <c r="I37" s="22" t="n">
        <v>0</v>
      </c>
      <c r="J37" s="22" t="n">
        <v>0</v>
      </c>
      <c r="K37" s="22" t="n">
        <v>0</v>
      </c>
      <c r="L37" s="22" t="n">
        <v>0</v>
      </c>
      <c r="M37" s="22" t="n">
        <v>0</v>
      </c>
      <c r="N37" s="22" t="n">
        <v>0</v>
      </c>
      <c r="O37" s="22" t="n">
        <v>0</v>
      </c>
      <c r="P37" s="22" t="n">
        <v>0</v>
      </c>
      <c r="Q37" s="22" t="n">
        <v>0</v>
      </c>
      <c r="R37" s="22" t="n">
        <v>0</v>
      </c>
      <c r="S37" s="22" t="n">
        <v>0</v>
      </c>
      <c r="T37" s="22" t="n">
        <v>0</v>
      </c>
      <c r="U37" s="22" t="n">
        <v>0</v>
      </c>
      <c r="V37" s="22" t="n">
        <v>0</v>
      </c>
      <c r="W37" s="22" t="n">
        <v>0</v>
      </c>
      <c r="X37" s="22" t="n">
        <v>0</v>
      </c>
      <c r="Y37" s="22" t="n">
        <v>0</v>
      </c>
      <c r="Z37" s="22" t="n">
        <v>64</v>
      </c>
      <c r="AA37" s="14" t="str">
        <v>CONTINUA</v>
      </c>
      <c r="AB37" s="14" t="n">
        <v>1</v>
      </c>
      <c r="AC37" s="14" t="str">
        <v>PUBLICA; H002</v>
      </c>
      <c r="AD37" s="14" t="n">
        <v>0</v>
      </c>
      <c r="AE37" s="14" t="str">
        <v>n.a.</v>
      </c>
      <c r="AF37" s="14" t="str">
        <v>n.a.</v>
      </c>
      <c r="AG37" s="14" t="str">
        <v>n.a.</v>
      </c>
      <c r="AH37" s="14" t="str">
        <v>n.a.</v>
      </c>
      <c r="AI37" s="14" t="str">
        <v>n.a.</v>
      </c>
      <c r="AJ37" s="14" t="str">
        <v>n.a.</v>
      </c>
      <c r="AK37" s="14" t="str">
        <v>n.a.</v>
      </c>
      <c r="AL37" s="14" t="str">
        <v>n.a.</v>
      </c>
      <c r="AM37" s="14" t="str">
        <v>n.a.</v>
      </c>
      <c r="AN37" s="14" t="str">
        <v>n.a.</v>
      </c>
      <c r="AO37" s="14" t="str">
        <v>n.a.</v>
      </c>
      <c r="AP37" s="14" t="str">
        <v>n.a.</v>
      </c>
      <c r="AQ37" s="14" t="str">
        <v>n.a.</v>
      </c>
      <c r="AR37" s="14" t="str">
        <v>n.a.</v>
      </c>
      <c r="AS37" s="14" t="str">
        <v>n.a.</v>
      </c>
      <c r="AT37" s="14" t="str">
        <v>n.a.</v>
      </c>
      <c r="AU37" s="14" t="n">
        <v>1</v>
      </c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</row>
    <row r="38" ht="27" customHeight="1">
      <c r="A38" s="15" t="str">
        <v>I162S2C119J4V1</v>
      </c>
      <c r="B38" s="15" t="str">
        <v>TECNICO EN RECURSOS HUMANOS</v>
      </c>
      <c r="C38" s="15" t="str">
        <v>Pregrado</v>
      </c>
      <c r="D38" s="23" t="n">
        <v>2026</v>
      </c>
      <c r="E38" s="23" t="n">
        <v>2026</v>
      </c>
      <c r="F38" s="15" t="n">
        <v>1</v>
      </c>
      <c r="G38" s="24" t="n">
        <v>0</v>
      </c>
      <c r="H38" s="24" t="n">
        <v>0</v>
      </c>
      <c r="I38" s="24" t="n">
        <v>0</v>
      </c>
      <c r="J38" s="24" t="n">
        <v>0</v>
      </c>
      <c r="K38" s="24" t="n">
        <v>0</v>
      </c>
      <c r="L38" s="24" t="n">
        <v>0</v>
      </c>
      <c r="M38" s="24" t="n">
        <v>0</v>
      </c>
      <c r="N38" s="24" t="n">
        <v>0</v>
      </c>
      <c r="O38" s="24" t="n">
        <v>0</v>
      </c>
      <c r="P38" s="24" t="n">
        <v>0</v>
      </c>
      <c r="Q38" s="24" t="n">
        <v>0</v>
      </c>
      <c r="R38" s="24" t="n">
        <v>0</v>
      </c>
      <c r="S38" s="24" t="n">
        <v>0</v>
      </c>
      <c r="T38" s="24" t="n">
        <v>0</v>
      </c>
      <c r="U38" s="24" t="n">
        <v>0</v>
      </c>
      <c r="V38" s="24" t="n">
        <v>0</v>
      </c>
      <c r="W38" s="24" t="n">
        <v>0</v>
      </c>
      <c r="X38" s="24" t="n">
        <v>0</v>
      </c>
      <c r="Y38" s="24" t="n">
        <v>0</v>
      </c>
      <c r="Z38" s="24" t="n">
        <v>28</v>
      </c>
      <c r="AA38" s="15" t="str">
        <v>CONTINUA</v>
      </c>
      <c r="AB38" s="15" t="n">
        <v>1</v>
      </c>
      <c r="AC38" s="15" t="str">
        <v>PUBLICA; H002</v>
      </c>
      <c r="AD38" s="15" t="n">
        <v>0</v>
      </c>
      <c r="AE38" s="15" t="str">
        <v>n.a.</v>
      </c>
      <c r="AF38" s="15" t="str">
        <v>n.a.</v>
      </c>
      <c r="AG38" s="15" t="str">
        <v>n.a.</v>
      </c>
      <c r="AH38" s="15" t="str">
        <v>n.a.</v>
      </c>
      <c r="AI38" s="15" t="str">
        <v>n.a.</v>
      </c>
      <c r="AJ38" s="15" t="str">
        <v>n.a.</v>
      </c>
      <c r="AK38" s="15" t="str">
        <v>n.a.</v>
      </c>
      <c r="AL38" s="15" t="str">
        <v>n.a.</v>
      </c>
      <c r="AM38" s="15" t="str">
        <v>n.a.</v>
      </c>
      <c r="AN38" s="15" t="str">
        <v>n.a.</v>
      </c>
      <c r="AO38" s="15" t="str">
        <v>n.a.</v>
      </c>
      <c r="AP38" s="15" t="str">
        <v>n.a.</v>
      </c>
      <c r="AQ38" s="15" t="str">
        <v>n.a.</v>
      </c>
      <c r="AR38" s="15" t="str">
        <v>n.a.</v>
      </c>
      <c r="AS38" s="15" t="str">
        <v>n.a.</v>
      </c>
      <c r="AT38" s="15" t="str">
        <v>n.a.</v>
      </c>
      <c r="AU38" s="15" t="n">
        <v>1</v>
      </c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</row>
    <row r="39" ht="27" customHeight="1">
      <c r="A39" s="14" t="str">
        <v>I162S2C11J1V1</v>
      </c>
      <c r="B39" s="14" t="str">
        <v>TECNICO EN AUTOMATIZACION Y CONTROL INDUSTRIAL</v>
      </c>
      <c r="C39" s="14" t="str">
        <v>Pregrado</v>
      </c>
      <c r="D39" s="21" t="n">
        <v>2013</v>
      </c>
      <c r="E39" s="21" t="n">
        <v>2019</v>
      </c>
      <c r="F39" s="14" t="n">
        <v>7</v>
      </c>
      <c r="G39" s="22" t="n">
        <v>0</v>
      </c>
      <c r="H39" s="22" t="n">
        <v>0</v>
      </c>
      <c r="I39" s="22" t="n">
        <v>0</v>
      </c>
      <c r="J39" s="22" t="n">
        <v>0</v>
      </c>
      <c r="K39" s="22" t="n">
        <v>0</v>
      </c>
      <c r="L39" s="22" t="n">
        <v>0</v>
      </c>
      <c r="M39" s="22" t="n">
        <v>19</v>
      </c>
      <c r="N39" s="22" t="n">
        <v>13</v>
      </c>
      <c r="O39" s="22" t="n">
        <v>5</v>
      </c>
      <c r="P39" s="22" t="n">
        <v>4</v>
      </c>
      <c r="Q39" s="22" t="n">
        <v>9</v>
      </c>
      <c r="R39" s="22" t="n">
        <v>6</v>
      </c>
      <c r="S39" s="22" t="n">
        <v>5</v>
      </c>
      <c r="T39" s="22" t="n">
        <v>0</v>
      </c>
      <c r="U39" s="22" t="n">
        <v>0</v>
      </c>
      <c r="V39" s="22" t="n">
        <v>0</v>
      </c>
      <c r="W39" s="22" t="n">
        <v>0</v>
      </c>
      <c r="X39" s="22" t="n">
        <v>0</v>
      </c>
      <c r="Y39" s="22" t="n">
        <v>0</v>
      </c>
      <c r="Z39" s="22" t="n">
        <v>0</v>
      </c>
      <c r="AA39" s="14" t="str">
        <v>APROBADA_D_2027</v>
      </c>
      <c r="AB39" s="14" t="n">
        <v>1</v>
      </c>
      <c r="AC39" s="14" t="str">
        <v>PUBLICA; H002</v>
      </c>
      <c r="AD39" s="14" t="n">
        <v>1</v>
      </c>
      <c r="AE39" s="14" t="str">
        <v>n.a.</v>
      </c>
      <c r="AF39" s="14" t="str">
        <v>n.a.</v>
      </c>
      <c r="AG39" s="14" t="str">
        <v>n.a.</v>
      </c>
      <c r="AH39" s="14" t="n">
        <v>1</v>
      </c>
      <c r="AI39" s="14" t="n">
        <v>1</v>
      </c>
      <c r="AJ39" s="14" t="n">
        <v>1</v>
      </c>
      <c r="AK39" s="14" t="n">
        <v>1</v>
      </c>
      <c r="AL39" s="14" t="n">
        <v>1</v>
      </c>
      <c r="AM39" s="14" t="n">
        <v>1</v>
      </c>
      <c r="AN39" s="14" t="n">
        <v>1</v>
      </c>
      <c r="AO39" s="14" t="n">
        <v>1</v>
      </c>
      <c r="AP39" s="14" t="n">
        <v>1</v>
      </c>
      <c r="AQ39" s="14" t="n">
        <v>1</v>
      </c>
      <c r="AR39" s="14" t="n">
        <v>2</v>
      </c>
      <c r="AS39" s="14" t="n">
        <v>1</v>
      </c>
      <c r="AT39" s="14" t="n">
        <v>2</v>
      </c>
      <c r="AU39" s="14" t="n">
        <v>2</v>
      </c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</row>
    <row r="40" ht="27" customHeight="1">
      <c r="A40" s="15" t="str">
        <v>I162S2C11J2V1</v>
      </c>
      <c r="B40" s="15" t="str">
        <v>TECNICO EN AUTOMATIZACION Y CONTROL INDUSTRIAL</v>
      </c>
      <c r="C40" s="15" t="str">
        <v>Pregrado</v>
      </c>
      <c r="D40" s="23" t="n">
        <v>2013</v>
      </c>
      <c r="E40" s="23" t="n">
        <v>2025</v>
      </c>
      <c r="F40" s="15" t="n">
        <v>12</v>
      </c>
      <c r="G40" s="24" t="n">
        <v>0</v>
      </c>
      <c r="H40" s="24" t="n">
        <v>0</v>
      </c>
      <c r="I40" s="24" t="n">
        <v>0</v>
      </c>
      <c r="J40" s="24" t="n">
        <v>0</v>
      </c>
      <c r="K40" s="24" t="n">
        <v>0</v>
      </c>
      <c r="L40" s="24" t="n">
        <v>0</v>
      </c>
      <c r="M40" s="24" t="n">
        <v>52</v>
      </c>
      <c r="N40" s="24" t="n">
        <v>52</v>
      </c>
      <c r="O40" s="24" t="n">
        <v>62</v>
      </c>
      <c r="P40" s="24" t="n">
        <v>36</v>
      </c>
      <c r="Q40" s="24" t="n">
        <v>34</v>
      </c>
      <c r="R40" s="24" t="n">
        <v>36</v>
      </c>
      <c r="S40" s="24" t="n">
        <v>32</v>
      </c>
      <c r="T40" s="24" t="n">
        <v>25</v>
      </c>
      <c r="U40" s="24" t="n">
        <v>19</v>
      </c>
      <c r="V40" s="24" t="n">
        <v>8</v>
      </c>
      <c r="W40" s="24" t="n">
        <v>3</v>
      </c>
      <c r="X40" s="24" t="n">
        <v>0</v>
      </c>
      <c r="Y40" s="24" t="n">
        <v>1</v>
      </c>
      <c r="Z40" s="24" t="n">
        <v>0</v>
      </c>
      <c r="AA40" s="15" t="str">
        <v>CONTINUA</v>
      </c>
      <c r="AB40" s="15" t="n">
        <v>1</v>
      </c>
      <c r="AC40" s="15" t="str">
        <v>PUBLICA; H002</v>
      </c>
      <c r="AD40" s="15" t="n">
        <v>0</v>
      </c>
      <c r="AE40" s="15" t="str">
        <v>n.a.</v>
      </c>
      <c r="AF40" s="15" t="str">
        <v>n.a.</v>
      </c>
      <c r="AG40" s="15" t="str">
        <v>n.a.</v>
      </c>
      <c r="AH40" s="15" t="n">
        <v>1</v>
      </c>
      <c r="AI40" s="15" t="n">
        <v>1</v>
      </c>
      <c r="AJ40" s="15" t="n">
        <v>1</v>
      </c>
      <c r="AK40" s="15" t="n">
        <v>1</v>
      </c>
      <c r="AL40" s="15" t="n">
        <v>1</v>
      </c>
      <c r="AM40" s="15" t="n">
        <v>1</v>
      </c>
      <c r="AN40" s="15" t="n">
        <v>1</v>
      </c>
      <c r="AO40" s="15" t="n">
        <v>1</v>
      </c>
      <c r="AP40" s="15" t="n">
        <v>1</v>
      </c>
      <c r="AQ40" s="15" t="n">
        <v>1</v>
      </c>
      <c r="AR40" s="15" t="n">
        <v>2</v>
      </c>
      <c r="AS40" s="15" t="n">
        <v>1</v>
      </c>
      <c r="AT40" s="15" t="n">
        <v>2</v>
      </c>
      <c r="AU40" s="15" t="n">
        <v>2</v>
      </c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</row>
    <row r="41" ht="27" customHeight="1">
      <c r="A41" s="14" t="str">
        <v>I162S2C11J4V1</v>
      </c>
      <c r="B41" s="14" t="str">
        <v>TECNICO EN AUTOMATIZACION Y CONTROL INDUSTRIAL</v>
      </c>
      <c r="C41" s="14" t="str">
        <v>Pregrado</v>
      </c>
      <c r="D41" s="21" t="str">
        <v>n.a.</v>
      </c>
      <c r="E41" s="21" t="str">
        <v>n.a.</v>
      </c>
      <c r="F41" s="14" t="n">
        <v>0</v>
      </c>
      <c r="G41" s="22" t="n">
        <v>0</v>
      </c>
      <c r="H41" s="22" t="n">
        <v>0</v>
      </c>
      <c r="I41" s="22" t="n">
        <v>0</v>
      </c>
      <c r="J41" s="22" t="n">
        <v>0</v>
      </c>
      <c r="K41" s="22" t="n">
        <v>0</v>
      </c>
      <c r="L41" s="22" t="n">
        <v>0</v>
      </c>
      <c r="M41" s="22" t="n">
        <v>0</v>
      </c>
      <c r="N41" s="22" t="n">
        <v>0</v>
      </c>
      <c r="O41" s="22" t="n">
        <v>0</v>
      </c>
      <c r="P41" s="22" t="n">
        <v>0</v>
      </c>
      <c r="Q41" s="22" t="n">
        <v>0</v>
      </c>
      <c r="R41" s="22" t="n">
        <v>0</v>
      </c>
      <c r="S41" s="22" t="n">
        <v>0</v>
      </c>
      <c r="T41" s="22" t="n">
        <v>0</v>
      </c>
      <c r="U41" s="22" t="n">
        <v>0</v>
      </c>
      <c r="V41" s="22" t="n">
        <v>0</v>
      </c>
      <c r="W41" s="22" t="n">
        <v>0</v>
      </c>
      <c r="X41" s="22" t="n">
        <v>0</v>
      </c>
      <c r="Y41" s="22" t="n">
        <v>0</v>
      </c>
      <c r="Z41" s="22" t="n">
        <v>0</v>
      </c>
      <c r="AA41" s="14" t="str">
        <v>NUEVO_2027_SIN_PLAN_E</v>
      </c>
      <c r="AB41" s="14" t="n">
        <v>0</v>
      </c>
      <c r="AC41" s="14" t="str">
        <v>PUBLICA; H002</v>
      </c>
      <c r="AD41" s="14" t="n">
        <v>0</v>
      </c>
      <c r="AE41" s="14" t="str">
        <v>n.a.</v>
      </c>
      <c r="AF41" s="14" t="str">
        <v>n.a.</v>
      </c>
      <c r="AG41" s="14" t="str">
        <v>n.a.</v>
      </c>
      <c r="AH41" s="14" t="str">
        <v>n.a.</v>
      </c>
      <c r="AI41" s="14" t="str">
        <v>n.a.</v>
      </c>
      <c r="AJ41" s="14" t="str">
        <v>n.a.</v>
      </c>
      <c r="AK41" s="14" t="str">
        <v>n.a.</v>
      </c>
      <c r="AL41" s="14" t="str">
        <v>n.a.</v>
      </c>
      <c r="AM41" s="14" t="str">
        <v>n.a.</v>
      </c>
      <c r="AN41" s="14" t="str">
        <v>n.a.</v>
      </c>
      <c r="AO41" s="14" t="str">
        <v>n.a.</v>
      </c>
      <c r="AP41" s="14" t="str">
        <v>n.a.</v>
      </c>
      <c r="AQ41" s="14" t="n">
        <v>1</v>
      </c>
      <c r="AR41" s="14" t="n">
        <v>2</v>
      </c>
      <c r="AS41" s="14" t="n">
        <v>2</v>
      </c>
      <c r="AT41" s="14" t="n">
        <v>2</v>
      </c>
      <c r="AU41" s="14" t="n">
        <v>2</v>
      </c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</row>
    <row r="42" ht="27" customHeight="1">
      <c r="A42" s="15" t="str">
        <v>I162S2C124J4V1</v>
      </c>
      <c r="B42" s="15" t="str">
        <v>INGENIERIA EN PREVENCION DE RIESGOS</v>
      </c>
      <c r="C42" s="15" t="str">
        <v>Pregrado</v>
      </c>
      <c r="D42" s="23" t="n">
        <v>2026</v>
      </c>
      <c r="E42" s="23" t="n">
        <v>2026</v>
      </c>
      <c r="F42" s="15" t="n">
        <v>1</v>
      </c>
      <c r="G42" s="24" t="n">
        <v>0</v>
      </c>
      <c r="H42" s="24" t="n">
        <v>0</v>
      </c>
      <c r="I42" s="24" t="n">
        <v>0</v>
      </c>
      <c r="J42" s="24" t="n">
        <v>0</v>
      </c>
      <c r="K42" s="24" t="n">
        <v>0</v>
      </c>
      <c r="L42" s="24" t="n">
        <v>0</v>
      </c>
      <c r="M42" s="24" t="n">
        <v>0</v>
      </c>
      <c r="N42" s="24" t="n">
        <v>0</v>
      </c>
      <c r="O42" s="24" t="n">
        <v>0</v>
      </c>
      <c r="P42" s="24" t="n">
        <v>0</v>
      </c>
      <c r="Q42" s="24" t="n">
        <v>0</v>
      </c>
      <c r="R42" s="24" t="n">
        <v>0</v>
      </c>
      <c r="S42" s="24" t="n">
        <v>0</v>
      </c>
      <c r="T42" s="24" t="n">
        <v>0</v>
      </c>
      <c r="U42" s="24" t="n">
        <v>0</v>
      </c>
      <c r="V42" s="24" t="n">
        <v>0</v>
      </c>
      <c r="W42" s="24" t="n">
        <v>0</v>
      </c>
      <c r="X42" s="24" t="n">
        <v>0</v>
      </c>
      <c r="Y42" s="24" t="n">
        <v>0</v>
      </c>
      <c r="Z42" s="24" t="n">
        <v>25</v>
      </c>
      <c r="AA42" s="15" t="str">
        <v>VERSION_MULTIPLE_RESUELTA</v>
      </c>
      <c r="AB42" s="15" t="n">
        <v>1</v>
      </c>
      <c r="AC42" s="15" t="str">
        <v>PUBLICA; H002</v>
      </c>
      <c r="AD42" s="15" t="n">
        <v>0</v>
      </c>
      <c r="AE42" s="15" t="str">
        <v>n.a.</v>
      </c>
      <c r="AF42" s="15" t="str">
        <v>n.a.</v>
      </c>
      <c r="AG42" s="15" t="str">
        <v>n.a.</v>
      </c>
      <c r="AH42" s="15" t="str">
        <v>n.a.</v>
      </c>
      <c r="AI42" s="15" t="str">
        <v>n.a.</v>
      </c>
      <c r="AJ42" s="15" t="str">
        <v>n.a.</v>
      </c>
      <c r="AK42" s="15" t="str">
        <v>n.a.</v>
      </c>
      <c r="AL42" s="15" t="str">
        <v>n.a.</v>
      </c>
      <c r="AM42" s="15" t="str">
        <v>n.a.</v>
      </c>
      <c r="AN42" s="15" t="str">
        <v>n.a.</v>
      </c>
      <c r="AO42" s="15" t="str">
        <v>n.a.</v>
      </c>
      <c r="AP42" s="15" t="str">
        <v>n.a.</v>
      </c>
      <c r="AQ42" s="15" t="str">
        <v>n.a.</v>
      </c>
      <c r="AR42" s="15" t="str">
        <v>n.a.</v>
      </c>
      <c r="AS42" s="15" t="str">
        <v>n.a.</v>
      </c>
      <c r="AT42" s="15" t="str">
        <v>n.a.</v>
      </c>
      <c r="AU42" s="15" t="n">
        <v>1</v>
      </c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</row>
    <row r="43" ht="27" customHeight="1">
      <c r="A43" s="14" t="str">
        <v>I162S2C124J4V2</v>
      </c>
      <c r="B43" s="14" t="str">
        <v>INGENIERIA EN PREVENCION DE RIESGOS</v>
      </c>
      <c r="C43" s="14" t="str">
        <v>Pregrado</v>
      </c>
      <c r="D43" s="21" t="str">
        <v>n.a.</v>
      </c>
      <c r="E43" s="21" t="str">
        <v>n.a.</v>
      </c>
      <c r="F43" s="14" t="n">
        <v>0</v>
      </c>
      <c r="G43" s="22" t="n">
        <v>0</v>
      </c>
      <c r="H43" s="22" t="n">
        <v>0</v>
      </c>
      <c r="I43" s="22" t="n">
        <v>0</v>
      </c>
      <c r="J43" s="22" t="n">
        <v>0</v>
      </c>
      <c r="K43" s="22" t="n">
        <v>0</v>
      </c>
      <c r="L43" s="22" t="n">
        <v>0</v>
      </c>
      <c r="M43" s="22" t="n">
        <v>0</v>
      </c>
      <c r="N43" s="22" t="n">
        <v>0</v>
      </c>
      <c r="O43" s="22" t="n">
        <v>0</v>
      </c>
      <c r="P43" s="22" t="n">
        <v>0</v>
      </c>
      <c r="Q43" s="22" t="n">
        <v>0</v>
      </c>
      <c r="R43" s="22" t="n">
        <v>0</v>
      </c>
      <c r="S43" s="22" t="n">
        <v>0</v>
      </c>
      <c r="T43" s="22" t="n">
        <v>0</v>
      </c>
      <c r="U43" s="22" t="n">
        <v>0</v>
      </c>
      <c r="V43" s="22" t="n">
        <v>0</v>
      </c>
      <c r="W43" s="22" t="n">
        <v>0</v>
      </c>
      <c r="X43" s="22" t="n">
        <v>0</v>
      </c>
      <c r="Y43" s="22" t="n">
        <v>0</v>
      </c>
      <c r="Z43" s="22" t="n">
        <v>0</v>
      </c>
      <c r="AA43" s="14" t="str">
        <v>VERSION_MULTIPLE_RESUELTA</v>
      </c>
      <c r="AB43" s="14" t="n">
        <v>0</v>
      </c>
      <c r="AC43" s="14" t="str">
        <v>PUBLICA; H002</v>
      </c>
      <c r="AD43" s="14" t="n">
        <v>0</v>
      </c>
      <c r="AE43" s="14" t="str">
        <v>n.a.</v>
      </c>
      <c r="AF43" s="14" t="str">
        <v>n.a.</v>
      </c>
      <c r="AG43" s="14" t="str">
        <v>n.a.</v>
      </c>
      <c r="AH43" s="14" t="str">
        <v>n.a.</v>
      </c>
      <c r="AI43" s="14" t="str">
        <v>n.a.</v>
      </c>
      <c r="AJ43" s="14" t="str">
        <v>n.a.</v>
      </c>
      <c r="AK43" s="14" t="str">
        <v>n.a.</v>
      </c>
      <c r="AL43" s="14" t="str">
        <v>n.a.</v>
      </c>
      <c r="AM43" s="14" t="str">
        <v>n.a.</v>
      </c>
      <c r="AN43" s="14" t="str">
        <v>n.a.</v>
      </c>
      <c r="AO43" s="14" t="str">
        <v>n.a.</v>
      </c>
      <c r="AP43" s="14" t="str">
        <v>n.a.</v>
      </c>
      <c r="AQ43" s="14" t="str">
        <v>n.a.</v>
      </c>
      <c r="AR43" s="14" t="str">
        <v>n.a.</v>
      </c>
      <c r="AS43" s="14" t="str">
        <v>n.a.</v>
      </c>
      <c r="AT43" s="14" t="str">
        <v>n.a.</v>
      </c>
      <c r="AU43" s="14" t="n">
        <v>1</v>
      </c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</row>
    <row r="44" ht="27" customHeight="1">
      <c r="A44" s="15" t="str">
        <v>I162S2C125J4V1</v>
      </c>
      <c r="B44" s="15" t="str">
        <v>INGENIERIA EN SEGURIDAD PRIVADA</v>
      </c>
      <c r="C44" s="15" t="str">
        <v>Pregrado</v>
      </c>
      <c r="D44" s="23" t="n">
        <v>2026</v>
      </c>
      <c r="E44" s="23" t="n">
        <v>2026</v>
      </c>
      <c r="F44" s="15" t="n">
        <v>1</v>
      </c>
      <c r="G44" s="24" t="n">
        <v>0</v>
      </c>
      <c r="H44" s="24" t="n">
        <v>0</v>
      </c>
      <c r="I44" s="24" t="n">
        <v>0</v>
      </c>
      <c r="J44" s="24" t="n">
        <v>0</v>
      </c>
      <c r="K44" s="24" t="n">
        <v>0</v>
      </c>
      <c r="L44" s="24" t="n">
        <v>0</v>
      </c>
      <c r="M44" s="24" t="n">
        <v>0</v>
      </c>
      <c r="N44" s="24" t="n">
        <v>0</v>
      </c>
      <c r="O44" s="24" t="n">
        <v>0</v>
      </c>
      <c r="P44" s="24" t="n">
        <v>0</v>
      </c>
      <c r="Q44" s="24" t="n">
        <v>0</v>
      </c>
      <c r="R44" s="24" t="n">
        <v>0</v>
      </c>
      <c r="S44" s="24" t="n">
        <v>0</v>
      </c>
      <c r="T44" s="24" t="n">
        <v>0</v>
      </c>
      <c r="U44" s="24" t="n">
        <v>0</v>
      </c>
      <c r="V44" s="24" t="n">
        <v>0</v>
      </c>
      <c r="W44" s="24" t="n">
        <v>0</v>
      </c>
      <c r="X44" s="24" t="n">
        <v>0</v>
      </c>
      <c r="Y44" s="24" t="n">
        <v>0</v>
      </c>
      <c r="Z44" s="24" t="n">
        <v>13</v>
      </c>
      <c r="AA44" s="15" t="str">
        <v>VERSION_MULTIPLE_RESUELTA</v>
      </c>
      <c r="AB44" s="15" t="n">
        <v>1</v>
      </c>
      <c r="AC44" s="15" t="str">
        <v>PUBLICA; H002</v>
      </c>
      <c r="AD44" s="15" t="n">
        <v>0</v>
      </c>
      <c r="AE44" s="15" t="str">
        <v>n.a.</v>
      </c>
      <c r="AF44" s="15" t="str">
        <v>n.a.</v>
      </c>
      <c r="AG44" s="15" t="str">
        <v>n.a.</v>
      </c>
      <c r="AH44" s="15" t="str">
        <v>n.a.</v>
      </c>
      <c r="AI44" s="15" t="str">
        <v>n.a.</v>
      </c>
      <c r="AJ44" s="15" t="str">
        <v>n.a.</v>
      </c>
      <c r="AK44" s="15" t="str">
        <v>n.a.</v>
      </c>
      <c r="AL44" s="15" t="str">
        <v>n.a.</v>
      </c>
      <c r="AM44" s="15" t="str">
        <v>n.a.</v>
      </c>
      <c r="AN44" s="15" t="str">
        <v>n.a.</v>
      </c>
      <c r="AO44" s="15" t="str">
        <v>n.a.</v>
      </c>
      <c r="AP44" s="15" t="str">
        <v>n.a.</v>
      </c>
      <c r="AQ44" s="15" t="str">
        <v>n.a.</v>
      </c>
      <c r="AR44" s="15" t="str">
        <v>n.a.</v>
      </c>
      <c r="AS44" s="15" t="str">
        <v>n.a.</v>
      </c>
      <c r="AT44" s="15" t="str">
        <v>n.a.</v>
      </c>
      <c r="AU44" s="15" t="n">
        <v>1</v>
      </c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</row>
    <row r="45" ht="27" customHeight="1">
      <c r="A45" s="14" t="str">
        <v>I162S2C125J4V2</v>
      </c>
      <c r="B45" s="14" t="str">
        <v>INGENIERIA EN SEGURIDAD PRIVADA</v>
      </c>
      <c r="C45" s="14" t="str">
        <v>Pregrado</v>
      </c>
      <c r="D45" s="21" t="str">
        <v>n.a.</v>
      </c>
      <c r="E45" s="21" t="str">
        <v>n.a.</v>
      </c>
      <c r="F45" s="14" t="n">
        <v>0</v>
      </c>
      <c r="G45" s="22" t="n">
        <v>0</v>
      </c>
      <c r="H45" s="22" t="n">
        <v>0</v>
      </c>
      <c r="I45" s="22" t="n">
        <v>0</v>
      </c>
      <c r="J45" s="22" t="n">
        <v>0</v>
      </c>
      <c r="K45" s="22" t="n">
        <v>0</v>
      </c>
      <c r="L45" s="22" t="n">
        <v>0</v>
      </c>
      <c r="M45" s="22" t="n">
        <v>0</v>
      </c>
      <c r="N45" s="22" t="n">
        <v>0</v>
      </c>
      <c r="O45" s="22" t="n">
        <v>0</v>
      </c>
      <c r="P45" s="22" t="n">
        <v>0</v>
      </c>
      <c r="Q45" s="22" t="n">
        <v>0</v>
      </c>
      <c r="R45" s="22" t="n">
        <v>0</v>
      </c>
      <c r="S45" s="22" t="n">
        <v>0</v>
      </c>
      <c r="T45" s="22" t="n">
        <v>0</v>
      </c>
      <c r="U45" s="22" t="n">
        <v>0</v>
      </c>
      <c r="V45" s="22" t="n">
        <v>0</v>
      </c>
      <c r="W45" s="22" t="n">
        <v>0</v>
      </c>
      <c r="X45" s="22" t="n">
        <v>0</v>
      </c>
      <c r="Y45" s="22" t="n">
        <v>0</v>
      </c>
      <c r="Z45" s="22" t="n">
        <v>0</v>
      </c>
      <c r="AA45" s="14" t="str">
        <v>VERSION_MULTIPLE_RESUELTA</v>
      </c>
      <c r="AB45" s="14" t="n">
        <v>0</v>
      </c>
      <c r="AC45" s="14" t="str">
        <v>PUBLICA; H002</v>
      </c>
      <c r="AD45" s="14" t="n">
        <v>0</v>
      </c>
      <c r="AE45" s="14" t="str">
        <v>n.a.</v>
      </c>
      <c r="AF45" s="14" t="str">
        <v>n.a.</v>
      </c>
      <c r="AG45" s="14" t="str">
        <v>n.a.</v>
      </c>
      <c r="AH45" s="14" t="str">
        <v>n.a.</v>
      </c>
      <c r="AI45" s="14" t="str">
        <v>n.a.</v>
      </c>
      <c r="AJ45" s="14" t="str">
        <v>n.a.</v>
      </c>
      <c r="AK45" s="14" t="str">
        <v>n.a.</v>
      </c>
      <c r="AL45" s="14" t="str">
        <v>n.a.</v>
      </c>
      <c r="AM45" s="14" t="str">
        <v>n.a.</v>
      </c>
      <c r="AN45" s="14" t="str">
        <v>n.a.</v>
      </c>
      <c r="AO45" s="14" t="str">
        <v>n.a.</v>
      </c>
      <c r="AP45" s="14" t="str">
        <v>n.a.</v>
      </c>
      <c r="AQ45" s="14" t="str">
        <v>n.a.</v>
      </c>
      <c r="AR45" s="14" t="str">
        <v>n.a.</v>
      </c>
      <c r="AS45" s="14" t="str">
        <v>n.a.</v>
      </c>
      <c r="AT45" s="14" t="str">
        <v>n.a.</v>
      </c>
      <c r="AU45" s="14" t="n">
        <v>1</v>
      </c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</row>
    <row r="46" ht="27" customHeight="1">
      <c r="A46" s="15" t="str">
        <v>I162S2C130J4V1</v>
      </c>
      <c r="B46" s="15" t="str">
        <v>INGENIERIA EN ARQUITECTURA CLOUD</v>
      </c>
      <c r="C46" s="15" t="str">
        <v>Pregrado</v>
      </c>
      <c r="D46" s="23" t="str">
        <v>n.a.</v>
      </c>
      <c r="E46" s="23" t="str">
        <v>n.a.</v>
      </c>
      <c r="F46" s="15" t="n">
        <v>0</v>
      </c>
      <c r="G46" s="24" t="n">
        <v>0</v>
      </c>
      <c r="H46" s="24" t="n">
        <v>0</v>
      </c>
      <c r="I46" s="24" t="n">
        <v>0</v>
      </c>
      <c r="J46" s="24" t="n">
        <v>0</v>
      </c>
      <c r="K46" s="24" t="n">
        <v>0</v>
      </c>
      <c r="L46" s="24" t="n">
        <v>0</v>
      </c>
      <c r="M46" s="24" t="n">
        <v>0</v>
      </c>
      <c r="N46" s="24" t="n">
        <v>0</v>
      </c>
      <c r="O46" s="24" t="n">
        <v>0</v>
      </c>
      <c r="P46" s="24" t="n">
        <v>0</v>
      </c>
      <c r="Q46" s="24" t="n">
        <v>0</v>
      </c>
      <c r="R46" s="24" t="n">
        <v>0</v>
      </c>
      <c r="S46" s="24" t="n">
        <v>0</v>
      </c>
      <c r="T46" s="24" t="n">
        <v>0</v>
      </c>
      <c r="U46" s="24" t="n">
        <v>0</v>
      </c>
      <c r="V46" s="24" t="n">
        <v>0</v>
      </c>
      <c r="W46" s="24" t="n">
        <v>0</v>
      </c>
      <c r="X46" s="24" t="n">
        <v>0</v>
      </c>
      <c r="Y46" s="24" t="n">
        <v>0</v>
      </c>
      <c r="Z46" s="24" t="n">
        <v>0</v>
      </c>
      <c r="AA46" s="15" t="str">
        <v>NUEVO_2027_SIN_PLAN_E</v>
      </c>
      <c r="AB46" s="15" t="n">
        <v>0</v>
      </c>
      <c r="AC46" s="15" t="str">
        <v>PUBLICA; H002</v>
      </c>
      <c r="AD46" s="15" t="n">
        <v>0</v>
      </c>
      <c r="AE46" s="15" t="str">
        <v>n.a.</v>
      </c>
      <c r="AF46" s="15" t="str">
        <v>n.a.</v>
      </c>
      <c r="AG46" s="15" t="str">
        <v>n.a.</v>
      </c>
      <c r="AH46" s="15" t="str">
        <v>n.a.</v>
      </c>
      <c r="AI46" s="15" t="str">
        <v>n.a.</v>
      </c>
      <c r="AJ46" s="15" t="str">
        <v>n.a.</v>
      </c>
      <c r="AK46" s="15" t="str">
        <v>n.a.</v>
      </c>
      <c r="AL46" s="15" t="str">
        <v>n.a.</v>
      </c>
      <c r="AM46" s="15" t="str">
        <v>n.a.</v>
      </c>
      <c r="AN46" s="15" t="str">
        <v>n.a.</v>
      </c>
      <c r="AO46" s="15" t="str">
        <v>n.a.</v>
      </c>
      <c r="AP46" s="15" t="str">
        <v>n.a.</v>
      </c>
      <c r="AQ46" s="15" t="str">
        <v>n.a.</v>
      </c>
      <c r="AR46" s="15" t="str">
        <v>n.a.</v>
      </c>
      <c r="AS46" s="15" t="str">
        <v>n.a.</v>
      </c>
      <c r="AT46" s="15" t="str">
        <v>n.a.</v>
      </c>
      <c r="AU46" s="15" t="str">
        <v>n.a.</v>
      </c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</row>
    <row r="47" ht="27" customHeight="1">
      <c r="A47" s="14" t="str">
        <v>I162S2C130J4V2</v>
      </c>
      <c r="B47" s="14" t="str">
        <v>INGENIERIA EN ARQUITECTURA CLOUD</v>
      </c>
      <c r="C47" s="14" t="str">
        <v>Pregrado</v>
      </c>
      <c r="D47" s="21" t="str">
        <v>n.a.</v>
      </c>
      <c r="E47" s="21" t="str">
        <v>n.a.</v>
      </c>
      <c r="F47" s="14" t="n">
        <v>0</v>
      </c>
      <c r="G47" s="22" t="n">
        <v>0</v>
      </c>
      <c r="H47" s="22" t="n">
        <v>0</v>
      </c>
      <c r="I47" s="22" t="n">
        <v>0</v>
      </c>
      <c r="J47" s="22" t="n">
        <v>0</v>
      </c>
      <c r="K47" s="22" t="n">
        <v>0</v>
      </c>
      <c r="L47" s="22" t="n">
        <v>0</v>
      </c>
      <c r="M47" s="22" t="n">
        <v>0</v>
      </c>
      <c r="N47" s="22" t="n">
        <v>0</v>
      </c>
      <c r="O47" s="22" t="n">
        <v>0</v>
      </c>
      <c r="P47" s="22" t="n">
        <v>0</v>
      </c>
      <c r="Q47" s="22" t="n">
        <v>0</v>
      </c>
      <c r="R47" s="22" t="n">
        <v>0</v>
      </c>
      <c r="S47" s="22" t="n">
        <v>0</v>
      </c>
      <c r="T47" s="22" t="n">
        <v>0</v>
      </c>
      <c r="U47" s="22" t="n">
        <v>0</v>
      </c>
      <c r="V47" s="22" t="n">
        <v>0</v>
      </c>
      <c r="W47" s="22" t="n">
        <v>0</v>
      </c>
      <c r="X47" s="22" t="n">
        <v>0</v>
      </c>
      <c r="Y47" s="22" t="n">
        <v>0</v>
      </c>
      <c r="Z47" s="22" t="n">
        <v>0</v>
      </c>
      <c r="AA47" s="14" t="str">
        <v>NUEVO_2027_SIN_PLAN_E</v>
      </c>
      <c r="AB47" s="14" t="n">
        <v>0</v>
      </c>
      <c r="AC47" s="14" t="str">
        <v>PUBLICA; H002</v>
      </c>
      <c r="AD47" s="14" t="n">
        <v>0</v>
      </c>
      <c r="AE47" s="14" t="str">
        <v>n.a.</v>
      </c>
      <c r="AF47" s="14" t="str">
        <v>n.a.</v>
      </c>
      <c r="AG47" s="14" t="str">
        <v>n.a.</v>
      </c>
      <c r="AH47" s="14" t="str">
        <v>n.a.</v>
      </c>
      <c r="AI47" s="14" t="str">
        <v>n.a.</v>
      </c>
      <c r="AJ47" s="14" t="str">
        <v>n.a.</v>
      </c>
      <c r="AK47" s="14" t="str">
        <v>n.a.</v>
      </c>
      <c r="AL47" s="14" t="str">
        <v>n.a.</v>
      </c>
      <c r="AM47" s="14" t="str">
        <v>n.a.</v>
      </c>
      <c r="AN47" s="14" t="str">
        <v>n.a.</v>
      </c>
      <c r="AO47" s="14" t="str">
        <v>n.a.</v>
      </c>
      <c r="AP47" s="14" t="str">
        <v>n.a.</v>
      </c>
      <c r="AQ47" s="14" t="str">
        <v>n.a.</v>
      </c>
      <c r="AR47" s="14" t="str">
        <v>n.a.</v>
      </c>
      <c r="AS47" s="14" t="str">
        <v>n.a.</v>
      </c>
      <c r="AT47" s="14" t="str">
        <v>n.a.</v>
      </c>
      <c r="AU47" s="14" t="str">
        <v>n.a.</v>
      </c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</row>
    <row r="48" ht="27" customHeight="1">
      <c r="A48" s="15" t="str">
        <v>I162S2C131J4V1</v>
      </c>
      <c r="B48" s="15" t="str">
        <v>INGENIERIA EN COMERCIO EXTERIOR</v>
      </c>
      <c r="C48" s="15" t="str">
        <v>Pregrado</v>
      </c>
      <c r="D48" s="23" t="str">
        <v>n.a.</v>
      </c>
      <c r="E48" s="23" t="str">
        <v>n.a.</v>
      </c>
      <c r="F48" s="15" t="n">
        <v>0</v>
      </c>
      <c r="G48" s="24" t="n">
        <v>0</v>
      </c>
      <c r="H48" s="24" t="n">
        <v>0</v>
      </c>
      <c r="I48" s="24" t="n">
        <v>0</v>
      </c>
      <c r="J48" s="24" t="n">
        <v>0</v>
      </c>
      <c r="K48" s="24" t="n">
        <v>0</v>
      </c>
      <c r="L48" s="24" t="n">
        <v>0</v>
      </c>
      <c r="M48" s="24" t="n">
        <v>0</v>
      </c>
      <c r="N48" s="24" t="n">
        <v>0</v>
      </c>
      <c r="O48" s="24" t="n">
        <v>0</v>
      </c>
      <c r="P48" s="24" t="n">
        <v>0</v>
      </c>
      <c r="Q48" s="24" t="n">
        <v>0</v>
      </c>
      <c r="R48" s="24" t="n">
        <v>0</v>
      </c>
      <c r="S48" s="24" t="n">
        <v>0</v>
      </c>
      <c r="T48" s="24" t="n">
        <v>0</v>
      </c>
      <c r="U48" s="24" t="n">
        <v>0</v>
      </c>
      <c r="V48" s="24" t="n">
        <v>0</v>
      </c>
      <c r="W48" s="24" t="n">
        <v>0</v>
      </c>
      <c r="X48" s="24" t="n">
        <v>0</v>
      </c>
      <c r="Y48" s="24" t="n">
        <v>0</v>
      </c>
      <c r="Z48" s="24" t="n">
        <v>0</v>
      </c>
      <c r="AA48" s="15" t="str">
        <v>NUEVO_2027_SIN_PLAN_E</v>
      </c>
      <c r="AB48" s="15" t="n">
        <v>0</v>
      </c>
      <c r="AC48" s="15" t="str">
        <v>PUBLICA; H002</v>
      </c>
      <c r="AD48" s="15" t="n">
        <v>0</v>
      </c>
      <c r="AE48" s="15" t="str">
        <v>n.a.</v>
      </c>
      <c r="AF48" s="15" t="str">
        <v>n.a.</v>
      </c>
      <c r="AG48" s="15" t="str">
        <v>n.a.</v>
      </c>
      <c r="AH48" s="15" t="str">
        <v>n.a.</v>
      </c>
      <c r="AI48" s="15" t="str">
        <v>n.a.</v>
      </c>
      <c r="AJ48" s="15" t="str">
        <v>n.a.</v>
      </c>
      <c r="AK48" s="15" t="str">
        <v>n.a.</v>
      </c>
      <c r="AL48" s="15" t="str">
        <v>n.a.</v>
      </c>
      <c r="AM48" s="15" t="str">
        <v>n.a.</v>
      </c>
      <c r="AN48" s="15" t="str">
        <v>n.a.</v>
      </c>
      <c r="AO48" s="15" t="str">
        <v>n.a.</v>
      </c>
      <c r="AP48" s="15" t="str">
        <v>n.a.</v>
      </c>
      <c r="AQ48" s="15" t="str">
        <v>n.a.</v>
      </c>
      <c r="AR48" s="15" t="str">
        <v>n.a.</v>
      </c>
      <c r="AS48" s="15" t="str">
        <v>n.a.</v>
      </c>
      <c r="AT48" s="15" t="str">
        <v>n.a.</v>
      </c>
      <c r="AU48" s="15" t="str">
        <v>n.a.</v>
      </c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</row>
    <row r="49" ht="27" customHeight="1">
      <c r="A49" s="14" t="str">
        <v>I162S2C132J3V1</v>
      </c>
      <c r="B49" s="14" t="str">
        <v>INGENIERIA EN CONSTRUCCION</v>
      </c>
      <c r="C49" s="14" t="str">
        <v>Pregrado</v>
      </c>
      <c r="D49" s="21" t="str">
        <v>n.a.</v>
      </c>
      <c r="E49" s="21" t="str">
        <v>n.a.</v>
      </c>
      <c r="F49" s="14" t="n">
        <v>0</v>
      </c>
      <c r="G49" s="22" t="n">
        <v>0</v>
      </c>
      <c r="H49" s="22" t="n">
        <v>0</v>
      </c>
      <c r="I49" s="22" t="n">
        <v>0</v>
      </c>
      <c r="J49" s="22" t="n">
        <v>0</v>
      </c>
      <c r="K49" s="22" t="n">
        <v>0</v>
      </c>
      <c r="L49" s="22" t="n">
        <v>0</v>
      </c>
      <c r="M49" s="22" t="n">
        <v>0</v>
      </c>
      <c r="N49" s="22" t="n">
        <v>0</v>
      </c>
      <c r="O49" s="22" t="n">
        <v>0</v>
      </c>
      <c r="P49" s="22" t="n">
        <v>0</v>
      </c>
      <c r="Q49" s="22" t="n">
        <v>0</v>
      </c>
      <c r="R49" s="22" t="n">
        <v>0</v>
      </c>
      <c r="S49" s="22" t="n">
        <v>0</v>
      </c>
      <c r="T49" s="22" t="n">
        <v>0</v>
      </c>
      <c r="U49" s="22" t="n">
        <v>0</v>
      </c>
      <c r="V49" s="22" t="n">
        <v>0</v>
      </c>
      <c r="W49" s="22" t="n">
        <v>0</v>
      </c>
      <c r="X49" s="22" t="n">
        <v>0</v>
      </c>
      <c r="Y49" s="22" t="n">
        <v>0</v>
      </c>
      <c r="Z49" s="22" t="n">
        <v>0</v>
      </c>
      <c r="AA49" s="14" t="str">
        <v>NUEVO_2027_SIN_PLAN_E</v>
      </c>
      <c r="AB49" s="14" t="n">
        <v>0</v>
      </c>
      <c r="AC49" s="14" t="str">
        <v>PUBLICA; H002</v>
      </c>
      <c r="AD49" s="14" t="n">
        <v>0</v>
      </c>
      <c r="AE49" s="14" t="str">
        <v>n.a.</v>
      </c>
      <c r="AF49" s="14" t="str">
        <v>n.a.</v>
      </c>
      <c r="AG49" s="14" t="str">
        <v>n.a.</v>
      </c>
      <c r="AH49" s="14" t="str">
        <v>n.a.</v>
      </c>
      <c r="AI49" s="14" t="str">
        <v>n.a.</v>
      </c>
      <c r="AJ49" s="14" t="str">
        <v>n.a.</v>
      </c>
      <c r="AK49" s="14" t="str">
        <v>n.a.</v>
      </c>
      <c r="AL49" s="14" t="str">
        <v>n.a.</v>
      </c>
      <c r="AM49" s="14" t="str">
        <v>n.a.</v>
      </c>
      <c r="AN49" s="14" t="str">
        <v>n.a.</v>
      </c>
      <c r="AO49" s="14" t="str">
        <v>n.a.</v>
      </c>
      <c r="AP49" s="14" t="str">
        <v>n.a.</v>
      </c>
      <c r="AQ49" s="14" t="str">
        <v>n.a.</v>
      </c>
      <c r="AR49" s="14" t="str">
        <v>n.a.</v>
      </c>
      <c r="AS49" s="14" t="str">
        <v>n.a.</v>
      </c>
      <c r="AT49" s="14" t="str">
        <v>n.a.</v>
      </c>
      <c r="AU49" s="14" t="str">
        <v>n.a.</v>
      </c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</row>
    <row r="50" ht="27" customHeight="1">
      <c r="A50" s="15" t="str">
        <v>I162S2C133J3V1</v>
      </c>
      <c r="B50" s="15" t="str">
        <v>INGENIERIA EN ELECTRICIDAD</v>
      </c>
      <c r="C50" s="15" t="str">
        <v>Pregrado</v>
      </c>
      <c r="D50" s="23" t="str">
        <v>n.a.</v>
      </c>
      <c r="E50" s="23" t="str">
        <v>n.a.</v>
      </c>
      <c r="F50" s="15" t="n">
        <v>0</v>
      </c>
      <c r="G50" s="24" t="n">
        <v>0</v>
      </c>
      <c r="H50" s="24" t="n">
        <v>0</v>
      </c>
      <c r="I50" s="24" t="n">
        <v>0</v>
      </c>
      <c r="J50" s="24" t="n">
        <v>0</v>
      </c>
      <c r="K50" s="24" t="n">
        <v>0</v>
      </c>
      <c r="L50" s="24" t="n">
        <v>0</v>
      </c>
      <c r="M50" s="24" t="n">
        <v>0</v>
      </c>
      <c r="N50" s="24" t="n">
        <v>0</v>
      </c>
      <c r="O50" s="24" t="n">
        <v>0</v>
      </c>
      <c r="P50" s="24" t="n">
        <v>0</v>
      </c>
      <c r="Q50" s="24" t="n">
        <v>0</v>
      </c>
      <c r="R50" s="24" t="n">
        <v>0</v>
      </c>
      <c r="S50" s="24" t="n">
        <v>0</v>
      </c>
      <c r="T50" s="24" t="n">
        <v>0</v>
      </c>
      <c r="U50" s="24" t="n">
        <v>0</v>
      </c>
      <c r="V50" s="24" t="n">
        <v>0</v>
      </c>
      <c r="W50" s="24" t="n">
        <v>0</v>
      </c>
      <c r="X50" s="24" t="n">
        <v>0</v>
      </c>
      <c r="Y50" s="24" t="n">
        <v>0</v>
      </c>
      <c r="Z50" s="24" t="n">
        <v>0</v>
      </c>
      <c r="AA50" s="15" t="str">
        <v>NUEVO_2027_SIN_PLAN_E</v>
      </c>
      <c r="AB50" s="15" t="n">
        <v>0</v>
      </c>
      <c r="AC50" s="15" t="str">
        <v>PUBLICA; H002</v>
      </c>
      <c r="AD50" s="15" t="n">
        <v>0</v>
      </c>
      <c r="AE50" s="15" t="str">
        <v>n.a.</v>
      </c>
      <c r="AF50" s="15" t="str">
        <v>n.a.</v>
      </c>
      <c r="AG50" s="15" t="str">
        <v>n.a.</v>
      </c>
      <c r="AH50" s="15" t="str">
        <v>n.a.</v>
      </c>
      <c r="AI50" s="15" t="str">
        <v>n.a.</v>
      </c>
      <c r="AJ50" s="15" t="str">
        <v>n.a.</v>
      </c>
      <c r="AK50" s="15" t="str">
        <v>n.a.</v>
      </c>
      <c r="AL50" s="15" t="str">
        <v>n.a.</v>
      </c>
      <c r="AM50" s="15" t="str">
        <v>n.a.</v>
      </c>
      <c r="AN50" s="15" t="str">
        <v>n.a.</v>
      </c>
      <c r="AO50" s="15" t="str">
        <v>n.a.</v>
      </c>
      <c r="AP50" s="15" t="str">
        <v>n.a.</v>
      </c>
      <c r="AQ50" s="15" t="str">
        <v>n.a.</v>
      </c>
      <c r="AR50" s="15" t="str">
        <v>n.a.</v>
      </c>
      <c r="AS50" s="15" t="str">
        <v>n.a.</v>
      </c>
      <c r="AT50" s="15" t="str">
        <v>n.a.</v>
      </c>
      <c r="AU50" s="15" t="str">
        <v>n.a.</v>
      </c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</row>
    <row r="51" ht="27" customHeight="1">
      <c r="A51" s="14" t="str">
        <v>I162S2C134J4V1</v>
      </c>
      <c r="B51" s="14" t="str">
        <v>INGENIERIA EN INTELIGENCIA ARTIFICIAL</v>
      </c>
      <c r="C51" s="14" t="str">
        <v>Pregrado</v>
      </c>
      <c r="D51" s="21" t="str">
        <v>n.a.</v>
      </c>
      <c r="E51" s="21" t="str">
        <v>n.a.</v>
      </c>
      <c r="F51" s="14" t="n">
        <v>0</v>
      </c>
      <c r="G51" s="22" t="n">
        <v>0</v>
      </c>
      <c r="H51" s="22" t="n">
        <v>0</v>
      </c>
      <c r="I51" s="22" t="n">
        <v>0</v>
      </c>
      <c r="J51" s="22" t="n">
        <v>0</v>
      </c>
      <c r="K51" s="22" t="n">
        <v>0</v>
      </c>
      <c r="L51" s="22" t="n">
        <v>0</v>
      </c>
      <c r="M51" s="22" t="n">
        <v>0</v>
      </c>
      <c r="N51" s="22" t="n">
        <v>0</v>
      </c>
      <c r="O51" s="22" t="n">
        <v>0</v>
      </c>
      <c r="P51" s="22" t="n">
        <v>0</v>
      </c>
      <c r="Q51" s="22" t="n">
        <v>0</v>
      </c>
      <c r="R51" s="22" t="n">
        <v>0</v>
      </c>
      <c r="S51" s="22" t="n">
        <v>0</v>
      </c>
      <c r="T51" s="22" t="n">
        <v>0</v>
      </c>
      <c r="U51" s="22" t="n">
        <v>0</v>
      </c>
      <c r="V51" s="22" t="n">
        <v>0</v>
      </c>
      <c r="W51" s="22" t="n">
        <v>0</v>
      </c>
      <c r="X51" s="22" t="n">
        <v>0</v>
      </c>
      <c r="Y51" s="22" t="n">
        <v>0</v>
      </c>
      <c r="Z51" s="22" t="n">
        <v>0</v>
      </c>
      <c r="AA51" s="14" t="str">
        <v>NUEVO_2027_SIN_PLAN_E</v>
      </c>
      <c r="AB51" s="14" t="n">
        <v>0</v>
      </c>
      <c r="AC51" s="14" t="str">
        <v>PUBLICA; H002</v>
      </c>
      <c r="AD51" s="14" t="n">
        <v>0</v>
      </c>
      <c r="AE51" s="14" t="str">
        <v>n.a.</v>
      </c>
      <c r="AF51" s="14" t="str">
        <v>n.a.</v>
      </c>
      <c r="AG51" s="14" t="str">
        <v>n.a.</v>
      </c>
      <c r="AH51" s="14" t="str">
        <v>n.a.</v>
      </c>
      <c r="AI51" s="14" t="str">
        <v>n.a.</v>
      </c>
      <c r="AJ51" s="14" t="str">
        <v>n.a.</v>
      </c>
      <c r="AK51" s="14" t="str">
        <v>n.a.</v>
      </c>
      <c r="AL51" s="14" t="str">
        <v>n.a.</v>
      </c>
      <c r="AM51" s="14" t="str">
        <v>n.a.</v>
      </c>
      <c r="AN51" s="14" t="str">
        <v>n.a.</v>
      </c>
      <c r="AO51" s="14" t="str">
        <v>n.a.</v>
      </c>
      <c r="AP51" s="14" t="str">
        <v>n.a.</v>
      </c>
      <c r="AQ51" s="14" t="str">
        <v>n.a.</v>
      </c>
      <c r="AR51" s="14" t="str">
        <v>n.a.</v>
      </c>
      <c r="AS51" s="14" t="str">
        <v>n.a.</v>
      </c>
      <c r="AT51" s="14" t="str">
        <v>n.a.</v>
      </c>
      <c r="AU51" s="14" t="str">
        <v>n.a.</v>
      </c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</row>
    <row r="52" ht="27" customHeight="1">
      <c r="A52" s="15" t="str">
        <v>I162S2C135J4V1</v>
      </c>
      <c r="B52" s="15" t="str">
        <v>INGENIERIA EN OPERACIONES MINERAS</v>
      </c>
      <c r="C52" s="15" t="str">
        <v>Pregrado</v>
      </c>
      <c r="D52" s="23" t="str">
        <v>n.a.</v>
      </c>
      <c r="E52" s="23" t="str">
        <v>n.a.</v>
      </c>
      <c r="F52" s="15" t="n">
        <v>0</v>
      </c>
      <c r="G52" s="24" t="n">
        <v>0</v>
      </c>
      <c r="H52" s="24" t="n">
        <v>0</v>
      </c>
      <c r="I52" s="24" t="n">
        <v>0</v>
      </c>
      <c r="J52" s="24" t="n">
        <v>0</v>
      </c>
      <c r="K52" s="24" t="n">
        <v>0</v>
      </c>
      <c r="L52" s="24" t="n">
        <v>0</v>
      </c>
      <c r="M52" s="24" t="n">
        <v>0</v>
      </c>
      <c r="N52" s="24" t="n">
        <v>0</v>
      </c>
      <c r="O52" s="24" t="n">
        <v>0</v>
      </c>
      <c r="P52" s="24" t="n">
        <v>0</v>
      </c>
      <c r="Q52" s="24" t="n">
        <v>0</v>
      </c>
      <c r="R52" s="24" t="n">
        <v>0</v>
      </c>
      <c r="S52" s="24" t="n">
        <v>0</v>
      </c>
      <c r="T52" s="24" t="n">
        <v>0</v>
      </c>
      <c r="U52" s="24" t="n">
        <v>0</v>
      </c>
      <c r="V52" s="24" t="n">
        <v>0</v>
      </c>
      <c r="W52" s="24" t="n">
        <v>0</v>
      </c>
      <c r="X52" s="24" t="n">
        <v>0</v>
      </c>
      <c r="Y52" s="24" t="n">
        <v>0</v>
      </c>
      <c r="Z52" s="24" t="n">
        <v>0</v>
      </c>
      <c r="AA52" s="15" t="str">
        <v>NUEVO_2027_SIN_PLAN_E</v>
      </c>
      <c r="AB52" s="15" t="n">
        <v>0</v>
      </c>
      <c r="AC52" s="15" t="str">
        <v>PUBLICA; H002</v>
      </c>
      <c r="AD52" s="15" t="n">
        <v>0</v>
      </c>
      <c r="AE52" s="15" t="str">
        <v>n.a.</v>
      </c>
      <c r="AF52" s="15" t="str">
        <v>n.a.</v>
      </c>
      <c r="AG52" s="15" t="str">
        <v>n.a.</v>
      </c>
      <c r="AH52" s="15" t="str">
        <v>n.a.</v>
      </c>
      <c r="AI52" s="15" t="str">
        <v>n.a.</v>
      </c>
      <c r="AJ52" s="15" t="str">
        <v>n.a.</v>
      </c>
      <c r="AK52" s="15" t="str">
        <v>n.a.</v>
      </c>
      <c r="AL52" s="15" t="str">
        <v>n.a.</v>
      </c>
      <c r="AM52" s="15" t="str">
        <v>n.a.</v>
      </c>
      <c r="AN52" s="15" t="str">
        <v>n.a.</v>
      </c>
      <c r="AO52" s="15" t="str">
        <v>n.a.</v>
      </c>
      <c r="AP52" s="15" t="str">
        <v>n.a.</v>
      </c>
      <c r="AQ52" s="15" t="str">
        <v>n.a.</v>
      </c>
      <c r="AR52" s="15" t="str">
        <v>n.a.</v>
      </c>
      <c r="AS52" s="15" t="str">
        <v>n.a.</v>
      </c>
      <c r="AT52" s="15" t="str">
        <v>n.a.</v>
      </c>
      <c r="AU52" s="15" t="str">
        <v>n.a.</v>
      </c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</row>
    <row r="53" ht="27" customHeight="1">
      <c r="A53" s="14" t="str">
        <v>I162S2C136J4V1</v>
      </c>
      <c r="B53" s="14" t="str">
        <v>TECNICO EN COMERCIO EXTERIOR</v>
      </c>
      <c r="C53" s="14" t="str">
        <v>Pregrado</v>
      </c>
      <c r="D53" s="21" t="str">
        <v>n.a.</v>
      </c>
      <c r="E53" s="21" t="str">
        <v>n.a.</v>
      </c>
      <c r="F53" s="14" t="n">
        <v>0</v>
      </c>
      <c r="G53" s="22" t="n">
        <v>0</v>
      </c>
      <c r="H53" s="22" t="n">
        <v>0</v>
      </c>
      <c r="I53" s="22" t="n">
        <v>0</v>
      </c>
      <c r="J53" s="22" t="n">
        <v>0</v>
      </c>
      <c r="K53" s="22" t="n">
        <v>0</v>
      </c>
      <c r="L53" s="22" t="n">
        <v>0</v>
      </c>
      <c r="M53" s="22" t="n">
        <v>0</v>
      </c>
      <c r="N53" s="22" t="n">
        <v>0</v>
      </c>
      <c r="O53" s="22" t="n">
        <v>0</v>
      </c>
      <c r="P53" s="22" t="n">
        <v>0</v>
      </c>
      <c r="Q53" s="22" t="n">
        <v>0</v>
      </c>
      <c r="R53" s="22" t="n">
        <v>0</v>
      </c>
      <c r="S53" s="22" t="n">
        <v>0</v>
      </c>
      <c r="T53" s="22" t="n">
        <v>0</v>
      </c>
      <c r="U53" s="22" t="n">
        <v>0</v>
      </c>
      <c r="V53" s="22" t="n">
        <v>0</v>
      </c>
      <c r="W53" s="22" t="n">
        <v>0</v>
      </c>
      <c r="X53" s="22" t="n">
        <v>0</v>
      </c>
      <c r="Y53" s="22" t="n">
        <v>0</v>
      </c>
      <c r="Z53" s="22" t="n">
        <v>0</v>
      </c>
      <c r="AA53" s="14" t="str">
        <v>NUEVO_2027_SIN_PLAN_E</v>
      </c>
      <c r="AB53" s="14" t="n">
        <v>0</v>
      </c>
      <c r="AC53" s="14" t="str">
        <v>PUBLICA; H002</v>
      </c>
      <c r="AD53" s="14" t="n">
        <v>0</v>
      </c>
      <c r="AE53" s="14" t="str">
        <v>n.a.</v>
      </c>
      <c r="AF53" s="14" t="str">
        <v>n.a.</v>
      </c>
      <c r="AG53" s="14" t="str">
        <v>n.a.</v>
      </c>
      <c r="AH53" s="14" t="str">
        <v>n.a.</v>
      </c>
      <c r="AI53" s="14" t="str">
        <v>n.a.</v>
      </c>
      <c r="AJ53" s="14" t="str">
        <v>n.a.</v>
      </c>
      <c r="AK53" s="14" t="str">
        <v>n.a.</v>
      </c>
      <c r="AL53" s="14" t="str">
        <v>n.a.</v>
      </c>
      <c r="AM53" s="14" t="str">
        <v>n.a.</v>
      </c>
      <c r="AN53" s="14" t="str">
        <v>n.a.</v>
      </c>
      <c r="AO53" s="14" t="str">
        <v>n.a.</v>
      </c>
      <c r="AP53" s="14" t="str">
        <v>n.a.</v>
      </c>
      <c r="AQ53" s="14" t="str">
        <v>n.a.</v>
      </c>
      <c r="AR53" s="14" t="str">
        <v>n.a.</v>
      </c>
      <c r="AS53" s="14" t="str">
        <v>n.a.</v>
      </c>
      <c r="AT53" s="14" t="str">
        <v>n.a.</v>
      </c>
      <c r="AU53" s="14" t="str">
        <v>n.a.</v>
      </c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</row>
    <row r="54" ht="27" customHeight="1">
      <c r="A54" s="15" t="str">
        <v>I162S2C137J3V1</v>
      </c>
      <c r="B54" s="15" t="str">
        <v>TECNICO EN CONSTRUCCION</v>
      </c>
      <c r="C54" s="15" t="str">
        <v>Pregrado</v>
      </c>
      <c r="D54" s="23" t="str">
        <v>n.a.</v>
      </c>
      <c r="E54" s="23" t="str">
        <v>n.a.</v>
      </c>
      <c r="F54" s="15" t="n">
        <v>0</v>
      </c>
      <c r="G54" s="24" t="n">
        <v>0</v>
      </c>
      <c r="H54" s="24" t="n">
        <v>0</v>
      </c>
      <c r="I54" s="24" t="n">
        <v>0</v>
      </c>
      <c r="J54" s="24" t="n">
        <v>0</v>
      </c>
      <c r="K54" s="24" t="n">
        <v>0</v>
      </c>
      <c r="L54" s="24" t="n">
        <v>0</v>
      </c>
      <c r="M54" s="24" t="n">
        <v>0</v>
      </c>
      <c r="N54" s="24" t="n">
        <v>0</v>
      </c>
      <c r="O54" s="24" t="n">
        <v>0</v>
      </c>
      <c r="P54" s="24" t="n">
        <v>0</v>
      </c>
      <c r="Q54" s="24" t="n">
        <v>0</v>
      </c>
      <c r="R54" s="24" t="n">
        <v>0</v>
      </c>
      <c r="S54" s="24" t="n">
        <v>0</v>
      </c>
      <c r="T54" s="24" t="n">
        <v>0</v>
      </c>
      <c r="U54" s="24" t="n">
        <v>0</v>
      </c>
      <c r="V54" s="24" t="n">
        <v>0</v>
      </c>
      <c r="W54" s="24" t="n">
        <v>0</v>
      </c>
      <c r="X54" s="24" t="n">
        <v>0</v>
      </c>
      <c r="Y54" s="24" t="n">
        <v>0</v>
      </c>
      <c r="Z54" s="24" t="n">
        <v>0</v>
      </c>
      <c r="AA54" s="15" t="str">
        <v>NUEVO_2027_SIN_PLAN_E</v>
      </c>
      <c r="AB54" s="15" t="n">
        <v>0</v>
      </c>
      <c r="AC54" s="15" t="str">
        <v>PUBLICA; H002</v>
      </c>
      <c r="AD54" s="15" t="n">
        <v>0</v>
      </c>
      <c r="AE54" s="15" t="str">
        <v>n.a.</v>
      </c>
      <c r="AF54" s="15" t="str">
        <v>n.a.</v>
      </c>
      <c r="AG54" s="15" t="str">
        <v>n.a.</v>
      </c>
      <c r="AH54" s="15" t="str">
        <v>n.a.</v>
      </c>
      <c r="AI54" s="15" t="str">
        <v>n.a.</v>
      </c>
      <c r="AJ54" s="15" t="str">
        <v>n.a.</v>
      </c>
      <c r="AK54" s="15" t="str">
        <v>n.a.</v>
      </c>
      <c r="AL54" s="15" t="str">
        <v>n.a.</v>
      </c>
      <c r="AM54" s="15" t="str">
        <v>n.a.</v>
      </c>
      <c r="AN54" s="15" t="str">
        <v>n.a.</v>
      </c>
      <c r="AO54" s="15" t="str">
        <v>n.a.</v>
      </c>
      <c r="AP54" s="15" t="str">
        <v>n.a.</v>
      </c>
      <c r="AQ54" s="15" t="str">
        <v>n.a.</v>
      </c>
      <c r="AR54" s="15" t="str">
        <v>n.a.</v>
      </c>
      <c r="AS54" s="15" t="str">
        <v>n.a.</v>
      </c>
      <c r="AT54" s="15" t="str">
        <v>n.a.</v>
      </c>
      <c r="AU54" s="15" t="str">
        <v>n.a.</v>
      </c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</row>
    <row r="55" ht="27" customHeight="1">
      <c r="A55" s="14" t="str">
        <v>I162S2C138J3V1</v>
      </c>
      <c r="B55" s="14" t="str">
        <v>TECNICO EN ELECTRICIDAD</v>
      </c>
      <c r="C55" s="14" t="str">
        <v>Pregrado</v>
      </c>
      <c r="D55" s="21" t="str">
        <v>n.a.</v>
      </c>
      <c r="E55" s="21" t="str">
        <v>n.a.</v>
      </c>
      <c r="F55" s="14" t="n">
        <v>0</v>
      </c>
      <c r="G55" s="22" t="n">
        <v>0</v>
      </c>
      <c r="H55" s="22" t="n">
        <v>0</v>
      </c>
      <c r="I55" s="22" t="n">
        <v>0</v>
      </c>
      <c r="J55" s="22" t="n">
        <v>0</v>
      </c>
      <c r="K55" s="22" t="n">
        <v>0</v>
      </c>
      <c r="L55" s="22" t="n">
        <v>0</v>
      </c>
      <c r="M55" s="22" t="n">
        <v>0</v>
      </c>
      <c r="N55" s="22" t="n">
        <v>0</v>
      </c>
      <c r="O55" s="22" t="n">
        <v>0</v>
      </c>
      <c r="P55" s="22" t="n">
        <v>0</v>
      </c>
      <c r="Q55" s="22" t="n">
        <v>0</v>
      </c>
      <c r="R55" s="22" t="n">
        <v>0</v>
      </c>
      <c r="S55" s="22" t="n">
        <v>0</v>
      </c>
      <c r="T55" s="22" t="n">
        <v>0</v>
      </c>
      <c r="U55" s="22" t="n">
        <v>0</v>
      </c>
      <c r="V55" s="22" t="n">
        <v>0</v>
      </c>
      <c r="W55" s="22" t="n">
        <v>0</v>
      </c>
      <c r="X55" s="22" t="n">
        <v>0</v>
      </c>
      <c r="Y55" s="22" t="n">
        <v>0</v>
      </c>
      <c r="Z55" s="22" t="n">
        <v>0</v>
      </c>
      <c r="AA55" s="14" t="str">
        <v>NUEVO_2027_SIN_PLAN_E</v>
      </c>
      <c r="AB55" s="14" t="n">
        <v>0</v>
      </c>
      <c r="AC55" s="14" t="str">
        <v>PUBLICA; H002</v>
      </c>
      <c r="AD55" s="14" t="n">
        <v>0</v>
      </c>
      <c r="AE55" s="14" t="str">
        <v>n.a.</v>
      </c>
      <c r="AF55" s="14" t="str">
        <v>n.a.</v>
      </c>
      <c r="AG55" s="14" t="str">
        <v>n.a.</v>
      </c>
      <c r="AH55" s="14" t="str">
        <v>n.a.</v>
      </c>
      <c r="AI55" s="14" t="str">
        <v>n.a.</v>
      </c>
      <c r="AJ55" s="14" t="str">
        <v>n.a.</v>
      </c>
      <c r="AK55" s="14" t="str">
        <v>n.a.</v>
      </c>
      <c r="AL55" s="14" t="str">
        <v>n.a.</v>
      </c>
      <c r="AM55" s="14" t="str">
        <v>n.a.</v>
      </c>
      <c r="AN55" s="14" t="str">
        <v>n.a.</v>
      </c>
      <c r="AO55" s="14" t="str">
        <v>n.a.</v>
      </c>
      <c r="AP55" s="14" t="str">
        <v>n.a.</v>
      </c>
      <c r="AQ55" s="14" t="str">
        <v>n.a.</v>
      </c>
      <c r="AR55" s="14" t="str">
        <v>n.a.</v>
      </c>
      <c r="AS55" s="14" t="str">
        <v>n.a.</v>
      </c>
      <c r="AT55" s="14" t="str">
        <v>n.a.</v>
      </c>
      <c r="AU55" s="14" t="str">
        <v>n.a.</v>
      </c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</row>
    <row r="56" ht="27" customHeight="1">
      <c r="A56" s="15" t="str">
        <v>I162S2C139J3V1</v>
      </c>
      <c r="B56" s="15" t="str">
        <v>TECNICO EN IMAGENOLOGIA</v>
      </c>
      <c r="C56" s="15" t="str">
        <v>Pregrado</v>
      </c>
      <c r="D56" s="23" t="str">
        <v>n.a.</v>
      </c>
      <c r="E56" s="23" t="str">
        <v>n.a.</v>
      </c>
      <c r="F56" s="15" t="n">
        <v>0</v>
      </c>
      <c r="G56" s="24" t="n">
        <v>0</v>
      </c>
      <c r="H56" s="24" t="n">
        <v>0</v>
      </c>
      <c r="I56" s="24" t="n">
        <v>0</v>
      </c>
      <c r="J56" s="24" t="n">
        <v>0</v>
      </c>
      <c r="K56" s="24" t="n">
        <v>0</v>
      </c>
      <c r="L56" s="24" t="n">
        <v>0</v>
      </c>
      <c r="M56" s="24" t="n">
        <v>0</v>
      </c>
      <c r="N56" s="24" t="n">
        <v>0</v>
      </c>
      <c r="O56" s="24" t="n">
        <v>0</v>
      </c>
      <c r="P56" s="24" t="n">
        <v>0</v>
      </c>
      <c r="Q56" s="24" t="n">
        <v>0</v>
      </c>
      <c r="R56" s="24" t="n">
        <v>0</v>
      </c>
      <c r="S56" s="24" t="n">
        <v>0</v>
      </c>
      <c r="T56" s="24" t="n">
        <v>0</v>
      </c>
      <c r="U56" s="24" t="n">
        <v>0</v>
      </c>
      <c r="V56" s="24" t="n">
        <v>0</v>
      </c>
      <c r="W56" s="24" t="n">
        <v>0</v>
      </c>
      <c r="X56" s="24" t="n">
        <v>0</v>
      </c>
      <c r="Y56" s="24" t="n">
        <v>0</v>
      </c>
      <c r="Z56" s="24" t="n">
        <v>0</v>
      </c>
      <c r="AA56" s="15" t="str">
        <v>NUEVO_2027_SIN_PLAN_E</v>
      </c>
      <c r="AB56" s="15" t="n">
        <v>0</v>
      </c>
      <c r="AC56" s="15" t="str">
        <v>PUBLICA; H002</v>
      </c>
      <c r="AD56" s="15" t="n">
        <v>0</v>
      </c>
      <c r="AE56" s="15" t="str">
        <v>n.a.</v>
      </c>
      <c r="AF56" s="15" t="str">
        <v>n.a.</v>
      </c>
      <c r="AG56" s="15" t="str">
        <v>n.a.</v>
      </c>
      <c r="AH56" s="15" t="str">
        <v>n.a.</v>
      </c>
      <c r="AI56" s="15" t="str">
        <v>n.a.</v>
      </c>
      <c r="AJ56" s="15" t="str">
        <v>n.a.</v>
      </c>
      <c r="AK56" s="15" t="str">
        <v>n.a.</v>
      </c>
      <c r="AL56" s="15" t="str">
        <v>n.a.</v>
      </c>
      <c r="AM56" s="15" t="str">
        <v>n.a.</v>
      </c>
      <c r="AN56" s="15" t="str">
        <v>n.a.</v>
      </c>
      <c r="AO56" s="15" t="str">
        <v>n.a.</v>
      </c>
      <c r="AP56" s="15" t="str">
        <v>n.a.</v>
      </c>
      <c r="AQ56" s="15" t="str">
        <v>n.a.</v>
      </c>
      <c r="AR56" s="15" t="str">
        <v>n.a.</v>
      </c>
      <c r="AS56" s="15" t="str">
        <v>n.a.</v>
      </c>
      <c r="AT56" s="15" t="str">
        <v>n.a.</v>
      </c>
      <c r="AU56" s="15" t="str">
        <v>n.a.</v>
      </c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</row>
    <row r="57" ht="27" customHeight="1">
      <c r="A57" s="14" t="str">
        <v>I162S2C140J4V1</v>
      </c>
      <c r="B57" s="14" t="str">
        <v>TECNICO EN INTELIGENCIA ARTIFICIAL</v>
      </c>
      <c r="C57" s="14" t="str">
        <v>Pregrado</v>
      </c>
      <c r="D57" s="21" t="str">
        <v>n.a.</v>
      </c>
      <c r="E57" s="21" t="str">
        <v>n.a.</v>
      </c>
      <c r="F57" s="14" t="n">
        <v>0</v>
      </c>
      <c r="G57" s="22" t="n">
        <v>0</v>
      </c>
      <c r="H57" s="22" t="n">
        <v>0</v>
      </c>
      <c r="I57" s="22" t="n">
        <v>0</v>
      </c>
      <c r="J57" s="22" t="n">
        <v>0</v>
      </c>
      <c r="K57" s="22" t="n">
        <v>0</v>
      </c>
      <c r="L57" s="22" t="n">
        <v>0</v>
      </c>
      <c r="M57" s="22" t="n">
        <v>0</v>
      </c>
      <c r="N57" s="22" t="n">
        <v>0</v>
      </c>
      <c r="O57" s="22" t="n">
        <v>0</v>
      </c>
      <c r="P57" s="22" t="n">
        <v>0</v>
      </c>
      <c r="Q57" s="22" t="n">
        <v>0</v>
      </c>
      <c r="R57" s="22" t="n">
        <v>0</v>
      </c>
      <c r="S57" s="22" t="n">
        <v>0</v>
      </c>
      <c r="T57" s="22" t="n">
        <v>0</v>
      </c>
      <c r="U57" s="22" t="n">
        <v>0</v>
      </c>
      <c r="V57" s="22" t="n">
        <v>0</v>
      </c>
      <c r="W57" s="22" t="n">
        <v>0</v>
      </c>
      <c r="X57" s="22" t="n">
        <v>0</v>
      </c>
      <c r="Y57" s="22" t="n">
        <v>0</v>
      </c>
      <c r="Z57" s="22" t="n">
        <v>0</v>
      </c>
      <c r="AA57" s="14" t="str">
        <v>NUEVO_2027_SIN_PLAN_E</v>
      </c>
      <c r="AB57" s="14" t="n">
        <v>0</v>
      </c>
      <c r="AC57" s="14" t="str">
        <v>PUBLICA; H002</v>
      </c>
      <c r="AD57" s="14" t="n">
        <v>0</v>
      </c>
      <c r="AE57" s="14" t="str">
        <v>n.a.</v>
      </c>
      <c r="AF57" s="14" t="str">
        <v>n.a.</v>
      </c>
      <c r="AG57" s="14" t="str">
        <v>n.a.</v>
      </c>
      <c r="AH57" s="14" t="str">
        <v>n.a.</v>
      </c>
      <c r="AI57" s="14" t="str">
        <v>n.a.</v>
      </c>
      <c r="AJ57" s="14" t="str">
        <v>n.a.</v>
      </c>
      <c r="AK57" s="14" t="str">
        <v>n.a.</v>
      </c>
      <c r="AL57" s="14" t="str">
        <v>n.a.</v>
      </c>
      <c r="AM57" s="14" t="str">
        <v>n.a.</v>
      </c>
      <c r="AN57" s="14" t="str">
        <v>n.a.</v>
      </c>
      <c r="AO57" s="14" t="str">
        <v>n.a.</v>
      </c>
      <c r="AP57" s="14" t="str">
        <v>n.a.</v>
      </c>
      <c r="AQ57" s="14" t="str">
        <v>n.a.</v>
      </c>
      <c r="AR57" s="14" t="str">
        <v>n.a.</v>
      </c>
      <c r="AS57" s="14" t="str">
        <v>n.a.</v>
      </c>
      <c r="AT57" s="14" t="str">
        <v>n.a.</v>
      </c>
      <c r="AU57" s="14" t="str">
        <v>n.a.</v>
      </c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</row>
    <row r="58" ht="27" customHeight="1">
      <c r="A58" s="15" t="str">
        <v>I162S2C142J4V1</v>
      </c>
      <c r="B58" s="15" t="str">
        <v>TECNICO EN OPERACIONES MINERAS</v>
      </c>
      <c r="C58" s="15" t="str">
        <v>Pregrado</v>
      </c>
      <c r="D58" s="23" t="str">
        <v>n.a.</v>
      </c>
      <c r="E58" s="23" t="str">
        <v>n.a.</v>
      </c>
      <c r="F58" s="15" t="n">
        <v>0</v>
      </c>
      <c r="G58" s="24" t="n">
        <v>0</v>
      </c>
      <c r="H58" s="24" t="n">
        <v>0</v>
      </c>
      <c r="I58" s="24" t="n">
        <v>0</v>
      </c>
      <c r="J58" s="24" t="n">
        <v>0</v>
      </c>
      <c r="K58" s="24" t="n">
        <v>0</v>
      </c>
      <c r="L58" s="24" t="n">
        <v>0</v>
      </c>
      <c r="M58" s="24" t="n">
        <v>0</v>
      </c>
      <c r="N58" s="24" t="n">
        <v>0</v>
      </c>
      <c r="O58" s="24" t="n">
        <v>0</v>
      </c>
      <c r="P58" s="24" t="n">
        <v>0</v>
      </c>
      <c r="Q58" s="24" t="n">
        <v>0</v>
      </c>
      <c r="R58" s="24" t="n">
        <v>0</v>
      </c>
      <c r="S58" s="24" t="n">
        <v>0</v>
      </c>
      <c r="T58" s="24" t="n">
        <v>0</v>
      </c>
      <c r="U58" s="24" t="n">
        <v>0</v>
      </c>
      <c r="V58" s="24" t="n">
        <v>0</v>
      </c>
      <c r="W58" s="24" t="n">
        <v>0</v>
      </c>
      <c r="X58" s="24" t="n">
        <v>0</v>
      </c>
      <c r="Y58" s="24" t="n">
        <v>0</v>
      </c>
      <c r="Z58" s="24" t="n">
        <v>0</v>
      </c>
      <c r="AA58" s="15" t="str">
        <v>NUEVO_2027_SIN_PLAN_E</v>
      </c>
      <c r="AB58" s="15" t="n">
        <v>0</v>
      </c>
      <c r="AC58" s="15" t="str">
        <v>PUBLICA; H002</v>
      </c>
      <c r="AD58" s="15" t="n">
        <v>0</v>
      </c>
      <c r="AE58" s="15" t="str">
        <v>n.a.</v>
      </c>
      <c r="AF58" s="15" t="str">
        <v>n.a.</v>
      </c>
      <c r="AG58" s="15" t="str">
        <v>n.a.</v>
      </c>
      <c r="AH58" s="15" t="str">
        <v>n.a.</v>
      </c>
      <c r="AI58" s="15" t="str">
        <v>n.a.</v>
      </c>
      <c r="AJ58" s="15" t="str">
        <v>n.a.</v>
      </c>
      <c r="AK58" s="15" t="str">
        <v>n.a.</v>
      </c>
      <c r="AL58" s="15" t="str">
        <v>n.a.</v>
      </c>
      <c r="AM58" s="15" t="str">
        <v>n.a.</v>
      </c>
      <c r="AN58" s="15" t="str">
        <v>n.a.</v>
      </c>
      <c r="AO58" s="15" t="str">
        <v>n.a.</v>
      </c>
      <c r="AP58" s="15" t="str">
        <v>n.a.</v>
      </c>
      <c r="AQ58" s="15" t="str">
        <v>n.a.</v>
      </c>
      <c r="AR58" s="15" t="str">
        <v>n.a.</v>
      </c>
      <c r="AS58" s="15" t="str">
        <v>n.a.</v>
      </c>
      <c r="AT58" s="15" t="str">
        <v>n.a.</v>
      </c>
      <c r="AU58" s="15" t="str">
        <v>n.a.</v>
      </c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</row>
    <row r="59" ht="36" customHeight="1">
      <c r="A59" s="14" t="str">
        <v>I162S2C143J3V1</v>
      </c>
      <c r="B59" s="14" t="str">
        <v>TECNICO VETERINARIO EN CLINICA DE ANIMALES DE COMPAÑIA</v>
      </c>
      <c r="C59" s="14" t="str">
        <v>Pregrado</v>
      </c>
      <c r="D59" s="21" t="str">
        <v>n.a.</v>
      </c>
      <c r="E59" s="21" t="str">
        <v>n.a.</v>
      </c>
      <c r="F59" s="14" t="n">
        <v>0</v>
      </c>
      <c r="G59" s="22" t="n">
        <v>0</v>
      </c>
      <c r="H59" s="22" t="n">
        <v>0</v>
      </c>
      <c r="I59" s="22" t="n">
        <v>0</v>
      </c>
      <c r="J59" s="22" t="n">
        <v>0</v>
      </c>
      <c r="K59" s="22" t="n">
        <v>0</v>
      </c>
      <c r="L59" s="22" t="n">
        <v>0</v>
      </c>
      <c r="M59" s="22" t="n">
        <v>0</v>
      </c>
      <c r="N59" s="22" t="n">
        <v>0</v>
      </c>
      <c r="O59" s="22" t="n">
        <v>0</v>
      </c>
      <c r="P59" s="22" t="n">
        <v>0</v>
      </c>
      <c r="Q59" s="22" t="n">
        <v>0</v>
      </c>
      <c r="R59" s="22" t="n">
        <v>0</v>
      </c>
      <c r="S59" s="22" t="n">
        <v>0</v>
      </c>
      <c r="T59" s="22" t="n">
        <v>0</v>
      </c>
      <c r="U59" s="22" t="n">
        <v>0</v>
      </c>
      <c r="V59" s="22" t="n">
        <v>0</v>
      </c>
      <c r="W59" s="22" t="n">
        <v>0</v>
      </c>
      <c r="X59" s="22" t="n">
        <v>0</v>
      </c>
      <c r="Y59" s="22" t="n">
        <v>0</v>
      </c>
      <c r="Z59" s="22" t="n">
        <v>0</v>
      </c>
      <c r="AA59" s="14" t="str">
        <v>NUEVO_2027_SIN_PLAN_E</v>
      </c>
      <c r="AB59" s="14" t="n">
        <v>0</v>
      </c>
      <c r="AC59" s="14" t="str">
        <v>PUBLICA; H002</v>
      </c>
      <c r="AD59" s="14" t="n">
        <v>0</v>
      </c>
      <c r="AE59" s="14" t="str">
        <v>n.a.</v>
      </c>
      <c r="AF59" s="14" t="str">
        <v>n.a.</v>
      </c>
      <c r="AG59" s="14" t="str">
        <v>n.a.</v>
      </c>
      <c r="AH59" s="14" t="str">
        <v>n.a.</v>
      </c>
      <c r="AI59" s="14" t="str">
        <v>n.a.</v>
      </c>
      <c r="AJ59" s="14" t="str">
        <v>n.a.</v>
      </c>
      <c r="AK59" s="14" t="str">
        <v>n.a.</v>
      </c>
      <c r="AL59" s="14" t="str">
        <v>n.a.</v>
      </c>
      <c r="AM59" s="14" t="str">
        <v>n.a.</v>
      </c>
      <c r="AN59" s="14" t="str">
        <v>n.a.</v>
      </c>
      <c r="AO59" s="14" t="str">
        <v>n.a.</v>
      </c>
      <c r="AP59" s="14" t="str">
        <v>n.a.</v>
      </c>
      <c r="AQ59" s="14" t="str">
        <v>n.a.</v>
      </c>
      <c r="AR59" s="14" t="str">
        <v>n.a.</v>
      </c>
      <c r="AS59" s="14" t="str">
        <v>n.a.</v>
      </c>
      <c r="AT59" s="14" t="str">
        <v>n.a.</v>
      </c>
      <c r="AU59" s="14" t="str">
        <v>n.a.</v>
      </c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</row>
    <row r="60" ht="27" customHeight="1">
      <c r="A60" s="15" t="str">
        <v>I162S2C1J1V1</v>
      </c>
      <c r="B60" s="15" t="str">
        <v>INGENIERIA EN INFORMATICA</v>
      </c>
      <c r="C60" s="15" t="str">
        <v>Pregrado</v>
      </c>
      <c r="D60" s="23" t="n">
        <v>2008</v>
      </c>
      <c r="E60" s="23" t="n">
        <v>2026</v>
      </c>
      <c r="F60" s="15" t="n">
        <v>16</v>
      </c>
      <c r="G60" s="24" t="n">
        <v>0</v>
      </c>
      <c r="H60" s="24" t="n">
        <v>28</v>
      </c>
      <c r="I60" s="24" t="n">
        <v>26</v>
      </c>
      <c r="J60" s="24" t="n">
        <v>26</v>
      </c>
      <c r="K60" s="24" t="n">
        <v>20</v>
      </c>
      <c r="L60" s="24" t="n">
        <v>19</v>
      </c>
      <c r="M60" s="24" t="n">
        <v>41</v>
      </c>
      <c r="N60" s="24" t="n">
        <v>37</v>
      </c>
      <c r="O60" s="24" t="n">
        <v>36</v>
      </c>
      <c r="P60" s="24" t="n">
        <v>33</v>
      </c>
      <c r="Q60" s="24" t="n">
        <v>41</v>
      </c>
      <c r="R60" s="24" t="n">
        <v>34</v>
      </c>
      <c r="S60" s="24" t="n">
        <v>26</v>
      </c>
      <c r="T60" s="24" t="n">
        <v>7</v>
      </c>
      <c r="U60" s="24" t="n">
        <v>9</v>
      </c>
      <c r="V60" s="24" t="n">
        <v>0</v>
      </c>
      <c r="W60" s="24" t="n">
        <v>0</v>
      </c>
      <c r="X60" s="24" t="n">
        <v>0</v>
      </c>
      <c r="Y60" s="24" t="n">
        <v>7</v>
      </c>
      <c r="Z60" s="24" t="n">
        <v>2</v>
      </c>
      <c r="AA60" s="15" t="str">
        <v>CONTINUA</v>
      </c>
      <c r="AB60" s="15" t="n">
        <v>1</v>
      </c>
      <c r="AC60" s="15" t="str">
        <v>PUBLICA; H002</v>
      </c>
      <c r="AD60" s="15" t="n">
        <v>0</v>
      </c>
      <c r="AE60" s="15" t="n">
        <v>1</v>
      </c>
      <c r="AF60" s="15" t="n">
        <v>1</v>
      </c>
      <c r="AG60" s="15" t="n">
        <v>1</v>
      </c>
      <c r="AH60" s="15" t="n">
        <v>1</v>
      </c>
      <c r="AI60" s="15" t="n">
        <v>1</v>
      </c>
      <c r="AJ60" s="15" t="n">
        <v>1</v>
      </c>
      <c r="AK60" s="15" t="n">
        <v>1</v>
      </c>
      <c r="AL60" s="15" t="n">
        <v>1</v>
      </c>
      <c r="AM60" s="15" t="n">
        <v>1</v>
      </c>
      <c r="AN60" s="15" t="n">
        <v>2</v>
      </c>
      <c r="AO60" s="15" t="n">
        <v>2</v>
      </c>
      <c r="AP60" s="15" t="n">
        <v>1</v>
      </c>
      <c r="AQ60" s="15" t="n">
        <v>1</v>
      </c>
      <c r="AR60" s="15" t="n">
        <v>2</v>
      </c>
      <c r="AS60" s="15" t="n">
        <v>2</v>
      </c>
      <c r="AT60" s="15" t="n">
        <v>2</v>
      </c>
      <c r="AU60" s="15" t="n">
        <v>2</v>
      </c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</row>
    <row r="61" ht="27" customHeight="1">
      <c r="A61" s="14" t="str">
        <v>I162S2C1J1V2</v>
      </c>
      <c r="B61" s="14" t="str">
        <v>INGENIERIA EN INFORMATICA</v>
      </c>
      <c r="C61" s="14" t="str">
        <v>Pregrado</v>
      </c>
      <c r="D61" s="21" t="n">
        <v>2019</v>
      </c>
      <c r="E61" s="21" t="n">
        <v>2026</v>
      </c>
      <c r="F61" s="14" t="n">
        <v>8</v>
      </c>
      <c r="G61" s="22" t="n">
        <v>0</v>
      </c>
      <c r="H61" s="22" t="n">
        <v>0</v>
      </c>
      <c r="I61" s="22" t="n">
        <v>0</v>
      </c>
      <c r="J61" s="22" t="n">
        <v>0</v>
      </c>
      <c r="K61" s="22" t="n">
        <v>0</v>
      </c>
      <c r="L61" s="22" t="n">
        <v>0</v>
      </c>
      <c r="M61" s="22" t="n">
        <v>0</v>
      </c>
      <c r="N61" s="22" t="n">
        <v>0</v>
      </c>
      <c r="O61" s="22" t="n">
        <v>0</v>
      </c>
      <c r="P61" s="22" t="n">
        <v>0</v>
      </c>
      <c r="Q61" s="22" t="n">
        <v>0</v>
      </c>
      <c r="R61" s="22" t="n">
        <v>0</v>
      </c>
      <c r="S61" s="22" t="n">
        <v>17</v>
      </c>
      <c r="T61" s="22" t="n">
        <v>23</v>
      </c>
      <c r="U61" s="22" t="n">
        <v>10</v>
      </c>
      <c r="V61" s="22" t="n">
        <v>19</v>
      </c>
      <c r="W61" s="22" t="n">
        <v>4</v>
      </c>
      <c r="X61" s="22" t="n">
        <v>16</v>
      </c>
      <c r="Y61" s="22" t="n">
        <v>23</v>
      </c>
      <c r="Z61" s="22" t="n">
        <v>34</v>
      </c>
      <c r="AA61" s="14" t="str">
        <v>CONTINUA</v>
      </c>
      <c r="AB61" s="14" t="n">
        <v>1</v>
      </c>
      <c r="AC61" s="14" t="str">
        <v>PUBLICA; H002</v>
      </c>
      <c r="AD61" s="14" t="n">
        <v>0</v>
      </c>
      <c r="AE61" s="14" t="str">
        <v>n.a.</v>
      </c>
      <c r="AF61" s="14" t="str">
        <v>n.a.</v>
      </c>
      <c r="AG61" s="14" t="str">
        <v>n.a.</v>
      </c>
      <c r="AH61" s="14" t="str">
        <v>n.a.</v>
      </c>
      <c r="AI61" s="14" t="str">
        <v>n.a.</v>
      </c>
      <c r="AJ61" s="14" t="str">
        <v>n.a.</v>
      </c>
      <c r="AK61" s="14" t="str">
        <v>n.a.</v>
      </c>
      <c r="AL61" s="14" t="str">
        <v>n.a.</v>
      </c>
      <c r="AM61" s="14" t="str">
        <v>n.a.</v>
      </c>
      <c r="AN61" s="14" t="n">
        <v>1</v>
      </c>
      <c r="AO61" s="14" t="n">
        <v>1</v>
      </c>
      <c r="AP61" s="14" t="n">
        <v>1</v>
      </c>
      <c r="AQ61" s="14" t="n">
        <v>2</v>
      </c>
      <c r="AR61" s="14" t="n">
        <v>1</v>
      </c>
      <c r="AS61" s="14" t="n">
        <v>1</v>
      </c>
      <c r="AT61" s="14" t="n">
        <v>1</v>
      </c>
      <c r="AU61" s="14" t="n">
        <v>1</v>
      </c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</row>
    <row r="62" ht="27" customHeight="1">
      <c r="A62" s="15" t="str">
        <v>I162S2C1J2V1</v>
      </c>
      <c r="B62" s="15" t="str">
        <v>INGENIERIA EN INFORMATICA</v>
      </c>
      <c r="C62" s="15" t="str">
        <v>Pregrado</v>
      </c>
      <c r="D62" s="23" t="n">
        <v>2007</v>
      </c>
      <c r="E62" s="23" t="n">
        <v>2025</v>
      </c>
      <c r="F62" s="15" t="n">
        <v>16</v>
      </c>
      <c r="G62" s="24" t="n">
        <v>158</v>
      </c>
      <c r="H62" s="24" t="n">
        <v>122</v>
      </c>
      <c r="I62" s="24" t="n">
        <v>104</v>
      </c>
      <c r="J62" s="24" t="n">
        <v>119</v>
      </c>
      <c r="K62" s="24" t="n">
        <v>132</v>
      </c>
      <c r="L62" s="24" t="n">
        <v>139</v>
      </c>
      <c r="M62" s="24" t="n">
        <v>166</v>
      </c>
      <c r="N62" s="24" t="n">
        <v>160</v>
      </c>
      <c r="O62" s="24" t="n">
        <v>170</v>
      </c>
      <c r="P62" s="24" t="n">
        <v>121</v>
      </c>
      <c r="Q62" s="24" t="n">
        <v>112</v>
      </c>
      <c r="R62" s="24" t="n">
        <v>84</v>
      </c>
      <c r="S62" s="24" t="n">
        <v>53</v>
      </c>
      <c r="T62" s="24" t="n">
        <v>54</v>
      </c>
      <c r="U62" s="24" t="n">
        <v>35</v>
      </c>
      <c r="V62" s="24" t="n">
        <v>0</v>
      </c>
      <c r="W62" s="24" t="n">
        <v>0</v>
      </c>
      <c r="X62" s="24" t="n">
        <v>0</v>
      </c>
      <c r="Y62" s="24" t="n">
        <v>9</v>
      </c>
      <c r="Z62" s="24" t="n">
        <v>0</v>
      </c>
      <c r="AA62" s="15" t="str">
        <v>CONTINUA</v>
      </c>
      <c r="AB62" s="15" t="n">
        <v>1</v>
      </c>
      <c r="AC62" s="15" t="str">
        <v>PUBLICA; H002</v>
      </c>
      <c r="AD62" s="15" t="n">
        <v>0</v>
      </c>
      <c r="AE62" s="15" t="n">
        <v>1</v>
      </c>
      <c r="AF62" s="15" t="n">
        <v>1</v>
      </c>
      <c r="AG62" s="15" t="n">
        <v>1</v>
      </c>
      <c r="AH62" s="15" t="n">
        <v>1</v>
      </c>
      <c r="AI62" s="15" t="n">
        <v>1</v>
      </c>
      <c r="AJ62" s="15" t="n">
        <v>1</v>
      </c>
      <c r="AK62" s="15" t="n">
        <v>1</v>
      </c>
      <c r="AL62" s="15" t="n">
        <v>1</v>
      </c>
      <c r="AM62" s="15" t="n">
        <v>1</v>
      </c>
      <c r="AN62" s="15" t="n">
        <v>2</v>
      </c>
      <c r="AO62" s="15" t="n">
        <v>2</v>
      </c>
      <c r="AP62" s="15" t="n">
        <v>1</v>
      </c>
      <c r="AQ62" s="15" t="n">
        <v>1</v>
      </c>
      <c r="AR62" s="15" t="n">
        <v>2</v>
      </c>
      <c r="AS62" s="15" t="n">
        <v>2</v>
      </c>
      <c r="AT62" s="15" t="n">
        <v>2</v>
      </c>
      <c r="AU62" s="15" t="n">
        <v>2</v>
      </c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</row>
    <row r="63" ht="27" customHeight="1">
      <c r="A63" s="14" t="str">
        <v>I162S2C1J2V2</v>
      </c>
      <c r="B63" s="14" t="str">
        <v>INGENIERIA EN INFORMATICA</v>
      </c>
      <c r="C63" s="14" t="str">
        <v>Pregrado</v>
      </c>
      <c r="D63" s="21" t="n">
        <v>2016</v>
      </c>
      <c r="E63" s="21" t="n">
        <v>2021</v>
      </c>
      <c r="F63" s="14" t="n">
        <v>6</v>
      </c>
      <c r="G63" s="22" t="n">
        <v>0</v>
      </c>
      <c r="H63" s="22" t="n">
        <v>0</v>
      </c>
      <c r="I63" s="22" t="n">
        <v>0</v>
      </c>
      <c r="J63" s="22" t="n">
        <v>0</v>
      </c>
      <c r="K63" s="22" t="n">
        <v>0</v>
      </c>
      <c r="L63" s="22" t="n">
        <v>0</v>
      </c>
      <c r="M63" s="22" t="n">
        <v>0</v>
      </c>
      <c r="N63" s="22" t="n">
        <v>0</v>
      </c>
      <c r="O63" s="22" t="n">
        <v>0</v>
      </c>
      <c r="P63" s="22" t="n">
        <v>50</v>
      </c>
      <c r="Q63" s="22" t="n">
        <v>64</v>
      </c>
      <c r="R63" s="22" t="n">
        <v>42</v>
      </c>
      <c r="S63" s="22" t="n">
        <v>27</v>
      </c>
      <c r="T63" s="22" t="n">
        <v>5</v>
      </c>
      <c r="U63" s="22" t="n">
        <v>3</v>
      </c>
      <c r="V63" s="22" t="n">
        <v>0</v>
      </c>
      <c r="W63" s="22" t="n">
        <v>0</v>
      </c>
      <c r="X63" s="22" t="n">
        <v>0</v>
      </c>
      <c r="Y63" s="22" t="n">
        <v>0</v>
      </c>
      <c r="Z63" s="22" t="n">
        <v>0</v>
      </c>
      <c r="AA63" s="14" t="str">
        <v>CONTINUA</v>
      </c>
      <c r="AB63" s="14" t="n">
        <v>1</v>
      </c>
      <c r="AC63" s="14" t="str">
        <v>PUBLICA; H002</v>
      </c>
      <c r="AD63" s="14" t="n">
        <v>1</v>
      </c>
      <c r="AE63" s="14" t="str">
        <v>n.a.</v>
      </c>
      <c r="AF63" s="14" t="str">
        <v>n.a.</v>
      </c>
      <c r="AG63" s="14" t="str">
        <v>n.a.</v>
      </c>
      <c r="AH63" s="14" t="str">
        <v>n.a.</v>
      </c>
      <c r="AI63" s="14" t="str">
        <v>n.a.</v>
      </c>
      <c r="AJ63" s="14" t="str">
        <v>n.a.</v>
      </c>
      <c r="AK63" s="14" t="n">
        <v>1</v>
      </c>
      <c r="AL63" s="14" t="n">
        <v>1</v>
      </c>
      <c r="AM63" s="14" t="n">
        <v>1</v>
      </c>
      <c r="AN63" s="14" t="n">
        <v>2</v>
      </c>
      <c r="AO63" s="14" t="n">
        <v>2</v>
      </c>
      <c r="AP63" s="14" t="n">
        <v>2</v>
      </c>
      <c r="AQ63" s="14" t="n">
        <v>2</v>
      </c>
      <c r="AR63" s="14" t="n">
        <v>2</v>
      </c>
      <c r="AS63" s="14" t="n">
        <v>2</v>
      </c>
      <c r="AT63" s="14" t="n">
        <v>2</v>
      </c>
      <c r="AU63" s="14" t="n">
        <v>2</v>
      </c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</row>
    <row r="64" ht="27" customHeight="1">
      <c r="A64" s="15" t="str">
        <v>I162S2C1J2V3</v>
      </c>
      <c r="B64" s="15" t="str">
        <v>INGENIERIA EN INFORMATICA</v>
      </c>
      <c r="C64" s="15" t="str">
        <v>Pregrado</v>
      </c>
      <c r="D64" s="23" t="n">
        <v>2018</v>
      </c>
      <c r="E64" s="23" t="n">
        <v>2021</v>
      </c>
      <c r="F64" s="15" t="n">
        <v>4</v>
      </c>
      <c r="G64" s="24" t="n">
        <v>0</v>
      </c>
      <c r="H64" s="24" t="n">
        <v>0</v>
      </c>
      <c r="I64" s="24" t="n">
        <v>0</v>
      </c>
      <c r="J64" s="24" t="n">
        <v>0</v>
      </c>
      <c r="K64" s="24" t="n">
        <v>0</v>
      </c>
      <c r="L64" s="24" t="n">
        <v>0</v>
      </c>
      <c r="M64" s="24" t="n">
        <v>0</v>
      </c>
      <c r="N64" s="24" t="n">
        <v>0</v>
      </c>
      <c r="O64" s="24" t="n">
        <v>0</v>
      </c>
      <c r="P64" s="24" t="n">
        <v>0</v>
      </c>
      <c r="Q64" s="24" t="n">
        <v>0</v>
      </c>
      <c r="R64" s="24" t="n">
        <v>31</v>
      </c>
      <c r="S64" s="24" t="n">
        <v>38</v>
      </c>
      <c r="T64" s="24" t="n">
        <v>22</v>
      </c>
      <c r="U64" s="24" t="n">
        <v>7</v>
      </c>
      <c r="V64" s="24" t="n">
        <v>0</v>
      </c>
      <c r="W64" s="24" t="n">
        <v>0</v>
      </c>
      <c r="X64" s="24" t="n">
        <v>0</v>
      </c>
      <c r="Y64" s="24" t="n">
        <v>0</v>
      </c>
      <c r="Z64" s="24" t="n">
        <v>0</v>
      </c>
      <c r="AA64" s="15" t="str">
        <v>CONTINUA</v>
      </c>
      <c r="AB64" s="15" t="n">
        <v>1</v>
      </c>
      <c r="AC64" s="15" t="str">
        <v>PUBLICA; H002</v>
      </c>
      <c r="AD64" s="15" t="n">
        <v>1</v>
      </c>
      <c r="AE64" s="15" t="str">
        <v>n.a.</v>
      </c>
      <c r="AF64" s="15" t="str">
        <v>n.a.</v>
      </c>
      <c r="AG64" s="15" t="str">
        <v>n.a.</v>
      </c>
      <c r="AH64" s="15" t="str">
        <v>n.a.</v>
      </c>
      <c r="AI64" s="15" t="str">
        <v>n.a.</v>
      </c>
      <c r="AJ64" s="15" t="str">
        <v>n.a.</v>
      </c>
      <c r="AK64" s="15" t="str">
        <v>n.a.</v>
      </c>
      <c r="AL64" s="15" t="str">
        <v>n.a.</v>
      </c>
      <c r="AM64" s="15" t="n">
        <v>1</v>
      </c>
      <c r="AN64" s="15" t="n">
        <v>1</v>
      </c>
      <c r="AO64" s="15" t="n">
        <v>1</v>
      </c>
      <c r="AP64" s="15" t="n">
        <v>1</v>
      </c>
      <c r="AQ64" s="15" t="n">
        <v>2</v>
      </c>
      <c r="AR64" s="15" t="n">
        <v>2</v>
      </c>
      <c r="AS64" s="15" t="n">
        <v>2</v>
      </c>
      <c r="AT64" s="15" t="n">
        <v>2</v>
      </c>
      <c r="AU64" s="15" t="n">
        <v>2</v>
      </c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</row>
    <row r="65" ht="27" customHeight="1">
      <c r="A65" s="14" t="str">
        <v>I162S2C1J2V4</v>
      </c>
      <c r="B65" s="14" t="str">
        <v>INGENIERIA EN INFORMATICA</v>
      </c>
      <c r="C65" s="14" t="str">
        <v>Pregrado</v>
      </c>
      <c r="D65" s="21" t="n">
        <v>2019</v>
      </c>
      <c r="E65" s="21" t="n">
        <v>2026</v>
      </c>
      <c r="F65" s="14" t="n">
        <v>8</v>
      </c>
      <c r="G65" s="22" t="n">
        <v>0</v>
      </c>
      <c r="H65" s="22" t="n">
        <v>0</v>
      </c>
      <c r="I65" s="22" t="n">
        <v>0</v>
      </c>
      <c r="J65" s="22" t="n">
        <v>0</v>
      </c>
      <c r="K65" s="22" t="n">
        <v>0</v>
      </c>
      <c r="L65" s="22" t="n">
        <v>0</v>
      </c>
      <c r="M65" s="22" t="n">
        <v>0</v>
      </c>
      <c r="N65" s="22" t="n">
        <v>0</v>
      </c>
      <c r="O65" s="22" t="n">
        <v>0</v>
      </c>
      <c r="P65" s="22" t="n">
        <v>0</v>
      </c>
      <c r="Q65" s="22" t="n">
        <v>0</v>
      </c>
      <c r="R65" s="22" t="n">
        <v>0</v>
      </c>
      <c r="S65" s="22" t="n">
        <v>21</v>
      </c>
      <c r="T65" s="22" t="n">
        <v>14</v>
      </c>
      <c r="U65" s="22" t="n">
        <v>15</v>
      </c>
      <c r="V65" s="22" t="n">
        <v>29</v>
      </c>
      <c r="W65" s="22" t="n">
        <v>28</v>
      </c>
      <c r="X65" s="22" t="n">
        <v>28</v>
      </c>
      <c r="Y65" s="22" t="n">
        <v>24</v>
      </c>
      <c r="Z65" s="22" t="n">
        <v>32</v>
      </c>
      <c r="AA65" s="14" t="str">
        <v>CONTINUA</v>
      </c>
      <c r="AB65" s="14" t="n">
        <v>1</v>
      </c>
      <c r="AC65" s="14" t="str">
        <v>PUBLICA; H002</v>
      </c>
      <c r="AD65" s="14" t="n">
        <v>0</v>
      </c>
      <c r="AE65" s="14" t="str">
        <v>n.a.</v>
      </c>
      <c r="AF65" s="14" t="str">
        <v>n.a.</v>
      </c>
      <c r="AG65" s="14" t="str">
        <v>n.a.</v>
      </c>
      <c r="AH65" s="14" t="str">
        <v>n.a.</v>
      </c>
      <c r="AI65" s="14" t="str">
        <v>n.a.</v>
      </c>
      <c r="AJ65" s="14" t="str">
        <v>n.a.</v>
      </c>
      <c r="AK65" s="14" t="str">
        <v>n.a.</v>
      </c>
      <c r="AL65" s="14" t="str">
        <v>n.a.</v>
      </c>
      <c r="AM65" s="14" t="str">
        <v>n.a.</v>
      </c>
      <c r="AN65" s="14" t="n">
        <v>1</v>
      </c>
      <c r="AO65" s="14" t="n">
        <v>1</v>
      </c>
      <c r="AP65" s="14" t="n">
        <v>1</v>
      </c>
      <c r="AQ65" s="14" t="n">
        <v>2</v>
      </c>
      <c r="AR65" s="14" t="n">
        <v>1</v>
      </c>
      <c r="AS65" s="14" t="n">
        <v>1</v>
      </c>
      <c r="AT65" s="14" t="n">
        <v>1</v>
      </c>
      <c r="AU65" s="14" t="n">
        <v>1</v>
      </c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</row>
    <row r="66" ht="27" customHeight="1">
      <c r="A66" s="15" t="str">
        <v>I162S2C1J4V1</v>
      </c>
      <c r="B66" s="15" t="str">
        <v>INGENIERIA EN INFORMATICA</v>
      </c>
      <c r="C66" s="15" t="str">
        <v>Pregrado</v>
      </c>
      <c r="D66" s="23" t="n">
        <v>2018</v>
      </c>
      <c r="E66" s="23" t="n">
        <v>2023</v>
      </c>
      <c r="F66" s="15" t="n">
        <v>6</v>
      </c>
      <c r="G66" s="24" t="n">
        <v>0</v>
      </c>
      <c r="H66" s="24" t="n">
        <v>0</v>
      </c>
      <c r="I66" s="24" t="n">
        <v>0</v>
      </c>
      <c r="J66" s="24" t="n">
        <v>0</v>
      </c>
      <c r="K66" s="24" t="n">
        <v>0</v>
      </c>
      <c r="L66" s="24" t="n">
        <v>0</v>
      </c>
      <c r="M66" s="24" t="n">
        <v>0</v>
      </c>
      <c r="N66" s="24" t="n">
        <v>0</v>
      </c>
      <c r="O66" s="24" t="n">
        <v>0</v>
      </c>
      <c r="P66" s="24" t="n">
        <v>0</v>
      </c>
      <c r="Q66" s="24" t="n">
        <v>0</v>
      </c>
      <c r="R66" s="24" t="n">
        <v>20</v>
      </c>
      <c r="S66" s="24" t="n">
        <v>17</v>
      </c>
      <c r="T66" s="24" t="n">
        <v>39</v>
      </c>
      <c r="U66" s="24" t="n">
        <v>86</v>
      </c>
      <c r="V66" s="24" t="n">
        <v>1</v>
      </c>
      <c r="W66" s="24" t="n">
        <v>1</v>
      </c>
      <c r="X66" s="24" t="n">
        <v>0</v>
      </c>
      <c r="Y66" s="24" t="n">
        <v>0</v>
      </c>
      <c r="Z66" s="24" t="n">
        <v>0</v>
      </c>
      <c r="AA66" s="15" t="str">
        <v>SIN_OFERTA_2027</v>
      </c>
      <c r="AB66" s="15" t="n">
        <v>1</v>
      </c>
      <c r="AC66" s="15" t="str">
        <v>PUBLICA; H002</v>
      </c>
      <c r="AD66" s="15" t="n">
        <v>0</v>
      </c>
      <c r="AE66" s="15" t="str">
        <v>n.a.</v>
      </c>
      <c r="AF66" s="15" t="str">
        <v>n.a.</v>
      </c>
      <c r="AG66" s="15" t="str">
        <v>n.a.</v>
      </c>
      <c r="AH66" s="15" t="str">
        <v>n.a.</v>
      </c>
      <c r="AI66" s="15" t="str">
        <v>n.a.</v>
      </c>
      <c r="AJ66" s="15" t="str">
        <v>n.a.</v>
      </c>
      <c r="AK66" s="15" t="str">
        <v>n.a.</v>
      </c>
      <c r="AL66" s="15" t="str">
        <v>n.a.</v>
      </c>
      <c r="AM66" s="15" t="n">
        <v>1</v>
      </c>
      <c r="AN66" s="15" t="n">
        <v>2</v>
      </c>
      <c r="AO66" s="15" t="n">
        <v>2</v>
      </c>
      <c r="AP66" s="15" t="n">
        <v>1</v>
      </c>
      <c r="AQ66" s="15" t="n">
        <v>1</v>
      </c>
      <c r="AR66" s="15" t="n">
        <v>2</v>
      </c>
      <c r="AS66" s="15" t="str">
        <v>n.a.</v>
      </c>
      <c r="AT66" s="15" t="str">
        <v>n.a.</v>
      </c>
      <c r="AU66" s="15" t="str">
        <v>n.a.</v>
      </c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</row>
    <row r="67" ht="27" customHeight="1">
      <c r="A67" s="14" t="str">
        <v>I162S2C1J4V2</v>
      </c>
      <c r="B67" s="14" t="str">
        <v>INGENIERIA EN INFORMATICA</v>
      </c>
      <c r="C67" s="14" t="str">
        <v>Pregrado</v>
      </c>
      <c r="D67" s="21" t="n">
        <v>2019</v>
      </c>
      <c r="E67" s="21" t="n">
        <v>2026</v>
      </c>
      <c r="F67" s="14" t="n">
        <v>8</v>
      </c>
      <c r="G67" s="22" t="n">
        <v>0</v>
      </c>
      <c r="H67" s="22" t="n">
        <v>0</v>
      </c>
      <c r="I67" s="22" t="n">
        <v>0</v>
      </c>
      <c r="J67" s="22" t="n">
        <v>0</v>
      </c>
      <c r="K67" s="22" t="n">
        <v>0</v>
      </c>
      <c r="L67" s="22" t="n">
        <v>0</v>
      </c>
      <c r="M67" s="22" t="n">
        <v>0</v>
      </c>
      <c r="N67" s="22" t="n">
        <v>0</v>
      </c>
      <c r="O67" s="22" t="n">
        <v>0</v>
      </c>
      <c r="P67" s="22" t="n">
        <v>0</v>
      </c>
      <c r="Q67" s="22" t="n">
        <v>0</v>
      </c>
      <c r="R67" s="22" t="n">
        <v>0</v>
      </c>
      <c r="S67" s="22" t="n">
        <v>26</v>
      </c>
      <c r="T67" s="22" t="n">
        <v>22</v>
      </c>
      <c r="U67" s="22" t="n">
        <v>14</v>
      </c>
      <c r="V67" s="22" t="n">
        <v>130</v>
      </c>
      <c r="W67" s="22" t="n">
        <v>163</v>
      </c>
      <c r="X67" s="22" t="n">
        <v>231</v>
      </c>
      <c r="Y67" s="22" t="n">
        <v>254</v>
      </c>
      <c r="Z67" s="22" t="n">
        <v>239</v>
      </c>
      <c r="AA67" s="14" t="str">
        <v>APROBADA_D_2027</v>
      </c>
      <c r="AB67" s="14" t="n">
        <v>1</v>
      </c>
      <c r="AC67" s="14" t="str">
        <v>PUBLICA; H002</v>
      </c>
      <c r="AD67" s="14" t="n">
        <v>0</v>
      </c>
      <c r="AE67" s="14" t="str">
        <v>n.a.</v>
      </c>
      <c r="AF67" s="14" t="str">
        <v>n.a.</v>
      </c>
      <c r="AG67" s="14" t="str">
        <v>n.a.</v>
      </c>
      <c r="AH67" s="14" t="str">
        <v>n.a.</v>
      </c>
      <c r="AI67" s="14" t="str">
        <v>n.a.</v>
      </c>
      <c r="AJ67" s="14" t="str">
        <v>n.a.</v>
      </c>
      <c r="AK67" s="14" t="str">
        <v>n.a.</v>
      </c>
      <c r="AL67" s="14" t="str">
        <v>n.a.</v>
      </c>
      <c r="AM67" s="14" t="str">
        <v>n.a.</v>
      </c>
      <c r="AN67" s="14" t="n">
        <v>1</v>
      </c>
      <c r="AO67" s="14" t="n">
        <v>1</v>
      </c>
      <c r="AP67" s="14" t="n">
        <v>1</v>
      </c>
      <c r="AQ67" s="14" t="n">
        <v>2</v>
      </c>
      <c r="AR67" s="14" t="n">
        <v>1</v>
      </c>
      <c r="AS67" s="14" t="n">
        <v>1</v>
      </c>
      <c r="AT67" s="14" t="n">
        <v>1</v>
      </c>
      <c r="AU67" s="14" t="n">
        <v>1</v>
      </c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</row>
    <row r="68" ht="27" customHeight="1">
      <c r="A68" s="15" t="str">
        <v>I162S2C1J4V3</v>
      </c>
      <c r="B68" s="15" t="str">
        <v>INGENIERIA EN INFORMATICA</v>
      </c>
      <c r="C68" s="15" t="str">
        <v>Pregrado</v>
      </c>
      <c r="D68" s="23" t="n">
        <v>2019</v>
      </c>
      <c r="E68" s="23" t="n">
        <v>2026</v>
      </c>
      <c r="F68" s="15" t="n">
        <v>6</v>
      </c>
      <c r="G68" s="24" t="n">
        <v>0</v>
      </c>
      <c r="H68" s="24" t="n">
        <v>0</v>
      </c>
      <c r="I68" s="24" t="n">
        <v>0</v>
      </c>
      <c r="J68" s="24" t="n">
        <v>0</v>
      </c>
      <c r="K68" s="24" t="n">
        <v>0</v>
      </c>
      <c r="L68" s="24" t="n">
        <v>0</v>
      </c>
      <c r="M68" s="24" t="n">
        <v>0</v>
      </c>
      <c r="N68" s="24" t="n">
        <v>0</v>
      </c>
      <c r="O68" s="24" t="n">
        <v>0</v>
      </c>
      <c r="P68" s="24" t="n">
        <v>0</v>
      </c>
      <c r="Q68" s="24" t="n">
        <v>0</v>
      </c>
      <c r="R68" s="24" t="n">
        <v>0</v>
      </c>
      <c r="S68" s="24" t="n">
        <v>5</v>
      </c>
      <c r="T68" s="24" t="n">
        <v>15</v>
      </c>
      <c r="U68" s="24" t="n">
        <v>11</v>
      </c>
      <c r="V68" s="24" t="n">
        <v>0</v>
      </c>
      <c r="W68" s="24" t="n">
        <v>0</v>
      </c>
      <c r="X68" s="24" t="n">
        <v>1</v>
      </c>
      <c r="Y68" s="24" t="n">
        <v>34</v>
      </c>
      <c r="Z68" s="24" t="n">
        <v>86</v>
      </c>
      <c r="AA68" s="15" t="str">
        <v>VERSION_MULTIPLE_RESUELTA</v>
      </c>
      <c r="AB68" s="15" t="n">
        <v>1</v>
      </c>
      <c r="AC68" s="15" t="str">
        <v>PUBLICA; H002</v>
      </c>
      <c r="AD68" s="15" t="n">
        <v>0</v>
      </c>
      <c r="AE68" s="15" t="str">
        <v>n.a.</v>
      </c>
      <c r="AF68" s="15" t="str">
        <v>n.a.</v>
      </c>
      <c r="AG68" s="15" t="str">
        <v>n.a.</v>
      </c>
      <c r="AH68" s="15" t="str">
        <v>n.a.</v>
      </c>
      <c r="AI68" s="15" t="str">
        <v>n.a.</v>
      </c>
      <c r="AJ68" s="15" t="str">
        <v>n.a.</v>
      </c>
      <c r="AK68" s="15" t="str">
        <v>n.a.</v>
      </c>
      <c r="AL68" s="15" t="str">
        <v>n.a.</v>
      </c>
      <c r="AM68" s="15" t="str">
        <v>n.a.</v>
      </c>
      <c r="AN68" s="15" t="n">
        <v>1</v>
      </c>
      <c r="AO68" s="15" t="n">
        <v>1</v>
      </c>
      <c r="AP68" s="15" t="n">
        <v>1</v>
      </c>
      <c r="AQ68" s="15" t="n">
        <v>2</v>
      </c>
      <c r="AR68" s="15" t="n">
        <v>2</v>
      </c>
      <c r="AS68" s="15" t="n">
        <v>2</v>
      </c>
      <c r="AT68" s="15" t="n">
        <v>2</v>
      </c>
      <c r="AU68" s="15" t="n">
        <v>2</v>
      </c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</row>
    <row r="69" ht="36" customHeight="1">
      <c r="A69" s="14" t="str">
        <v>I162S2C22J1V1</v>
      </c>
      <c r="B69" s="14" t="str">
        <v>INGENIERIA EN AUTOMATIZACION Y CONTROL INDUSTRIAL</v>
      </c>
      <c r="C69" s="14" t="str">
        <v>Pregrado</v>
      </c>
      <c r="D69" s="21" t="n">
        <v>2014</v>
      </c>
      <c r="E69" s="21" t="n">
        <v>2014</v>
      </c>
      <c r="F69" s="14" t="n">
        <v>1</v>
      </c>
      <c r="G69" s="22" t="n">
        <v>0</v>
      </c>
      <c r="H69" s="22" t="n">
        <v>0</v>
      </c>
      <c r="I69" s="22" t="n">
        <v>0</v>
      </c>
      <c r="J69" s="22" t="n">
        <v>0</v>
      </c>
      <c r="K69" s="22" t="n">
        <v>0</v>
      </c>
      <c r="L69" s="22" t="n">
        <v>0</v>
      </c>
      <c r="M69" s="22" t="n">
        <v>0</v>
      </c>
      <c r="N69" s="22" t="n">
        <v>2</v>
      </c>
      <c r="O69" s="22" t="n">
        <v>0</v>
      </c>
      <c r="P69" s="22" t="n">
        <v>0</v>
      </c>
      <c r="Q69" s="22" t="n">
        <v>0</v>
      </c>
      <c r="R69" s="22" t="n">
        <v>0</v>
      </c>
      <c r="S69" s="22" t="n">
        <v>0</v>
      </c>
      <c r="T69" s="22" t="n">
        <v>0</v>
      </c>
      <c r="U69" s="22" t="n">
        <v>0</v>
      </c>
      <c r="V69" s="22" t="n">
        <v>0</v>
      </c>
      <c r="W69" s="22" t="n">
        <v>0</v>
      </c>
      <c r="X69" s="22" t="n">
        <v>0</v>
      </c>
      <c r="Y69" s="22" t="n">
        <v>0</v>
      </c>
      <c r="Z69" s="22" t="n">
        <v>0</v>
      </c>
      <c r="AA69" s="14" t="str">
        <v>APROBADA_D_2027</v>
      </c>
      <c r="AB69" s="14" t="n">
        <v>1</v>
      </c>
      <c r="AC69" s="14" t="str">
        <v>PUBLICA; H002</v>
      </c>
      <c r="AD69" s="14" t="n">
        <v>1</v>
      </c>
      <c r="AE69" s="14" t="str">
        <v>n.a.</v>
      </c>
      <c r="AF69" s="14" t="str">
        <v>n.a.</v>
      </c>
      <c r="AG69" s="14" t="str">
        <v>n.a.</v>
      </c>
      <c r="AH69" s="14" t="str">
        <v>n.a.</v>
      </c>
      <c r="AI69" s="14" t="n">
        <v>1</v>
      </c>
      <c r="AJ69" s="14" t="n">
        <v>1</v>
      </c>
      <c r="AK69" s="14" t="n">
        <v>1</v>
      </c>
      <c r="AL69" s="14" t="n">
        <v>1</v>
      </c>
      <c r="AM69" s="14" t="n">
        <v>1</v>
      </c>
      <c r="AN69" s="14" t="n">
        <v>1</v>
      </c>
      <c r="AO69" s="14" t="n">
        <v>2</v>
      </c>
      <c r="AP69" s="14" t="n">
        <v>1</v>
      </c>
      <c r="AQ69" s="14" t="n">
        <v>1</v>
      </c>
      <c r="AR69" s="14" t="n">
        <v>2</v>
      </c>
      <c r="AS69" s="14" t="n">
        <v>1</v>
      </c>
      <c r="AT69" s="14" t="n">
        <v>2</v>
      </c>
      <c r="AU69" s="14" t="n">
        <v>2</v>
      </c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</row>
    <row r="70" ht="36" customHeight="1">
      <c r="A70" s="15" t="str">
        <v>I162S2C22J2V1</v>
      </c>
      <c r="B70" s="15" t="str">
        <v>INGENIERIA EN AUTOMATIZACION Y CONTROL INDUSTRIAL</v>
      </c>
      <c r="C70" s="15" t="str">
        <v>Pregrado</v>
      </c>
      <c r="D70" s="23" t="n">
        <v>2014</v>
      </c>
      <c r="E70" s="23" t="n">
        <v>2022</v>
      </c>
      <c r="F70" s="15" t="n">
        <v>9</v>
      </c>
      <c r="G70" s="24" t="n">
        <v>0</v>
      </c>
      <c r="H70" s="24" t="n">
        <v>0</v>
      </c>
      <c r="I70" s="24" t="n">
        <v>0</v>
      </c>
      <c r="J70" s="24" t="n">
        <v>0</v>
      </c>
      <c r="K70" s="24" t="n">
        <v>0</v>
      </c>
      <c r="L70" s="24" t="n">
        <v>0</v>
      </c>
      <c r="M70" s="24" t="n">
        <v>0</v>
      </c>
      <c r="N70" s="24" t="n">
        <v>6</v>
      </c>
      <c r="O70" s="24" t="n">
        <v>11</v>
      </c>
      <c r="P70" s="24" t="n">
        <v>14</v>
      </c>
      <c r="Q70" s="24" t="n">
        <v>24</v>
      </c>
      <c r="R70" s="24" t="n">
        <v>13</v>
      </c>
      <c r="S70" s="24" t="n">
        <v>11</v>
      </c>
      <c r="T70" s="24" t="n">
        <v>7</v>
      </c>
      <c r="U70" s="24" t="n">
        <v>20</v>
      </c>
      <c r="V70" s="24" t="n">
        <v>16</v>
      </c>
      <c r="W70" s="24" t="n">
        <v>0</v>
      </c>
      <c r="X70" s="24" t="n">
        <v>0</v>
      </c>
      <c r="Y70" s="24" t="n">
        <v>0</v>
      </c>
      <c r="Z70" s="24" t="n">
        <v>0</v>
      </c>
      <c r="AA70" s="15" t="str">
        <v>CONTINUA</v>
      </c>
      <c r="AB70" s="15" t="n">
        <v>1</v>
      </c>
      <c r="AC70" s="15" t="str">
        <v>PUBLICA; H002</v>
      </c>
      <c r="AD70" s="15" t="n">
        <v>0</v>
      </c>
      <c r="AE70" s="15" t="str">
        <v>n.a.</v>
      </c>
      <c r="AF70" s="15" t="str">
        <v>n.a.</v>
      </c>
      <c r="AG70" s="15" t="str">
        <v>n.a.</v>
      </c>
      <c r="AH70" s="15" t="str">
        <v>n.a.</v>
      </c>
      <c r="AI70" s="15" t="n">
        <v>1</v>
      </c>
      <c r="AJ70" s="15" t="n">
        <v>1</v>
      </c>
      <c r="AK70" s="15" t="n">
        <v>1</v>
      </c>
      <c r="AL70" s="15" t="n">
        <v>1</v>
      </c>
      <c r="AM70" s="15" t="n">
        <v>1</v>
      </c>
      <c r="AN70" s="15" t="n">
        <v>1</v>
      </c>
      <c r="AO70" s="15" t="n">
        <v>1</v>
      </c>
      <c r="AP70" s="15" t="n">
        <v>1</v>
      </c>
      <c r="AQ70" s="15" t="n">
        <v>1</v>
      </c>
      <c r="AR70" s="15" t="n">
        <v>2</v>
      </c>
      <c r="AS70" s="15" t="n">
        <v>1</v>
      </c>
      <c r="AT70" s="15" t="n">
        <v>2</v>
      </c>
      <c r="AU70" s="15" t="n">
        <v>2</v>
      </c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</row>
    <row r="71" ht="36" customHeight="1">
      <c r="A71" s="14" t="str">
        <v>I162S2C22J2V2</v>
      </c>
      <c r="B71" s="14" t="str">
        <v>INGENIERIA EN AUTOMATIZACION Y CONTROL INDUSTRIAL</v>
      </c>
      <c r="C71" s="14" t="str">
        <v>Pregrado</v>
      </c>
      <c r="D71" s="21" t="n">
        <v>2018</v>
      </c>
      <c r="E71" s="21" t="n">
        <v>2021</v>
      </c>
      <c r="F71" s="14" t="n">
        <v>4</v>
      </c>
      <c r="G71" s="22" t="n">
        <v>0</v>
      </c>
      <c r="H71" s="22" t="n">
        <v>0</v>
      </c>
      <c r="I71" s="22" t="n">
        <v>0</v>
      </c>
      <c r="J71" s="22" t="n">
        <v>0</v>
      </c>
      <c r="K71" s="22" t="n">
        <v>0</v>
      </c>
      <c r="L71" s="22" t="n">
        <v>0</v>
      </c>
      <c r="M71" s="22" t="n">
        <v>0</v>
      </c>
      <c r="N71" s="22" t="n">
        <v>0</v>
      </c>
      <c r="O71" s="22" t="n">
        <v>0</v>
      </c>
      <c r="P71" s="22" t="n">
        <v>0</v>
      </c>
      <c r="Q71" s="22" t="n">
        <v>0</v>
      </c>
      <c r="R71" s="22" t="n">
        <v>4</v>
      </c>
      <c r="S71" s="22" t="n">
        <v>6</v>
      </c>
      <c r="T71" s="22" t="n">
        <v>9</v>
      </c>
      <c r="U71" s="22" t="n">
        <v>8</v>
      </c>
      <c r="V71" s="22" t="n">
        <v>0</v>
      </c>
      <c r="W71" s="22" t="n">
        <v>0</v>
      </c>
      <c r="X71" s="22" t="n">
        <v>0</v>
      </c>
      <c r="Y71" s="22" t="n">
        <v>0</v>
      </c>
      <c r="Z71" s="22" t="n">
        <v>0</v>
      </c>
      <c r="AA71" s="14" t="str">
        <v>CONTINUA</v>
      </c>
      <c r="AB71" s="14" t="n">
        <v>1</v>
      </c>
      <c r="AC71" s="14" t="str">
        <v>PUBLICA; H002</v>
      </c>
      <c r="AD71" s="14" t="n">
        <v>1</v>
      </c>
      <c r="AE71" s="14" t="str">
        <v>n.a.</v>
      </c>
      <c r="AF71" s="14" t="str">
        <v>n.a.</v>
      </c>
      <c r="AG71" s="14" t="str">
        <v>n.a.</v>
      </c>
      <c r="AH71" s="14" t="str">
        <v>n.a.</v>
      </c>
      <c r="AI71" s="14" t="str">
        <v>n.a.</v>
      </c>
      <c r="AJ71" s="14" t="str">
        <v>n.a.</v>
      </c>
      <c r="AK71" s="14" t="str">
        <v>n.a.</v>
      </c>
      <c r="AL71" s="14" t="str">
        <v>n.a.</v>
      </c>
      <c r="AM71" s="14" t="n">
        <v>1</v>
      </c>
      <c r="AN71" s="14" t="n">
        <v>1</v>
      </c>
      <c r="AO71" s="14" t="n">
        <v>1</v>
      </c>
      <c r="AP71" s="14" t="n">
        <v>1</v>
      </c>
      <c r="AQ71" s="14" t="n">
        <v>2</v>
      </c>
      <c r="AR71" s="14" t="n">
        <v>2</v>
      </c>
      <c r="AS71" s="14" t="n">
        <v>2</v>
      </c>
      <c r="AT71" s="14" t="n">
        <v>2</v>
      </c>
      <c r="AU71" s="14" t="n">
        <v>2</v>
      </c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</row>
    <row r="72" ht="36" customHeight="1">
      <c r="A72" s="15" t="str">
        <v>I162S2C22J4V1</v>
      </c>
      <c r="B72" s="15" t="str">
        <v>INGENIERIA EN AUTOMATIZACION Y CONTROL INDUSTRIAL</v>
      </c>
      <c r="C72" s="15" t="str">
        <v>Pregrado</v>
      </c>
      <c r="D72" s="23" t="str">
        <v>n.a.</v>
      </c>
      <c r="E72" s="23" t="str">
        <v>n.a.</v>
      </c>
      <c r="F72" s="15" t="n">
        <v>0</v>
      </c>
      <c r="G72" s="24" t="n">
        <v>0</v>
      </c>
      <c r="H72" s="24" t="n">
        <v>0</v>
      </c>
      <c r="I72" s="24" t="n">
        <v>0</v>
      </c>
      <c r="J72" s="24" t="n">
        <v>0</v>
      </c>
      <c r="K72" s="24" t="n">
        <v>0</v>
      </c>
      <c r="L72" s="24" t="n">
        <v>0</v>
      </c>
      <c r="M72" s="24" t="n">
        <v>0</v>
      </c>
      <c r="N72" s="24" t="n">
        <v>0</v>
      </c>
      <c r="O72" s="24" t="n">
        <v>0</v>
      </c>
      <c r="P72" s="24" t="n">
        <v>0</v>
      </c>
      <c r="Q72" s="24" t="n">
        <v>0</v>
      </c>
      <c r="R72" s="24" t="n">
        <v>0</v>
      </c>
      <c r="S72" s="24" t="n">
        <v>0</v>
      </c>
      <c r="T72" s="24" t="n">
        <v>0</v>
      </c>
      <c r="U72" s="24" t="n">
        <v>0</v>
      </c>
      <c r="V72" s="24" t="n">
        <v>0</v>
      </c>
      <c r="W72" s="24" t="n">
        <v>0</v>
      </c>
      <c r="X72" s="24" t="n">
        <v>0</v>
      </c>
      <c r="Y72" s="24" t="n">
        <v>0</v>
      </c>
      <c r="Z72" s="24" t="n">
        <v>0</v>
      </c>
      <c r="AA72" s="15" t="str">
        <v>CONTINUA</v>
      </c>
      <c r="AB72" s="15" t="n">
        <v>0</v>
      </c>
      <c r="AC72" s="15" t="str">
        <v>PUBLICA; H002</v>
      </c>
      <c r="AD72" s="15" t="n">
        <v>0</v>
      </c>
      <c r="AE72" s="15" t="str">
        <v>n.a.</v>
      </c>
      <c r="AF72" s="15" t="str">
        <v>n.a.</v>
      </c>
      <c r="AG72" s="15" t="str">
        <v>n.a.</v>
      </c>
      <c r="AH72" s="15" t="str">
        <v>n.a.</v>
      </c>
      <c r="AI72" s="15" t="str">
        <v>n.a.</v>
      </c>
      <c r="AJ72" s="15" t="str">
        <v>n.a.</v>
      </c>
      <c r="AK72" s="15" t="str">
        <v>n.a.</v>
      </c>
      <c r="AL72" s="15" t="str">
        <v>n.a.</v>
      </c>
      <c r="AM72" s="15" t="str">
        <v>n.a.</v>
      </c>
      <c r="AN72" s="15" t="str">
        <v>n.a.</v>
      </c>
      <c r="AO72" s="15" t="str">
        <v>n.a.</v>
      </c>
      <c r="AP72" s="15" t="str">
        <v>n.a.</v>
      </c>
      <c r="AQ72" s="15" t="n">
        <v>1</v>
      </c>
      <c r="AR72" s="15" t="n">
        <v>2</v>
      </c>
      <c r="AS72" s="15" t="n">
        <v>2</v>
      </c>
      <c r="AT72" s="15" t="n">
        <v>2</v>
      </c>
      <c r="AU72" s="15" t="n">
        <v>2</v>
      </c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</row>
    <row r="73" ht="36" customHeight="1">
      <c r="A73" s="14" t="str">
        <v>I162S2C22J4V2</v>
      </c>
      <c r="B73" s="14" t="str">
        <v>INGENIERIA EN AUTOMATIZACION Y CONTROL INDUSTRIAL</v>
      </c>
      <c r="C73" s="14" t="str">
        <v>Pregrado</v>
      </c>
      <c r="D73" s="21" t="n">
        <v>2026</v>
      </c>
      <c r="E73" s="21" t="n">
        <v>2026</v>
      </c>
      <c r="F73" s="14" t="n">
        <v>1</v>
      </c>
      <c r="G73" s="22" t="n">
        <v>0</v>
      </c>
      <c r="H73" s="22" t="n">
        <v>0</v>
      </c>
      <c r="I73" s="22" t="n">
        <v>0</v>
      </c>
      <c r="J73" s="22" t="n">
        <v>0</v>
      </c>
      <c r="K73" s="22" t="n">
        <v>0</v>
      </c>
      <c r="L73" s="22" t="n">
        <v>0</v>
      </c>
      <c r="M73" s="22" t="n">
        <v>0</v>
      </c>
      <c r="N73" s="22" t="n">
        <v>0</v>
      </c>
      <c r="O73" s="22" t="n">
        <v>0</v>
      </c>
      <c r="P73" s="22" t="n">
        <v>0</v>
      </c>
      <c r="Q73" s="22" t="n">
        <v>0</v>
      </c>
      <c r="R73" s="22" t="n">
        <v>0</v>
      </c>
      <c r="S73" s="22" t="n">
        <v>0</v>
      </c>
      <c r="T73" s="22" t="n">
        <v>0</v>
      </c>
      <c r="U73" s="22" t="n">
        <v>0</v>
      </c>
      <c r="V73" s="22" t="n">
        <v>0</v>
      </c>
      <c r="W73" s="22" t="n">
        <v>0</v>
      </c>
      <c r="X73" s="22" t="n">
        <v>0</v>
      </c>
      <c r="Y73" s="22" t="n">
        <v>0</v>
      </c>
      <c r="Z73" s="22" t="n">
        <v>36</v>
      </c>
      <c r="AA73" s="14" t="str">
        <v>CONTINUA</v>
      </c>
      <c r="AB73" s="14" t="n">
        <v>1</v>
      </c>
      <c r="AC73" s="14" t="str">
        <v>PUBLICA; H002</v>
      </c>
      <c r="AD73" s="14" t="n">
        <v>0</v>
      </c>
      <c r="AE73" s="14" t="str">
        <v>n.a.</v>
      </c>
      <c r="AF73" s="14" t="str">
        <v>n.a.</v>
      </c>
      <c r="AG73" s="14" t="str">
        <v>n.a.</v>
      </c>
      <c r="AH73" s="14" t="str">
        <v>n.a.</v>
      </c>
      <c r="AI73" s="14" t="str">
        <v>n.a.</v>
      </c>
      <c r="AJ73" s="14" t="str">
        <v>n.a.</v>
      </c>
      <c r="AK73" s="14" t="str">
        <v>n.a.</v>
      </c>
      <c r="AL73" s="14" t="str">
        <v>n.a.</v>
      </c>
      <c r="AM73" s="14" t="str">
        <v>n.a.</v>
      </c>
      <c r="AN73" s="14" t="str">
        <v>n.a.</v>
      </c>
      <c r="AO73" s="14" t="str">
        <v>n.a.</v>
      </c>
      <c r="AP73" s="14" t="str">
        <v>n.a.</v>
      </c>
      <c r="AQ73" s="14" t="str">
        <v>n.a.</v>
      </c>
      <c r="AR73" s="14" t="str">
        <v>n.a.</v>
      </c>
      <c r="AS73" s="14" t="n">
        <v>1</v>
      </c>
      <c r="AT73" s="14" t="n">
        <v>2</v>
      </c>
      <c r="AU73" s="14" t="n">
        <v>2</v>
      </c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</row>
    <row r="74" ht="27" customHeight="1">
      <c r="A74" s="15" t="str">
        <v>I162S2C2J1V1</v>
      </c>
      <c r="B74" s="15" t="str">
        <v>TECNICO EN PROGRAMACION COMPUTACIONAL</v>
      </c>
      <c r="C74" s="15" t="str">
        <v>Pregrado</v>
      </c>
      <c r="D74" s="23" t="n">
        <v>2008</v>
      </c>
      <c r="E74" s="23" t="n">
        <v>2021</v>
      </c>
      <c r="F74" s="15" t="n">
        <v>14</v>
      </c>
      <c r="G74" s="24" t="n">
        <v>0</v>
      </c>
      <c r="H74" s="24" t="n">
        <v>40</v>
      </c>
      <c r="I74" s="24" t="n">
        <v>37</v>
      </c>
      <c r="J74" s="24" t="n">
        <v>41</v>
      </c>
      <c r="K74" s="24" t="n">
        <v>40</v>
      </c>
      <c r="L74" s="24" t="n">
        <v>44</v>
      </c>
      <c r="M74" s="24" t="n">
        <v>60</v>
      </c>
      <c r="N74" s="24" t="n">
        <v>71</v>
      </c>
      <c r="O74" s="24" t="n">
        <v>60</v>
      </c>
      <c r="P74" s="24" t="n">
        <v>43</v>
      </c>
      <c r="Q74" s="24" t="n">
        <v>52</v>
      </c>
      <c r="R74" s="24" t="n">
        <v>54</v>
      </c>
      <c r="S74" s="24" t="n">
        <v>28</v>
      </c>
      <c r="T74" s="24" t="n">
        <v>6</v>
      </c>
      <c r="U74" s="24" t="n">
        <v>3</v>
      </c>
      <c r="V74" s="24" t="n">
        <v>0</v>
      </c>
      <c r="W74" s="24" t="n">
        <v>0</v>
      </c>
      <c r="X74" s="24" t="n">
        <v>0</v>
      </c>
      <c r="Y74" s="24" t="n">
        <v>0</v>
      </c>
      <c r="Z74" s="24" t="n">
        <v>0</v>
      </c>
      <c r="AA74" s="15" t="str">
        <v>CONTINUA</v>
      </c>
      <c r="AB74" s="15" t="n">
        <v>1</v>
      </c>
      <c r="AC74" s="15" t="str">
        <v>PUBLICA; H002</v>
      </c>
      <c r="AD74" s="15" t="n">
        <v>1</v>
      </c>
      <c r="AE74" s="15" t="n">
        <v>1</v>
      </c>
      <c r="AF74" s="15" t="n">
        <v>1</v>
      </c>
      <c r="AG74" s="15" t="n">
        <v>1</v>
      </c>
      <c r="AH74" s="15" t="n">
        <v>1</v>
      </c>
      <c r="AI74" s="15" t="n">
        <v>1</v>
      </c>
      <c r="AJ74" s="15" t="n">
        <v>1</v>
      </c>
      <c r="AK74" s="15" t="n">
        <v>1</v>
      </c>
      <c r="AL74" s="15" t="n">
        <v>1</v>
      </c>
      <c r="AM74" s="15" t="n">
        <v>1</v>
      </c>
      <c r="AN74" s="15" t="n">
        <v>2</v>
      </c>
      <c r="AO74" s="15" t="n">
        <v>2</v>
      </c>
      <c r="AP74" s="15" t="n">
        <v>2</v>
      </c>
      <c r="AQ74" s="15" t="n">
        <v>2</v>
      </c>
      <c r="AR74" s="15" t="n">
        <v>2</v>
      </c>
      <c r="AS74" s="15" t="n">
        <v>2</v>
      </c>
      <c r="AT74" s="15" t="n">
        <v>2</v>
      </c>
      <c r="AU74" s="15" t="n">
        <v>2</v>
      </c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</row>
    <row r="75" ht="27" customHeight="1">
      <c r="A75" s="14" t="str">
        <v>I162S2C2J1V2</v>
      </c>
      <c r="B75" s="14" t="str">
        <v>TECNICO EN PROGRAMACION COMPUTACIONAL</v>
      </c>
      <c r="C75" s="14" t="str">
        <v>Pregrado</v>
      </c>
      <c r="D75" s="21" t="n">
        <v>2019</v>
      </c>
      <c r="E75" s="21" t="n">
        <v>2022</v>
      </c>
      <c r="F75" s="14" t="n">
        <v>4</v>
      </c>
      <c r="G75" s="22" t="n">
        <v>0</v>
      </c>
      <c r="H75" s="22" t="n">
        <v>0</v>
      </c>
      <c r="I75" s="22" t="n">
        <v>0</v>
      </c>
      <c r="J75" s="22" t="n">
        <v>0</v>
      </c>
      <c r="K75" s="22" t="n">
        <v>0</v>
      </c>
      <c r="L75" s="22" t="n">
        <v>0</v>
      </c>
      <c r="M75" s="22" t="n">
        <v>0</v>
      </c>
      <c r="N75" s="22" t="n">
        <v>0</v>
      </c>
      <c r="O75" s="22" t="n">
        <v>0</v>
      </c>
      <c r="P75" s="22" t="n">
        <v>0</v>
      </c>
      <c r="Q75" s="22" t="n">
        <v>0</v>
      </c>
      <c r="R75" s="22" t="n">
        <v>0</v>
      </c>
      <c r="S75" s="22" t="n">
        <v>18</v>
      </c>
      <c r="T75" s="22" t="n">
        <v>14</v>
      </c>
      <c r="U75" s="22" t="n">
        <v>8</v>
      </c>
      <c r="V75" s="22" t="n">
        <v>3</v>
      </c>
      <c r="W75" s="22" t="n">
        <v>0</v>
      </c>
      <c r="X75" s="22" t="n">
        <v>0</v>
      </c>
      <c r="Y75" s="22" t="n">
        <v>0</v>
      </c>
      <c r="Z75" s="22" t="n">
        <v>0</v>
      </c>
      <c r="AA75" s="14" t="str">
        <v>CONTINUA</v>
      </c>
      <c r="AB75" s="14" t="n">
        <v>1</v>
      </c>
      <c r="AC75" s="14" t="str">
        <v>PUBLICA; H002</v>
      </c>
      <c r="AD75" s="14" t="n">
        <v>0</v>
      </c>
      <c r="AE75" s="14" t="str">
        <v>n.a.</v>
      </c>
      <c r="AF75" s="14" t="str">
        <v>n.a.</v>
      </c>
      <c r="AG75" s="14" t="str">
        <v>n.a.</v>
      </c>
      <c r="AH75" s="14" t="str">
        <v>n.a.</v>
      </c>
      <c r="AI75" s="14" t="str">
        <v>n.a.</v>
      </c>
      <c r="AJ75" s="14" t="str">
        <v>n.a.</v>
      </c>
      <c r="AK75" s="14" t="str">
        <v>n.a.</v>
      </c>
      <c r="AL75" s="14" t="str">
        <v>n.a.</v>
      </c>
      <c r="AM75" s="14" t="str">
        <v>n.a.</v>
      </c>
      <c r="AN75" s="14" t="n">
        <v>1</v>
      </c>
      <c r="AO75" s="14" t="n">
        <v>2</v>
      </c>
      <c r="AP75" s="14" t="n">
        <v>2</v>
      </c>
      <c r="AQ75" s="14" t="n">
        <v>2</v>
      </c>
      <c r="AR75" s="14" t="n">
        <v>2</v>
      </c>
      <c r="AS75" s="14" t="n">
        <v>2</v>
      </c>
      <c r="AT75" s="14" t="n">
        <v>2</v>
      </c>
      <c r="AU75" s="14" t="n">
        <v>2</v>
      </c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</row>
    <row r="76" ht="27" customHeight="1">
      <c r="A76" s="15" t="str">
        <v>I162S2C2J2V1</v>
      </c>
      <c r="B76" s="15" t="str">
        <v>TECNICO EN PROGRAMACION COMPUTACIONAL</v>
      </c>
      <c r="C76" s="15" t="str">
        <v>Pregrado</v>
      </c>
      <c r="D76" s="23" t="n">
        <v>2007</v>
      </c>
      <c r="E76" s="23" t="n">
        <v>2021</v>
      </c>
      <c r="F76" s="15" t="n">
        <v>15</v>
      </c>
      <c r="G76" s="24" t="n">
        <v>100</v>
      </c>
      <c r="H76" s="24" t="n">
        <v>75</v>
      </c>
      <c r="I76" s="24" t="n">
        <v>65</v>
      </c>
      <c r="J76" s="24" t="n">
        <v>94</v>
      </c>
      <c r="K76" s="24" t="n">
        <v>108</v>
      </c>
      <c r="L76" s="24" t="n">
        <v>130</v>
      </c>
      <c r="M76" s="24" t="n">
        <v>160</v>
      </c>
      <c r="N76" s="24" t="n">
        <v>141</v>
      </c>
      <c r="O76" s="24" t="n">
        <v>119</v>
      </c>
      <c r="P76" s="24" t="n">
        <v>125</v>
      </c>
      <c r="Q76" s="24" t="n">
        <v>121</v>
      </c>
      <c r="R76" s="24" t="n">
        <v>77</v>
      </c>
      <c r="S76" s="24" t="n">
        <v>42</v>
      </c>
      <c r="T76" s="24" t="n">
        <v>22</v>
      </c>
      <c r="U76" s="24" t="n">
        <v>3</v>
      </c>
      <c r="V76" s="24" t="n">
        <v>0</v>
      </c>
      <c r="W76" s="24" t="n">
        <v>0</v>
      </c>
      <c r="X76" s="24" t="n">
        <v>0</v>
      </c>
      <c r="Y76" s="24" t="n">
        <v>0</v>
      </c>
      <c r="Z76" s="24" t="n">
        <v>0</v>
      </c>
      <c r="AA76" s="15" t="str">
        <v>CONTINUA</v>
      </c>
      <c r="AB76" s="15" t="n">
        <v>1</v>
      </c>
      <c r="AC76" s="15" t="str">
        <v>PUBLICA; H002</v>
      </c>
      <c r="AD76" s="15" t="n">
        <v>1</v>
      </c>
      <c r="AE76" s="15" t="n">
        <v>1</v>
      </c>
      <c r="AF76" s="15" t="n">
        <v>1</v>
      </c>
      <c r="AG76" s="15" t="n">
        <v>1</v>
      </c>
      <c r="AH76" s="15" t="n">
        <v>1</v>
      </c>
      <c r="AI76" s="15" t="n">
        <v>1</v>
      </c>
      <c r="AJ76" s="15" t="n">
        <v>1</v>
      </c>
      <c r="AK76" s="15" t="n">
        <v>1</v>
      </c>
      <c r="AL76" s="15" t="n">
        <v>1</v>
      </c>
      <c r="AM76" s="15" t="n">
        <v>1</v>
      </c>
      <c r="AN76" s="15" t="n">
        <v>2</v>
      </c>
      <c r="AO76" s="15" t="n">
        <v>2</v>
      </c>
      <c r="AP76" s="15" t="n">
        <v>2</v>
      </c>
      <c r="AQ76" s="15" t="n">
        <v>2</v>
      </c>
      <c r="AR76" s="15" t="n">
        <v>2</v>
      </c>
      <c r="AS76" s="15" t="n">
        <v>2</v>
      </c>
      <c r="AT76" s="15" t="n">
        <v>2</v>
      </c>
      <c r="AU76" s="15" t="n">
        <v>2</v>
      </c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</row>
    <row r="77" ht="27" customHeight="1">
      <c r="A77" s="14" t="str">
        <v>I162S2C2J2V2</v>
      </c>
      <c r="B77" s="14" t="str">
        <v>TECNICO EN PROGRAMACION COMPUTACIONAL</v>
      </c>
      <c r="C77" s="14" t="str">
        <v>Pregrado</v>
      </c>
      <c r="D77" s="21" t="n">
        <v>2019</v>
      </c>
      <c r="E77" s="21" t="n">
        <v>2021</v>
      </c>
      <c r="F77" s="14" t="n">
        <v>3</v>
      </c>
      <c r="G77" s="22" t="n">
        <v>0</v>
      </c>
      <c r="H77" s="22" t="n">
        <v>0</v>
      </c>
      <c r="I77" s="22" t="n">
        <v>0</v>
      </c>
      <c r="J77" s="22" t="n">
        <v>0</v>
      </c>
      <c r="K77" s="22" t="n">
        <v>0</v>
      </c>
      <c r="L77" s="22" t="n">
        <v>0</v>
      </c>
      <c r="M77" s="22" t="n">
        <v>0</v>
      </c>
      <c r="N77" s="22" t="n">
        <v>0</v>
      </c>
      <c r="O77" s="22" t="n">
        <v>0</v>
      </c>
      <c r="P77" s="22" t="n">
        <v>0</v>
      </c>
      <c r="Q77" s="22" t="n">
        <v>0</v>
      </c>
      <c r="R77" s="22" t="n">
        <v>0</v>
      </c>
      <c r="S77" s="22" t="n">
        <v>35</v>
      </c>
      <c r="T77" s="22" t="n">
        <v>21</v>
      </c>
      <c r="U77" s="22" t="n">
        <v>7</v>
      </c>
      <c r="V77" s="22" t="n">
        <v>0</v>
      </c>
      <c r="W77" s="22" t="n">
        <v>0</v>
      </c>
      <c r="X77" s="22" t="n">
        <v>0</v>
      </c>
      <c r="Y77" s="22" t="n">
        <v>0</v>
      </c>
      <c r="Z77" s="22" t="n">
        <v>0</v>
      </c>
      <c r="AA77" s="14" t="str">
        <v>CONTINUA</v>
      </c>
      <c r="AB77" s="14" t="n">
        <v>1</v>
      </c>
      <c r="AC77" s="14" t="str">
        <v>PUBLICA; H002</v>
      </c>
      <c r="AD77" s="14" t="n">
        <v>1</v>
      </c>
      <c r="AE77" s="14" t="str">
        <v>n.a.</v>
      </c>
      <c r="AF77" s="14" t="str">
        <v>n.a.</v>
      </c>
      <c r="AG77" s="14" t="str">
        <v>n.a.</v>
      </c>
      <c r="AH77" s="14" t="str">
        <v>n.a.</v>
      </c>
      <c r="AI77" s="14" t="str">
        <v>n.a.</v>
      </c>
      <c r="AJ77" s="14" t="str">
        <v>n.a.</v>
      </c>
      <c r="AK77" s="14" t="str">
        <v>n.a.</v>
      </c>
      <c r="AL77" s="14" t="str">
        <v>n.a.</v>
      </c>
      <c r="AM77" s="14" t="str">
        <v>n.a.</v>
      </c>
      <c r="AN77" s="14" t="n">
        <v>1</v>
      </c>
      <c r="AO77" s="14" t="n">
        <v>2</v>
      </c>
      <c r="AP77" s="14" t="n">
        <v>2</v>
      </c>
      <c r="AQ77" s="14" t="n">
        <v>2</v>
      </c>
      <c r="AR77" s="14" t="n">
        <v>2</v>
      </c>
      <c r="AS77" s="14" t="n">
        <v>2</v>
      </c>
      <c r="AT77" s="14" t="n">
        <v>2</v>
      </c>
      <c r="AU77" s="14" t="n">
        <v>2</v>
      </c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</row>
    <row r="78" ht="27" customHeight="1">
      <c r="A78" s="15" t="str">
        <v>I162S2C2J4V1</v>
      </c>
      <c r="B78" s="15" t="str">
        <v>TECNICO EN PROGRAMACION COMPUTACIONAL</v>
      </c>
      <c r="C78" s="15" t="str">
        <v>Pregrado</v>
      </c>
      <c r="D78" s="23" t="n">
        <v>2017</v>
      </c>
      <c r="E78" s="23" t="n">
        <v>2021</v>
      </c>
      <c r="F78" s="15" t="n">
        <v>5</v>
      </c>
      <c r="G78" s="24" t="n">
        <v>0</v>
      </c>
      <c r="H78" s="24" t="n">
        <v>0</v>
      </c>
      <c r="I78" s="24" t="n">
        <v>0</v>
      </c>
      <c r="J78" s="24" t="n">
        <v>0</v>
      </c>
      <c r="K78" s="24" t="n">
        <v>0</v>
      </c>
      <c r="L78" s="24" t="n">
        <v>0</v>
      </c>
      <c r="M78" s="24" t="n">
        <v>0</v>
      </c>
      <c r="N78" s="24" t="n">
        <v>0</v>
      </c>
      <c r="O78" s="24" t="n">
        <v>0</v>
      </c>
      <c r="P78" s="24" t="n">
        <v>0</v>
      </c>
      <c r="Q78" s="24" t="n">
        <v>22</v>
      </c>
      <c r="R78" s="24" t="n">
        <v>35</v>
      </c>
      <c r="S78" s="24" t="n">
        <v>32</v>
      </c>
      <c r="T78" s="24" t="n">
        <v>20</v>
      </c>
      <c r="U78" s="24" t="n">
        <v>6</v>
      </c>
      <c r="V78" s="24" t="n">
        <v>0</v>
      </c>
      <c r="W78" s="24" t="n">
        <v>0</v>
      </c>
      <c r="X78" s="24" t="n">
        <v>0</v>
      </c>
      <c r="Y78" s="24" t="n">
        <v>0</v>
      </c>
      <c r="Z78" s="24" t="n">
        <v>0</v>
      </c>
      <c r="AA78" s="15" t="str">
        <v>CONTINUA</v>
      </c>
      <c r="AB78" s="15" t="n">
        <v>1</v>
      </c>
      <c r="AC78" s="15" t="str">
        <v>PUBLICA; H002</v>
      </c>
      <c r="AD78" s="15" t="n">
        <v>1</v>
      </c>
      <c r="AE78" s="15" t="str">
        <v>n.a.</v>
      </c>
      <c r="AF78" s="15" t="str">
        <v>n.a.</v>
      </c>
      <c r="AG78" s="15" t="str">
        <v>n.a.</v>
      </c>
      <c r="AH78" s="15" t="str">
        <v>n.a.</v>
      </c>
      <c r="AI78" s="15" t="str">
        <v>n.a.</v>
      </c>
      <c r="AJ78" s="15" t="str">
        <v>n.a.</v>
      </c>
      <c r="AK78" s="15" t="str">
        <v>n.a.</v>
      </c>
      <c r="AL78" s="15" t="n">
        <v>1</v>
      </c>
      <c r="AM78" s="15" t="n">
        <v>1</v>
      </c>
      <c r="AN78" s="15" t="n">
        <v>2</v>
      </c>
      <c r="AO78" s="15" t="n">
        <v>2</v>
      </c>
      <c r="AP78" s="15" t="n">
        <v>2</v>
      </c>
      <c r="AQ78" s="15" t="n">
        <v>2</v>
      </c>
      <c r="AR78" s="15" t="n">
        <v>2</v>
      </c>
      <c r="AS78" s="15" t="n">
        <v>2</v>
      </c>
      <c r="AT78" s="15" t="n">
        <v>2</v>
      </c>
      <c r="AU78" s="15" t="n">
        <v>2</v>
      </c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</row>
    <row r="79" ht="27" customHeight="1">
      <c r="A79" s="14" t="str">
        <v>I162S2C2J4V2</v>
      </c>
      <c r="B79" s="14" t="str">
        <v>TECNICO EN PROGRAMACION COMPUTACIONAL</v>
      </c>
      <c r="C79" s="14" t="str">
        <v>Pregrado</v>
      </c>
      <c r="D79" s="21" t="n">
        <v>2019</v>
      </c>
      <c r="E79" s="21" t="n">
        <v>2022</v>
      </c>
      <c r="F79" s="14" t="n">
        <v>4</v>
      </c>
      <c r="G79" s="22" t="n">
        <v>0</v>
      </c>
      <c r="H79" s="22" t="n">
        <v>0</v>
      </c>
      <c r="I79" s="22" t="n">
        <v>0</v>
      </c>
      <c r="J79" s="22" t="n">
        <v>0</v>
      </c>
      <c r="K79" s="22" t="n">
        <v>0</v>
      </c>
      <c r="L79" s="22" t="n">
        <v>0</v>
      </c>
      <c r="M79" s="22" t="n">
        <v>0</v>
      </c>
      <c r="N79" s="22" t="n">
        <v>0</v>
      </c>
      <c r="O79" s="22" t="n">
        <v>0</v>
      </c>
      <c r="P79" s="22" t="n">
        <v>0</v>
      </c>
      <c r="Q79" s="22" t="n">
        <v>0</v>
      </c>
      <c r="R79" s="22" t="n">
        <v>0</v>
      </c>
      <c r="S79" s="22" t="n">
        <v>12</v>
      </c>
      <c r="T79" s="22" t="n">
        <v>16</v>
      </c>
      <c r="U79" s="22" t="n">
        <v>9</v>
      </c>
      <c r="V79" s="22" t="n">
        <v>1</v>
      </c>
      <c r="W79" s="22" t="n">
        <v>0</v>
      </c>
      <c r="X79" s="22" t="n">
        <v>0</v>
      </c>
      <c r="Y79" s="22" t="n">
        <v>0</v>
      </c>
      <c r="Z79" s="22" t="n">
        <v>0</v>
      </c>
      <c r="AA79" s="14" t="str">
        <v>CONTINUA</v>
      </c>
      <c r="AB79" s="14" t="n">
        <v>1</v>
      </c>
      <c r="AC79" s="14" t="str">
        <v>PUBLICA; H002</v>
      </c>
      <c r="AD79" s="14" t="n">
        <v>0</v>
      </c>
      <c r="AE79" s="14" t="str">
        <v>n.a.</v>
      </c>
      <c r="AF79" s="14" t="str">
        <v>n.a.</v>
      </c>
      <c r="AG79" s="14" t="str">
        <v>n.a.</v>
      </c>
      <c r="AH79" s="14" t="str">
        <v>n.a.</v>
      </c>
      <c r="AI79" s="14" t="str">
        <v>n.a.</v>
      </c>
      <c r="AJ79" s="14" t="str">
        <v>n.a.</v>
      </c>
      <c r="AK79" s="14" t="str">
        <v>n.a.</v>
      </c>
      <c r="AL79" s="14" t="str">
        <v>n.a.</v>
      </c>
      <c r="AM79" s="14" t="str">
        <v>n.a.</v>
      </c>
      <c r="AN79" s="14" t="n">
        <v>1</v>
      </c>
      <c r="AO79" s="14" t="n">
        <v>2</v>
      </c>
      <c r="AP79" s="14" t="n">
        <v>2</v>
      </c>
      <c r="AQ79" s="14" t="n">
        <v>2</v>
      </c>
      <c r="AR79" s="14" t="n">
        <v>2</v>
      </c>
      <c r="AS79" s="14" t="n">
        <v>2</v>
      </c>
      <c r="AT79" s="14" t="n">
        <v>2</v>
      </c>
      <c r="AU79" s="14" t="n">
        <v>2</v>
      </c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</row>
    <row r="80" ht="27" customHeight="1">
      <c r="A80" s="15" t="str">
        <v>I162S2C35J1V1</v>
      </c>
      <c r="B80" s="15" t="str">
        <v>TECNICO EN ANALISIS DE SISTEMAS</v>
      </c>
      <c r="C80" s="15" t="str">
        <v>Pregrado</v>
      </c>
      <c r="D80" s="23" t="n">
        <v>2015</v>
      </c>
      <c r="E80" s="23" t="n">
        <v>2019</v>
      </c>
      <c r="F80" s="15" t="n">
        <v>5</v>
      </c>
      <c r="G80" s="24" t="n">
        <v>0</v>
      </c>
      <c r="H80" s="24" t="n">
        <v>0</v>
      </c>
      <c r="I80" s="24" t="n">
        <v>0</v>
      </c>
      <c r="J80" s="24" t="n">
        <v>0</v>
      </c>
      <c r="K80" s="24" t="n">
        <v>0</v>
      </c>
      <c r="L80" s="24" t="n">
        <v>0</v>
      </c>
      <c r="M80" s="24" t="n">
        <v>0</v>
      </c>
      <c r="N80" s="24" t="n">
        <v>0</v>
      </c>
      <c r="O80" s="24" t="n">
        <v>7</v>
      </c>
      <c r="P80" s="24" t="n">
        <v>7</v>
      </c>
      <c r="Q80" s="24" t="n">
        <v>20</v>
      </c>
      <c r="R80" s="24" t="n">
        <v>8</v>
      </c>
      <c r="S80" s="24" t="n">
        <v>5</v>
      </c>
      <c r="T80" s="24" t="n">
        <v>0</v>
      </c>
      <c r="U80" s="24" t="n">
        <v>0</v>
      </c>
      <c r="V80" s="24" t="n">
        <v>0</v>
      </c>
      <c r="W80" s="24" t="n">
        <v>0</v>
      </c>
      <c r="X80" s="24" t="n">
        <v>0</v>
      </c>
      <c r="Y80" s="24" t="n">
        <v>0</v>
      </c>
      <c r="Z80" s="24" t="n">
        <v>0</v>
      </c>
      <c r="AA80" s="15" t="str">
        <v>HISTORICO_SIN_MATRICULA_RECIENTE</v>
      </c>
      <c r="AB80" s="15" t="n">
        <v>1</v>
      </c>
      <c r="AC80" s="15" t="str">
        <v>PUBLICA; H002</v>
      </c>
      <c r="AD80" s="15" t="n">
        <v>1</v>
      </c>
      <c r="AE80" s="15" t="str">
        <v>n.a.</v>
      </c>
      <c r="AF80" s="15" t="str">
        <v>n.a.</v>
      </c>
      <c r="AG80" s="15" t="str">
        <v>n.a.</v>
      </c>
      <c r="AH80" s="15" t="str">
        <v>n.a.</v>
      </c>
      <c r="AI80" s="15" t="str">
        <v>n.a.</v>
      </c>
      <c r="AJ80" s="15" t="n">
        <v>1</v>
      </c>
      <c r="AK80" s="15" t="n">
        <v>1</v>
      </c>
      <c r="AL80" s="15" t="n">
        <v>1</v>
      </c>
      <c r="AM80" s="15" t="n">
        <v>1</v>
      </c>
      <c r="AN80" s="15" t="n">
        <v>2</v>
      </c>
      <c r="AO80" s="15" t="n">
        <v>2</v>
      </c>
      <c r="AP80" s="15" t="n">
        <v>2</v>
      </c>
      <c r="AQ80" s="15" t="n">
        <v>2</v>
      </c>
      <c r="AR80" s="15" t="n">
        <v>2</v>
      </c>
      <c r="AS80" s="15" t="n">
        <v>2</v>
      </c>
      <c r="AT80" s="15" t="n">
        <v>2</v>
      </c>
      <c r="AU80" s="15" t="n">
        <v>2</v>
      </c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</row>
    <row r="81" ht="27" customHeight="1">
      <c r="A81" s="14" t="str">
        <v>I162S2C35J1V2</v>
      </c>
      <c r="B81" s="14" t="str">
        <v>TECNICO EN ANALISIS DE SISTEMAS</v>
      </c>
      <c r="C81" s="14" t="str">
        <v>Pregrado</v>
      </c>
      <c r="D81" s="21" t="n">
        <v>2019</v>
      </c>
      <c r="E81" s="21" t="n">
        <v>2019</v>
      </c>
      <c r="F81" s="14" t="n">
        <v>1</v>
      </c>
      <c r="G81" s="22" t="n">
        <v>0</v>
      </c>
      <c r="H81" s="22" t="n">
        <v>0</v>
      </c>
      <c r="I81" s="22" t="n">
        <v>0</v>
      </c>
      <c r="J81" s="22" t="n">
        <v>0</v>
      </c>
      <c r="K81" s="22" t="n">
        <v>0</v>
      </c>
      <c r="L81" s="22" t="n">
        <v>0</v>
      </c>
      <c r="M81" s="22" t="n">
        <v>0</v>
      </c>
      <c r="N81" s="22" t="n">
        <v>0</v>
      </c>
      <c r="O81" s="22" t="n">
        <v>0</v>
      </c>
      <c r="P81" s="22" t="n">
        <v>0</v>
      </c>
      <c r="Q81" s="22" t="n">
        <v>0</v>
      </c>
      <c r="R81" s="22" t="n">
        <v>0</v>
      </c>
      <c r="S81" s="22" t="n">
        <v>1</v>
      </c>
      <c r="T81" s="22" t="n">
        <v>0</v>
      </c>
      <c r="U81" s="22" t="n">
        <v>0</v>
      </c>
      <c r="V81" s="22" t="n">
        <v>0</v>
      </c>
      <c r="W81" s="22" t="n">
        <v>0</v>
      </c>
      <c r="X81" s="22" t="n">
        <v>0</v>
      </c>
      <c r="Y81" s="22" t="n">
        <v>0</v>
      </c>
      <c r="Z81" s="22" t="n">
        <v>0</v>
      </c>
      <c r="AA81" s="14" t="str">
        <v>HISTORICO_SIN_MATRICULA_RECIENTE</v>
      </c>
      <c r="AB81" s="14" t="n">
        <v>1</v>
      </c>
      <c r="AC81" s="14" t="str">
        <v>PUBLICA; H002</v>
      </c>
      <c r="AD81" s="14" t="n">
        <v>1</v>
      </c>
      <c r="AE81" s="14" t="str">
        <v>n.a.</v>
      </c>
      <c r="AF81" s="14" t="str">
        <v>n.a.</v>
      </c>
      <c r="AG81" s="14" t="str">
        <v>n.a.</v>
      </c>
      <c r="AH81" s="14" t="str">
        <v>n.a.</v>
      </c>
      <c r="AI81" s="14" t="str">
        <v>n.a.</v>
      </c>
      <c r="AJ81" s="14" t="str">
        <v>n.a.</v>
      </c>
      <c r="AK81" s="14" t="str">
        <v>n.a.</v>
      </c>
      <c r="AL81" s="14" t="str">
        <v>n.a.</v>
      </c>
      <c r="AM81" s="14" t="str">
        <v>n.a.</v>
      </c>
      <c r="AN81" s="14" t="n">
        <v>1</v>
      </c>
      <c r="AO81" s="14" t="n">
        <v>2</v>
      </c>
      <c r="AP81" s="14" t="n">
        <v>2</v>
      </c>
      <c r="AQ81" s="14" t="n">
        <v>2</v>
      </c>
      <c r="AR81" s="14" t="n">
        <v>2</v>
      </c>
      <c r="AS81" s="14" t="n">
        <v>2</v>
      </c>
      <c r="AT81" s="14" t="n">
        <v>2</v>
      </c>
      <c r="AU81" s="14" t="n">
        <v>2</v>
      </c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</row>
    <row r="82" ht="27" customHeight="1">
      <c r="A82" s="15" t="str">
        <v>I162S2C35J2V1</v>
      </c>
      <c r="B82" s="15" t="str">
        <v>TECNICO EN ANALISIS DE SISTEMAS</v>
      </c>
      <c r="C82" s="15" t="str">
        <v>Pregrado</v>
      </c>
      <c r="D82" s="23" t="n">
        <v>2015</v>
      </c>
      <c r="E82" s="23" t="n">
        <v>2021</v>
      </c>
      <c r="F82" s="15" t="n">
        <v>7</v>
      </c>
      <c r="G82" s="24" t="n">
        <v>0</v>
      </c>
      <c r="H82" s="24" t="n">
        <v>0</v>
      </c>
      <c r="I82" s="24" t="n">
        <v>0</v>
      </c>
      <c r="J82" s="24" t="n">
        <v>0</v>
      </c>
      <c r="K82" s="24" t="n">
        <v>0</v>
      </c>
      <c r="L82" s="24" t="n">
        <v>0</v>
      </c>
      <c r="M82" s="24" t="n">
        <v>0</v>
      </c>
      <c r="N82" s="24" t="n">
        <v>0</v>
      </c>
      <c r="O82" s="24" t="n">
        <v>15</v>
      </c>
      <c r="P82" s="24" t="n">
        <v>26</v>
      </c>
      <c r="Q82" s="24" t="n">
        <v>49</v>
      </c>
      <c r="R82" s="24" t="n">
        <v>47</v>
      </c>
      <c r="S82" s="24" t="n">
        <v>31</v>
      </c>
      <c r="T82" s="24" t="n">
        <v>9</v>
      </c>
      <c r="U82" s="24" t="n">
        <v>2</v>
      </c>
      <c r="V82" s="24" t="n">
        <v>0</v>
      </c>
      <c r="W82" s="24" t="n">
        <v>0</v>
      </c>
      <c r="X82" s="24" t="n">
        <v>0</v>
      </c>
      <c r="Y82" s="24" t="n">
        <v>0</v>
      </c>
      <c r="Z82" s="24" t="n">
        <v>0</v>
      </c>
      <c r="AA82" s="15" t="str">
        <v>HISTORICO_SIN_MATRICULA_RECIENTE</v>
      </c>
      <c r="AB82" s="15" t="n">
        <v>1</v>
      </c>
      <c r="AC82" s="15" t="str">
        <v>PUBLICA; H002</v>
      </c>
      <c r="AD82" s="15" t="n">
        <v>1</v>
      </c>
      <c r="AE82" s="15" t="str">
        <v>n.a.</v>
      </c>
      <c r="AF82" s="15" t="str">
        <v>n.a.</v>
      </c>
      <c r="AG82" s="15" t="str">
        <v>n.a.</v>
      </c>
      <c r="AH82" s="15" t="str">
        <v>n.a.</v>
      </c>
      <c r="AI82" s="15" t="str">
        <v>n.a.</v>
      </c>
      <c r="AJ82" s="15" t="n">
        <v>1</v>
      </c>
      <c r="AK82" s="15" t="n">
        <v>1</v>
      </c>
      <c r="AL82" s="15" t="n">
        <v>1</v>
      </c>
      <c r="AM82" s="15" t="n">
        <v>1</v>
      </c>
      <c r="AN82" s="15" t="n">
        <v>2</v>
      </c>
      <c r="AO82" s="15" t="n">
        <v>2</v>
      </c>
      <c r="AP82" s="15" t="n">
        <v>2</v>
      </c>
      <c r="AQ82" s="15" t="n">
        <v>2</v>
      </c>
      <c r="AR82" s="15" t="n">
        <v>2</v>
      </c>
      <c r="AS82" s="15" t="n">
        <v>2</v>
      </c>
      <c r="AT82" s="15" t="n">
        <v>2</v>
      </c>
      <c r="AU82" s="15" t="n">
        <v>2</v>
      </c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</row>
    <row r="83" ht="27" customHeight="1">
      <c r="A83" s="14" t="str">
        <v>I162S2C35J2V2</v>
      </c>
      <c r="B83" s="14" t="str">
        <v>TECNICO EN ANALISIS DE SISTEMAS</v>
      </c>
      <c r="C83" s="14" t="str">
        <v>Pregrado</v>
      </c>
      <c r="D83" s="21" t="n">
        <v>2019</v>
      </c>
      <c r="E83" s="21" t="n">
        <v>2021</v>
      </c>
      <c r="F83" s="14" t="n">
        <v>3</v>
      </c>
      <c r="G83" s="22" t="n">
        <v>0</v>
      </c>
      <c r="H83" s="22" t="n">
        <v>0</v>
      </c>
      <c r="I83" s="22" t="n">
        <v>0</v>
      </c>
      <c r="J83" s="22" t="n">
        <v>0</v>
      </c>
      <c r="K83" s="22" t="n">
        <v>0</v>
      </c>
      <c r="L83" s="22" t="n">
        <v>0</v>
      </c>
      <c r="M83" s="22" t="n">
        <v>0</v>
      </c>
      <c r="N83" s="22" t="n">
        <v>0</v>
      </c>
      <c r="O83" s="22" t="n">
        <v>0</v>
      </c>
      <c r="P83" s="22" t="n">
        <v>0</v>
      </c>
      <c r="Q83" s="22" t="n">
        <v>0</v>
      </c>
      <c r="R83" s="22" t="n">
        <v>0</v>
      </c>
      <c r="S83" s="22" t="n">
        <v>29</v>
      </c>
      <c r="T83" s="22" t="n">
        <v>15</v>
      </c>
      <c r="U83" s="22" t="n">
        <v>4</v>
      </c>
      <c r="V83" s="22" t="n">
        <v>0</v>
      </c>
      <c r="W83" s="22" t="n">
        <v>0</v>
      </c>
      <c r="X83" s="22" t="n">
        <v>0</v>
      </c>
      <c r="Y83" s="22" t="n">
        <v>0</v>
      </c>
      <c r="Z83" s="22" t="n">
        <v>0</v>
      </c>
      <c r="AA83" s="14" t="str">
        <v>HISTORICO_SIN_MATRICULA_RECIENTE</v>
      </c>
      <c r="AB83" s="14" t="n">
        <v>1</v>
      </c>
      <c r="AC83" s="14" t="str">
        <v>PUBLICA; H002</v>
      </c>
      <c r="AD83" s="14" t="n">
        <v>1</v>
      </c>
      <c r="AE83" s="14" t="str">
        <v>n.a.</v>
      </c>
      <c r="AF83" s="14" t="str">
        <v>n.a.</v>
      </c>
      <c r="AG83" s="14" t="str">
        <v>n.a.</v>
      </c>
      <c r="AH83" s="14" t="str">
        <v>n.a.</v>
      </c>
      <c r="AI83" s="14" t="str">
        <v>n.a.</v>
      </c>
      <c r="AJ83" s="14" t="str">
        <v>n.a.</v>
      </c>
      <c r="AK83" s="14" t="str">
        <v>n.a.</v>
      </c>
      <c r="AL83" s="14" t="str">
        <v>n.a.</v>
      </c>
      <c r="AM83" s="14" t="str">
        <v>n.a.</v>
      </c>
      <c r="AN83" s="14" t="n">
        <v>1</v>
      </c>
      <c r="AO83" s="14" t="n">
        <v>2</v>
      </c>
      <c r="AP83" s="14" t="n">
        <v>2</v>
      </c>
      <c r="AQ83" s="14" t="n">
        <v>2</v>
      </c>
      <c r="AR83" s="14" t="n">
        <v>2</v>
      </c>
      <c r="AS83" s="14" t="n">
        <v>2</v>
      </c>
      <c r="AT83" s="14" t="n">
        <v>2</v>
      </c>
      <c r="AU83" s="14" t="n">
        <v>2</v>
      </c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</row>
    <row r="84" ht="27" customHeight="1">
      <c r="A84" s="15" t="str">
        <v>I162S2C35J4V1</v>
      </c>
      <c r="B84" s="15" t="str">
        <v>TECNICO EN ANALISIS DE SISTEMAS</v>
      </c>
      <c r="C84" s="15" t="str">
        <v>Pregrado</v>
      </c>
      <c r="D84" s="23" t="n">
        <v>2017</v>
      </c>
      <c r="E84" s="23" t="n">
        <v>2021</v>
      </c>
      <c r="F84" s="15" t="n">
        <v>5</v>
      </c>
      <c r="G84" s="24" t="n">
        <v>0</v>
      </c>
      <c r="H84" s="24" t="n">
        <v>0</v>
      </c>
      <c r="I84" s="24" t="n">
        <v>0</v>
      </c>
      <c r="J84" s="24" t="n">
        <v>0</v>
      </c>
      <c r="K84" s="24" t="n">
        <v>0</v>
      </c>
      <c r="L84" s="24" t="n">
        <v>0</v>
      </c>
      <c r="M84" s="24" t="n">
        <v>0</v>
      </c>
      <c r="N84" s="24" t="n">
        <v>0</v>
      </c>
      <c r="O84" s="24" t="n">
        <v>0</v>
      </c>
      <c r="P84" s="24" t="n">
        <v>0</v>
      </c>
      <c r="Q84" s="24" t="n">
        <v>13</v>
      </c>
      <c r="R84" s="24" t="n">
        <v>27</v>
      </c>
      <c r="S84" s="24" t="n">
        <v>24</v>
      </c>
      <c r="T84" s="24" t="n">
        <v>22</v>
      </c>
      <c r="U84" s="24" t="n">
        <v>5</v>
      </c>
      <c r="V84" s="24" t="n">
        <v>0</v>
      </c>
      <c r="W84" s="24" t="n">
        <v>0</v>
      </c>
      <c r="X84" s="24" t="n">
        <v>0</v>
      </c>
      <c r="Y84" s="24" t="n">
        <v>0</v>
      </c>
      <c r="Z84" s="24" t="n">
        <v>0</v>
      </c>
      <c r="AA84" s="15" t="str">
        <v>HISTORICO_SIN_MATRICULA_RECIENTE</v>
      </c>
      <c r="AB84" s="15" t="n">
        <v>1</v>
      </c>
      <c r="AC84" s="15" t="str">
        <v>PUBLICA; H002</v>
      </c>
      <c r="AD84" s="15" t="n">
        <v>1</v>
      </c>
      <c r="AE84" s="15" t="str">
        <v>n.a.</v>
      </c>
      <c r="AF84" s="15" t="str">
        <v>n.a.</v>
      </c>
      <c r="AG84" s="15" t="str">
        <v>n.a.</v>
      </c>
      <c r="AH84" s="15" t="str">
        <v>n.a.</v>
      </c>
      <c r="AI84" s="15" t="str">
        <v>n.a.</v>
      </c>
      <c r="AJ84" s="15" t="str">
        <v>n.a.</v>
      </c>
      <c r="AK84" s="15" t="str">
        <v>n.a.</v>
      </c>
      <c r="AL84" s="15" t="n">
        <v>1</v>
      </c>
      <c r="AM84" s="15" t="n">
        <v>1</v>
      </c>
      <c r="AN84" s="15" t="n">
        <v>2</v>
      </c>
      <c r="AO84" s="15" t="n">
        <v>2</v>
      </c>
      <c r="AP84" s="15" t="n">
        <v>2</v>
      </c>
      <c r="AQ84" s="15" t="n">
        <v>2</v>
      </c>
      <c r="AR84" s="15" t="n">
        <v>2</v>
      </c>
      <c r="AS84" s="15" t="n">
        <v>2</v>
      </c>
      <c r="AT84" s="15" t="n">
        <v>2</v>
      </c>
      <c r="AU84" s="15" t="n">
        <v>2</v>
      </c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</row>
    <row r="85" ht="27" customHeight="1">
      <c r="A85" s="14" t="str">
        <v>I162S2C35J4V2</v>
      </c>
      <c r="B85" s="14" t="str">
        <v>TECNICO EN ANALISIS DE SISTEMAS</v>
      </c>
      <c r="C85" s="14" t="str">
        <v>Pregrado</v>
      </c>
      <c r="D85" s="21" t="n">
        <v>2019</v>
      </c>
      <c r="E85" s="21" t="n">
        <v>2022</v>
      </c>
      <c r="F85" s="14" t="n">
        <v>4</v>
      </c>
      <c r="G85" s="22" t="n">
        <v>0</v>
      </c>
      <c r="H85" s="22" t="n">
        <v>0</v>
      </c>
      <c r="I85" s="22" t="n">
        <v>0</v>
      </c>
      <c r="J85" s="22" t="n">
        <v>0</v>
      </c>
      <c r="K85" s="22" t="n">
        <v>0</v>
      </c>
      <c r="L85" s="22" t="n">
        <v>0</v>
      </c>
      <c r="M85" s="22" t="n">
        <v>0</v>
      </c>
      <c r="N85" s="22" t="n">
        <v>0</v>
      </c>
      <c r="O85" s="22" t="n">
        <v>0</v>
      </c>
      <c r="P85" s="22" t="n">
        <v>0</v>
      </c>
      <c r="Q85" s="22" t="n">
        <v>0</v>
      </c>
      <c r="R85" s="22" t="n">
        <v>0</v>
      </c>
      <c r="S85" s="22" t="n">
        <v>14</v>
      </c>
      <c r="T85" s="22" t="n">
        <v>14</v>
      </c>
      <c r="U85" s="22" t="n">
        <v>10</v>
      </c>
      <c r="V85" s="22" t="n">
        <v>3</v>
      </c>
      <c r="W85" s="22" t="n">
        <v>0</v>
      </c>
      <c r="X85" s="22" t="n">
        <v>0</v>
      </c>
      <c r="Y85" s="22" t="n">
        <v>0</v>
      </c>
      <c r="Z85" s="22" t="n">
        <v>0</v>
      </c>
      <c r="AA85" s="14" t="str">
        <v>HISTORICO_SIN_MATRICULA_RECIENTE</v>
      </c>
      <c r="AB85" s="14" t="n">
        <v>1</v>
      </c>
      <c r="AC85" s="14" t="str">
        <v>PUBLICA; H002</v>
      </c>
      <c r="AD85" s="14" t="n">
        <v>0</v>
      </c>
      <c r="AE85" s="14" t="str">
        <v>n.a.</v>
      </c>
      <c r="AF85" s="14" t="str">
        <v>n.a.</v>
      </c>
      <c r="AG85" s="14" t="str">
        <v>n.a.</v>
      </c>
      <c r="AH85" s="14" t="str">
        <v>n.a.</v>
      </c>
      <c r="AI85" s="14" t="str">
        <v>n.a.</v>
      </c>
      <c r="AJ85" s="14" t="str">
        <v>n.a.</v>
      </c>
      <c r="AK85" s="14" t="str">
        <v>n.a.</v>
      </c>
      <c r="AL85" s="14" t="str">
        <v>n.a.</v>
      </c>
      <c r="AM85" s="14" t="str">
        <v>n.a.</v>
      </c>
      <c r="AN85" s="14" t="n">
        <v>1</v>
      </c>
      <c r="AO85" s="14" t="n">
        <v>2</v>
      </c>
      <c r="AP85" s="14" t="n">
        <v>2</v>
      </c>
      <c r="AQ85" s="14" t="n">
        <v>2</v>
      </c>
      <c r="AR85" s="14" t="n">
        <v>2</v>
      </c>
      <c r="AS85" s="14" t="n">
        <v>2</v>
      </c>
      <c r="AT85" s="14" t="n">
        <v>2</v>
      </c>
      <c r="AU85" s="14" t="n">
        <v>2</v>
      </c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</row>
    <row r="86" ht="27" customHeight="1">
      <c r="A86" s="15" t="str">
        <v>I162S2C3J1V1</v>
      </c>
      <c r="B86" s="15" t="str">
        <v>INGENIERIA EN CONECTIVIDAD Y REDES</v>
      </c>
      <c r="C86" s="15" t="str">
        <v>Pregrado</v>
      </c>
      <c r="D86" s="23" t="n">
        <v>2008</v>
      </c>
      <c r="E86" s="23" t="n">
        <v>2020</v>
      </c>
      <c r="F86" s="15" t="n">
        <v>13</v>
      </c>
      <c r="G86" s="24" t="n">
        <v>0</v>
      </c>
      <c r="H86" s="24" t="n">
        <v>3</v>
      </c>
      <c r="I86" s="24" t="n">
        <v>10</v>
      </c>
      <c r="J86" s="24" t="n">
        <v>13</v>
      </c>
      <c r="K86" s="24" t="n">
        <v>12</v>
      </c>
      <c r="L86" s="24" t="n">
        <v>12</v>
      </c>
      <c r="M86" s="24" t="n">
        <v>27</v>
      </c>
      <c r="N86" s="24" t="n">
        <v>27</v>
      </c>
      <c r="O86" s="24" t="n">
        <v>18</v>
      </c>
      <c r="P86" s="24" t="n">
        <v>7</v>
      </c>
      <c r="Q86" s="24" t="n">
        <v>10</v>
      </c>
      <c r="R86" s="24" t="n">
        <v>9</v>
      </c>
      <c r="S86" s="24" t="n">
        <v>8</v>
      </c>
      <c r="T86" s="24" t="n">
        <v>1</v>
      </c>
      <c r="U86" s="24" t="n">
        <v>0</v>
      </c>
      <c r="V86" s="24" t="n">
        <v>0</v>
      </c>
      <c r="W86" s="24" t="n">
        <v>0</v>
      </c>
      <c r="X86" s="24" t="n">
        <v>0</v>
      </c>
      <c r="Y86" s="24" t="n">
        <v>0</v>
      </c>
      <c r="Z86" s="24" t="n">
        <v>0</v>
      </c>
      <c r="AA86" s="15" t="str">
        <v>CONTINUA</v>
      </c>
      <c r="AB86" s="15" t="n">
        <v>1</v>
      </c>
      <c r="AC86" s="15" t="str">
        <v>PUBLICA; H002</v>
      </c>
      <c r="AD86" s="15" t="n">
        <v>1</v>
      </c>
      <c r="AE86" s="15" t="n">
        <v>1</v>
      </c>
      <c r="AF86" s="15" t="n">
        <v>1</v>
      </c>
      <c r="AG86" s="15" t="n">
        <v>1</v>
      </c>
      <c r="AH86" s="15" t="n">
        <v>1</v>
      </c>
      <c r="AI86" s="15" t="n">
        <v>1</v>
      </c>
      <c r="AJ86" s="15" t="n">
        <v>1</v>
      </c>
      <c r="AK86" s="15" t="n">
        <v>1</v>
      </c>
      <c r="AL86" s="15" t="n">
        <v>1</v>
      </c>
      <c r="AM86" s="15" t="n">
        <v>1</v>
      </c>
      <c r="AN86" s="15" t="n">
        <v>2</v>
      </c>
      <c r="AO86" s="15" t="n">
        <v>2</v>
      </c>
      <c r="AP86" s="15" t="n">
        <v>1</v>
      </c>
      <c r="AQ86" s="15" t="n">
        <v>1</v>
      </c>
      <c r="AR86" s="15" t="n">
        <v>2</v>
      </c>
      <c r="AS86" s="15" t="n">
        <v>2</v>
      </c>
      <c r="AT86" s="15" t="n">
        <v>2</v>
      </c>
      <c r="AU86" s="15" t="n">
        <v>2</v>
      </c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</row>
    <row r="87" ht="27" customHeight="1">
      <c r="A87" s="14" t="str">
        <v>I162S2C3J1V2</v>
      </c>
      <c r="B87" s="14" t="str">
        <v>INGENIERIA EN CONECTIVIDAD Y REDES</v>
      </c>
      <c r="C87" s="14" t="str">
        <v>Pregrado</v>
      </c>
      <c r="D87" s="21" t="str">
        <v>n.a.</v>
      </c>
      <c r="E87" s="21" t="str">
        <v>n.a.</v>
      </c>
      <c r="F87" s="14" t="n">
        <v>0</v>
      </c>
      <c r="G87" s="22" t="n">
        <v>0</v>
      </c>
      <c r="H87" s="22" t="n">
        <v>0</v>
      </c>
      <c r="I87" s="22" t="n">
        <v>0</v>
      </c>
      <c r="J87" s="22" t="n">
        <v>0</v>
      </c>
      <c r="K87" s="22" t="n">
        <v>0</v>
      </c>
      <c r="L87" s="22" t="n">
        <v>0</v>
      </c>
      <c r="M87" s="22" t="n">
        <v>0</v>
      </c>
      <c r="N87" s="22" t="n">
        <v>0</v>
      </c>
      <c r="O87" s="22" t="n">
        <v>0</v>
      </c>
      <c r="P87" s="22" t="n">
        <v>0</v>
      </c>
      <c r="Q87" s="22" t="n">
        <v>0</v>
      </c>
      <c r="R87" s="22" t="n">
        <v>0</v>
      </c>
      <c r="S87" s="22" t="n">
        <v>0</v>
      </c>
      <c r="T87" s="22" t="n">
        <v>0</v>
      </c>
      <c r="U87" s="22" t="n">
        <v>0</v>
      </c>
      <c r="V87" s="22" t="n">
        <v>0</v>
      </c>
      <c r="W87" s="22" t="n">
        <v>0</v>
      </c>
      <c r="X87" s="22" t="n">
        <v>0</v>
      </c>
      <c r="Y87" s="22" t="n">
        <v>0</v>
      </c>
      <c r="Z87" s="22" t="n">
        <v>0</v>
      </c>
      <c r="AA87" s="14" t="str">
        <v>CONTINUA</v>
      </c>
      <c r="AB87" s="14" t="n">
        <v>0</v>
      </c>
      <c r="AC87" s="14" t="str">
        <v>PUBLICA; H002</v>
      </c>
      <c r="AD87" s="14" t="n">
        <v>0</v>
      </c>
      <c r="AE87" s="14" t="str">
        <v>n.a.</v>
      </c>
      <c r="AF87" s="14" t="str">
        <v>n.a.</v>
      </c>
      <c r="AG87" s="14" t="str">
        <v>n.a.</v>
      </c>
      <c r="AH87" s="14" t="str">
        <v>n.a.</v>
      </c>
      <c r="AI87" s="14" t="str">
        <v>n.a.</v>
      </c>
      <c r="AJ87" s="14" t="str">
        <v>n.a.</v>
      </c>
      <c r="AK87" s="14" t="str">
        <v>n.a.</v>
      </c>
      <c r="AL87" s="14" t="str">
        <v>n.a.</v>
      </c>
      <c r="AM87" s="14" t="str">
        <v>n.a.</v>
      </c>
      <c r="AN87" s="14" t="n">
        <v>1</v>
      </c>
      <c r="AO87" s="14" t="n">
        <v>2</v>
      </c>
      <c r="AP87" s="14" t="n">
        <v>2</v>
      </c>
      <c r="AQ87" s="14" t="n">
        <v>2</v>
      </c>
      <c r="AR87" s="14" t="n">
        <v>1</v>
      </c>
      <c r="AS87" s="14" t="n">
        <v>1</v>
      </c>
      <c r="AT87" s="14" t="n">
        <v>1</v>
      </c>
      <c r="AU87" s="14" t="n">
        <v>1</v>
      </c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</row>
    <row r="88" ht="27" customHeight="1">
      <c r="A88" s="15" t="str">
        <v>I162S2C3J2V1</v>
      </c>
      <c r="B88" s="15" t="str">
        <v>INGENIERIA EN CONECTIVIDAD Y REDES</v>
      </c>
      <c r="C88" s="15" t="str">
        <v>Pregrado</v>
      </c>
      <c r="D88" s="23" t="n">
        <v>2007</v>
      </c>
      <c r="E88" s="23" t="n">
        <v>2025</v>
      </c>
      <c r="F88" s="15" t="n">
        <v>17</v>
      </c>
      <c r="G88" s="24" t="n">
        <v>96</v>
      </c>
      <c r="H88" s="24" t="n">
        <v>103</v>
      </c>
      <c r="I88" s="24" t="n">
        <v>135</v>
      </c>
      <c r="J88" s="24" t="n">
        <v>172</v>
      </c>
      <c r="K88" s="24" t="n">
        <v>209</v>
      </c>
      <c r="L88" s="24" t="n">
        <v>227</v>
      </c>
      <c r="M88" s="24" t="n">
        <v>281</v>
      </c>
      <c r="N88" s="24" t="n">
        <v>330</v>
      </c>
      <c r="O88" s="24" t="n">
        <v>360</v>
      </c>
      <c r="P88" s="24" t="n">
        <v>211</v>
      </c>
      <c r="Q88" s="24" t="n">
        <v>119</v>
      </c>
      <c r="R88" s="24" t="n">
        <v>91</v>
      </c>
      <c r="S88" s="24" t="n">
        <v>53</v>
      </c>
      <c r="T88" s="24" t="n">
        <v>34</v>
      </c>
      <c r="U88" s="24" t="n">
        <v>43</v>
      </c>
      <c r="V88" s="24" t="n">
        <v>0</v>
      </c>
      <c r="W88" s="24" t="n">
        <v>2</v>
      </c>
      <c r="X88" s="24" t="n">
        <v>0</v>
      </c>
      <c r="Y88" s="24" t="n">
        <v>4</v>
      </c>
      <c r="Z88" s="24" t="n">
        <v>0</v>
      </c>
      <c r="AA88" s="15" t="str">
        <v>CONTINUA</v>
      </c>
      <c r="AB88" s="15" t="n">
        <v>1</v>
      </c>
      <c r="AC88" s="15" t="str">
        <v>PUBLICA; H002</v>
      </c>
      <c r="AD88" s="15" t="n">
        <v>0</v>
      </c>
      <c r="AE88" s="15" t="n">
        <v>1</v>
      </c>
      <c r="AF88" s="15" t="n">
        <v>1</v>
      </c>
      <c r="AG88" s="15" t="n">
        <v>1</v>
      </c>
      <c r="AH88" s="15" t="n">
        <v>1</v>
      </c>
      <c r="AI88" s="15" t="n">
        <v>1</v>
      </c>
      <c r="AJ88" s="15" t="n">
        <v>1</v>
      </c>
      <c r="AK88" s="15" t="n">
        <v>1</v>
      </c>
      <c r="AL88" s="15" t="n">
        <v>1</v>
      </c>
      <c r="AM88" s="15" t="n">
        <v>1</v>
      </c>
      <c r="AN88" s="15" t="n">
        <v>2</v>
      </c>
      <c r="AO88" s="15" t="n">
        <v>2</v>
      </c>
      <c r="AP88" s="15" t="n">
        <v>1</v>
      </c>
      <c r="AQ88" s="15" t="n">
        <v>1</v>
      </c>
      <c r="AR88" s="15" t="n">
        <v>2</v>
      </c>
      <c r="AS88" s="15" t="n">
        <v>2</v>
      </c>
      <c r="AT88" s="15" t="n">
        <v>2</v>
      </c>
      <c r="AU88" s="15" t="n">
        <v>2</v>
      </c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</row>
    <row r="89" ht="27" customHeight="1">
      <c r="A89" s="14" t="str">
        <v>I162S2C3J2V2</v>
      </c>
      <c r="B89" s="14" t="str">
        <v>INGENIERIA EN CONECTIVIDAD Y REDES</v>
      </c>
      <c r="C89" s="14" t="str">
        <v>Pregrado</v>
      </c>
      <c r="D89" s="21" t="n">
        <v>2016</v>
      </c>
      <c r="E89" s="21" t="n">
        <v>2021</v>
      </c>
      <c r="F89" s="14" t="n">
        <v>6</v>
      </c>
      <c r="G89" s="22" t="n">
        <v>0</v>
      </c>
      <c r="H89" s="22" t="n">
        <v>0</v>
      </c>
      <c r="I89" s="22" t="n">
        <v>0</v>
      </c>
      <c r="J89" s="22" t="n">
        <v>0</v>
      </c>
      <c r="K89" s="22" t="n">
        <v>0</v>
      </c>
      <c r="L89" s="22" t="n">
        <v>0</v>
      </c>
      <c r="M89" s="22" t="n">
        <v>0</v>
      </c>
      <c r="N89" s="22" t="n">
        <v>0</v>
      </c>
      <c r="O89" s="22" t="n">
        <v>0</v>
      </c>
      <c r="P89" s="22" t="n">
        <v>142</v>
      </c>
      <c r="Q89" s="22" t="n">
        <v>234</v>
      </c>
      <c r="R89" s="22" t="n">
        <v>148</v>
      </c>
      <c r="S89" s="22" t="n">
        <v>65</v>
      </c>
      <c r="T89" s="22" t="n">
        <v>1</v>
      </c>
      <c r="U89" s="22" t="n">
        <v>1</v>
      </c>
      <c r="V89" s="22" t="n">
        <v>0</v>
      </c>
      <c r="W89" s="22" t="n">
        <v>0</v>
      </c>
      <c r="X89" s="22" t="n">
        <v>0</v>
      </c>
      <c r="Y89" s="22" t="n">
        <v>0</v>
      </c>
      <c r="Z89" s="22" t="n">
        <v>0</v>
      </c>
      <c r="AA89" s="14" t="str">
        <v>SIN_OFERTA_2027</v>
      </c>
      <c r="AB89" s="14" t="n">
        <v>1</v>
      </c>
      <c r="AC89" s="14" t="str">
        <v>PUBLICA; H002</v>
      </c>
      <c r="AD89" s="14" t="n">
        <v>1</v>
      </c>
      <c r="AE89" s="14" t="str">
        <v>n.a.</v>
      </c>
      <c r="AF89" s="14" t="str">
        <v>n.a.</v>
      </c>
      <c r="AG89" s="14" t="str">
        <v>n.a.</v>
      </c>
      <c r="AH89" s="14" t="str">
        <v>n.a.</v>
      </c>
      <c r="AI89" s="14" t="str">
        <v>n.a.</v>
      </c>
      <c r="AJ89" s="14" t="str">
        <v>n.a.</v>
      </c>
      <c r="AK89" s="14" t="n">
        <v>1</v>
      </c>
      <c r="AL89" s="14" t="n">
        <v>1</v>
      </c>
      <c r="AM89" s="14" t="n">
        <v>1</v>
      </c>
      <c r="AN89" s="14" t="n">
        <v>2</v>
      </c>
      <c r="AO89" s="14" t="n">
        <v>2</v>
      </c>
      <c r="AP89" s="14" t="n">
        <v>2</v>
      </c>
      <c r="AQ89" s="14" t="n">
        <v>2</v>
      </c>
      <c r="AR89" s="14" t="n">
        <v>2</v>
      </c>
      <c r="AS89" s="14" t="str">
        <v>n.a.</v>
      </c>
      <c r="AT89" s="14" t="str">
        <v>n.a.</v>
      </c>
      <c r="AU89" s="14" t="str">
        <v>n.a.</v>
      </c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</row>
    <row r="90" ht="27" customHeight="1">
      <c r="A90" s="15" t="str">
        <v>I162S2C3J2V3</v>
      </c>
      <c r="B90" s="15" t="str">
        <v>INGENIERIA EN CONECTIVIDAD Y REDES</v>
      </c>
      <c r="C90" s="15" t="str">
        <v>Pregrado</v>
      </c>
      <c r="D90" s="23" t="n">
        <v>2018</v>
      </c>
      <c r="E90" s="23" t="n">
        <v>2026</v>
      </c>
      <c r="F90" s="15" t="n">
        <v>5</v>
      </c>
      <c r="G90" s="24" t="n">
        <v>0</v>
      </c>
      <c r="H90" s="24" t="n">
        <v>0</v>
      </c>
      <c r="I90" s="24" t="n">
        <v>0</v>
      </c>
      <c r="J90" s="24" t="n">
        <v>0</v>
      </c>
      <c r="K90" s="24" t="n">
        <v>0</v>
      </c>
      <c r="L90" s="24" t="n">
        <v>0</v>
      </c>
      <c r="M90" s="24" t="n">
        <v>0</v>
      </c>
      <c r="N90" s="24" t="n">
        <v>0</v>
      </c>
      <c r="O90" s="24" t="n">
        <v>0</v>
      </c>
      <c r="P90" s="24" t="n">
        <v>0</v>
      </c>
      <c r="Q90" s="24" t="n">
        <v>0</v>
      </c>
      <c r="R90" s="24" t="n">
        <v>73</v>
      </c>
      <c r="S90" s="24" t="n">
        <v>95</v>
      </c>
      <c r="T90" s="24" t="n">
        <v>51</v>
      </c>
      <c r="U90" s="24" t="n">
        <v>23</v>
      </c>
      <c r="V90" s="24" t="n">
        <v>0</v>
      </c>
      <c r="W90" s="24" t="n">
        <v>0</v>
      </c>
      <c r="X90" s="24" t="n">
        <v>0</v>
      </c>
      <c r="Y90" s="24" t="n">
        <v>0</v>
      </c>
      <c r="Z90" s="24" t="n">
        <v>2</v>
      </c>
      <c r="AA90" s="15" t="str">
        <v>CONTINUA</v>
      </c>
      <c r="AB90" s="15" t="n">
        <v>1</v>
      </c>
      <c r="AC90" s="15" t="str">
        <v>PUBLICA; H002</v>
      </c>
      <c r="AD90" s="15" t="n">
        <v>0</v>
      </c>
      <c r="AE90" s="15" t="str">
        <v>n.a.</v>
      </c>
      <c r="AF90" s="15" t="str">
        <v>n.a.</v>
      </c>
      <c r="AG90" s="15" t="str">
        <v>n.a.</v>
      </c>
      <c r="AH90" s="15" t="str">
        <v>n.a.</v>
      </c>
      <c r="AI90" s="15" t="str">
        <v>n.a.</v>
      </c>
      <c r="AJ90" s="15" t="str">
        <v>n.a.</v>
      </c>
      <c r="AK90" s="15" t="str">
        <v>n.a.</v>
      </c>
      <c r="AL90" s="15" t="str">
        <v>n.a.</v>
      </c>
      <c r="AM90" s="15" t="n">
        <v>1</v>
      </c>
      <c r="AN90" s="15" t="n">
        <v>1</v>
      </c>
      <c r="AO90" s="15" t="n">
        <v>1</v>
      </c>
      <c r="AP90" s="15" t="n">
        <v>1</v>
      </c>
      <c r="AQ90" s="15" t="n">
        <v>2</v>
      </c>
      <c r="AR90" s="15" t="n">
        <v>2</v>
      </c>
      <c r="AS90" s="15" t="n">
        <v>2</v>
      </c>
      <c r="AT90" s="15" t="n">
        <v>2</v>
      </c>
      <c r="AU90" s="15" t="n">
        <v>2</v>
      </c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</row>
    <row r="91" ht="27" customHeight="1">
      <c r="A91" s="14" t="str">
        <v>I162S2C3J2V4</v>
      </c>
      <c r="B91" s="14" t="str">
        <v>INGENIERIA EN CONECTIVIDAD Y REDES</v>
      </c>
      <c r="C91" s="14" t="str">
        <v>Pregrado</v>
      </c>
      <c r="D91" s="21" t="n">
        <v>2019</v>
      </c>
      <c r="E91" s="21" t="n">
        <v>2026</v>
      </c>
      <c r="F91" s="14" t="n">
        <v>8</v>
      </c>
      <c r="G91" s="22" t="n">
        <v>0</v>
      </c>
      <c r="H91" s="22" t="n">
        <v>0</v>
      </c>
      <c r="I91" s="22" t="n">
        <v>0</v>
      </c>
      <c r="J91" s="22" t="n">
        <v>0</v>
      </c>
      <c r="K91" s="22" t="n">
        <v>0</v>
      </c>
      <c r="L91" s="22" t="n">
        <v>0</v>
      </c>
      <c r="M91" s="22" t="n">
        <v>0</v>
      </c>
      <c r="N91" s="22" t="n">
        <v>0</v>
      </c>
      <c r="O91" s="22" t="n">
        <v>0</v>
      </c>
      <c r="P91" s="22" t="n">
        <v>0</v>
      </c>
      <c r="Q91" s="22" t="n">
        <v>0</v>
      </c>
      <c r="R91" s="22" t="n">
        <v>0</v>
      </c>
      <c r="S91" s="22" t="n">
        <v>17</v>
      </c>
      <c r="T91" s="22" t="n">
        <v>35</v>
      </c>
      <c r="U91" s="22" t="n">
        <v>12</v>
      </c>
      <c r="V91" s="22" t="n">
        <v>48</v>
      </c>
      <c r="W91" s="22" t="n">
        <v>29</v>
      </c>
      <c r="X91" s="22" t="n">
        <v>25</v>
      </c>
      <c r="Y91" s="22" t="n">
        <v>11</v>
      </c>
      <c r="Z91" s="22" t="n">
        <v>6</v>
      </c>
      <c r="AA91" s="14" t="str">
        <v>CONTINUA</v>
      </c>
      <c r="AB91" s="14" t="n">
        <v>1</v>
      </c>
      <c r="AC91" s="14" t="str">
        <v>PUBLICA; H002</v>
      </c>
      <c r="AD91" s="14" t="n">
        <v>0</v>
      </c>
      <c r="AE91" s="14" t="str">
        <v>n.a.</v>
      </c>
      <c r="AF91" s="14" t="str">
        <v>n.a.</v>
      </c>
      <c r="AG91" s="14" t="str">
        <v>n.a.</v>
      </c>
      <c r="AH91" s="14" t="str">
        <v>n.a.</v>
      </c>
      <c r="AI91" s="14" t="str">
        <v>n.a.</v>
      </c>
      <c r="AJ91" s="14" t="str">
        <v>n.a.</v>
      </c>
      <c r="AK91" s="14" t="str">
        <v>n.a.</v>
      </c>
      <c r="AL91" s="14" t="str">
        <v>n.a.</v>
      </c>
      <c r="AM91" s="14" t="str">
        <v>n.a.</v>
      </c>
      <c r="AN91" s="14" t="n">
        <v>1</v>
      </c>
      <c r="AO91" s="14" t="n">
        <v>1</v>
      </c>
      <c r="AP91" s="14" t="n">
        <v>1</v>
      </c>
      <c r="AQ91" s="14" t="n">
        <v>2</v>
      </c>
      <c r="AR91" s="14" t="n">
        <v>1</v>
      </c>
      <c r="AS91" s="14" t="n">
        <v>1</v>
      </c>
      <c r="AT91" s="14" t="n">
        <v>1</v>
      </c>
      <c r="AU91" s="14" t="n">
        <v>1</v>
      </c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</row>
    <row r="92" ht="27" customHeight="1">
      <c r="A92" s="15" t="str">
        <v>I162S2C3J4V1</v>
      </c>
      <c r="B92" s="15" t="str">
        <v>INGENIERIA EN CONECTIVIDAD Y REDES</v>
      </c>
      <c r="C92" s="15" t="str">
        <v>Pregrado</v>
      </c>
      <c r="D92" s="23" t="n">
        <v>2018</v>
      </c>
      <c r="E92" s="23" t="n">
        <v>2022</v>
      </c>
      <c r="F92" s="15" t="n">
        <v>5</v>
      </c>
      <c r="G92" s="24" t="n">
        <v>0</v>
      </c>
      <c r="H92" s="24" t="n">
        <v>0</v>
      </c>
      <c r="I92" s="24" t="n">
        <v>0</v>
      </c>
      <c r="J92" s="24" t="n">
        <v>0</v>
      </c>
      <c r="K92" s="24" t="n">
        <v>0</v>
      </c>
      <c r="L92" s="24" t="n">
        <v>0</v>
      </c>
      <c r="M92" s="24" t="n">
        <v>0</v>
      </c>
      <c r="N92" s="24" t="n">
        <v>0</v>
      </c>
      <c r="O92" s="24" t="n">
        <v>0</v>
      </c>
      <c r="P92" s="24" t="n">
        <v>0</v>
      </c>
      <c r="Q92" s="24" t="n">
        <v>0</v>
      </c>
      <c r="R92" s="24" t="n">
        <v>15</v>
      </c>
      <c r="S92" s="24" t="n">
        <v>11</v>
      </c>
      <c r="T92" s="24" t="n">
        <v>61</v>
      </c>
      <c r="U92" s="24" t="n">
        <v>122</v>
      </c>
      <c r="V92" s="24" t="n">
        <v>3</v>
      </c>
      <c r="W92" s="24" t="n">
        <v>0</v>
      </c>
      <c r="X92" s="24" t="n">
        <v>0</v>
      </c>
      <c r="Y92" s="24" t="n">
        <v>0</v>
      </c>
      <c r="Z92" s="24" t="n">
        <v>0</v>
      </c>
      <c r="AA92" s="15" t="str">
        <v>SIN_OFERTA_2027</v>
      </c>
      <c r="AB92" s="15" t="n">
        <v>1</v>
      </c>
      <c r="AC92" s="15" t="str">
        <v>PUBLICA; H002</v>
      </c>
      <c r="AD92" s="15" t="n">
        <v>0</v>
      </c>
      <c r="AE92" s="15" t="str">
        <v>n.a.</v>
      </c>
      <c r="AF92" s="15" t="str">
        <v>n.a.</v>
      </c>
      <c r="AG92" s="15" t="str">
        <v>n.a.</v>
      </c>
      <c r="AH92" s="15" t="str">
        <v>n.a.</v>
      </c>
      <c r="AI92" s="15" t="str">
        <v>n.a.</v>
      </c>
      <c r="AJ92" s="15" t="str">
        <v>n.a.</v>
      </c>
      <c r="AK92" s="15" t="str">
        <v>n.a.</v>
      </c>
      <c r="AL92" s="15" t="str">
        <v>n.a.</v>
      </c>
      <c r="AM92" s="15" t="n">
        <v>1</v>
      </c>
      <c r="AN92" s="15" t="n">
        <v>2</v>
      </c>
      <c r="AO92" s="15" t="n">
        <v>2</v>
      </c>
      <c r="AP92" s="15" t="n">
        <v>1</v>
      </c>
      <c r="AQ92" s="15" t="n">
        <v>1</v>
      </c>
      <c r="AR92" s="15" t="n">
        <v>2</v>
      </c>
      <c r="AS92" s="15" t="str">
        <v>n.a.</v>
      </c>
      <c r="AT92" s="15" t="str">
        <v>n.a.</v>
      </c>
      <c r="AU92" s="15" t="str">
        <v>n.a.</v>
      </c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</row>
    <row r="93" ht="27" customHeight="1">
      <c r="A93" s="14" t="str">
        <v>I162S2C3J4V2</v>
      </c>
      <c r="B93" s="14" t="str">
        <v>INGENIERIA EN CONECTIVIDAD Y REDES</v>
      </c>
      <c r="C93" s="14" t="str">
        <v>Pregrado</v>
      </c>
      <c r="D93" s="21" t="n">
        <v>2019</v>
      </c>
      <c r="E93" s="21" t="n">
        <v>2026</v>
      </c>
      <c r="F93" s="14" t="n">
        <v>8</v>
      </c>
      <c r="G93" s="22" t="n">
        <v>0</v>
      </c>
      <c r="H93" s="22" t="n">
        <v>0</v>
      </c>
      <c r="I93" s="22" t="n">
        <v>0</v>
      </c>
      <c r="J93" s="22" t="n">
        <v>0</v>
      </c>
      <c r="K93" s="22" t="n">
        <v>0</v>
      </c>
      <c r="L93" s="22" t="n">
        <v>0</v>
      </c>
      <c r="M93" s="22" t="n">
        <v>0</v>
      </c>
      <c r="N93" s="22" t="n">
        <v>0</v>
      </c>
      <c r="O93" s="22" t="n">
        <v>0</v>
      </c>
      <c r="P93" s="22" t="n">
        <v>0</v>
      </c>
      <c r="Q93" s="22" t="n">
        <v>0</v>
      </c>
      <c r="R93" s="22" t="n">
        <v>0</v>
      </c>
      <c r="S93" s="22" t="n">
        <v>15</v>
      </c>
      <c r="T93" s="22" t="n">
        <v>27</v>
      </c>
      <c r="U93" s="22" t="n">
        <v>17</v>
      </c>
      <c r="V93" s="22" t="n">
        <v>155</v>
      </c>
      <c r="W93" s="22" t="n">
        <v>202</v>
      </c>
      <c r="X93" s="22" t="n">
        <v>267</v>
      </c>
      <c r="Y93" s="22" t="n">
        <v>244</v>
      </c>
      <c r="Z93" s="22" t="n">
        <v>153</v>
      </c>
      <c r="AA93" s="14" t="str">
        <v>VERSION_MULTIPLE_RESUELTA</v>
      </c>
      <c r="AB93" s="14" t="n">
        <v>1</v>
      </c>
      <c r="AC93" s="14" t="str">
        <v>PUBLICA; H002</v>
      </c>
      <c r="AD93" s="14" t="n">
        <v>0</v>
      </c>
      <c r="AE93" s="14" t="str">
        <v>n.a.</v>
      </c>
      <c r="AF93" s="14" t="str">
        <v>n.a.</v>
      </c>
      <c r="AG93" s="14" t="str">
        <v>n.a.</v>
      </c>
      <c r="AH93" s="14" t="str">
        <v>n.a.</v>
      </c>
      <c r="AI93" s="14" t="str">
        <v>n.a.</v>
      </c>
      <c r="AJ93" s="14" t="str">
        <v>n.a.</v>
      </c>
      <c r="AK93" s="14" t="str">
        <v>n.a.</v>
      </c>
      <c r="AL93" s="14" t="str">
        <v>n.a.</v>
      </c>
      <c r="AM93" s="14" t="str">
        <v>n.a.</v>
      </c>
      <c r="AN93" s="14" t="n">
        <v>1</v>
      </c>
      <c r="AO93" s="14" t="n">
        <v>1</v>
      </c>
      <c r="AP93" s="14" t="n">
        <v>1</v>
      </c>
      <c r="AQ93" s="14" t="n">
        <v>2</v>
      </c>
      <c r="AR93" s="14" t="n">
        <v>1</v>
      </c>
      <c r="AS93" s="14" t="n">
        <v>1</v>
      </c>
      <c r="AT93" s="14" t="n">
        <v>1</v>
      </c>
      <c r="AU93" s="14" t="n">
        <v>1</v>
      </c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</row>
    <row r="94" ht="27" customHeight="1">
      <c r="A94" s="15" t="str">
        <v>I162S2C3J4V3</v>
      </c>
      <c r="B94" s="15" t="str">
        <v>INGENIERIA EN CONECTIVIDAD Y REDES</v>
      </c>
      <c r="C94" s="15" t="str">
        <v>Pregrado</v>
      </c>
      <c r="D94" s="23" t="n">
        <v>2019</v>
      </c>
      <c r="E94" s="23" t="n">
        <v>2026</v>
      </c>
      <c r="F94" s="15" t="n">
        <v>3</v>
      </c>
      <c r="G94" s="24" t="n">
        <v>0</v>
      </c>
      <c r="H94" s="24" t="n">
        <v>0</v>
      </c>
      <c r="I94" s="24" t="n">
        <v>0</v>
      </c>
      <c r="J94" s="24" t="n">
        <v>0</v>
      </c>
      <c r="K94" s="24" t="n">
        <v>0</v>
      </c>
      <c r="L94" s="24" t="n">
        <v>0</v>
      </c>
      <c r="M94" s="24" t="n">
        <v>0</v>
      </c>
      <c r="N94" s="24" t="n">
        <v>0</v>
      </c>
      <c r="O94" s="24" t="n">
        <v>0</v>
      </c>
      <c r="P94" s="24" t="n">
        <v>0</v>
      </c>
      <c r="Q94" s="24" t="n">
        <v>0</v>
      </c>
      <c r="R94" s="24" t="n">
        <v>0</v>
      </c>
      <c r="S94" s="24" t="n">
        <v>12</v>
      </c>
      <c r="T94" s="24" t="n">
        <v>0</v>
      </c>
      <c r="U94" s="24" t="n">
        <v>0</v>
      </c>
      <c r="V94" s="24" t="n">
        <v>0</v>
      </c>
      <c r="W94" s="24" t="n">
        <v>0</v>
      </c>
      <c r="X94" s="24" t="n">
        <v>0</v>
      </c>
      <c r="Y94" s="24" t="n">
        <v>43</v>
      </c>
      <c r="Z94" s="24" t="n">
        <v>113</v>
      </c>
      <c r="AA94" s="15" t="str">
        <v>VERSION_MULTIPLE_RESUELTA</v>
      </c>
      <c r="AB94" s="15" t="n">
        <v>1</v>
      </c>
      <c r="AC94" s="15" t="str">
        <v>PUBLICA; H002</v>
      </c>
      <c r="AD94" s="15" t="n">
        <v>0</v>
      </c>
      <c r="AE94" s="15" t="str">
        <v>n.a.</v>
      </c>
      <c r="AF94" s="15" t="str">
        <v>n.a.</v>
      </c>
      <c r="AG94" s="15" t="str">
        <v>n.a.</v>
      </c>
      <c r="AH94" s="15" t="str">
        <v>n.a.</v>
      </c>
      <c r="AI94" s="15" t="str">
        <v>n.a.</v>
      </c>
      <c r="AJ94" s="15" t="str">
        <v>n.a.</v>
      </c>
      <c r="AK94" s="15" t="str">
        <v>n.a.</v>
      </c>
      <c r="AL94" s="15" t="str">
        <v>n.a.</v>
      </c>
      <c r="AM94" s="15" t="str">
        <v>n.a.</v>
      </c>
      <c r="AN94" s="15" t="n">
        <v>1</v>
      </c>
      <c r="AO94" s="15" t="n">
        <v>1</v>
      </c>
      <c r="AP94" s="15" t="n">
        <v>1</v>
      </c>
      <c r="AQ94" s="15" t="n">
        <v>2</v>
      </c>
      <c r="AR94" s="15" t="n">
        <v>2</v>
      </c>
      <c r="AS94" s="15" t="n">
        <v>2</v>
      </c>
      <c r="AT94" s="15" t="n">
        <v>2</v>
      </c>
      <c r="AU94" s="15" t="n">
        <v>2</v>
      </c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</row>
    <row r="95" ht="36" customHeight="1">
      <c r="A95" s="14" t="str">
        <v>I162S2C40J2V1</v>
      </c>
      <c r="B95" s="14" t="str">
        <v>DIPLOMADO EN DOCENCIA EN EDUCACION SUPERIOR TECNICO PROFESIONAL</v>
      </c>
      <c r="C95" s="14" t="str">
        <v>Postítulo/otro</v>
      </c>
      <c r="D95" s="21" t="str">
        <v>n.a.</v>
      </c>
      <c r="E95" s="21" t="str">
        <v>n.a.</v>
      </c>
      <c r="F95" s="14" t="n">
        <v>0</v>
      </c>
      <c r="G95" s="22" t="n">
        <v>0</v>
      </c>
      <c r="H95" s="22" t="n">
        <v>0</v>
      </c>
      <c r="I95" s="22" t="n">
        <v>0</v>
      </c>
      <c r="J95" s="22" t="n">
        <v>0</v>
      </c>
      <c r="K95" s="22" t="n">
        <v>0</v>
      </c>
      <c r="L95" s="22" t="n">
        <v>0</v>
      </c>
      <c r="M95" s="22" t="n">
        <v>0</v>
      </c>
      <c r="N95" s="22" t="n">
        <v>0</v>
      </c>
      <c r="O95" s="22" t="n">
        <v>0</v>
      </c>
      <c r="P95" s="22" t="n">
        <v>0</v>
      </c>
      <c r="Q95" s="22" t="n">
        <v>0</v>
      </c>
      <c r="R95" s="22" t="n">
        <v>0</v>
      </c>
      <c r="S95" s="22" t="n">
        <v>0</v>
      </c>
      <c r="T95" s="22" t="n">
        <v>0</v>
      </c>
      <c r="U95" s="22" t="n">
        <v>0</v>
      </c>
      <c r="V95" s="22" t="n">
        <v>0</v>
      </c>
      <c r="W95" s="22" t="n">
        <v>0</v>
      </c>
      <c r="X95" s="22" t="n">
        <v>0</v>
      </c>
      <c r="Y95" s="22" t="n">
        <v>0</v>
      </c>
      <c r="Z95" s="22" t="n">
        <v>0</v>
      </c>
      <c r="AA95" s="14" t="str">
        <v>FUERA_ALCANCE</v>
      </c>
      <c r="AB95" s="14" t="n">
        <v>0</v>
      </c>
      <c r="AC95" s="14" t="str">
        <v>PUBLICA; H002</v>
      </c>
      <c r="AD95" s="14" t="n">
        <v>0</v>
      </c>
      <c r="AE95" s="14" t="str">
        <v>n.a.</v>
      </c>
      <c r="AF95" s="14" t="str">
        <v>n.a.</v>
      </c>
      <c r="AG95" s="14" t="str">
        <v>n.a.</v>
      </c>
      <c r="AH95" s="14" t="str">
        <v>n.a.</v>
      </c>
      <c r="AI95" s="14" t="str">
        <v>n.a.</v>
      </c>
      <c r="AJ95" s="14" t="str">
        <v>n.a.</v>
      </c>
      <c r="AK95" s="14" t="str">
        <v>n.a.</v>
      </c>
      <c r="AL95" s="14" t="n">
        <v>1</v>
      </c>
      <c r="AM95" s="14" t="n">
        <v>1</v>
      </c>
      <c r="AN95" s="14" t="n">
        <v>1</v>
      </c>
      <c r="AO95" s="14" t="n">
        <v>1</v>
      </c>
      <c r="AP95" s="14" t="n">
        <v>1</v>
      </c>
      <c r="AQ95" s="14" t="n">
        <v>2</v>
      </c>
      <c r="AR95" s="14" t="n">
        <v>2</v>
      </c>
      <c r="AS95" s="14" t="n">
        <v>2</v>
      </c>
      <c r="AT95" s="14" t="n">
        <v>2</v>
      </c>
      <c r="AU95" s="14" t="n">
        <v>2</v>
      </c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</row>
    <row r="96" ht="27" customHeight="1">
      <c r="A96" s="15" t="str">
        <v>I162S2C46J1V1</v>
      </c>
      <c r="B96" s="15" t="str">
        <v>INGENIERIA EN CIBERSEGURIDAD</v>
      </c>
      <c r="C96" s="15" t="str">
        <v>Pregrado</v>
      </c>
      <c r="D96" s="23" t="n">
        <v>2020</v>
      </c>
      <c r="E96" s="23" t="n">
        <v>2026</v>
      </c>
      <c r="F96" s="15" t="n">
        <v>7</v>
      </c>
      <c r="G96" s="24" t="n">
        <v>0</v>
      </c>
      <c r="H96" s="24" t="n">
        <v>0</v>
      </c>
      <c r="I96" s="24" t="n">
        <v>0</v>
      </c>
      <c r="J96" s="24" t="n">
        <v>0</v>
      </c>
      <c r="K96" s="24" t="n">
        <v>0</v>
      </c>
      <c r="L96" s="24" t="n">
        <v>0</v>
      </c>
      <c r="M96" s="24" t="n">
        <v>0</v>
      </c>
      <c r="N96" s="24" t="n">
        <v>0</v>
      </c>
      <c r="O96" s="24" t="n">
        <v>0</v>
      </c>
      <c r="P96" s="24" t="n">
        <v>0</v>
      </c>
      <c r="Q96" s="24" t="n">
        <v>0</v>
      </c>
      <c r="R96" s="24" t="n">
        <v>0</v>
      </c>
      <c r="S96" s="24" t="n">
        <v>0</v>
      </c>
      <c r="T96" s="24" t="n">
        <v>10</v>
      </c>
      <c r="U96" s="24" t="n">
        <v>15</v>
      </c>
      <c r="V96" s="24" t="n">
        <v>15</v>
      </c>
      <c r="W96" s="24" t="n">
        <v>6</v>
      </c>
      <c r="X96" s="24" t="n">
        <v>21</v>
      </c>
      <c r="Y96" s="24" t="n">
        <v>33</v>
      </c>
      <c r="Z96" s="24" t="n">
        <v>35</v>
      </c>
      <c r="AA96" s="15" t="str">
        <v>CONTINUA</v>
      </c>
      <c r="AB96" s="15" t="n">
        <v>1</v>
      </c>
      <c r="AC96" s="15" t="str">
        <v>PUBLICA; H002</v>
      </c>
      <c r="AD96" s="15" t="n">
        <v>0</v>
      </c>
      <c r="AE96" s="15" t="str">
        <v>n.a.</v>
      </c>
      <c r="AF96" s="15" t="str">
        <v>n.a.</v>
      </c>
      <c r="AG96" s="15" t="str">
        <v>n.a.</v>
      </c>
      <c r="AH96" s="15" t="str">
        <v>n.a.</v>
      </c>
      <c r="AI96" s="15" t="str">
        <v>n.a.</v>
      </c>
      <c r="AJ96" s="15" t="str">
        <v>n.a.</v>
      </c>
      <c r="AK96" s="15" t="str">
        <v>n.a.</v>
      </c>
      <c r="AL96" s="15" t="str">
        <v>n.a.</v>
      </c>
      <c r="AM96" s="15" t="str">
        <v>n.a.</v>
      </c>
      <c r="AN96" s="15" t="n">
        <v>1</v>
      </c>
      <c r="AO96" s="15" t="n">
        <v>1</v>
      </c>
      <c r="AP96" s="15" t="n">
        <v>1</v>
      </c>
      <c r="AQ96" s="15" t="n">
        <v>1</v>
      </c>
      <c r="AR96" s="15" t="n">
        <v>1</v>
      </c>
      <c r="AS96" s="15" t="n">
        <v>1</v>
      </c>
      <c r="AT96" s="15" t="n">
        <v>1</v>
      </c>
      <c r="AU96" s="15" t="n">
        <v>1</v>
      </c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</row>
    <row r="97" ht="27" customHeight="1">
      <c r="A97" s="14" t="str">
        <v>I162S2C46J2V1</v>
      </c>
      <c r="B97" s="14" t="str">
        <v>INGENIERIA EN CIBERSEGURIDAD</v>
      </c>
      <c r="C97" s="14" t="str">
        <v>Pregrado</v>
      </c>
      <c r="D97" s="21" t="n">
        <v>2019</v>
      </c>
      <c r="E97" s="21" t="n">
        <v>2026</v>
      </c>
      <c r="F97" s="14" t="n">
        <v>8</v>
      </c>
      <c r="G97" s="22" t="n">
        <v>0</v>
      </c>
      <c r="H97" s="22" t="n">
        <v>0</v>
      </c>
      <c r="I97" s="22" t="n">
        <v>0</v>
      </c>
      <c r="J97" s="22" t="n">
        <v>0</v>
      </c>
      <c r="K97" s="22" t="n">
        <v>0</v>
      </c>
      <c r="L97" s="22" t="n">
        <v>0</v>
      </c>
      <c r="M97" s="22" t="n">
        <v>0</v>
      </c>
      <c r="N97" s="22" t="n">
        <v>0</v>
      </c>
      <c r="O97" s="22" t="n">
        <v>0</v>
      </c>
      <c r="P97" s="22" t="n">
        <v>0</v>
      </c>
      <c r="Q97" s="22" t="n">
        <v>0</v>
      </c>
      <c r="R97" s="22" t="n">
        <v>0</v>
      </c>
      <c r="S97" s="22" t="n">
        <v>12</v>
      </c>
      <c r="T97" s="22" t="n">
        <v>15</v>
      </c>
      <c r="U97" s="22" t="n">
        <v>32</v>
      </c>
      <c r="V97" s="22" t="n">
        <v>39</v>
      </c>
      <c r="W97" s="22" t="n">
        <v>41</v>
      </c>
      <c r="X97" s="22" t="n">
        <v>42</v>
      </c>
      <c r="Y97" s="22" t="n">
        <v>36</v>
      </c>
      <c r="Z97" s="22" t="n">
        <v>41</v>
      </c>
      <c r="AA97" s="14" t="str">
        <v>VERSION_MULTIPLE_RESUELTA</v>
      </c>
      <c r="AB97" s="14" t="n">
        <v>1</v>
      </c>
      <c r="AC97" s="14" t="str">
        <v>PUBLICA; H002</v>
      </c>
      <c r="AD97" s="14" t="n">
        <v>0</v>
      </c>
      <c r="AE97" s="14" t="str">
        <v>n.a.</v>
      </c>
      <c r="AF97" s="14" t="str">
        <v>n.a.</v>
      </c>
      <c r="AG97" s="14" t="str">
        <v>n.a.</v>
      </c>
      <c r="AH97" s="14" t="str">
        <v>n.a.</v>
      </c>
      <c r="AI97" s="14" t="str">
        <v>n.a.</v>
      </c>
      <c r="AJ97" s="14" t="str">
        <v>n.a.</v>
      </c>
      <c r="AK97" s="14" t="str">
        <v>n.a.</v>
      </c>
      <c r="AL97" s="14" t="str">
        <v>n.a.</v>
      </c>
      <c r="AM97" s="14" t="str">
        <v>n.a.</v>
      </c>
      <c r="AN97" s="14" t="n">
        <v>1</v>
      </c>
      <c r="AO97" s="14" t="n">
        <v>1</v>
      </c>
      <c r="AP97" s="14" t="n">
        <v>1</v>
      </c>
      <c r="AQ97" s="14" t="n">
        <v>1</v>
      </c>
      <c r="AR97" s="14" t="n">
        <v>1</v>
      </c>
      <c r="AS97" s="14" t="n">
        <v>1</v>
      </c>
      <c r="AT97" s="14" t="n">
        <v>1</v>
      </c>
      <c r="AU97" s="14" t="n">
        <v>1</v>
      </c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</row>
    <row r="98" ht="27" customHeight="1">
      <c r="A98" s="15" t="str">
        <v>I162S2C46J2V2</v>
      </c>
      <c r="B98" s="15" t="str">
        <v>INGENIERIA EN CIBERSEGURIDAD</v>
      </c>
      <c r="C98" s="15" t="str">
        <v>Pregrado</v>
      </c>
      <c r="D98" s="23" t="n">
        <v>2019</v>
      </c>
      <c r="E98" s="23" t="n">
        <v>2021</v>
      </c>
      <c r="F98" s="15" t="n">
        <v>3</v>
      </c>
      <c r="G98" s="24" t="n">
        <v>0</v>
      </c>
      <c r="H98" s="24" t="n">
        <v>0</v>
      </c>
      <c r="I98" s="24" t="n">
        <v>0</v>
      </c>
      <c r="J98" s="24" t="n">
        <v>0</v>
      </c>
      <c r="K98" s="24" t="n">
        <v>0</v>
      </c>
      <c r="L98" s="24" t="n">
        <v>0</v>
      </c>
      <c r="M98" s="24" t="n">
        <v>0</v>
      </c>
      <c r="N98" s="24" t="n">
        <v>0</v>
      </c>
      <c r="O98" s="24" t="n">
        <v>0</v>
      </c>
      <c r="P98" s="24" t="n">
        <v>0</v>
      </c>
      <c r="Q98" s="24" t="n">
        <v>0</v>
      </c>
      <c r="R98" s="24" t="n">
        <v>0</v>
      </c>
      <c r="S98" s="24" t="n">
        <v>26</v>
      </c>
      <c r="T98" s="24" t="n">
        <v>22</v>
      </c>
      <c r="U98" s="24" t="n">
        <v>21</v>
      </c>
      <c r="V98" s="24" t="n">
        <v>0</v>
      </c>
      <c r="W98" s="24" t="n">
        <v>0</v>
      </c>
      <c r="X98" s="24" t="n">
        <v>0</v>
      </c>
      <c r="Y98" s="24" t="n">
        <v>0</v>
      </c>
      <c r="Z98" s="24" t="n">
        <v>0</v>
      </c>
      <c r="AA98" s="15" t="str">
        <v>SIN_OFERTA_2027</v>
      </c>
      <c r="AB98" s="15" t="n">
        <v>1</v>
      </c>
      <c r="AC98" s="15" t="str">
        <v>PUBLICA; H002</v>
      </c>
      <c r="AD98" s="15" t="n">
        <v>1</v>
      </c>
      <c r="AE98" s="15" t="str">
        <v>n.a.</v>
      </c>
      <c r="AF98" s="15" t="str">
        <v>n.a.</v>
      </c>
      <c r="AG98" s="15" t="str">
        <v>n.a.</v>
      </c>
      <c r="AH98" s="15" t="str">
        <v>n.a.</v>
      </c>
      <c r="AI98" s="15" t="str">
        <v>n.a.</v>
      </c>
      <c r="AJ98" s="15" t="str">
        <v>n.a.</v>
      </c>
      <c r="AK98" s="15" t="str">
        <v>n.a.</v>
      </c>
      <c r="AL98" s="15" t="str">
        <v>n.a.</v>
      </c>
      <c r="AM98" s="15" t="str">
        <v>n.a.</v>
      </c>
      <c r="AN98" s="15" t="n">
        <v>1</v>
      </c>
      <c r="AO98" s="15" t="n">
        <v>1</v>
      </c>
      <c r="AP98" s="15" t="n">
        <v>1</v>
      </c>
      <c r="AQ98" s="15" t="n">
        <v>2</v>
      </c>
      <c r="AR98" s="15" t="n">
        <v>2</v>
      </c>
      <c r="AS98" s="15" t="str">
        <v>n.a.</v>
      </c>
      <c r="AT98" s="15" t="str">
        <v>n.a.</v>
      </c>
      <c r="AU98" s="15" t="str">
        <v>n.a.</v>
      </c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</row>
    <row r="99" ht="27" customHeight="1">
      <c r="A99" s="14" t="str">
        <v>I162S2C46J2V3</v>
      </c>
      <c r="B99" s="14" t="str">
        <v>INGENIERIA EN CIBERSEGURIDAD</v>
      </c>
      <c r="C99" s="14" t="str">
        <v>Pregrado</v>
      </c>
      <c r="D99" s="21" t="n">
        <v>2019</v>
      </c>
      <c r="E99" s="21" t="n">
        <v>2026</v>
      </c>
      <c r="F99" s="14" t="n">
        <v>4</v>
      </c>
      <c r="G99" s="22" t="n">
        <v>0</v>
      </c>
      <c r="H99" s="22" t="n">
        <v>0</v>
      </c>
      <c r="I99" s="22" t="n">
        <v>0</v>
      </c>
      <c r="J99" s="22" t="n">
        <v>0</v>
      </c>
      <c r="K99" s="22" t="n">
        <v>0</v>
      </c>
      <c r="L99" s="22" t="n">
        <v>0</v>
      </c>
      <c r="M99" s="22" t="n">
        <v>0</v>
      </c>
      <c r="N99" s="22" t="n">
        <v>0</v>
      </c>
      <c r="O99" s="22" t="n">
        <v>0</v>
      </c>
      <c r="P99" s="22" t="n">
        <v>0</v>
      </c>
      <c r="Q99" s="22" t="n">
        <v>0</v>
      </c>
      <c r="R99" s="22" t="n">
        <v>0</v>
      </c>
      <c r="S99" s="22" t="n">
        <v>7</v>
      </c>
      <c r="T99" s="22" t="n">
        <v>28</v>
      </c>
      <c r="U99" s="22" t="n">
        <v>23</v>
      </c>
      <c r="V99" s="22" t="n">
        <v>0</v>
      </c>
      <c r="W99" s="22" t="n">
        <v>0</v>
      </c>
      <c r="X99" s="22" t="n">
        <v>0</v>
      </c>
      <c r="Y99" s="22" t="n">
        <v>0</v>
      </c>
      <c r="Z99" s="22" t="n">
        <v>4</v>
      </c>
      <c r="AA99" s="14" t="str">
        <v>APROBADA_D_2027</v>
      </c>
      <c r="AB99" s="14" t="n">
        <v>1</v>
      </c>
      <c r="AC99" s="14" t="str">
        <v>PUBLICA; H002</v>
      </c>
      <c r="AD99" s="14" t="n">
        <v>0</v>
      </c>
      <c r="AE99" s="14" t="str">
        <v>n.a.</v>
      </c>
      <c r="AF99" s="14" t="str">
        <v>n.a.</v>
      </c>
      <c r="AG99" s="14" t="str">
        <v>n.a.</v>
      </c>
      <c r="AH99" s="14" t="str">
        <v>n.a.</v>
      </c>
      <c r="AI99" s="14" t="str">
        <v>n.a.</v>
      </c>
      <c r="AJ99" s="14" t="str">
        <v>n.a.</v>
      </c>
      <c r="AK99" s="14" t="str">
        <v>n.a.</v>
      </c>
      <c r="AL99" s="14" t="str">
        <v>n.a.</v>
      </c>
      <c r="AM99" s="14" t="str">
        <v>n.a.</v>
      </c>
      <c r="AN99" s="14" t="n">
        <v>1</v>
      </c>
      <c r="AO99" s="14" t="n">
        <v>1</v>
      </c>
      <c r="AP99" s="14" t="n">
        <v>2</v>
      </c>
      <c r="AQ99" s="14" t="n">
        <v>2</v>
      </c>
      <c r="AR99" s="14" t="n">
        <v>2</v>
      </c>
      <c r="AS99" s="14" t="n">
        <v>2</v>
      </c>
      <c r="AT99" s="14" t="n">
        <v>2</v>
      </c>
      <c r="AU99" s="14" t="n">
        <v>2</v>
      </c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</row>
    <row r="100" ht="27" customHeight="1">
      <c r="A100" s="15" t="str">
        <v>I162S2C46J4V1</v>
      </c>
      <c r="B100" s="15" t="str">
        <v>INGENIERIA EN CIBERSEGURIDAD</v>
      </c>
      <c r="C100" s="15" t="str">
        <v>Pregrado</v>
      </c>
      <c r="D100" s="23" t="n">
        <v>2020</v>
      </c>
      <c r="E100" s="23" t="n">
        <v>2026</v>
      </c>
      <c r="F100" s="15" t="n">
        <v>5</v>
      </c>
      <c r="G100" s="24" t="n">
        <v>0</v>
      </c>
      <c r="H100" s="24" t="n">
        <v>0</v>
      </c>
      <c r="I100" s="24" t="n">
        <v>0</v>
      </c>
      <c r="J100" s="24" t="n">
        <v>0</v>
      </c>
      <c r="K100" s="24" t="n">
        <v>0</v>
      </c>
      <c r="L100" s="24" t="n">
        <v>0</v>
      </c>
      <c r="M100" s="24" t="n">
        <v>0</v>
      </c>
      <c r="N100" s="24" t="n">
        <v>0</v>
      </c>
      <c r="O100" s="24" t="n">
        <v>0</v>
      </c>
      <c r="P100" s="24" t="n">
        <v>0</v>
      </c>
      <c r="Q100" s="24" t="n">
        <v>0</v>
      </c>
      <c r="R100" s="24" t="n">
        <v>0</v>
      </c>
      <c r="S100" s="24" t="n">
        <v>0</v>
      </c>
      <c r="T100" s="24" t="n">
        <v>11</v>
      </c>
      <c r="U100" s="24" t="n">
        <v>61</v>
      </c>
      <c r="V100" s="24" t="n">
        <v>0</v>
      </c>
      <c r="W100" s="24" t="n">
        <v>0</v>
      </c>
      <c r="X100" s="24" t="n">
        <v>1</v>
      </c>
      <c r="Y100" s="24" t="n">
        <v>42</v>
      </c>
      <c r="Z100" s="24" t="n">
        <v>78</v>
      </c>
      <c r="AA100" s="15" t="str">
        <v>VERSION_MULTIPLE_RESUELTA</v>
      </c>
      <c r="AB100" s="15" t="n">
        <v>1</v>
      </c>
      <c r="AC100" s="15" t="str">
        <v>PUBLICA; H002</v>
      </c>
      <c r="AD100" s="15" t="n">
        <v>0</v>
      </c>
      <c r="AE100" s="15" t="str">
        <v>n.a.</v>
      </c>
      <c r="AF100" s="15" t="str">
        <v>n.a.</v>
      </c>
      <c r="AG100" s="15" t="str">
        <v>n.a.</v>
      </c>
      <c r="AH100" s="15" t="str">
        <v>n.a.</v>
      </c>
      <c r="AI100" s="15" t="str">
        <v>n.a.</v>
      </c>
      <c r="AJ100" s="15" t="str">
        <v>n.a.</v>
      </c>
      <c r="AK100" s="15" t="str">
        <v>n.a.</v>
      </c>
      <c r="AL100" s="15" t="str">
        <v>n.a.</v>
      </c>
      <c r="AM100" s="15" t="str">
        <v>n.a.</v>
      </c>
      <c r="AN100" s="15" t="str">
        <v>n.a.</v>
      </c>
      <c r="AO100" s="15" t="n">
        <v>1</v>
      </c>
      <c r="AP100" s="15" t="n">
        <v>2</v>
      </c>
      <c r="AQ100" s="15" t="n">
        <v>2</v>
      </c>
      <c r="AR100" s="15" t="n">
        <v>2</v>
      </c>
      <c r="AS100" s="15" t="n">
        <v>2</v>
      </c>
      <c r="AT100" s="15" t="n">
        <v>2</v>
      </c>
      <c r="AU100" s="15" t="n">
        <v>2</v>
      </c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</row>
    <row r="101" ht="27" customHeight="1">
      <c r="A101" s="14" t="str">
        <v>I162S2C46J4V2</v>
      </c>
      <c r="B101" s="14" t="str">
        <v>INGENIERIA EN CIBERSEGURIDAD</v>
      </c>
      <c r="C101" s="14" t="str">
        <v>Pregrado</v>
      </c>
      <c r="D101" s="21" t="n">
        <v>2020</v>
      </c>
      <c r="E101" s="21" t="n">
        <v>2021</v>
      </c>
      <c r="F101" s="14" t="n">
        <v>2</v>
      </c>
      <c r="G101" s="22" t="n">
        <v>0</v>
      </c>
      <c r="H101" s="22" t="n">
        <v>0</v>
      </c>
      <c r="I101" s="22" t="n">
        <v>0</v>
      </c>
      <c r="J101" s="22" t="n">
        <v>0</v>
      </c>
      <c r="K101" s="22" t="n">
        <v>0</v>
      </c>
      <c r="L101" s="22" t="n">
        <v>0</v>
      </c>
      <c r="M101" s="22" t="n">
        <v>0</v>
      </c>
      <c r="N101" s="22" t="n">
        <v>0</v>
      </c>
      <c r="O101" s="22" t="n">
        <v>0</v>
      </c>
      <c r="P101" s="22" t="n">
        <v>0</v>
      </c>
      <c r="Q101" s="22" t="n">
        <v>0</v>
      </c>
      <c r="R101" s="22" t="n">
        <v>0</v>
      </c>
      <c r="S101" s="22" t="n">
        <v>0</v>
      </c>
      <c r="T101" s="22" t="n">
        <v>10</v>
      </c>
      <c r="U101" s="22" t="n">
        <v>19</v>
      </c>
      <c r="V101" s="22" t="n">
        <v>0</v>
      </c>
      <c r="W101" s="22" t="n">
        <v>0</v>
      </c>
      <c r="X101" s="22" t="n">
        <v>0</v>
      </c>
      <c r="Y101" s="22" t="n">
        <v>0</v>
      </c>
      <c r="Z101" s="22" t="n">
        <v>0</v>
      </c>
      <c r="AA101" s="14" t="str">
        <v>SIN_OFERTA_2027</v>
      </c>
      <c r="AB101" s="14" t="n">
        <v>1</v>
      </c>
      <c r="AC101" s="14" t="str">
        <v>PUBLICA; H002</v>
      </c>
      <c r="AD101" s="14" t="n">
        <v>1</v>
      </c>
      <c r="AE101" s="14" t="str">
        <v>n.a.</v>
      </c>
      <c r="AF101" s="14" t="str">
        <v>n.a.</v>
      </c>
      <c r="AG101" s="14" t="str">
        <v>n.a.</v>
      </c>
      <c r="AH101" s="14" t="str">
        <v>n.a.</v>
      </c>
      <c r="AI101" s="14" t="str">
        <v>n.a.</v>
      </c>
      <c r="AJ101" s="14" t="str">
        <v>n.a.</v>
      </c>
      <c r="AK101" s="14" t="str">
        <v>n.a.</v>
      </c>
      <c r="AL101" s="14" t="str">
        <v>n.a.</v>
      </c>
      <c r="AM101" s="14" t="str">
        <v>n.a.</v>
      </c>
      <c r="AN101" s="14" t="str">
        <v>n.a.</v>
      </c>
      <c r="AO101" s="14" t="n">
        <v>1</v>
      </c>
      <c r="AP101" s="14" t="n">
        <v>1</v>
      </c>
      <c r="AQ101" s="14" t="n">
        <v>2</v>
      </c>
      <c r="AR101" s="14" t="n">
        <v>2</v>
      </c>
      <c r="AS101" s="14" t="str">
        <v>n.a.</v>
      </c>
      <c r="AT101" s="14" t="str">
        <v>n.a.</v>
      </c>
      <c r="AU101" s="14" t="str">
        <v>n.a.</v>
      </c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</row>
    <row r="102" ht="27" customHeight="1">
      <c r="A102" s="15" t="str">
        <v>I162S2C46J4V3</v>
      </c>
      <c r="B102" s="15" t="str">
        <v>INGENIERIA EN CIBERSEGURIDAD</v>
      </c>
      <c r="C102" s="15" t="str">
        <v>Pregrado</v>
      </c>
      <c r="D102" s="23" t="n">
        <v>2022</v>
      </c>
      <c r="E102" s="23" t="n">
        <v>2026</v>
      </c>
      <c r="F102" s="15" t="n">
        <v>5</v>
      </c>
      <c r="G102" s="24" t="n">
        <v>0</v>
      </c>
      <c r="H102" s="24" t="n">
        <v>0</v>
      </c>
      <c r="I102" s="24" t="n">
        <v>0</v>
      </c>
      <c r="J102" s="24" t="n">
        <v>0</v>
      </c>
      <c r="K102" s="24" t="n">
        <v>0</v>
      </c>
      <c r="L102" s="24" t="n">
        <v>0</v>
      </c>
      <c r="M102" s="24" t="n">
        <v>0</v>
      </c>
      <c r="N102" s="24" t="n">
        <v>0</v>
      </c>
      <c r="O102" s="24" t="n">
        <v>0</v>
      </c>
      <c r="P102" s="24" t="n">
        <v>0</v>
      </c>
      <c r="Q102" s="24" t="n">
        <v>0</v>
      </c>
      <c r="R102" s="24" t="n">
        <v>0</v>
      </c>
      <c r="S102" s="24" t="n">
        <v>0</v>
      </c>
      <c r="T102" s="24" t="n">
        <v>0</v>
      </c>
      <c r="U102" s="24" t="n">
        <v>0</v>
      </c>
      <c r="V102" s="24" t="n">
        <v>106</v>
      </c>
      <c r="W102" s="24" t="n">
        <v>173</v>
      </c>
      <c r="X102" s="24" t="n">
        <v>233</v>
      </c>
      <c r="Y102" s="24" t="n">
        <v>264</v>
      </c>
      <c r="Z102" s="24" t="n">
        <v>256</v>
      </c>
      <c r="AA102" s="15" t="str">
        <v>VERSION_MULTIPLE_RESUELTA</v>
      </c>
      <c r="AB102" s="15" t="n">
        <v>1</v>
      </c>
      <c r="AC102" s="15" t="str">
        <v>PUBLICA; H002</v>
      </c>
      <c r="AD102" s="15" t="n">
        <v>0</v>
      </c>
      <c r="AE102" s="15" t="str">
        <v>n.a.</v>
      </c>
      <c r="AF102" s="15" t="str">
        <v>n.a.</v>
      </c>
      <c r="AG102" s="15" t="str">
        <v>n.a.</v>
      </c>
      <c r="AH102" s="15" t="str">
        <v>n.a.</v>
      </c>
      <c r="AI102" s="15" t="str">
        <v>n.a.</v>
      </c>
      <c r="AJ102" s="15" t="str">
        <v>n.a.</v>
      </c>
      <c r="AK102" s="15" t="str">
        <v>n.a.</v>
      </c>
      <c r="AL102" s="15" t="str">
        <v>n.a.</v>
      </c>
      <c r="AM102" s="15" t="str">
        <v>n.a.</v>
      </c>
      <c r="AN102" s="15" t="str">
        <v>n.a.</v>
      </c>
      <c r="AO102" s="15" t="str">
        <v>n.a.</v>
      </c>
      <c r="AP102" s="15" t="n">
        <v>1</v>
      </c>
      <c r="AQ102" s="15" t="n">
        <v>1</v>
      </c>
      <c r="AR102" s="15" t="n">
        <v>1</v>
      </c>
      <c r="AS102" s="15" t="n">
        <v>1</v>
      </c>
      <c r="AT102" s="15" t="n">
        <v>1</v>
      </c>
      <c r="AU102" s="15" t="n">
        <v>1</v>
      </c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</row>
    <row r="103" ht="27" customHeight="1">
      <c r="A103" s="14" t="str">
        <v>I162S2C47J1V1</v>
      </c>
      <c r="B103" s="14" t="str">
        <v>TECNICO EN CIBERSEGURIDAD</v>
      </c>
      <c r="C103" s="14" t="str">
        <v>Pregrado</v>
      </c>
      <c r="D103" s="21" t="n">
        <v>2020</v>
      </c>
      <c r="E103" s="21" t="n">
        <v>2026</v>
      </c>
      <c r="F103" s="14" t="n">
        <v>7</v>
      </c>
      <c r="G103" s="22" t="n">
        <v>0</v>
      </c>
      <c r="H103" s="22" t="n">
        <v>0</v>
      </c>
      <c r="I103" s="22" t="n">
        <v>0</v>
      </c>
      <c r="J103" s="22" t="n">
        <v>0</v>
      </c>
      <c r="K103" s="22" t="n">
        <v>0</v>
      </c>
      <c r="L103" s="22" t="n">
        <v>0</v>
      </c>
      <c r="M103" s="22" t="n">
        <v>0</v>
      </c>
      <c r="N103" s="22" t="n">
        <v>0</v>
      </c>
      <c r="O103" s="22" t="n">
        <v>0</v>
      </c>
      <c r="P103" s="22" t="n">
        <v>0</v>
      </c>
      <c r="Q103" s="22" t="n">
        <v>0</v>
      </c>
      <c r="R103" s="22" t="n">
        <v>0</v>
      </c>
      <c r="S103" s="22" t="n">
        <v>0</v>
      </c>
      <c r="T103" s="22" t="n">
        <v>12</v>
      </c>
      <c r="U103" s="22" t="n">
        <v>19</v>
      </c>
      <c r="V103" s="22" t="n">
        <v>20</v>
      </c>
      <c r="W103" s="22" t="n">
        <v>12</v>
      </c>
      <c r="X103" s="22" t="n">
        <v>8</v>
      </c>
      <c r="Y103" s="22" t="n">
        <v>11</v>
      </c>
      <c r="Z103" s="22" t="n">
        <v>19</v>
      </c>
      <c r="AA103" s="14" t="str">
        <v>CONTINUA</v>
      </c>
      <c r="AB103" s="14" t="n">
        <v>1</v>
      </c>
      <c r="AC103" s="14" t="str">
        <v>PUBLICA; H002</v>
      </c>
      <c r="AD103" s="14" t="n">
        <v>0</v>
      </c>
      <c r="AE103" s="14" t="str">
        <v>n.a.</v>
      </c>
      <c r="AF103" s="14" t="str">
        <v>n.a.</v>
      </c>
      <c r="AG103" s="14" t="str">
        <v>n.a.</v>
      </c>
      <c r="AH103" s="14" t="str">
        <v>n.a.</v>
      </c>
      <c r="AI103" s="14" t="str">
        <v>n.a.</v>
      </c>
      <c r="AJ103" s="14" t="str">
        <v>n.a.</v>
      </c>
      <c r="AK103" s="14" t="str">
        <v>n.a.</v>
      </c>
      <c r="AL103" s="14" t="str">
        <v>n.a.</v>
      </c>
      <c r="AM103" s="14" t="str">
        <v>n.a.</v>
      </c>
      <c r="AN103" s="14" t="n">
        <v>1</v>
      </c>
      <c r="AO103" s="14" t="n">
        <v>1</v>
      </c>
      <c r="AP103" s="14" t="n">
        <v>1</v>
      </c>
      <c r="AQ103" s="14" t="n">
        <v>1</v>
      </c>
      <c r="AR103" s="14" t="n">
        <v>1</v>
      </c>
      <c r="AS103" s="14" t="n">
        <v>1</v>
      </c>
      <c r="AT103" s="14" t="n">
        <v>1</v>
      </c>
      <c r="AU103" s="14" t="n">
        <v>1</v>
      </c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</row>
    <row r="104" ht="27" customHeight="1">
      <c r="A104" s="15" t="str">
        <v>I162S2C47J2V1</v>
      </c>
      <c r="B104" s="15" t="str">
        <v>TECNICO EN CIBERSEGURIDAD</v>
      </c>
      <c r="C104" s="15" t="str">
        <v>Pregrado</v>
      </c>
      <c r="D104" s="23" t="n">
        <v>2019</v>
      </c>
      <c r="E104" s="23" t="n">
        <v>2026</v>
      </c>
      <c r="F104" s="15" t="n">
        <v>8</v>
      </c>
      <c r="G104" s="24" t="n">
        <v>0</v>
      </c>
      <c r="H104" s="24" t="n">
        <v>0</v>
      </c>
      <c r="I104" s="24" t="n">
        <v>0</v>
      </c>
      <c r="J104" s="24" t="n">
        <v>0</v>
      </c>
      <c r="K104" s="24" t="n">
        <v>0</v>
      </c>
      <c r="L104" s="24" t="n">
        <v>0</v>
      </c>
      <c r="M104" s="24" t="n">
        <v>0</v>
      </c>
      <c r="N104" s="24" t="n">
        <v>0</v>
      </c>
      <c r="O104" s="24" t="n">
        <v>0</v>
      </c>
      <c r="P104" s="24" t="n">
        <v>0</v>
      </c>
      <c r="Q104" s="24" t="n">
        <v>0</v>
      </c>
      <c r="R104" s="24" t="n">
        <v>0</v>
      </c>
      <c r="S104" s="24" t="n">
        <v>12</v>
      </c>
      <c r="T104" s="24" t="n">
        <v>23</v>
      </c>
      <c r="U104" s="24" t="n">
        <v>20</v>
      </c>
      <c r="V104" s="24" t="n">
        <v>13</v>
      </c>
      <c r="W104" s="24" t="n">
        <v>5</v>
      </c>
      <c r="X104" s="24" t="n">
        <v>12</v>
      </c>
      <c r="Y104" s="24" t="n">
        <v>15</v>
      </c>
      <c r="Z104" s="24" t="n">
        <v>27</v>
      </c>
      <c r="AA104" s="15" t="str">
        <v>CONTINUA</v>
      </c>
      <c r="AB104" s="15" t="n">
        <v>1</v>
      </c>
      <c r="AC104" s="15" t="str">
        <v>PUBLICA; H002</v>
      </c>
      <c r="AD104" s="15" t="n">
        <v>0</v>
      </c>
      <c r="AE104" s="15" t="str">
        <v>n.a.</v>
      </c>
      <c r="AF104" s="15" t="str">
        <v>n.a.</v>
      </c>
      <c r="AG104" s="15" t="str">
        <v>n.a.</v>
      </c>
      <c r="AH104" s="15" t="str">
        <v>n.a.</v>
      </c>
      <c r="AI104" s="15" t="str">
        <v>n.a.</v>
      </c>
      <c r="AJ104" s="15" t="str">
        <v>n.a.</v>
      </c>
      <c r="AK104" s="15" t="str">
        <v>n.a.</v>
      </c>
      <c r="AL104" s="15" t="str">
        <v>n.a.</v>
      </c>
      <c r="AM104" s="15" t="str">
        <v>n.a.</v>
      </c>
      <c r="AN104" s="15" t="n">
        <v>1</v>
      </c>
      <c r="AO104" s="15" t="n">
        <v>1</v>
      </c>
      <c r="AP104" s="15" t="n">
        <v>1</v>
      </c>
      <c r="AQ104" s="15" t="n">
        <v>1</v>
      </c>
      <c r="AR104" s="15" t="n">
        <v>1</v>
      </c>
      <c r="AS104" s="15" t="n">
        <v>1</v>
      </c>
      <c r="AT104" s="15" t="n">
        <v>1</v>
      </c>
      <c r="AU104" s="15" t="n">
        <v>1</v>
      </c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</row>
    <row r="105" ht="27" customHeight="1">
      <c r="A105" s="14" t="str">
        <v>I162S2C47J4V1</v>
      </c>
      <c r="B105" s="14" t="str">
        <v>TECNICO EN CIBERSEGURIDAD</v>
      </c>
      <c r="C105" s="14" t="str">
        <v>Pregrado</v>
      </c>
      <c r="D105" s="21" t="n">
        <v>2020</v>
      </c>
      <c r="E105" s="21" t="n">
        <v>2026</v>
      </c>
      <c r="F105" s="14" t="n">
        <v>7</v>
      </c>
      <c r="G105" s="22" t="n">
        <v>0</v>
      </c>
      <c r="H105" s="22" t="n">
        <v>0</v>
      </c>
      <c r="I105" s="22" t="n">
        <v>0</v>
      </c>
      <c r="J105" s="22" t="n">
        <v>0</v>
      </c>
      <c r="K105" s="22" t="n">
        <v>0</v>
      </c>
      <c r="L105" s="22" t="n">
        <v>0</v>
      </c>
      <c r="M105" s="22" t="n">
        <v>0</v>
      </c>
      <c r="N105" s="22" t="n">
        <v>0</v>
      </c>
      <c r="O105" s="22" t="n">
        <v>0</v>
      </c>
      <c r="P105" s="22" t="n">
        <v>0</v>
      </c>
      <c r="Q105" s="22" t="n">
        <v>0</v>
      </c>
      <c r="R105" s="22" t="n">
        <v>0</v>
      </c>
      <c r="S105" s="22" t="n">
        <v>0</v>
      </c>
      <c r="T105" s="22" t="n">
        <v>26</v>
      </c>
      <c r="U105" s="22" t="n">
        <v>70</v>
      </c>
      <c r="V105" s="22" t="n">
        <v>80</v>
      </c>
      <c r="W105" s="22" t="n">
        <v>103</v>
      </c>
      <c r="X105" s="22" t="n">
        <v>117</v>
      </c>
      <c r="Y105" s="22" t="n">
        <v>140</v>
      </c>
      <c r="Z105" s="22" t="n">
        <v>111</v>
      </c>
      <c r="AA105" s="14" t="str">
        <v>VERSION_MULTIPLE_RESUELTA</v>
      </c>
      <c r="AB105" s="14" t="n">
        <v>1</v>
      </c>
      <c r="AC105" s="14" t="str">
        <v>PUBLICA; H002</v>
      </c>
      <c r="AD105" s="14" t="n">
        <v>0</v>
      </c>
      <c r="AE105" s="14" t="str">
        <v>n.a.</v>
      </c>
      <c r="AF105" s="14" t="str">
        <v>n.a.</v>
      </c>
      <c r="AG105" s="14" t="str">
        <v>n.a.</v>
      </c>
      <c r="AH105" s="14" t="str">
        <v>n.a.</v>
      </c>
      <c r="AI105" s="14" t="str">
        <v>n.a.</v>
      </c>
      <c r="AJ105" s="14" t="str">
        <v>n.a.</v>
      </c>
      <c r="AK105" s="14" t="str">
        <v>n.a.</v>
      </c>
      <c r="AL105" s="14" t="str">
        <v>n.a.</v>
      </c>
      <c r="AM105" s="14" t="str">
        <v>n.a.</v>
      </c>
      <c r="AN105" s="14" t="str">
        <v>n.a.</v>
      </c>
      <c r="AO105" s="14" t="n">
        <v>1</v>
      </c>
      <c r="AP105" s="14" t="n">
        <v>1</v>
      </c>
      <c r="AQ105" s="14" t="n">
        <v>1</v>
      </c>
      <c r="AR105" s="14" t="n">
        <v>1</v>
      </c>
      <c r="AS105" s="14" t="n">
        <v>1</v>
      </c>
      <c r="AT105" s="14" t="n">
        <v>1</v>
      </c>
      <c r="AU105" s="14" t="n">
        <v>1</v>
      </c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</row>
    <row r="106" ht="27" customHeight="1">
      <c r="A106" s="15" t="str">
        <v>I162S2C47J4V2</v>
      </c>
      <c r="B106" s="15" t="str">
        <v>TECNICO EN CIBERSEGURIDAD</v>
      </c>
      <c r="C106" s="15" t="str">
        <v>Pregrado</v>
      </c>
      <c r="D106" s="23" t="str">
        <v>n.a.</v>
      </c>
      <c r="E106" s="23" t="str">
        <v>n.a.</v>
      </c>
      <c r="F106" s="15" t="n">
        <v>0</v>
      </c>
      <c r="G106" s="24" t="n">
        <v>0</v>
      </c>
      <c r="H106" s="24" t="n">
        <v>0</v>
      </c>
      <c r="I106" s="24" t="n">
        <v>0</v>
      </c>
      <c r="J106" s="24" t="n">
        <v>0</v>
      </c>
      <c r="K106" s="24" t="n">
        <v>0</v>
      </c>
      <c r="L106" s="24" t="n">
        <v>0</v>
      </c>
      <c r="M106" s="24" t="n">
        <v>0</v>
      </c>
      <c r="N106" s="24" t="n">
        <v>0</v>
      </c>
      <c r="O106" s="24" t="n">
        <v>0</v>
      </c>
      <c r="P106" s="24" t="n">
        <v>0</v>
      </c>
      <c r="Q106" s="24" t="n">
        <v>0</v>
      </c>
      <c r="R106" s="24" t="n">
        <v>0</v>
      </c>
      <c r="S106" s="24" t="n">
        <v>0</v>
      </c>
      <c r="T106" s="24" t="n">
        <v>0</v>
      </c>
      <c r="U106" s="24" t="n">
        <v>0</v>
      </c>
      <c r="V106" s="24" t="n">
        <v>0</v>
      </c>
      <c r="W106" s="24" t="n">
        <v>0</v>
      </c>
      <c r="X106" s="24" t="n">
        <v>0</v>
      </c>
      <c r="Y106" s="24" t="n">
        <v>0</v>
      </c>
      <c r="Z106" s="24" t="n">
        <v>0</v>
      </c>
      <c r="AA106" s="15" t="str">
        <v>NUEVO_2027_SIN_PLAN_E</v>
      </c>
      <c r="AB106" s="15" t="n">
        <v>0</v>
      </c>
      <c r="AC106" s="15" t="str">
        <v>PUBLICA; H002</v>
      </c>
      <c r="AD106" s="15" t="n">
        <v>0</v>
      </c>
      <c r="AE106" s="15" t="str">
        <v>n.a.</v>
      </c>
      <c r="AF106" s="15" t="str">
        <v>n.a.</v>
      </c>
      <c r="AG106" s="15" t="str">
        <v>n.a.</v>
      </c>
      <c r="AH106" s="15" t="str">
        <v>n.a.</v>
      </c>
      <c r="AI106" s="15" t="str">
        <v>n.a.</v>
      </c>
      <c r="AJ106" s="15" t="str">
        <v>n.a.</v>
      </c>
      <c r="AK106" s="15" t="str">
        <v>n.a.</v>
      </c>
      <c r="AL106" s="15" t="str">
        <v>n.a.</v>
      </c>
      <c r="AM106" s="15" t="str">
        <v>n.a.</v>
      </c>
      <c r="AN106" s="15" t="str">
        <v>n.a.</v>
      </c>
      <c r="AO106" s="15" t="str">
        <v>n.a.</v>
      </c>
      <c r="AP106" s="15" t="str">
        <v>n.a.</v>
      </c>
      <c r="AQ106" s="15" t="str">
        <v>n.a.</v>
      </c>
      <c r="AR106" s="15" t="str">
        <v>n.a.</v>
      </c>
      <c r="AS106" s="15" t="str">
        <v>n.a.</v>
      </c>
      <c r="AT106" s="15" t="str">
        <v>n.a.</v>
      </c>
      <c r="AU106" s="15" t="str">
        <v>n.a.</v>
      </c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</row>
    <row r="107" ht="27" customHeight="1">
      <c r="A107" s="14" t="str">
        <v>I162S2C48J4V1</v>
      </c>
      <c r="B107" s="14" t="str">
        <v>TECNICO EN CONTROL INDUSTRIAL</v>
      </c>
      <c r="C107" s="14" t="str">
        <v>Pregrado</v>
      </c>
      <c r="D107" s="21" t="str">
        <v>n.a.</v>
      </c>
      <c r="E107" s="21" t="str">
        <v>n.a.</v>
      </c>
      <c r="F107" s="14" t="n">
        <v>0</v>
      </c>
      <c r="G107" s="22" t="n">
        <v>0</v>
      </c>
      <c r="H107" s="22" t="n">
        <v>0</v>
      </c>
      <c r="I107" s="22" t="n">
        <v>0</v>
      </c>
      <c r="J107" s="22" t="n">
        <v>0</v>
      </c>
      <c r="K107" s="22" t="n">
        <v>0</v>
      </c>
      <c r="L107" s="22" t="n">
        <v>0</v>
      </c>
      <c r="M107" s="22" t="n">
        <v>0</v>
      </c>
      <c r="N107" s="22" t="n">
        <v>0</v>
      </c>
      <c r="O107" s="22" t="n">
        <v>0</v>
      </c>
      <c r="P107" s="22" t="n">
        <v>0</v>
      </c>
      <c r="Q107" s="22" t="n">
        <v>0</v>
      </c>
      <c r="R107" s="22" t="n">
        <v>0</v>
      </c>
      <c r="S107" s="22" t="n">
        <v>0</v>
      </c>
      <c r="T107" s="22" t="n">
        <v>0</v>
      </c>
      <c r="U107" s="22" t="n">
        <v>0</v>
      </c>
      <c r="V107" s="22" t="n">
        <v>0</v>
      </c>
      <c r="W107" s="22" t="n">
        <v>0</v>
      </c>
      <c r="X107" s="22" t="n">
        <v>0</v>
      </c>
      <c r="Y107" s="22" t="n">
        <v>0</v>
      </c>
      <c r="Z107" s="22" t="n">
        <v>0</v>
      </c>
      <c r="AA107" s="14" t="str">
        <v>APROBADA_D_2027</v>
      </c>
      <c r="AB107" s="14" t="n">
        <v>0</v>
      </c>
      <c r="AC107" s="14" t="str">
        <v>PUBLICA; H002</v>
      </c>
      <c r="AD107" s="14" t="n">
        <v>0</v>
      </c>
      <c r="AE107" s="14" t="str">
        <v>n.a.</v>
      </c>
      <c r="AF107" s="14" t="str">
        <v>n.a.</v>
      </c>
      <c r="AG107" s="14" t="str">
        <v>n.a.</v>
      </c>
      <c r="AH107" s="14" t="str">
        <v>n.a.</v>
      </c>
      <c r="AI107" s="14" t="str">
        <v>n.a.</v>
      </c>
      <c r="AJ107" s="14" t="str">
        <v>n.a.</v>
      </c>
      <c r="AK107" s="14" t="str">
        <v>n.a.</v>
      </c>
      <c r="AL107" s="14" t="str">
        <v>n.a.</v>
      </c>
      <c r="AM107" s="14" t="str">
        <v>n.a.</v>
      </c>
      <c r="AN107" s="14" t="n">
        <v>1</v>
      </c>
      <c r="AO107" s="14" t="n">
        <v>1</v>
      </c>
      <c r="AP107" s="14" t="n">
        <v>1</v>
      </c>
      <c r="AQ107" s="14" t="n">
        <v>1</v>
      </c>
      <c r="AR107" s="14" t="n">
        <v>2</v>
      </c>
      <c r="AS107" s="14" t="n">
        <v>2</v>
      </c>
      <c r="AT107" s="14" t="n">
        <v>2</v>
      </c>
      <c r="AU107" s="14" t="n">
        <v>1</v>
      </c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</row>
    <row r="108" ht="27" customHeight="1">
      <c r="A108" s="15" t="str">
        <v>I162S2C53J3V1</v>
      </c>
      <c r="B108" s="15" t="str">
        <v>DIPLOMADO EN CIBERSEGURIDAD APLICADA</v>
      </c>
      <c r="C108" s="15" t="str">
        <v>Postítulo/otro</v>
      </c>
      <c r="D108" s="23" t="n">
        <v>2019</v>
      </c>
      <c r="E108" s="23" t="n">
        <v>2026</v>
      </c>
      <c r="F108" s="15" t="n">
        <v>6</v>
      </c>
      <c r="G108" s="24" t="n">
        <v>0</v>
      </c>
      <c r="H108" s="24" t="n">
        <v>0</v>
      </c>
      <c r="I108" s="24" t="n">
        <v>0</v>
      </c>
      <c r="J108" s="24" t="n">
        <v>0</v>
      </c>
      <c r="K108" s="24" t="n">
        <v>0</v>
      </c>
      <c r="L108" s="24" t="n">
        <v>0</v>
      </c>
      <c r="M108" s="24" t="n">
        <v>0</v>
      </c>
      <c r="N108" s="24" t="n">
        <v>0</v>
      </c>
      <c r="O108" s="24" t="n">
        <v>0</v>
      </c>
      <c r="P108" s="24" t="n">
        <v>0</v>
      </c>
      <c r="Q108" s="24" t="n">
        <v>0</v>
      </c>
      <c r="R108" s="24" t="n">
        <v>0</v>
      </c>
      <c r="S108" s="24" t="n">
        <v>16</v>
      </c>
      <c r="T108" s="24" t="n">
        <v>5</v>
      </c>
      <c r="U108" s="24" t="n">
        <v>0</v>
      </c>
      <c r="V108" s="24" t="n">
        <v>0</v>
      </c>
      <c r="W108" s="24" t="n">
        <v>19</v>
      </c>
      <c r="X108" s="24" t="n">
        <v>13</v>
      </c>
      <c r="Y108" s="24" t="n">
        <v>26</v>
      </c>
      <c r="Z108" s="24" t="n">
        <v>17</v>
      </c>
      <c r="AA108" s="15" t="str">
        <v>FUERA_ALCANCE</v>
      </c>
      <c r="AB108" s="15" t="n">
        <v>1</v>
      </c>
      <c r="AC108" s="15" t="str">
        <v>PUBLICA; H002</v>
      </c>
      <c r="AD108" s="15" t="n">
        <v>0</v>
      </c>
      <c r="AE108" s="15" t="str">
        <v>n.a.</v>
      </c>
      <c r="AF108" s="15" t="str">
        <v>n.a.</v>
      </c>
      <c r="AG108" s="15" t="str">
        <v>n.a.</v>
      </c>
      <c r="AH108" s="15" t="str">
        <v>n.a.</v>
      </c>
      <c r="AI108" s="15" t="str">
        <v>n.a.</v>
      </c>
      <c r="AJ108" s="15" t="str">
        <v>n.a.</v>
      </c>
      <c r="AK108" s="15" t="str">
        <v>n.a.</v>
      </c>
      <c r="AL108" s="15" t="str">
        <v>n.a.</v>
      </c>
      <c r="AM108" s="15" t="str">
        <v>n.a.</v>
      </c>
      <c r="AN108" s="15" t="n">
        <v>1</v>
      </c>
      <c r="AO108" s="15" t="n">
        <v>1</v>
      </c>
      <c r="AP108" s="15" t="n">
        <v>1</v>
      </c>
      <c r="AQ108" s="15" t="n">
        <v>2</v>
      </c>
      <c r="AR108" s="15" t="n">
        <v>1</v>
      </c>
      <c r="AS108" s="15" t="n">
        <v>1</v>
      </c>
      <c r="AT108" s="15" t="n">
        <v>1</v>
      </c>
      <c r="AU108" s="15" t="n">
        <v>1</v>
      </c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</row>
    <row r="109" ht="27" customHeight="1">
      <c r="A109" s="14" t="str">
        <v>I162S2C57J1V1</v>
      </c>
      <c r="B109" s="14" t="str">
        <v>TECNICO EN PROGRAMACION Y ANALISIS DE SISTEMAS</v>
      </c>
      <c r="C109" s="14" t="str">
        <v>Pregrado</v>
      </c>
      <c r="D109" s="21" t="n">
        <v>2020</v>
      </c>
      <c r="E109" s="21" t="n">
        <v>2026</v>
      </c>
      <c r="F109" s="14" t="n">
        <v>7</v>
      </c>
      <c r="G109" s="22" t="n">
        <v>0</v>
      </c>
      <c r="H109" s="22" t="n">
        <v>0</v>
      </c>
      <c r="I109" s="22" t="n">
        <v>0</v>
      </c>
      <c r="J109" s="22" t="n">
        <v>0</v>
      </c>
      <c r="K109" s="22" t="n">
        <v>0</v>
      </c>
      <c r="L109" s="22" t="n">
        <v>0</v>
      </c>
      <c r="M109" s="22" t="n">
        <v>0</v>
      </c>
      <c r="N109" s="22" t="n">
        <v>0</v>
      </c>
      <c r="O109" s="22" t="n">
        <v>0</v>
      </c>
      <c r="P109" s="22" t="n">
        <v>0</v>
      </c>
      <c r="Q109" s="22" t="n">
        <v>0</v>
      </c>
      <c r="R109" s="22" t="n">
        <v>0</v>
      </c>
      <c r="S109" s="22" t="n">
        <v>0</v>
      </c>
      <c r="T109" s="22" t="n">
        <v>21</v>
      </c>
      <c r="U109" s="22" t="n">
        <v>21</v>
      </c>
      <c r="V109" s="22" t="n">
        <v>30</v>
      </c>
      <c r="W109" s="22" t="n">
        <v>17</v>
      </c>
      <c r="X109" s="22" t="n">
        <v>22</v>
      </c>
      <c r="Y109" s="22" t="n">
        <v>25</v>
      </c>
      <c r="Z109" s="22" t="n">
        <v>28</v>
      </c>
      <c r="AA109" s="14" t="str">
        <v>CONTINUA</v>
      </c>
      <c r="AB109" s="14" t="n">
        <v>1</v>
      </c>
      <c r="AC109" s="14" t="str">
        <v>PUBLICA; H002</v>
      </c>
      <c r="AD109" s="14" t="n">
        <v>0</v>
      </c>
      <c r="AE109" s="14" t="str">
        <v>n.a.</v>
      </c>
      <c r="AF109" s="14" t="str">
        <v>n.a.</v>
      </c>
      <c r="AG109" s="14" t="str">
        <v>n.a.</v>
      </c>
      <c r="AH109" s="14" t="str">
        <v>n.a.</v>
      </c>
      <c r="AI109" s="14" t="str">
        <v>n.a.</v>
      </c>
      <c r="AJ109" s="14" t="str">
        <v>n.a.</v>
      </c>
      <c r="AK109" s="14" t="str">
        <v>n.a.</v>
      </c>
      <c r="AL109" s="14" t="str">
        <v>n.a.</v>
      </c>
      <c r="AM109" s="14" t="str">
        <v>n.a.</v>
      </c>
      <c r="AN109" s="14" t="str">
        <v>n.a.</v>
      </c>
      <c r="AO109" s="14" t="n">
        <v>1</v>
      </c>
      <c r="AP109" s="14" t="n">
        <v>1</v>
      </c>
      <c r="AQ109" s="14" t="n">
        <v>1</v>
      </c>
      <c r="AR109" s="14" t="n">
        <v>1</v>
      </c>
      <c r="AS109" s="14" t="n">
        <v>1</v>
      </c>
      <c r="AT109" s="14" t="n">
        <v>1</v>
      </c>
      <c r="AU109" s="14" t="n">
        <v>1</v>
      </c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</row>
    <row r="110" ht="27" customHeight="1">
      <c r="A110" s="15" t="str">
        <v>I162S2C57J2V1</v>
      </c>
      <c r="B110" s="15" t="str">
        <v>TECNICO EN PROGRAMACION Y ANALISIS DE SISTEMAS</v>
      </c>
      <c r="C110" s="15" t="str">
        <v>Pregrado</v>
      </c>
      <c r="D110" s="23" t="n">
        <v>2020</v>
      </c>
      <c r="E110" s="23" t="n">
        <v>2026</v>
      </c>
      <c r="F110" s="15" t="n">
        <v>7</v>
      </c>
      <c r="G110" s="24" t="n">
        <v>0</v>
      </c>
      <c r="H110" s="24" t="n">
        <v>0</v>
      </c>
      <c r="I110" s="24" t="n">
        <v>0</v>
      </c>
      <c r="J110" s="24" t="n">
        <v>0</v>
      </c>
      <c r="K110" s="24" t="n">
        <v>0</v>
      </c>
      <c r="L110" s="24" t="n">
        <v>0</v>
      </c>
      <c r="M110" s="24" t="n">
        <v>0</v>
      </c>
      <c r="N110" s="24" t="n">
        <v>0</v>
      </c>
      <c r="O110" s="24" t="n">
        <v>0</v>
      </c>
      <c r="P110" s="24" t="n">
        <v>0</v>
      </c>
      <c r="Q110" s="24" t="n">
        <v>0</v>
      </c>
      <c r="R110" s="24" t="n">
        <v>0</v>
      </c>
      <c r="S110" s="24" t="n">
        <v>0</v>
      </c>
      <c r="T110" s="24" t="n">
        <v>29</v>
      </c>
      <c r="U110" s="24" t="n">
        <v>49</v>
      </c>
      <c r="V110" s="24" t="n">
        <v>44</v>
      </c>
      <c r="W110" s="24" t="n">
        <v>17</v>
      </c>
      <c r="X110" s="24" t="n">
        <v>24</v>
      </c>
      <c r="Y110" s="24" t="n">
        <v>25</v>
      </c>
      <c r="Z110" s="24" t="n">
        <v>25</v>
      </c>
      <c r="AA110" s="15" t="str">
        <v>CONTINUA</v>
      </c>
      <c r="AB110" s="15" t="n">
        <v>1</v>
      </c>
      <c r="AC110" s="15" t="str">
        <v>PUBLICA; H002</v>
      </c>
      <c r="AD110" s="15" t="n">
        <v>0</v>
      </c>
      <c r="AE110" s="15" t="str">
        <v>n.a.</v>
      </c>
      <c r="AF110" s="15" t="str">
        <v>n.a.</v>
      </c>
      <c r="AG110" s="15" t="str">
        <v>n.a.</v>
      </c>
      <c r="AH110" s="15" t="str">
        <v>n.a.</v>
      </c>
      <c r="AI110" s="15" t="str">
        <v>n.a.</v>
      </c>
      <c r="AJ110" s="15" t="str">
        <v>n.a.</v>
      </c>
      <c r="AK110" s="15" t="str">
        <v>n.a.</v>
      </c>
      <c r="AL110" s="15" t="str">
        <v>n.a.</v>
      </c>
      <c r="AM110" s="15" t="str">
        <v>n.a.</v>
      </c>
      <c r="AN110" s="15" t="str">
        <v>n.a.</v>
      </c>
      <c r="AO110" s="15" t="n">
        <v>1</v>
      </c>
      <c r="AP110" s="15" t="n">
        <v>1</v>
      </c>
      <c r="AQ110" s="15" t="n">
        <v>1</v>
      </c>
      <c r="AR110" s="15" t="n">
        <v>1</v>
      </c>
      <c r="AS110" s="15" t="n">
        <v>1</v>
      </c>
      <c r="AT110" s="15" t="n">
        <v>1</v>
      </c>
      <c r="AU110" s="15" t="n">
        <v>1</v>
      </c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</row>
    <row r="111" ht="27" customHeight="1">
      <c r="A111" s="14" t="str">
        <v>I162S2C57J4V1</v>
      </c>
      <c r="B111" s="14" t="str">
        <v>TECNICO EN PROGRAMACION Y ANALISIS DE SISTEMAS</v>
      </c>
      <c r="C111" s="14" t="str">
        <v>Pregrado</v>
      </c>
      <c r="D111" s="21" t="n">
        <v>2020</v>
      </c>
      <c r="E111" s="21" t="n">
        <v>2026</v>
      </c>
      <c r="F111" s="14" t="n">
        <v>7</v>
      </c>
      <c r="G111" s="22" t="n">
        <v>0</v>
      </c>
      <c r="H111" s="22" t="n">
        <v>0</v>
      </c>
      <c r="I111" s="22" t="n">
        <v>0</v>
      </c>
      <c r="J111" s="22" t="n">
        <v>0</v>
      </c>
      <c r="K111" s="22" t="n">
        <v>0</v>
      </c>
      <c r="L111" s="22" t="n">
        <v>0</v>
      </c>
      <c r="M111" s="22" t="n">
        <v>0</v>
      </c>
      <c r="N111" s="22" t="n">
        <v>0</v>
      </c>
      <c r="O111" s="22" t="n">
        <v>0</v>
      </c>
      <c r="P111" s="22" t="n">
        <v>0</v>
      </c>
      <c r="Q111" s="22" t="n">
        <v>0</v>
      </c>
      <c r="R111" s="22" t="n">
        <v>0</v>
      </c>
      <c r="S111" s="22" t="n">
        <v>0</v>
      </c>
      <c r="T111" s="22" t="n">
        <v>27</v>
      </c>
      <c r="U111" s="22" t="n">
        <v>124</v>
      </c>
      <c r="V111" s="22" t="n">
        <v>169</v>
      </c>
      <c r="W111" s="22" t="n">
        <v>252</v>
      </c>
      <c r="X111" s="22" t="n">
        <v>275</v>
      </c>
      <c r="Y111" s="22" t="n">
        <v>306</v>
      </c>
      <c r="Z111" s="22" t="n">
        <v>257</v>
      </c>
      <c r="AA111" s="14" t="str">
        <v>VERSION_MULTIPLE_RESUELTA</v>
      </c>
      <c r="AB111" s="14" t="n">
        <v>1</v>
      </c>
      <c r="AC111" s="14" t="str">
        <v>PUBLICA; H002</v>
      </c>
      <c r="AD111" s="14" t="n">
        <v>0</v>
      </c>
      <c r="AE111" s="14" t="str">
        <v>n.a.</v>
      </c>
      <c r="AF111" s="14" t="str">
        <v>n.a.</v>
      </c>
      <c r="AG111" s="14" t="str">
        <v>n.a.</v>
      </c>
      <c r="AH111" s="14" t="str">
        <v>n.a.</v>
      </c>
      <c r="AI111" s="14" t="str">
        <v>n.a.</v>
      </c>
      <c r="AJ111" s="14" t="str">
        <v>n.a.</v>
      </c>
      <c r="AK111" s="14" t="str">
        <v>n.a.</v>
      </c>
      <c r="AL111" s="14" t="str">
        <v>n.a.</v>
      </c>
      <c r="AM111" s="14" t="str">
        <v>n.a.</v>
      </c>
      <c r="AN111" s="14" t="str">
        <v>n.a.</v>
      </c>
      <c r="AO111" s="14" t="n">
        <v>1</v>
      </c>
      <c r="AP111" s="14" t="n">
        <v>1</v>
      </c>
      <c r="AQ111" s="14" t="n">
        <v>1</v>
      </c>
      <c r="AR111" s="14" t="n">
        <v>1</v>
      </c>
      <c r="AS111" s="14" t="n">
        <v>1</v>
      </c>
      <c r="AT111" s="14" t="n">
        <v>1</v>
      </c>
      <c r="AU111" s="14" t="n">
        <v>1</v>
      </c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</row>
    <row r="112" ht="27" customHeight="1">
      <c r="A112" s="15" t="str">
        <v>I162S2C57J4V2</v>
      </c>
      <c r="B112" s="15" t="str">
        <v>TECNICO EN PROGRAMACION Y ANALISIS DE SISTEMAS</v>
      </c>
      <c r="C112" s="15" t="str">
        <v>Pregrado</v>
      </c>
      <c r="D112" s="23" t="str">
        <v>n.a.</v>
      </c>
      <c r="E112" s="23" t="str">
        <v>n.a.</v>
      </c>
      <c r="F112" s="15" t="n">
        <v>0</v>
      </c>
      <c r="G112" s="24" t="n">
        <v>0</v>
      </c>
      <c r="H112" s="24" t="n">
        <v>0</v>
      </c>
      <c r="I112" s="24" t="n">
        <v>0</v>
      </c>
      <c r="J112" s="24" t="n">
        <v>0</v>
      </c>
      <c r="K112" s="24" t="n">
        <v>0</v>
      </c>
      <c r="L112" s="24" t="n">
        <v>0</v>
      </c>
      <c r="M112" s="24" t="n">
        <v>0</v>
      </c>
      <c r="N112" s="24" t="n">
        <v>0</v>
      </c>
      <c r="O112" s="24" t="n">
        <v>0</v>
      </c>
      <c r="P112" s="24" t="n">
        <v>0</v>
      </c>
      <c r="Q112" s="24" t="n">
        <v>0</v>
      </c>
      <c r="R112" s="24" t="n">
        <v>0</v>
      </c>
      <c r="S112" s="24" t="n">
        <v>0</v>
      </c>
      <c r="T112" s="24" t="n">
        <v>0</v>
      </c>
      <c r="U112" s="24" t="n">
        <v>0</v>
      </c>
      <c r="V112" s="24" t="n">
        <v>0</v>
      </c>
      <c r="W112" s="24" t="n">
        <v>0</v>
      </c>
      <c r="X112" s="24" t="n">
        <v>0</v>
      </c>
      <c r="Y112" s="24" t="n">
        <v>0</v>
      </c>
      <c r="Z112" s="24" t="n">
        <v>0</v>
      </c>
      <c r="AA112" s="15" t="str">
        <v>NUEVO_2027_SIN_PLAN_E</v>
      </c>
      <c r="AB112" s="15" t="n">
        <v>0</v>
      </c>
      <c r="AC112" s="15" t="str">
        <v>PUBLICA; H002</v>
      </c>
      <c r="AD112" s="15" t="n">
        <v>0</v>
      </c>
      <c r="AE112" s="15" t="str">
        <v>n.a.</v>
      </c>
      <c r="AF112" s="15" t="str">
        <v>n.a.</v>
      </c>
      <c r="AG112" s="15" t="str">
        <v>n.a.</v>
      </c>
      <c r="AH112" s="15" t="str">
        <v>n.a.</v>
      </c>
      <c r="AI112" s="15" t="str">
        <v>n.a.</v>
      </c>
      <c r="AJ112" s="15" t="str">
        <v>n.a.</v>
      </c>
      <c r="AK112" s="15" t="str">
        <v>n.a.</v>
      </c>
      <c r="AL112" s="15" t="str">
        <v>n.a.</v>
      </c>
      <c r="AM112" s="15" t="str">
        <v>n.a.</v>
      </c>
      <c r="AN112" s="15" t="str">
        <v>n.a.</v>
      </c>
      <c r="AO112" s="15" t="str">
        <v>n.a.</v>
      </c>
      <c r="AP112" s="15" t="str">
        <v>n.a.</v>
      </c>
      <c r="AQ112" s="15" t="str">
        <v>n.a.</v>
      </c>
      <c r="AR112" s="15" t="str">
        <v>n.a.</v>
      </c>
      <c r="AS112" s="15" t="str">
        <v>n.a.</v>
      </c>
      <c r="AT112" s="15" t="str">
        <v>n.a.</v>
      </c>
      <c r="AU112" s="15" t="str">
        <v>n.a.</v>
      </c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</row>
    <row r="113" ht="27" customHeight="1">
      <c r="A113" s="14" t="str">
        <v>I162S2C63J4V1</v>
      </c>
      <c r="B113" s="14" t="str">
        <v>DIPLOMADO EN ARQUITECTURA CLOUD</v>
      </c>
      <c r="C113" s="14" t="str">
        <v>Postítulo/otro</v>
      </c>
      <c r="D113" s="21" t="n">
        <v>2025</v>
      </c>
      <c r="E113" s="21" t="n">
        <v>2025</v>
      </c>
      <c r="F113" s="14" t="n">
        <v>1</v>
      </c>
      <c r="G113" s="22" t="n">
        <v>0</v>
      </c>
      <c r="H113" s="22" t="n">
        <v>0</v>
      </c>
      <c r="I113" s="22" t="n">
        <v>0</v>
      </c>
      <c r="J113" s="22" t="n">
        <v>0</v>
      </c>
      <c r="K113" s="22" t="n">
        <v>0</v>
      </c>
      <c r="L113" s="22" t="n">
        <v>0</v>
      </c>
      <c r="M113" s="22" t="n">
        <v>0</v>
      </c>
      <c r="N113" s="22" t="n">
        <v>0</v>
      </c>
      <c r="O113" s="22" t="n">
        <v>0</v>
      </c>
      <c r="P113" s="22" t="n">
        <v>0</v>
      </c>
      <c r="Q113" s="22" t="n">
        <v>0</v>
      </c>
      <c r="R113" s="22" t="n">
        <v>0</v>
      </c>
      <c r="S113" s="22" t="n">
        <v>0</v>
      </c>
      <c r="T113" s="22" t="n">
        <v>0</v>
      </c>
      <c r="U113" s="22" t="n">
        <v>0</v>
      </c>
      <c r="V113" s="22" t="n">
        <v>0</v>
      </c>
      <c r="W113" s="22" t="n">
        <v>0</v>
      </c>
      <c r="X113" s="22" t="n">
        <v>0</v>
      </c>
      <c r="Y113" s="22" t="n">
        <v>31</v>
      </c>
      <c r="Z113" s="22" t="n">
        <v>0</v>
      </c>
      <c r="AA113" s="14" t="str">
        <v>FUERA_ALCANCE</v>
      </c>
      <c r="AB113" s="14" t="n">
        <v>1</v>
      </c>
      <c r="AC113" s="14" t="str">
        <v>PUBLICA; H002</v>
      </c>
      <c r="AD113" s="14" t="n">
        <v>0</v>
      </c>
      <c r="AE113" s="14" t="str">
        <v>n.a.</v>
      </c>
      <c r="AF113" s="14" t="str">
        <v>n.a.</v>
      </c>
      <c r="AG113" s="14" t="str">
        <v>n.a.</v>
      </c>
      <c r="AH113" s="14" t="str">
        <v>n.a.</v>
      </c>
      <c r="AI113" s="14" t="str">
        <v>n.a.</v>
      </c>
      <c r="AJ113" s="14" t="str">
        <v>n.a.</v>
      </c>
      <c r="AK113" s="14" t="str">
        <v>n.a.</v>
      </c>
      <c r="AL113" s="14" t="str">
        <v>n.a.</v>
      </c>
      <c r="AM113" s="14" t="str">
        <v>n.a.</v>
      </c>
      <c r="AN113" s="14" t="str">
        <v>n.a.</v>
      </c>
      <c r="AO113" s="14" t="str">
        <v>n.a.</v>
      </c>
      <c r="AP113" s="14" t="str">
        <v>n.a.</v>
      </c>
      <c r="AQ113" s="14" t="str">
        <v>n.a.</v>
      </c>
      <c r="AR113" s="14" t="n">
        <v>1</v>
      </c>
      <c r="AS113" s="14" t="n">
        <v>1</v>
      </c>
      <c r="AT113" s="14" t="n">
        <v>1</v>
      </c>
      <c r="AU113" s="14" t="n">
        <v>1</v>
      </c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</row>
    <row r="114" ht="27" customHeight="1">
      <c r="A114" s="15" t="str">
        <v>I162S2C64J4V1</v>
      </c>
      <c r="B114" s="15" t="str">
        <v>DIPLOMADO EN BACKEND</v>
      </c>
      <c r="C114" s="15" t="str">
        <v>Postítulo/otro</v>
      </c>
      <c r="D114" s="23" t="str">
        <v>n.a.</v>
      </c>
      <c r="E114" s="23" t="str">
        <v>n.a.</v>
      </c>
      <c r="F114" s="15" t="n">
        <v>0</v>
      </c>
      <c r="G114" s="24" t="n">
        <v>0</v>
      </c>
      <c r="H114" s="24" t="n">
        <v>0</v>
      </c>
      <c r="I114" s="24" t="n">
        <v>0</v>
      </c>
      <c r="J114" s="24" t="n">
        <v>0</v>
      </c>
      <c r="K114" s="24" t="n">
        <v>0</v>
      </c>
      <c r="L114" s="24" t="n">
        <v>0</v>
      </c>
      <c r="M114" s="24" t="n">
        <v>0</v>
      </c>
      <c r="N114" s="24" t="n">
        <v>0</v>
      </c>
      <c r="O114" s="24" t="n">
        <v>0</v>
      </c>
      <c r="P114" s="24" t="n">
        <v>0</v>
      </c>
      <c r="Q114" s="24" t="n">
        <v>0</v>
      </c>
      <c r="R114" s="24" t="n">
        <v>0</v>
      </c>
      <c r="S114" s="24" t="n">
        <v>0</v>
      </c>
      <c r="T114" s="24" t="n">
        <v>0</v>
      </c>
      <c r="U114" s="24" t="n">
        <v>0</v>
      </c>
      <c r="V114" s="24" t="n">
        <v>0</v>
      </c>
      <c r="W114" s="24" t="n">
        <v>0</v>
      </c>
      <c r="X114" s="24" t="n">
        <v>0</v>
      </c>
      <c r="Y114" s="24" t="n">
        <v>0</v>
      </c>
      <c r="Z114" s="24" t="n">
        <v>0</v>
      </c>
      <c r="AA114" s="15" t="str">
        <v>FUERA_ALCANCE</v>
      </c>
      <c r="AB114" s="15" t="n">
        <v>0</v>
      </c>
      <c r="AC114" s="15" t="str">
        <v>PUBLICA; H002</v>
      </c>
      <c r="AD114" s="15" t="n">
        <v>0</v>
      </c>
      <c r="AE114" s="15" t="str">
        <v>n.a.</v>
      </c>
      <c r="AF114" s="15" t="str">
        <v>n.a.</v>
      </c>
      <c r="AG114" s="15" t="str">
        <v>n.a.</v>
      </c>
      <c r="AH114" s="15" t="str">
        <v>n.a.</v>
      </c>
      <c r="AI114" s="15" t="str">
        <v>n.a.</v>
      </c>
      <c r="AJ114" s="15" t="str">
        <v>n.a.</v>
      </c>
      <c r="AK114" s="15" t="str">
        <v>n.a.</v>
      </c>
      <c r="AL114" s="15" t="str">
        <v>n.a.</v>
      </c>
      <c r="AM114" s="15" t="str">
        <v>n.a.</v>
      </c>
      <c r="AN114" s="15" t="str">
        <v>n.a.</v>
      </c>
      <c r="AO114" s="15" t="str">
        <v>n.a.</v>
      </c>
      <c r="AP114" s="15" t="str">
        <v>n.a.</v>
      </c>
      <c r="AQ114" s="15" t="str">
        <v>n.a.</v>
      </c>
      <c r="AR114" s="15" t="n">
        <v>1</v>
      </c>
      <c r="AS114" s="15" t="n">
        <v>1</v>
      </c>
      <c r="AT114" s="15" t="n">
        <v>1</v>
      </c>
      <c r="AU114" s="15" t="n">
        <v>1</v>
      </c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</row>
    <row r="115" ht="27" customHeight="1">
      <c r="A115" s="14" t="str">
        <v>I162S2C65J4V1</v>
      </c>
      <c r="B115" s="14" t="str">
        <v>DIPLOMADO EN FRONTEND</v>
      </c>
      <c r="C115" s="14" t="str">
        <v>Postítulo/otro</v>
      </c>
      <c r="D115" s="21" t="str">
        <v>n.a.</v>
      </c>
      <c r="E115" s="21" t="str">
        <v>n.a.</v>
      </c>
      <c r="F115" s="14" t="n">
        <v>0</v>
      </c>
      <c r="G115" s="22" t="n">
        <v>0</v>
      </c>
      <c r="H115" s="22" t="n">
        <v>0</v>
      </c>
      <c r="I115" s="22" t="n">
        <v>0</v>
      </c>
      <c r="J115" s="22" t="n">
        <v>0</v>
      </c>
      <c r="K115" s="22" t="n">
        <v>0</v>
      </c>
      <c r="L115" s="22" t="n">
        <v>0</v>
      </c>
      <c r="M115" s="22" t="n">
        <v>0</v>
      </c>
      <c r="N115" s="22" t="n">
        <v>0</v>
      </c>
      <c r="O115" s="22" t="n">
        <v>0</v>
      </c>
      <c r="P115" s="22" t="n">
        <v>0</v>
      </c>
      <c r="Q115" s="22" t="n">
        <v>0</v>
      </c>
      <c r="R115" s="22" t="n">
        <v>0</v>
      </c>
      <c r="S115" s="22" t="n">
        <v>0</v>
      </c>
      <c r="T115" s="22" t="n">
        <v>0</v>
      </c>
      <c r="U115" s="22" t="n">
        <v>0</v>
      </c>
      <c r="V115" s="22" t="n">
        <v>0</v>
      </c>
      <c r="W115" s="22" t="n">
        <v>0</v>
      </c>
      <c r="X115" s="22" t="n">
        <v>0</v>
      </c>
      <c r="Y115" s="22" t="n">
        <v>0</v>
      </c>
      <c r="Z115" s="22" t="n">
        <v>0</v>
      </c>
      <c r="AA115" s="14" t="str">
        <v>FUERA_ALCANCE</v>
      </c>
      <c r="AB115" s="14" t="n">
        <v>0</v>
      </c>
      <c r="AC115" s="14" t="str">
        <v>PUBLICA; H002</v>
      </c>
      <c r="AD115" s="14" t="n">
        <v>0</v>
      </c>
      <c r="AE115" s="14" t="str">
        <v>n.a.</v>
      </c>
      <c r="AF115" s="14" t="str">
        <v>n.a.</v>
      </c>
      <c r="AG115" s="14" t="str">
        <v>n.a.</v>
      </c>
      <c r="AH115" s="14" t="str">
        <v>n.a.</v>
      </c>
      <c r="AI115" s="14" t="str">
        <v>n.a.</v>
      </c>
      <c r="AJ115" s="14" t="str">
        <v>n.a.</v>
      </c>
      <c r="AK115" s="14" t="str">
        <v>n.a.</v>
      </c>
      <c r="AL115" s="14" t="str">
        <v>n.a.</v>
      </c>
      <c r="AM115" s="14" t="str">
        <v>n.a.</v>
      </c>
      <c r="AN115" s="14" t="str">
        <v>n.a.</v>
      </c>
      <c r="AO115" s="14" t="str">
        <v>n.a.</v>
      </c>
      <c r="AP115" s="14" t="str">
        <v>n.a.</v>
      </c>
      <c r="AQ115" s="14" t="str">
        <v>n.a.</v>
      </c>
      <c r="AR115" s="14" t="n">
        <v>1</v>
      </c>
      <c r="AS115" s="14" t="n">
        <v>1</v>
      </c>
      <c r="AT115" s="14" t="n">
        <v>1</v>
      </c>
      <c r="AU115" s="14" t="n">
        <v>1</v>
      </c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</row>
    <row r="116" ht="27" customHeight="1">
      <c r="A116" s="15" t="str">
        <v>I162S2C66J4V1</v>
      </c>
      <c r="B116" s="15" t="str">
        <v>DIPLOMADO EN FULLSTACK</v>
      </c>
      <c r="C116" s="15" t="str">
        <v>Postítulo/otro</v>
      </c>
      <c r="D116" s="23" t="n">
        <v>2025</v>
      </c>
      <c r="E116" s="23" t="n">
        <v>2026</v>
      </c>
      <c r="F116" s="15" t="n">
        <v>2</v>
      </c>
      <c r="G116" s="24" t="n">
        <v>0</v>
      </c>
      <c r="H116" s="24" t="n">
        <v>0</v>
      </c>
      <c r="I116" s="24" t="n">
        <v>0</v>
      </c>
      <c r="J116" s="24" t="n">
        <v>0</v>
      </c>
      <c r="K116" s="24" t="n">
        <v>0</v>
      </c>
      <c r="L116" s="24" t="n">
        <v>0</v>
      </c>
      <c r="M116" s="24" t="n">
        <v>0</v>
      </c>
      <c r="N116" s="24" t="n">
        <v>0</v>
      </c>
      <c r="O116" s="24" t="n">
        <v>0</v>
      </c>
      <c r="P116" s="24" t="n">
        <v>0</v>
      </c>
      <c r="Q116" s="24" t="n">
        <v>0</v>
      </c>
      <c r="R116" s="24" t="n">
        <v>0</v>
      </c>
      <c r="S116" s="24" t="n">
        <v>0</v>
      </c>
      <c r="T116" s="24" t="n">
        <v>0</v>
      </c>
      <c r="U116" s="24" t="n">
        <v>0</v>
      </c>
      <c r="V116" s="24" t="n">
        <v>0</v>
      </c>
      <c r="W116" s="24" t="n">
        <v>0</v>
      </c>
      <c r="X116" s="24" t="n">
        <v>0</v>
      </c>
      <c r="Y116" s="24" t="n">
        <v>41</v>
      </c>
      <c r="Z116" s="24" t="n">
        <v>15</v>
      </c>
      <c r="AA116" s="15" t="str">
        <v>FUERA_ALCANCE</v>
      </c>
      <c r="AB116" s="15" t="n">
        <v>1</v>
      </c>
      <c r="AC116" s="15" t="str">
        <v>PUBLICA; H002</v>
      </c>
      <c r="AD116" s="15" t="n">
        <v>0</v>
      </c>
      <c r="AE116" s="15" t="str">
        <v>n.a.</v>
      </c>
      <c r="AF116" s="15" t="str">
        <v>n.a.</v>
      </c>
      <c r="AG116" s="15" t="str">
        <v>n.a.</v>
      </c>
      <c r="AH116" s="15" t="str">
        <v>n.a.</v>
      </c>
      <c r="AI116" s="15" t="str">
        <v>n.a.</v>
      </c>
      <c r="AJ116" s="15" t="str">
        <v>n.a.</v>
      </c>
      <c r="AK116" s="15" t="str">
        <v>n.a.</v>
      </c>
      <c r="AL116" s="15" t="str">
        <v>n.a.</v>
      </c>
      <c r="AM116" s="15" t="str">
        <v>n.a.</v>
      </c>
      <c r="AN116" s="15" t="str">
        <v>n.a.</v>
      </c>
      <c r="AO116" s="15" t="str">
        <v>n.a.</v>
      </c>
      <c r="AP116" s="15" t="str">
        <v>n.a.</v>
      </c>
      <c r="AQ116" s="15" t="str">
        <v>n.a.</v>
      </c>
      <c r="AR116" s="15" t="n">
        <v>1</v>
      </c>
      <c r="AS116" s="15" t="n">
        <v>1</v>
      </c>
      <c r="AT116" s="15" t="n">
        <v>1</v>
      </c>
      <c r="AU116" s="15" t="n">
        <v>1</v>
      </c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</row>
    <row r="117" ht="27" customHeight="1">
      <c r="A117" s="14" t="str">
        <v>I162S2C67J4V1</v>
      </c>
      <c r="B117" s="14" t="str">
        <v>DIPLOMADO EN QUALITY ASSURANCE</v>
      </c>
      <c r="C117" s="14" t="str">
        <v>Postítulo/otro</v>
      </c>
      <c r="D117" s="21" t="n">
        <v>2025</v>
      </c>
      <c r="E117" s="21" t="n">
        <v>2025</v>
      </c>
      <c r="F117" s="14" t="n">
        <v>1</v>
      </c>
      <c r="G117" s="22" t="n">
        <v>0</v>
      </c>
      <c r="H117" s="22" t="n">
        <v>0</v>
      </c>
      <c r="I117" s="22" t="n">
        <v>0</v>
      </c>
      <c r="J117" s="22" t="n">
        <v>0</v>
      </c>
      <c r="K117" s="22" t="n">
        <v>0</v>
      </c>
      <c r="L117" s="22" t="n">
        <v>0</v>
      </c>
      <c r="M117" s="22" t="n">
        <v>0</v>
      </c>
      <c r="N117" s="22" t="n">
        <v>0</v>
      </c>
      <c r="O117" s="22" t="n">
        <v>0</v>
      </c>
      <c r="P117" s="22" t="n">
        <v>0</v>
      </c>
      <c r="Q117" s="22" t="n">
        <v>0</v>
      </c>
      <c r="R117" s="22" t="n">
        <v>0</v>
      </c>
      <c r="S117" s="22" t="n">
        <v>0</v>
      </c>
      <c r="T117" s="22" t="n">
        <v>0</v>
      </c>
      <c r="U117" s="22" t="n">
        <v>0</v>
      </c>
      <c r="V117" s="22" t="n">
        <v>0</v>
      </c>
      <c r="W117" s="22" t="n">
        <v>0</v>
      </c>
      <c r="X117" s="22" t="n">
        <v>0</v>
      </c>
      <c r="Y117" s="22" t="n">
        <v>8</v>
      </c>
      <c r="Z117" s="22" t="n">
        <v>0</v>
      </c>
      <c r="AA117" s="14" t="str">
        <v>FUERA_ALCANCE</v>
      </c>
      <c r="AB117" s="14" t="n">
        <v>1</v>
      </c>
      <c r="AC117" s="14" t="str">
        <v>PUBLICA; H002</v>
      </c>
      <c r="AD117" s="14" t="n">
        <v>0</v>
      </c>
      <c r="AE117" s="14" t="str">
        <v>n.a.</v>
      </c>
      <c r="AF117" s="14" t="str">
        <v>n.a.</v>
      </c>
      <c r="AG117" s="14" t="str">
        <v>n.a.</v>
      </c>
      <c r="AH117" s="14" t="str">
        <v>n.a.</v>
      </c>
      <c r="AI117" s="14" t="str">
        <v>n.a.</v>
      </c>
      <c r="AJ117" s="14" t="str">
        <v>n.a.</v>
      </c>
      <c r="AK117" s="14" t="str">
        <v>n.a.</v>
      </c>
      <c r="AL117" s="14" t="str">
        <v>n.a.</v>
      </c>
      <c r="AM117" s="14" t="str">
        <v>n.a.</v>
      </c>
      <c r="AN117" s="14" t="str">
        <v>n.a.</v>
      </c>
      <c r="AO117" s="14" t="str">
        <v>n.a.</v>
      </c>
      <c r="AP117" s="14" t="str">
        <v>n.a.</v>
      </c>
      <c r="AQ117" s="14" t="str">
        <v>n.a.</v>
      </c>
      <c r="AR117" s="14" t="n">
        <v>1</v>
      </c>
      <c r="AS117" s="14" t="n">
        <v>1</v>
      </c>
      <c r="AT117" s="14" t="n">
        <v>1</v>
      </c>
      <c r="AU117" s="14" t="n">
        <v>1</v>
      </c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</row>
    <row r="118" ht="27" customHeight="1">
      <c r="A118" s="15" t="str">
        <v>I162S2C68J4V1</v>
      </c>
      <c r="B118" s="15" t="str">
        <v>DIPLOMADO EN SEGURIDAD OFENSIVA</v>
      </c>
      <c r="C118" s="15" t="str">
        <v>Postítulo/otro</v>
      </c>
      <c r="D118" s="23" t="n">
        <v>2025</v>
      </c>
      <c r="E118" s="23" t="n">
        <v>2025</v>
      </c>
      <c r="F118" s="15" t="n">
        <v>1</v>
      </c>
      <c r="G118" s="24" t="n">
        <v>0</v>
      </c>
      <c r="H118" s="24" t="n">
        <v>0</v>
      </c>
      <c r="I118" s="24" t="n">
        <v>0</v>
      </c>
      <c r="J118" s="24" t="n">
        <v>0</v>
      </c>
      <c r="K118" s="24" t="n">
        <v>0</v>
      </c>
      <c r="L118" s="24" t="n">
        <v>0</v>
      </c>
      <c r="M118" s="24" t="n">
        <v>0</v>
      </c>
      <c r="N118" s="24" t="n">
        <v>0</v>
      </c>
      <c r="O118" s="24" t="n">
        <v>0</v>
      </c>
      <c r="P118" s="24" t="n">
        <v>0</v>
      </c>
      <c r="Q118" s="24" t="n">
        <v>0</v>
      </c>
      <c r="R118" s="24" t="n">
        <v>0</v>
      </c>
      <c r="S118" s="24" t="n">
        <v>0</v>
      </c>
      <c r="T118" s="24" t="n">
        <v>0</v>
      </c>
      <c r="U118" s="24" t="n">
        <v>0</v>
      </c>
      <c r="V118" s="24" t="n">
        <v>0</v>
      </c>
      <c r="W118" s="24" t="n">
        <v>0</v>
      </c>
      <c r="X118" s="24" t="n">
        <v>0</v>
      </c>
      <c r="Y118" s="24" t="n">
        <v>8</v>
      </c>
      <c r="Z118" s="24" t="n">
        <v>0</v>
      </c>
      <c r="AA118" s="15" t="str">
        <v>FUERA_ALCANCE</v>
      </c>
      <c r="AB118" s="15" t="n">
        <v>1</v>
      </c>
      <c r="AC118" s="15" t="str">
        <v>PUBLICA; H002</v>
      </c>
      <c r="AD118" s="15" t="n">
        <v>0</v>
      </c>
      <c r="AE118" s="15" t="str">
        <v>n.a.</v>
      </c>
      <c r="AF118" s="15" t="str">
        <v>n.a.</v>
      </c>
      <c r="AG118" s="15" t="str">
        <v>n.a.</v>
      </c>
      <c r="AH118" s="15" t="str">
        <v>n.a.</v>
      </c>
      <c r="AI118" s="15" t="str">
        <v>n.a.</v>
      </c>
      <c r="AJ118" s="15" t="str">
        <v>n.a.</v>
      </c>
      <c r="AK118" s="15" t="str">
        <v>n.a.</v>
      </c>
      <c r="AL118" s="15" t="str">
        <v>n.a.</v>
      </c>
      <c r="AM118" s="15" t="str">
        <v>n.a.</v>
      </c>
      <c r="AN118" s="15" t="str">
        <v>n.a.</v>
      </c>
      <c r="AO118" s="15" t="str">
        <v>n.a.</v>
      </c>
      <c r="AP118" s="15" t="str">
        <v>n.a.</v>
      </c>
      <c r="AQ118" s="15" t="str">
        <v>n.a.</v>
      </c>
      <c r="AR118" s="15" t="n">
        <v>1</v>
      </c>
      <c r="AS118" s="15" t="n">
        <v>1</v>
      </c>
      <c r="AT118" s="15" t="n">
        <v>1</v>
      </c>
      <c r="AU118" s="15" t="n">
        <v>1</v>
      </c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</row>
    <row r="119" ht="27" customHeight="1">
      <c r="A119" s="14" t="str">
        <v>I162S2C69J4V1</v>
      </c>
      <c r="B119" s="14" t="str">
        <v>DIPLOMADO INFRAESTRUCTURA CLOUD</v>
      </c>
      <c r="C119" s="14" t="str">
        <v>Postítulo/otro</v>
      </c>
      <c r="D119" s="21" t="str">
        <v>n.a.</v>
      </c>
      <c r="E119" s="21" t="str">
        <v>n.a.</v>
      </c>
      <c r="F119" s="14" t="n">
        <v>0</v>
      </c>
      <c r="G119" s="22" t="n">
        <v>0</v>
      </c>
      <c r="H119" s="22" t="n">
        <v>0</v>
      </c>
      <c r="I119" s="22" t="n">
        <v>0</v>
      </c>
      <c r="J119" s="22" t="n">
        <v>0</v>
      </c>
      <c r="K119" s="22" t="n">
        <v>0</v>
      </c>
      <c r="L119" s="22" t="n">
        <v>0</v>
      </c>
      <c r="M119" s="22" t="n">
        <v>0</v>
      </c>
      <c r="N119" s="22" t="n">
        <v>0</v>
      </c>
      <c r="O119" s="22" t="n">
        <v>0</v>
      </c>
      <c r="P119" s="22" t="n">
        <v>0</v>
      </c>
      <c r="Q119" s="22" t="n">
        <v>0</v>
      </c>
      <c r="R119" s="22" t="n">
        <v>0</v>
      </c>
      <c r="S119" s="22" t="n">
        <v>0</v>
      </c>
      <c r="T119" s="22" t="n">
        <v>0</v>
      </c>
      <c r="U119" s="22" t="n">
        <v>0</v>
      </c>
      <c r="V119" s="22" t="n">
        <v>0</v>
      </c>
      <c r="W119" s="22" t="n">
        <v>0</v>
      </c>
      <c r="X119" s="22" t="n">
        <v>0</v>
      </c>
      <c r="Y119" s="22" t="n">
        <v>0</v>
      </c>
      <c r="Z119" s="22" t="n">
        <v>0</v>
      </c>
      <c r="AA119" s="14" t="str">
        <v>FUERA_ALCANCE</v>
      </c>
      <c r="AB119" s="14" t="n">
        <v>0</v>
      </c>
      <c r="AC119" s="14" t="str">
        <v>PUBLICA; H002</v>
      </c>
      <c r="AD119" s="14" t="n">
        <v>0</v>
      </c>
      <c r="AE119" s="14" t="str">
        <v>n.a.</v>
      </c>
      <c r="AF119" s="14" t="str">
        <v>n.a.</v>
      </c>
      <c r="AG119" s="14" t="str">
        <v>n.a.</v>
      </c>
      <c r="AH119" s="14" t="str">
        <v>n.a.</v>
      </c>
      <c r="AI119" s="14" t="str">
        <v>n.a.</v>
      </c>
      <c r="AJ119" s="14" t="str">
        <v>n.a.</v>
      </c>
      <c r="AK119" s="14" t="str">
        <v>n.a.</v>
      </c>
      <c r="AL119" s="14" t="str">
        <v>n.a.</v>
      </c>
      <c r="AM119" s="14" t="str">
        <v>n.a.</v>
      </c>
      <c r="AN119" s="14" t="str">
        <v>n.a.</v>
      </c>
      <c r="AO119" s="14" t="str">
        <v>n.a.</v>
      </c>
      <c r="AP119" s="14" t="str">
        <v>n.a.</v>
      </c>
      <c r="AQ119" s="14" t="str">
        <v>n.a.</v>
      </c>
      <c r="AR119" s="14" t="n">
        <v>1</v>
      </c>
      <c r="AS119" s="14" t="n">
        <v>1</v>
      </c>
      <c r="AT119" s="14" t="n">
        <v>1</v>
      </c>
      <c r="AU119" s="14" t="n">
        <v>1</v>
      </c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</row>
    <row r="120" ht="27" customHeight="1">
      <c r="A120" s="15" t="str">
        <v>I162S2C6J1V1</v>
      </c>
      <c r="B120" s="15" t="str">
        <v>TECNICO EN CONECTIVIDAD Y REDES</v>
      </c>
      <c r="C120" s="15" t="str">
        <v>Pregrado</v>
      </c>
      <c r="D120" s="23" t="n">
        <v>2009</v>
      </c>
      <c r="E120" s="23" t="n">
        <v>2022</v>
      </c>
      <c r="F120" s="15" t="n">
        <v>14</v>
      </c>
      <c r="G120" s="24" t="n">
        <v>0</v>
      </c>
      <c r="H120" s="24" t="n">
        <v>0</v>
      </c>
      <c r="I120" s="24" t="n">
        <v>59</v>
      </c>
      <c r="J120" s="24" t="n">
        <v>60</v>
      </c>
      <c r="K120" s="24" t="n">
        <v>61</v>
      </c>
      <c r="L120" s="24" t="n">
        <v>48</v>
      </c>
      <c r="M120" s="24" t="n">
        <v>63</v>
      </c>
      <c r="N120" s="24" t="n">
        <v>73</v>
      </c>
      <c r="O120" s="24" t="n">
        <v>57</v>
      </c>
      <c r="P120" s="24" t="n">
        <v>58</v>
      </c>
      <c r="Q120" s="24" t="n">
        <v>68</v>
      </c>
      <c r="R120" s="24" t="n">
        <v>60</v>
      </c>
      <c r="S120" s="24" t="n">
        <v>33</v>
      </c>
      <c r="T120" s="24" t="n">
        <v>3</v>
      </c>
      <c r="U120" s="24" t="n">
        <v>4</v>
      </c>
      <c r="V120" s="24" t="n">
        <v>4</v>
      </c>
      <c r="W120" s="24" t="n">
        <v>0</v>
      </c>
      <c r="X120" s="24" t="n">
        <v>0</v>
      </c>
      <c r="Y120" s="24" t="n">
        <v>0</v>
      </c>
      <c r="Z120" s="24" t="n">
        <v>0</v>
      </c>
      <c r="AA120" s="15" t="str">
        <v>CONTINUA</v>
      </c>
      <c r="AB120" s="15" t="n">
        <v>1</v>
      </c>
      <c r="AC120" s="15" t="str">
        <v>PUBLICA; H002</v>
      </c>
      <c r="AD120" s="15" t="n">
        <v>0</v>
      </c>
      <c r="AE120" s="15" t="n">
        <v>1</v>
      </c>
      <c r="AF120" s="15" t="n">
        <v>1</v>
      </c>
      <c r="AG120" s="15" t="n">
        <v>1</v>
      </c>
      <c r="AH120" s="15" t="n">
        <v>1</v>
      </c>
      <c r="AI120" s="15" t="n">
        <v>1</v>
      </c>
      <c r="AJ120" s="15" t="n">
        <v>1</v>
      </c>
      <c r="AK120" s="15" t="n">
        <v>1</v>
      </c>
      <c r="AL120" s="15" t="n">
        <v>1</v>
      </c>
      <c r="AM120" s="15" t="n">
        <v>1</v>
      </c>
      <c r="AN120" s="15" t="n">
        <v>2</v>
      </c>
      <c r="AO120" s="15" t="n">
        <v>2</v>
      </c>
      <c r="AP120" s="15" t="n">
        <v>1</v>
      </c>
      <c r="AQ120" s="15" t="n">
        <v>1</v>
      </c>
      <c r="AR120" s="15" t="n">
        <v>2</v>
      </c>
      <c r="AS120" s="15" t="n">
        <v>2</v>
      </c>
      <c r="AT120" s="15" t="n">
        <v>2</v>
      </c>
      <c r="AU120" s="15" t="n">
        <v>2</v>
      </c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</row>
    <row r="121" ht="27" customHeight="1">
      <c r="A121" s="14" t="str">
        <v>I162S2C6J1V2</v>
      </c>
      <c r="B121" s="14" t="str">
        <v>TECNICO EN CONECTIVIDAD Y REDES</v>
      </c>
      <c r="C121" s="14" t="str">
        <v>Pregrado</v>
      </c>
      <c r="D121" s="21" t="n">
        <v>2019</v>
      </c>
      <c r="E121" s="21" t="n">
        <v>2024</v>
      </c>
      <c r="F121" s="14" t="n">
        <v>6</v>
      </c>
      <c r="G121" s="22" t="n">
        <v>0</v>
      </c>
      <c r="H121" s="22" t="n">
        <v>0</v>
      </c>
      <c r="I121" s="22" t="n">
        <v>0</v>
      </c>
      <c r="J121" s="22" t="n">
        <v>0</v>
      </c>
      <c r="K121" s="22" t="n">
        <v>0</v>
      </c>
      <c r="L121" s="22" t="n">
        <v>0</v>
      </c>
      <c r="M121" s="22" t="n">
        <v>0</v>
      </c>
      <c r="N121" s="22" t="n">
        <v>0</v>
      </c>
      <c r="O121" s="22" t="n">
        <v>0</v>
      </c>
      <c r="P121" s="22" t="n">
        <v>0</v>
      </c>
      <c r="Q121" s="22" t="n">
        <v>0</v>
      </c>
      <c r="R121" s="22" t="n">
        <v>0</v>
      </c>
      <c r="S121" s="22" t="n">
        <v>17</v>
      </c>
      <c r="T121" s="22" t="n">
        <v>17</v>
      </c>
      <c r="U121" s="22" t="n">
        <v>10</v>
      </c>
      <c r="V121" s="22" t="n">
        <v>2</v>
      </c>
      <c r="W121" s="22" t="n">
        <v>3</v>
      </c>
      <c r="X121" s="22" t="n">
        <v>1</v>
      </c>
      <c r="Y121" s="22" t="n">
        <v>0</v>
      </c>
      <c r="Z121" s="22" t="n">
        <v>0</v>
      </c>
      <c r="AA121" s="14" t="str">
        <v>CONTINUA</v>
      </c>
      <c r="AB121" s="14" t="n">
        <v>1</v>
      </c>
      <c r="AC121" s="14" t="str">
        <v>PUBLICA; H002</v>
      </c>
      <c r="AD121" s="14" t="n">
        <v>0</v>
      </c>
      <c r="AE121" s="14" t="str">
        <v>n.a.</v>
      </c>
      <c r="AF121" s="14" t="str">
        <v>n.a.</v>
      </c>
      <c r="AG121" s="14" t="str">
        <v>n.a.</v>
      </c>
      <c r="AH121" s="14" t="str">
        <v>n.a.</v>
      </c>
      <c r="AI121" s="14" t="str">
        <v>n.a.</v>
      </c>
      <c r="AJ121" s="14" t="str">
        <v>n.a.</v>
      </c>
      <c r="AK121" s="14" t="str">
        <v>n.a.</v>
      </c>
      <c r="AL121" s="14" t="str">
        <v>n.a.</v>
      </c>
      <c r="AM121" s="14" t="str">
        <v>n.a.</v>
      </c>
      <c r="AN121" s="14" t="n">
        <v>1</v>
      </c>
      <c r="AO121" s="14" t="n">
        <v>1</v>
      </c>
      <c r="AP121" s="14" t="n">
        <v>1</v>
      </c>
      <c r="AQ121" s="14" t="n">
        <v>2</v>
      </c>
      <c r="AR121" s="14" t="n">
        <v>1</v>
      </c>
      <c r="AS121" s="14" t="n">
        <v>1</v>
      </c>
      <c r="AT121" s="14" t="n">
        <v>1</v>
      </c>
      <c r="AU121" s="14" t="n">
        <v>1</v>
      </c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</row>
    <row r="122" ht="27" customHeight="1">
      <c r="A122" s="15" t="str">
        <v>I162S2C6J2V1</v>
      </c>
      <c r="B122" s="15" t="str">
        <v>TECNICO EN CONECTIVIDAD Y REDES</v>
      </c>
      <c r="C122" s="15" t="str">
        <v>Pregrado</v>
      </c>
      <c r="D122" s="23" t="n">
        <v>2007</v>
      </c>
      <c r="E122" s="23" t="n">
        <v>2025</v>
      </c>
      <c r="F122" s="15" t="n">
        <v>17</v>
      </c>
      <c r="G122" s="24" t="n">
        <v>343</v>
      </c>
      <c r="H122" s="24" t="n">
        <v>0</v>
      </c>
      <c r="I122" s="24" t="n">
        <v>282</v>
      </c>
      <c r="J122" s="24" t="n">
        <v>275</v>
      </c>
      <c r="K122" s="24" t="n">
        <v>247</v>
      </c>
      <c r="L122" s="24" t="n">
        <v>267</v>
      </c>
      <c r="M122" s="24" t="n">
        <v>296</v>
      </c>
      <c r="N122" s="24" t="n">
        <v>246</v>
      </c>
      <c r="O122" s="24" t="n">
        <v>261</v>
      </c>
      <c r="P122" s="24" t="n">
        <v>192</v>
      </c>
      <c r="Q122" s="24" t="n">
        <v>184</v>
      </c>
      <c r="R122" s="24" t="n">
        <v>134</v>
      </c>
      <c r="S122" s="24" t="n">
        <v>65</v>
      </c>
      <c r="T122" s="24" t="n">
        <v>23</v>
      </c>
      <c r="U122" s="24" t="n">
        <v>14</v>
      </c>
      <c r="V122" s="24" t="n">
        <v>7</v>
      </c>
      <c r="W122" s="24" t="n">
        <v>3</v>
      </c>
      <c r="X122" s="24" t="n">
        <v>0</v>
      </c>
      <c r="Y122" s="24" t="n">
        <v>2</v>
      </c>
      <c r="Z122" s="24" t="n">
        <v>0</v>
      </c>
      <c r="AA122" s="15" t="str">
        <v>CONTINUA</v>
      </c>
      <c r="AB122" s="15" t="n">
        <v>1</v>
      </c>
      <c r="AC122" s="15" t="str">
        <v>PUBLICA; H002</v>
      </c>
      <c r="AD122" s="15" t="n">
        <v>0</v>
      </c>
      <c r="AE122" s="15" t="n">
        <v>1</v>
      </c>
      <c r="AF122" s="15" t="n">
        <v>1</v>
      </c>
      <c r="AG122" s="15" t="n">
        <v>1</v>
      </c>
      <c r="AH122" s="15" t="n">
        <v>1</v>
      </c>
      <c r="AI122" s="15" t="n">
        <v>1</v>
      </c>
      <c r="AJ122" s="15" t="n">
        <v>1</v>
      </c>
      <c r="AK122" s="15" t="n">
        <v>1</v>
      </c>
      <c r="AL122" s="15" t="n">
        <v>1</v>
      </c>
      <c r="AM122" s="15" t="n">
        <v>1</v>
      </c>
      <c r="AN122" s="15" t="n">
        <v>2</v>
      </c>
      <c r="AO122" s="15" t="n">
        <v>2</v>
      </c>
      <c r="AP122" s="15" t="n">
        <v>1</v>
      </c>
      <c r="AQ122" s="15" t="n">
        <v>1</v>
      </c>
      <c r="AR122" s="15" t="n">
        <v>2</v>
      </c>
      <c r="AS122" s="15" t="n">
        <v>2</v>
      </c>
      <c r="AT122" s="15" t="n">
        <v>2</v>
      </c>
      <c r="AU122" s="15" t="n">
        <v>2</v>
      </c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</row>
    <row r="123" ht="27" customHeight="1">
      <c r="A123" s="14" t="str">
        <v>I162S2C6J2V2</v>
      </c>
      <c r="B123" s="14" t="str">
        <v>TECNICO EN CONECTIVIDAD Y REDES</v>
      </c>
      <c r="C123" s="14" t="str">
        <v>Pregrado</v>
      </c>
      <c r="D123" s="21" t="n">
        <v>2019</v>
      </c>
      <c r="E123" s="21" t="n">
        <v>2026</v>
      </c>
      <c r="F123" s="14" t="n">
        <v>8</v>
      </c>
      <c r="G123" s="22" t="n">
        <v>0</v>
      </c>
      <c r="H123" s="22" t="n">
        <v>0</v>
      </c>
      <c r="I123" s="22" t="n">
        <v>0</v>
      </c>
      <c r="J123" s="22" t="n">
        <v>0</v>
      </c>
      <c r="K123" s="22" t="n">
        <v>0</v>
      </c>
      <c r="L123" s="22" t="n">
        <v>0</v>
      </c>
      <c r="M123" s="22" t="n">
        <v>0</v>
      </c>
      <c r="N123" s="22" t="n">
        <v>0</v>
      </c>
      <c r="O123" s="22" t="n">
        <v>0</v>
      </c>
      <c r="P123" s="22" t="n">
        <v>0</v>
      </c>
      <c r="Q123" s="22" t="n">
        <v>0</v>
      </c>
      <c r="R123" s="22" t="n">
        <v>0</v>
      </c>
      <c r="S123" s="22" t="n">
        <v>39</v>
      </c>
      <c r="T123" s="22" t="n">
        <v>49</v>
      </c>
      <c r="U123" s="22" t="n">
        <v>35</v>
      </c>
      <c r="V123" s="22" t="n">
        <v>16</v>
      </c>
      <c r="W123" s="22" t="n">
        <v>5</v>
      </c>
      <c r="X123" s="22" t="n">
        <v>6</v>
      </c>
      <c r="Y123" s="22" t="n">
        <v>6</v>
      </c>
      <c r="Z123" s="22" t="n">
        <v>7</v>
      </c>
      <c r="AA123" s="14" t="str">
        <v>CONTINUA</v>
      </c>
      <c r="AB123" s="14" t="n">
        <v>1</v>
      </c>
      <c r="AC123" s="14" t="str">
        <v>PUBLICA; H002</v>
      </c>
      <c r="AD123" s="14" t="n">
        <v>0</v>
      </c>
      <c r="AE123" s="14" t="str">
        <v>n.a.</v>
      </c>
      <c r="AF123" s="14" t="str">
        <v>n.a.</v>
      </c>
      <c r="AG123" s="14" t="str">
        <v>n.a.</v>
      </c>
      <c r="AH123" s="14" t="str">
        <v>n.a.</v>
      </c>
      <c r="AI123" s="14" t="str">
        <v>n.a.</v>
      </c>
      <c r="AJ123" s="14" t="str">
        <v>n.a.</v>
      </c>
      <c r="AK123" s="14" t="str">
        <v>n.a.</v>
      </c>
      <c r="AL123" s="14" t="str">
        <v>n.a.</v>
      </c>
      <c r="AM123" s="14" t="str">
        <v>n.a.</v>
      </c>
      <c r="AN123" s="14" t="n">
        <v>1</v>
      </c>
      <c r="AO123" s="14" t="n">
        <v>1</v>
      </c>
      <c r="AP123" s="14" t="n">
        <v>1</v>
      </c>
      <c r="AQ123" s="14" t="n">
        <v>2</v>
      </c>
      <c r="AR123" s="14" t="n">
        <v>1</v>
      </c>
      <c r="AS123" s="14" t="n">
        <v>1</v>
      </c>
      <c r="AT123" s="14" t="n">
        <v>1</v>
      </c>
      <c r="AU123" s="14" t="n">
        <v>1</v>
      </c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</row>
    <row r="124" ht="27" customHeight="1">
      <c r="A124" s="15" t="str">
        <v>I162S2C6J4V1</v>
      </c>
      <c r="B124" s="15" t="str">
        <v>TECNICO EN CONECTIVIDAD Y REDES</v>
      </c>
      <c r="C124" s="15" t="str">
        <v>Pregrado</v>
      </c>
      <c r="D124" s="23" t="n">
        <v>2017</v>
      </c>
      <c r="E124" s="23" t="n">
        <v>2021</v>
      </c>
      <c r="F124" s="15" t="n">
        <v>5</v>
      </c>
      <c r="G124" s="24" t="n">
        <v>0</v>
      </c>
      <c r="H124" s="24" t="n">
        <v>0</v>
      </c>
      <c r="I124" s="24" t="n">
        <v>0</v>
      </c>
      <c r="J124" s="24" t="n">
        <v>0</v>
      </c>
      <c r="K124" s="24" t="n">
        <v>0</v>
      </c>
      <c r="L124" s="24" t="n">
        <v>0</v>
      </c>
      <c r="M124" s="24" t="n">
        <v>0</v>
      </c>
      <c r="N124" s="24" t="n">
        <v>0</v>
      </c>
      <c r="O124" s="24" t="n">
        <v>0</v>
      </c>
      <c r="P124" s="24" t="n">
        <v>0</v>
      </c>
      <c r="Q124" s="24" t="n">
        <v>28</v>
      </c>
      <c r="R124" s="24" t="n">
        <v>39</v>
      </c>
      <c r="S124" s="24" t="n">
        <v>25</v>
      </c>
      <c r="T124" s="24" t="n">
        <v>8</v>
      </c>
      <c r="U124" s="24" t="n">
        <v>30</v>
      </c>
      <c r="V124" s="24" t="n">
        <v>0</v>
      </c>
      <c r="W124" s="24" t="n">
        <v>0</v>
      </c>
      <c r="X124" s="24" t="n">
        <v>0</v>
      </c>
      <c r="Y124" s="24" t="n">
        <v>0</v>
      </c>
      <c r="Z124" s="24" t="n">
        <v>0</v>
      </c>
      <c r="AA124" s="15" t="str">
        <v>SIN_OFERTA_2027</v>
      </c>
      <c r="AB124" s="15" t="n">
        <v>1</v>
      </c>
      <c r="AC124" s="15" t="str">
        <v>PUBLICA; H002</v>
      </c>
      <c r="AD124" s="15" t="n">
        <v>1</v>
      </c>
      <c r="AE124" s="15" t="str">
        <v>n.a.</v>
      </c>
      <c r="AF124" s="15" t="str">
        <v>n.a.</v>
      </c>
      <c r="AG124" s="15" t="str">
        <v>n.a.</v>
      </c>
      <c r="AH124" s="15" t="str">
        <v>n.a.</v>
      </c>
      <c r="AI124" s="15" t="str">
        <v>n.a.</v>
      </c>
      <c r="AJ124" s="15" t="str">
        <v>n.a.</v>
      </c>
      <c r="AK124" s="15" t="str">
        <v>n.a.</v>
      </c>
      <c r="AL124" s="15" t="n">
        <v>1</v>
      </c>
      <c r="AM124" s="15" t="n">
        <v>1</v>
      </c>
      <c r="AN124" s="15" t="n">
        <v>2</v>
      </c>
      <c r="AO124" s="15" t="n">
        <v>2</v>
      </c>
      <c r="AP124" s="15" t="n">
        <v>1</v>
      </c>
      <c r="AQ124" s="15" t="n">
        <v>1</v>
      </c>
      <c r="AR124" s="15" t="n">
        <v>2</v>
      </c>
      <c r="AS124" s="15" t="str">
        <v>n.a.</v>
      </c>
      <c r="AT124" s="15" t="str">
        <v>n.a.</v>
      </c>
      <c r="AU124" s="15" t="str">
        <v>n.a.</v>
      </c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</row>
    <row r="125" ht="27" customHeight="1">
      <c r="A125" s="14" t="str">
        <v>I162S2C6J4V2</v>
      </c>
      <c r="B125" s="14" t="str">
        <v>TECNICO EN CONECTIVIDAD Y REDES</v>
      </c>
      <c r="C125" s="14" t="str">
        <v>Pregrado</v>
      </c>
      <c r="D125" s="21" t="n">
        <v>2019</v>
      </c>
      <c r="E125" s="21" t="n">
        <v>2026</v>
      </c>
      <c r="F125" s="14" t="n">
        <v>8</v>
      </c>
      <c r="G125" s="22" t="n">
        <v>0</v>
      </c>
      <c r="H125" s="22" t="n">
        <v>0</v>
      </c>
      <c r="I125" s="22" t="n">
        <v>0</v>
      </c>
      <c r="J125" s="22" t="n">
        <v>0</v>
      </c>
      <c r="K125" s="22" t="n">
        <v>0</v>
      </c>
      <c r="L125" s="22" t="n">
        <v>0</v>
      </c>
      <c r="M125" s="22" t="n">
        <v>0</v>
      </c>
      <c r="N125" s="22" t="n">
        <v>0</v>
      </c>
      <c r="O125" s="22" t="n">
        <v>0</v>
      </c>
      <c r="P125" s="22" t="n">
        <v>0</v>
      </c>
      <c r="Q125" s="22" t="n">
        <v>0</v>
      </c>
      <c r="R125" s="22" t="n">
        <v>0</v>
      </c>
      <c r="S125" s="22" t="n">
        <v>28</v>
      </c>
      <c r="T125" s="22" t="n">
        <v>35</v>
      </c>
      <c r="U125" s="22" t="n">
        <v>26</v>
      </c>
      <c r="V125" s="22" t="n">
        <v>72</v>
      </c>
      <c r="W125" s="22" t="n">
        <v>73</v>
      </c>
      <c r="X125" s="22" t="n">
        <v>63</v>
      </c>
      <c r="Y125" s="22" t="n">
        <v>63</v>
      </c>
      <c r="Z125" s="22" t="n">
        <v>45</v>
      </c>
      <c r="AA125" s="14" t="str">
        <v>VERSION_MULTIPLE_RESUELTA</v>
      </c>
      <c r="AB125" s="14" t="n">
        <v>1</v>
      </c>
      <c r="AC125" s="14" t="str">
        <v>PUBLICA; H002</v>
      </c>
      <c r="AD125" s="14" t="n">
        <v>0</v>
      </c>
      <c r="AE125" s="14" t="str">
        <v>n.a.</v>
      </c>
      <c r="AF125" s="14" t="str">
        <v>n.a.</v>
      </c>
      <c r="AG125" s="14" t="str">
        <v>n.a.</v>
      </c>
      <c r="AH125" s="14" t="str">
        <v>n.a.</v>
      </c>
      <c r="AI125" s="14" t="str">
        <v>n.a.</v>
      </c>
      <c r="AJ125" s="14" t="str">
        <v>n.a.</v>
      </c>
      <c r="AK125" s="14" t="str">
        <v>n.a.</v>
      </c>
      <c r="AL125" s="14" t="str">
        <v>n.a.</v>
      </c>
      <c r="AM125" s="14" t="str">
        <v>n.a.</v>
      </c>
      <c r="AN125" s="14" t="n">
        <v>1</v>
      </c>
      <c r="AO125" s="14" t="n">
        <v>1</v>
      </c>
      <c r="AP125" s="14" t="n">
        <v>1</v>
      </c>
      <c r="AQ125" s="14" t="n">
        <v>2</v>
      </c>
      <c r="AR125" s="14" t="n">
        <v>1</v>
      </c>
      <c r="AS125" s="14" t="n">
        <v>1</v>
      </c>
      <c r="AT125" s="14" t="n">
        <v>1</v>
      </c>
      <c r="AU125" s="14" t="n">
        <v>1</v>
      </c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</row>
    <row r="126" ht="27" customHeight="1">
      <c r="A126" s="15" t="str">
        <v>I162S2C6J4V3</v>
      </c>
      <c r="B126" s="15" t="str">
        <v>TECNICO EN CONECTIVIDAD Y REDES</v>
      </c>
      <c r="C126" s="15" t="str">
        <v>Pregrado</v>
      </c>
      <c r="D126" s="23" t="str">
        <v>n.a.</v>
      </c>
      <c r="E126" s="23" t="str">
        <v>n.a.</v>
      </c>
      <c r="F126" s="15" t="n">
        <v>0</v>
      </c>
      <c r="G126" s="24" t="n">
        <v>0</v>
      </c>
      <c r="H126" s="24" t="n">
        <v>0</v>
      </c>
      <c r="I126" s="24" t="n">
        <v>0</v>
      </c>
      <c r="J126" s="24" t="n">
        <v>0</v>
      </c>
      <c r="K126" s="24" t="n">
        <v>0</v>
      </c>
      <c r="L126" s="24" t="n">
        <v>0</v>
      </c>
      <c r="M126" s="24" t="n">
        <v>0</v>
      </c>
      <c r="N126" s="24" t="n">
        <v>0</v>
      </c>
      <c r="O126" s="24" t="n">
        <v>0</v>
      </c>
      <c r="P126" s="24" t="n">
        <v>0</v>
      </c>
      <c r="Q126" s="24" t="n">
        <v>0</v>
      </c>
      <c r="R126" s="24" t="n">
        <v>0</v>
      </c>
      <c r="S126" s="24" t="n">
        <v>0</v>
      </c>
      <c r="T126" s="24" t="n">
        <v>0</v>
      </c>
      <c r="U126" s="24" t="n">
        <v>0</v>
      </c>
      <c r="V126" s="24" t="n">
        <v>0</v>
      </c>
      <c r="W126" s="24" t="n">
        <v>0</v>
      </c>
      <c r="X126" s="24" t="n">
        <v>0</v>
      </c>
      <c r="Y126" s="24" t="n">
        <v>0</v>
      </c>
      <c r="Z126" s="24" t="n">
        <v>0</v>
      </c>
      <c r="AA126" s="15" t="str">
        <v>NUEVO_2027_SIN_PLAN_E</v>
      </c>
      <c r="AB126" s="15" t="n">
        <v>0</v>
      </c>
      <c r="AC126" s="15" t="str">
        <v>PUBLICA; H002</v>
      </c>
      <c r="AD126" s="15" t="n">
        <v>0</v>
      </c>
      <c r="AE126" s="15" t="str">
        <v>n.a.</v>
      </c>
      <c r="AF126" s="15" t="str">
        <v>n.a.</v>
      </c>
      <c r="AG126" s="15" t="str">
        <v>n.a.</v>
      </c>
      <c r="AH126" s="15" t="str">
        <v>n.a.</v>
      </c>
      <c r="AI126" s="15" t="str">
        <v>n.a.</v>
      </c>
      <c r="AJ126" s="15" t="str">
        <v>n.a.</v>
      </c>
      <c r="AK126" s="15" t="str">
        <v>n.a.</v>
      </c>
      <c r="AL126" s="15" t="str">
        <v>n.a.</v>
      </c>
      <c r="AM126" s="15" t="str">
        <v>n.a.</v>
      </c>
      <c r="AN126" s="15" t="str">
        <v>n.a.</v>
      </c>
      <c r="AO126" s="15" t="str">
        <v>n.a.</v>
      </c>
      <c r="AP126" s="15" t="str">
        <v>n.a.</v>
      </c>
      <c r="AQ126" s="15" t="str">
        <v>n.a.</v>
      </c>
      <c r="AR126" s="15" t="str">
        <v>n.a.</v>
      </c>
      <c r="AS126" s="15" t="str">
        <v>n.a.</v>
      </c>
      <c r="AT126" s="15" t="str">
        <v>n.a.</v>
      </c>
      <c r="AU126" s="15" t="str">
        <v>n.a.</v>
      </c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</row>
    <row r="127" ht="27" customHeight="1">
      <c r="A127" s="14" t="str">
        <v>I162S2C70J4V1</v>
      </c>
      <c r="B127" s="14" t="str">
        <v>DIPLOMADO REDES INDUSTRIALES</v>
      </c>
      <c r="C127" s="14" t="str">
        <v>Postítulo/otro</v>
      </c>
      <c r="D127" s="21" t="n">
        <v>2026</v>
      </c>
      <c r="E127" s="21" t="n">
        <v>2026</v>
      </c>
      <c r="F127" s="14" t="n">
        <v>1</v>
      </c>
      <c r="G127" s="22" t="n">
        <v>0</v>
      </c>
      <c r="H127" s="22" t="n">
        <v>0</v>
      </c>
      <c r="I127" s="22" t="n">
        <v>0</v>
      </c>
      <c r="J127" s="22" t="n">
        <v>0</v>
      </c>
      <c r="K127" s="22" t="n">
        <v>0</v>
      </c>
      <c r="L127" s="22" t="n">
        <v>0</v>
      </c>
      <c r="M127" s="22" t="n">
        <v>0</v>
      </c>
      <c r="N127" s="22" t="n">
        <v>0</v>
      </c>
      <c r="O127" s="22" t="n">
        <v>0</v>
      </c>
      <c r="P127" s="22" t="n">
        <v>0</v>
      </c>
      <c r="Q127" s="22" t="n">
        <v>0</v>
      </c>
      <c r="R127" s="22" t="n">
        <v>0</v>
      </c>
      <c r="S127" s="22" t="n">
        <v>0</v>
      </c>
      <c r="T127" s="22" t="n">
        <v>0</v>
      </c>
      <c r="U127" s="22" t="n">
        <v>0</v>
      </c>
      <c r="V127" s="22" t="n">
        <v>0</v>
      </c>
      <c r="W127" s="22" t="n">
        <v>0</v>
      </c>
      <c r="X127" s="22" t="n">
        <v>0</v>
      </c>
      <c r="Y127" s="22" t="n">
        <v>0</v>
      </c>
      <c r="Z127" s="22" t="n">
        <v>22</v>
      </c>
      <c r="AA127" s="14" t="str">
        <v>FUERA_ALCANCE</v>
      </c>
      <c r="AB127" s="14" t="n">
        <v>1</v>
      </c>
      <c r="AC127" s="14" t="str">
        <v>PUBLICA; H002</v>
      </c>
      <c r="AD127" s="14" t="n">
        <v>0</v>
      </c>
      <c r="AE127" s="14" t="str">
        <v>n.a.</v>
      </c>
      <c r="AF127" s="14" t="str">
        <v>n.a.</v>
      </c>
      <c r="AG127" s="14" t="str">
        <v>n.a.</v>
      </c>
      <c r="AH127" s="14" t="str">
        <v>n.a.</v>
      </c>
      <c r="AI127" s="14" t="str">
        <v>n.a.</v>
      </c>
      <c r="AJ127" s="14" t="str">
        <v>n.a.</v>
      </c>
      <c r="AK127" s="14" t="str">
        <v>n.a.</v>
      </c>
      <c r="AL127" s="14" t="str">
        <v>n.a.</v>
      </c>
      <c r="AM127" s="14" t="str">
        <v>n.a.</v>
      </c>
      <c r="AN127" s="14" t="str">
        <v>n.a.</v>
      </c>
      <c r="AO127" s="14" t="str">
        <v>n.a.</v>
      </c>
      <c r="AP127" s="14" t="str">
        <v>n.a.</v>
      </c>
      <c r="AQ127" s="14" t="str">
        <v>n.a.</v>
      </c>
      <c r="AR127" s="14" t="n">
        <v>1</v>
      </c>
      <c r="AS127" s="14" t="n">
        <v>1</v>
      </c>
      <c r="AT127" s="14" t="n">
        <v>1</v>
      </c>
      <c r="AU127" s="14" t="n">
        <v>1</v>
      </c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</row>
    <row r="128" ht="27" customHeight="1">
      <c r="A128" s="15" t="str">
        <v>I162S2C71J4V1</v>
      </c>
      <c r="B128" s="15" t="str">
        <v>DIPLOMADO SEGURIDAD EN ARQUITECTURA DE REDES</v>
      </c>
      <c r="C128" s="15" t="str">
        <v>Postítulo/otro</v>
      </c>
      <c r="D128" s="23" t="n">
        <v>2025</v>
      </c>
      <c r="E128" s="23" t="n">
        <v>2025</v>
      </c>
      <c r="F128" s="15" t="n">
        <v>1</v>
      </c>
      <c r="G128" s="24" t="n">
        <v>0</v>
      </c>
      <c r="H128" s="24" t="n">
        <v>0</v>
      </c>
      <c r="I128" s="24" t="n">
        <v>0</v>
      </c>
      <c r="J128" s="24" t="n">
        <v>0</v>
      </c>
      <c r="K128" s="24" t="n">
        <v>0</v>
      </c>
      <c r="L128" s="24" t="n">
        <v>0</v>
      </c>
      <c r="M128" s="24" t="n">
        <v>0</v>
      </c>
      <c r="N128" s="24" t="n">
        <v>0</v>
      </c>
      <c r="O128" s="24" t="n">
        <v>0</v>
      </c>
      <c r="P128" s="24" t="n">
        <v>0</v>
      </c>
      <c r="Q128" s="24" t="n">
        <v>0</v>
      </c>
      <c r="R128" s="24" t="n">
        <v>0</v>
      </c>
      <c r="S128" s="24" t="n">
        <v>0</v>
      </c>
      <c r="T128" s="24" t="n">
        <v>0</v>
      </c>
      <c r="U128" s="24" t="n">
        <v>0</v>
      </c>
      <c r="V128" s="24" t="n">
        <v>0</v>
      </c>
      <c r="W128" s="24" t="n">
        <v>0</v>
      </c>
      <c r="X128" s="24" t="n">
        <v>0</v>
      </c>
      <c r="Y128" s="24" t="n">
        <v>20</v>
      </c>
      <c r="Z128" s="24" t="n">
        <v>0</v>
      </c>
      <c r="AA128" s="15" t="str">
        <v>FUERA_ALCANCE</v>
      </c>
      <c r="AB128" s="15" t="n">
        <v>1</v>
      </c>
      <c r="AC128" s="15" t="str">
        <v>PUBLICA; H002</v>
      </c>
      <c r="AD128" s="15" t="n">
        <v>0</v>
      </c>
      <c r="AE128" s="15" t="str">
        <v>n.a.</v>
      </c>
      <c r="AF128" s="15" t="str">
        <v>n.a.</v>
      </c>
      <c r="AG128" s="15" t="str">
        <v>n.a.</v>
      </c>
      <c r="AH128" s="15" t="str">
        <v>n.a.</v>
      </c>
      <c r="AI128" s="15" t="str">
        <v>n.a.</v>
      </c>
      <c r="AJ128" s="15" t="str">
        <v>n.a.</v>
      </c>
      <c r="AK128" s="15" t="str">
        <v>n.a.</v>
      </c>
      <c r="AL128" s="15" t="str">
        <v>n.a.</v>
      </c>
      <c r="AM128" s="15" t="str">
        <v>n.a.</v>
      </c>
      <c r="AN128" s="15" t="str">
        <v>n.a.</v>
      </c>
      <c r="AO128" s="15" t="str">
        <v>n.a.</v>
      </c>
      <c r="AP128" s="15" t="str">
        <v>n.a.</v>
      </c>
      <c r="AQ128" s="15" t="str">
        <v>n.a.</v>
      </c>
      <c r="AR128" s="15" t="n">
        <v>1</v>
      </c>
      <c r="AS128" s="15" t="n">
        <v>1</v>
      </c>
      <c r="AT128" s="15" t="n">
        <v>1</v>
      </c>
      <c r="AU128" s="15" t="n">
        <v>1</v>
      </c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</row>
    <row r="129" ht="27" customHeight="1">
      <c r="A129" s="14" t="str">
        <v>I162S2C76J1V1</v>
      </c>
      <c r="B129" s="14" t="str">
        <v>INGENIERIA EN ADMINISTRACION DE EMPRESAS</v>
      </c>
      <c r="C129" s="14" t="str">
        <v>Pregrado</v>
      </c>
      <c r="D129" s="21" t="n">
        <v>2026</v>
      </c>
      <c r="E129" s="21" t="n">
        <v>2026</v>
      </c>
      <c r="F129" s="14" t="n">
        <v>1</v>
      </c>
      <c r="G129" s="22" t="n">
        <v>0</v>
      </c>
      <c r="H129" s="22" t="n">
        <v>0</v>
      </c>
      <c r="I129" s="22" t="n">
        <v>0</v>
      </c>
      <c r="J129" s="22" t="n">
        <v>0</v>
      </c>
      <c r="K129" s="22" t="n">
        <v>0</v>
      </c>
      <c r="L129" s="22" t="n">
        <v>0</v>
      </c>
      <c r="M129" s="22" t="n">
        <v>0</v>
      </c>
      <c r="N129" s="22" t="n">
        <v>0</v>
      </c>
      <c r="O129" s="22" t="n">
        <v>0</v>
      </c>
      <c r="P129" s="22" t="n">
        <v>0</v>
      </c>
      <c r="Q129" s="22" t="n">
        <v>0</v>
      </c>
      <c r="R129" s="22" t="n">
        <v>0</v>
      </c>
      <c r="S129" s="22" t="n">
        <v>0</v>
      </c>
      <c r="T129" s="22" t="n">
        <v>0</v>
      </c>
      <c r="U129" s="22" t="n">
        <v>0</v>
      </c>
      <c r="V129" s="22" t="n">
        <v>0</v>
      </c>
      <c r="W129" s="22" t="n">
        <v>0</v>
      </c>
      <c r="X129" s="22" t="n">
        <v>0</v>
      </c>
      <c r="Y129" s="22" t="n">
        <v>0</v>
      </c>
      <c r="Z129" s="22" t="n">
        <v>7</v>
      </c>
      <c r="AA129" s="14" t="str">
        <v>CONTINUA</v>
      </c>
      <c r="AB129" s="14" t="n">
        <v>1</v>
      </c>
      <c r="AC129" s="14" t="str">
        <v>PUBLICA; H002</v>
      </c>
      <c r="AD129" s="14" t="n">
        <v>0</v>
      </c>
      <c r="AE129" s="14" t="str">
        <v>n.a.</v>
      </c>
      <c r="AF129" s="14" t="str">
        <v>n.a.</v>
      </c>
      <c r="AG129" s="14" t="str">
        <v>n.a.</v>
      </c>
      <c r="AH129" s="14" t="str">
        <v>n.a.</v>
      </c>
      <c r="AI129" s="14" t="str">
        <v>n.a.</v>
      </c>
      <c r="AJ129" s="14" t="str">
        <v>n.a.</v>
      </c>
      <c r="AK129" s="14" t="str">
        <v>n.a.</v>
      </c>
      <c r="AL129" s="14" t="str">
        <v>n.a.</v>
      </c>
      <c r="AM129" s="14" t="str">
        <v>n.a.</v>
      </c>
      <c r="AN129" s="14" t="str">
        <v>n.a.</v>
      </c>
      <c r="AO129" s="14" t="str">
        <v>n.a.</v>
      </c>
      <c r="AP129" s="14" t="str">
        <v>n.a.</v>
      </c>
      <c r="AQ129" s="14" t="str">
        <v>n.a.</v>
      </c>
      <c r="AR129" s="14" t="str">
        <v>n.a.</v>
      </c>
      <c r="AS129" s="14" t="n">
        <v>1</v>
      </c>
      <c r="AT129" s="14" t="n">
        <v>1</v>
      </c>
      <c r="AU129" s="14" t="n">
        <v>1</v>
      </c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</row>
    <row r="130" ht="27" customHeight="1">
      <c r="A130" s="15" t="str">
        <v>I162S2C76J2V1</v>
      </c>
      <c r="B130" s="15" t="str">
        <v>INGENIERIA EN ADMINISTRACION DE EMPRESAS</v>
      </c>
      <c r="C130" s="15" t="str">
        <v>Pregrado</v>
      </c>
      <c r="D130" s="23" t="n">
        <v>2024</v>
      </c>
      <c r="E130" s="23" t="n">
        <v>2026</v>
      </c>
      <c r="F130" s="15" t="n">
        <v>3</v>
      </c>
      <c r="G130" s="24" t="n">
        <v>0</v>
      </c>
      <c r="H130" s="24" t="n">
        <v>0</v>
      </c>
      <c r="I130" s="24" t="n">
        <v>0</v>
      </c>
      <c r="J130" s="24" t="n">
        <v>0</v>
      </c>
      <c r="K130" s="24" t="n">
        <v>0</v>
      </c>
      <c r="L130" s="24" t="n">
        <v>0</v>
      </c>
      <c r="M130" s="24" t="n">
        <v>0</v>
      </c>
      <c r="N130" s="24" t="n">
        <v>0</v>
      </c>
      <c r="O130" s="24" t="n">
        <v>0</v>
      </c>
      <c r="P130" s="24" t="n">
        <v>0</v>
      </c>
      <c r="Q130" s="24" t="n">
        <v>0</v>
      </c>
      <c r="R130" s="24" t="n">
        <v>0</v>
      </c>
      <c r="S130" s="24" t="n">
        <v>0</v>
      </c>
      <c r="T130" s="24" t="n">
        <v>0</v>
      </c>
      <c r="U130" s="24" t="n">
        <v>0</v>
      </c>
      <c r="V130" s="24" t="n">
        <v>0</v>
      </c>
      <c r="W130" s="24" t="n">
        <v>0</v>
      </c>
      <c r="X130" s="24" t="n">
        <v>1</v>
      </c>
      <c r="Y130" s="24" t="n">
        <v>22</v>
      </c>
      <c r="Z130" s="24" t="n">
        <v>25</v>
      </c>
      <c r="AA130" s="15" t="str">
        <v>CONTINUA</v>
      </c>
      <c r="AB130" s="15" t="n">
        <v>1</v>
      </c>
      <c r="AC130" s="15" t="str">
        <v>PUBLICA; H002</v>
      </c>
      <c r="AD130" s="15" t="n">
        <v>0</v>
      </c>
      <c r="AE130" s="15" t="str">
        <v>n.a.</v>
      </c>
      <c r="AF130" s="15" t="str">
        <v>n.a.</v>
      </c>
      <c r="AG130" s="15" t="str">
        <v>n.a.</v>
      </c>
      <c r="AH130" s="15" t="str">
        <v>n.a.</v>
      </c>
      <c r="AI130" s="15" t="str">
        <v>n.a.</v>
      </c>
      <c r="AJ130" s="15" t="str">
        <v>n.a.</v>
      </c>
      <c r="AK130" s="15" t="str">
        <v>n.a.</v>
      </c>
      <c r="AL130" s="15" t="str">
        <v>n.a.</v>
      </c>
      <c r="AM130" s="15" t="str">
        <v>n.a.</v>
      </c>
      <c r="AN130" s="15" t="str">
        <v>n.a.</v>
      </c>
      <c r="AO130" s="15" t="str">
        <v>n.a.</v>
      </c>
      <c r="AP130" s="15" t="str">
        <v>n.a.</v>
      </c>
      <c r="AQ130" s="15" t="str">
        <v>n.a.</v>
      </c>
      <c r="AR130" s="15" t="str">
        <v>n.a.</v>
      </c>
      <c r="AS130" s="15" t="n">
        <v>1</v>
      </c>
      <c r="AT130" s="15" t="n">
        <v>1</v>
      </c>
      <c r="AU130" s="15" t="n">
        <v>1</v>
      </c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</row>
    <row r="131" ht="27" customHeight="1">
      <c r="A131" s="14" t="str">
        <v>I162S2C76J4V1</v>
      </c>
      <c r="B131" s="14" t="str">
        <v>INGENIERIA EN ADMINISTRACION DE EMPRESAS</v>
      </c>
      <c r="C131" s="14" t="str">
        <v>Pregrado</v>
      </c>
      <c r="D131" s="21" t="n">
        <v>2024</v>
      </c>
      <c r="E131" s="21" t="n">
        <v>2026</v>
      </c>
      <c r="F131" s="14" t="n">
        <v>3</v>
      </c>
      <c r="G131" s="22" t="n">
        <v>0</v>
      </c>
      <c r="H131" s="22" t="n">
        <v>0</v>
      </c>
      <c r="I131" s="22" t="n">
        <v>0</v>
      </c>
      <c r="J131" s="22" t="n">
        <v>0</v>
      </c>
      <c r="K131" s="22" t="n">
        <v>0</v>
      </c>
      <c r="L131" s="22" t="n">
        <v>0</v>
      </c>
      <c r="M131" s="22" t="n">
        <v>0</v>
      </c>
      <c r="N131" s="22" t="n">
        <v>0</v>
      </c>
      <c r="O131" s="22" t="n">
        <v>0</v>
      </c>
      <c r="P131" s="22" t="n">
        <v>0</v>
      </c>
      <c r="Q131" s="22" t="n">
        <v>0</v>
      </c>
      <c r="R131" s="22" t="n">
        <v>0</v>
      </c>
      <c r="S131" s="22" t="n">
        <v>0</v>
      </c>
      <c r="T131" s="22" t="n">
        <v>0</v>
      </c>
      <c r="U131" s="22" t="n">
        <v>0</v>
      </c>
      <c r="V131" s="22" t="n">
        <v>0</v>
      </c>
      <c r="W131" s="22" t="n">
        <v>0</v>
      </c>
      <c r="X131" s="22" t="n">
        <v>7</v>
      </c>
      <c r="Y131" s="22" t="n">
        <v>84</v>
      </c>
      <c r="Z131" s="22" t="n">
        <v>132</v>
      </c>
      <c r="AA131" s="14" t="str">
        <v>VERSION_MULTIPLE_RESUELTA</v>
      </c>
      <c r="AB131" s="14" t="n">
        <v>1</v>
      </c>
      <c r="AC131" s="14" t="str">
        <v>PUBLICA; H002</v>
      </c>
      <c r="AD131" s="14" t="n">
        <v>0</v>
      </c>
      <c r="AE131" s="14" t="str">
        <v>n.a.</v>
      </c>
      <c r="AF131" s="14" t="str">
        <v>n.a.</v>
      </c>
      <c r="AG131" s="14" t="str">
        <v>n.a.</v>
      </c>
      <c r="AH131" s="14" t="str">
        <v>n.a.</v>
      </c>
      <c r="AI131" s="14" t="str">
        <v>n.a.</v>
      </c>
      <c r="AJ131" s="14" t="str">
        <v>n.a.</v>
      </c>
      <c r="AK131" s="14" t="str">
        <v>n.a.</v>
      </c>
      <c r="AL131" s="14" t="str">
        <v>n.a.</v>
      </c>
      <c r="AM131" s="14" t="str">
        <v>n.a.</v>
      </c>
      <c r="AN131" s="14" t="str">
        <v>n.a.</v>
      </c>
      <c r="AO131" s="14" t="str">
        <v>n.a.</v>
      </c>
      <c r="AP131" s="14" t="str">
        <v>n.a.</v>
      </c>
      <c r="AQ131" s="14" t="str">
        <v>n.a.</v>
      </c>
      <c r="AR131" s="14" t="str">
        <v>n.a.</v>
      </c>
      <c r="AS131" s="14" t="n">
        <v>1</v>
      </c>
      <c r="AT131" s="14" t="n">
        <v>1</v>
      </c>
      <c r="AU131" s="14" t="n">
        <v>1</v>
      </c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</row>
    <row r="132" ht="27" customHeight="1">
      <c r="A132" s="15" t="str">
        <v>I162S2C76J4V2</v>
      </c>
      <c r="B132" s="15" t="str">
        <v>INGENIERIA EN ADMINISTRACION DE EMPRESAS</v>
      </c>
      <c r="C132" s="15" t="str">
        <v>Pregrado</v>
      </c>
      <c r="D132" s="23" t="n">
        <v>2025</v>
      </c>
      <c r="E132" s="23" t="n">
        <v>2026</v>
      </c>
      <c r="F132" s="15" t="n">
        <v>2</v>
      </c>
      <c r="G132" s="24" t="n">
        <v>0</v>
      </c>
      <c r="H132" s="24" t="n">
        <v>0</v>
      </c>
      <c r="I132" s="24" t="n">
        <v>0</v>
      </c>
      <c r="J132" s="24" t="n">
        <v>0</v>
      </c>
      <c r="K132" s="24" t="n">
        <v>0</v>
      </c>
      <c r="L132" s="24" t="n">
        <v>0</v>
      </c>
      <c r="M132" s="24" t="n">
        <v>0</v>
      </c>
      <c r="N132" s="24" t="n">
        <v>0</v>
      </c>
      <c r="O132" s="24" t="n">
        <v>0</v>
      </c>
      <c r="P132" s="24" t="n">
        <v>0</v>
      </c>
      <c r="Q132" s="24" t="n">
        <v>0</v>
      </c>
      <c r="R132" s="24" t="n">
        <v>0</v>
      </c>
      <c r="S132" s="24" t="n">
        <v>0</v>
      </c>
      <c r="T132" s="24" t="n">
        <v>0</v>
      </c>
      <c r="U132" s="24" t="n">
        <v>0</v>
      </c>
      <c r="V132" s="24" t="n">
        <v>0</v>
      </c>
      <c r="W132" s="24" t="n">
        <v>0</v>
      </c>
      <c r="X132" s="24" t="n">
        <v>0</v>
      </c>
      <c r="Y132" s="24" t="n">
        <v>17</v>
      </c>
      <c r="Z132" s="24" t="n">
        <v>21</v>
      </c>
      <c r="AA132" s="15" t="str">
        <v>APROBADA_D_2027</v>
      </c>
      <c r="AB132" s="15" t="n">
        <v>1</v>
      </c>
      <c r="AC132" s="15" t="str">
        <v>PUBLICA; H002</v>
      </c>
      <c r="AD132" s="15" t="n">
        <v>0</v>
      </c>
      <c r="AE132" s="15" t="str">
        <v>n.a.</v>
      </c>
      <c r="AF132" s="15" t="str">
        <v>n.a.</v>
      </c>
      <c r="AG132" s="15" t="str">
        <v>n.a.</v>
      </c>
      <c r="AH132" s="15" t="str">
        <v>n.a.</v>
      </c>
      <c r="AI132" s="15" t="str">
        <v>n.a.</v>
      </c>
      <c r="AJ132" s="15" t="str">
        <v>n.a.</v>
      </c>
      <c r="AK132" s="15" t="str">
        <v>n.a.</v>
      </c>
      <c r="AL132" s="15" t="str">
        <v>n.a.</v>
      </c>
      <c r="AM132" s="15" t="str">
        <v>n.a.</v>
      </c>
      <c r="AN132" s="15" t="str">
        <v>n.a.</v>
      </c>
      <c r="AO132" s="15" t="str">
        <v>n.a.</v>
      </c>
      <c r="AP132" s="15" t="str">
        <v>n.a.</v>
      </c>
      <c r="AQ132" s="15" t="str">
        <v>n.a.</v>
      </c>
      <c r="AR132" s="15" t="str">
        <v>n.a.</v>
      </c>
      <c r="AS132" s="15" t="str">
        <v>n.a.</v>
      </c>
      <c r="AT132" s="15" t="n">
        <v>1</v>
      </c>
      <c r="AU132" s="15" t="n">
        <v>2</v>
      </c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</row>
    <row r="133" ht="27" customHeight="1">
      <c r="A133" s="14" t="str">
        <v>I162S2C77J1V1</v>
      </c>
      <c r="B133" s="14" t="str">
        <v>INGENIERIA EN LOGISTICA</v>
      </c>
      <c r="C133" s="14" t="str">
        <v>Pregrado</v>
      </c>
      <c r="D133" s="21" t="n">
        <v>2026</v>
      </c>
      <c r="E133" s="21" t="n">
        <v>2026</v>
      </c>
      <c r="F133" s="14" t="n">
        <v>1</v>
      </c>
      <c r="G133" s="22" t="n">
        <v>0</v>
      </c>
      <c r="H133" s="22" t="n">
        <v>0</v>
      </c>
      <c r="I133" s="22" t="n">
        <v>0</v>
      </c>
      <c r="J133" s="22" t="n">
        <v>0</v>
      </c>
      <c r="K133" s="22" t="n">
        <v>0</v>
      </c>
      <c r="L133" s="22" t="n">
        <v>0</v>
      </c>
      <c r="M133" s="22" t="n">
        <v>0</v>
      </c>
      <c r="N133" s="22" t="n">
        <v>0</v>
      </c>
      <c r="O133" s="22" t="n">
        <v>0</v>
      </c>
      <c r="P133" s="22" t="n">
        <v>0</v>
      </c>
      <c r="Q133" s="22" t="n">
        <v>0</v>
      </c>
      <c r="R133" s="22" t="n">
        <v>0</v>
      </c>
      <c r="S133" s="22" t="n">
        <v>0</v>
      </c>
      <c r="T133" s="22" t="n">
        <v>0</v>
      </c>
      <c r="U133" s="22" t="n">
        <v>0</v>
      </c>
      <c r="V133" s="22" t="n">
        <v>0</v>
      </c>
      <c r="W133" s="22" t="n">
        <v>0</v>
      </c>
      <c r="X133" s="22" t="n">
        <v>0</v>
      </c>
      <c r="Y133" s="22" t="n">
        <v>0</v>
      </c>
      <c r="Z133" s="22" t="n">
        <v>1</v>
      </c>
      <c r="AA133" s="14" t="str">
        <v>CONTINUA</v>
      </c>
      <c r="AB133" s="14" t="n">
        <v>1</v>
      </c>
      <c r="AC133" s="14" t="str">
        <v>PUBLICA; H002</v>
      </c>
      <c r="AD133" s="14" t="n">
        <v>0</v>
      </c>
      <c r="AE133" s="14" t="str">
        <v>n.a.</v>
      </c>
      <c r="AF133" s="14" t="str">
        <v>n.a.</v>
      </c>
      <c r="AG133" s="14" t="str">
        <v>n.a.</v>
      </c>
      <c r="AH133" s="14" t="str">
        <v>n.a.</v>
      </c>
      <c r="AI133" s="14" t="str">
        <v>n.a.</v>
      </c>
      <c r="AJ133" s="14" t="str">
        <v>n.a.</v>
      </c>
      <c r="AK133" s="14" t="str">
        <v>n.a.</v>
      </c>
      <c r="AL133" s="14" t="str">
        <v>n.a.</v>
      </c>
      <c r="AM133" s="14" t="str">
        <v>n.a.</v>
      </c>
      <c r="AN133" s="14" t="str">
        <v>n.a.</v>
      </c>
      <c r="AO133" s="14" t="str">
        <v>n.a.</v>
      </c>
      <c r="AP133" s="14" t="str">
        <v>n.a.</v>
      </c>
      <c r="AQ133" s="14" t="str">
        <v>n.a.</v>
      </c>
      <c r="AR133" s="14" t="str">
        <v>n.a.</v>
      </c>
      <c r="AS133" s="14" t="n">
        <v>1</v>
      </c>
      <c r="AT133" s="14" t="n">
        <v>1</v>
      </c>
      <c r="AU133" s="14" t="n">
        <v>1</v>
      </c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</row>
    <row r="134" ht="27" customHeight="1">
      <c r="A134" s="15" t="str">
        <v>I162S2C77J2V1</v>
      </c>
      <c r="B134" s="15" t="str">
        <v>INGENIERIA EN LOGISTICA</v>
      </c>
      <c r="C134" s="15" t="str">
        <v>Pregrado</v>
      </c>
      <c r="D134" s="23" t="n">
        <v>2024</v>
      </c>
      <c r="E134" s="23" t="n">
        <v>2026</v>
      </c>
      <c r="F134" s="15" t="n">
        <v>3</v>
      </c>
      <c r="G134" s="24" t="n">
        <v>0</v>
      </c>
      <c r="H134" s="24" t="n">
        <v>0</v>
      </c>
      <c r="I134" s="24" t="n">
        <v>0</v>
      </c>
      <c r="J134" s="24" t="n">
        <v>0</v>
      </c>
      <c r="K134" s="24" t="n">
        <v>0</v>
      </c>
      <c r="L134" s="24" t="n">
        <v>0</v>
      </c>
      <c r="M134" s="24" t="n">
        <v>0</v>
      </c>
      <c r="N134" s="24" t="n">
        <v>0</v>
      </c>
      <c r="O134" s="24" t="n">
        <v>0</v>
      </c>
      <c r="P134" s="24" t="n">
        <v>0</v>
      </c>
      <c r="Q134" s="24" t="n">
        <v>0</v>
      </c>
      <c r="R134" s="24" t="n">
        <v>0</v>
      </c>
      <c r="S134" s="24" t="n">
        <v>0</v>
      </c>
      <c r="T134" s="24" t="n">
        <v>0</v>
      </c>
      <c r="U134" s="24" t="n">
        <v>0</v>
      </c>
      <c r="V134" s="24" t="n">
        <v>0</v>
      </c>
      <c r="W134" s="24" t="n">
        <v>0</v>
      </c>
      <c r="X134" s="24" t="n">
        <v>7</v>
      </c>
      <c r="Y134" s="24" t="n">
        <v>15</v>
      </c>
      <c r="Z134" s="24" t="n">
        <v>20</v>
      </c>
      <c r="AA134" s="15" t="str">
        <v>CONTINUA</v>
      </c>
      <c r="AB134" s="15" t="n">
        <v>1</v>
      </c>
      <c r="AC134" s="15" t="str">
        <v>PUBLICA; H002</v>
      </c>
      <c r="AD134" s="15" t="n">
        <v>0</v>
      </c>
      <c r="AE134" s="15" t="str">
        <v>n.a.</v>
      </c>
      <c r="AF134" s="15" t="str">
        <v>n.a.</v>
      </c>
      <c r="AG134" s="15" t="str">
        <v>n.a.</v>
      </c>
      <c r="AH134" s="15" t="str">
        <v>n.a.</v>
      </c>
      <c r="AI134" s="15" t="str">
        <v>n.a.</v>
      </c>
      <c r="AJ134" s="15" t="str">
        <v>n.a.</v>
      </c>
      <c r="AK134" s="15" t="str">
        <v>n.a.</v>
      </c>
      <c r="AL134" s="15" t="str">
        <v>n.a.</v>
      </c>
      <c r="AM134" s="15" t="str">
        <v>n.a.</v>
      </c>
      <c r="AN134" s="15" t="str">
        <v>n.a.</v>
      </c>
      <c r="AO134" s="15" t="str">
        <v>n.a.</v>
      </c>
      <c r="AP134" s="15" t="str">
        <v>n.a.</v>
      </c>
      <c r="AQ134" s="15" t="str">
        <v>n.a.</v>
      </c>
      <c r="AR134" s="15" t="str">
        <v>n.a.</v>
      </c>
      <c r="AS134" s="15" t="n">
        <v>1</v>
      </c>
      <c r="AT134" s="15" t="n">
        <v>1</v>
      </c>
      <c r="AU134" s="15" t="n">
        <v>1</v>
      </c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</row>
    <row r="135" ht="27" customHeight="1">
      <c r="A135" s="14" t="str">
        <v>I162S2C77J4V1</v>
      </c>
      <c r="B135" s="14" t="str">
        <v>INGENIERIA EN LOGISTICA</v>
      </c>
      <c r="C135" s="14" t="str">
        <v>Pregrado</v>
      </c>
      <c r="D135" s="21" t="n">
        <v>2024</v>
      </c>
      <c r="E135" s="21" t="n">
        <v>2026</v>
      </c>
      <c r="F135" s="14" t="n">
        <v>3</v>
      </c>
      <c r="G135" s="22" t="n">
        <v>0</v>
      </c>
      <c r="H135" s="22" t="n">
        <v>0</v>
      </c>
      <c r="I135" s="22" t="n">
        <v>0</v>
      </c>
      <c r="J135" s="22" t="n">
        <v>0</v>
      </c>
      <c r="K135" s="22" t="n">
        <v>0</v>
      </c>
      <c r="L135" s="22" t="n">
        <v>0</v>
      </c>
      <c r="M135" s="22" t="n">
        <v>0</v>
      </c>
      <c r="N135" s="22" t="n">
        <v>0</v>
      </c>
      <c r="O135" s="22" t="n">
        <v>0</v>
      </c>
      <c r="P135" s="22" t="n">
        <v>0</v>
      </c>
      <c r="Q135" s="22" t="n">
        <v>0</v>
      </c>
      <c r="R135" s="22" t="n">
        <v>0</v>
      </c>
      <c r="S135" s="22" t="n">
        <v>0</v>
      </c>
      <c r="T135" s="22" t="n">
        <v>0</v>
      </c>
      <c r="U135" s="22" t="n">
        <v>0</v>
      </c>
      <c r="V135" s="22" t="n">
        <v>0</v>
      </c>
      <c r="W135" s="22" t="n">
        <v>0</v>
      </c>
      <c r="X135" s="22" t="n">
        <v>9</v>
      </c>
      <c r="Y135" s="22" t="n">
        <v>62</v>
      </c>
      <c r="Z135" s="22" t="n">
        <v>98</v>
      </c>
      <c r="AA135" s="14" t="str">
        <v>VERSION_MULTIPLE_RESUELTA</v>
      </c>
      <c r="AB135" s="14" t="n">
        <v>1</v>
      </c>
      <c r="AC135" s="14" t="str">
        <v>PUBLICA; H002</v>
      </c>
      <c r="AD135" s="14" t="n">
        <v>0</v>
      </c>
      <c r="AE135" s="14" t="str">
        <v>n.a.</v>
      </c>
      <c r="AF135" s="14" t="str">
        <v>n.a.</v>
      </c>
      <c r="AG135" s="14" t="str">
        <v>n.a.</v>
      </c>
      <c r="AH135" s="14" t="str">
        <v>n.a.</v>
      </c>
      <c r="AI135" s="14" t="str">
        <v>n.a.</v>
      </c>
      <c r="AJ135" s="14" t="str">
        <v>n.a.</v>
      </c>
      <c r="AK135" s="14" t="str">
        <v>n.a.</v>
      </c>
      <c r="AL135" s="14" t="str">
        <v>n.a.</v>
      </c>
      <c r="AM135" s="14" t="str">
        <v>n.a.</v>
      </c>
      <c r="AN135" s="14" t="str">
        <v>n.a.</v>
      </c>
      <c r="AO135" s="14" t="str">
        <v>n.a.</v>
      </c>
      <c r="AP135" s="14" t="str">
        <v>n.a.</v>
      </c>
      <c r="AQ135" s="14" t="str">
        <v>n.a.</v>
      </c>
      <c r="AR135" s="14" t="str">
        <v>n.a.</v>
      </c>
      <c r="AS135" s="14" t="n">
        <v>1</v>
      </c>
      <c r="AT135" s="14" t="n">
        <v>1</v>
      </c>
      <c r="AU135" s="14" t="n">
        <v>1</v>
      </c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</row>
    <row r="136" ht="27" customHeight="1">
      <c r="A136" s="15" t="str">
        <v>I162S2C77J4V2</v>
      </c>
      <c r="B136" s="15" t="str">
        <v>INGENIERIA EN LOGISTICA</v>
      </c>
      <c r="C136" s="15" t="str">
        <v>Pregrado</v>
      </c>
      <c r="D136" s="23" t="n">
        <v>2025</v>
      </c>
      <c r="E136" s="23" t="n">
        <v>2026</v>
      </c>
      <c r="F136" s="15" t="n">
        <v>2</v>
      </c>
      <c r="G136" s="24" t="n">
        <v>0</v>
      </c>
      <c r="H136" s="24" t="n">
        <v>0</v>
      </c>
      <c r="I136" s="24" t="n">
        <v>0</v>
      </c>
      <c r="J136" s="24" t="n">
        <v>0</v>
      </c>
      <c r="K136" s="24" t="n">
        <v>0</v>
      </c>
      <c r="L136" s="24" t="n">
        <v>0</v>
      </c>
      <c r="M136" s="24" t="n">
        <v>0</v>
      </c>
      <c r="N136" s="24" t="n">
        <v>0</v>
      </c>
      <c r="O136" s="24" t="n">
        <v>0</v>
      </c>
      <c r="P136" s="24" t="n">
        <v>0</v>
      </c>
      <c r="Q136" s="24" t="n">
        <v>0</v>
      </c>
      <c r="R136" s="24" t="n">
        <v>0</v>
      </c>
      <c r="S136" s="24" t="n">
        <v>0</v>
      </c>
      <c r="T136" s="24" t="n">
        <v>0</v>
      </c>
      <c r="U136" s="24" t="n">
        <v>0</v>
      </c>
      <c r="V136" s="24" t="n">
        <v>0</v>
      </c>
      <c r="W136" s="24" t="n">
        <v>0</v>
      </c>
      <c r="X136" s="24" t="n">
        <v>0</v>
      </c>
      <c r="Y136" s="24" t="n">
        <v>14</v>
      </c>
      <c r="Z136" s="24" t="n">
        <v>32</v>
      </c>
      <c r="AA136" s="15" t="str">
        <v>VERSION_MULTIPLE_RESUELTA</v>
      </c>
      <c r="AB136" s="15" t="n">
        <v>1</v>
      </c>
      <c r="AC136" s="15" t="str">
        <v>PUBLICA; H002</v>
      </c>
      <c r="AD136" s="15" t="n">
        <v>0</v>
      </c>
      <c r="AE136" s="15" t="str">
        <v>n.a.</v>
      </c>
      <c r="AF136" s="15" t="str">
        <v>n.a.</v>
      </c>
      <c r="AG136" s="15" t="str">
        <v>n.a.</v>
      </c>
      <c r="AH136" s="15" t="str">
        <v>n.a.</v>
      </c>
      <c r="AI136" s="15" t="str">
        <v>n.a.</v>
      </c>
      <c r="AJ136" s="15" t="str">
        <v>n.a.</v>
      </c>
      <c r="AK136" s="15" t="str">
        <v>n.a.</v>
      </c>
      <c r="AL136" s="15" t="str">
        <v>n.a.</v>
      </c>
      <c r="AM136" s="15" t="str">
        <v>n.a.</v>
      </c>
      <c r="AN136" s="15" t="str">
        <v>n.a.</v>
      </c>
      <c r="AO136" s="15" t="str">
        <v>n.a.</v>
      </c>
      <c r="AP136" s="15" t="str">
        <v>n.a.</v>
      </c>
      <c r="AQ136" s="15" t="str">
        <v>n.a.</v>
      </c>
      <c r="AR136" s="15" t="str">
        <v>n.a.</v>
      </c>
      <c r="AS136" s="15" t="str">
        <v>n.a.</v>
      </c>
      <c r="AT136" s="15" t="n">
        <v>1</v>
      </c>
      <c r="AU136" s="15" t="n">
        <v>2</v>
      </c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</row>
    <row r="137" ht="27" customHeight="1">
      <c r="A137" s="14" t="str">
        <v>I162S2C78J1V1</v>
      </c>
      <c r="B137" s="14" t="str">
        <v>TECNICO EN ADMINISTRACION DE EMPRESAS</v>
      </c>
      <c r="C137" s="14" t="str">
        <v>Pregrado</v>
      </c>
      <c r="D137" s="21" t="n">
        <v>2026</v>
      </c>
      <c r="E137" s="21" t="n">
        <v>2026</v>
      </c>
      <c r="F137" s="14" t="n">
        <v>1</v>
      </c>
      <c r="G137" s="22" t="n">
        <v>0</v>
      </c>
      <c r="H137" s="22" t="n">
        <v>0</v>
      </c>
      <c r="I137" s="22" t="n">
        <v>0</v>
      </c>
      <c r="J137" s="22" t="n">
        <v>0</v>
      </c>
      <c r="K137" s="22" t="n">
        <v>0</v>
      </c>
      <c r="L137" s="22" t="n">
        <v>0</v>
      </c>
      <c r="M137" s="22" t="n">
        <v>0</v>
      </c>
      <c r="N137" s="22" t="n">
        <v>0</v>
      </c>
      <c r="O137" s="22" t="n">
        <v>0</v>
      </c>
      <c r="P137" s="22" t="n">
        <v>0</v>
      </c>
      <c r="Q137" s="22" t="n">
        <v>0</v>
      </c>
      <c r="R137" s="22" t="n">
        <v>0</v>
      </c>
      <c r="S137" s="22" t="n">
        <v>0</v>
      </c>
      <c r="T137" s="22" t="n">
        <v>0</v>
      </c>
      <c r="U137" s="22" t="n">
        <v>0</v>
      </c>
      <c r="V137" s="22" t="n">
        <v>0</v>
      </c>
      <c r="W137" s="22" t="n">
        <v>0</v>
      </c>
      <c r="X137" s="22" t="n">
        <v>0</v>
      </c>
      <c r="Y137" s="22" t="n">
        <v>0</v>
      </c>
      <c r="Z137" s="22" t="n">
        <v>10</v>
      </c>
      <c r="AA137" s="14" t="str">
        <v>CONTINUA</v>
      </c>
      <c r="AB137" s="14" t="n">
        <v>1</v>
      </c>
      <c r="AC137" s="14" t="str">
        <v>PUBLICA; H002</v>
      </c>
      <c r="AD137" s="14" t="n">
        <v>0</v>
      </c>
      <c r="AE137" s="14" t="str">
        <v>n.a.</v>
      </c>
      <c r="AF137" s="14" t="str">
        <v>n.a.</v>
      </c>
      <c r="AG137" s="14" t="str">
        <v>n.a.</v>
      </c>
      <c r="AH137" s="14" t="str">
        <v>n.a.</v>
      </c>
      <c r="AI137" s="14" t="str">
        <v>n.a.</v>
      </c>
      <c r="AJ137" s="14" t="str">
        <v>n.a.</v>
      </c>
      <c r="AK137" s="14" t="str">
        <v>n.a.</v>
      </c>
      <c r="AL137" s="14" t="str">
        <v>n.a.</v>
      </c>
      <c r="AM137" s="14" t="str">
        <v>n.a.</v>
      </c>
      <c r="AN137" s="14" t="str">
        <v>n.a.</v>
      </c>
      <c r="AO137" s="14" t="str">
        <v>n.a.</v>
      </c>
      <c r="AP137" s="14" t="str">
        <v>n.a.</v>
      </c>
      <c r="AQ137" s="14" t="str">
        <v>n.a.</v>
      </c>
      <c r="AR137" s="14" t="str">
        <v>n.a.</v>
      </c>
      <c r="AS137" s="14" t="n">
        <v>1</v>
      </c>
      <c r="AT137" s="14" t="n">
        <v>1</v>
      </c>
      <c r="AU137" s="14" t="n">
        <v>1</v>
      </c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</row>
    <row r="138" ht="27" customHeight="1">
      <c r="A138" s="15" t="str">
        <v>I162S2C78J2V1</v>
      </c>
      <c r="B138" s="15" t="str">
        <v>TECNICO EN ADMINISTRACION DE EMPRESAS</v>
      </c>
      <c r="C138" s="15" t="str">
        <v>Pregrado</v>
      </c>
      <c r="D138" s="23" t="n">
        <v>2024</v>
      </c>
      <c r="E138" s="23" t="n">
        <v>2026</v>
      </c>
      <c r="F138" s="15" t="n">
        <v>3</v>
      </c>
      <c r="G138" s="24" t="n">
        <v>0</v>
      </c>
      <c r="H138" s="24" t="n">
        <v>0</v>
      </c>
      <c r="I138" s="24" t="n">
        <v>0</v>
      </c>
      <c r="J138" s="24" t="n">
        <v>0</v>
      </c>
      <c r="K138" s="24" t="n">
        <v>0</v>
      </c>
      <c r="L138" s="24" t="n">
        <v>0</v>
      </c>
      <c r="M138" s="24" t="n">
        <v>0</v>
      </c>
      <c r="N138" s="24" t="n">
        <v>0</v>
      </c>
      <c r="O138" s="24" t="n">
        <v>0</v>
      </c>
      <c r="P138" s="24" t="n">
        <v>0</v>
      </c>
      <c r="Q138" s="24" t="n">
        <v>0</v>
      </c>
      <c r="R138" s="24" t="n">
        <v>0</v>
      </c>
      <c r="S138" s="24" t="n">
        <v>0</v>
      </c>
      <c r="T138" s="24" t="n">
        <v>0</v>
      </c>
      <c r="U138" s="24" t="n">
        <v>0</v>
      </c>
      <c r="V138" s="24" t="n">
        <v>0</v>
      </c>
      <c r="W138" s="24" t="n">
        <v>0</v>
      </c>
      <c r="X138" s="24" t="n">
        <v>7</v>
      </c>
      <c r="Y138" s="24" t="n">
        <v>11</v>
      </c>
      <c r="Z138" s="24" t="n">
        <v>36</v>
      </c>
      <c r="AA138" s="15" t="str">
        <v>APROBADA_D_2027</v>
      </c>
      <c r="AB138" s="15" t="n">
        <v>1</v>
      </c>
      <c r="AC138" s="15" t="str">
        <v>PUBLICA; H002</v>
      </c>
      <c r="AD138" s="15" t="n">
        <v>0</v>
      </c>
      <c r="AE138" s="15" t="str">
        <v>n.a.</v>
      </c>
      <c r="AF138" s="15" t="str">
        <v>n.a.</v>
      </c>
      <c r="AG138" s="15" t="str">
        <v>n.a.</v>
      </c>
      <c r="AH138" s="15" t="str">
        <v>n.a.</v>
      </c>
      <c r="AI138" s="15" t="str">
        <v>n.a.</v>
      </c>
      <c r="AJ138" s="15" t="str">
        <v>n.a.</v>
      </c>
      <c r="AK138" s="15" t="str">
        <v>n.a.</v>
      </c>
      <c r="AL138" s="15" t="str">
        <v>n.a.</v>
      </c>
      <c r="AM138" s="15" t="str">
        <v>n.a.</v>
      </c>
      <c r="AN138" s="15" t="str">
        <v>n.a.</v>
      </c>
      <c r="AO138" s="15" t="str">
        <v>n.a.</v>
      </c>
      <c r="AP138" s="15" t="str">
        <v>n.a.</v>
      </c>
      <c r="AQ138" s="15" t="str">
        <v>n.a.</v>
      </c>
      <c r="AR138" s="15" t="str">
        <v>n.a.</v>
      </c>
      <c r="AS138" s="15" t="n">
        <v>1</v>
      </c>
      <c r="AT138" s="15" t="n">
        <v>1</v>
      </c>
      <c r="AU138" s="15" t="n">
        <v>1</v>
      </c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</row>
    <row r="139" ht="27" customHeight="1">
      <c r="A139" s="14" t="str">
        <v>I162S2C78J2V2</v>
      </c>
      <c r="B139" s="14" t="str">
        <v>TECNICO EN ADMINISTRACION DE EMPRESAS</v>
      </c>
      <c r="C139" s="14" t="str">
        <v>Pregrado</v>
      </c>
      <c r="D139" s="21" t="str">
        <v>n.a.</v>
      </c>
      <c r="E139" s="21" t="str">
        <v>n.a.</v>
      </c>
      <c r="F139" s="14" t="n">
        <v>0</v>
      </c>
      <c r="G139" s="22" t="n">
        <v>0</v>
      </c>
      <c r="H139" s="22" t="n">
        <v>0</v>
      </c>
      <c r="I139" s="22" t="n">
        <v>0</v>
      </c>
      <c r="J139" s="22" t="n">
        <v>0</v>
      </c>
      <c r="K139" s="22" t="n">
        <v>0</v>
      </c>
      <c r="L139" s="22" t="n">
        <v>0</v>
      </c>
      <c r="M139" s="22" t="n">
        <v>0</v>
      </c>
      <c r="N139" s="22" t="n">
        <v>0</v>
      </c>
      <c r="O139" s="22" t="n">
        <v>0</v>
      </c>
      <c r="P139" s="22" t="n">
        <v>0</v>
      </c>
      <c r="Q139" s="22" t="n">
        <v>0</v>
      </c>
      <c r="R139" s="22" t="n">
        <v>0</v>
      </c>
      <c r="S139" s="22" t="n">
        <v>0</v>
      </c>
      <c r="T139" s="22" t="n">
        <v>0</v>
      </c>
      <c r="U139" s="22" t="n">
        <v>0</v>
      </c>
      <c r="V139" s="22" t="n">
        <v>0</v>
      </c>
      <c r="W139" s="22" t="n">
        <v>0</v>
      </c>
      <c r="X139" s="22" t="n">
        <v>0</v>
      </c>
      <c r="Y139" s="22" t="n">
        <v>0</v>
      </c>
      <c r="Z139" s="22" t="n">
        <v>0</v>
      </c>
      <c r="AA139" s="14" t="str">
        <v>NUEVO_2027_SIN_PLAN_E</v>
      </c>
      <c r="AB139" s="14" t="n">
        <v>0</v>
      </c>
      <c r="AC139" s="14" t="str">
        <v>PUBLICA; H002</v>
      </c>
      <c r="AD139" s="14" t="n">
        <v>0</v>
      </c>
      <c r="AE139" s="14" t="str">
        <v>n.a.</v>
      </c>
      <c r="AF139" s="14" t="str">
        <v>n.a.</v>
      </c>
      <c r="AG139" s="14" t="str">
        <v>n.a.</v>
      </c>
      <c r="AH139" s="14" t="str">
        <v>n.a.</v>
      </c>
      <c r="AI139" s="14" t="str">
        <v>n.a.</v>
      </c>
      <c r="AJ139" s="14" t="str">
        <v>n.a.</v>
      </c>
      <c r="AK139" s="14" t="str">
        <v>n.a.</v>
      </c>
      <c r="AL139" s="14" t="str">
        <v>n.a.</v>
      </c>
      <c r="AM139" s="14" t="str">
        <v>n.a.</v>
      </c>
      <c r="AN139" s="14" t="str">
        <v>n.a.</v>
      </c>
      <c r="AO139" s="14" t="str">
        <v>n.a.</v>
      </c>
      <c r="AP139" s="14" t="str">
        <v>n.a.</v>
      </c>
      <c r="AQ139" s="14" t="str">
        <v>n.a.</v>
      </c>
      <c r="AR139" s="14" t="str">
        <v>n.a.</v>
      </c>
      <c r="AS139" s="14" t="str">
        <v>n.a.</v>
      </c>
      <c r="AT139" s="14" t="str">
        <v>n.a.</v>
      </c>
      <c r="AU139" s="14" t="str">
        <v>n.a.</v>
      </c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</row>
    <row r="140" ht="27" customHeight="1">
      <c r="A140" s="15" t="str">
        <v>I162S2C78J4V1</v>
      </c>
      <c r="B140" s="15" t="str">
        <v>TECNICO EN ADMINISTRACION DE EMPRESAS</v>
      </c>
      <c r="C140" s="15" t="str">
        <v>Pregrado</v>
      </c>
      <c r="D140" s="23" t="n">
        <v>2024</v>
      </c>
      <c r="E140" s="23" t="n">
        <v>2026</v>
      </c>
      <c r="F140" s="15" t="n">
        <v>3</v>
      </c>
      <c r="G140" s="24" t="n">
        <v>0</v>
      </c>
      <c r="H140" s="24" t="n">
        <v>0</v>
      </c>
      <c r="I140" s="24" t="n">
        <v>0</v>
      </c>
      <c r="J140" s="24" t="n">
        <v>0</v>
      </c>
      <c r="K140" s="24" t="n">
        <v>0</v>
      </c>
      <c r="L140" s="24" t="n">
        <v>0</v>
      </c>
      <c r="M140" s="24" t="n">
        <v>0</v>
      </c>
      <c r="N140" s="24" t="n">
        <v>0</v>
      </c>
      <c r="O140" s="24" t="n">
        <v>0</v>
      </c>
      <c r="P140" s="24" t="n">
        <v>0</v>
      </c>
      <c r="Q140" s="24" t="n">
        <v>0</v>
      </c>
      <c r="R140" s="24" t="n">
        <v>0</v>
      </c>
      <c r="S140" s="24" t="n">
        <v>0</v>
      </c>
      <c r="T140" s="24" t="n">
        <v>0</v>
      </c>
      <c r="U140" s="24" t="n">
        <v>0</v>
      </c>
      <c r="V140" s="24" t="n">
        <v>0</v>
      </c>
      <c r="W140" s="24" t="n">
        <v>0</v>
      </c>
      <c r="X140" s="24" t="n">
        <v>8</v>
      </c>
      <c r="Y140" s="24" t="n">
        <v>74</v>
      </c>
      <c r="Z140" s="24" t="n">
        <v>88</v>
      </c>
      <c r="AA140" s="15" t="str">
        <v>VERSION_MULTIPLE_RESUELTA</v>
      </c>
      <c r="AB140" s="15" t="n">
        <v>1</v>
      </c>
      <c r="AC140" s="15" t="str">
        <v>PUBLICA; H002</v>
      </c>
      <c r="AD140" s="15" t="n">
        <v>0</v>
      </c>
      <c r="AE140" s="15" t="str">
        <v>n.a.</v>
      </c>
      <c r="AF140" s="15" t="str">
        <v>n.a.</v>
      </c>
      <c r="AG140" s="15" t="str">
        <v>n.a.</v>
      </c>
      <c r="AH140" s="15" t="str">
        <v>n.a.</v>
      </c>
      <c r="AI140" s="15" t="str">
        <v>n.a.</v>
      </c>
      <c r="AJ140" s="15" t="str">
        <v>n.a.</v>
      </c>
      <c r="AK140" s="15" t="str">
        <v>n.a.</v>
      </c>
      <c r="AL140" s="15" t="str">
        <v>n.a.</v>
      </c>
      <c r="AM140" s="15" t="str">
        <v>n.a.</v>
      </c>
      <c r="AN140" s="15" t="str">
        <v>n.a.</v>
      </c>
      <c r="AO140" s="15" t="str">
        <v>n.a.</v>
      </c>
      <c r="AP140" s="15" t="str">
        <v>n.a.</v>
      </c>
      <c r="AQ140" s="15" t="str">
        <v>n.a.</v>
      </c>
      <c r="AR140" s="15" t="str">
        <v>n.a.</v>
      </c>
      <c r="AS140" s="15" t="n">
        <v>1</v>
      </c>
      <c r="AT140" s="15" t="n">
        <v>1</v>
      </c>
      <c r="AU140" s="15" t="n">
        <v>1</v>
      </c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</row>
    <row r="141" ht="27" customHeight="1">
      <c r="A141" s="14" t="str">
        <v>I162S2C78J4V2</v>
      </c>
      <c r="B141" s="14" t="str">
        <v>TECNICO EN ADMINISTRACION DE EMPRESAS</v>
      </c>
      <c r="C141" s="14" t="str">
        <v>Pregrado</v>
      </c>
      <c r="D141" s="21" t="str">
        <v>n.a.</v>
      </c>
      <c r="E141" s="21" t="str">
        <v>n.a.</v>
      </c>
      <c r="F141" s="14" t="n">
        <v>0</v>
      </c>
      <c r="G141" s="22" t="n">
        <v>0</v>
      </c>
      <c r="H141" s="22" t="n">
        <v>0</v>
      </c>
      <c r="I141" s="22" t="n">
        <v>0</v>
      </c>
      <c r="J141" s="22" t="n">
        <v>0</v>
      </c>
      <c r="K141" s="22" t="n">
        <v>0</v>
      </c>
      <c r="L141" s="22" t="n">
        <v>0</v>
      </c>
      <c r="M141" s="22" t="n">
        <v>0</v>
      </c>
      <c r="N141" s="22" t="n">
        <v>0</v>
      </c>
      <c r="O141" s="22" t="n">
        <v>0</v>
      </c>
      <c r="P141" s="22" t="n">
        <v>0</v>
      </c>
      <c r="Q141" s="22" t="n">
        <v>0</v>
      </c>
      <c r="R141" s="22" t="n">
        <v>0</v>
      </c>
      <c r="S141" s="22" t="n">
        <v>0</v>
      </c>
      <c r="T141" s="22" t="n">
        <v>0</v>
      </c>
      <c r="U141" s="22" t="n">
        <v>0</v>
      </c>
      <c r="V141" s="22" t="n">
        <v>0</v>
      </c>
      <c r="W141" s="22" t="n">
        <v>0</v>
      </c>
      <c r="X141" s="22" t="n">
        <v>0</v>
      </c>
      <c r="Y141" s="22" t="n">
        <v>0</v>
      </c>
      <c r="Z141" s="22" t="n">
        <v>0</v>
      </c>
      <c r="AA141" s="14" t="str">
        <v>NUEVO_2027_SIN_PLAN_E</v>
      </c>
      <c r="AB141" s="14" t="n">
        <v>0</v>
      </c>
      <c r="AC141" s="14" t="str">
        <v>PUBLICA; H002</v>
      </c>
      <c r="AD141" s="14" t="n">
        <v>0</v>
      </c>
      <c r="AE141" s="14" t="str">
        <v>n.a.</v>
      </c>
      <c r="AF141" s="14" t="str">
        <v>n.a.</v>
      </c>
      <c r="AG141" s="14" t="str">
        <v>n.a.</v>
      </c>
      <c r="AH141" s="14" t="str">
        <v>n.a.</v>
      </c>
      <c r="AI141" s="14" t="str">
        <v>n.a.</v>
      </c>
      <c r="AJ141" s="14" t="str">
        <v>n.a.</v>
      </c>
      <c r="AK141" s="14" t="str">
        <v>n.a.</v>
      </c>
      <c r="AL141" s="14" t="str">
        <v>n.a.</v>
      </c>
      <c r="AM141" s="14" t="str">
        <v>n.a.</v>
      </c>
      <c r="AN141" s="14" t="str">
        <v>n.a.</v>
      </c>
      <c r="AO141" s="14" t="str">
        <v>n.a.</v>
      </c>
      <c r="AP141" s="14" t="str">
        <v>n.a.</v>
      </c>
      <c r="AQ141" s="14" t="str">
        <v>n.a.</v>
      </c>
      <c r="AR141" s="14" t="str">
        <v>n.a.</v>
      </c>
      <c r="AS141" s="14" t="str">
        <v>n.a.</v>
      </c>
      <c r="AT141" s="14" t="str">
        <v>n.a.</v>
      </c>
      <c r="AU141" s="14" t="str">
        <v>n.a.</v>
      </c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</row>
    <row r="142" ht="27" customHeight="1">
      <c r="A142" s="15" t="str">
        <v>I162S2C79J1V1</v>
      </c>
      <c r="B142" s="15" t="str">
        <v>TECNICO EN LOGISTICA</v>
      </c>
      <c r="C142" s="15" t="str">
        <v>Pregrado</v>
      </c>
      <c r="D142" s="23" t="str">
        <v>n.a.</v>
      </c>
      <c r="E142" s="23" t="str">
        <v>n.a.</v>
      </c>
      <c r="F142" s="15" t="n">
        <v>0</v>
      </c>
      <c r="G142" s="24" t="n">
        <v>0</v>
      </c>
      <c r="H142" s="24" t="n">
        <v>0</v>
      </c>
      <c r="I142" s="24" t="n">
        <v>0</v>
      </c>
      <c r="J142" s="24" t="n">
        <v>0</v>
      </c>
      <c r="K142" s="24" t="n">
        <v>0</v>
      </c>
      <c r="L142" s="24" t="n">
        <v>0</v>
      </c>
      <c r="M142" s="24" t="n">
        <v>0</v>
      </c>
      <c r="N142" s="24" t="n">
        <v>0</v>
      </c>
      <c r="O142" s="24" t="n">
        <v>0</v>
      </c>
      <c r="P142" s="24" t="n">
        <v>0</v>
      </c>
      <c r="Q142" s="24" t="n">
        <v>0</v>
      </c>
      <c r="R142" s="24" t="n">
        <v>0</v>
      </c>
      <c r="S142" s="24" t="n">
        <v>0</v>
      </c>
      <c r="T142" s="24" t="n">
        <v>0</v>
      </c>
      <c r="U142" s="24" t="n">
        <v>0</v>
      </c>
      <c r="V142" s="24" t="n">
        <v>0</v>
      </c>
      <c r="W142" s="24" t="n">
        <v>0</v>
      </c>
      <c r="X142" s="24" t="n">
        <v>0</v>
      </c>
      <c r="Y142" s="24" t="n">
        <v>0</v>
      </c>
      <c r="Z142" s="24" t="n">
        <v>0</v>
      </c>
      <c r="AA142" s="15" t="str">
        <v>CONTINUA</v>
      </c>
      <c r="AB142" s="15" t="n">
        <v>0</v>
      </c>
      <c r="AC142" s="15" t="str">
        <v>PUBLICA; H002</v>
      </c>
      <c r="AD142" s="15" t="n">
        <v>0</v>
      </c>
      <c r="AE142" s="15" t="str">
        <v>n.a.</v>
      </c>
      <c r="AF142" s="15" t="str">
        <v>n.a.</v>
      </c>
      <c r="AG142" s="15" t="str">
        <v>n.a.</v>
      </c>
      <c r="AH142" s="15" t="str">
        <v>n.a.</v>
      </c>
      <c r="AI142" s="15" t="str">
        <v>n.a.</v>
      </c>
      <c r="AJ142" s="15" t="str">
        <v>n.a.</v>
      </c>
      <c r="AK142" s="15" t="str">
        <v>n.a.</v>
      </c>
      <c r="AL142" s="15" t="str">
        <v>n.a.</v>
      </c>
      <c r="AM142" s="15" t="str">
        <v>n.a.</v>
      </c>
      <c r="AN142" s="15" t="str">
        <v>n.a.</v>
      </c>
      <c r="AO142" s="15" t="str">
        <v>n.a.</v>
      </c>
      <c r="AP142" s="15" t="str">
        <v>n.a.</v>
      </c>
      <c r="AQ142" s="15" t="str">
        <v>n.a.</v>
      </c>
      <c r="AR142" s="15" t="str">
        <v>n.a.</v>
      </c>
      <c r="AS142" s="15" t="n">
        <v>1</v>
      </c>
      <c r="AT142" s="15" t="n">
        <v>1</v>
      </c>
      <c r="AU142" s="15" t="n">
        <v>1</v>
      </c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</row>
    <row r="143" ht="27" customHeight="1">
      <c r="A143" s="14" t="str">
        <v>I162S2C79J2V1</v>
      </c>
      <c r="B143" s="14" t="str">
        <v>TECNICO EN LOGISTICA</v>
      </c>
      <c r="C143" s="14" t="str">
        <v>Pregrado</v>
      </c>
      <c r="D143" s="21" t="n">
        <v>2024</v>
      </c>
      <c r="E143" s="21" t="n">
        <v>2026</v>
      </c>
      <c r="F143" s="14" t="n">
        <v>3</v>
      </c>
      <c r="G143" s="22" t="n">
        <v>0</v>
      </c>
      <c r="H143" s="22" t="n">
        <v>0</v>
      </c>
      <c r="I143" s="22" t="n">
        <v>0</v>
      </c>
      <c r="J143" s="22" t="n">
        <v>0</v>
      </c>
      <c r="K143" s="22" t="n">
        <v>0</v>
      </c>
      <c r="L143" s="22" t="n">
        <v>0</v>
      </c>
      <c r="M143" s="22" t="n">
        <v>0</v>
      </c>
      <c r="N143" s="22" t="n">
        <v>0</v>
      </c>
      <c r="O143" s="22" t="n">
        <v>0</v>
      </c>
      <c r="P143" s="22" t="n">
        <v>0</v>
      </c>
      <c r="Q143" s="22" t="n">
        <v>0</v>
      </c>
      <c r="R143" s="22" t="n">
        <v>0</v>
      </c>
      <c r="S143" s="22" t="n">
        <v>0</v>
      </c>
      <c r="T143" s="22" t="n">
        <v>0</v>
      </c>
      <c r="U143" s="22" t="n">
        <v>0</v>
      </c>
      <c r="V143" s="22" t="n">
        <v>0</v>
      </c>
      <c r="W143" s="22" t="n">
        <v>0</v>
      </c>
      <c r="X143" s="22" t="n">
        <v>8</v>
      </c>
      <c r="Y143" s="22" t="n">
        <v>24</v>
      </c>
      <c r="Z143" s="22" t="n">
        <v>25</v>
      </c>
      <c r="AA143" s="14" t="str">
        <v>CONTINUA</v>
      </c>
      <c r="AB143" s="14" t="n">
        <v>1</v>
      </c>
      <c r="AC143" s="14" t="str">
        <v>PUBLICA; H002</v>
      </c>
      <c r="AD143" s="14" t="n">
        <v>0</v>
      </c>
      <c r="AE143" s="14" t="str">
        <v>n.a.</v>
      </c>
      <c r="AF143" s="14" t="str">
        <v>n.a.</v>
      </c>
      <c r="AG143" s="14" t="str">
        <v>n.a.</v>
      </c>
      <c r="AH143" s="14" t="str">
        <v>n.a.</v>
      </c>
      <c r="AI143" s="14" t="str">
        <v>n.a.</v>
      </c>
      <c r="AJ143" s="14" t="str">
        <v>n.a.</v>
      </c>
      <c r="AK143" s="14" t="str">
        <v>n.a.</v>
      </c>
      <c r="AL143" s="14" t="str">
        <v>n.a.</v>
      </c>
      <c r="AM143" s="14" t="str">
        <v>n.a.</v>
      </c>
      <c r="AN143" s="14" t="str">
        <v>n.a.</v>
      </c>
      <c r="AO143" s="14" t="str">
        <v>n.a.</v>
      </c>
      <c r="AP143" s="14" t="str">
        <v>n.a.</v>
      </c>
      <c r="AQ143" s="14" t="str">
        <v>n.a.</v>
      </c>
      <c r="AR143" s="14" t="str">
        <v>n.a.</v>
      </c>
      <c r="AS143" s="14" t="n">
        <v>1</v>
      </c>
      <c r="AT143" s="14" t="n">
        <v>1</v>
      </c>
      <c r="AU143" s="14" t="n">
        <v>1</v>
      </c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</row>
    <row r="144" ht="27" customHeight="1">
      <c r="A144" s="15" t="str">
        <v>I162S2C79J4V1</v>
      </c>
      <c r="B144" s="15" t="str">
        <v>TECNICO EN LOGISTICA</v>
      </c>
      <c r="C144" s="15" t="str">
        <v>Pregrado</v>
      </c>
      <c r="D144" s="23" t="n">
        <v>2024</v>
      </c>
      <c r="E144" s="23" t="n">
        <v>2026</v>
      </c>
      <c r="F144" s="15" t="n">
        <v>3</v>
      </c>
      <c r="G144" s="24" t="n">
        <v>0</v>
      </c>
      <c r="H144" s="24" t="n">
        <v>0</v>
      </c>
      <c r="I144" s="24" t="n">
        <v>0</v>
      </c>
      <c r="J144" s="24" t="n">
        <v>0</v>
      </c>
      <c r="K144" s="24" t="n">
        <v>0</v>
      </c>
      <c r="L144" s="24" t="n">
        <v>0</v>
      </c>
      <c r="M144" s="24" t="n">
        <v>0</v>
      </c>
      <c r="N144" s="24" t="n">
        <v>0</v>
      </c>
      <c r="O144" s="24" t="n">
        <v>0</v>
      </c>
      <c r="P144" s="24" t="n">
        <v>0</v>
      </c>
      <c r="Q144" s="24" t="n">
        <v>0</v>
      </c>
      <c r="R144" s="24" t="n">
        <v>0</v>
      </c>
      <c r="S144" s="24" t="n">
        <v>0</v>
      </c>
      <c r="T144" s="24" t="n">
        <v>0</v>
      </c>
      <c r="U144" s="24" t="n">
        <v>0</v>
      </c>
      <c r="V144" s="24" t="n">
        <v>0</v>
      </c>
      <c r="W144" s="24" t="n">
        <v>0</v>
      </c>
      <c r="X144" s="24" t="n">
        <v>15</v>
      </c>
      <c r="Y144" s="24" t="n">
        <v>74</v>
      </c>
      <c r="Z144" s="24" t="n">
        <v>87</v>
      </c>
      <c r="AA144" s="15" t="str">
        <v>VERSION_MULTIPLE_RESUELTA</v>
      </c>
      <c r="AB144" s="15" t="n">
        <v>1</v>
      </c>
      <c r="AC144" s="15" t="str">
        <v>PUBLICA; H002</v>
      </c>
      <c r="AD144" s="15" t="n">
        <v>0</v>
      </c>
      <c r="AE144" s="15" t="str">
        <v>n.a.</v>
      </c>
      <c r="AF144" s="15" t="str">
        <v>n.a.</v>
      </c>
      <c r="AG144" s="15" t="str">
        <v>n.a.</v>
      </c>
      <c r="AH144" s="15" t="str">
        <v>n.a.</v>
      </c>
      <c r="AI144" s="15" t="str">
        <v>n.a.</v>
      </c>
      <c r="AJ144" s="15" t="str">
        <v>n.a.</v>
      </c>
      <c r="AK144" s="15" t="str">
        <v>n.a.</v>
      </c>
      <c r="AL144" s="15" t="str">
        <v>n.a.</v>
      </c>
      <c r="AM144" s="15" t="str">
        <v>n.a.</v>
      </c>
      <c r="AN144" s="15" t="str">
        <v>n.a.</v>
      </c>
      <c r="AO144" s="15" t="str">
        <v>n.a.</v>
      </c>
      <c r="AP144" s="15" t="str">
        <v>n.a.</v>
      </c>
      <c r="AQ144" s="15" t="str">
        <v>n.a.</v>
      </c>
      <c r="AR144" s="15" t="str">
        <v>n.a.</v>
      </c>
      <c r="AS144" s="15" t="n">
        <v>1</v>
      </c>
      <c r="AT144" s="15" t="n">
        <v>1</v>
      </c>
      <c r="AU144" s="15" t="n">
        <v>1</v>
      </c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</row>
    <row r="145" ht="27" customHeight="1">
      <c r="A145" s="14" t="str">
        <v>I162S2C79J4V2</v>
      </c>
      <c r="B145" s="14" t="str">
        <v>TECNICO EN LOGISTICA</v>
      </c>
      <c r="C145" s="14" t="str">
        <v>Pregrado</v>
      </c>
      <c r="D145" s="21" t="str">
        <v>n.a.</v>
      </c>
      <c r="E145" s="21" t="str">
        <v>n.a.</v>
      </c>
      <c r="F145" s="14" t="n">
        <v>0</v>
      </c>
      <c r="G145" s="22" t="n">
        <v>0</v>
      </c>
      <c r="H145" s="22" t="n">
        <v>0</v>
      </c>
      <c r="I145" s="22" t="n">
        <v>0</v>
      </c>
      <c r="J145" s="22" t="n">
        <v>0</v>
      </c>
      <c r="K145" s="22" t="n">
        <v>0</v>
      </c>
      <c r="L145" s="22" t="n">
        <v>0</v>
      </c>
      <c r="M145" s="22" t="n">
        <v>0</v>
      </c>
      <c r="N145" s="22" t="n">
        <v>0</v>
      </c>
      <c r="O145" s="22" t="n">
        <v>0</v>
      </c>
      <c r="P145" s="22" t="n">
        <v>0</v>
      </c>
      <c r="Q145" s="22" t="n">
        <v>0</v>
      </c>
      <c r="R145" s="22" t="n">
        <v>0</v>
      </c>
      <c r="S145" s="22" t="n">
        <v>0</v>
      </c>
      <c r="T145" s="22" t="n">
        <v>0</v>
      </c>
      <c r="U145" s="22" t="n">
        <v>0</v>
      </c>
      <c r="V145" s="22" t="n">
        <v>0</v>
      </c>
      <c r="W145" s="22" t="n">
        <v>0</v>
      </c>
      <c r="X145" s="22" t="n">
        <v>0</v>
      </c>
      <c r="Y145" s="22" t="n">
        <v>0</v>
      </c>
      <c r="Z145" s="22" t="n">
        <v>0</v>
      </c>
      <c r="AA145" s="14" t="str">
        <v>NUEVO_2027_SIN_PLAN_E</v>
      </c>
      <c r="AB145" s="14" t="n">
        <v>0</v>
      </c>
      <c r="AC145" s="14" t="str">
        <v>PUBLICA; H002</v>
      </c>
      <c r="AD145" s="14" t="n">
        <v>0</v>
      </c>
      <c r="AE145" s="14" t="str">
        <v>n.a.</v>
      </c>
      <c r="AF145" s="14" t="str">
        <v>n.a.</v>
      </c>
      <c r="AG145" s="14" t="str">
        <v>n.a.</v>
      </c>
      <c r="AH145" s="14" t="str">
        <v>n.a.</v>
      </c>
      <c r="AI145" s="14" t="str">
        <v>n.a.</v>
      </c>
      <c r="AJ145" s="14" t="str">
        <v>n.a.</v>
      </c>
      <c r="AK145" s="14" t="str">
        <v>n.a.</v>
      </c>
      <c r="AL145" s="14" t="str">
        <v>n.a.</v>
      </c>
      <c r="AM145" s="14" t="str">
        <v>n.a.</v>
      </c>
      <c r="AN145" s="14" t="str">
        <v>n.a.</v>
      </c>
      <c r="AO145" s="14" t="str">
        <v>n.a.</v>
      </c>
      <c r="AP145" s="14" t="str">
        <v>n.a.</v>
      </c>
      <c r="AQ145" s="14" t="str">
        <v>n.a.</v>
      </c>
      <c r="AR145" s="14" t="str">
        <v>n.a.</v>
      </c>
      <c r="AS145" s="14" t="str">
        <v>n.a.</v>
      </c>
      <c r="AT145" s="14" t="str">
        <v>n.a.</v>
      </c>
      <c r="AU145" s="14" t="str">
        <v>n.a.</v>
      </c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</row>
    <row r="146" ht="27" customHeight="1">
      <c r="A146" s="15" t="str">
        <v>I162S2C83J4V1</v>
      </c>
      <c r="B146" s="15" t="str">
        <v>ADMINISTRACION PUBLICA</v>
      </c>
      <c r="C146" s="15" t="str">
        <v>Pregrado</v>
      </c>
      <c r="D146" s="23" t="n">
        <v>2025</v>
      </c>
      <c r="E146" s="23" t="n">
        <v>2026</v>
      </c>
      <c r="F146" s="15" t="n">
        <v>2</v>
      </c>
      <c r="G146" s="24" t="n">
        <v>0</v>
      </c>
      <c r="H146" s="24" t="n">
        <v>0</v>
      </c>
      <c r="I146" s="24" t="n">
        <v>0</v>
      </c>
      <c r="J146" s="24" t="n">
        <v>0</v>
      </c>
      <c r="K146" s="24" t="n">
        <v>0</v>
      </c>
      <c r="L146" s="24" t="n">
        <v>0</v>
      </c>
      <c r="M146" s="24" t="n">
        <v>0</v>
      </c>
      <c r="N146" s="24" t="n">
        <v>0</v>
      </c>
      <c r="O146" s="24" t="n">
        <v>0</v>
      </c>
      <c r="P146" s="24" t="n">
        <v>0</v>
      </c>
      <c r="Q146" s="24" t="n">
        <v>0</v>
      </c>
      <c r="R146" s="24" t="n">
        <v>0</v>
      </c>
      <c r="S146" s="24" t="n">
        <v>0</v>
      </c>
      <c r="T146" s="24" t="n">
        <v>0</v>
      </c>
      <c r="U146" s="24" t="n">
        <v>0</v>
      </c>
      <c r="V146" s="24" t="n">
        <v>0</v>
      </c>
      <c r="W146" s="24" t="n">
        <v>0</v>
      </c>
      <c r="X146" s="24" t="n">
        <v>0</v>
      </c>
      <c r="Y146" s="24" t="n">
        <v>70</v>
      </c>
      <c r="Z146" s="24" t="n">
        <v>94</v>
      </c>
      <c r="AA146" s="15" t="str">
        <v>APROBADA_D_2027</v>
      </c>
      <c r="AB146" s="15" t="n">
        <v>1</v>
      </c>
      <c r="AC146" s="15" t="str">
        <v>PUBLICA; H002</v>
      </c>
      <c r="AD146" s="15" t="n">
        <v>0</v>
      </c>
      <c r="AE146" s="15" t="str">
        <v>n.a.</v>
      </c>
      <c r="AF146" s="15" t="str">
        <v>n.a.</v>
      </c>
      <c r="AG146" s="15" t="str">
        <v>n.a.</v>
      </c>
      <c r="AH146" s="15" t="str">
        <v>n.a.</v>
      </c>
      <c r="AI146" s="15" t="str">
        <v>n.a.</v>
      </c>
      <c r="AJ146" s="15" t="str">
        <v>n.a.</v>
      </c>
      <c r="AK146" s="15" t="str">
        <v>n.a.</v>
      </c>
      <c r="AL146" s="15" t="str">
        <v>n.a.</v>
      </c>
      <c r="AM146" s="15" t="str">
        <v>n.a.</v>
      </c>
      <c r="AN146" s="15" t="str">
        <v>n.a.</v>
      </c>
      <c r="AO146" s="15" t="str">
        <v>n.a.</v>
      </c>
      <c r="AP146" s="15" t="str">
        <v>n.a.</v>
      </c>
      <c r="AQ146" s="15" t="str">
        <v>n.a.</v>
      </c>
      <c r="AR146" s="15" t="str">
        <v>n.a.</v>
      </c>
      <c r="AS146" s="15" t="str">
        <v>n.a.</v>
      </c>
      <c r="AT146" s="15" t="n">
        <v>1</v>
      </c>
      <c r="AU146" s="15" t="n">
        <v>1</v>
      </c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</row>
    <row r="147" ht="27" customHeight="1">
      <c r="A147" s="14" t="str">
        <v>I162S2C83J4V2</v>
      </c>
      <c r="B147" s="14" t="str">
        <v>ADMINISTRACION PUBLICA</v>
      </c>
      <c r="C147" s="14" t="str">
        <v>Pregrado</v>
      </c>
      <c r="D147" s="21" t="n">
        <v>2026</v>
      </c>
      <c r="E147" s="21" t="n">
        <v>2026</v>
      </c>
      <c r="F147" s="14" t="n">
        <v>1</v>
      </c>
      <c r="G147" s="22" t="n">
        <v>0</v>
      </c>
      <c r="H147" s="22" t="n">
        <v>0</v>
      </c>
      <c r="I147" s="22" t="n">
        <v>0</v>
      </c>
      <c r="J147" s="22" t="n">
        <v>0</v>
      </c>
      <c r="K147" s="22" t="n">
        <v>0</v>
      </c>
      <c r="L147" s="22" t="n">
        <v>0</v>
      </c>
      <c r="M147" s="22" t="n">
        <v>0</v>
      </c>
      <c r="N147" s="22" t="n">
        <v>0</v>
      </c>
      <c r="O147" s="22" t="n">
        <v>0</v>
      </c>
      <c r="P147" s="22" t="n">
        <v>0</v>
      </c>
      <c r="Q147" s="22" t="n">
        <v>0</v>
      </c>
      <c r="R147" s="22" t="n">
        <v>0</v>
      </c>
      <c r="S147" s="22" t="n">
        <v>0</v>
      </c>
      <c r="T147" s="22" t="n">
        <v>0</v>
      </c>
      <c r="U147" s="22" t="n">
        <v>0</v>
      </c>
      <c r="V147" s="22" t="n">
        <v>0</v>
      </c>
      <c r="W147" s="22" t="n">
        <v>0</v>
      </c>
      <c r="X147" s="22" t="n">
        <v>0</v>
      </c>
      <c r="Y147" s="22" t="n">
        <v>0</v>
      </c>
      <c r="Z147" s="22" t="n">
        <v>9</v>
      </c>
      <c r="AA147" s="14" t="str">
        <v>APROBADA_D_2027</v>
      </c>
      <c r="AB147" s="14" t="n">
        <v>1</v>
      </c>
      <c r="AC147" s="14" t="str">
        <v>PUBLICA; H002</v>
      </c>
      <c r="AD147" s="14" t="n">
        <v>0</v>
      </c>
      <c r="AE147" s="14" t="str">
        <v>n.a.</v>
      </c>
      <c r="AF147" s="14" t="str">
        <v>n.a.</v>
      </c>
      <c r="AG147" s="14" t="str">
        <v>n.a.</v>
      </c>
      <c r="AH147" s="14" t="str">
        <v>n.a.</v>
      </c>
      <c r="AI147" s="14" t="str">
        <v>n.a.</v>
      </c>
      <c r="AJ147" s="14" t="str">
        <v>n.a.</v>
      </c>
      <c r="AK147" s="14" t="str">
        <v>n.a.</v>
      </c>
      <c r="AL147" s="14" t="str">
        <v>n.a.</v>
      </c>
      <c r="AM147" s="14" t="str">
        <v>n.a.</v>
      </c>
      <c r="AN147" s="14" t="str">
        <v>n.a.</v>
      </c>
      <c r="AO147" s="14" t="str">
        <v>n.a.</v>
      </c>
      <c r="AP147" s="14" t="str">
        <v>n.a.</v>
      </c>
      <c r="AQ147" s="14" t="str">
        <v>n.a.</v>
      </c>
      <c r="AR147" s="14" t="str">
        <v>n.a.</v>
      </c>
      <c r="AS147" s="14" t="str">
        <v>n.a.</v>
      </c>
      <c r="AT147" s="14" t="n">
        <v>1</v>
      </c>
      <c r="AU147" s="14" t="n">
        <v>2</v>
      </c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</row>
    <row r="148" ht="27" customHeight="1">
      <c r="A148" s="15" t="str">
        <v>I162S2C84J4V1</v>
      </c>
      <c r="B148" s="15" t="str">
        <v>TECNICO EN ADMINISTRACION PUBLICA</v>
      </c>
      <c r="C148" s="15" t="str">
        <v>Pregrado</v>
      </c>
      <c r="D148" s="23" t="n">
        <v>2025</v>
      </c>
      <c r="E148" s="23" t="n">
        <v>2026</v>
      </c>
      <c r="F148" s="15" t="n">
        <v>2</v>
      </c>
      <c r="G148" s="24" t="n">
        <v>0</v>
      </c>
      <c r="H148" s="24" t="n">
        <v>0</v>
      </c>
      <c r="I148" s="24" t="n">
        <v>0</v>
      </c>
      <c r="J148" s="24" t="n">
        <v>0</v>
      </c>
      <c r="K148" s="24" t="n">
        <v>0</v>
      </c>
      <c r="L148" s="24" t="n">
        <v>0</v>
      </c>
      <c r="M148" s="24" t="n">
        <v>0</v>
      </c>
      <c r="N148" s="24" t="n">
        <v>0</v>
      </c>
      <c r="O148" s="24" t="n">
        <v>0</v>
      </c>
      <c r="P148" s="24" t="n">
        <v>0</v>
      </c>
      <c r="Q148" s="24" t="n">
        <v>0</v>
      </c>
      <c r="R148" s="24" t="n">
        <v>0</v>
      </c>
      <c r="S148" s="24" t="n">
        <v>0</v>
      </c>
      <c r="T148" s="24" t="n">
        <v>0</v>
      </c>
      <c r="U148" s="24" t="n">
        <v>0</v>
      </c>
      <c r="V148" s="24" t="n">
        <v>0</v>
      </c>
      <c r="W148" s="24" t="n">
        <v>0</v>
      </c>
      <c r="X148" s="24" t="n">
        <v>0</v>
      </c>
      <c r="Y148" s="24" t="n">
        <v>22</v>
      </c>
      <c r="Z148" s="24" t="n">
        <v>34</v>
      </c>
      <c r="AA148" s="15" t="str">
        <v>CONTINUA</v>
      </c>
      <c r="AB148" s="15" t="n">
        <v>1</v>
      </c>
      <c r="AC148" s="15" t="str">
        <v>PUBLICA; H002</v>
      </c>
      <c r="AD148" s="15" t="n">
        <v>0</v>
      </c>
      <c r="AE148" s="15" t="str">
        <v>n.a.</v>
      </c>
      <c r="AF148" s="15" t="str">
        <v>n.a.</v>
      </c>
      <c r="AG148" s="15" t="str">
        <v>n.a.</v>
      </c>
      <c r="AH148" s="15" t="str">
        <v>n.a.</v>
      </c>
      <c r="AI148" s="15" t="str">
        <v>n.a.</v>
      </c>
      <c r="AJ148" s="15" t="str">
        <v>n.a.</v>
      </c>
      <c r="AK148" s="15" t="str">
        <v>n.a.</v>
      </c>
      <c r="AL148" s="15" t="str">
        <v>n.a.</v>
      </c>
      <c r="AM148" s="15" t="str">
        <v>n.a.</v>
      </c>
      <c r="AN148" s="15" t="str">
        <v>n.a.</v>
      </c>
      <c r="AO148" s="15" t="str">
        <v>n.a.</v>
      </c>
      <c r="AP148" s="15" t="str">
        <v>n.a.</v>
      </c>
      <c r="AQ148" s="15" t="str">
        <v>n.a.</v>
      </c>
      <c r="AR148" s="15" t="str">
        <v>n.a.</v>
      </c>
      <c r="AS148" s="15" t="str">
        <v>n.a.</v>
      </c>
      <c r="AT148" s="15" t="n">
        <v>1</v>
      </c>
      <c r="AU148" s="15" t="n">
        <v>1</v>
      </c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</row>
    <row r="149" ht="27" customHeight="1">
      <c r="A149" s="14" t="str">
        <v>I162S2C85J4V1</v>
      </c>
      <c r="B149" s="14" t="str">
        <v>CONTABILIDAD GENERAL</v>
      </c>
      <c r="C149" s="14" t="str">
        <v>Pregrado</v>
      </c>
      <c r="D149" s="21" t="n">
        <v>2025</v>
      </c>
      <c r="E149" s="21" t="n">
        <v>2026</v>
      </c>
      <c r="F149" s="14" t="n">
        <v>2</v>
      </c>
      <c r="G149" s="22" t="n">
        <v>0</v>
      </c>
      <c r="H149" s="22" t="n">
        <v>0</v>
      </c>
      <c r="I149" s="22" t="n">
        <v>0</v>
      </c>
      <c r="J149" s="22" t="n">
        <v>0</v>
      </c>
      <c r="K149" s="22" t="n">
        <v>0</v>
      </c>
      <c r="L149" s="22" t="n">
        <v>0</v>
      </c>
      <c r="M149" s="22" t="n">
        <v>0</v>
      </c>
      <c r="N149" s="22" t="n">
        <v>0</v>
      </c>
      <c r="O149" s="22" t="n">
        <v>0</v>
      </c>
      <c r="P149" s="22" t="n">
        <v>0</v>
      </c>
      <c r="Q149" s="22" t="n">
        <v>0</v>
      </c>
      <c r="R149" s="22" t="n">
        <v>0</v>
      </c>
      <c r="S149" s="22" t="n">
        <v>0</v>
      </c>
      <c r="T149" s="22" t="n">
        <v>0</v>
      </c>
      <c r="U149" s="22" t="n">
        <v>0</v>
      </c>
      <c r="V149" s="22" t="n">
        <v>0</v>
      </c>
      <c r="W149" s="22" t="n">
        <v>0</v>
      </c>
      <c r="X149" s="22" t="n">
        <v>0</v>
      </c>
      <c r="Y149" s="22" t="n">
        <v>38</v>
      </c>
      <c r="Z149" s="22" t="n">
        <v>56</v>
      </c>
      <c r="AA149" s="14" t="str">
        <v>CONTINUA</v>
      </c>
      <c r="AB149" s="14" t="n">
        <v>1</v>
      </c>
      <c r="AC149" s="14" t="str">
        <v>PUBLICA; H002</v>
      </c>
      <c r="AD149" s="14" t="n">
        <v>0</v>
      </c>
      <c r="AE149" s="14" t="str">
        <v>n.a.</v>
      </c>
      <c r="AF149" s="14" t="str">
        <v>n.a.</v>
      </c>
      <c r="AG149" s="14" t="str">
        <v>n.a.</v>
      </c>
      <c r="AH149" s="14" t="str">
        <v>n.a.</v>
      </c>
      <c r="AI149" s="14" t="str">
        <v>n.a.</v>
      </c>
      <c r="AJ149" s="14" t="str">
        <v>n.a.</v>
      </c>
      <c r="AK149" s="14" t="str">
        <v>n.a.</v>
      </c>
      <c r="AL149" s="14" t="str">
        <v>n.a.</v>
      </c>
      <c r="AM149" s="14" t="str">
        <v>n.a.</v>
      </c>
      <c r="AN149" s="14" t="str">
        <v>n.a.</v>
      </c>
      <c r="AO149" s="14" t="str">
        <v>n.a.</v>
      </c>
      <c r="AP149" s="14" t="str">
        <v>n.a.</v>
      </c>
      <c r="AQ149" s="14" t="str">
        <v>n.a.</v>
      </c>
      <c r="AR149" s="14" t="str">
        <v>n.a.</v>
      </c>
      <c r="AS149" s="14" t="str">
        <v>n.a.</v>
      </c>
      <c r="AT149" s="14" t="n">
        <v>1</v>
      </c>
      <c r="AU149" s="14" t="n">
        <v>1</v>
      </c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</row>
    <row r="150" ht="27" customHeight="1">
      <c r="A150" s="15" t="str">
        <v>I162S2C86J4V1</v>
      </c>
      <c r="B150" s="15" t="str">
        <v>AUDITORIA</v>
      </c>
      <c r="C150" s="15" t="str">
        <v>Pregrado</v>
      </c>
      <c r="D150" s="23" t="n">
        <v>2025</v>
      </c>
      <c r="E150" s="23" t="n">
        <v>2026</v>
      </c>
      <c r="F150" s="15" t="n">
        <v>2</v>
      </c>
      <c r="G150" s="24" t="n">
        <v>0</v>
      </c>
      <c r="H150" s="24" t="n">
        <v>0</v>
      </c>
      <c r="I150" s="24" t="n">
        <v>0</v>
      </c>
      <c r="J150" s="24" t="n">
        <v>0</v>
      </c>
      <c r="K150" s="24" t="n">
        <v>0</v>
      </c>
      <c r="L150" s="24" t="n">
        <v>0</v>
      </c>
      <c r="M150" s="24" t="n">
        <v>0</v>
      </c>
      <c r="N150" s="24" t="n">
        <v>0</v>
      </c>
      <c r="O150" s="24" t="n">
        <v>0</v>
      </c>
      <c r="P150" s="24" t="n">
        <v>0</v>
      </c>
      <c r="Q150" s="24" t="n">
        <v>0</v>
      </c>
      <c r="R150" s="24" t="n">
        <v>0</v>
      </c>
      <c r="S150" s="24" t="n">
        <v>0</v>
      </c>
      <c r="T150" s="24" t="n">
        <v>0</v>
      </c>
      <c r="U150" s="24" t="n">
        <v>0</v>
      </c>
      <c r="V150" s="24" t="n">
        <v>0</v>
      </c>
      <c r="W150" s="24" t="n">
        <v>0</v>
      </c>
      <c r="X150" s="24" t="n">
        <v>0</v>
      </c>
      <c r="Y150" s="24" t="n">
        <v>41</v>
      </c>
      <c r="Z150" s="24" t="n">
        <v>62</v>
      </c>
      <c r="AA150" s="15" t="str">
        <v>VERSION_MULTIPLE_RESUELTA</v>
      </c>
      <c r="AB150" s="15" t="n">
        <v>1</v>
      </c>
      <c r="AC150" s="15" t="str">
        <v>PUBLICA; H002</v>
      </c>
      <c r="AD150" s="15" t="n">
        <v>0</v>
      </c>
      <c r="AE150" s="15" t="str">
        <v>n.a.</v>
      </c>
      <c r="AF150" s="15" t="str">
        <v>n.a.</v>
      </c>
      <c r="AG150" s="15" t="str">
        <v>n.a.</v>
      </c>
      <c r="AH150" s="15" t="str">
        <v>n.a.</v>
      </c>
      <c r="AI150" s="15" t="str">
        <v>n.a.</v>
      </c>
      <c r="AJ150" s="15" t="str">
        <v>n.a.</v>
      </c>
      <c r="AK150" s="15" t="str">
        <v>n.a.</v>
      </c>
      <c r="AL150" s="15" t="str">
        <v>n.a.</v>
      </c>
      <c r="AM150" s="15" t="str">
        <v>n.a.</v>
      </c>
      <c r="AN150" s="15" t="str">
        <v>n.a.</v>
      </c>
      <c r="AO150" s="15" t="str">
        <v>n.a.</v>
      </c>
      <c r="AP150" s="15" t="str">
        <v>n.a.</v>
      </c>
      <c r="AQ150" s="15" t="str">
        <v>n.a.</v>
      </c>
      <c r="AR150" s="15" t="str">
        <v>n.a.</v>
      </c>
      <c r="AS150" s="15" t="str">
        <v>n.a.</v>
      </c>
      <c r="AT150" s="15" t="n">
        <v>1</v>
      </c>
      <c r="AU150" s="15" t="n">
        <v>1</v>
      </c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</row>
    <row r="151" ht="27" customHeight="1">
      <c r="A151" s="14" t="str">
        <v>I162S2C86J4V2</v>
      </c>
      <c r="B151" s="14" t="str">
        <v>AUDITORIA</v>
      </c>
      <c r="C151" s="14" t="str">
        <v>Pregrado</v>
      </c>
      <c r="D151" s="21" t="str">
        <v>n.a.</v>
      </c>
      <c r="E151" s="21" t="str">
        <v>n.a.</v>
      </c>
      <c r="F151" s="14" t="n">
        <v>0</v>
      </c>
      <c r="G151" s="22" t="n">
        <v>0</v>
      </c>
      <c r="H151" s="22" t="n">
        <v>0</v>
      </c>
      <c r="I151" s="22" t="n">
        <v>0</v>
      </c>
      <c r="J151" s="22" t="n">
        <v>0</v>
      </c>
      <c r="K151" s="22" t="n">
        <v>0</v>
      </c>
      <c r="L151" s="22" t="n">
        <v>0</v>
      </c>
      <c r="M151" s="22" t="n">
        <v>0</v>
      </c>
      <c r="N151" s="22" t="n">
        <v>0</v>
      </c>
      <c r="O151" s="22" t="n">
        <v>0</v>
      </c>
      <c r="P151" s="22" t="n">
        <v>0</v>
      </c>
      <c r="Q151" s="22" t="n">
        <v>0</v>
      </c>
      <c r="R151" s="22" t="n">
        <v>0</v>
      </c>
      <c r="S151" s="22" t="n">
        <v>0</v>
      </c>
      <c r="T151" s="22" t="n">
        <v>0</v>
      </c>
      <c r="U151" s="22" t="n">
        <v>0</v>
      </c>
      <c r="V151" s="22" t="n">
        <v>0</v>
      </c>
      <c r="W151" s="22" t="n">
        <v>0</v>
      </c>
      <c r="X151" s="22" t="n">
        <v>0</v>
      </c>
      <c r="Y151" s="22" t="n">
        <v>0</v>
      </c>
      <c r="Z151" s="22" t="n">
        <v>0</v>
      </c>
      <c r="AA151" s="14" t="str">
        <v>VERSION_MULTIPLE_RESUELTA</v>
      </c>
      <c r="AB151" s="14" t="n">
        <v>0</v>
      </c>
      <c r="AC151" s="14" t="str">
        <v>PUBLICA; H002</v>
      </c>
      <c r="AD151" s="14" t="n">
        <v>0</v>
      </c>
      <c r="AE151" s="14" t="str">
        <v>n.a.</v>
      </c>
      <c r="AF151" s="14" t="str">
        <v>n.a.</v>
      </c>
      <c r="AG151" s="14" t="str">
        <v>n.a.</v>
      </c>
      <c r="AH151" s="14" t="str">
        <v>n.a.</v>
      </c>
      <c r="AI151" s="14" t="str">
        <v>n.a.</v>
      </c>
      <c r="AJ151" s="14" t="str">
        <v>n.a.</v>
      </c>
      <c r="AK151" s="14" t="str">
        <v>n.a.</v>
      </c>
      <c r="AL151" s="14" t="str">
        <v>n.a.</v>
      </c>
      <c r="AM151" s="14" t="str">
        <v>n.a.</v>
      </c>
      <c r="AN151" s="14" t="str">
        <v>n.a.</v>
      </c>
      <c r="AO151" s="14" t="str">
        <v>n.a.</v>
      </c>
      <c r="AP151" s="14" t="str">
        <v>n.a.</v>
      </c>
      <c r="AQ151" s="14" t="str">
        <v>n.a.</v>
      </c>
      <c r="AR151" s="14" t="str">
        <v>n.a.</v>
      </c>
      <c r="AS151" s="14" t="str">
        <v>n.a.</v>
      </c>
      <c r="AT151" s="14" t="n">
        <v>1</v>
      </c>
      <c r="AU151" s="14" t="n">
        <v>2</v>
      </c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</row>
    <row r="152" ht="27" customHeight="1">
      <c r="A152" s="15" t="str">
        <v>I162S2C87J4V1</v>
      </c>
      <c r="B152" s="15" t="str">
        <v>INGENIERIA INDUSTRIAL</v>
      </c>
      <c r="C152" s="15" t="str">
        <v>Pregrado</v>
      </c>
      <c r="D152" s="23" t="n">
        <v>2025</v>
      </c>
      <c r="E152" s="23" t="n">
        <v>2026</v>
      </c>
      <c r="F152" s="15" t="n">
        <v>2</v>
      </c>
      <c r="G152" s="24" t="n">
        <v>0</v>
      </c>
      <c r="H152" s="24" t="n">
        <v>0</v>
      </c>
      <c r="I152" s="24" t="n">
        <v>0</v>
      </c>
      <c r="J152" s="24" t="n">
        <v>0</v>
      </c>
      <c r="K152" s="24" t="n">
        <v>0</v>
      </c>
      <c r="L152" s="24" t="n">
        <v>0</v>
      </c>
      <c r="M152" s="24" t="n">
        <v>0</v>
      </c>
      <c r="N152" s="24" t="n">
        <v>0</v>
      </c>
      <c r="O152" s="24" t="n">
        <v>0</v>
      </c>
      <c r="P152" s="24" t="n">
        <v>0</v>
      </c>
      <c r="Q152" s="24" t="n">
        <v>0</v>
      </c>
      <c r="R152" s="24" t="n">
        <v>0</v>
      </c>
      <c r="S152" s="24" t="n">
        <v>0</v>
      </c>
      <c r="T152" s="24" t="n">
        <v>0</v>
      </c>
      <c r="U152" s="24" t="n">
        <v>0</v>
      </c>
      <c r="V152" s="24" t="n">
        <v>0</v>
      </c>
      <c r="W152" s="24" t="n">
        <v>0</v>
      </c>
      <c r="X152" s="24" t="n">
        <v>0</v>
      </c>
      <c r="Y152" s="24" t="n">
        <v>37</v>
      </c>
      <c r="Z152" s="24" t="n">
        <v>5</v>
      </c>
      <c r="AA152" s="15" t="str">
        <v>VERSION_MULTIPLE_RESUELTA</v>
      </c>
      <c r="AB152" s="15" t="n">
        <v>1</v>
      </c>
      <c r="AC152" s="15" t="str">
        <v>PUBLICA; H002</v>
      </c>
      <c r="AD152" s="15" t="n">
        <v>0</v>
      </c>
      <c r="AE152" s="15" t="str">
        <v>n.a.</v>
      </c>
      <c r="AF152" s="15" t="str">
        <v>n.a.</v>
      </c>
      <c r="AG152" s="15" t="str">
        <v>n.a.</v>
      </c>
      <c r="AH152" s="15" t="str">
        <v>n.a.</v>
      </c>
      <c r="AI152" s="15" t="str">
        <v>n.a.</v>
      </c>
      <c r="AJ152" s="15" t="str">
        <v>n.a.</v>
      </c>
      <c r="AK152" s="15" t="str">
        <v>n.a.</v>
      </c>
      <c r="AL152" s="15" t="str">
        <v>n.a.</v>
      </c>
      <c r="AM152" s="15" t="str">
        <v>n.a.</v>
      </c>
      <c r="AN152" s="15" t="str">
        <v>n.a.</v>
      </c>
      <c r="AO152" s="15" t="str">
        <v>n.a.</v>
      </c>
      <c r="AP152" s="15" t="str">
        <v>n.a.</v>
      </c>
      <c r="AQ152" s="15" t="str">
        <v>n.a.</v>
      </c>
      <c r="AR152" s="15" t="str">
        <v>n.a.</v>
      </c>
      <c r="AS152" s="15" t="str">
        <v>n.a.</v>
      </c>
      <c r="AT152" s="15" t="n">
        <v>1</v>
      </c>
      <c r="AU152" s="15" t="n">
        <v>2</v>
      </c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</row>
    <row r="153" ht="27" customHeight="1">
      <c r="A153" s="14" t="str">
        <v>I162S2C87J4V2</v>
      </c>
      <c r="B153" s="14" t="str">
        <v>INGENIERIA INDUSTRIAL</v>
      </c>
      <c r="C153" s="14" t="str">
        <v>Pregrado</v>
      </c>
      <c r="D153" s="21" t="n">
        <v>2026</v>
      </c>
      <c r="E153" s="21" t="n">
        <v>2026</v>
      </c>
      <c r="F153" s="14" t="n">
        <v>1</v>
      </c>
      <c r="G153" s="22" t="n">
        <v>0</v>
      </c>
      <c r="H153" s="22" t="n">
        <v>0</v>
      </c>
      <c r="I153" s="22" t="n">
        <v>0</v>
      </c>
      <c r="J153" s="22" t="n">
        <v>0</v>
      </c>
      <c r="K153" s="22" t="n">
        <v>0</v>
      </c>
      <c r="L153" s="22" t="n">
        <v>0</v>
      </c>
      <c r="M153" s="22" t="n">
        <v>0</v>
      </c>
      <c r="N153" s="22" t="n">
        <v>0</v>
      </c>
      <c r="O153" s="22" t="n">
        <v>0</v>
      </c>
      <c r="P153" s="22" t="n">
        <v>0</v>
      </c>
      <c r="Q153" s="22" t="n">
        <v>0</v>
      </c>
      <c r="R153" s="22" t="n">
        <v>0</v>
      </c>
      <c r="S153" s="22" t="n">
        <v>0</v>
      </c>
      <c r="T153" s="22" t="n">
        <v>0</v>
      </c>
      <c r="U153" s="22" t="n">
        <v>0</v>
      </c>
      <c r="V153" s="22" t="n">
        <v>0</v>
      </c>
      <c r="W153" s="22" t="n">
        <v>0</v>
      </c>
      <c r="X153" s="22" t="n">
        <v>0</v>
      </c>
      <c r="Y153" s="22" t="n">
        <v>0</v>
      </c>
      <c r="Z153" s="22" t="n">
        <v>77</v>
      </c>
      <c r="AA153" s="14" t="str">
        <v>APROBADA_D_2027</v>
      </c>
      <c r="AB153" s="14" t="n">
        <v>1</v>
      </c>
      <c r="AC153" s="14" t="str">
        <v>PUBLICA; H002</v>
      </c>
      <c r="AD153" s="14" t="n">
        <v>0</v>
      </c>
      <c r="AE153" s="14" t="str">
        <v>n.a.</v>
      </c>
      <c r="AF153" s="14" t="str">
        <v>n.a.</v>
      </c>
      <c r="AG153" s="14" t="str">
        <v>n.a.</v>
      </c>
      <c r="AH153" s="14" t="str">
        <v>n.a.</v>
      </c>
      <c r="AI153" s="14" t="str">
        <v>n.a.</v>
      </c>
      <c r="AJ153" s="14" t="str">
        <v>n.a.</v>
      </c>
      <c r="AK153" s="14" t="str">
        <v>n.a.</v>
      </c>
      <c r="AL153" s="14" t="str">
        <v>n.a.</v>
      </c>
      <c r="AM153" s="14" t="str">
        <v>n.a.</v>
      </c>
      <c r="AN153" s="14" t="str">
        <v>n.a.</v>
      </c>
      <c r="AO153" s="14" t="str">
        <v>n.a.</v>
      </c>
      <c r="AP153" s="14" t="str">
        <v>n.a.</v>
      </c>
      <c r="AQ153" s="14" t="str">
        <v>n.a.</v>
      </c>
      <c r="AR153" s="14" t="str">
        <v>n.a.</v>
      </c>
      <c r="AS153" s="14" t="str">
        <v>n.a.</v>
      </c>
      <c r="AT153" s="14" t="str">
        <v>n.a.</v>
      </c>
      <c r="AU153" s="14" t="n">
        <v>1</v>
      </c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</row>
    <row r="154" ht="27" customHeight="1">
      <c r="A154" s="15" t="str">
        <v>I162S2C88J4V1</v>
      </c>
      <c r="B154" s="15" t="str">
        <v>INGENIERIA EN CIENCIA DE DATOS</v>
      </c>
      <c r="C154" s="15" t="str">
        <v>Pregrado</v>
      </c>
      <c r="D154" s="23" t="n">
        <v>2025</v>
      </c>
      <c r="E154" s="23" t="n">
        <v>2026</v>
      </c>
      <c r="F154" s="15" t="n">
        <v>2</v>
      </c>
      <c r="G154" s="24" t="n">
        <v>0</v>
      </c>
      <c r="H154" s="24" t="n">
        <v>0</v>
      </c>
      <c r="I154" s="24" t="n">
        <v>0</v>
      </c>
      <c r="J154" s="24" t="n">
        <v>0</v>
      </c>
      <c r="K154" s="24" t="n">
        <v>0</v>
      </c>
      <c r="L154" s="24" t="n">
        <v>0</v>
      </c>
      <c r="M154" s="24" t="n">
        <v>0</v>
      </c>
      <c r="N154" s="24" t="n">
        <v>0</v>
      </c>
      <c r="O154" s="24" t="n">
        <v>0</v>
      </c>
      <c r="P154" s="24" t="n">
        <v>0</v>
      </c>
      <c r="Q154" s="24" t="n">
        <v>0</v>
      </c>
      <c r="R154" s="24" t="n">
        <v>0</v>
      </c>
      <c r="S154" s="24" t="n">
        <v>0</v>
      </c>
      <c r="T154" s="24" t="n">
        <v>0</v>
      </c>
      <c r="U154" s="24" t="n">
        <v>0</v>
      </c>
      <c r="V154" s="24" t="n">
        <v>0</v>
      </c>
      <c r="W154" s="24" t="n">
        <v>0</v>
      </c>
      <c r="X154" s="24" t="n">
        <v>0</v>
      </c>
      <c r="Y154" s="24" t="n">
        <v>43</v>
      </c>
      <c r="Z154" s="24" t="n">
        <v>52</v>
      </c>
      <c r="AA154" s="15" t="str">
        <v>VERSION_MULTIPLE_RESUELTA</v>
      </c>
      <c r="AB154" s="15" t="n">
        <v>1</v>
      </c>
      <c r="AC154" s="15" t="str">
        <v>PUBLICA; H002</v>
      </c>
      <c r="AD154" s="15" t="n">
        <v>0</v>
      </c>
      <c r="AE154" s="15" t="str">
        <v>n.a.</v>
      </c>
      <c r="AF154" s="15" t="str">
        <v>n.a.</v>
      </c>
      <c r="AG154" s="15" t="str">
        <v>n.a.</v>
      </c>
      <c r="AH154" s="15" t="str">
        <v>n.a.</v>
      </c>
      <c r="AI154" s="15" t="str">
        <v>n.a.</v>
      </c>
      <c r="AJ154" s="15" t="str">
        <v>n.a.</v>
      </c>
      <c r="AK154" s="15" t="str">
        <v>n.a.</v>
      </c>
      <c r="AL154" s="15" t="str">
        <v>n.a.</v>
      </c>
      <c r="AM154" s="15" t="str">
        <v>n.a.</v>
      </c>
      <c r="AN154" s="15" t="str">
        <v>n.a.</v>
      </c>
      <c r="AO154" s="15" t="str">
        <v>n.a.</v>
      </c>
      <c r="AP154" s="15" t="str">
        <v>n.a.</v>
      </c>
      <c r="AQ154" s="15" t="str">
        <v>n.a.</v>
      </c>
      <c r="AR154" s="15" t="str">
        <v>n.a.</v>
      </c>
      <c r="AS154" s="15" t="str">
        <v>n.a.</v>
      </c>
      <c r="AT154" s="15" t="n">
        <v>1</v>
      </c>
      <c r="AU154" s="15" t="n">
        <v>1</v>
      </c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</row>
    <row r="155" ht="27" customHeight="1">
      <c r="A155" s="14" t="str">
        <v>I162S2C88J4V2</v>
      </c>
      <c r="B155" s="14" t="str">
        <v>INGENIERIA EN CIENCIA DE DATOS</v>
      </c>
      <c r="C155" s="14" t="str">
        <v>Pregrado</v>
      </c>
      <c r="D155" s="21" t="str">
        <v>n.a.</v>
      </c>
      <c r="E155" s="21" t="str">
        <v>n.a.</v>
      </c>
      <c r="F155" s="14" t="n">
        <v>0</v>
      </c>
      <c r="G155" s="22" t="n">
        <v>0</v>
      </c>
      <c r="H155" s="22" t="n">
        <v>0</v>
      </c>
      <c r="I155" s="22" t="n">
        <v>0</v>
      </c>
      <c r="J155" s="22" t="n">
        <v>0</v>
      </c>
      <c r="K155" s="22" t="n">
        <v>0</v>
      </c>
      <c r="L155" s="22" t="n">
        <v>0</v>
      </c>
      <c r="M155" s="22" t="n">
        <v>0</v>
      </c>
      <c r="N155" s="22" t="n">
        <v>0</v>
      </c>
      <c r="O155" s="22" t="n">
        <v>0</v>
      </c>
      <c r="P155" s="22" t="n">
        <v>0</v>
      </c>
      <c r="Q155" s="22" t="n">
        <v>0</v>
      </c>
      <c r="R155" s="22" t="n">
        <v>0</v>
      </c>
      <c r="S155" s="22" t="n">
        <v>0</v>
      </c>
      <c r="T155" s="22" t="n">
        <v>0</v>
      </c>
      <c r="U155" s="22" t="n">
        <v>0</v>
      </c>
      <c r="V155" s="22" t="n">
        <v>0</v>
      </c>
      <c r="W155" s="22" t="n">
        <v>0</v>
      </c>
      <c r="X155" s="22" t="n">
        <v>0</v>
      </c>
      <c r="Y155" s="22" t="n">
        <v>0</v>
      </c>
      <c r="Z155" s="22" t="n">
        <v>0</v>
      </c>
      <c r="AA155" s="14" t="str">
        <v>VERSION_MULTIPLE_RESUELTA</v>
      </c>
      <c r="AB155" s="14" t="n">
        <v>0</v>
      </c>
      <c r="AC155" s="14" t="str">
        <v>PUBLICA; H002</v>
      </c>
      <c r="AD155" s="14" t="n">
        <v>0</v>
      </c>
      <c r="AE155" s="14" t="str">
        <v>n.a.</v>
      </c>
      <c r="AF155" s="14" t="str">
        <v>n.a.</v>
      </c>
      <c r="AG155" s="14" t="str">
        <v>n.a.</v>
      </c>
      <c r="AH155" s="14" t="str">
        <v>n.a.</v>
      </c>
      <c r="AI155" s="14" t="str">
        <v>n.a.</v>
      </c>
      <c r="AJ155" s="14" t="str">
        <v>n.a.</v>
      </c>
      <c r="AK155" s="14" t="str">
        <v>n.a.</v>
      </c>
      <c r="AL155" s="14" t="str">
        <v>n.a.</v>
      </c>
      <c r="AM155" s="14" t="str">
        <v>n.a.</v>
      </c>
      <c r="AN155" s="14" t="str">
        <v>n.a.</v>
      </c>
      <c r="AO155" s="14" t="str">
        <v>n.a.</v>
      </c>
      <c r="AP155" s="14" t="str">
        <v>n.a.</v>
      </c>
      <c r="AQ155" s="14" t="str">
        <v>n.a.</v>
      </c>
      <c r="AR155" s="14" t="str">
        <v>n.a.</v>
      </c>
      <c r="AS155" s="14" t="str">
        <v>n.a.</v>
      </c>
      <c r="AT155" s="14" t="n">
        <v>1</v>
      </c>
      <c r="AU155" s="14" t="n">
        <v>2</v>
      </c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</row>
    <row r="156" ht="27" customHeight="1">
      <c r="A156" s="15" t="str">
        <v>I162S2C89J4V1</v>
      </c>
      <c r="B156" s="15" t="str">
        <v>TECNICO EN CIENCIA DE DATOS</v>
      </c>
      <c r="C156" s="15" t="str">
        <v>Pregrado</v>
      </c>
      <c r="D156" s="23" t="n">
        <v>2025</v>
      </c>
      <c r="E156" s="23" t="n">
        <v>2026</v>
      </c>
      <c r="F156" s="15" t="n">
        <v>2</v>
      </c>
      <c r="G156" s="24" t="n">
        <v>0</v>
      </c>
      <c r="H156" s="24" t="n">
        <v>0</v>
      </c>
      <c r="I156" s="24" t="n">
        <v>0</v>
      </c>
      <c r="J156" s="24" t="n">
        <v>0</v>
      </c>
      <c r="K156" s="24" t="n">
        <v>0</v>
      </c>
      <c r="L156" s="24" t="n">
        <v>0</v>
      </c>
      <c r="M156" s="24" t="n">
        <v>0</v>
      </c>
      <c r="N156" s="24" t="n">
        <v>0</v>
      </c>
      <c r="O156" s="24" t="n">
        <v>0</v>
      </c>
      <c r="P156" s="24" t="n">
        <v>0</v>
      </c>
      <c r="Q156" s="24" t="n">
        <v>0</v>
      </c>
      <c r="R156" s="24" t="n">
        <v>0</v>
      </c>
      <c r="S156" s="24" t="n">
        <v>0</v>
      </c>
      <c r="T156" s="24" t="n">
        <v>0</v>
      </c>
      <c r="U156" s="24" t="n">
        <v>0</v>
      </c>
      <c r="V156" s="24" t="n">
        <v>0</v>
      </c>
      <c r="W156" s="24" t="n">
        <v>0</v>
      </c>
      <c r="X156" s="24" t="n">
        <v>0</v>
      </c>
      <c r="Y156" s="24" t="n">
        <v>23</v>
      </c>
      <c r="Z156" s="24" t="n">
        <v>37</v>
      </c>
      <c r="AA156" s="15" t="str">
        <v>CONTINUA</v>
      </c>
      <c r="AB156" s="15" t="n">
        <v>1</v>
      </c>
      <c r="AC156" s="15" t="str">
        <v>PUBLICA; H002</v>
      </c>
      <c r="AD156" s="15" t="n">
        <v>0</v>
      </c>
      <c r="AE156" s="15" t="str">
        <v>n.a.</v>
      </c>
      <c r="AF156" s="15" t="str">
        <v>n.a.</v>
      </c>
      <c r="AG156" s="15" t="str">
        <v>n.a.</v>
      </c>
      <c r="AH156" s="15" t="str">
        <v>n.a.</v>
      </c>
      <c r="AI156" s="15" t="str">
        <v>n.a.</v>
      </c>
      <c r="AJ156" s="15" t="str">
        <v>n.a.</v>
      </c>
      <c r="AK156" s="15" t="str">
        <v>n.a.</v>
      </c>
      <c r="AL156" s="15" t="str">
        <v>n.a.</v>
      </c>
      <c r="AM156" s="15" t="str">
        <v>n.a.</v>
      </c>
      <c r="AN156" s="15" t="str">
        <v>n.a.</v>
      </c>
      <c r="AO156" s="15" t="str">
        <v>n.a.</v>
      </c>
      <c r="AP156" s="15" t="str">
        <v>n.a.</v>
      </c>
      <c r="AQ156" s="15" t="str">
        <v>n.a.</v>
      </c>
      <c r="AR156" s="15" t="str">
        <v>n.a.</v>
      </c>
      <c r="AS156" s="15" t="str">
        <v>n.a.</v>
      </c>
      <c r="AT156" s="15" t="n">
        <v>1</v>
      </c>
      <c r="AU156" s="15" t="n">
        <v>1</v>
      </c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</row>
    <row r="157" ht="27" customHeight="1">
      <c r="A157" s="14" t="str">
        <v>I162S2C90J2V1</v>
      </c>
      <c r="B157" s="14" t="str">
        <v>NATUROPATIA</v>
      </c>
      <c r="C157" s="14" t="str">
        <v>Pregrado</v>
      </c>
      <c r="D157" s="21" t="str">
        <v>n.a.</v>
      </c>
      <c r="E157" s="21" t="str">
        <v>n.a.</v>
      </c>
      <c r="F157" s="14" t="n">
        <v>0</v>
      </c>
      <c r="G157" s="22" t="n">
        <v>0</v>
      </c>
      <c r="H157" s="22" t="n">
        <v>0</v>
      </c>
      <c r="I157" s="22" t="n">
        <v>0</v>
      </c>
      <c r="J157" s="22" t="n">
        <v>0</v>
      </c>
      <c r="K157" s="22" t="n">
        <v>0</v>
      </c>
      <c r="L157" s="22" t="n">
        <v>0</v>
      </c>
      <c r="M157" s="22" t="n">
        <v>0</v>
      </c>
      <c r="N157" s="22" t="n">
        <v>0</v>
      </c>
      <c r="O157" s="22" t="n">
        <v>0</v>
      </c>
      <c r="P157" s="22" t="n">
        <v>0</v>
      </c>
      <c r="Q157" s="22" t="n">
        <v>0</v>
      </c>
      <c r="R157" s="22" t="n">
        <v>0</v>
      </c>
      <c r="S157" s="22" t="n">
        <v>0</v>
      </c>
      <c r="T157" s="22" t="n">
        <v>0</v>
      </c>
      <c r="U157" s="22" t="n">
        <v>0</v>
      </c>
      <c r="V157" s="22" t="n">
        <v>0</v>
      </c>
      <c r="W157" s="22" t="n">
        <v>0</v>
      </c>
      <c r="X157" s="22" t="n">
        <v>0</v>
      </c>
      <c r="Y157" s="22" t="n">
        <v>0</v>
      </c>
      <c r="Z157" s="22" t="n">
        <v>0</v>
      </c>
      <c r="AA157" s="14" t="str">
        <v>VERSION_MULTIPLE_RESUELTA</v>
      </c>
      <c r="AB157" s="14" t="n">
        <v>0</v>
      </c>
      <c r="AC157" s="14" t="str">
        <v>PUBLICA; H002</v>
      </c>
      <c r="AD157" s="14" t="n">
        <v>0</v>
      </c>
      <c r="AE157" s="14" t="str">
        <v>n.a.</v>
      </c>
      <c r="AF157" s="14" t="str">
        <v>n.a.</v>
      </c>
      <c r="AG157" s="14" t="str">
        <v>n.a.</v>
      </c>
      <c r="AH157" s="14" t="str">
        <v>n.a.</v>
      </c>
      <c r="AI157" s="14" t="str">
        <v>n.a.</v>
      </c>
      <c r="AJ157" s="14" t="str">
        <v>n.a.</v>
      </c>
      <c r="AK157" s="14" t="str">
        <v>n.a.</v>
      </c>
      <c r="AL157" s="14" t="str">
        <v>n.a.</v>
      </c>
      <c r="AM157" s="14" t="str">
        <v>n.a.</v>
      </c>
      <c r="AN157" s="14" t="str">
        <v>n.a.</v>
      </c>
      <c r="AO157" s="14" t="str">
        <v>n.a.</v>
      </c>
      <c r="AP157" s="14" t="str">
        <v>n.a.</v>
      </c>
      <c r="AQ157" s="14" t="str">
        <v>n.a.</v>
      </c>
      <c r="AR157" s="14" t="str">
        <v>n.a.</v>
      </c>
      <c r="AS157" s="14" t="str">
        <v>n.a.</v>
      </c>
      <c r="AT157" s="14" t="n">
        <v>1</v>
      </c>
      <c r="AU157" s="14" t="n">
        <v>2</v>
      </c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</row>
    <row r="158" ht="27" customHeight="1">
      <c r="A158" s="15" t="str">
        <v>I162S2C90J2V2</v>
      </c>
      <c r="B158" s="15" t="str">
        <v>NATUROPATIA</v>
      </c>
      <c r="C158" s="15" t="str">
        <v>Pregrado</v>
      </c>
      <c r="D158" s="23" t="n">
        <v>2026</v>
      </c>
      <c r="E158" s="23" t="n">
        <v>2026</v>
      </c>
      <c r="F158" s="15" t="n">
        <v>1</v>
      </c>
      <c r="G158" s="24" t="n">
        <v>0</v>
      </c>
      <c r="H158" s="24" t="n">
        <v>0</v>
      </c>
      <c r="I158" s="24" t="n">
        <v>0</v>
      </c>
      <c r="J158" s="24" t="n">
        <v>0</v>
      </c>
      <c r="K158" s="24" t="n">
        <v>0</v>
      </c>
      <c r="L158" s="24" t="n">
        <v>0</v>
      </c>
      <c r="M158" s="24" t="n">
        <v>0</v>
      </c>
      <c r="N158" s="24" t="n">
        <v>0</v>
      </c>
      <c r="O158" s="24" t="n">
        <v>0</v>
      </c>
      <c r="P158" s="24" t="n">
        <v>0</v>
      </c>
      <c r="Q158" s="24" t="n">
        <v>0</v>
      </c>
      <c r="R158" s="24" t="n">
        <v>0</v>
      </c>
      <c r="S158" s="24" t="n">
        <v>0</v>
      </c>
      <c r="T158" s="24" t="n">
        <v>0</v>
      </c>
      <c r="U158" s="24" t="n">
        <v>0</v>
      </c>
      <c r="V158" s="24" t="n">
        <v>0</v>
      </c>
      <c r="W158" s="24" t="n">
        <v>0</v>
      </c>
      <c r="X158" s="24" t="n">
        <v>0</v>
      </c>
      <c r="Y158" s="24" t="n">
        <v>0</v>
      </c>
      <c r="Z158" s="24" t="n">
        <v>22</v>
      </c>
      <c r="AA158" s="15" t="str">
        <v>VERSION_MULTIPLE_RESUELTA</v>
      </c>
      <c r="AB158" s="15" t="n">
        <v>1</v>
      </c>
      <c r="AC158" s="15" t="str">
        <v>PUBLICA; H002</v>
      </c>
      <c r="AD158" s="15" t="n">
        <v>0</v>
      </c>
      <c r="AE158" s="15" t="str">
        <v>n.a.</v>
      </c>
      <c r="AF158" s="15" t="str">
        <v>n.a.</v>
      </c>
      <c r="AG158" s="15" t="str">
        <v>n.a.</v>
      </c>
      <c r="AH158" s="15" t="str">
        <v>n.a.</v>
      </c>
      <c r="AI158" s="15" t="str">
        <v>n.a.</v>
      </c>
      <c r="AJ158" s="15" t="str">
        <v>n.a.</v>
      </c>
      <c r="AK158" s="15" t="str">
        <v>n.a.</v>
      </c>
      <c r="AL158" s="15" t="str">
        <v>n.a.</v>
      </c>
      <c r="AM158" s="15" t="str">
        <v>n.a.</v>
      </c>
      <c r="AN158" s="15" t="str">
        <v>n.a.</v>
      </c>
      <c r="AO158" s="15" t="str">
        <v>n.a.</v>
      </c>
      <c r="AP158" s="15" t="str">
        <v>n.a.</v>
      </c>
      <c r="AQ158" s="15" t="str">
        <v>n.a.</v>
      </c>
      <c r="AR158" s="15" t="str">
        <v>n.a.</v>
      </c>
      <c r="AS158" s="15" t="str">
        <v>n.a.</v>
      </c>
      <c r="AT158" s="15" t="str">
        <v>n.a.</v>
      </c>
      <c r="AU158" s="15" t="n">
        <v>1</v>
      </c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</row>
    <row r="159" ht="27" customHeight="1">
      <c r="A159" s="14" t="str">
        <v>I162S2C91J1V1</v>
      </c>
      <c r="B159" s="14" t="str">
        <v>TECNICO EN ENFERMERIA</v>
      </c>
      <c r="C159" s="14" t="str">
        <v>Pregrado</v>
      </c>
      <c r="D159" s="21" t="n">
        <v>2025</v>
      </c>
      <c r="E159" s="21" t="n">
        <v>2026</v>
      </c>
      <c r="F159" s="14" t="n">
        <v>2</v>
      </c>
      <c r="G159" s="22" t="n">
        <v>0</v>
      </c>
      <c r="H159" s="22" t="n">
        <v>0</v>
      </c>
      <c r="I159" s="22" t="n">
        <v>0</v>
      </c>
      <c r="J159" s="22" t="n">
        <v>0</v>
      </c>
      <c r="K159" s="22" t="n">
        <v>0</v>
      </c>
      <c r="L159" s="22" t="n">
        <v>0</v>
      </c>
      <c r="M159" s="22" t="n">
        <v>0</v>
      </c>
      <c r="N159" s="22" t="n">
        <v>0</v>
      </c>
      <c r="O159" s="22" t="n">
        <v>0</v>
      </c>
      <c r="P159" s="22" t="n">
        <v>0</v>
      </c>
      <c r="Q159" s="22" t="n">
        <v>0</v>
      </c>
      <c r="R159" s="22" t="n">
        <v>0</v>
      </c>
      <c r="S159" s="22" t="n">
        <v>0</v>
      </c>
      <c r="T159" s="22" t="n">
        <v>0</v>
      </c>
      <c r="U159" s="22" t="n">
        <v>0</v>
      </c>
      <c r="V159" s="22" t="n">
        <v>0</v>
      </c>
      <c r="W159" s="22" t="n">
        <v>0</v>
      </c>
      <c r="X159" s="22" t="n">
        <v>0</v>
      </c>
      <c r="Y159" s="22" t="n">
        <v>35</v>
      </c>
      <c r="Z159" s="22" t="n">
        <v>87</v>
      </c>
      <c r="AA159" s="14" t="str">
        <v>CONTINUA</v>
      </c>
      <c r="AB159" s="14" t="n">
        <v>1</v>
      </c>
      <c r="AC159" s="14" t="str">
        <v>PUBLICA; H002</v>
      </c>
      <c r="AD159" s="14" t="n">
        <v>0</v>
      </c>
      <c r="AE159" s="14" t="str">
        <v>n.a.</v>
      </c>
      <c r="AF159" s="14" t="str">
        <v>n.a.</v>
      </c>
      <c r="AG159" s="14" t="str">
        <v>n.a.</v>
      </c>
      <c r="AH159" s="14" t="str">
        <v>n.a.</v>
      </c>
      <c r="AI159" s="14" t="str">
        <v>n.a.</v>
      </c>
      <c r="AJ159" s="14" t="str">
        <v>n.a.</v>
      </c>
      <c r="AK159" s="14" t="str">
        <v>n.a.</v>
      </c>
      <c r="AL159" s="14" t="str">
        <v>n.a.</v>
      </c>
      <c r="AM159" s="14" t="str">
        <v>n.a.</v>
      </c>
      <c r="AN159" s="14" t="str">
        <v>n.a.</v>
      </c>
      <c r="AO159" s="14" t="str">
        <v>n.a.</v>
      </c>
      <c r="AP159" s="14" t="str">
        <v>n.a.</v>
      </c>
      <c r="AQ159" s="14" t="str">
        <v>n.a.</v>
      </c>
      <c r="AR159" s="14" t="str">
        <v>n.a.</v>
      </c>
      <c r="AS159" s="14" t="str">
        <v>n.a.</v>
      </c>
      <c r="AT159" s="14" t="n">
        <v>1</v>
      </c>
      <c r="AU159" s="14" t="n">
        <v>1</v>
      </c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</row>
    <row r="160" ht="27" customHeight="1">
      <c r="A160" s="15" t="str">
        <v>I162S2C91J2V1</v>
      </c>
      <c r="B160" s="15" t="str">
        <v>TECNICO EN ENFERMERIA</v>
      </c>
      <c r="C160" s="15" t="str">
        <v>Pregrado</v>
      </c>
      <c r="D160" s="23" t="n">
        <v>2025</v>
      </c>
      <c r="E160" s="23" t="n">
        <v>2026</v>
      </c>
      <c r="F160" s="15" t="n">
        <v>2</v>
      </c>
      <c r="G160" s="24" t="n">
        <v>0</v>
      </c>
      <c r="H160" s="24" t="n">
        <v>0</v>
      </c>
      <c r="I160" s="24" t="n">
        <v>0</v>
      </c>
      <c r="J160" s="24" t="n">
        <v>0</v>
      </c>
      <c r="K160" s="24" t="n">
        <v>0</v>
      </c>
      <c r="L160" s="24" t="n">
        <v>0</v>
      </c>
      <c r="M160" s="24" t="n">
        <v>0</v>
      </c>
      <c r="N160" s="24" t="n">
        <v>0</v>
      </c>
      <c r="O160" s="24" t="n">
        <v>0</v>
      </c>
      <c r="P160" s="24" t="n">
        <v>0</v>
      </c>
      <c r="Q160" s="24" t="n">
        <v>0</v>
      </c>
      <c r="R160" s="24" t="n">
        <v>0</v>
      </c>
      <c r="S160" s="24" t="n">
        <v>0</v>
      </c>
      <c r="T160" s="24" t="n">
        <v>0</v>
      </c>
      <c r="U160" s="24" t="n">
        <v>0</v>
      </c>
      <c r="V160" s="24" t="n">
        <v>0</v>
      </c>
      <c r="W160" s="24" t="n">
        <v>0</v>
      </c>
      <c r="X160" s="24" t="n">
        <v>0</v>
      </c>
      <c r="Y160" s="24" t="n">
        <v>43</v>
      </c>
      <c r="Z160" s="24" t="n">
        <v>112</v>
      </c>
      <c r="AA160" s="15" t="str">
        <v>CONTINUA</v>
      </c>
      <c r="AB160" s="15" t="n">
        <v>1</v>
      </c>
      <c r="AC160" s="15" t="str">
        <v>PUBLICA; H002</v>
      </c>
      <c r="AD160" s="15" t="n">
        <v>0</v>
      </c>
      <c r="AE160" s="15" t="str">
        <v>n.a.</v>
      </c>
      <c r="AF160" s="15" t="str">
        <v>n.a.</v>
      </c>
      <c r="AG160" s="15" t="str">
        <v>n.a.</v>
      </c>
      <c r="AH160" s="15" t="str">
        <v>n.a.</v>
      </c>
      <c r="AI160" s="15" t="str">
        <v>n.a.</v>
      </c>
      <c r="AJ160" s="15" t="str">
        <v>n.a.</v>
      </c>
      <c r="AK160" s="15" t="str">
        <v>n.a.</v>
      </c>
      <c r="AL160" s="15" t="str">
        <v>n.a.</v>
      </c>
      <c r="AM160" s="15" t="str">
        <v>n.a.</v>
      </c>
      <c r="AN160" s="15" t="str">
        <v>n.a.</v>
      </c>
      <c r="AO160" s="15" t="str">
        <v>n.a.</v>
      </c>
      <c r="AP160" s="15" t="str">
        <v>n.a.</v>
      </c>
      <c r="AQ160" s="15" t="str">
        <v>n.a.</v>
      </c>
      <c r="AR160" s="15" t="str">
        <v>n.a.</v>
      </c>
      <c r="AS160" s="15" t="str">
        <v>n.a.</v>
      </c>
      <c r="AT160" s="15" t="n">
        <v>1</v>
      </c>
      <c r="AU160" s="15" t="n">
        <v>1</v>
      </c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</row>
    <row r="161" ht="27" customHeight="1">
      <c r="A161" s="14" t="str">
        <v>I162S2C91J3V1</v>
      </c>
      <c r="B161" s="14" t="str">
        <v>TECNICO EN ENFERMERIA</v>
      </c>
      <c r="C161" s="14" t="str">
        <v>Pregrado</v>
      </c>
      <c r="D161" s="21" t="str">
        <v>n.a.</v>
      </c>
      <c r="E161" s="21" t="str">
        <v>n.a.</v>
      </c>
      <c r="F161" s="14" t="n">
        <v>0</v>
      </c>
      <c r="G161" s="22" t="n">
        <v>0</v>
      </c>
      <c r="H161" s="22" t="n">
        <v>0</v>
      </c>
      <c r="I161" s="22" t="n">
        <v>0</v>
      </c>
      <c r="J161" s="22" t="n">
        <v>0</v>
      </c>
      <c r="K161" s="22" t="n">
        <v>0</v>
      </c>
      <c r="L161" s="22" t="n">
        <v>0</v>
      </c>
      <c r="M161" s="22" t="n">
        <v>0</v>
      </c>
      <c r="N161" s="22" t="n">
        <v>0</v>
      </c>
      <c r="O161" s="22" t="n">
        <v>0</v>
      </c>
      <c r="P161" s="22" t="n">
        <v>0</v>
      </c>
      <c r="Q161" s="22" t="n">
        <v>0</v>
      </c>
      <c r="R161" s="22" t="n">
        <v>0</v>
      </c>
      <c r="S161" s="22" t="n">
        <v>0</v>
      </c>
      <c r="T161" s="22" t="n">
        <v>0</v>
      </c>
      <c r="U161" s="22" t="n">
        <v>0</v>
      </c>
      <c r="V161" s="22" t="n">
        <v>0</v>
      </c>
      <c r="W161" s="22" t="n">
        <v>0</v>
      </c>
      <c r="X161" s="22" t="n">
        <v>0</v>
      </c>
      <c r="Y161" s="22" t="n">
        <v>0</v>
      </c>
      <c r="Z161" s="22" t="n">
        <v>0</v>
      </c>
      <c r="AA161" s="14" t="str">
        <v>NUEVO_2027_SIN_PLAN_E</v>
      </c>
      <c r="AB161" s="14" t="n">
        <v>0</v>
      </c>
      <c r="AC161" s="14" t="str">
        <v>PUBLICA; H002</v>
      </c>
      <c r="AD161" s="14" t="n">
        <v>0</v>
      </c>
      <c r="AE161" s="14" t="str">
        <v>n.a.</v>
      </c>
      <c r="AF161" s="14" t="str">
        <v>n.a.</v>
      </c>
      <c r="AG161" s="14" t="str">
        <v>n.a.</v>
      </c>
      <c r="AH161" s="14" t="str">
        <v>n.a.</v>
      </c>
      <c r="AI161" s="14" t="str">
        <v>n.a.</v>
      </c>
      <c r="AJ161" s="14" t="str">
        <v>n.a.</v>
      </c>
      <c r="AK161" s="14" t="str">
        <v>n.a.</v>
      </c>
      <c r="AL161" s="14" t="str">
        <v>n.a.</v>
      </c>
      <c r="AM161" s="14" t="str">
        <v>n.a.</v>
      </c>
      <c r="AN161" s="14" t="str">
        <v>n.a.</v>
      </c>
      <c r="AO161" s="14" t="str">
        <v>n.a.</v>
      </c>
      <c r="AP161" s="14" t="str">
        <v>n.a.</v>
      </c>
      <c r="AQ161" s="14" t="str">
        <v>n.a.</v>
      </c>
      <c r="AR161" s="14" t="str">
        <v>n.a.</v>
      </c>
      <c r="AS161" s="14" t="str">
        <v>n.a.</v>
      </c>
      <c r="AT161" s="14" t="str">
        <v>n.a.</v>
      </c>
      <c r="AU161" s="14" t="str">
        <v>n.a.</v>
      </c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</row>
    <row r="162" ht="27" customHeight="1">
      <c r="A162" s="15" t="str">
        <v>I162S2C95J4V1</v>
      </c>
      <c r="B162" s="15" t="str">
        <v>DIPLOMADO EN INTELIGENCIA ARTIFICIAL</v>
      </c>
      <c r="C162" s="15" t="str">
        <v>Postítulo/otro</v>
      </c>
      <c r="D162" s="23" t="n">
        <v>2025</v>
      </c>
      <c r="E162" s="23" t="n">
        <v>2025</v>
      </c>
      <c r="F162" s="15" t="n">
        <v>1</v>
      </c>
      <c r="G162" s="24" t="n">
        <v>0</v>
      </c>
      <c r="H162" s="24" t="n">
        <v>0</v>
      </c>
      <c r="I162" s="24" t="n">
        <v>0</v>
      </c>
      <c r="J162" s="24" t="n">
        <v>0</v>
      </c>
      <c r="K162" s="24" t="n">
        <v>0</v>
      </c>
      <c r="L162" s="24" t="n">
        <v>0</v>
      </c>
      <c r="M162" s="24" t="n">
        <v>0</v>
      </c>
      <c r="N162" s="24" t="n">
        <v>0</v>
      </c>
      <c r="O162" s="24" t="n">
        <v>0</v>
      </c>
      <c r="P162" s="24" t="n">
        <v>0</v>
      </c>
      <c r="Q162" s="24" t="n">
        <v>0</v>
      </c>
      <c r="R162" s="24" t="n">
        <v>0</v>
      </c>
      <c r="S162" s="24" t="n">
        <v>0</v>
      </c>
      <c r="T162" s="24" t="n">
        <v>0</v>
      </c>
      <c r="U162" s="24" t="n">
        <v>0</v>
      </c>
      <c r="V162" s="24" t="n">
        <v>0</v>
      </c>
      <c r="W162" s="24" t="n">
        <v>0</v>
      </c>
      <c r="X162" s="24" t="n">
        <v>0</v>
      </c>
      <c r="Y162" s="24" t="n">
        <v>17</v>
      </c>
      <c r="Z162" s="24" t="n">
        <v>0</v>
      </c>
      <c r="AA162" s="15" t="str">
        <v>FUERA_ALCANCE</v>
      </c>
      <c r="AB162" s="15" t="n">
        <v>1</v>
      </c>
      <c r="AC162" s="15" t="str">
        <v>PUBLICA; H002</v>
      </c>
      <c r="AD162" s="15" t="n">
        <v>0</v>
      </c>
      <c r="AE162" s="15" t="str">
        <v>n.a.</v>
      </c>
      <c r="AF162" s="15" t="str">
        <v>n.a.</v>
      </c>
      <c r="AG162" s="15" t="str">
        <v>n.a.</v>
      </c>
      <c r="AH162" s="15" t="str">
        <v>n.a.</v>
      </c>
      <c r="AI162" s="15" t="str">
        <v>n.a.</v>
      </c>
      <c r="AJ162" s="15" t="str">
        <v>n.a.</v>
      </c>
      <c r="AK162" s="15" t="str">
        <v>n.a.</v>
      </c>
      <c r="AL162" s="15" t="str">
        <v>n.a.</v>
      </c>
      <c r="AM162" s="15" t="str">
        <v>n.a.</v>
      </c>
      <c r="AN162" s="15" t="str">
        <v>n.a.</v>
      </c>
      <c r="AO162" s="15" t="str">
        <v>n.a.</v>
      </c>
      <c r="AP162" s="15" t="str">
        <v>n.a.</v>
      </c>
      <c r="AQ162" s="15" t="str">
        <v>n.a.</v>
      </c>
      <c r="AR162" s="15" t="str">
        <v>n.a.</v>
      </c>
      <c r="AS162" s="15" t="str">
        <v>n.a.</v>
      </c>
      <c r="AT162" s="15" t="n">
        <v>1</v>
      </c>
      <c r="AU162" s="15" t="n">
        <v>1</v>
      </c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</row>
    <row r="163" ht="27" customHeight="1">
      <c r="A163" s="14" t="str">
        <v>I162S2C96J4V1</v>
      </c>
      <c r="B163" s="14" t="str">
        <v>DIPLOMADO EN GOBERNANZA DE DATOS</v>
      </c>
      <c r="C163" s="14" t="str">
        <v>Postítulo/otro</v>
      </c>
      <c r="D163" s="21" t="str">
        <v>n.a.</v>
      </c>
      <c r="E163" s="21" t="str">
        <v>n.a.</v>
      </c>
      <c r="F163" s="14" t="n">
        <v>0</v>
      </c>
      <c r="G163" s="22" t="n">
        <v>0</v>
      </c>
      <c r="H163" s="22" t="n">
        <v>0</v>
      </c>
      <c r="I163" s="22" t="n">
        <v>0</v>
      </c>
      <c r="J163" s="22" t="n">
        <v>0</v>
      </c>
      <c r="K163" s="22" t="n">
        <v>0</v>
      </c>
      <c r="L163" s="22" t="n">
        <v>0</v>
      </c>
      <c r="M163" s="22" t="n">
        <v>0</v>
      </c>
      <c r="N163" s="22" t="n">
        <v>0</v>
      </c>
      <c r="O163" s="22" t="n">
        <v>0</v>
      </c>
      <c r="P163" s="22" t="n">
        <v>0</v>
      </c>
      <c r="Q163" s="22" t="n">
        <v>0</v>
      </c>
      <c r="R163" s="22" t="n">
        <v>0</v>
      </c>
      <c r="S163" s="22" t="n">
        <v>0</v>
      </c>
      <c r="T163" s="22" t="n">
        <v>0</v>
      </c>
      <c r="U163" s="22" t="n">
        <v>0</v>
      </c>
      <c r="V163" s="22" t="n">
        <v>0</v>
      </c>
      <c r="W163" s="22" t="n">
        <v>0</v>
      </c>
      <c r="X163" s="22" t="n">
        <v>0</v>
      </c>
      <c r="Y163" s="22" t="n">
        <v>0</v>
      </c>
      <c r="Z163" s="22" t="n">
        <v>0</v>
      </c>
      <c r="AA163" s="14" t="str">
        <v>FUERA_ALCANCE</v>
      </c>
      <c r="AB163" s="14" t="n">
        <v>0</v>
      </c>
      <c r="AC163" s="14" t="str">
        <v>PUBLICA; H002</v>
      </c>
      <c r="AD163" s="14" t="n">
        <v>0</v>
      </c>
      <c r="AE163" s="14" t="str">
        <v>n.a.</v>
      </c>
      <c r="AF163" s="14" t="str">
        <v>n.a.</v>
      </c>
      <c r="AG163" s="14" t="str">
        <v>n.a.</v>
      </c>
      <c r="AH163" s="14" t="str">
        <v>n.a.</v>
      </c>
      <c r="AI163" s="14" t="str">
        <v>n.a.</v>
      </c>
      <c r="AJ163" s="14" t="str">
        <v>n.a.</v>
      </c>
      <c r="AK163" s="14" t="str">
        <v>n.a.</v>
      </c>
      <c r="AL163" s="14" t="str">
        <v>n.a.</v>
      </c>
      <c r="AM163" s="14" t="str">
        <v>n.a.</v>
      </c>
      <c r="AN163" s="14" t="str">
        <v>n.a.</v>
      </c>
      <c r="AO163" s="14" t="str">
        <v>n.a.</v>
      </c>
      <c r="AP163" s="14" t="str">
        <v>n.a.</v>
      </c>
      <c r="AQ163" s="14" t="str">
        <v>n.a.</v>
      </c>
      <c r="AR163" s="14" t="str">
        <v>n.a.</v>
      </c>
      <c r="AS163" s="14" t="str">
        <v>n.a.</v>
      </c>
      <c r="AT163" s="14" t="n">
        <v>1</v>
      </c>
      <c r="AU163" s="14" t="n">
        <v>1</v>
      </c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</row>
    <row r="164" ht="36" customHeight="1">
      <c r="A164" s="15" t="str">
        <v>I162S2C97J4V1</v>
      </c>
      <c r="B164" s="15" t="str">
        <v>DIPLOMADO EN SUPPLY CHAIN MANAGEMENT Y MINERIA DE REQUERIMIENTOS</v>
      </c>
      <c r="C164" s="15" t="str">
        <v>Postítulo/otro</v>
      </c>
      <c r="D164" s="23" t="str">
        <v>n.a.</v>
      </c>
      <c r="E164" s="23" t="str">
        <v>n.a.</v>
      </c>
      <c r="F164" s="15" t="n">
        <v>0</v>
      </c>
      <c r="G164" s="24" t="n">
        <v>0</v>
      </c>
      <c r="H164" s="24" t="n">
        <v>0</v>
      </c>
      <c r="I164" s="24" t="n">
        <v>0</v>
      </c>
      <c r="J164" s="24" t="n">
        <v>0</v>
      </c>
      <c r="K164" s="24" t="n">
        <v>0</v>
      </c>
      <c r="L164" s="24" t="n">
        <v>0</v>
      </c>
      <c r="M164" s="24" t="n">
        <v>0</v>
      </c>
      <c r="N164" s="24" t="n">
        <v>0</v>
      </c>
      <c r="O164" s="24" t="n">
        <v>0</v>
      </c>
      <c r="P164" s="24" t="n">
        <v>0</v>
      </c>
      <c r="Q164" s="24" t="n">
        <v>0</v>
      </c>
      <c r="R164" s="24" t="n">
        <v>0</v>
      </c>
      <c r="S164" s="24" t="n">
        <v>0</v>
      </c>
      <c r="T164" s="24" t="n">
        <v>0</v>
      </c>
      <c r="U164" s="24" t="n">
        <v>0</v>
      </c>
      <c r="V164" s="24" t="n">
        <v>0</v>
      </c>
      <c r="W164" s="24" t="n">
        <v>0</v>
      </c>
      <c r="X164" s="24" t="n">
        <v>0</v>
      </c>
      <c r="Y164" s="24" t="n">
        <v>0</v>
      </c>
      <c r="Z164" s="24" t="n">
        <v>0</v>
      </c>
      <c r="AA164" s="15" t="str">
        <v>FUERA_ALCANCE</v>
      </c>
      <c r="AB164" s="15" t="n">
        <v>0</v>
      </c>
      <c r="AC164" s="15" t="str">
        <v>PUBLICA; H002</v>
      </c>
      <c r="AD164" s="15" t="n">
        <v>0</v>
      </c>
      <c r="AE164" s="15" t="str">
        <v>n.a.</v>
      </c>
      <c r="AF164" s="15" t="str">
        <v>n.a.</v>
      </c>
      <c r="AG164" s="15" t="str">
        <v>n.a.</v>
      </c>
      <c r="AH164" s="15" t="str">
        <v>n.a.</v>
      </c>
      <c r="AI164" s="15" t="str">
        <v>n.a.</v>
      </c>
      <c r="AJ164" s="15" t="str">
        <v>n.a.</v>
      </c>
      <c r="AK164" s="15" t="str">
        <v>n.a.</v>
      </c>
      <c r="AL164" s="15" t="str">
        <v>n.a.</v>
      </c>
      <c r="AM164" s="15" t="str">
        <v>n.a.</v>
      </c>
      <c r="AN164" s="15" t="str">
        <v>n.a.</v>
      </c>
      <c r="AO164" s="15" t="str">
        <v>n.a.</v>
      </c>
      <c r="AP164" s="15" t="str">
        <v>n.a.</v>
      </c>
      <c r="AQ164" s="15" t="str">
        <v>n.a.</v>
      </c>
      <c r="AR164" s="15" t="str">
        <v>n.a.</v>
      </c>
      <c r="AS164" s="15" t="str">
        <v>n.a.</v>
      </c>
      <c r="AT164" s="15" t="n">
        <v>1</v>
      </c>
      <c r="AU164" s="15" t="n">
        <v>1</v>
      </c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</row>
    <row r="165" ht="36" customHeight="1">
      <c r="A165" s="14" t="str">
        <v>I162S2C98J4V1</v>
      </c>
      <c r="B165" s="14" t="str">
        <v>DIPLOMADO EN HABILIDADES DIRECTIVAS PARA PROFESIONALES STEM</v>
      </c>
      <c r="C165" s="14" t="str">
        <v>Postítulo/otro</v>
      </c>
      <c r="D165" s="21" t="str">
        <v>n.a.</v>
      </c>
      <c r="E165" s="21" t="str">
        <v>n.a.</v>
      </c>
      <c r="F165" s="14" t="n">
        <v>0</v>
      </c>
      <c r="G165" s="22" t="n">
        <v>0</v>
      </c>
      <c r="H165" s="22" t="n">
        <v>0</v>
      </c>
      <c r="I165" s="22" t="n">
        <v>0</v>
      </c>
      <c r="J165" s="22" t="n">
        <v>0</v>
      </c>
      <c r="K165" s="22" t="n">
        <v>0</v>
      </c>
      <c r="L165" s="22" t="n">
        <v>0</v>
      </c>
      <c r="M165" s="22" t="n">
        <v>0</v>
      </c>
      <c r="N165" s="22" t="n">
        <v>0</v>
      </c>
      <c r="O165" s="22" t="n">
        <v>0</v>
      </c>
      <c r="P165" s="22" t="n">
        <v>0</v>
      </c>
      <c r="Q165" s="22" t="n">
        <v>0</v>
      </c>
      <c r="R165" s="22" t="n">
        <v>0</v>
      </c>
      <c r="S165" s="22" t="n">
        <v>0</v>
      </c>
      <c r="T165" s="22" t="n">
        <v>0</v>
      </c>
      <c r="U165" s="22" t="n">
        <v>0</v>
      </c>
      <c r="V165" s="22" t="n">
        <v>0</v>
      </c>
      <c r="W165" s="22" t="n">
        <v>0</v>
      </c>
      <c r="X165" s="22" t="n">
        <v>0</v>
      </c>
      <c r="Y165" s="22" t="n">
        <v>0</v>
      </c>
      <c r="Z165" s="22" t="n">
        <v>0</v>
      </c>
      <c r="AA165" s="14" t="str">
        <v>FUERA_ALCANCE</v>
      </c>
      <c r="AB165" s="14" t="n">
        <v>0</v>
      </c>
      <c r="AC165" s="14" t="str">
        <v>PUBLICA; H002</v>
      </c>
      <c r="AD165" s="14" t="n">
        <v>0</v>
      </c>
      <c r="AE165" s="14" t="str">
        <v>n.a.</v>
      </c>
      <c r="AF165" s="14" t="str">
        <v>n.a.</v>
      </c>
      <c r="AG165" s="14" t="str">
        <v>n.a.</v>
      </c>
      <c r="AH165" s="14" t="str">
        <v>n.a.</v>
      </c>
      <c r="AI165" s="14" t="str">
        <v>n.a.</v>
      </c>
      <c r="AJ165" s="14" t="str">
        <v>n.a.</v>
      </c>
      <c r="AK165" s="14" t="str">
        <v>n.a.</v>
      </c>
      <c r="AL165" s="14" t="str">
        <v>n.a.</v>
      </c>
      <c r="AM165" s="14" t="str">
        <v>n.a.</v>
      </c>
      <c r="AN165" s="14" t="str">
        <v>n.a.</v>
      </c>
      <c r="AO165" s="14" t="str">
        <v>n.a.</v>
      </c>
      <c r="AP165" s="14" t="str">
        <v>n.a.</v>
      </c>
      <c r="AQ165" s="14" t="str">
        <v>n.a.</v>
      </c>
      <c r="AR165" s="14" t="str">
        <v>n.a.</v>
      </c>
      <c r="AS165" s="14" t="str">
        <v>n.a.</v>
      </c>
      <c r="AT165" s="14" t="n">
        <v>1</v>
      </c>
      <c r="AU165" s="14" t="n">
        <v>1</v>
      </c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</row>
    <row r="166" ht="27" customHeight="1">
      <c r="A166" s="15" t="str">
        <v>I162S2C99J4V1</v>
      </c>
      <c r="B166" s="15" t="str">
        <v>DIPLOMADO EN GESTION PUBLICA LOCAL</v>
      </c>
      <c r="C166" s="15" t="str">
        <v>Postítulo/otro</v>
      </c>
      <c r="D166" s="23" t="str">
        <v>n.a.</v>
      </c>
      <c r="E166" s="23" t="str">
        <v>n.a.</v>
      </c>
      <c r="F166" s="15" t="n">
        <v>0</v>
      </c>
      <c r="G166" s="24" t="n">
        <v>0</v>
      </c>
      <c r="H166" s="24" t="n">
        <v>0</v>
      </c>
      <c r="I166" s="24" t="n">
        <v>0</v>
      </c>
      <c r="J166" s="24" t="n">
        <v>0</v>
      </c>
      <c r="K166" s="24" t="n">
        <v>0</v>
      </c>
      <c r="L166" s="24" t="n">
        <v>0</v>
      </c>
      <c r="M166" s="24" t="n">
        <v>0</v>
      </c>
      <c r="N166" s="24" t="n">
        <v>0</v>
      </c>
      <c r="O166" s="24" t="n">
        <v>0</v>
      </c>
      <c r="P166" s="24" t="n">
        <v>0</v>
      </c>
      <c r="Q166" s="24" t="n">
        <v>0</v>
      </c>
      <c r="R166" s="24" t="n">
        <v>0</v>
      </c>
      <c r="S166" s="24" t="n">
        <v>0</v>
      </c>
      <c r="T166" s="24" t="n">
        <v>0</v>
      </c>
      <c r="U166" s="24" t="n">
        <v>0</v>
      </c>
      <c r="V166" s="24" t="n">
        <v>0</v>
      </c>
      <c r="W166" s="24" t="n">
        <v>0</v>
      </c>
      <c r="X166" s="24" t="n">
        <v>0</v>
      </c>
      <c r="Y166" s="24" t="n">
        <v>0</v>
      </c>
      <c r="Z166" s="24" t="n">
        <v>0</v>
      </c>
      <c r="AA166" s="15" t="str">
        <v>FUERA_ALCANCE</v>
      </c>
      <c r="AB166" s="15" t="n">
        <v>0</v>
      </c>
      <c r="AC166" s="15" t="str">
        <v>PUBLICA; H002</v>
      </c>
      <c r="AD166" s="15" t="n">
        <v>0</v>
      </c>
      <c r="AE166" s="15" t="str">
        <v>n.a.</v>
      </c>
      <c r="AF166" s="15" t="str">
        <v>n.a.</v>
      </c>
      <c r="AG166" s="15" t="str">
        <v>n.a.</v>
      </c>
      <c r="AH166" s="15" t="str">
        <v>n.a.</v>
      </c>
      <c r="AI166" s="15" t="str">
        <v>n.a.</v>
      </c>
      <c r="AJ166" s="15" t="str">
        <v>n.a.</v>
      </c>
      <c r="AK166" s="15" t="str">
        <v>n.a.</v>
      </c>
      <c r="AL166" s="15" t="str">
        <v>n.a.</v>
      </c>
      <c r="AM166" s="15" t="str">
        <v>n.a.</v>
      </c>
      <c r="AN166" s="15" t="str">
        <v>n.a.</v>
      </c>
      <c r="AO166" s="15" t="str">
        <v>n.a.</v>
      </c>
      <c r="AP166" s="15" t="str">
        <v>n.a.</v>
      </c>
      <c r="AQ166" s="15" t="str">
        <v>n.a.</v>
      </c>
      <c r="AR166" s="15" t="str">
        <v>n.a.</v>
      </c>
      <c r="AS166" s="15" t="str">
        <v>n.a.</v>
      </c>
      <c r="AT166" s="15" t="n">
        <v>1</v>
      </c>
      <c r="AU166" s="15" t="n">
        <v>1</v>
      </c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</row>
    <row r="167" ht="36" customHeight="1">
      <c r="A167" s="14" t="str">
        <v>I162S3C114J2V1</v>
      </c>
      <c r="B167" s="14" t="str">
        <v>TECNICO EN ENFERMERIA E INSTRUMENTACION QUIRURGICA</v>
      </c>
      <c r="C167" s="14" t="str">
        <v>Pregrado</v>
      </c>
      <c r="D167" s="21" t="n">
        <v>2026</v>
      </c>
      <c r="E167" s="21" t="n">
        <v>2026</v>
      </c>
      <c r="F167" s="14" t="n">
        <v>1</v>
      </c>
      <c r="G167" s="22" t="n">
        <v>0</v>
      </c>
      <c r="H167" s="22" t="n">
        <v>0</v>
      </c>
      <c r="I167" s="22" t="n">
        <v>0</v>
      </c>
      <c r="J167" s="22" t="n">
        <v>0</v>
      </c>
      <c r="K167" s="22" t="n">
        <v>0</v>
      </c>
      <c r="L167" s="22" t="n">
        <v>0</v>
      </c>
      <c r="M167" s="22" t="n">
        <v>0</v>
      </c>
      <c r="N167" s="22" t="n">
        <v>0</v>
      </c>
      <c r="O167" s="22" t="n">
        <v>0</v>
      </c>
      <c r="P167" s="22" t="n">
        <v>0</v>
      </c>
      <c r="Q167" s="22" t="n">
        <v>0</v>
      </c>
      <c r="R167" s="22" t="n">
        <v>0</v>
      </c>
      <c r="S167" s="22" t="n">
        <v>0</v>
      </c>
      <c r="T167" s="22" t="n">
        <v>0</v>
      </c>
      <c r="U167" s="22" t="n">
        <v>0</v>
      </c>
      <c r="V167" s="22" t="n">
        <v>0</v>
      </c>
      <c r="W167" s="22" t="n">
        <v>0</v>
      </c>
      <c r="X167" s="22" t="n">
        <v>0</v>
      </c>
      <c r="Y167" s="22" t="n">
        <v>0</v>
      </c>
      <c r="Z167" s="22" t="n">
        <v>36</v>
      </c>
      <c r="AA167" s="14" t="str">
        <v>CONTINUA</v>
      </c>
      <c r="AB167" s="14" t="n">
        <v>1</v>
      </c>
      <c r="AC167" s="14" t="str">
        <v>PUBLICA; H002</v>
      </c>
      <c r="AD167" s="14" t="n">
        <v>0</v>
      </c>
      <c r="AE167" s="14" t="str">
        <v>n.a.</v>
      </c>
      <c r="AF167" s="14" t="str">
        <v>n.a.</v>
      </c>
      <c r="AG167" s="14" t="str">
        <v>n.a.</v>
      </c>
      <c r="AH167" s="14" t="str">
        <v>n.a.</v>
      </c>
      <c r="AI167" s="14" t="str">
        <v>n.a.</v>
      </c>
      <c r="AJ167" s="14" t="str">
        <v>n.a.</v>
      </c>
      <c r="AK167" s="14" t="str">
        <v>n.a.</v>
      </c>
      <c r="AL167" s="14" t="str">
        <v>n.a.</v>
      </c>
      <c r="AM167" s="14" t="str">
        <v>n.a.</v>
      </c>
      <c r="AN167" s="14" t="str">
        <v>n.a.</v>
      </c>
      <c r="AO167" s="14" t="str">
        <v>n.a.</v>
      </c>
      <c r="AP167" s="14" t="str">
        <v>n.a.</v>
      </c>
      <c r="AQ167" s="14" t="str">
        <v>n.a.</v>
      </c>
      <c r="AR167" s="14" t="str">
        <v>n.a.</v>
      </c>
      <c r="AS167" s="14" t="str">
        <v>n.a.</v>
      </c>
      <c r="AT167" s="14" t="str">
        <v>n.a.</v>
      </c>
      <c r="AU167" s="14" t="n">
        <v>1</v>
      </c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</row>
    <row r="168" ht="27" customHeight="1">
      <c r="A168" s="15" t="str">
        <v>I162S3C115J2V1</v>
      </c>
      <c r="B168" s="15" t="str">
        <v>TECNICO EN FARMACIA</v>
      </c>
      <c r="C168" s="15" t="str">
        <v>Pregrado</v>
      </c>
      <c r="D168" s="23" t="n">
        <v>2026</v>
      </c>
      <c r="E168" s="23" t="n">
        <v>2026</v>
      </c>
      <c r="F168" s="15" t="n">
        <v>1</v>
      </c>
      <c r="G168" s="24" t="n">
        <v>0</v>
      </c>
      <c r="H168" s="24" t="n">
        <v>0</v>
      </c>
      <c r="I168" s="24" t="n">
        <v>0</v>
      </c>
      <c r="J168" s="24" t="n">
        <v>0</v>
      </c>
      <c r="K168" s="24" t="n">
        <v>0</v>
      </c>
      <c r="L168" s="24" t="n">
        <v>0</v>
      </c>
      <c r="M168" s="24" t="n">
        <v>0</v>
      </c>
      <c r="N168" s="24" t="n">
        <v>0</v>
      </c>
      <c r="O168" s="24" t="n">
        <v>0</v>
      </c>
      <c r="P168" s="24" t="n">
        <v>0</v>
      </c>
      <c r="Q168" s="24" t="n">
        <v>0</v>
      </c>
      <c r="R168" s="24" t="n">
        <v>0</v>
      </c>
      <c r="S168" s="24" t="n">
        <v>0</v>
      </c>
      <c r="T168" s="24" t="n">
        <v>0</v>
      </c>
      <c r="U168" s="24" t="n">
        <v>0</v>
      </c>
      <c r="V168" s="24" t="n">
        <v>0</v>
      </c>
      <c r="W168" s="24" t="n">
        <v>0</v>
      </c>
      <c r="X168" s="24" t="n">
        <v>0</v>
      </c>
      <c r="Y168" s="24" t="n">
        <v>0</v>
      </c>
      <c r="Z168" s="24" t="n">
        <v>19</v>
      </c>
      <c r="AA168" s="15" t="str">
        <v>CONTINUA</v>
      </c>
      <c r="AB168" s="15" t="n">
        <v>1</v>
      </c>
      <c r="AC168" s="15" t="str">
        <v>PUBLICA; H002</v>
      </c>
      <c r="AD168" s="15" t="n">
        <v>0</v>
      </c>
      <c r="AE168" s="15" t="str">
        <v>n.a.</v>
      </c>
      <c r="AF168" s="15" t="str">
        <v>n.a.</v>
      </c>
      <c r="AG168" s="15" t="str">
        <v>n.a.</v>
      </c>
      <c r="AH168" s="15" t="str">
        <v>n.a.</v>
      </c>
      <c r="AI168" s="15" t="str">
        <v>n.a.</v>
      </c>
      <c r="AJ168" s="15" t="str">
        <v>n.a.</v>
      </c>
      <c r="AK168" s="15" t="str">
        <v>n.a.</v>
      </c>
      <c r="AL168" s="15" t="str">
        <v>n.a.</v>
      </c>
      <c r="AM168" s="15" t="str">
        <v>n.a.</v>
      </c>
      <c r="AN168" s="15" t="str">
        <v>n.a.</v>
      </c>
      <c r="AO168" s="15" t="str">
        <v>n.a.</v>
      </c>
      <c r="AP168" s="15" t="str">
        <v>n.a.</v>
      </c>
      <c r="AQ168" s="15" t="str">
        <v>n.a.</v>
      </c>
      <c r="AR168" s="15" t="str">
        <v>n.a.</v>
      </c>
      <c r="AS168" s="15" t="str">
        <v>n.a.</v>
      </c>
      <c r="AT168" s="15" t="str">
        <v>n.a.</v>
      </c>
      <c r="AU168" s="15" t="n">
        <v>1</v>
      </c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</row>
    <row r="169" ht="27" customHeight="1">
      <c r="A169" s="14" t="str">
        <v>I162S3C115J3V1</v>
      </c>
      <c r="B169" s="14" t="str">
        <v>TECNICO EN FARMACIA</v>
      </c>
      <c r="C169" s="14" t="str">
        <v>Pregrado</v>
      </c>
      <c r="D169" s="21" t="str">
        <v>n.a.</v>
      </c>
      <c r="E169" s="21" t="str">
        <v>n.a.</v>
      </c>
      <c r="F169" s="14" t="n">
        <v>0</v>
      </c>
      <c r="G169" s="22" t="n">
        <v>0</v>
      </c>
      <c r="H169" s="22" t="n">
        <v>0</v>
      </c>
      <c r="I169" s="22" t="n">
        <v>0</v>
      </c>
      <c r="J169" s="22" t="n">
        <v>0</v>
      </c>
      <c r="K169" s="22" t="n">
        <v>0</v>
      </c>
      <c r="L169" s="22" t="n">
        <v>0</v>
      </c>
      <c r="M169" s="22" t="n">
        <v>0</v>
      </c>
      <c r="N169" s="22" t="n">
        <v>0</v>
      </c>
      <c r="O169" s="22" t="n">
        <v>0</v>
      </c>
      <c r="P169" s="22" t="n">
        <v>0</v>
      </c>
      <c r="Q169" s="22" t="n">
        <v>0</v>
      </c>
      <c r="R169" s="22" t="n">
        <v>0</v>
      </c>
      <c r="S169" s="22" t="n">
        <v>0</v>
      </c>
      <c r="T169" s="22" t="n">
        <v>0</v>
      </c>
      <c r="U169" s="22" t="n">
        <v>0</v>
      </c>
      <c r="V169" s="22" t="n">
        <v>0</v>
      </c>
      <c r="W169" s="22" t="n">
        <v>0</v>
      </c>
      <c r="X169" s="22" t="n">
        <v>0</v>
      </c>
      <c r="Y169" s="22" t="n">
        <v>0</v>
      </c>
      <c r="Z169" s="22" t="n">
        <v>0</v>
      </c>
      <c r="AA169" s="14" t="str">
        <v>NUEVO_2027_SIN_PLAN_E</v>
      </c>
      <c r="AB169" s="14" t="n">
        <v>0</v>
      </c>
      <c r="AC169" s="14" t="str">
        <v>PUBLICA; H002</v>
      </c>
      <c r="AD169" s="14" t="n">
        <v>0</v>
      </c>
      <c r="AE169" s="14" t="str">
        <v>n.a.</v>
      </c>
      <c r="AF169" s="14" t="str">
        <v>n.a.</v>
      </c>
      <c r="AG169" s="14" t="str">
        <v>n.a.</v>
      </c>
      <c r="AH169" s="14" t="str">
        <v>n.a.</v>
      </c>
      <c r="AI169" s="14" t="str">
        <v>n.a.</v>
      </c>
      <c r="AJ169" s="14" t="str">
        <v>n.a.</v>
      </c>
      <c r="AK169" s="14" t="str">
        <v>n.a.</v>
      </c>
      <c r="AL169" s="14" t="str">
        <v>n.a.</v>
      </c>
      <c r="AM169" s="14" t="str">
        <v>n.a.</v>
      </c>
      <c r="AN169" s="14" t="str">
        <v>n.a.</v>
      </c>
      <c r="AO169" s="14" t="str">
        <v>n.a.</v>
      </c>
      <c r="AP169" s="14" t="str">
        <v>n.a.</v>
      </c>
      <c r="AQ169" s="14" t="str">
        <v>n.a.</v>
      </c>
      <c r="AR169" s="14" t="str">
        <v>n.a.</v>
      </c>
      <c r="AS169" s="14" t="str">
        <v>n.a.</v>
      </c>
      <c r="AT169" s="14" t="str">
        <v>n.a.</v>
      </c>
      <c r="AU169" s="14" t="str">
        <v>n.a.</v>
      </c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</row>
    <row r="170" ht="27" customHeight="1">
      <c r="A170" s="15" t="str">
        <v>I162S3C132J3V1</v>
      </c>
      <c r="B170" s="15" t="str">
        <v>INGENIERIA EN CONSTRUCCION</v>
      </c>
      <c r="C170" s="15" t="str">
        <v>Pregrado</v>
      </c>
      <c r="D170" s="23" t="str">
        <v>n.a.</v>
      </c>
      <c r="E170" s="23" t="str">
        <v>n.a.</v>
      </c>
      <c r="F170" s="15" t="n">
        <v>0</v>
      </c>
      <c r="G170" s="24" t="n">
        <v>0</v>
      </c>
      <c r="H170" s="24" t="n">
        <v>0</v>
      </c>
      <c r="I170" s="24" t="n">
        <v>0</v>
      </c>
      <c r="J170" s="24" t="n">
        <v>0</v>
      </c>
      <c r="K170" s="24" t="n">
        <v>0</v>
      </c>
      <c r="L170" s="24" t="n">
        <v>0</v>
      </c>
      <c r="M170" s="24" t="n">
        <v>0</v>
      </c>
      <c r="N170" s="24" t="n">
        <v>0</v>
      </c>
      <c r="O170" s="24" t="n">
        <v>0</v>
      </c>
      <c r="P170" s="24" t="n">
        <v>0</v>
      </c>
      <c r="Q170" s="24" t="n">
        <v>0</v>
      </c>
      <c r="R170" s="24" t="n">
        <v>0</v>
      </c>
      <c r="S170" s="24" t="n">
        <v>0</v>
      </c>
      <c r="T170" s="24" t="n">
        <v>0</v>
      </c>
      <c r="U170" s="24" t="n">
        <v>0</v>
      </c>
      <c r="V170" s="24" t="n">
        <v>0</v>
      </c>
      <c r="W170" s="24" t="n">
        <v>0</v>
      </c>
      <c r="X170" s="24" t="n">
        <v>0</v>
      </c>
      <c r="Y170" s="24" t="n">
        <v>0</v>
      </c>
      <c r="Z170" s="24" t="n">
        <v>0</v>
      </c>
      <c r="AA170" s="15" t="str">
        <v>NUEVO_2027_SIN_PLAN_E</v>
      </c>
      <c r="AB170" s="15" t="n">
        <v>0</v>
      </c>
      <c r="AC170" s="15" t="str">
        <v>PUBLICA; H002</v>
      </c>
      <c r="AD170" s="15" t="n">
        <v>0</v>
      </c>
      <c r="AE170" s="15" t="str">
        <v>n.a.</v>
      </c>
      <c r="AF170" s="15" t="str">
        <v>n.a.</v>
      </c>
      <c r="AG170" s="15" t="str">
        <v>n.a.</v>
      </c>
      <c r="AH170" s="15" t="str">
        <v>n.a.</v>
      </c>
      <c r="AI170" s="15" t="str">
        <v>n.a.</v>
      </c>
      <c r="AJ170" s="15" t="str">
        <v>n.a.</v>
      </c>
      <c r="AK170" s="15" t="str">
        <v>n.a.</v>
      </c>
      <c r="AL170" s="15" t="str">
        <v>n.a.</v>
      </c>
      <c r="AM170" s="15" t="str">
        <v>n.a.</v>
      </c>
      <c r="AN170" s="15" t="str">
        <v>n.a.</v>
      </c>
      <c r="AO170" s="15" t="str">
        <v>n.a.</v>
      </c>
      <c r="AP170" s="15" t="str">
        <v>n.a.</v>
      </c>
      <c r="AQ170" s="15" t="str">
        <v>n.a.</v>
      </c>
      <c r="AR170" s="15" t="str">
        <v>n.a.</v>
      </c>
      <c r="AS170" s="15" t="str">
        <v>n.a.</v>
      </c>
      <c r="AT170" s="15" t="str">
        <v>n.a.</v>
      </c>
      <c r="AU170" s="15" t="str">
        <v>n.a.</v>
      </c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</row>
    <row r="171" ht="27" customHeight="1">
      <c r="A171" s="14" t="str">
        <v>I162S3C133J3V1</v>
      </c>
      <c r="B171" s="14" t="str">
        <v>INGENIERIA EN ELECTRICIDAD</v>
      </c>
      <c r="C171" s="14" t="str">
        <v>Pregrado</v>
      </c>
      <c r="D171" s="21" t="str">
        <v>n.a.</v>
      </c>
      <c r="E171" s="21" t="str">
        <v>n.a.</v>
      </c>
      <c r="F171" s="14" t="n">
        <v>0</v>
      </c>
      <c r="G171" s="22" t="n">
        <v>0</v>
      </c>
      <c r="H171" s="22" t="n">
        <v>0</v>
      </c>
      <c r="I171" s="22" t="n">
        <v>0</v>
      </c>
      <c r="J171" s="22" t="n">
        <v>0</v>
      </c>
      <c r="K171" s="22" t="n">
        <v>0</v>
      </c>
      <c r="L171" s="22" t="n">
        <v>0</v>
      </c>
      <c r="M171" s="22" t="n">
        <v>0</v>
      </c>
      <c r="N171" s="22" t="n">
        <v>0</v>
      </c>
      <c r="O171" s="22" t="n">
        <v>0</v>
      </c>
      <c r="P171" s="22" t="n">
        <v>0</v>
      </c>
      <c r="Q171" s="22" t="n">
        <v>0</v>
      </c>
      <c r="R171" s="22" t="n">
        <v>0</v>
      </c>
      <c r="S171" s="22" t="n">
        <v>0</v>
      </c>
      <c r="T171" s="22" t="n">
        <v>0</v>
      </c>
      <c r="U171" s="22" t="n">
        <v>0</v>
      </c>
      <c r="V171" s="22" t="n">
        <v>0</v>
      </c>
      <c r="W171" s="22" t="n">
        <v>0</v>
      </c>
      <c r="X171" s="22" t="n">
        <v>0</v>
      </c>
      <c r="Y171" s="22" t="n">
        <v>0</v>
      </c>
      <c r="Z171" s="22" t="n">
        <v>0</v>
      </c>
      <c r="AA171" s="14" t="str">
        <v>NUEVO_2027_SIN_PLAN_E</v>
      </c>
      <c r="AB171" s="14" t="n">
        <v>0</v>
      </c>
      <c r="AC171" s="14" t="str">
        <v>PUBLICA; H002</v>
      </c>
      <c r="AD171" s="14" t="n">
        <v>0</v>
      </c>
      <c r="AE171" s="14" t="str">
        <v>n.a.</v>
      </c>
      <c r="AF171" s="14" t="str">
        <v>n.a.</v>
      </c>
      <c r="AG171" s="14" t="str">
        <v>n.a.</v>
      </c>
      <c r="AH171" s="14" t="str">
        <v>n.a.</v>
      </c>
      <c r="AI171" s="14" t="str">
        <v>n.a.</v>
      </c>
      <c r="AJ171" s="14" t="str">
        <v>n.a.</v>
      </c>
      <c r="AK171" s="14" t="str">
        <v>n.a.</v>
      </c>
      <c r="AL171" s="14" t="str">
        <v>n.a.</v>
      </c>
      <c r="AM171" s="14" t="str">
        <v>n.a.</v>
      </c>
      <c r="AN171" s="14" t="str">
        <v>n.a.</v>
      </c>
      <c r="AO171" s="14" t="str">
        <v>n.a.</v>
      </c>
      <c r="AP171" s="14" t="str">
        <v>n.a.</v>
      </c>
      <c r="AQ171" s="14" t="str">
        <v>n.a.</v>
      </c>
      <c r="AR171" s="14" t="str">
        <v>n.a.</v>
      </c>
      <c r="AS171" s="14" t="str">
        <v>n.a.</v>
      </c>
      <c r="AT171" s="14" t="str">
        <v>n.a.</v>
      </c>
      <c r="AU171" s="14" t="str">
        <v>n.a.</v>
      </c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</row>
    <row r="172" ht="27" customHeight="1">
      <c r="A172" s="15" t="str">
        <v>I162S3C137J3V1</v>
      </c>
      <c r="B172" s="15" t="str">
        <v>TECNICO EN CONSTRUCCION</v>
      </c>
      <c r="C172" s="15" t="str">
        <v>Pregrado</v>
      </c>
      <c r="D172" s="23" t="str">
        <v>n.a.</v>
      </c>
      <c r="E172" s="23" t="str">
        <v>n.a.</v>
      </c>
      <c r="F172" s="15" t="n">
        <v>0</v>
      </c>
      <c r="G172" s="24" t="n">
        <v>0</v>
      </c>
      <c r="H172" s="24" t="n">
        <v>0</v>
      </c>
      <c r="I172" s="24" t="n">
        <v>0</v>
      </c>
      <c r="J172" s="24" t="n">
        <v>0</v>
      </c>
      <c r="K172" s="24" t="n">
        <v>0</v>
      </c>
      <c r="L172" s="24" t="n">
        <v>0</v>
      </c>
      <c r="M172" s="24" t="n">
        <v>0</v>
      </c>
      <c r="N172" s="24" t="n">
        <v>0</v>
      </c>
      <c r="O172" s="24" t="n">
        <v>0</v>
      </c>
      <c r="P172" s="24" t="n">
        <v>0</v>
      </c>
      <c r="Q172" s="24" t="n">
        <v>0</v>
      </c>
      <c r="R172" s="24" t="n">
        <v>0</v>
      </c>
      <c r="S172" s="24" t="n">
        <v>0</v>
      </c>
      <c r="T172" s="24" t="n">
        <v>0</v>
      </c>
      <c r="U172" s="24" t="n">
        <v>0</v>
      </c>
      <c r="V172" s="24" t="n">
        <v>0</v>
      </c>
      <c r="W172" s="24" t="n">
        <v>0</v>
      </c>
      <c r="X172" s="24" t="n">
        <v>0</v>
      </c>
      <c r="Y172" s="24" t="n">
        <v>0</v>
      </c>
      <c r="Z172" s="24" t="n">
        <v>0</v>
      </c>
      <c r="AA172" s="15" t="str">
        <v>NUEVO_2027_SIN_PLAN_E</v>
      </c>
      <c r="AB172" s="15" t="n">
        <v>0</v>
      </c>
      <c r="AC172" s="15" t="str">
        <v>PUBLICA; H002</v>
      </c>
      <c r="AD172" s="15" t="n">
        <v>0</v>
      </c>
      <c r="AE172" s="15" t="str">
        <v>n.a.</v>
      </c>
      <c r="AF172" s="15" t="str">
        <v>n.a.</v>
      </c>
      <c r="AG172" s="15" t="str">
        <v>n.a.</v>
      </c>
      <c r="AH172" s="15" t="str">
        <v>n.a.</v>
      </c>
      <c r="AI172" s="15" t="str">
        <v>n.a.</v>
      </c>
      <c r="AJ172" s="15" t="str">
        <v>n.a.</v>
      </c>
      <c r="AK172" s="15" t="str">
        <v>n.a.</v>
      </c>
      <c r="AL172" s="15" t="str">
        <v>n.a.</v>
      </c>
      <c r="AM172" s="15" t="str">
        <v>n.a.</v>
      </c>
      <c r="AN172" s="15" t="str">
        <v>n.a.</v>
      </c>
      <c r="AO172" s="15" t="str">
        <v>n.a.</v>
      </c>
      <c r="AP172" s="15" t="str">
        <v>n.a.</v>
      </c>
      <c r="AQ172" s="15" t="str">
        <v>n.a.</v>
      </c>
      <c r="AR172" s="15" t="str">
        <v>n.a.</v>
      </c>
      <c r="AS172" s="15" t="str">
        <v>n.a.</v>
      </c>
      <c r="AT172" s="15" t="str">
        <v>n.a.</v>
      </c>
      <c r="AU172" s="15" t="str">
        <v>n.a.</v>
      </c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</row>
    <row r="173" ht="27" customHeight="1">
      <c r="A173" s="14" t="str">
        <v>I162S3C138J3V1</v>
      </c>
      <c r="B173" s="14" t="str">
        <v>TECNICO EN ELECTRICIDAD</v>
      </c>
      <c r="C173" s="14" t="str">
        <v>Pregrado</v>
      </c>
      <c r="D173" s="21" t="str">
        <v>n.a.</v>
      </c>
      <c r="E173" s="21" t="str">
        <v>n.a.</v>
      </c>
      <c r="F173" s="14" t="n">
        <v>0</v>
      </c>
      <c r="G173" s="22" t="n">
        <v>0</v>
      </c>
      <c r="H173" s="22" t="n">
        <v>0</v>
      </c>
      <c r="I173" s="22" t="n">
        <v>0</v>
      </c>
      <c r="J173" s="22" t="n">
        <v>0</v>
      </c>
      <c r="K173" s="22" t="n">
        <v>0</v>
      </c>
      <c r="L173" s="22" t="n">
        <v>0</v>
      </c>
      <c r="M173" s="22" t="n">
        <v>0</v>
      </c>
      <c r="N173" s="22" t="n">
        <v>0</v>
      </c>
      <c r="O173" s="22" t="n">
        <v>0</v>
      </c>
      <c r="P173" s="22" t="n">
        <v>0</v>
      </c>
      <c r="Q173" s="22" t="n">
        <v>0</v>
      </c>
      <c r="R173" s="22" t="n">
        <v>0</v>
      </c>
      <c r="S173" s="22" t="n">
        <v>0</v>
      </c>
      <c r="T173" s="22" t="n">
        <v>0</v>
      </c>
      <c r="U173" s="22" t="n">
        <v>0</v>
      </c>
      <c r="V173" s="22" t="n">
        <v>0</v>
      </c>
      <c r="W173" s="22" t="n">
        <v>0</v>
      </c>
      <c r="X173" s="22" t="n">
        <v>0</v>
      </c>
      <c r="Y173" s="22" t="n">
        <v>0</v>
      </c>
      <c r="Z173" s="22" t="n">
        <v>0</v>
      </c>
      <c r="AA173" s="14" t="str">
        <v>NUEVO_2027_SIN_PLAN_E</v>
      </c>
      <c r="AB173" s="14" t="n">
        <v>0</v>
      </c>
      <c r="AC173" s="14" t="str">
        <v>PUBLICA; H002</v>
      </c>
      <c r="AD173" s="14" t="n">
        <v>0</v>
      </c>
      <c r="AE173" s="14" t="str">
        <v>n.a.</v>
      </c>
      <c r="AF173" s="14" t="str">
        <v>n.a.</v>
      </c>
      <c r="AG173" s="14" t="str">
        <v>n.a.</v>
      </c>
      <c r="AH173" s="14" t="str">
        <v>n.a.</v>
      </c>
      <c r="AI173" s="14" t="str">
        <v>n.a.</v>
      </c>
      <c r="AJ173" s="14" t="str">
        <v>n.a.</v>
      </c>
      <c r="AK173" s="14" t="str">
        <v>n.a.</v>
      </c>
      <c r="AL173" s="14" t="str">
        <v>n.a.</v>
      </c>
      <c r="AM173" s="14" t="str">
        <v>n.a.</v>
      </c>
      <c r="AN173" s="14" t="str">
        <v>n.a.</v>
      </c>
      <c r="AO173" s="14" t="str">
        <v>n.a.</v>
      </c>
      <c r="AP173" s="14" t="str">
        <v>n.a.</v>
      </c>
      <c r="AQ173" s="14" t="str">
        <v>n.a.</v>
      </c>
      <c r="AR173" s="14" t="str">
        <v>n.a.</v>
      </c>
      <c r="AS173" s="14" t="str">
        <v>n.a.</v>
      </c>
      <c r="AT173" s="14" t="str">
        <v>n.a.</v>
      </c>
      <c r="AU173" s="14" t="str">
        <v>n.a.</v>
      </c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</row>
    <row r="174" ht="27" customHeight="1">
      <c r="A174" s="15" t="str">
        <v>I162S3C139J3V1</v>
      </c>
      <c r="B174" s="15" t="str">
        <v>TECNICO EN IMAGENOLOGIA</v>
      </c>
      <c r="C174" s="15" t="str">
        <v>Pregrado</v>
      </c>
      <c r="D174" s="23" t="str">
        <v>n.a.</v>
      </c>
      <c r="E174" s="23" t="str">
        <v>n.a.</v>
      </c>
      <c r="F174" s="15" t="n">
        <v>0</v>
      </c>
      <c r="G174" s="24" t="n">
        <v>0</v>
      </c>
      <c r="H174" s="24" t="n">
        <v>0</v>
      </c>
      <c r="I174" s="24" t="n">
        <v>0</v>
      </c>
      <c r="J174" s="24" t="n">
        <v>0</v>
      </c>
      <c r="K174" s="24" t="n">
        <v>0</v>
      </c>
      <c r="L174" s="24" t="n">
        <v>0</v>
      </c>
      <c r="M174" s="24" t="n">
        <v>0</v>
      </c>
      <c r="N174" s="24" t="n">
        <v>0</v>
      </c>
      <c r="O174" s="24" t="n">
        <v>0</v>
      </c>
      <c r="P174" s="24" t="n">
        <v>0</v>
      </c>
      <c r="Q174" s="24" t="n">
        <v>0</v>
      </c>
      <c r="R174" s="24" t="n">
        <v>0</v>
      </c>
      <c r="S174" s="24" t="n">
        <v>0</v>
      </c>
      <c r="T174" s="24" t="n">
        <v>0</v>
      </c>
      <c r="U174" s="24" t="n">
        <v>0</v>
      </c>
      <c r="V174" s="24" t="n">
        <v>0</v>
      </c>
      <c r="W174" s="24" t="n">
        <v>0</v>
      </c>
      <c r="X174" s="24" t="n">
        <v>0</v>
      </c>
      <c r="Y174" s="24" t="n">
        <v>0</v>
      </c>
      <c r="Z174" s="24" t="n">
        <v>0</v>
      </c>
      <c r="AA174" s="15" t="str">
        <v>NUEVO_2027_SIN_PLAN_E</v>
      </c>
      <c r="AB174" s="15" t="n">
        <v>0</v>
      </c>
      <c r="AC174" s="15" t="str">
        <v>PUBLICA; H002</v>
      </c>
      <c r="AD174" s="15" t="n">
        <v>0</v>
      </c>
      <c r="AE174" s="15" t="str">
        <v>n.a.</v>
      </c>
      <c r="AF174" s="15" t="str">
        <v>n.a.</v>
      </c>
      <c r="AG174" s="15" t="str">
        <v>n.a.</v>
      </c>
      <c r="AH174" s="15" t="str">
        <v>n.a.</v>
      </c>
      <c r="AI174" s="15" t="str">
        <v>n.a.</v>
      </c>
      <c r="AJ174" s="15" t="str">
        <v>n.a.</v>
      </c>
      <c r="AK174" s="15" t="str">
        <v>n.a.</v>
      </c>
      <c r="AL174" s="15" t="str">
        <v>n.a.</v>
      </c>
      <c r="AM174" s="15" t="str">
        <v>n.a.</v>
      </c>
      <c r="AN174" s="15" t="str">
        <v>n.a.</v>
      </c>
      <c r="AO174" s="15" t="str">
        <v>n.a.</v>
      </c>
      <c r="AP174" s="15" t="str">
        <v>n.a.</v>
      </c>
      <c r="AQ174" s="15" t="str">
        <v>n.a.</v>
      </c>
      <c r="AR174" s="15" t="str">
        <v>n.a.</v>
      </c>
      <c r="AS174" s="15" t="str">
        <v>n.a.</v>
      </c>
      <c r="AT174" s="15" t="str">
        <v>n.a.</v>
      </c>
      <c r="AU174" s="15" t="str">
        <v>n.a.</v>
      </c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</row>
    <row r="175" ht="27" customHeight="1">
      <c r="A175" s="14" t="str">
        <v>I162S3C141J3V1</v>
      </c>
      <c r="B175" s="14" t="str">
        <v>TECNICO EN ODONTOLOGIA</v>
      </c>
      <c r="C175" s="14" t="str">
        <v>Pregrado</v>
      </c>
      <c r="D175" s="21" t="str">
        <v>n.a.</v>
      </c>
      <c r="E175" s="21" t="str">
        <v>n.a.</v>
      </c>
      <c r="F175" s="14" t="n">
        <v>0</v>
      </c>
      <c r="G175" s="22" t="n">
        <v>0</v>
      </c>
      <c r="H175" s="22" t="n">
        <v>0</v>
      </c>
      <c r="I175" s="22" t="n">
        <v>0</v>
      </c>
      <c r="J175" s="22" t="n">
        <v>0</v>
      </c>
      <c r="K175" s="22" t="n">
        <v>0</v>
      </c>
      <c r="L175" s="22" t="n">
        <v>0</v>
      </c>
      <c r="M175" s="22" t="n">
        <v>0</v>
      </c>
      <c r="N175" s="22" t="n">
        <v>0</v>
      </c>
      <c r="O175" s="22" t="n">
        <v>0</v>
      </c>
      <c r="P175" s="22" t="n">
        <v>0</v>
      </c>
      <c r="Q175" s="22" t="n">
        <v>0</v>
      </c>
      <c r="R175" s="22" t="n">
        <v>0</v>
      </c>
      <c r="S175" s="22" t="n">
        <v>0</v>
      </c>
      <c r="T175" s="22" t="n">
        <v>0</v>
      </c>
      <c r="U175" s="22" t="n">
        <v>0</v>
      </c>
      <c r="V175" s="22" t="n">
        <v>0</v>
      </c>
      <c r="W175" s="22" t="n">
        <v>0</v>
      </c>
      <c r="X175" s="22" t="n">
        <v>0</v>
      </c>
      <c r="Y175" s="22" t="n">
        <v>0</v>
      </c>
      <c r="Z175" s="22" t="n">
        <v>0</v>
      </c>
      <c r="AA175" s="14" t="str">
        <v>NUEVO_2027_SIN_PLAN_E</v>
      </c>
      <c r="AB175" s="14" t="n">
        <v>0</v>
      </c>
      <c r="AC175" s="14" t="str">
        <v>PUBLICA; H002</v>
      </c>
      <c r="AD175" s="14" t="n">
        <v>0</v>
      </c>
      <c r="AE175" s="14" t="str">
        <v>n.a.</v>
      </c>
      <c r="AF175" s="14" t="str">
        <v>n.a.</v>
      </c>
      <c r="AG175" s="14" t="str">
        <v>n.a.</v>
      </c>
      <c r="AH175" s="14" t="str">
        <v>n.a.</v>
      </c>
      <c r="AI175" s="14" t="str">
        <v>n.a.</v>
      </c>
      <c r="AJ175" s="14" t="str">
        <v>n.a.</v>
      </c>
      <c r="AK175" s="14" t="str">
        <v>n.a.</v>
      </c>
      <c r="AL175" s="14" t="str">
        <v>n.a.</v>
      </c>
      <c r="AM175" s="14" t="str">
        <v>n.a.</v>
      </c>
      <c r="AN175" s="14" t="str">
        <v>n.a.</v>
      </c>
      <c r="AO175" s="14" t="str">
        <v>n.a.</v>
      </c>
      <c r="AP175" s="14" t="str">
        <v>n.a.</v>
      </c>
      <c r="AQ175" s="14" t="str">
        <v>n.a.</v>
      </c>
      <c r="AR175" s="14" t="str">
        <v>n.a.</v>
      </c>
      <c r="AS175" s="14" t="str">
        <v>n.a.</v>
      </c>
      <c r="AT175" s="14" t="str">
        <v>n.a.</v>
      </c>
      <c r="AU175" s="14" t="str">
        <v>n.a.</v>
      </c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</row>
    <row r="176" ht="36" customHeight="1">
      <c r="A176" s="15" t="str">
        <v>I162S3C143J3V1</v>
      </c>
      <c r="B176" s="15" t="str">
        <v>TECNICO VETERINARIO EN CLINICA DE ANIMALES DE COMPAÑIA</v>
      </c>
      <c r="C176" s="15" t="str">
        <v>Pregrado</v>
      </c>
      <c r="D176" s="23" t="str">
        <v>n.a.</v>
      </c>
      <c r="E176" s="23" t="str">
        <v>n.a.</v>
      </c>
      <c r="F176" s="15" t="n">
        <v>0</v>
      </c>
      <c r="G176" s="24" t="n">
        <v>0</v>
      </c>
      <c r="H176" s="24" t="n">
        <v>0</v>
      </c>
      <c r="I176" s="24" t="n">
        <v>0</v>
      </c>
      <c r="J176" s="24" t="n">
        <v>0</v>
      </c>
      <c r="K176" s="24" t="n">
        <v>0</v>
      </c>
      <c r="L176" s="24" t="n">
        <v>0</v>
      </c>
      <c r="M176" s="24" t="n">
        <v>0</v>
      </c>
      <c r="N176" s="24" t="n">
        <v>0</v>
      </c>
      <c r="O176" s="24" t="n">
        <v>0</v>
      </c>
      <c r="P176" s="24" t="n">
        <v>0</v>
      </c>
      <c r="Q176" s="24" t="n">
        <v>0</v>
      </c>
      <c r="R176" s="24" t="n">
        <v>0</v>
      </c>
      <c r="S176" s="24" t="n">
        <v>0</v>
      </c>
      <c r="T176" s="24" t="n">
        <v>0</v>
      </c>
      <c r="U176" s="24" t="n">
        <v>0</v>
      </c>
      <c r="V176" s="24" t="n">
        <v>0</v>
      </c>
      <c r="W176" s="24" t="n">
        <v>0</v>
      </c>
      <c r="X176" s="24" t="n">
        <v>0</v>
      </c>
      <c r="Y176" s="24" t="n">
        <v>0</v>
      </c>
      <c r="Z176" s="24" t="n">
        <v>0</v>
      </c>
      <c r="AA176" s="15" t="str">
        <v>NUEVO_2027_SIN_PLAN_E</v>
      </c>
      <c r="AB176" s="15" t="n">
        <v>0</v>
      </c>
      <c r="AC176" s="15" t="str">
        <v>PUBLICA; H002</v>
      </c>
      <c r="AD176" s="15" t="n">
        <v>0</v>
      </c>
      <c r="AE176" s="15" t="str">
        <v>n.a.</v>
      </c>
      <c r="AF176" s="15" t="str">
        <v>n.a.</v>
      </c>
      <c r="AG176" s="15" t="str">
        <v>n.a.</v>
      </c>
      <c r="AH176" s="15" t="str">
        <v>n.a.</v>
      </c>
      <c r="AI176" s="15" t="str">
        <v>n.a.</v>
      </c>
      <c r="AJ176" s="15" t="str">
        <v>n.a.</v>
      </c>
      <c r="AK176" s="15" t="str">
        <v>n.a.</v>
      </c>
      <c r="AL176" s="15" t="str">
        <v>n.a.</v>
      </c>
      <c r="AM176" s="15" t="str">
        <v>n.a.</v>
      </c>
      <c r="AN176" s="15" t="str">
        <v>n.a.</v>
      </c>
      <c r="AO176" s="15" t="str">
        <v>n.a.</v>
      </c>
      <c r="AP176" s="15" t="str">
        <v>n.a.</v>
      </c>
      <c r="AQ176" s="15" t="str">
        <v>n.a.</v>
      </c>
      <c r="AR176" s="15" t="str">
        <v>n.a.</v>
      </c>
      <c r="AS176" s="15" t="str">
        <v>n.a.</v>
      </c>
      <c r="AT176" s="15" t="str">
        <v>n.a.</v>
      </c>
      <c r="AU176" s="15" t="str">
        <v>n.a.</v>
      </c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</row>
    <row r="177" ht="27" customHeight="1">
      <c r="A177" s="14" t="str">
        <v>I162S3C91J1V1</v>
      </c>
      <c r="B177" s="14" t="str">
        <v>TECNICO EN ENFERMERIA</v>
      </c>
      <c r="C177" s="14" t="str">
        <v>Pregrado</v>
      </c>
      <c r="D177" s="21" t="str">
        <v>n.a.</v>
      </c>
      <c r="E177" s="21" t="str">
        <v>n.a.</v>
      </c>
      <c r="F177" s="14" t="n">
        <v>0</v>
      </c>
      <c r="G177" s="22" t="n">
        <v>0</v>
      </c>
      <c r="H177" s="22" t="n">
        <v>0</v>
      </c>
      <c r="I177" s="22" t="n">
        <v>0</v>
      </c>
      <c r="J177" s="22" t="n">
        <v>0</v>
      </c>
      <c r="K177" s="22" t="n">
        <v>0</v>
      </c>
      <c r="L177" s="22" t="n">
        <v>0</v>
      </c>
      <c r="M177" s="22" t="n">
        <v>0</v>
      </c>
      <c r="N177" s="22" t="n">
        <v>0</v>
      </c>
      <c r="O177" s="22" t="n">
        <v>0</v>
      </c>
      <c r="P177" s="22" t="n">
        <v>0</v>
      </c>
      <c r="Q177" s="22" t="n">
        <v>0</v>
      </c>
      <c r="R177" s="22" t="n">
        <v>0</v>
      </c>
      <c r="S177" s="22" t="n">
        <v>0</v>
      </c>
      <c r="T177" s="22" t="n">
        <v>0</v>
      </c>
      <c r="U177" s="22" t="n">
        <v>0</v>
      </c>
      <c r="V177" s="22" t="n">
        <v>0</v>
      </c>
      <c r="W177" s="22" t="n">
        <v>0</v>
      </c>
      <c r="X177" s="22" t="n">
        <v>0</v>
      </c>
      <c r="Y177" s="22" t="n">
        <v>0</v>
      </c>
      <c r="Z177" s="22" t="n">
        <v>0</v>
      </c>
      <c r="AA177" s="14" t="str">
        <v>NUEVO_2027_SIN_PLAN_E</v>
      </c>
      <c r="AB177" s="14" t="n">
        <v>0</v>
      </c>
      <c r="AC177" s="14" t="str">
        <v>PUBLICA; H002</v>
      </c>
      <c r="AD177" s="14" t="n">
        <v>0</v>
      </c>
      <c r="AE177" s="14" t="str">
        <v>n.a.</v>
      </c>
      <c r="AF177" s="14" t="str">
        <v>n.a.</v>
      </c>
      <c r="AG177" s="14" t="str">
        <v>n.a.</v>
      </c>
      <c r="AH177" s="14" t="str">
        <v>n.a.</v>
      </c>
      <c r="AI177" s="14" t="str">
        <v>n.a.</v>
      </c>
      <c r="AJ177" s="14" t="str">
        <v>n.a.</v>
      </c>
      <c r="AK177" s="14" t="str">
        <v>n.a.</v>
      </c>
      <c r="AL177" s="14" t="str">
        <v>n.a.</v>
      </c>
      <c r="AM177" s="14" t="str">
        <v>n.a.</v>
      </c>
      <c r="AN177" s="14" t="str">
        <v>n.a.</v>
      </c>
      <c r="AO177" s="14" t="str">
        <v>n.a.</v>
      </c>
      <c r="AP177" s="14" t="str">
        <v>n.a.</v>
      </c>
      <c r="AQ177" s="14" t="str">
        <v>n.a.</v>
      </c>
      <c r="AR177" s="14" t="str">
        <v>n.a.</v>
      </c>
      <c r="AS177" s="14" t="str">
        <v>n.a.</v>
      </c>
      <c r="AT177" s="14" t="str">
        <v>n.a.</v>
      </c>
      <c r="AU177" s="14" t="str">
        <v>n.a.</v>
      </c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</row>
    <row r="178" ht="27" customHeight="1">
      <c r="A178" s="15" t="str">
        <v>I162S3C91J2V1</v>
      </c>
      <c r="B178" s="15" t="str">
        <v>TECNICO EN ENFERMERIA</v>
      </c>
      <c r="C178" s="15" t="str">
        <v>Pregrado</v>
      </c>
      <c r="D178" s="23" t="n">
        <v>2026</v>
      </c>
      <c r="E178" s="23" t="n">
        <v>2026</v>
      </c>
      <c r="F178" s="15" t="n">
        <v>1</v>
      </c>
      <c r="G178" s="24" t="n">
        <v>0</v>
      </c>
      <c r="H178" s="24" t="n">
        <v>0</v>
      </c>
      <c r="I178" s="24" t="n">
        <v>0</v>
      </c>
      <c r="J178" s="24" t="n">
        <v>0</v>
      </c>
      <c r="K178" s="24" t="n">
        <v>0</v>
      </c>
      <c r="L178" s="24" t="n">
        <v>0</v>
      </c>
      <c r="M178" s="24" t="n">
        <v>0</v>
      </c>
      <c r="N178" s="24" t="n">
        <v>0</v>
      </c>
      <c r="O178" s="24" t="n">
        <v>0</v>
      </c>
      <c r="P178" s="24" t="n">
        <v>0</v>
      </c>
      <c r="Q178" s="24" t="n">
        <v>0</v>
      </c>
      <c r="R178" s="24" t="n">
        <v>0</v>
      </c>
      <c r="S178" s="24" t="n">
        <v>0</v>
      </c>
      <c r="T178" s="24" t="n">
        <v>0</v>
      </c>
      <c r="U178" s="24" t="n">
        <v>0</v>
      </c>
      <c r="V178" s="24" t="n">
        <v>0</v>
      </c>
      <c r="W178" s="24" t="n">
        <v>0</v>
      </c>
      <c r="X178" s="24" t="n">
        <v>0</v>
      </c>
      <c r="Y178" s="24" t="n">
        <v>0</v>
      </c>
      <c r="Z178" s="24" t="n">
        <v>18</v>
      </c>
      <c r="AA178" s="15" t="str">
        <v>CONTINUA</v>
      </c>
      <c r="AB178" s="15" t="n">
        <v>1</v>
      </c>
      <c r="AC178" s="15" t="str">
        <v>PUBLICA; H002</v>
      </c>
      <c r="AD178" s="15" t="n">
        <v>0</v>
      </c>
      <c r="AE178" s="15" t="str">
        <v>n.a.</v>
      </c>
      <c r="AF178" s="15" t="str">
        <v>n.a.</v>
      </c>
      <c r="AG178" s="15" t="str">
        <v>n.a.</v>
      </c>
      <c r="AH178" s="15" t="str">
        <v>n.a.</v>
      </c>
      <c r="AI178" s="15" t="str">
        <v>n.a.</v>
      </c>
      <c r="AJ178" s="15" t="str">
        <v>n.a.</v>
      </c>
      <c r="AK178" s="15" t="str">
        <v>n.a.</v>
      </c>
      <c r="AL178" s="15" t="str">
        <v>n.a.</v>
      </c>
      <c r="AM178" s="15" t="str">
        <v>n.a.</v>
      </c>
      <c r="AN178" s="15" t="str">
        <v>n.a.</v>
      </c>
      <c r="AO178" s="15" t="str">
        <v>n.a.</v>
      </c>
      <c r="AP178" s="15" t="str">
        <v>n.a.</v>
      </c>
      <c r="AQ178" s="15" t="str">
        <v>n.a.</v>
      </c>
      <c r="AR178" s="15" t="str">
        <v>n.a.</v>
      </c>
      <c r="AS178" s="15" t="str">
        <v>n.a.</v>
      </c>
      <c r="AT178" s="15" t="str">
        <v>n.a.</v>
      </c>
      <c r="AU178" s="15" t="n">
        <v>1</v>
      </c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</row>
    <row r="179" ht="27" customHeight="1">
      <c r="A179" s="14" t="str">
        <v>I162S3C91J3V1</v>
      </c>
      <c r="B179" s="14" t="str">
        <v>TECNICO EN ENFERMERIA</v>
      </c>
      <c r="C179" s="14" t="str">
        <v>Pregrado</v>
      </c>
      <c r="D179" s="21" t="str">
        <v>n.a.</v>
      </c>
      <c r="E179" s="21" t="str">
        <v>n.a.</v>
      </c>
      <c r="F179" s="14" t="n">
        <v>0</v>
      </c>
      <c r="G179" s="22" t="n">
        <v>0</v>
      </c>
      <c r="H179" s="22" t="n">
        <v>0</v>
      </c>
      <c r="I179" s="22" t="n">
        <v>0</v>
      </c>
      <c r="J179" s="22" t="n">
        <v>0</v>
      </c>
      <c r="K179" s="22" t="n">
        <v>0</v>
      </c>
      <c r="L179" s="22" t="n">
        <v>0</v>
      </c>
      <c r="M179" s="22" t="n">
        <v>0</v>
      </c>
      <c r="N179" s="22" t="n">
        <v>0</v>
      </c>
      <c r="O179" s="22" t="n">
        <v>0</v>
      </c>
      <c r="P179" s="22" t="n">
        <v>0</v>
      </c>
      <c r="Q179" s="22" t="n">
        <v>0</v>
      </c>
      <c r="R179" s="22" t="n">
        <v>0</v>
      </c>
      <c r="S179" s="22" t="n">
        <v>0</v>
      </c>
      <c r="T179" s="22" t="n">
        <v>0</v>
      </c>
      <c r="U179" s="22" t="n">
        <v>0</v>
      </c>
      <c r="V179" s="22" t="n">
        <v>0</v>
      </c>
      <c r="W179" s="22" t="n">
        <v>0</v>
      </c>
      <c r="X179" s="22" t="n">
        <v>0</v>
      </c>
      <c r="Y179" s="22" t="n">
        <v>0</v>
      </c>
      <c r="Z179" s="22" t="n">
        <v>0</v>
      </c>
      <c r="AA179" s="14" t="str">
        <v>NUEVO_2027_SIN_PLAN_E</v>
      </c>
      <c r="AB179" s="14" t="n">
        <v>0</v>
      </c>
      <c r="AC179" s="14" t="str">
        <v>PUBLICA; H002</v>
      </c>
      <c r="AD179" s="14" t="n">
        <v>0</v>
      </c>
      <c r="AE179" s="14" t="str">
        <v>n.a.</v>
      </c>
      <c r="AF179" s="14" t="str">
        <v>n.a.</v>
      </c>
      <c r="AG179" s="14" t="str">
        <v>n.a.</v>
      </c>
      <c r="AH179" s="14" t="str">
        <v>n.a.</v>
      </c>
      <c r="AI179" s="14" t="str">
        <v>n.a.</v>
      </c>
      <c r="AJ179" s="14" t="str">
        <v>n.a.</v>
      </c>
      <c r="AK179" s="14" t="str">
        <v>n.a.</v>
      </c>
      <c r="AL179" s="14" t="str">
        <v>n.a.</v>
      </c>
      <c r="AM179" s="14" t="str">
        <v>n.a.</v>
      </c>
      <c r="AN179" s="14" t="str">
        <v>n.a.</v>
      </c>
      <c r="AO179" s="14" t="str">
        <v>n.a.</v>
      </c>
      <c r="AP179" s="14" t="str">
        <v>n.a.</v>
      </c>
      <c r="AQ179" s="14" t="str">
        <v>n.a.</v>
      </c>
      <c r="AR179" s="14" t="str">
        <v>n.a.</v>
      </c>
      <c r="AS179" s="14" t="str">
        <v>n.a.</v>
      </c>
      <c r="AT179" s="14" t="str">
        <v>n.a.</v>
      </c>
      <c r="AU179" s="14" t="str">
        <v>n.a.</v>
      </c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</row>
    <row r="180" ht="36" customHeight="1">
      <c r="A180" s="15" t="str">
        <v>I162S4C114J2V1</v>
      </c>
      <c r="B180" s="15" t="str">
        <v>TECNICO EN ENFERMERIA E INSTRUMENTACION QUIRURGICA</v>
      </c>
      <c r="C180" s="15" t="str">
        <v>Pregrado</v>
      </c>
      <c r="D180" s="23" t="str">
        <v>n.a.</v>
      </c>
      <c r="E180" s="23" t="str">
        <v>n.a.</v>
      </c>
      <c r="F180" s="15" t="n">
        <v>0</v>
      </c>
      <c r="G180" s="24" t="n">
        <v>0</v>
      </c>
      <c r="H180" s="24" t="n">
        <v>0</v>
      </c>
      <c r="I180" s="24" t="n">
        <v>0</v>
      </c>
      <c r="J180" s="24" t="n">
        <v>0</v>
      </c>
      <c r="K180" s="24" t="n">
        <v>0</v>
      </c>
      <c r="L180" s="24" t="n">
        <v>0</v>
      </c>
      <c r="M180" s="24" t="n">
        <v>0</v>
      </c>
      <c r="N180" s="24" t="n">
        <v>0</v>
      </c>
      <c r="O180" s="24" t="n">
        <v>0</v>
      </c>
      <c r="P180" s="24" t="n">
        <v>0</v>
      </c>
      <c r="Q180" s="24" t="n">
        <v>0</v>
      </c>
      <c r="R180" s="24" t="n">
        <v>0</v>
      </c>
      <c r="S180" s="24" t="n">
        <v>0</v>
      </c>
      <c r="T180" s="24" t="n">
        <v>0</v>
      </c>
      <c r="U180" s="24" t="n">
        <v>0</v>
      </c>
      <c r="V180" s="24" t="n">
        <v>0</v>
      </c>
      <c r="W180" s="24" t="n">
        <v>0</v>
      </c>
      <c r="X180" s="24" t="n">
        <v>0</v>
      </c>
      <c r="Y180" s="24" t="n">
        <v>0</v>
      </c>
      <c r="Z180" s="24" t="n">
        <v>0</v>
      </c>
      <c r="AA180" s="15" t="str">
        <v>NUEVO_2027_SIN_PLAN_E</v>
      </c>
      <c r="AB180" s="15" t="n">
        <v>0</v>
      </c>
      <c r="AC180" s="15" t="str">
        <v>PUBLICA; H002</v>
      </c>
      <c r="AD180" s="15" t="n">
        <v>0</v>
      </c>
      <c r="AE180" s="15" t="str">
        <v>n.a.</v>
      </c>
      <c r="AF180" s="15" t="str">
        <v>n.a.</v>
      </c>
      <c r="AG180" s="15" t="str">
        <v>n.a.</v>
      </c>
      <c r="AH180" s="15" t="str">
        <v>n.a.</v>
      </c>
      <c r="AI180" s="15" t="str">
        <v>n.a.</v>
      </c>
      <c r="AJ180" s="15" t="str">
        <v>n.a.</v>
      </c>
      <c r="AK180" s="15" t="str">
        <v>n.a.</v>
      </c>
      <c r="AL180" s="15" t="str">
        <v>n.a.</v>
      </c>
      <c r="AM180" s="15" t="str">
        <v>n.a.</v>
      </c>
      <c r="AN180" s="15" t="str">
        <v>n.a.</v>
      </c>
      <c r="AO180" s="15" t="str">
        <v>n.a.</v>
      </c>
      <c r="AP180" s="15" t="str">
        <v>n.a.</v>
      </c>
      <c r="AQ180" s="15" t="str">
        <v>n.a.</v>
      </c>
      <c r="AR180" s="15" t="str">
        <v>n.a.</v>
      </c>
      <c r="AS180" s="15" t="str">
        <v>n.a.</v>
      </c>
      <c r="AT180" s="15" t="str">
        <v>n.a.</v>
      </c>
      <c r="AU180" s="15" t="str">
        <v>n.a.</v>
      </c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</row>
    <row r="181" ht="27" customHeight="1">
      <c r="A181" s="14" t="str">
        <v>I162S4C115J2V1</v>
      </c>
      <c r="B181" s="14" t="str">
        <v>TECNICO EN FARMACIA</v>
      </c>
      <c r="C181" s="14" t="str">
        <v>Pregrado</v>
      </c>
      <c r="D181" s="21" t="str">
        <v>n.a.</v>
      </c>
      <c r="E181" s="21" t="str">
        <v>n.a.</v>
      </c>
      <c r="F181" s="14" t="n">
        <v>0</v>
      </c>
      <c r="G181" s="22" t="n">
        <v>0</v>
      </c>
      <c r="H181" s="22" t="n">
        <v>0</v>
      </c>
      <c r="I181" s="22" t="n">
        <v>0</v>
      </c>
      <c r="J181" s="22" t="n">
        <v>0</v>
      </c>
      <c r="K181" s="22" t="n">
        <v>0</v>
      </c>
      <c r="L181" s="22" t="n">
        <v>0</v>
      </c>
      <c r="M181" s="22" t="n">
        <v>0</v>
      </c>
      <c r="N181" s="22" t="n">
        <v>0</v>
      </c>
      <c r="O181" s="22" t="n">
        <v>0</v>
      </c>
      <c r="P181" s="22" t="n">
        <v>0</v>
      </c>
      <c r="Q181" s="22" t="n">
        <v>0</v>
      </c>
      <c r="R181" s="22" t="n">
        <v>0</v>
      </c>
      <c r="S181" s="22" t="n">
        <v>0</v>
      </c>
      <c r="T181" s="22" t="n">
        <v>0</v>
      </c>
      <c r="U181" s="22" t="n">
        <v>0</v>
      </c>
      <c r="V181" s="22" t="n">
        <v>0</v>
      </c>
      <c r="W181" s="22" t="n">
        <v>0</v>
      </c>
      <c r="X181" s="22" t="n">
        <v>0</v>
      </c>
      <c r="Y181" s="22" t="n">
        <v>0</v>
      </c>
      <c r="Z181" s="22" t="n">
        <v>0</v>
      </c>
      <c r="AA181" s="14" t="str">
        <v>NUEVO_2027_SIN_PLAN_E</v>
      </c>
      <c r="AB181" s="14" t="n">
        <v>0</v>
      </c>
      <c r="AC181" s="14" t="str">
        <v>PUBLICA; H002</v>
      </c>
      <c r="AD181" s="14" t="n">
        <v>0</v>
      </c>
      <c r="AE181" s="14" t="str">
        <v>n.a.</v>
      </c>
      <c r="AF181" s="14" t="str">
        <v>n.a.</v>
      </c>
      <c r="AG181" s="14" t="str">
        <v>n.a.</v>
      </c>
      <c r="AH181" s="14" t="str">
        <v>n.a.</v>
      </c>
      <c r="AI181" s="14" t="str">
        <v>n.a.</v>
      </c>
      <c r="AJ181" s="14" t="str">
        <v>n.a.</v>
      </c>
      <c r="AK181" s="14" t="str">
        <v>n.a.</v>
      </c>
      <c r="AL181" s="14" t="str">
        <v>n.a.</v>
      </c>
      <c r="AM181" s="14" t="str">
        <v>n.a.</v>
      </c>
      <c r="AN181" s="14" t="str">
        <v>n.a.</v>
      </c>
      <c r="AO181" s="14" t="str">
        <v>n.a.</v>
      </c>
      <c r="AP181" s="14" t="str">
        <v>n.a.</v>
      </c>
      <c r="AQ181" s="14" t="str">
        <v>n.a.</v>
      </c>
      <c r="AR181" s="14" t="str">
        <v>n.a.</v>
      </c>
      <c r="AS181" s="14" t="str">
        <v>n.a.</v>
      </c>
      <c r="AT181" s="14" t="str">
        <v>n.a.</v>
      </c>
      <c r="AU181" s="14" t="str">
        <v>n.a.</v>
      </c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</row>
    <row r="182" ht="27" customHeight="1">
      <c r="A182" s="15" t="str">
        <v>I162S4C115J3V1</v>
      </c>
      <c r="B182" s="15" t="str">
        <v>TECNICO EN FARMACIA</v>
      </c>
      <c r="C182" s="15" t="str">
        <v>Pregrado</v>
      </c>
      <c r="D182" s="23" t="str">
        <v>n.a.</v>
      </c>
      <c r="E182" s="23" t="str">
        <v>n.a.</v>
      </c>
      <c r="F182" s="15" t="n">
        <v>0</v>
      </c>
      <c r="G182" s="24" t="n">
        <v>0</v>
      </c>
      <c r="H182" s="24" t="n">
        <v>0</v>
      </c>
      <c r="I182" s="24" t="n">
        <v>0</v>
      </c>
      <c r="J182" s="24" t="n">
        <v>0</v>
      </c>
      <c r="K182" s="24" t="n">
        <v>0</v>
      </c>
      <c r="L182" s="24" t="n">
        <v>0</v>
      </c>
      <c r="M182" s="24" t="n">
        <v>0</v>
      </c>
      <c r="N182" s="24" t="n">
        <v>0</v>
      </c>
      <c r="O182" s="24" t="n">
        <v>0</v>
      </c>
      <c r="P182" s="24" t="n">
        <v>0</v>
      </c>
      <c r="Q182" s="24" t="n">
        <v>0</v>
      </c>
      <c r="R182" s="24" t="n">
        <v>0</v>
      </c>
      <c r="S182" s="24" t="n">
        <v>0</v>
      </c>
      <c r="T182" s="24" t="n">
        <v>0</v>
      </c>
      <c r="U182" s="24" t="n">
        <v>0</v>
      </c>
      <c r="V182" s="24" t="n">
        <v>0</v>
      </c>
      <c r="W182" s="24" t="n">
        <v>0</v>
      </c>
      <c r="X182" s="24" t="n">
        <v>0</v>
      </c>
      <c r="Y182" s="24" t="n">
        <v>0</v>
      </c>
      <c r="Z182" s="24" t="n">
        <v>0</v>
      </c>
      <c r="AA182" s="15" t="str">
        <v>NUEVO_2027_SIN_PLAN_E</v>
      </c>
      <c r="AB182" s="15" t="n">
        <v>0</v>
      </c>
      <c r="AC182" s="15" t="str">
        <v>PUBLICA; H002</v>
      </c>
      <c r="AD182" s="15" t="n">
        <v>0</v>
      </c>
      <c r="AE182" s="15" t="str">
        <v>n.a.</v>
      </c>
      <c r="AF182" s="15" t="str">
        <v>n.a.</v>
      </c>
      <c r="AG182" s="15" t="str">
        <v>n.a.</v>
      </c>
      <c r="AH182" s="15" t="str">
        <v>n.a.</v>
      </c>
      <c r="AI182" s="15" t="str">
        <v>n.a.</v>
      </c>
      <c r="AJ182" s="15" t="str">
        <v>n.a.</v>
      </c>
      <c r="AK182" s="15" t="str">
        <v>n.a.</v>
      </c>
      <c r="AL182" s="15" t="str">
        <v>n.a.</v>
      </c>
      <c r="AM182" s="15" t="str">
        <v>n.a.</v>
      </c>
      <c r="AN182" s="15" t="str">
        <v>n.a.</v>
      </c>
      <c r="AO182" s="15" t="str">
        <v>n.a.</v>
      </c>
      <c r="AP182" s="15" t="str">
        <v>n.a.</v>
      </c>
      <c r="AQ182" s="15" t="str">
        <v>n.a.</v>
      </c>
      <c r="AR182" s="15" t="str">
        <v>n.a.</v>
      </c>
      <c r="AS182" s="15" t="str">
        <v>n.a.</v>
      </c>
      <c r="AT182" s="15" t="str">
        <v>n.a.</v>
      </c>
      <c r="AU182" s="15" t="str">
        <v>n.a.</v>
      </c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</row>
    <row r="183" ht="27" customHeight="1">
      <c r="A183" s="14" t="str">
        <v>I162S4C91J2V1</v>
      </c>
      <c r="B183" s="14" t="str">
        <v>TECNICO EN ENFERMERIA</v>
      </c>
      <c r="C183" s="14" t="str">
        <v>Pregrado</v>
      </c>
      <c r="D183" s="21" t="str">
        <v>n.a.</v>
      </c>
      <c r="E183" s="21" t="str">
        <v>n.a.</v>
      </c>
      <c r="F183" s="14" t="n">
        <v>0</v>
      </c>
      <c r="G183" s="22" t="n">
        <v>0</v>
      </c>
      <c r="H183" s="22" t="n">
        <v>0</v>
      </c>
      <c r="I183" s="22" t="n">
        <v>0</v>
      </c>
      <c r="J183" s="22" t="n">
        <v>0</v>
      </c>
      <c r="K183" s="22" t="n">
        <v>0</v>
      </c>
      <c r="L183" s="22" t="n">
        <v>0</v>
      </c>
      <c r="M183" s="22" t="n">
        <v>0</v>
      </c>
      <c r="N183" s="22" t="n">
        <v>0</v>
      </c>
      <c r="O183" s="22" t="n">
        <v>0</v>
      </c>
      <c r="P183" s="22" t="n">
        <v>0</v>
      </c>
      <c r="Q183" s="22" t="n">
        <v>0</v>
      </c>
      <c r="R183" s="22" t="n">
        <v>0</v>
      </c>
      <c r="S183" s="22" t="n">
        <v>0</v>
      </c>
      <c r="T183" s="22" t="n">
        <v>0</v>
      </c>
      <c r="U183" s="22" t="n">
        <v>0</v>
      </c>
      <c r="V183" s="22" t="n">
        <v>0</v>
      </c>
      <c r="W183" s="22" t="n">
        <v>0</v>
      </c>
      <c r="X183" s="22" t="n">
        <v>0</v>
      </c>
      <c r="Y183" s="22" t="n">
        <v>0</v>
      </c>
      <c r="Z183" s="22" t="n">
        <v>0</v>
      </c>
      <c r="AA183" s="14" t="str">
        <v>NUEVO_2027_SIN_PLAN_E</v>
      </c>
      <c r="AB183" s="14" t="n">
        <v>0</v>
      </c>
      <c r="AC183" s="14" t="str">
        <v>PUBLICA; H002</v>
      </c>
      <c r="AD183" s="14" t="n">
        <v>0</v>
      </c>
      <c r="AE183" s="14" t="str">
        <v>n.a.</v>
      </c>
      <c r="AF183" s="14" t="str">
        <v>n.a.</v>
      </c>
      <c r="AG183" s="14" t="str">
        <v>n.a.</v>
      </c>
      <c r="AH183" s="14" t="str">
        <v>n.a.</v>
      </c>
      <c r="AI183" s="14" t="str">
        <v>n.a.</v>
      </c>
      <c r="AJ183" s="14" t="str">
        <v>n.a.</v>
      </c>
      <c r="AK183" s="14" t="str">
        <v>n.a.</v>
      </c>
      <c r="AL183" s="14" t="str">
        <v>n.a.</v>
      </c>
      <c r="AM183" s="14" t="str">
        <v>n.a.</v>
      </c>
      <c r="AN183" s="14" t="str">
        <v>n.a.</v>
      </c>
      <c r="AO183" s="14" t="str">
        <v>n.a.</v>
      </c>
      <c r="AP183" s="14" t="str">
        <v>n.a.</v>
      </c>
      <c r="AQ183" s="14" t="str">
        <v>n.a.</v>
      </c>
      <c r="AR183" s="14" t="str">
        <v>n.a.</v>
      </c>
      <c r="AS183" s="14" t="str">
        <v>n.a.</v>
      </c>
      <c r="AT183" s="14" t="str">
        <v>n.a.</v>
      </c>
      <c r="AU183" s="14" t="str">
        <v>n.a.</v>
      </c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</row>
    <row r="184" ht="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</row>
    <row r="185" ht="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</row>
    <row r="186" ht="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</row>
    <row r="187" ht="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</row>
    <row r="188" ht="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</row>
    <row r="189" ht="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</row>
    <row r="190" ht="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</row>
    <row r="191" ht="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</row>
    <row r="192" ht="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</row>
    <row r="193" ht="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</row>
    <row r="194" ht="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</row>
    <row r="195" ht="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</row>
    <row r="196" ht="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</row>
    <row r="197" ht="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</row>
    <row r="198" ht="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</row>
    <row r="199" ht="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</row>
    <row r="200" ht="48" customHeight="1">
      <c r="A200" s="9" t="str">
        <v>Código SIES oferta</v>
      </c>
      <c r="B200" s="9" t="str">
        <v>Carrera oferta</v>
      </c>
      <c r="C200" s="9" t="str">
        <v>Nivel oferta</v>
      </c>
      <c r="D200" s="9" t="str">
        <v>Primer año oferta</v>
      </c>
      <c r="E200" s="9" t="str">
        <v>Último año oferta</v>
      </c>
      <c r="F200" s="9" t="str">
        <v>En detalle H005 (1/0)</v>
      </c>
      <c r="G200" s="9" t="str">
        <v>Vigencia oferta 2010</v>
      </c>
      <c r="H200" s="9" t="str">
        <v>Vigencia oferta 2011</v>
      </c>
      <c r="I200" s="9" t="str">
        <v>Vigencia oferta 2012</v>
      </c>
      <c r="J200" s="9" t="str">
        <v>Vigencia oferta 2013</v>
      </c>
      <c r="K200" s="9" t="str">
        <v>Vigencia oferta 2014</v>
      </c>
      <c r="L200" s="9" t="str">
        <v>Vigencia oferta 2015</v>
      </c>
      <c r="M200" s="9" t="str">
        <v>Vigencia oferta 2016</v>
      </c>
      <c r="N200" s="9" t="str">
        <v>Vigencia oferta 2017</v>
      </c>
      <c r="O200" s="9" t="str">
        <v>Vigencia oferta 2018</v>
      </c>
      <c r="P200" s="9" t="str">
        <v>Vigencia oferta 2019</v>
      </c>
      <c r="Q200" s="9" t="str">
        <v>Vigencia oferta 2020</v>
      </c>
      <c r="R200" s="9" t="str">
        <v>Vigencia oferta 2021</v>
      </c>
      <c r="S200" s="9" t="str">
        <v>Vigencia oferta 2022</v>
      </c>
      <c r="T200" s="9" t="str">
        <v>Vigencia oferta 2023</v>
      </c>
      <c r="U200" s="9" t="str">
        <v>Vigencia oferta 2024</v>
      </c>
      <c r="V200" s="9" t="str">
        <v>Vigencia oferta 2025</v>
      </c>
      <c r="W200" s="9" t="str">
        <v>Vigencia oferta 2026</v>
      </c>
      <c r="X200" s="9" t="str">
        <v>Fuente oferta</v>
      </c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</row>
    <row r="201" ht="36" customHeight="1">
      <c r="A201" s="14" t="str">
        <v>I162S2C101J4V1</v>
      </c>
      <c r="B201" s="14" t="str">
        <v>DIPLOMADO EN SALUD FAMILIAR CON ENFOQUE COMUNITARIO</v>
      </c>
      <c r="C201" s="14" t="str">
        <v>Postítulo</v>
      </c>
      <c r="D201" s="21" t="n">
        <v>2025</v>
      </c>
      <c r="E201" s="21" t="n">
        <v>2026</v>
      </c>
      <c r="F201" s="14" t="n">
        <v>1</v>
      </c>
      <c r="G201" s="14" t="str">
        <v>n.a.</v>
      </c>
      <c r="H201" s="14" t="str">
        <v>n.a.</v>
      </c>
      <c r="I201" s="14" t="str">
        <v>n.a.</v>
      </c>
      <c r="J201" s="14" t="str">
        <v>n.a.</v>
      </c>
      <c r="K201" s="14" t="str">
        <v>n.a.</v>
      </c>
      <c r="L201" s="14" t="str">
        <v>n.a.</v>
      </c>
      <c r="M201" s="14" t="str">
        <v>n.a.</v>
      </c>
      <c r="N201" s="14" t="str">
        <v>n.a.</v>
      </c>
      <c r="O201" s="14" t="str">
        <v>n.a.</v>
      </c>
      <c r="P201" s="14" t="str">
        <v>n.a.</v>
      </c>
      <c r="Q201" s="14" t="str">
        <v>n.a.</v>
      </c>
      <c r="R201" s="14" t="str">
        <v>n.a.</v>
      </c>
      <c r="S201" s="14" t="str">
        <v>n.a.</v>
      </c>
      <c r="T201" s="14" t="str">
        <v>n.a.</v>
      </c>
      <c r="U201" s="14" t="str">
        <v>n.a.</v>
      </c>
      <c r="V201" s="14" t="n">
        <v>1</v>
      </c>
      <c r="W201" s="14" t="n">
        <v>1</v>
      </c>
      <c r="X201" s="14" t="str">
        <v>MAESTRO/oferta_anual</v>
      </c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</row>
    <row r="202" ht="36" customHeight="1">
      <c r="A202" s="15" t="str">
        <v>I162S2C102J4V1</v>
      </c>
      <c r="B202" s="15" t="str">
        <v>DIPLOMADO SALUD CON FOCO EN MIGRACION</v>
      </c>
      <c r="C202" s="15" t="str">
        <v>Postítulo</v>
      </c>
      <c r="D202" s="23" t="n">
        <v>2025</v>
      </c>
      <c r="E202" s="23" t="n">
        <v>2026</v>
      </c>
      <c r="F202" s="15" t="n">
        <v>1</v>
      </c>
      <c r="G202" s="15" t="str">
        <v>n.a.</v>
      </c>
      <c r="H202" s="15" t="str">
        <v>n.a.</v>
      </c>
      <c r="I202" s="15" t="str">
        <v>n.a.</v>
      </c>
      <c r="J202" s="15" t="str">
        <v>n.a.</v>
      </c>
      <c r="K202" s="15" t="str">
        <v>n.a.</v>
      </c>
      <c r="L202" s="15" t="str">
        <v>n.a.</v>
      </c>
      <c r="M202" s="15" t="str">
        <v>n.a.</v>
      </c>
      <c r="N202" s="15" t="str">
        <v>n.a.</v>
      </c>
      <c r="O202" s="15" t="str">
        <v>n.a.</v>
      </c>
      <c r="P202" s="15" t="str">
        <v>n.a.</v>
      </c>
      <c r="Q202" s="15" t="str">
        <v>n.a.</v>
      </c>
      <c r="R202" s="15" t="str">
        <v>n.a.</v>
      </c>
      <c r="S202" s="15" t="str">
        <v>n.a.</v>
      </c>
      <c r="T202" s="15" t="str">
        <v>n.a.</v>
      </c>
      <c r="U202" s="15" t="str">
        <v>n.a.</v>
      </c>
      <c r="V202" s="15" t="n">
        <v>1</v>
      </c>
      <c r="W202" s="15" t="n">
        <v>1</v>
      </c>
      <c r="X202" s="15" t="str">
        <v>MAESTRO/oferta_anual</v>
      </c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</row>
    <row r="203" ht="36" customHeight="1">
      <c r="A203" s="14" t="str">
        <v>I162S2C103J4V1</v>
      </c>
      <c r="B203" s="14" t="str">
        <v>DIPLOMADO ABORDAJE INTEGRAL DE LA VIOLENCIA DE GENERO EN ATENCION PRIMARIA DE SALUD</v>
      </c>
      <c r="C203" s="14" t="str">
        <v>Postítulo</v>
      </c>
      <c r="D203" s="21" t="n">
        <v>2025</v>
      </c>
      <c r="E203" s="21" t="n">
        <v>2026</v>
      </c>
      <c r="F203" s="14" t="n">
        <v>1</v>
      </c>
      <c r="G203" s="14" t="str">
        <v>n.a.</v>
      </c>
      <c r="H203" s="14" t="str">
        <v>n.a.</v>
      </c>
      <c r="I203" s="14" t="str">
        <v>n.a.</v>
      </c>
      <c r="J203" s="14" t="str">
        <v>n.a.</v>
      </c>
      <c r="K203" s="14" t="str">
        <v>n.a.</v>
      </c>
      <c r="L203" s="14" t="str">
        <v>n.a.</v>
      </c>
      <c r="M203" s="14" t="str">
        <v>n.a.</v>
      </c>
      <c r="N203" s="14" t="str">
        <v>n.a.</v>
      </c>
      <c r="O203" s="14" t="str">
        <v>n.a.</v>
      </c>
      <c r="P203" s="14" t="str">
        <v>n.a.</v>
      </c>
      <c r="Q203" s="14" t="str">
        <v>n.a.</v>
      </c>
      <c r="R203" s="14" t="str">
        <v>n.a.</v>
      </c>
      <c r="S203" s="14" t="str">
        <v>n.a.</v>
      </c>
      <c r="T203" s="14" t="str">
        <v>n.a.</v>
      </c>
      <c r="U203" s="14" t="str">
        <v>n.a.</v>
      </c>
      <c r="V203" s="14" t="n">
        <v>1</v>
      </c>
      <c r="W203" s="14" t="n">
        <v>1</v>
      </c>
      <c r="X203" s="14" t="str">
        <v>MAESTRO/oferta_anual</v>
      </c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</row>
    <row r="204" ht="36" customHeight="1">
      <c r="A204" s="15" t="str">
        <v>I162S2C104J4V1</v>
      </c>
      <c r="B204" s="15" t="str">
        <v>DIPLOMADO EN INNOVACION PARA LA DOCENCIA</v>
      </c>
      <c r="C204" s="15" t="str">
        <v>Postítulo</v>
      </c>
      <c r="D204" s="23" t="n">
        <v>2025</v>
      </c>
      <c r="E204" s="23" t="n">
        <v>2026</v>
      </c>
      <c r="F204" s="15" t="n">
        <v>1</v>
      </c>
      <c r="G204" s="15" t="str">
        <v>n.a.</v>
      </c>
      <c r="H204" s="15" t="str">
        <v>n.a.</v>
      </c>
      <c r="I204" s="15" t="str">
        <v>n.a.</v>
      </c>
      <c r="J204" s="15" t="str">
        <v>n.a.</v>
      </c>
      <c r="K204" s="15" t="str">
        <v>n.a.</v>
      </c>
      <c r="L204" s="15" t="str">
        <v>n.a.</v>
      </c>
      <c r="M204" s="15" t="str">
        <v>n.a.</v>
      </c>
      <c r="N204" s="15" t="str">
        <v>n.a.</v>
      </c>
      <c r="O204" s="15" t="str">
        <v>n.a.</v>
      </c>
      <c r="P204" s="15" t="str">
        <v>n.a.</v>
      </c>
      <c r="Q204" s="15" t="str">
        <v>n.a.</v>
      </c>
      <c r="R204" s="15" t="str">
        <v>n.a.</v>
      </c>
      <c r="S204" s="15" t="str">
        <v>n.a.</v>
      </c>
      <c r="T204" s="15" t="str">
        <v>n.a.</v>
      </c>
      <c r="U204" s="15" t="str">
        <v>n.a.</v>
      </c>
      <c r="V204" s="15" t="n">
        <v>1</v>
      </c>
      <c r="W204" s="15" t="n">
        <v>1</v>
      </c>
      <c r="X204" s="15" t="str">
        <v>MAESTRO/oferta_anual</v>
      </c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</row>
    <row r="205" ht="36" customHeight="1">
      <c r="A205" s="14" t="str">
        <v>I162S2C105J4V1</v>
      </c>
      <c r="B205" s="14" t="str">
        <v>DIPLOMADO EN HUMANIZACION EN SALUD</v>
      </c>
      <c r="C205" s="14" t="str">
        <v>Postítulo</v>
      </c>
      <c r="D205" s="21" t="n">
        <v>2025</v>
      </c>
      <c r="E205" s="21" t="n">
        <v>2026</v>
      </c>
      <c r="F205" s="14" t="n">
        <v>1</v>
      </c>
      <c r="G205" s="14" t="str">
        <v>n.a.</v>
      </c>
      <c r="H205" s="14" t="str">
        <v>n.a.</v>
      </c>
      <c r="I205" s="14" t="str">
        <v>n.a.</v>
      </c>
      <c r="J205" s="14" t="str">
        <v>n.a.</v>
      </c>
      <c r="K205" s="14" t="str">
        <v>n.a.</v>
      </c>
      <c r="L205" s="14" t="str">
        <v>n.a.</v>
      </c>
      <c r="M205" s="14" t="str">
        <v>n.a.</v>
      </c>
      <c r="N205" s="14" t="str">
        <v>n.a.</v>
      </c>
      <c r="O205" s="14" t="str">
        <v>n.a.</v>
      </c>
      <c r="P205" s="14" t="str">
        <v>n.a.</v>
      </c>
      <c r="Q205" s="14" t="str">
        <v>n.a.</v>
      </c>
      <c r="R205" s="14" t="str">
        <v>n.a.</v>
      </c>
      <c r="S205" s="14" t="str">
        <v>n.a.</v>
      </c>
      <c r="T205" s="14" t="str">
        <v>n.a.</v>
      </c>
      <c r="U205" s="14" t="str">
        <v>n.a.</v>
      </c>
      <c r="V205" s="14" t="n">
        <v>1</v>
      </c>
      <c r="W205" s="14" t="n">
        <v>1</v>
      </c>
      <c r="X205" s="14" t="str">
        <v>MAESTRO/oferta_anual</v>
      </c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</row>
    <row r="206" ht="36" customHeight="1">
      <c r="A206" s="15" t="str">
        <v>I162S2C10J1V1</v>
      </c>
      <c r="B206" s="15" t="str">
        <v>TECNICO EN PREVENCION DE RIESGOS</v>
      </c>
      <c r="C206" s="15" t="str">
        <v>Pregrado</v>
      </c>
      <c r="D206" s="23" t="n">
        <v>2013</v>
      </c>
      <c r="E206" s="23" t="n">
        <v>2026</v>
      </c>
      <c r="F206" s="15" t="n">
        <v>1</v>
      </c>
      <c r="G206" s="15" t="str">
        <v>n.a.</v>
      </c>
      <c r="H206" s="15" t="str">
        <v>n.a.</v>
      </c>
      <c r="I206" s="15" t="str">
        <v>n.a.</v>
      </c>
      <c r="J206" s="15" t="n">
        <v>1</v>
      </c>
      <c r="K206" s="15" t="n">
        <v>1</v>
      </c>
      <c r="L206" s="15" t="n">
        <v>1</v>
      </c>
      <c r="M206" s="15" t="n">
        <v>2</v>
      </c>
      <c r="N206" s="15" t="n">
        <v>2</v>
      </c>
      <c r="O206" s="15" t="n">
        <v>2</v>
      </c>
      <c r="P206" s="15" t="n">
        <v>2</v>
      </c>
      <c r="Q206" s="15" t="n">
        <v>2</v>
      </c>
      <c r="R206" s="15" t="n">
        <v>2</v>
      </c>
      <c r="S206" s="15" t="n">
        <v>2</v>
      </c>
      <c r="T206" s="15" t="n">
        <v>2</v>
      </c>
      <c r="U206" s="15" t="n">
        <v>2</v>
      </c>
      <c r="V206" s="15" t="n">
        <v>2</v>
      </c>
      <c r="W206" s="15" t="n">
        <v>2</v>
      </c>
      <c r="X206" s="15" t="str">
        <v>MAESTRO/oferta_anual</v>
      </c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</row>
    <row r="207" ht="36" customHeight="1">
      <c r="A207" s="14" t="str">
        <v>I162S2C10J2V1</v>
      </c>
      <c r="B207" s="14" t="str">
        <v>TECNICO EN PREVENCION DE RIESGOS</v>
      </c>
      <c r="C207" s="14" t="str">
        <v>Pregrado</v>
      </c>
      <c r="D207" s="21" t="n">
        <v>2013</v>
      </c>
      <c r="E207" s="21" t="n">
        <v>2026</v>
      </c>
      <c r="F207" s="14" t="n">
        <v>1</v>
      </c>
      <c r="G207" s="14" t="str">
        <v>n.a.</v>
      </c>
      <c r="H207" s="14" t="str">
        <v>n.a.</v>
      </c>
      <c r="I207" s="14" t="str">
        <v>n.a.</v>
      </c>
      <c r="J207" s="14" t="n">
        <v>1</v>
      </c>
      <c r="K207" s="14" t="n">
        <v>1</v>
      </c>
      <c r="L207" s="14" t="n">
        <v>1</v>
      </c>
      <c r="M207" s="14" t="n">
        <v>2</v>
      </c>
      <c r="N207" s="14" t="n">
        <v>2</v>
      </c>
      <c r="O207" s="14" t="n">
        <v>2</v>
      </c>
      <c r="P207" s="14" t="n">
        <v>2</v>
      </c>
      <c r="Q207" s="14" t="n">
        <v>2</v>
      </c>
      <c r="R207" s="14" t="n">
        <v>2</v>
      </c>
      <c r="S207" s="14" t="n">
        <v>2</v>
      </c>
      <c r="T207" s="14" t="n">
        <v>2</v>
      </c>
      <c r="U207" s="14" t="n">
        <v>2</v>
      </c>
      <c r="V207" s="14" t="n">
        <v>2</v>
      </c>
      <c r="W207" s="14" t="n">
        <v>2</v>
      </c>
      <c r="X207" s="14" t="str">
        <v>MAESTRO/oferta_anual</v>
      </c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</row>
    <row r="208" ht="36" customHeight="1">
      <c r="A208" s="15" t="str">
        <v>I162S2C10J4V1</v>
      </c>
      <c r="B208" s="15" t="str">
        <v>TECNICO EN PREVENCION DE RIESGOS</v>
      </c>
      <c r="C208" s="15" t="str">
        <v>Pregrado</v>
      </c>
      <c r="D208" s="23" t="n">
        <v>2026</v>
      </c>
      <c r="E208" s="23" t="n">
        <v>2026</v>
      </c>
      <c r="F208" s="15" t="n">
        <v>1</v>
      </c>
      <c r="G208" s="15" t="str">
        <v>n.a.</v>
      </c>
      <c r="H208" s="15" t="str">
        <v>n.a.</v>
      </c>
      <c r="I208" s="15" t="str">
        <v>n.a.</v>
      </c>
      <c r="J208" s="15" t="str">
        <v>n.a.</v>
      </c>
      <c r="K208" s="15" t="str">
        <v>n.a.</v>
      </c>
      <c r="L208" s="15" t="str">
        <v>n.a.</v>
      </c>
      <c r="M208" s="15" t="str">
        <v>n.a.</v>
      </c>
      <c r="N208" s="15" t="str">
        <v>n.a.</v>
      </c>
      <c r="O208" s="15" t="str">
        <v>n.a.</v>
      </c>
      <c r="P208" s="15" t="str">
        <v>n.a.</v>
      </c>
      <c r="Q208" s="15" t="str">
        <v>n.a.</v>
      </c>
      <c r="R208" s="15" t="str">
        <v>n.a.</v>
      </c>
      <c r="S208" s="15" t="str">
        <v>n.a.</v>
      </c>
      <c r="T208" s="15" t="str">
        <v>n.a.</v>
      </c>
      <c r="U208" s="15" t="str">
        <v>n.a.</v>
      </c>
      <c r="V208" s="15" t="str">
        <v>n.a.</v>
      </c>
      <c r="W208" s="15" t="n">
        <v>1</v>
      </c>
      <c r="X208" s="15" t="str">
        <v>MAESTRO/oferta_anual</v>
      </c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</row>
    <row r="209" ht="36" customHeight="1">
      <c r="A209" s="14" t="str">
        <v>I162S2C111J4V1</v>
      </c>
      <c r="B209" s="14" t="str">
        <v>INGENIERIA EN FINANZAS</v>
      </c>
      <c r="C209" s="14" t="str">
        <v>Pregrado</v>
      </c>
      <c r="D209" s="21" t="n">
        <v>2026</v>
      </c>
      <c r="E209" s="21" t="n">
        <v>2026</v>
      </c>
      <c r="F209" s="14" t="n">
        <v>1</v>
      </c>
      <c r="G209" s="14" t="str">
        <v>n.a.</v>
      </c>
      <c r="H209" s="14" t="str">
        <v>n.a.</v>
      </c>
      <c r="I209" s="14" t="str">
        <v>n.a.</v>
      </c>
      <c r="J209" s="14" t="str">
        <v>n.a.</v>
      </c>
      <c r="K209" s="14" t="str">
        <v>n.a.</v>
      </c>
      <c r="L209" s="14" t="str">
        <v>n.a.</v>
      </c>
      <c r="M209" s="14" t="str">
        <v>n.a.</v>
      </c>
      <c r="N209" s="14" t="str">
        <v>n.a.</v>
      </c>
      <c r="O209" s="14" t="str">
        <v>n.a.</v>
      </c>
      <c r="P209" s="14" t="str">
        <v>n.a.</v>
      </c>
      <c r="Q209" s="14" t="str">
        <v>n.a.</v>
      </c>
      <c r="R209" s="14" t="str">
        <v>n.a.</v>
      </c>
      <c r="S209" s="14" t="str">
        <v>n.a.</v>
      </c>
      <c r="T209" s="14" t="str">
        <v>n.a.</v>
      </c>
      <c r="U209" s="14" t="str">
        <v>n.a.</v>
      </c>
      <c r="V209" s="14" t="str">
        <v>n.a.</v>
      </c>
      <c r="W209" s="14" t="n">
        <v>1</v>
      </c>
      <c r="X209" s="14" t="str">
        <v>MAESTRO/oferta_anual</v>
      </c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</row>
    <row r="210" ht="36" customHeight="1">
      <c r="A210" s="15" t="str">
        <v>I162S2C111J4V2</v>
      </c>
      <c r="B210" s="15" t="str">
        <v>INGENIERIA EN FINANZAS</v>
      </c>
      <c r="C210" s="15" t="str">
        <v>Pregrado</v>
      </c>
      <c r="D210" s="23" t="n">
        <v>2026</v>
      </c>
      <c r="E210" s="23" t="n">
        <v>2026</v>
      </c>
      <c r="F210" s="15" t="n">
        <v>1</v>
      </c>
      <c r="G210" s="15" t="str">
        <v>n.a.</v>
      </c>
      <c r="H210" s="15" t="str">
        <v>n.a.</v>
      </c>
      <c r="I210" s="15" t="str">
        <v>n.a.</v>
      </c>
      <c r="J210" s="15" t="str">
        <v>n.a.</v>
      </c>
      <c r="K210" s="15" t="str">
        <v>n.a.</v>
      </c>
      <c r="L210" s="15" t="str">
        <v>n.a.</v>
      </c>
      <c r="M210" s="15" t="str">
        <v>n.a.</v>
      </c>
      <c r="N210" s="15" t="str">
        <v>n.a.</v>
      </c>
      <c r="O210" s="15" t="str">
        <v>n.a.</v>
      </c>
      <c r="P210" s="15" t="str">
        <v>n.a.</v>
      </c>
      <c r="Q210" s="15" t="str">
        <v>n.a.</v>
      </c>
      <c r="R210" s="15" t="str">
        <v>n.a.</v>
      </c>
      <c r="S210" s="15" t="str">
        <v>n.a.</v>
      </c>
      <c r="T210" s="15" t="str">
        <v>n.a.</v>
      </c>
      <c r="U210" s="15" t="str">
        <v>n.a.</v>
      </c>
      <c r="V210" s="15" t="str">
        <v>n.a.</v>
      </c>
      <c r="W210" s="15" t="n">
        <v>1</v>
      </c>
      <c r="X210" s="15" t="str">
        <v>MAESTRO/oferta_anual</v>
      </c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</row>
    <row r="211" ht="36" customHeight="1">
      <c r="A211" s="14" t="str">
        <v>I162S2C112J4V1</v>
      </c>
      <c r="B211" s="14" t="str">
        <v>INGENIERIA EN MARKETING DIGITAL</v>
      </c>
      <c r="C211" s="14" t="str">
        <v>Pregrado</v>
      </c>
      <c r="D211" s="21" t="n">
        <v>2026</v>
      </c>
      <c r="E211" s="21" t="n">
        <v>2026</v>
      </c>
      <c r="F211" s="14" t="n">
        <v>1</v>
      </c>
      <c r="G211" s="14" t="str">
        <v>n.a.</v>
      </c>
      <c r="H211" s="14" t="str">
        <v>n.a.</v>
      </c>
      <c r="I211" s="14" t="str">
        <v>n.a.</v>
      </c>
      <c r="J211" s="14" t="str">
        <v>n.a.</v>
      </c>
      <c r="K211" s="14" t="str">
        <v>n.a.</v>
      </c>
      <c r="L211" s="14" t="str">
        <v>n.a.</v>
      </c>
      <c r="M211" s="14" t="str">
        <v>n.a.</v>
      </c>
      <c r="N211" s="14" t="str">
        <v>n.a.</v>
      </c>
      <c r="O211" s="14" t="str">
        <v>n.a.</v>
      </c>
      <c r="P211" s="14" t="str">
        <v>n.a.</v>
      </c>
      <c r="Q211" s="14" t="str">
        <v>n.a.</v>
      </c>
      <c r="R211" s="14" t="str">
        <v>n.a.</v>
      </c>
      <c r="S211" s="14" t="str">
        <v>n.a.</v>
      </c>
      <c r="T211" s="14" t="str">
        <v>n.a.</v>
      </c>
      <c r="U211" s="14" t="str">
        <v>n.a.</v>
      </c>
      <c r="V211" s="14" t="str">
        <v>n.a.</v>
      </c>
      <c r="W211" s="14" t="n">
        <v>1</v>
      </c>
      <c r="X211" s="14" t="str">
        <v>MAESTRO/oferta_anual</v>
      </c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</row>
    <row r="212" ht="36" customHeight="1">
      <c r="A212" s="15" t="str">
        <v>I162S2C112J4V2</v>
      </c>
      <c r="B212" s="15" t="str">
        <v>INGENIERIA EN MARKETING DIGITAL</v>
      </c>
      <c r="C212" s="15" t="str">
        <v>Pregrado</v>
      </c>
      <c r="D212" s="23" t="n">
        <v>2026</v>
      </c>
      <c r="E212" s="23" t="n">
        <v>2026</v>
      </c>
      <c r="F212" s="15" t="n">
        <v>1</v>
      </c>
      <c r="G212" s="15" t="str">
        <v>n.a.</v>
      </c>
      <c r="H212" s="15" t="str">
        <v>n.a.</v>
      </c>
      <c r="I212" s="15" t="str">
        <v>n.a.</v>
      </c>
      <c r="J212" s="15" t="str">
        <v>n.a.</v>
      </c>
      <c r="K212" s="15" t="str">
        <v>n.a.</v>
      </c>
      <c r="L212" s="15" t="str">
        <v>n.a.</v>
      </c>
      <c r="M212" s="15" t="str">
        <v>n.a.</v>
      </c>
      <c r="N212" s="15" t="str">
        <v>n.a.</v>
      </c>
      <c r="O212" s="15" t="str">
        <v>n.a.</v>
      </c>
      <c r="P212" s="15" t="str">
        <v>n.a.</v>
      </c>
      <c r="Q212" s="15" t="str">
        <v>n.a.</v>
      </c>
      <c r="R212" s="15" t="str">
        <v>n.a.</v>
      </c>
      <c r="S212" s="15" t="str">
        <v>n.a.</v>
      </c>
      <c r="T212" s="15" t="str">
        <v>n.a.</v>
      </c>
      <c r="U212" s="15" t="str">
        <v>n.a.</v>
      </c>
      <c r="V212" s="15" t="str">
        <v>n.a.</v>
      </c>
      <c r="W212" s="15" t="n">
        <v>1</v>
      </c>
      <c r="X212" s="15" t="str">
        <v>MAESTRO/oferta_anual</v>
      </c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</row>
    <row r="213" ht="36" customHeight="1">
      <c r="A213" s="14" t="str">
        <v>I162S2C113J4V1</v>
      </c>
      <c r="B213" s="14" t="str">
        <v>INGENIERIA EN RECURSOS HUMANOS</v>
      </c>
      <c r="C213" s="14" t="str">
        <v>Pregrado</v>
      </c>
      <c r="D213" s="21" t="n">
        <v>2026</v>
      </c>
      <c r="E213" s="21" t="n">
        <v>2026</v>
      </c>
      <c r="F213" s="14" t="n">
        <v>1</v>
      </c>
      <c r="G213" s="14" t="str">
        <v>n.a.</v>
      </c>
      <c r="H213" s="14" t="str">
        <v>n.a.</v>
      </c>
      <c r="I213" s="14" t="str">
        <v>n.a.</v>
      </c>
      <c r="J213" s="14" t="str">
        <v>n.a.</v>
      </c>
      <c r="K213" s="14" t="str">
        <v>n.a.</v>
      </c>
      <c r="L213" s="14" t="str">
        <v>n.a.</v>
      </c>
      <c r="M213" s="14" t="str">
        <v>n.a.</v>
      </c>
      <c r="N213" s="14" t="str">
        <v>n.a.</v>
      </c>
      <c r="O213" s="14" t="str">
        <v>n.a.</v>
      </c>
      <c r="P213" s="14" t="str">
        <v>n.a.</v>
      </c>
      <c r="Q213" s="14" t="str">
        <v>n.a.</v>
      </c>
      <c r="R213" s="14" t="str">
        <v>n.a.</v>
      </c>
      <c r="S213" s="14" t="str">
        <v>n.a.</v>
      </c>
      <c r="T213" s="14" t="str">
        <v>n.a.</v>
      </c>
      <c r="U213" s="14" t="str">
        <v>n.a.</v>
      </c>
      <c r="V213" s="14" t="str">
        <v>n.a.</v>
      </c>
      <c r="W213" s="14" t="n">
        <v>1</v>
      </c>
      <c r="X213" s="14" t="str">
        <v>MAESTRO/oferta_anual</v>
      </c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</row>
    <row r="214" ht="36" customHeight="1">
      <c r="A214" s="15" t="str">
        <v>I162S2C113J4V2</v>
      </c>
      <c r="B214" s="15" t="str">
        <v>INGENIERIA EN RECURSOS HUMANOS</v>
      </c>
      <c r="C214" s="15" t="str">
        <v>Pregrado</v>
      </c>
      <c r="D214" s="23" t="n">
        <v>2026</v>
      </c>
      <c r="E214" s="23" t="n">
        <v>2026</v>
      </c>
      <c r="F214" s="15" t="n">
        <v>1</v>
      </c>
      <c r="G214" s="15" t="str">
        <v>n.a.</v>
      </c>
      <c r="H214" s="15" t="str">
        <v>n.a.</v>
      </c>
      <c r="I214" s="15" t="str">
        <v>n.a.</v>
      </c>
      <c r="J214" s="15" t="str">
        <v>n.a.</v>
      </c>
      <c r="K214" s="15" t="str">
        <v>n.a.</v>
      </c>
      <c r="L214" s="15" t="str">
        <v>n.a.</v>
      </c>
      <c r="M214" s="15" t="str">
        <v>n.a.</v>
      </c>
      <c r="N214" s="15" t="str">
        <v>n.a.</v>
      </c>
      <c r="O214" s="15" t="str">
        <v>n.a.</v>
      </c>
      <c r="P214" s="15" t="str">
        <v>n.a.</v>
      </c>
      <c r="Q214" s="15" t="str">
        <v>n.a.</v>
      </c>
      <c r="R214" s="15" t="str">
        <v>n.a.</v>
      </c>
      <c r="S214" s="15" t="str">
        <v>n.a.</v>
      </c>
      <c r="T214" s="15" t="str">
        <v>n.a.</v>
      </c>
      <c r="U214" s="15" t="str">
        <v>n.a.</v>
      </c>
      <c r="V214" s="15" t="str">
        <v>n.a.</v>
      </c>
      <c r="W214" s="15" t="n">
        <v>1</v>
      </c>
      <c r="X214" s="15" t="str">
        <v>MAESTRO/oferta_anual</v>
      </c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</row>
    <row r="215" ht="36" customHeight="1">
      <c r="A215" s="14" t="str">
        <v>I162S2C114J2V1</v>
      </c>
      <c r="B215" s="14" t="str">
        <v>TECNICO EN ENFERMERIA E INSTRUMENTACION QUIRURGICA</v>
      </c>
      <c r="C215" s="14" t="str">
        <v>Pregrado</v>
      </c>
      <c r="D215" s="21" t="n">
        <v>2026</v>
      </c>
      <c r="E215" s="21" t="n">
        <v>2026</v>
      </c>
      <c r="F215" s="14" t="n">
        <v>1</v>
      </c>
      <c r="G215" s="14" t="str">
        <v>n.a.</v>
      </c>
      <c r="H215" s="14" t="str">
        <v>n.a.</v>
      </c>
      <c r="I215" s="14" t="str">
        <v>n.a.</v>
      </c>
      <c r="J215" s="14" t="str">
        <v>n.a.</v>
      </c>
      <c r="K215" s="14" t="str">
        <v>n.a.</v>
      </c>
      <c r="L215" s="14" t="str">
        <v>n.a.</v>
      </c>
      <c r="M215" s="14" t="str">
        <v>n.a.</v>
      </c>
      <c r="N215" s="14" t="str">
        <v>n.a.</v>
      </c>
      <c r="O215" s="14" t="str">
        <v>n.a.</v>
      </c>
      <c r="P215" s="14" t="str">
        <v>n.a.</v>
      </c>
      <c r="Q215" s="14" t="str">
        <v>n.a.</v>
      </c>
      <c r="R215" s="14" t="str">
        <v>n.a.</v>
      </c>
      <c r="S215" s="14" t="str">
        <v>n.a.</v>
      </c>
      <c r="T215" s="14" t="str">
        <v>n.a.</v>
      </c>
      <c r="U215" s="14" t="str">
        <v>n.a.</v>
      </c>
      <c r="V215" s="14" t="str">
        <v>n.a.</v>
      </c>
      <c r="W215" s="14" t="n">
        <v>1</v>
      </c>
      <c r="X215" s="14" t="str">
        <v>MAESTRO/oferta_anual</v>
      </c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</row>
    <row r="216" ht="36" customHeight="1">
      <c r="A216" s="15" t="str">
        <v>I162S2C115J2V1</v>
      </c>
      <c r="B216" s="15" t="str">
        <v>TECNICO EN FARMACIA</v>
      </c>
      <c r="C216" s="15" t="str">
        <v>Pregrado</v>
      </c>
      <c r="D216" s="23" t="n">
        <v>2026</v>
      </c>
      <c r="E216" s="23" t="n">
        <v>2026</v>
      </c>
      <c r="F216" s="15" t="n">
        <v>1</v>
      </c>
      <c r="G216" s="15" t="str">
        <v>n.a.</v>
      </c>
      <c r="H216" s="15" t="str">
        <v>n.a.</v>
      </c>
      <c r="I216" s="15" t="str">
        <v>n.a.</v>
      </c>
      <c r="J216" s="15" t="str">
        <v>n.a.</v>
      </c>
      <c r="K216" s="15" t="str">
        <v>n.a.</v>
      </c>
      <c r="L216" s="15" t="str">
        <v>n.a.</v>
      </c>
      <c r="M216" s="15" t="str">
        <v>n.a.</v>
      </c>
      <c r="N216" s="15" t="str">
        <v>n.a.</v>
      </c>
      <c r="O216" s="15" t="str">
        <v>n.a.</v>
      </c>
      <c r="P216" s="15" t="str">
        <v>n.a.</v>
      </c>
      <c r="Q216" s="15" t="str">
        <v>n.a.</v>
      </c>
      <c r="R216" s="15" t="str">
        <v>n.a.</v>
      </c>
      <c r="S216" s="15" t="str">
        <v>n.a.</v>
      </c>
      <c r="T216" s="15" t="str">
        <v>n.a.</v>
      </c>
      <c r="U216" s="15" t="str">
        <v>n.a.</v>
      </c>
      <c r="V216" s="15" t="str">
        <v>n.a.</v>
      </c>
      <c r="W216" s="15" t="n">
        <v>1</v>
      </c>
      <c r="X216" s="15" t="str">
        <v>MAESTRO/oferta_anual</v>
      </c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</row>
    <row r="217" ht="36" customHeight="1">
      <c r="A217" s="14" t="str">
        <v>I162S2C116J4V1</v>
      </c>
      <c r="B217" s="14" t="str">
        <v>TECNICO EN FINANZAS</v>
      </c>
      <c r="C217" s="14" t="str">
        <v>Pregrado</v>
      </c>
      <c r="D217" s="21" t="n">
        <v>2026</v>
      </c>
      <c r="E217" s="21" t="n">
        <v>2026</v>
      </c>
      <c r="F217" s="14" t="n">
        <v>1</v>
      </c>
      <c r="G217" s="14" t="str">
        <v>n.a.</v>
      </c>
      <c r="H217" s="14" t="str">
        <v>n.a.</v>
      </c>
      <c r="I217" s="14" t="str">
        <v>n.a.</v>
      </c>
      <c r="J217" s="14" t="str">
        <v>n.a.</v>
      </c>
      <c r="K217" s="14" t="str">
        <v>n.a.</v>
      </c>
      <c r="L217" s="14" t="str">
        <v>n.a.</v>
      </c>
      <c r="M217" s="14" t="str">
        <v>n.a.</v>
      </c>
      <c r="N217" s="14" t="str">
        <v>n.a.</v>
      </c>
      <c r="O217" s="14" t="str">
        <v>n.a.</v>
      </c>
      <c r="P217" s="14" t="str">
        <v>n.a.</v>
      </c>
      <c r="Q217" s="14" t="str">
        <v>n.a.</v>
      </c>
      <c r="R217" s="14" t="str">
        <v>n.a.</v>
      </c>
      <c r="S217" s="14" t="str">
        <v>n.a.</v>
      </c>
      <c r="T217" s="14" t="str">
        <v>n.a.</v>
      </c>
      <c r="U217" s="14" t="str">
        <v>n.a.</v>
      </c>
      <c r="V217" s="14" t="str">
        <v>n.a.</v>
      </c>
      <c r="W217" s="14" t="n">
        <v>1</v>
      </c>
      <c r="X217" s="14" t="str">
        <v>MAESTRO/oferta_anual</v>
      </c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</row>
    <row r="218" ht="36" customHeight="1">
      <c r="A218" s="15" t="str">
        <v>I162S2C117J4V1</v>
      </c>
      <c r="B218" s="15" t="str">
        <v>TECNICO EN INFRAESTRUCTURA CLOUD</v>
      </c>
      <c r="C218" s="15" t="str">
        <v>Pregrado</v>
      </c>
      <c r="D218" s="23" t="n">
        <v>2026</v>
      </c>
      <c r="E218" s="23" t="n">
        <v>2026</v>
      </c>
      <c r="F218" s="15" t="n">
        <v>1</v>
      </c>
      <c r="G218" s="15" t="str">
        <v>n.a.</v>
      </c>
      <c r="H218" s="15" t="str">
        <v>n.a.</v>
      </c>
      <c r="I218" s="15" t="str">
        <v>n.a.</v>
      </c>
      <c r="J218" s="15" t="str">
        <v>n.a.</v>
      </c>
      <c r="K218" s="15" t="str">
        <v>n.a.</v>
      </c>
      <c r="L218" s="15" t="str">
        <v>n.a.</v>
      </c>
      <c r="M218" s="15" t="str">
        <v>n.a.</v>
      </c>
      <c r="N218" s="15" t="str">
        <v>n.a.</v>
      </c>
      <c r="O218" s="15" t="str">
        <v>n.a.</v>
      </c>
      <c r="P218" s="15" t="str">
        <v>n.a.</v>
      </c>
      <c r="Q218" s="15" t="str">
        <v>n.a.</v>
      </c>
      <c r="R218" s="15" t="str">
        <v>n.a.</v>
      </c>
      <c r="S218" s="15" t="str">
        <v>n.a.</v>
      </c>
      <c r="T218" s="15" t="str">
        <v>n.a.</v>
      </c>
      <c r="U218" s="15" t="str">
        <v>n.a.</v>
      </c>
      <c r="V218" s="15" t="str">
        <v>n.a.</v>
      </c>
      <c r="W218" s="15" t="n">
        <v>1</v>
      </c>
      <c r="X218" s="15" t="str">
        <v>MAESTRO/oferta_anual</v>
      </c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</row>
    <row r="219" ht="36" customHeight="1">
      <c r="A219" s="14" t="str">
        <v>I162S2C118J4V1</v>
      </c>
      <c r="B219" s="14" t="str">
        <v>TECNICO EN MARKETING DIGITAL</v>
      </c>
      <c r="C219" s="14" t="str">
        <v>Pregrado</v>
      </c>
      <c r="D219" s="21" t="n">
        <v>2026</v>
      </c>
      <c r="E219" s="21" t="n">
        <v>2026</v>
      </c>
      <c r="F219" s="14" t="n">
        <v>1</v>
      </c>
      <c r="G219" s="14" t="str">
        <v>n.a.</v>
      </c>
      <c r="H219" s="14" t="str">
        <v>n.a.</v>
      </c>
      <c r="I219" s="14" t="str">
        <v>n.a.</v>
      </c>
      <c r="J219" s="14" t="str">
        <v>n.a.</v>
      </c>
      <c r="K219" s="14" t="str">
        <v>n.a.</v>
      </c>
      <c r="L219" s="14" t="str">
        <v>n.a.</v>
      </c>
      <c r="M219" s="14" t="str">
        <v>n.a.</v>
      </c>
      <c r="N219" s="14" t="str">
        <v>n.a.</v>
      </c>
      <c r="O219" s="14" t="str">
        <v>n.a.</v>
      </c>
      <c r="P219" s="14" t="str">
        <v>n.a.</v>
      </c>
      <c r="Q219" s="14" t="str">
        <v>n.a.</v>
      </c>
      <c r="R219" s="14" t="str">
        <v>n.a.</v>
      </c>
      <c r="S219" s="14" t="str">
        <v>n.a.</v>
      </c>
      <c r="T219" s="14" t="str">
        <v>n.a.</v>
      </c>
      <c r="U219" s="14" t="str">
        <v>n.a.</v>
      </c>
      <c r="V219" s="14" t="str">
        <v>n.a.</v>
      </c>
      <c r="W219" s="14" t="n">
        <v>1</v>
      </c>
      <c r="X219" s="14" t="str">
        <v>MAESTRO/oferta_anual</v>
      </c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</row>
    <row r="220" ht="36" customHeight="1">
      <c r="A220" s="15" t="str">
        <v>I162S2C119J4V1</v>
      </c>
      <c r="B220" s="15" t="str">
        <v>TECNICO EN RECURSOS HUMANOS</v>
      </c>
      <c r="C220" s="15" t="str">
        <v>Pregrado</v>
      </c>
      <c r="D220" s="23" t="n">
        <v>2026</v>
      </c>
      <c r="E220" s="23" t="n">
        <v>2026</v>
      </c>
      <c r="F220" s="15" t="n">
        <v>1</v>
      </c>
      <c r="G220" s="15" t="str">
        <v>n.a.</v>
      </c>
      <c r="H220" s="15" t="str">
        <v>n.a.</v>
      </c>
      <c r="I220" s="15" t="str">
        <v>n.a.</v>
      </c>
      <c r="J220" s="15" t="str">
        <v>n.a.</v>
      </c>
      <c r="K220" s="15" t="str">
        <v>n.a.</v>
      </c>
      <c r="L220" s="15" t="str">
        <v>n.a.</v>
      </c>
      <c r="M220" s="15" t="str">
        <v>n.a.</v>
      </c>
      <c r="N220" s="15" t="str">
        <v>n.a.</v>
      </c>
      <c r="O220" s="15" t="str">
        <v>n.a.</v>
      </c>
      <c r="P220" s="15" t="str">
        <v>n.a.</v>
      </c>
      <c r="Q220" s="15" t="str">
        <v>n.a.</v>
      </c>
      <c r="R220" s="15" t="str">
        <v>n.a.</v>
      </c>
      <c r="S220" s="15" t="str">
        <v>n.a.</v>
      </c>
      <c r="T220" s="15" t="str">
        <v>n.a.</v>
      </c>
      <c r="U220" s="15" t="str">
        <v>n.a.</v>
      </c>
      <c r="V220" s="15" t="str">
        <v>n.a.</v>
      </c>
      <c r="W220" s="15" t="n">
        <v>1</v>
      </c>
      <c r="X220" s="15" t="str">
        <v>MAESTRO/oferta_anual</v>
      </c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</row>
    <row r="221" ht="36" customHeight="1">
      <c r="A221" s="14" t="str">
        <v>I162S2C11J1V1</v>
      </c>
      <c r="B221" s="14" t="str">
        <v>TECNICO EN AUTOMATIZACION Y CONTROL INDUSTRIAL</v>
      </c>
      <c r="C221" s="14" t="str">
        <v>Pregrado</v>
      </c>
      <c r="D221" s="21" t="n">
        <v>2013</v>
      </c>
      <c r="E221" s="21" t="n">
        <v>2026</v>
      </c>
      <c r="F221" s="14" t="n">
        <v>1</v>
      </c>
      <c r="G221" s="14" t="str">
        <v>n.a.</v>
      </c>
      <c r="H221" s="14" t="str">
        <v>n.a.</v>
      </c>
      <c r="I221" s="14" t="str">
        <v>n.a.</v>
      </c>
      <c r="J221" s="14" t="n">
        <v>1</v>
      </c>
      <c r="K221" s="14" t="n">
        <v>1</v>
      </c>
      <c r="L221" s="14" t="n">
        <v>1</v>
      </c>
      <c r="M221" s="14" t="n">
        <v>1</v>
      </c>
      <c r="N221" s="14" t="n">
        <v>1</v>
      </c>
      <c r="O221" s="14" t="n">
        <v>1</v>
      </c>
      <c r="P221" s="14" t="n">
        <v>1</v>
      </c>
      <c r="Q221" s="14" t="n">
        <v>1</v>
      </c>
      <c r="R221" s="14" t="n">
        <v>1</v>
      </c>
      <c r="S221" s="14" t="n">
        <v>1</v>
      </c>
      <c r="T221" s="14" t="n">
        <v>2</v>
      </c>
      <c r="U221" s="14" t="n">
        <v>1</v>
      </c>
      <c r="V221" s="14" t="n">
        <v>2</v>
      </c>
      <c r="W221" s="14" t="n">
        <v>2</v>
      </c>
      <c r="X221" s="14" t="str">
        <v>MAESTRO/oferta_anual</v>
      </c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</row>
    <row r="222" ht="36" customHeight="1">
      <c r="A222" s="15" t="str">
        <v>I162S2C11J2V1</v>
      </c>
      <c r="B222" s="15" t="str">
        <v>TECNICO EN AUTOMATIZACION Y CONTROL INDUSTRIAL</v>
      </c>
      <c r="C222" s="15" t="str">
        <v>Pregrado</v>
      </c>
      <c r="D222" s="23" t="n">
        <v>2013</v>
      </c>
      <c r="E222" s="23" t="n">
        <v>2026</v>
      </c>
      <c r="F222" s="15" t="n">
        <v>1</v>
      </c>
      <c r="G222" s="15" t="str">
        <v>n.a.</v>
      </c>
      <c r="H222" s="15" t="str">
        <v>n.a.</v>
      </c>
      <c r="I222" s="15" t="str">
        <v>n.a.</v>
      </c>
      <c r="J222" s="15" t="n">
        <v>1</v>
      </c>
      <c r="K222" s="15" t="n">
        <v>1</v>
      </c>
      <c r="L222" s="15" t="n">
        <v>1</v>
      </c>
      <c r="M222" s="15" t="n">
        <v>1</v>
      </c>
      <c r="N222" s="15" t="n">
        <v>1</v>
      </c>
      <c r="O222" s="15" t="n">
        <v>1</v>
      </c>
      <c r="P222" s="15" t="n">
        <v>1</v>
      </c>
      <c r="Q222" s="15" t="n">
        <v>1</v>
      </c>
      <c r="R222" s="15" t="n">
        <v>1</v>
      </c>
      <c r="S222" s="15" t="n">
        <v>1</v>
      </c>
      <c r="T222" s="15" t="n">
        <v>2</v>
      </c>
      <c r="U222" s="15" t="n">
        <v>1</v>
      </c>
      <c r="V222" s="15" t="n">
        <v>2</v>
      </c>
      <c r="W222" s="15" t="n">
        <v>2</v>
      </c>
      <c r="X222" s="15" t="str">
        <v>MAESTRO/oferta_anual</v>
      </c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</row>
    <row r="223" ht="36" customHeight="1">
      <c r="A223" s="14" t="str">
        <v>I162S2C11J4V1</v>
      </c>
      <c r="B223" s="14" t="str">
        <v>TECNICO EN AUTOMATIZACION Y CONTROL INDUSTRIAL</v>
      </c>
      <c r="C223" s="14" t="str">
        <v>Pregrado</v>
      </c>
      <c r="D223" s="21" t="n">
        <v>2022</v>
      </c>
      <c r="E223" s="21" t="n">
        <v>2026</v>
      </c>
      <c r="F223" s="14" t="n">
        <v>1</v>
      </c>
      <c r="G223" s="14" t="str">
        <v>n.a.</v>
      </c>
      <c r="H223" s="14" t="str">
        <v>n.a.</v>
      </c>
      <c r="I223" s="14" t="str">
        <v>n.a.</v>
      </c>
      <c r="J223" s="14" t="str">
        <v>n.a.</v>
      </c>
      <c r="K223" s="14" t="str">
        <v>n.a.</v>
      </c>
      <c r="L223" s="14" t="str">
        <v>n.a.</v>
      </c>
      <c r="M223" s="14" t="str">
        <v>n.a.</v>
      </c>
      <c r="N223" s="14" t="str">
        <v>n.a.</v>
      </c>
      <c r="O223" s="14" t="str">
        <v>n.a.</v>
      </c>
      <c r="P223" s="14" t="str">
        <v>n.a.</v>
      </c>
      <c r="Q223" s="14" t="str">
        <v>n.a.</v>
      </c>
      <c r="R223" s="14" t="str">
        <v>n.a.</v>
      </c>
      <c r="S223" s="14" t="n">
        <v>1</v>
      </c>
      <c r="T223" s="14" t="n">
        <v>2</v>
      </c>
      <c r="U223" s="14" t="n">
        <v>2</v>
      </c>
      <c r="V223" s="14" t="n">
        <v>2</v>
      </c>
      <c r="W223" s="14" t="n">
        <v>2</v>
      </c>
      <c r="X223" s="14" t="str">
        <v>MAESTRO/oferta_anual</v>
      </c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</row>
    <row r="224" ht="36" customHeight="1">
      <c r="A224" s="15" t="str">
        <v>I162S2C124J4V1</v>
      </c>
      <c r="B224" s="15" t="str">
        <v>INGENIERIA EN PREVENCION DE RIESGOS</v>
      </c>
      <c r="C224" s="15" t="str">
        <v>Pregrado</v>
      </c>
      <c r="D224" s="23" t="n">
        <v>2026</v>
      </c>
      <c r="E224" s="23" t="n">
        <v>2026</v>
      </c>
      <c r="F224" s="15" t="n">
        <v>1</v>
      </c>
      <c r="G224" s="15" t="str">
        <v>n.a.</v>
      </c>
      <c r="H224" s="15" t="str">
        <v>n.a.</v>
      </c>
      <c r="I224" s="15" t="str">
        <v>n.a.</v>
      </c>
      <c r="J224" s="15" t="str">
        <v>n.a.</v>
      </c>
      <c r="K224" s="15" t="str">
        <v>n.a.</v>
      </c>
      <c r="L224" s="15" t="str">
        <v>n.a.</v>
      </c>
      <c r="M224" s="15" t="str">
        <v>n.a.</v>
      </c>
      <c r="N224" s="15" t="str">
        <v>n.a.</v>
      </c>
      <c r="O224" s="15" t="str">
        <v>n.a.</v>
      </c>
      <c r="P224" s="15" t="str">
        <v>n.a.</v>
      </c>
      <c r="Q224" s="15" t="str">
        <v>n.a.</v>
      </c>
      <c r="R224" s="15" t="str">
        <v>n.a.</v>
      </c>
      <c r="S224" s="15" t="str">
        <v>n.a.</v>
      </c>
      <c r="T224" s="15" t="str">
        <v>n.a.</v>
      </c>
      <c r="U224" s="15" t="str">
        <v>n.a.</v>
      </c>
      <c r="V224" s="15" t="str">
        <v>n.a.</v>
      </c>
      <c r="W224" s="15" t="n">
        <v>1</v>
      </c>
      <c r="X224" s="15" t="str">
        <v>MAESTRO/oferta_anual</v>
      </c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</row>
    <row r="225" ht="36" customHeight="1">
      <c r="A225" s="14" t="str">
        <v>I162S2C124J4V2</v>
      </c>
      <c r="B225" s="14" t="str">
        <v>INGENIERIA EN PREVENCION DE RIESGOS</v>
      </c>
      <c r="C225" s="14" t="str">
        <v>Pregrado</v>
      </c>
      <c r="D225" s="21" t="n">
        <v>2026</v>
      </c>
      <c r="E225" s="21" t="n">
        <v>2026</v>
      </c>
      <c r="F225" s="14" t="n">
        <v>1</v>
      </c>
      <c r="G225" s="14" t="str">
        <v>n.a.</v>
      </c>
      <c r="H225" s="14" t="str">
        <v>n.a.</v>
      </c>
      <c r="I225" s="14" t="str">
        <v>n.a.</v>
      </c>
      <c r="J225" s="14" t="str">
        <v>n.a.</v>
      </c>
      <c r="K225" s="14" t="str">
        <v>n.a.</v>
      </c>
      <c r="L225" s="14" t="str">
        <v>n.a.</v>
      </c>
      <c r="M225" s="14" t="str">
        <v>n.a.</v>
      </c>
      <c r="N225" s="14" t="str">
        <v>n.a.</v>
      </c>
      <c r="O225" s="14" t="str">
        <v>n.a.</v>
      </c>
      <c r="P225" s="14" t="str">
        <v>n.a.</v>
      </c>
      <c r="Q225" s="14" t="str">
        <v>n.a.</v>
      </c>
      <c r="R225" s="14" t="str">
        <v>n.a.</v>
      </c>
      <c r="S225" s="14" t="str">
        <v>n.a.</v>
      </c>
      <c r="T225" s="14" t="str">
        <v>n.a.</v>
      </c>
      <c r="U225" s="14" t="str">
        <v>n.a.</v>
      </c>
      <c r="V225" s="14" t="str">
        <v>n.a.</v>
      </c>
      <c r="W225" s="14" t="n">
        <v>1</v>
      </c>
      <c r="X225" s="14" t="str">
        <v>MAESTRO/oferta_anual</v>
      </c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</row>
    <row r="226" ht="36" customHeight="1">
      <c r="A226" s="15" t="str">
        <v>I162S2C125J4V1</v>
      </c>
      <c r="B226" s="15" t="str">
        <v>INGENIERIA EN SEGURIDAD PRIVADA</v>
      </c>
      <c r="C226" s="15" t="str">
        <v>Pregrado</v>
      </c>
      <c r="D226" s="23" t="n">
        <v>2026</v>
      </c>
      <c r="E226" s="23" t="n">
        <v>2026</v>
      </c>
      <c r="F226" s="15" t="n">
        <v>1</v>
      </c>
      <c r="G226" s="15" t="str">
        <v>n.a.</v>
      </c>
      <c r="H226" s="15" t="str">
        <v>n.a.</v>
      </c>
      <c r="I226" s="15" t="str">
        <v>n.a.</v>
      </c>
      <c r="J226" s="15" t="str">
        <v>n.a.</v>
      </c>
      <c r="K226" s="15" t="str">
        <v>n.a.</v>
      </c>
      <c r="L226" s="15" t="str">
        <v>n.a.</v>
      </c>
      <c r="M226" s="15" t="str">
        <v>n.a.</v>
      </c>
      <c r="N226" s="15" t="str">
        <v>n.a.</v>
      </c>
      <c r="O226" s="15" t="str">
        <v>n.a.</v>
      </c>
      <c r="P226" s="15" t="str">
        <v>n.a.</v>
      </c>
      <c r="Q226" s="15" t="str">
        <v>n.a.</v>
      </c>
      <c r="R226" s="15" t="str">
        <v>n.a.</v>
      </c>
      <c r="S226" s="15" t="str">
        <v>n.a.</v>
      </c>
      <c r="T226" s="15" t="str">
        <v>n.a.</v>
      </c>
      <c r="U226" s="15" t="str">
        <v>n.a.</v>
      </c>
      <c r="V226" s="15" t="str">
        <v>n.a.</v>
      </c>
      <c r="W226" s="15" t="n">
        <v>1</v>
      </c>
      <c r="X226" s="15" t="str">
        <v>MAESTRO/oferta_anual</v>
      </c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</row>
    <row r="227" ht="36" customHeight="1">
      <c r="A227" s="14" t="str">
        <v>I162S2C125J4V2</v>
      </c>
      <c r="B227" s="14" t="str">
        <v>INGENIERIA EN SEGURIDAD PRIVADA</v>
      </c>
      <c r="C227" s="14" t="str">
        <v>Pregrado</v>
      </c>
      <c r="D227" s="21" t="n">
        <v>2026</v>
      </c>
      <c r="E227" s="21" t="n">
        <v>2026</v>
      </c>
      <c r="F227" s="14" t="n">
        <v>1</v>
      </c>
      <c r="G227" s="14" t="str">
        <v>n.a.</v>
      </c>
      <c r="H227" s="14" t="str">
        <v>n.a.</v>
      </c>
      <c r="I227" s="14" t="str">
        <v>n.a.</v>
      </c>
      <c r="J227" s="14" t="str">
        <v>n.a.</v>
      </c>
      <c r="K227" s="14" t="str">
        <v>n.a.</v>
      </c>
      <c r="L227" s="14" t="str">
        <v>n.a.</v>
      </c>
      <c r="M227" s="14" t="str">
        <v>n.a.</v>
      </c>
      <c r="N227" s="14" t="str">
        <v>n.a.</v>
      </c>
      <c r="O227" s="14" t="str">
        <v>n.a.</v>
      </c>
      <c r="P227" s="14" t="str">
        <v>n.a.</v>
      </c>
      <c r="Q227" s="14" t="str">
        <v>n.a.</v>
      </c>
      <c r="R227" s="14" t="str">
        <v>n.a.</v>
      </c>
      <c r="S227" s="14" t="str">
        <v>n.a.</v>
      </c>
      <c r="T227" s="14" t="str">
        <v>n.a.</v>
      </c>
      <c r="U227" s="14" t="str">
        <v>n.a.</v>
      </c>
      <c r="V227" s="14" t="str">
        <v>n.a.</v>
      </c>
      <c r="W227" s="14" t="n">
        <v>1</v>
      </c>
      <c r="X227" s="14" t="str">
        <v>MAESTRO/oferta_anual</v>
      </c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</row>
    <row r="228" ht="36" customHeight="1">
      <c r="A228" s="15" t="str">
        <v>I162S2C13J1V1</v>
      </c>
      <c r="B228" s="15" t="str">
        <v>SOPORTE DE SERVICIOS DE TELECOMUNICACIONES</v>
      </c>
      <c r="C228" s="15" t="str">
        <v>Pregrado</v>
      </c>
      <c r="D228" s="23" t="n">
        <v>2013</v>
      </c>
      <c r="E228" s="23" t="n">
        <v>2013</v>
      </c>
      <c r="F228" s="15" t="n">
        <v>0</v>
      </c>
      <c r="G228" s="15" t="str">
        <v>n.a.</v>
      </c>
      <c r="H228" s="15" t="str">
        <v>n.a.</v>
      </c>
      <c r="I228" s="15" t="str">
        <v>n.a.</v>
      </c>
      <c r="J228" s="15" t="n">
        <v>1</v>
      </c>
      <c r="K228" s="15" t="str">
        <v>n.a.</v>
      </c>
      <c r="L228" s="15" t="str">
        <v>n.a.</v>
      </c>
      <c r="M228" s="15" t="str">
        <v>n.a.</v>
      </c>
      <c r="N228" s="15" t="str">
        <v>n.a.</v>
      </c>
      <c r="O228" s="15" t="str">
        <v>n.a.</v>
      </c>
      <c r="P228" s="15" t="str">
        <v>n.a.</v>
      </c>
      <c r="Q228" s="15" t="str">
        <v>n.a.</v>
      </c>
      <c r="R228" s="15" t="str">
        <v>n.a.</v>
      </c>
      <c r="S228" s="15" t="str">
        <v>n.a.</v>
      </c>
      <c r="T228" s="15" t="str">
        <v>n.a.</v>
      </c>
      <c r="U228" s="15" t="str">
        <v>n.a.</v>
      </c>
      <c r="V228" s="15" t="str">
        <v>n.a.</v>
      </c>
      <c r="W228" s="15" t="str">
        <v>n.a.</v>
      </c>
      <c r="X228" s="15" t="str">
        <v>MAESTRO/oferta_anual</v>
      </c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</row>
    <row r="229" ht="36" customHeight="1">
      <c r="A229" s="14" t="str">
        <v>I162S2C13J2V1</v>
      </c>
      <c r="B229" s="14" t="str">
        <v>SOPORTE DE SERVICIOS DE TELECOMUNICACIONES</v>
      </c>
      <c r="C229" s="14" t="str">
        <v>Pregrado</v>
      </c>
      <c r="D229" s="21" t="n">
        <v>2013</v>
      </c>
      <c r="E229" s="21" t="n">
        <v>2013</v>
      </c>
      <c r="F229" s="14" t="n">
        <v>0</v>
      </c>
      <c r="G229" s="14" t="str">
        <v>n.a.</v>
      </c>
      <c r="H229" s="14" t="str">
        <v>n.a.</v>
      </c>
      <c r="I229" s="14" t="str">
        <v>n.a.</v>
      </c>
      <c r="J229" s="14" t="n">
        <v>1</v>
      </c>
      <c r="K229" s="14" t="str">
        <v>n.a.</v>
      </c>
      <c r="L229" s="14" t="str">
        <v>n.a.</v>
      </c>
      <c r="M229" s="14" t="str">
        <v>n.a.</v>
      </c>
      <c r="N229" s="14" t="str">
        <v>n.a.</v>
      </c>
      <c r="O229" s="14" t="str">
        <v>n.a.</v>
      </c>
      <c r="P229" s="14" t="str">
        <v>n.a.</v>
      </c>
      <c r="Q229" s="14" t="str">
        <v>n.a.</v>
      </c>
      <c r="R229" s="14" t="str">
        <v>n.a.</v>
      </c>
      <c r="S229" s="14" t="str">
        <v>n.a.</v>
      </c>
      <c r="T229" s="14" t="str">
        <v>n.a.</v>
      </c>
      <c r="U229" s="14" t="str">
        <v>n.a.</v>
      </c>
      <c r="V229" s="14" t="str">
        <v>n.a.</v>
      </c>
      <c r="W229" s="14" t="str">
        <v>n.a.</v>
      </c>
      <c r="X229" s="14" t="str">
        <v>MAESTRO/oferta_anual</v>
      </c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</row>
    <row r="230" ht="36" customHeight="1">
      <c r="A230" s="15" t="str">
        <v>I162S2C1J1V1</v>
      </c>
      <c r="B230" s="15" t="str">
        <v>INGENIERIA EN INFORMATICA</v>
      </c>
      <c r="C230" s="15" t="str">
        <v>Pregrado</v>
      </c>
      <c r="D230" s="23" t="n">
        <v>2010</v>
      </c>
      <c r="E230" s="23" t="n">
        <v>2026</v>
      </c>
      <c r="F230" s="15" t="n">
        <v>1</v>
      </c>
      <c r="G230" s="15" t="n">
        <v>1</v>
      </c>
      <c r="H230" s="15" t="n">
        <v>1</v>
      </c>
      <c r="I230" s="15" t="n">
        <v>1</v>
      </c>
      <c r="J230" s="15" t="n">
        <v>1</v>
      </c>
      <c r="K230" s="15" t="n">
        <v>1</v>
      </c>
      <c r="L230" s="15" t="n">
        <v>1</v>
      </c>
      <c r="M230" s="15" t="n">
        <v>1</v>
      </c>
      <c r="N230" s="15" t="n">
        <v>1</v>
      </c>
      <c r="O230" s="15" t="n">
        <v>1</v>
      </c>
      <c r="P230" s="15" t="n">
        <v>2</v>
      </c>
      <c r="Q230" s="15" t="n">
        <v>2</v>
      </c>
      <c r="R230" s="15" t="n">
        <v>1</v>
      </c>
      <c r="S230" s="15" t="n">
        <v>1</v>
      </c>
      <c r="T230" s="15" t="n">
        <v>2</v>
      </c>
      <c r="U230" s="15" t="n">
        <v>2</v>
      </c>
      <c r="V230" s="15" t="n">
        <v>2</v>
      </c>
      <c r="W230" s="15" t="n">
        <v>2</v>
      </c>
      <c r="X230" s="15" t="str">
        <v>MAESTRO/oferta_anual</v>
      </c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</row>
    <row r="231" ht="36" customHeight="1">
      <c r="A231" s="14" t="str">
        <v>I162S2C1J1V2</v>
      </c>
      <c r="B231" s="14" t="str">
        <v>INGENIERIA EN INFORMATICA</v>
      </c>
      <c r="C231" s="14" t="str">
        <v>Pregrado</v>
      </c>
      <c r="D231" s="21" t="n">
        <v>2019</v>
      </c>
      <c r="E231" s="21" t="n">
        <v>2026</v>
      </c>
      <c r="F231" s="14" t="n">
        <v>1</v>
      </c>
      <c r="G231" s="14" t="str">
        <v>n.a.</v>
      </c>
      <c r="H231" s="14" t="str">
        <v>n.a.</v>
      </c>
      <c r="I231" s="14" t="str">
        <v>n.a.</v>
      </c>
      <c r="J231" s="14" t="str">
        <v>n.a.</v>
      </c>
      <c r="K231" s="14" t="str">
        <v>n.a.</v>
      </c>
      <c r="L231" s="14" t="str">
        <v>n.a.</v>
      </c>
      <c r="M231" s="14" t="str">
        <v>n.a.</v>
      </c>
      <c r="N231" s="14" t="str">
        <v>n.a.</v>
      </c>
      <c r="O231" s="14" t="str">
        <v>n.a.</v>
      </c>
      <c r="P231" s="14" t="n">
        <v>1</v>
      </c>
      <c r="Q231" s="14" t="n">
        <v>1</v>
      </c>
      <c r="R231" s="14" t="n">
        <v>1</v>
      </c>
      <c r="S231" s="14" t="n">
        <v>2</v>
      </c>
      <c r="T231" s="14" t="n">
        <v>1</v>
      </c>
      <c r="U231" s="14" t="n">
        <v>1</v>
      </c>
      <c r="V231" s="14" t="n">
        <v>1</v>
      </c>
      <c r="W231" s="14" t="n">
        <v>1</v>
      </c>
      <c r="X231" s="14" t="str">
        <v>MAESTRO/oferta_anual</v>
      </c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</row>
    <row r="232" ht="36" customHeight="1">
      <c r="A232" s="15" t="str">
        <v>I162S2C1J2V1</v>
      </c>
      <c r="B232" s="15" t="str">
        <v>INGENIERIA EN INFORMATICA</v>
      </c>
      <c r="C232" s="15" t="str">
        <v>Pregrado</v>
      </c>
      <c r="D232" s="23" t="n">
        <v>2010</v>
      </c>
      <c r="E232" s="23" t="n">
        <v>2026</v>
      </c>
      <c r="F232" s="15" t="n">
        <v>1</v>
      </c>
      <c r="G232" s="15" t="n">
        <v>1</v>
      </c>
      <c r="H232" s="15" t="n">
        <v>1</v>
      </c>
      <c r="I232" s="15" t="n">
        <v>1</v>
      </c>
      <c r="J232" s="15" t="n">
        <v>1</v>
      </c>
      <c r="K232" s="15" t="n">
        <v>1</v>
      </c>
      <c r="L232" s="15" t="n">
        <v>1</v>
      </c>
      <c r="M232" s="15" t="n">
        <v>1</v>
      </c>
      <c r="N232" s="15" t="n">
        <v>1</v>
      </c>
      <c r="O232" s="15" t="n">
        <v>1</v>
      </c>
      <c r="P232" s="15" t="n">
        <v>2</v>
      </c>
      <c r="Q232" s="15" t="n">
        <v>2</v>
      </c>
      <c r="R232" s="15" t="n">
        <v>1</v>
      </c>
      <c r="S232" s="15" t="n">
        <v>1</v>
      </c>
      <c r="T232" s="15" t="n">
        <v>2</v>
      </c>
      <c r="U232" s="15" t="n">
        <v>2</v>
      </c>
      <c r="V232" s="15" t="n">
        <v>2</v>
      </c>
      <c r="W232" s="15" t="n">
        <v>2</v>
      </c>
      <c r="X232" s="15" t="str">
        <v>MAESTRO/oferta_anual</v>
      </c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</row>
    <row r="233" ht="36" customHeight="1">
      <c r="A233" s="14" t="str">
        <v>I162S2C1J2V2</v>
      </c>
      <c r="B233" s="14" t="str">
        <v>INGENIERIA EN INFORMATICA</v>
      </c>
      <c r="C233" s="14" t="str">
        <v>Pregrado</v>
      </c>
      <c r="D233" s="21" t="n">
        <v>2016</v>
      </c>
      <c r="E233" s="21" t="n">
        <v>2026</v>
      </c>
      <c r="F233" s="14" t="n">
        <v>1</v>
      </c>
      <c r="G233" s="14" t="str">
        <v>n.a.</v>
      </c>
      <c r="H233" s="14" t="str">
        <v>n.a.</v>
      </c>
      <c r="I233" s="14" t="str">
        <v>n.a.</v>
      </c>
      <c r="J233" s="14" t="str">
        <v>n.a.</v>
      </c>
      <c r="K233" s="14" t="str">
        <v>n.a.</v>
      </c>
      <c r="L233" s="14" t="str">
        <v>n.a.</v>
      </c>
      <c r="M233" s="14" t="n">
        <v>1</v>
      </c>
      <c r="N233" s="14" t="n">
        <v>1</v>
      </c>
      <c r="O233" s="14" t="n">
        <v>1</v>
      </c>
      <c r="P233" s="14" t="n">
        <v>2</v>
      </c>
      <c r="Q233" s="14" t="n">
        <v>2</v>
      </c>
      <c r="R233" s="14" t="n">
        <v>2</v>
      </c>
      <c r="S233" s="14" t="n">
        <v>2</v>
      </c>
      <c r="T233" s="14" t="n">
        <v>2</v>
      </c>
      <c r="U233" s="14" t="n">
        <v>2</v>
      </c>
      <c r="V233" s="14" t="n">
        <v>2</v>
      </c>
      <c r="W233" s="14" t="n">
        <v>2</v>
      </c>
      <c r="X233" s="14" t="str">
        <v>MAESTRO/oferta_anual</v>
      </c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</row>
    <row r="234" ht="36" customHeight="1">
      <c r="A234" s="15" t="str">
        <v>I162S2C1J2V3</v>
      </c>
      <c r="B234" s="15" t="str">
        <v>INGENIERIA EN INFORMATICA</v>
      </c>
      <c r="C234" s="15" t="str">
        <v>Pregrado</v>
      </c>
      <c r="D234" s="23" t="n">
        <v>2018</v>
      </c>
      <c r="E234" s="23" t="n">
        <v>2026</v>
      </c>
      <c r="F234" s="15" t="n">
        <v>1</v>
      </c>
      <c r="G234" s="15" t="str">
        <v>n.a.</v>
      </c>
      <c r="H234" s="15" t="str">
        <v>n.a.</v>
      </c>
      <c r="I234" s="15" t="str">
        <v>n.a.</v>
      </c>
      <c r="J234" s="15" t="str">
        <v>n.a.</v>
      </c>
      <c r="K234" s="15" t="str">
        <v>n.a.</v>
      </c>
      <c r="L234" s="15" t="str">
        <v>n.a.</v>
      </c>
      <c r="M234" s="15" t="str">
        <v>n.a.</v>
      </c>
      <c r="N234" s="15" t="str">
        <v>n.a.</v>
      </c>
      <c r="O234" s="15" t="n">
        <v>1</v>
      </c>
      <c r="P234" s="15" t="n">
        <v>1</v>
      </c>
      <c r="Q234" s="15" t="n">
        <v>1</v>
      </c>
      <c r="R234" s="15" t="n">
        <v>1</v>
      </c>
      <c r="S234" s="15" t="n">
        <v>2</v>
      </c>
      <c r="T234" s="15" t="n">
        <v>2</v>
      </c>
      <c r="U234" s="15" t="n">
        <v>2</v>
      </c>
      <c r="V234" s="15" t="n">
        <v>2</v>
      </c>
      <c r="W234" s="15" t="n">
        <v>2</v>
      </c>
      <c r="X234" s="15" t="str">
        <v>MAESTRO/oferta_anual</v>
      </c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</row>
    <row r="235" ht="36" customHeight="1">
      <c r="A235" s="14" t="str">
        <v>I162S2C1J2V4</v>
      </c>
      <c r="B235" s="14" t="str">
        <v>INGENIERIA EN INFORMATICA</v>
      </c>
      <c r="C235" s="14" t="str">
        <v>Pregrado</v>
      </c>
      <c r="D235" s="21" t="n">
        <v>2019</v>
      </c>
      <c r="E235" s="21" t="n">
        <v>2026</v>
      </c>
      <c r="F235" s="14" t="n">
        <v>1</v>
      </c>
      <c r="G235" s="14" t="str">
        <v>n.a.</v>
      </c>
      <c r="H235" s="14" t="str">
        <v>n.a.</v>
      </c>
      <c r="I235" s="14" t="str">
        <v>n.a.</v>
      </c>
      <c r="J235" s="14" t="str">
        <v>n.a.</v>
      </c>
      <c r="K235" s="14" t="str">
        <v>n.a.</v>
      </c>
      <c r="L235" s="14" t="str">
        <v>n.a.</v>
      </c>
      <c r="M235" s="14" t="str">
        <v>n.a.</v>
      </c>
      <c r="N235" s="14" t="str">
        <v>n.a.</v>
      </c>
      <c r="O235" s="14" t="str">
        <v>n.a.</v>
      </c>
      <c r="P235" s="14" t="n">
        <v>1</v>
      </c>
      <c r="Q235" s="14" t="n">
        <v>1</v>
      </c>
      <c r="R235" s="14" t="n">
        <v>1</v>
      </c>
      <c r="S235" s="14" t="n">
        <v>2</v>
      </c>
      <c r="T235" s="14" t="n">
        <v>1</v>
      </c>
      <c r="U235" s="14" t="n">
        <v>1</v>
      </c>
      <c r="V235" s="14" t="n">
        <v>1</v>
      </c>
      <c r="W235" s="14" t="n">
        <v>1</v>
      </c>
      <c r="X235" s="14" t="str">
        <v>MAESTRO/oferta_anual</v>
      </c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</row>
    <row r="236" ht="36" customHeight="1">
      <c r="A236" s="15" t="str">
        <v>I162S2C1J4V1</v>
      </c>
      <c r="B236" s="15" t="str">
        <v>INGENIERIA EN INFORMATICA</v>
      </c>
      <c r="C236" s="15" t="str">
        <v>Pregrado</v>
      </c>
      <c r="D236" s="23" t="n">
        <v>2018</v>
      </c>
      <c r="E236" s="23" t="n">
        <v>2023</v>
      </c>
      <c r="F236" s="15" t="n">
        <v>1</v>
      </c>
      <c r="G236" s="15" t="str">
        <v>n.a.</v>
      </c>
      <c r="H236" s="15" t="str">
        <v>n.a.</v>
      </c>
      <c r="I236" s="15" t="str">
        <v>n.a.</v>
      </c>
      <c r="J236" s="15" t="str">
        <v>n.a.</v>
      </c>
      <c r="K236" s="15" t="str">
        <v>n.a.</v>
      </c>
      <c r="L236" s="15" t="str">
        <v>n.a.</v>
      </c>
      <c r="M236" s="15" t="str">
        <v>n.a.</v>
      </c>
      <c r="N236" s="15" t="str">
        <v>n.a.</v>
      </c>
      <c r="O236" s="15" t="n">
        <v>1</v>
      </c>
      <c r="P236" s="15" t="n">
        <v>2</v>
      </c>
      <c r="Q236" s="15" t="n">
        <v>2</v>
      </c>
      <c r="R236" s="15" t="n">
        <v>1</v>
      </c>
      <c r="S236" s="15" t="n">
        <v>1</v>
      </c>
      <c r="T236" s="15" t="n">
        <v>2</v>
      </c>
      <c r="U236" s="15" t="str">
        <v>n.a.</v>
      </c>
      <c r="V236" s="15" t="str">
        <v>n.a.</v>
      </c>
      <c r="W236" s="15" t="str">
        <v>n.a.</v>
      </c>
      <c r="X236" s="15" t="str">
        <v>MAESTRO/oferta_anual</v>
      </c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</row>
    <row r="237" ht="36" customHeight="1">
      <c r="A237" s="14" t="str">
        <v>I162S2C1J4V2</v>
      </c>
      <c r="B237" s="14" t="str">
        <v>INGENIERIA EN INFORMATICA</v>
      </c>
      <c r="C237" s="14" t="str">
        <v>Pregrado</v>
      </c>
      <c r="D237" s="21" t="n">
        <v>2019</v>
      </c>
      <c r="E237" s="21" t="n">
        <v>2026</v>
      </c>
      <c r="F237" s="14" t="n">
        <v>1</v>
      </c>
      <c r="G237" s="14" t="str">
        <v>n.a.</v>
      </c>
      <c r="H237" s="14" t="str">
        <v>n.a.</v>
      </c>
      <c r="I237" s="14" t="str">
        <v>n.a.</v>
      </c>
      <c r="J237" s="14" t="str">
        <v>n.a.</v>
      </c>
      <c r="K237" s="14" t="str">
        <v>n.a.</v>
      </c>
      <c r="L237" s="14" t="str">
        <v>n.a.</v>
      </c>
      <c r="M237" s="14" t="str">
        <v>n.a.</v>
      </c>
      <c r="N237" s="14" t="str">
        <v>n.a.</v>
      </c>
      <c r="O237" s="14" t="str">
        <v>n.a.</v>
      </c>
      <c r="P237" s="14" t="n">
        <v>1</v>
      </c>
      <c r="Q237" s="14" t="n">
        <v>1</v>
      </c>
      <c r="R237" s="14" t="n">
        <v>1</v>
      </c>
      <c r="S237" s="14" t="n">
        <v>2</v>
      </c>
      <c r="T237" s="14" t="n">
        <v>1</v>
      </c>
      <c r="U237" s="14" t="n">
        <v>1</v>
      </c>
      <c r="V237" s="14" t="n">
        <v>1</v>
      </c>
      <c r="W237" s="14" t="n">
        <v>1</v>
      </c>
      <c r="X237" s="14" t="str">
        <v>MAESTRO/oferta_anual</v>
      </c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</row>
    <row r="238" ht="36" customHeight="1">
      <c r="A238" s="15" t="str">
        <v>I162S2C1J4V3</v>
      </c>
      <c r="B238" s="15" t="str">
        <v>INGENIERIA EN INFORMATICA</v>
      </c>
      <c r="C238" s="15" t="str">
        <v>Pregrado</v>
      </c>
      <c r="D238" s="23" t="n">
        <v>2019</v>
      </c>
      <c r="E238" s="23" t="n">
        <v>2026</v>
      </c>
      <c r="F238" s="15" t="n">
        <v>1</v>
      </c>
      <c r="G238" s="15" t="str">
        <v>n.a.</v>
      </c>
      <c r="H238" s="15" t="str">
        <v>n.a.</v>
      </c>
      <c r="I238" s="15" t="str">
        <v>n.a.</v>
      </c>
      <c r="J238" s="15" t="str">
        <v>n.a.</v>
      </c>
      <c r="K238" s="15" t="str">
        <v>n.a.</v>
      </c>
      <c r="L238" s="15" t="str">
        <v>n.a.</v>
      </c>
      <c r="M238" s="15" t="str">
        <v>n.a.</v>
      </c>
      <c r="N238" s="15" t="str">
        <v>n.a.</v>
      </c>
      <c r="O238" s="15" t="str">
        <v>n.a.</v>
      </c>
      <c r="P238" s="15" t="n">
        <v>1</v>
      </c>
      <c r="Q238" s="15" t="n">
        <v>1</v>
      </c>
      <c r="R238" s="15" t="n">
        <v>1</v>
      </c>
      <c r="S238" s="15" t="n">
        <v>2</v>
      </c>
      <c r="T238" s="15" t="n">
        <v>2</v>
      </c>
      <c r="U238" s="15" t="n">
        <v>2</v>
      </c>
      <c r="V238" s="15" t="n">
        <v>2</v>
      </c>
      <c r="W238" s="15" t="n">
        <v>2</v>
      </c>
      <c r="X238" s="15" t="str">
        <v>MAESTRO/oferta_anual</v>
      </c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</row>
    <row r="239" ht="36" customHeight="1">
      <c r="A239" s="14" t="str">
        <v>I162S2C21J1V1</v>
      </c>
      <c r="B239" s="14" t="str">
        <v>INGENIERIA DE EJECUCION EN AUTOMATIZACION Y CONTROL INDUSTRIAL</v>
      </c>
      <c r="C239" s="14" t="str">
        <v>Pregrado</v>
      </c>
      <c r="D239" s="21" t="n">
        <v>2014</v>
      </c>
      <c r="E239" s="21" t="n">
        <v>2014</v>
      </c>
      <c r="F239" s="14" t="n">
        <v>0</v>
      </c>
      <c r="G239" s="14" t="str">
        <v>n.a.</v>
      </c>
      <c r="H239" s="14" t="str">
        <v>n.a.</v>
      </c>
      <c r="I239" s="14" t="str">
        <v>n.a.</v>
      </c>
      <c r="J239" s="14" t="str">
        <v>n.a.</v>
      </c>
      <c r="K239" s="14" t="n">
        <v>1</v>
      </c>
      <c r="L239" s="14" t="str">
        <v>n.a.</v>
      </c>
      <c r="M239" s="14" t="str">
        <v>n.a.</v>
      </c>
      <c r="N239" s="14" t="str">
        <v>n.a.</v>
      </c>
      <c r="O239" s="14" t="str">
        <v>n.a.</v>
      </c>
      <c r="P239" s="14" t="str">
        <v>n.a.</v>
      </c>
      <c r="Q239" s="14" t="str">
        <v>n.a.</v>
      </c>
      <c r="R239" s="14" t="str">
        <v>n.a.</v>
      </c>
      <c r="S239" s="14" t="str">
        <v>n.a.</v>
      </c>
      <c r="T239" s="14" t="str">
        <v>n.a.</v>
      </c>
      <c r="U239" s="14" t="str">
        <v>n.a.</v>
      </c>
      <c r="V239" s="14" t="str">
        <v>n.a.</v>
      </c>
      <c r="W239" s="14" t="str">
        <v>n.a.</v>
      </c>
      <c r="X239" s="14" t="str">
        <v>MAESTRO/oferta_anual</v>
      </c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</row>
    <row r="240" ht="36" customHeight="1">
      <c r="A240" s="15" t="str">
        <v>I162S2C21J2V1</v>
      </c>
      <c r="B240" s="15" t="str">
        <v>INGENIERIA DE EJECUCION EN AUTOMATIZACION Y CONTROL INDUSTRIAL</v>
      </c>
      <c r="C240" s="15" t="str">
        <v>Pregrado</v>
      </c>
      <c r="D240" s="23" t="n">
        <v>2014</v>
      </c>
      <c r="E240" s="23" t="n">
        <v>2014</v>
      </c>
      <c r="F240" s="15" t="n">
        <v>0</v>
      </c>
      <c r="G240" s="15" t="str">
        <v>n.a.</v>
      </c>
      <c r="H240" s="15" t="str">
        <v>n.a.</v>
      </c>
      <c r="I240" s="15" t="str">
        <v>n.a.</v>
      </c>
      <c r="J240" s="15" t="str">
        <v>n.a.</v>
      </c>
      <c r="K240" s="15" t="n">
        <v>1</v>
      </c>
      <c r="L240" s="15" t="str">
        <v>n.a.</v>
      </c>
      <c r="M240" s="15" t="str">
        <v>n.a.</v>
      </c>
      <c r="N240" s="15" t="str">
        <v>n.a.</v>
      </c>
      <c r="O240" s="15" t="str">
        <v>n.a.</v>
      </c>
      <c r="P240" s="15" t="str">
        <v>n.a.</v>
      </c>
      <c r="Q240" s="15" t="str">
        <v>n.a.</v>
      </c>
      <c r="R240" s="15" t="str">
        <v>n.a.</v>
      </c>
      <c r="S240" s="15" t="str">
        <v>n.a.</v>
      </c>
      <c r="T240" s="15" t="str">
        <v>n.a.</v>
      </c>
      <c r="U240" s="15" t="str">
        <v>n.a.</v>
      </c>
      <c r="V240" s="15" t="str">
        <v>n.a.</v>
      </c>
      <c r="W240" s="15" t="str">
        <v>n.a.</v>
      </c>
      <c r="X240" s="15" t="str">
        <v>MAESTRO/oferta_anual</v>
      </c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</row>
    <row r="241" ht="36" customHeight="1">
      <c r="A241" s="14" t="str">
        <v>I162S2C22J1V1</v>
      </c>
      <c r="B241" s="14" t="str">
        <v>INGENIERIA EN AUTOMATIZACION Y CONTROL INDUSTRIAL</v>
      </c>
      <c r="C241" s="14" t="str">
        <v>Pregrado</v>
      </c>
      <c r="D241" s="21" t="n">
        <v>2014</v>
      </c>
      <c r="E241" s="21" t="n">
        <v>2026</v>
      </c>
      <c r="F241" s="14" t="n">
        <v>1</v>
      </c>
      <c r="G241" s="14" t="str">
        <v>n.a.</v>
      </c>
      <c r="H241" s="14" t="str">
        <v>n.a.</v>
      </c>
      <c r="I241" s="14" t="str">
        <v>n.a.</v>
      </c>
      <c r="J241" s="14" t="str">
        <v>n.a.</v>
      </c>
      <c r="K241" s="14" t="n">
        <v>1</v>
      </c>
      <c r="L241" s="14" t="n">
        <v>1</v>
      </c>
      <c r="M241" s="14" t="n">
        <v>1</v>
      </c>
      <c r="N241" s="14" t="n">
        <v>1</v>
      </c>
      <c r="O241" s="14" t="n">
        <v>1</v>
      </c>
      <c r="P241" s="14" t="n">
        <v>1</v>
      </c>
      <c r="Q241" s="14" t="n">
        <v>2</v>
      </c>
      <c r="R241" s="14" t="n">
        <v>1</v>
      </c>
      <c r="S241" s="14" t="n">
        <v>1</v>
      </c>
      <c r="T241" s="14" t="n">
        <v>2</v>
      </c>
      <c r="U241" s="14" t="n">
        <v>1</v>
      </c>
      <c r="V241" s="14" t="n">
        <v>2</v>
      </c>
      <c r="W241" s="14" t="n">
        <v>2</v>
      </c>
      <c r="X241" s="14" t="str">
        <v>MAESTRO/oferta_anual</v>
      </c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</row>
    <row r="242" ht="36" customHeight="1">
      <c r="A242" s="15" t="str">
        <v>I162S2C22J2V1</v>
      </c>
      <c r="B242" s="15" t="str">
        <v>INGENIERIA EN AUTOMATIZACION Y CONTROL INDUSTRIAL</v>
      </c>
      <c r="C242" s="15" t="str">
        <v>Pregrado</v>
      </c>
      <c r="D242" s="23" t="n">
        <v>2014</v>
      </c>
      <c r="E242" s="23" t="n">
        <v>2026</v>
      </c>
      <c r="F242" s="15" t="n">
        <v>1</v>
      </c>
      <c r="G242" s="15" t="str">
        <v>n.a.</v>
      </c>
      <c r="H242" s="15" t="str">
        <v>n.a.</v>
      </c>
      <c r="I242" s="15" t="str">
        <v>n.a.</v>
      </c>
      <c r="J242" s="15" t="str">
        <v>n.a.</v>
      </c>
      <c r="K242" s="15" t="n">
        <v>1</v>
      </c>
      <c r="L242" s="15" t="n">
        <v>1</v>
      </c>
      <c r="M242" s="15" t="n">
        <v>1</v>
      </c>
      <c r="N242" s="15" t="n">
        <v>1</v>
      </c>
      <c r="O242" s="15" t="n">
        <v>1</v>
      </c>
      <c r="P242" s="15" t="n">
        <v>1</v>
      </c>
      <c r="Q242" s="15" t="n">
        <v>1</v>
      </c>
      <c r="R242" s="15" t="n">
        <v>1</v>
      </c>
      <c r="S242" s="15" t="n">
        <v>1</v>
      </c>
      <c r="T242" s="15" t="n">
        <v>2</v>
      </c>
      <c r="U242" s="15" t="n">
        <v>1</v>
      </c>
      <c r="V242" s="15" t="n">
        <v>2</v>
      </c>
      <c r="W242" s="15" t="n">
        <v>2</v>
      </c>
      <c r="X242" s="15" t="str">
        <v>MAESTRO/oferta_anual</v>
      </c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</row>
    <row r="243" ht="36" customHeight="1">
      <c r="A243" s="14" t="str">
        <v>I162S2C22J2V2</v>
      </c>
      <c r="B243" s="14" t="str">
        <v>INGENIERIA EN AUTOMATIZACION Y CONTROL INDUSTRIAL</v>
      </c>
      <c r="C243" s="14" t="str">
        <v>Pregrado</v>
      </c>
      <c r="D243" s="21" t="n">
        <v>2018</v>
      </c>
      <c r="E243" s="21" t="n">
        <v>2026</v>
      </c>
      <c r="F243" s="14" t="n">
        <v>1</v>
      </c>
      <c r="G243" s="14" t="str">
        <v>n.a.</v>
      </c>
      <c r="H243" s="14" t="str">
        <v>n.a.</v>
      </c>
      <c r="I243" s="14" t="str">
        <v>n.a.</v>
      </c>
      <c r="J243" s="14" t="str">
        <v>n.a.</v>
      </c>
      <c r="K243" s="14" t="str">
        <v>n.a.</v>
      </c>
      <c r="L243" s="14" t="str">
        <v>n.a.</v>
      </c>
      <c r="M243" s="14" t="str">
        <v>n.a.</v>
      </c>
      <c r="N243" s="14" t="str">
        <v>n.a.</v>
      </c>
      <c r="O243" s="14" t="n">
        <v>1</v>
      </c>
      <c r="P243" s="14" t="n">
        <v>1</v>
      </c>
      <c r="Q243" s="14" t="n">
        <v>1</v>
      </c>
      <c r="R243" s="14" t="n">
        <v>1</v>
      </c>
      <c r="S243" s="14" t="n">
        <v>2</v>
      </c>
      <c r="T243" s="14" t="n">
        <v>2</v>
      </c>
      <c r="U243" s="14" t="n">
        <v>2</v>
      </c>
      <c r="V243" s="14" t="n">
        <v>2</v>
      </c>
      <c r="W243" s="14" t="n">
        <v>2</v>
      </c>
      <c r="X243" s="14" t="str">
        <v>MAESTRO/oferta_anual</v>
      </c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</row>
    <row r="244" ht="36" customHeight="1">
      <c r="A244" s="15" t="str">
        <v>I162S2C22J4V1</v>
      </c>
      <c r="B244" s="15" t="str">
        <v>INGENIERIA EN AUTOMATIZACION Y CONTROL INDUSTRIAL</v>
      </c>
      <c r="C244" s="15" t="str">
        <v>Pregrado</v>
      </c>
      <c r="D244" s="23" t="n">
        <v>2022</v>
      </c>
      <c r="E244" s="23" t="n">
        <v>2026</v>
      </c>
      <c r="F244" s="15" t="n">
        <v>1</v>
      </c>
      <c r="G244" s="15" t="str">
        <v>n.a.</v>
      </c>
      <c r="H244" s="15" t="str">
        <v>n.a.</v>
      </c>
      <c r="I244" s="15" t="str">
        <v>n.a.</v>
      </c>
      <c r="J244" s="15" t="str">
        <v>n.a.</v>
      </c>
      <c r="K244" s="15" t="str">
        <v>n.a.</v>
      </c>
      <c r="L244" s="15" t="str">
        <v>n.a.</v>
      </c>
      <c r="M244" s="15" t="str">
        <v>n.a.</v>
      </c>
      <c r="N244" s="15" t="str">
        <v>n.a.</v>
      </c>
      <c r="O244" s="15" t="str">
        <v>n.a.</v>
      </c>
      <c r="P244" s="15" t="str">
        <v>n.a.</v>
      </c>
      <c r="Q244" s="15" t="str">
        <v>n.a.</v>
      </c>
      <c r="R244" s="15" t="str">
        <v>n.a.</v>
      </c>
      <c r="S244" s="15" t="n">
        <v>1</v>
      </c>
      <c r="T244" s="15" t="n">
        <v>2</v>
      </c>
      <c r="U244" s="15" t="n">
        <v>2</v>
      </c>
      <c r="V244" s="15" t="n">
        <v>2</v>
      </c>
      <c r="W244" s="15" t="n">
        <v>2</v>
      </c>
      <c r="X244" s="15" t="str">
        <v>MAESTRO/oferta_anual</v>
      </c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</row>
    <row r="245" ht="36" customHeight="1">
      <c r="A245" s="14" t="str">
        <v>I162S2C22J4V2</v>
      </c>
      <c r="B245" s="14" t="str">
        <v>INGENIERIA EN AUTOMATIZACION Y CONTROL INDUSTRIAL</v>
      </c>
      <c r="C245" s="14" t="str">
        <v>Pregrado</v>
      </c>
      <c r="D245" s="21" t="n">
        <v>2024</v>
      </c>
      <c r="E245" s="21" t="n">
        <v>2026</v>
      </c>
      <c r="F245" s="14" t="n">
        <v>1</v>
      </c>
      <c r="G245" s="14" t="str">
        <v>n.a.</v>
      </c>
      <c r="H245" s="14" t="str">
        <v>n.a.</v>
      </c>
      <c r="I245" s="14" t="str">
        <v>n.a.</v>
      </c>
      <c r="J245" s="14" t="str">
        <v>n.a.</v>
      </c>
      <c r="K245" s="14" t="str">
        <v>n.a.</v>
      </c>
      <c r="L245" s="14" t="str">
        <v>n.a.</v>
      </c>
      <c r="M245" s="14" t="str">
        <v>n.a.</v>
      </c>
      <c r="N245" s="14" t="str">
        <v>n.a.</v>
      </c>
      <c r="O245" s="14" t="str">
        <v>n.a.</v>
      </c>
      <c r="P245" s="14" t="str">
        <v>n.a.</v>
      </c>
      <c r="Q245" s="14" t="str">
        <v>n.a.</v>
      </c>
      <c r="R245" s="14" t="str">
        <v>n.a.</v>
      </c>
      <c r="S245" s="14" t="str">
        <v>n.a.</v>
      </c>
      <c r="T245" s="14" t="str">
        <v>n.a.</v>
      </c>
      <c r="U245" s="14" t="n">
        <v>1</v>
      </c>
      <c r="V245" s="14" t="n">
        <v>2</v>
      </c>
      <c r="W245" s="14" t="n">
        <v>2</v>
      </c>
      <c r="X245" s="14" t="str">
        <v>MAESTRO/oferta_anual</v>
      </c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</row>
    <row r="246" ht="36" customHeight="1">
      <c r="A246" s="15" t="str">
        <v>I162S2C23J1V1</v>
      </c>
      <c r="B246" s="15" t="str">
        <v>INGENIERIA DE EJECUCION EN PREVENCION DE RIESGOS</v>
      </c>
      <c r="C246" s="15" t="str">
        <v>Pregrado</v>
      </c>
      <c r="D246" s="23" t="n">
        <v>2014</v>
      </c>
      <c r="E246" s="23" t="n">
        <v>2014</v>
      </c>
      <c r="F246" s="15" t="n">
        <v>0</v>
      </c>
      <c r="G246" s="15" t="str">
        <v>n.a.</v>
      </c>
      <c r="H246" s="15" t="str">
        <v>n.a.</v>
      </c>
      <c r="I246" s="15" t="str">
        <v>n.a.</v>
      </c>
      <c r="J246" s="15" t="str">
        <v>n.a.</v>
      </c>
      <c r="K246" s="15" t="n">
        <v>1</v>
      </c>
      <c r="L246" s="15" t="str">
        <v>n.a.</v>
      </c>
      <c r="M246" s="15" t="str">
        <v>n.a.</v>
      </c>
      <c r="N246" s="15" t="str">
        <v>n.a.</v>
      </c>
      <c r="O246" s="15" t="str">
        <v>n.a.</v>
      </c>
      <c r="P246" s="15" t="str">
        <v>n.a.</v>
      </c>
      <c r="Q246" s="15" t="str">
        <v>n.a.</v>
      </c>
      <c r="R246" s="15" t="str">
        <v>n.a.</v>
      </c>
      <c r="S246" s="15" t="str">
        <v>n.a.</v>
      </c>
      <c r="T246" s="15" t="str">
        <v>n.a.</v>
      </c>
      <c r="U246" s="15" t="str">
        <v>n.a.</v>
      </c>
      <c r="V246" s="15" t="str">
        <v>n.a.</v>
      </c>
      <c r="W246" s="15" t="str">
        <v>n.a.</v>
      </c>
      <c r="X246" s="15" t="str">
        <v>MAESTRO/oferta_anual</v>
      </c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</row>
    <row r="247" ht="36" customHeight="1">
      <c r="A247" s="14" t="str">
        <v>I162S2C23J2V1</v>
      </c>
      <c r="B247" s="14" t="str">
        <v>INGENIERIA DE EJECUCION EN PREVENCION DE RIESGOS</v>
      </c>
      <c r="C247" s="14" t="str">
        <v>Pregrado</v>
      </c>
      <c r="D247" s="21" t="n">
        <v>2014</v>
      </c>
      <c r="E247" s="21" t="n">
        <v>2014</v>
      </c>
      <c r="F247" s="14" t="n">
        <v>0</v>
      </c>
      <c r="G247" s="14" t="str">
        <v>n.a.</v>
      </c>
      <c r="H247" s="14" t="str">
        <v>n.a.</v>
      </c>
      <c r="I247" s="14" t="str">
        <v>n.a.</v>
      </c>
      <c r="J247" s="14" t="str">
        <v>n.a.</v>
      </c>
      <c r="K247" s="14" t="n">
        <v>1</v>
      </c>
      <c r="L247" s="14" t="str">
        <v>n.a.</v>
      </c>
      <c r="M247" s="14" t="str">
        <v>n.a.</v>
      </c>
      <c r="N247" s="14" t="str">
        <v>n.a.</v>
      </c>
      <c r="O247" s="14" t="str">
        <v>n.a.</v>
      </c>
      <c r="P247" s="14" t="str">
        <v>n.a.</v>
      </c>
      <c r="Q247" s="14" t="str">
        <v>n.a.</v>
      </c>
      <c r="R247" s="14" t="str">
        <v>n.a.</v>
      </c>
      <c r="S247" s="14" t="str">
        <v>n.a.</v>
      </c>
      <c r="T247" s="14" t="str">
        <v>n.a.</v>
      </c>
      <c r="U247" s="14" t="str">
        <v>n.a.</v>
      </c>
      <c r="V247" s="14" t="str">
        <v>n.a.</v>
      </c>
      <c r="W247" s="14" t="str">
        <v>n.a.</v>
      </c>
      <c r="X247" s="14" t="str">
        <v>MAESTRO/oferta_anual</v>
      </c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</row>
    <row r="248" ht="36" customHeight="1">
      <c r="A248" s="15" t="str">
        <v>I162S2C24J1V1</v>
      </c>
      <c r="B248" s="15" t="str">
        <v>TECNICO EN AUTOMATIZACION Y CONTROL INDUSTRIAL</v>
      </c>
      <c r="C248" s="15" t="str">
        <v>Pregrado</v>
      </c>
      <c r="D248" s="23" t="n">
        <v>2014</v>
      </c>
      <c r="E248" s="23" t="n">
        <v>2014</v>
      </c>
      <c r="F248" s="15" t="n">
        <v>0</v>
      </c>
      <c r="G248" s="15" t="str">
        <v>n.a.</v>
      </c>
      <c r="H248" s="15" t="str">
        <v>n.a.</v>
      </c>
      <c r="I248" s="15" t="str">
        <v>n.a.</v>
      </c>
      <c r="J248" s="15" t="str">
        <v>n.a.</v>
      </c>
      <c r="K248" s="15" t="n">
        <v>1</v>
      </c>
      <c r="L248" s="15" t="str">
        <v>n.a.</v>
      </c>
      <c r="M248" s="15" t="str">
        <v>n.a.</v>
      </c>
      <c r="N248" s="15" t="str">
        <v>n.a.</v>
      </c>
      <c r="O248" s="15" t="str">
        <v>n.a.</v>
      </c>
      <c r="P248" s="15" t="str">
        <v>n.a.</v>
      </c>
      <c r="Q248" s="15" t="str">
        <v>n.a.</v>
      </c>
      <c r="R248" s="15" t="str">
        <v>n.a.</v>
      </c>
      <c r="S248" s="15" t="str">
        <v>n.a.</v>
      </c>
      <c r="T248" s="15" t="str">
        <v>n.a.</v>
      </c>
      <c r="U248" s="15" t="str">
        <v>n.a.</v>
      </c>
      <c r="V248" s="15" t="str">
        <v>n.a.</v>
      </c>
      <c r="W248" s="15" t="str">
        <v>n.a.</v>
      </c>
      <c r="X248" s="15" t="str">
        <v>MAESTRO/oferta_anual</v>
      </c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</row>
    <row r="249" ht="36" customHeight="1">
      <c r="A249" s="14" t="str">
        <v>I162S2C24J2V1</v>
      </c>
      <c r="B249" s="14" t="str">
        <v>TECNICO EN AUTOMATIZACION Y CONTROL INDUSTRIAL</v>
      </c>
      <c r="C249" s="14" t="str">
        <v>Pregrado</v>
      </c>
      <c r="D249" s="21" t="n">
        <v>2014</v>
      </c>
      <c r="E249" s="21" t="n">
        <v>2014</v>
      </c>
      <c r="F249" s="14" t="n">
        <v>0</v>
      </c>
      <c r="G249" s="14" t="str">
        <v>n.a.</v>
      </c>
      <c r="H249" s="14" t="str">
        <v>n.a.</v>
      </c>
      <c r="I249" s="14" t="str">
        <v>n.a.</v>
      </c>
      <c r="J249" s="14" t="str">
        <v>n.a.</v>
      </c>
      <c r="K249" s="14" t="n">
        <v>1</v>
      </c>
      <c r="L249" s="14" t="str">
        <v>n.a.</v>
      </c>
      <c r="M249" s="14" t="str">
        <v>n.a.</v>
      </c>
      <c r="N249" s="14" t="str">
        <v>n.a.</v>
      </c>
      <c r="O249" s="14" t="str">
        <v>n.a.</v>
      </c>
      <c r="P249" s="14" t="str">
        <v>n.a.</v>
      </c>
      <c r="Q249" s="14" t="str">
        <v>n.a.</v>
      </c>
      <c r="R249" s="14" t="str">
        <v>n.a.</v>
      </c>
      <c r="S249" s="14" t="str">
        <v>n.a.</v>
      </c>
      <c r="T249" s="14" t="str">
        <v>n.a.</v>
      </c>
      <c r="U249" s="14" t="str">
        <v>n.a.</v>
      </c>
      <c r="V249" s="14" t="str">
        <v>n.a.</v>
      </c>
      <c r="W249" s="14" t="str">
        <v>n.a.</v>
      </c>
      <c r="X249" s="14" t="str">
        <v>MAESTRO/oferta_anual</v>
      </c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</row>
    <row r="250" ht="36" customHeight="1">
      <c r="A250" s="15" t="str">
        <v>I162S2C2J1V1</v>
      </c>
      <c r="B250" s="15" t="str">
        <v>TECNICO EN PROGRAMACION COMPUTACIONAL</v>
      </c>
      <c r="C250" s="15" t="str">
        <v>Pregrado</v>
      </c>
      <c r="D250" s="23" t="n">
        <v>2010</v>
      </c>
      <c r="E250" s="23" t="n">
        <v>2026</v>
      </c>
      <c r="F250" s="15" t="n">
        <v>1</v>
      </c>
      <c r="G250" s="15" t="n">
        <v>1</v>
      </c>
      <c r="H250" s="15" t="n">
        <v>1</v>
      </c>
      <c r="I250" s="15" t="n">
        <v>1</v>
      </c>
      <c r="J250" s="15" t="n">
        <v>1</v>
      </c>
      <c r="K250" s="15" t="n">
        <v>1</v>
      </c>
      <c r="L250" s="15" t="n">
        <v>1</v>
      </c>
      <c r="M250" s="15" t="n">
        <v>1</v>
      </c>
      <c r="N250" s="15" t="n">
        <v>1</v>
      </c>
      <c r="O250" s="15" t="n">
        <v>1</v>
      </c>
      <c r="P250" s="15" t="n">
        <v>2</v>
      </c>
      <c r="Q250" s="15" t="n">
        <v>2</v>
      </c>
      <c r="R250" s="15" t="n">
        <v>2</v>
      </c>
      <c r="S250" s="15" t="n">
        <v>2</v>
      </c>
      <c r="T250" s="15" t="n">
        <v>2</v>
      </c>
      <c r="U250" s="15" t="n">
        <v>2</v>
      </c>
      <c r="V250" s="15" t="n">
        <v>2</v>
      </c>
      <c r="W250" s="15" t="n">
        <v>2</v>
      </c>
      <c r="X250" s="15" t="str">
        <v>MAESTRO/oferta_anual</v>
      </c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</row>
    <row r="251" ht="36" customHeight="1">
      <c r="A251" s="14" t="str">
        <v>I162S2C2J1V2</v>
      </c>
      <c r="B251" s="14" t="str">
        <v>TECNICO EN PROGRAMACION COMPUTACIONAL</v>
      </c>
      <c r="C251" s="14" t="str">
        <v>Pregrado</v>
      </c>
      <c r="D251" s="21" t="n">
        <v>2019</v>
      </c>
      <c r="E251" s="21" t="n">
        <v>2026</v>
      </c>
      <c r="F251" s="14" t="n">
        <v>1</v>
      </c>
      <c r="G251" s="14" t="str">
        <v>n.a.</v>
      </c>
      <c r="H251" s="14" t="str">
        <v>n.a.</v>
      </c>
      <c r="I251" s="14" t="str">
        <v>n.a.</v>
      </c>
      <c r="J251" s="14" t="str">
        <v>n.a.</v>
      </c>
      <c r="K251" s="14" t="str">
        <v>n.a.</v>
      </c>
      <c r="L251" s="14" t="str">
        <v>n.a.</v>
      </c>
      <c r="M251" s="14" t="str">
        <v>n.a.</v>
      </c>
      <c r="N251" s="14" t="str">
        <v>n.a.</v>
      </c>
      <c r="O251" s="14" t="str">
        <v>n.a.</v>
      </c>
      <c r="P251" s="14" t="n">
        <v>1</v>
      </c>
      <c r="Q251" s="14" t="n">
        <v>2</v>
      </c>
      <c r="R251" s="14" t="n">
        <v>2</v>
      </c>
      <c r="S251" s="14" t="n">
        <v>2</v>
      </c>
      <c r="T251" s="14" t="n">
        <v>2</v>
      </c>
      <c r="U251" s="14" t="n">
        <v>2</v>
      </c>
      <c r="V251" s="14" t="n">
        <v>2</v>
      </c>
      <c r="W251" s="14" t="n">
        <v>2</v>
      </c>
      <c r="X251" s="14" t="str">
        <v>MAESTRO/oferta_anual</v>
      </c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</row>
    <row r="252" ht="36" customHeight="1">
      <c r="A252" s="15" t="str">
        <v>I162S2C2J2V1</v>
      </c>
      <c r="B252" s="15" t="str">
        <v>TECNICO EN PROGRAMACION COMPUTACIONAL</v>
      </c>
      <c r="C252" s="15" t="str">
        <v>Pregrado</v>
      </c>
      <c r="D252" s="23" t="n">
        <v>2010</v>
      </c>
      <c r="E252" s="23" t="n">
        <v>2026</v>
      </c>
      <c r="F252" s="15" t="n">
        <v>1</v>
      </c>
      <c r="G252" s="15" t="n">
        <v>1</v>
      </c>
      <c r="H252" s="15" t="n">
        <v>1</v>
      </c>
      <c r="I252" s="15" t="n">
        <v>1</v>
      </c>
      <c r="J252" s="15" t="n">
        <v>1</v>
      </c>
      <c r="K252" s="15" t="n">
        <v>1</v>
      </c>
      <c r="L252" s="15" t="n">
        <v>1</v>
      </c>
      <c r="M252" s="15" t="n">
        <v>1</v>
      </c>
      <c r="N252" s="15" t="n">
        <v>1</v>
      </c>
      <c r="O252" s="15" t="n">
        <v>1</v>
      </c>
      <c r="P252" s="15" t="n">
        <v>2</v>
      </c>
      <c r="Q252" s="15" t="n">
        <v>2</v>
      </c>
      <c r="R252" s="15" t="n">
        <v>2</v>
      </c>
      <c r="S252" s="15" t="n">
        <v>2</v>
      </c>
      <c r="T252" s="15" t="n">
        <v>2</v>
      </c>
      <c r="U252" s="15" t="n">
        <v>2</v>
      </c>
      <c r="V252" s="15" t="n">
        <v>2</v>
      </c>
      <c r="W252" s="15" t="n">
        <v>2</v>
      </c>
      <c r="X252" s="15" t="str">
        <v>MAESTRO/oferta_anual</v>
      </c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</row>
    <row r="253" ht="36" customHeight="1">
      <c r="A253" s="14" t="str">
        <v>I162S2C2J2V2</v>
      </c>
      <c r="B253" s="14" t="str">
        <v>TECNICO EN PROGRAMACION COMPUTACIONAL</v>
      </c>
      <c r="C253" s="14" t="str">
        <v>Pregrado</v>
      </c>
      <c r="D253" s="21" t="n">
        <v>2019</v>
      </c>
      <c r="E253" s="21" t="n">
        <v>2026</v>
      </c>
      <c r="F253" s="14" t="n">
        <v>1</v>
      </c>
      <c r="G253" s="14" t="str">
        <v>n.a.</v>
      </c>
      <c r="H253" s="14" t="str">
        <v>n.a.</v>
      </c>
      <c r="I253" s="14" t="str">
        <v>n.a.</v>
      </c>
      <c r="J253" s="14" t="str">
        <v>n.a.</v>
      </c>
      <c r="K253" s="14" t="str">
        <v>n.a.</v>
      </c>
      <c r="L253" s="14" t="str">
        <v>n.a.</v>
      </c>
      <c r="M253" s="14" t="str">
        <v>n.a.</v>
      </c>
      <c r="N253" s="14" t="str">
        <v>n.a.</v>
      </c>
      <c r="O253" s="14" t="str">
        <v>n.a.</v>
      </c>
      <c r="P253" s="14" t="n">
        <v>1</v>
      </c>
      <c r="Q253" s="14" t="n">
        <v>2</v>
      </c>
      <c r="R253" s="14" t="n">
        <v>2</v>
      </c>
      <c r="S253" s="14" t="n">
        <v>2</v>
      </c>
      <c r="T253" s="14" t="n">
        <v>2</v>
      </c>
      <c r="U253" s="14" t="n">
        <v>2</v>
      </c>
      <c r="V253" s="14" t="n">
        <v>2</v>
      </c>
      <c r="W253" s="14" t="n">
        <v>2</v>
      </c>
      <c r="X253" s="14" t="str">
        <v>MAESTRO/oferta_anual</v>
      </c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</row>
    <row r="254" ht="36" customHeight="1">
      <c r="A254" s="15" t="str">
        <v>I162S2C2J4V1</v>
      </c>
      <c r="B254" s="15" t="str">
        <v>TECNICO EN PROGRAMACION COMPUTACIONAL</v>
      </c>
      <c r="C254" s="15" t="str">
        <v>Pregrado</v>
      </c>
      <c r="D254" s="23" t="n">
        <v>2017</v>
      </c>
      <c r="E254" s="23" t="n">
        <v>2026</v>
      </c>
      <c r="F254" s="15" t="n">
        <v>1</v>
      </c>
      <c r="G254" s="15" t="str">
        <v>n.a.</v>
      </c>
      <c r="H254" s="15" t="str">
        <v>n.a.</v>
      </c>
      <c r="I254" s="15" t="str">
        <v>n.a.</v>
      </c>
      <c r="J254" s="15" t="str">
        <v>n.a.</v>
      </c>
      <c r="K254" s="15" t="str">
        <v>n.a.</v>
      </c>
      <c r="L254" s="15" t="str">
        <v>n.a.</v>
      </c>
      <c r="M254" s="15" t="str">
        <v>n.a.</v>
      </c>
      <c r="N254" s="15" t="n">
        <v>1</v>
      </c>
      <c r="O254" s="15" t="n">
        <v>1</v>
      </c>
      <c r="P254" s="15" t="n">
        <v>2</v>
      </c>
      <c r="Q254" s="15" t="n">
        <v>2</v>
      </c>
      <c r="R254" s="15" t="n">
        <v>2</v>
      </c>
      <c r="S254" s="15" t="n">
        <v>2</v>
      </c>
      <c r="T254" s="15" t="n">
        <v>2</v>
      </c>
      <c r="U254" s="15" t="n">
        <v>2</v>
      </c>
      <c r="V254" s="15" t="n">
        <v>2</v>
      </c>
      <c r="W254" s="15" t="n">
        <v>2</v>
      </c>
      <c r="X254" s="15" t="str">
        <v>MAESTRO/oferta_anual</v>
      </c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</row>
    <row r="255" ht="36" customHeight="1">
      <c r="A255" s="14" t="str">
        <v>I162S2C2J4V2</v>
      </c>
      <c r="B255" s="14" t="str">
        <v>TECNICO EN PROGRAMACION COMPUTACIONAL</v>
      </c>
      <c r="C255" s="14" t="str">
        <v>Pregrado</v>
      </c>
      <c r="D255" s="21" t="n">
        <v>2019</v>
      </c>
      <c r="E255" s="21" t="n">
        <v>2026</v>
      </c>
      <c r="F255" s="14" t="n">
        <v>1</v>
      </c>
      <c r="G255" s="14" t="str">
        <v>n.a.</v>
      </c>
      <c r="H255" s="14" t="str">
        <v>n.a.</v>
      </c>
      <c r="I255" s="14" t="str">
        <v>n.a.</v>
      </c>
      <c r="J255" s="14" t="str">
        <v>n.a.</v>
      </c>
      <c r="K255" s="14" t="str">
        <v>n.a.</v>
      </c>
      <c r="L255" s="14" t="str">
        <v>n.a.</v>
      </c>
      <c r="M255" s="14" t="str">
        <v>n.a.</v>
      </c>
      <c r="N255" s="14" t="str">
        <v>n.a.</v>
      </c>
      <c r="O255" s="14" t="str">
        <v>n.a.</v>
      </c>
      <c r="P255" s="14" t="n">
        <v>1</v>
      </c>
      <c r="Q255" s="14" t="n">
        <v>2</v>
      </c>
      <c r="R255" s="14" t="n">
        <v>2</v>
      </c>
      <c r="S255" s="14" t="n">
        <v>2</v>
      </c>
      <c r="T255" s="14" t="n">
        <v>2</v>
      </c>
      <c r="U255" s="14" t="n">
        <v>2</v>
      </c>
      <c r="V255" s="14" t="n">
        <v>2</v>
      </c>
      <c r="W255" s="14" t="n">
        <v>2</v>
      </c>
      <c r="X255" s="14" t="str">
        <v>MAESTRO/oferta_anual</v>
      </c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</row>
    <row r="256" ht="36" customHeight="1">
      <c r="A256" s="15" t="str">
        <v>I162S2C35J1V1</v>
      </c>
      <c r="B256" s="15" t="str">
        <v>TECNICO EN ANALISIS DE SISTEMAS</v>
      </c>
      <c r="C256" s="15" t="str">
        <v>Pregrado</v>
      </c>
      <c r="D256" s="23" t="n">
        <v>2015</v>
      </c>
      <c r="E256" s="23" t="n">
        <v>2026</v>
      </c>
      <c r="F256" s="15" t="n">
        <v>1</v>
      </c>
      <c r="G256" s="15" t="str">
        <v>n.a.</v>
      </c>
      <c r="H256" s="15" t="str">
        <v>n.a.</v>
      </c>
      <c r="I256" s="15" t="str">
        <v>n.a.</v>
      </c>
      <c r="J256" s="15" t="str">
        <v>n.a.</v>
      </c>
      <c r="K256" s="15" t="str">
        <v>n.a.</v>
      </c>
      <c r="L256" s="15" t="n">
        <v>1</v>
      </c>
      <c r="M256" s="15" t="n">
        <v>1</v>
      </c>
      <c r="N256" s="15" t="n">
        <v>1</v>
      </c>
      <c r="O256" s="15" t="n">
        <v>1</v>
      </c>
      <c r="P256" s="15" t="n">
        <v>2</v>
      </c>
      <c r="Q256" s="15" t="n">
        <v>2</v>
      </c>
      <c r="R256" s="15" t="n">
        <v>2</v>
      </c>
      <c r="S256" s="15" t="n">
        <v>2</v>
      </c>
      <c r="T256" s="15" t="n">
        <v>2</v>
      </c>
      <c r="U256" s="15" t="n">
        <v>2</v>
      </c>
      <c r="V256" s="15" t="n">
        <v>2</v>
      </c>
      <c r="W256" s="15" t="n">
        <v>2</v>
      </c>
      <c r="X256" s="15" t="str">
        <v>MAESTRO/oferta_anual</v>
      </c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</row>
    <row r="257" ht="36" customHeight="1">
      <c r="A257" s="14" t="str">
        <v>I162S2C35J1V2</v>
      </c>
      <c r="B257" s="14" t="str">
        <v>TECNICO EN ANALISIS DE SISTEMAS</v>
      </c>
      <c r="C257" s="14" t="str">
        <v>Pregrado</v>
      </c>
      <c r="D257" s="21" t="n">
        <v>2019</v>
      </c>
      <c r="E257" s="21" t="n">
        <v>2026</v>
      </c>
      <c r="F257" s="14" t="n">
        <v>1</v>
      </c>
      <c r="G257" s="14" t="str">
        <v>n.a.</v>
      </c>
      <c r="H257" s="14" t="str">
        <v>n.a.</v>
      </c>
      <c r="I257" s="14" t="str">
        <v>n.a.</v>
      </c>
      <c r="J257" s="14" t="str">
        <v>n.a.</v>
      </c>
      <c r="K257" s="14" t="str">
        <v>n.a.</v>
      </c>
      <c r="L257" s="14" t="str">
        <v>n.a.</v>
      </c>
      <c r="M257" s="14" t="str">
        <v>n.a.</v>
      </c>
      <c r="N257" s="14" t="str">
        <v>n.a.</v>
      </c>
      <c r="O257" s="14" t="str">
        <v>n.a.</v>
      </c>
      <c r="P257" s="14" t="n">
        <v>1</v>
      </c>
      <c r="Q257" s="14" t="n">
        <v>2</v>
      </c>
      <c r="R257" s="14" t="n">
        <v>2</v>
      </c>
      <c r="S257" s="14" t="n">
        <v>2</v>
      </c>
      <c r="T257" s="14" t="n">
        <v>2</v>
      </c>
      <c r="U257" s="14" t="n">
        <v>2</v>
      </c>
      <c r="V257" s="14" t="n">
        <v>2</v>
      </c>
      <c r="W257" s="14" t="n">
        <v>2</v>
      </c>
      <c r="X257" s="14" t="str">
        <v>MAESTRO/oferta_anual</v>
      </c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</row>
    <row r="258" ht="36" customHeight="1">
      <c r="A258" s="15" t="str">
        <v>I162S2C35J2V1</v>
      </c>
      <c r="B258" s="15" t="str">
        <v>TECNICO EN ANALISIS DE SISTEMAS</v>
      </c>
      <c r="C258" s="15" t="str">
        <v>Pregrado</v>
      </c>
      <c r="D258" s="23" t="n">
        <v>2015</v>
      </c>
      <c r="E258" s="23" t="n">
        <v>2026</v>
      </c>
      <c r="F258" s="15" t="n">
        <v>1</v>
      </c>
      <c r="G258" s="15" t="str">
        <v>n.a.</v>
      </c>
      <c r="H258" s="15" t="str">
        <v>n.a.</v>
      </c>
      <c r="I258" s="15" t="str">
        <v>n.a.</v>
      </c>
      <c r="J258" s="15" t="str">
        <v>n.a.</v>
      </c>
      <c r="K258" s="15" t="str">
        <v>n.a.</v>
      </c>
      <c r="L258" s="15" t="n">
        <v>1</v>
      </c>
      <c r="M258" s="15" t="n">
        <v>1</v>
      </c>
      <c r="N258" s="15" t="n">
        <v>1</v>
      </c>
      <c r="O258" s="15" t="n">
        <v>1</v>
      </c>
      <c r="P258" s="15" t="n">
        <v>2</v>
      </c>
      <c r="Q258" s="15" t="n">
        <v>2</v>
      </c>
      <c r="R258" s="15" t="n">
        <v>2</v>
      </c>
      <c r="S258" s="15" t="n">
        <v>2</v>
      </c>
      <c r="T258" s="15" t="n">
        <v>2</v>
      </c>
      <c r="U258" s="15" t="n">
        <v>2</v>
      </c>
      <c r="V258" s="15" t="n">
        <v>2</v>
      </c>
      <c r="W258" s="15" t="n">
        <v>2</v>
      </c>
      <c r="X258" s="15" t="str">
        <v>MAESTRO/oferta_anual</v>
      </c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</row>
    <row r="259" ht="36" customHeight="1">
      <c r="A259" s="14" t="str">
        <v>I162S2C35J2V2</v>
      </c>
      <c r="B259" s="14" t="str">
        <v>TECNICO EN ANALISIS DE SISTEMAS</v>
      </c>
      <c r="C259" s="14" t="str">
        <v>Pregrado</v>
      </c>
      <c r="D259" s="21" t="n">
        <v>2019</v>
      </c>
      <c r="E259" s="21" t="n">
        <v>2026</v>
      </c>
      <c r="F259" s="14" t="n">
        <v>1</v>
      </c>
      <c r="G259" s="14" t="str">
        <v>n.a.</v>
      </c>
      <c r="H259" s="14" t="str">
        <v>n.a.</v>
      </c>
      <c r="I259" s="14" t="str">
        <v>n.a.</v>
      </c>
      <c r="J259" s="14" t="str">
        <v>n.a.</v>
      </c>
      <c r="K259" s="14" t="str">
        <v>n.a.</v>
      </c>
      <c r="L259" s="14" t="str">
        <v>n.a.</v>
      </c>
      <c r="M259" s="14" t="str">
        <v>n.a.</v>
      </c>
      <c r="N259" s="14" t="str">
        <v>n.a.</v>
      </c>
      <c r="O259" s="14" t="str">
        <v>n.a.</v>
      </c>
      <c r="P259" s="14" t="n">
        <v>1</v>
      </c>
      <c r="Q259" s="14" t="n">
        <v>2</v>
      </c>
      <c r="R259" s="14" t="n">
        <v>2</v>
      </c>
      <c r="S259" s="14" t="n">
        <v>2</v>
      </c>
      <c r="T259" s="14" t="n">
        <v>2</v>
      </c>
      <c r="U259" s="14" t="n">
        <v>2</v>
      </c>
      <c r="V259" s="14" t="n">
        <v>2</v>
      </c>
      <c r="W259" s="14" t="n">
        <v>2</v>
      </c>
      <c r="X259" s="14" t="str">
        <v>MAESTRO/oferta_anual</v>
      </c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</row>
    <row r="260" ht="36" customHeight="1">
      <c r="A260" s="15" t="str">
        <v>I162S2C35J4V1</v>
      </c>
      <c r="B260" s="15" t="str">
        <v>TECNICO EN ANALISIS DE SISTEMAS</v>
      </c>
      <c r="C260" s="15" t="str">
        <v>Pregrado</v>
      </c>
      <c r="D260" s="23" t="n">
        <v>2017</v>
      </c>
      <c r="E260" s="23" t="n">
        <v>2026</v>
      </c>
      <c r="F260" s="15" t="n">
        <v>1</v>
      </c>
      <c r="G260" s="15" t="str">
        <v>n.a.</v>
      </c>
      <c r="H260" s="15" t="str">
        <v>n.a.</v>
      </c>
      <c r="I260" s="15" t="str">
        <v>n.a.</v>
      </c>
      <c r="J260" s="15" t="str">
        <v>n.a.</v>
      </c>
      <c r="K260" s="15" t="str">
        <v>n.a.</v>
      </c>
      <c r="L260" s="15" t="str">
        <v>n.a.</v>
      </c>
      <c r="M260" s="15" t="str">
        <v>n.a.</v>
      </c>
      <c r="N260" s="15" t="n">
        <v>1</v>
      </c>
      <c r="O260" s="15" t="n">
        <v>1</v>
      </c>
      <c r="P260" s="15" t="n">
        <v>2</v>
      </c>
      <c r="Q260" s="15" t="n">
        <v>2</v>
      </c>
      <c r="R260" s="15" t="n">
        <v>2</v>
      </c>
      <c r="S260" s="15" t="n">
        <v>2</v>
      </c>
      <c r="T260" s="15" t="n">
        <v>2</v>
      </c>
      <c r="U260" s="15" t="n">
        <v>2</v>
      </c>
      <c r="V260" s="15" t="n">
        <v>2</v>
      </c>
      <c r="W260" s="15" t="n">
        <v>2</v>
      </c>
      <c r="X260" s="15" t="str">
        <v>MAESTRO/oferta_anual</v>
      </c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</row>
    <row r="261" ht="36" customHeight="1">
      <c r="A261" s="14" t="str">
        <v>I162S2C35J4V2</v>
      </c>
      <c r="B261" s="14" t="str">
        <v>TECNICO EN ANALISIS DE SISTEMAS</v>
      </c>
      <c r="C261" s="14" t="str">
        <v>Pregrado</v>
      </c>
      <c r="D261" s="21" t="n">
        <v>2019</v>
      </c>
      <c r="E261" s="21" t="n">
        <v>2026</v>
      </c>
      <c r="F261" s="14" t="n">
        <v>1</v>
      </c>
      <c r="G261" s="14" t="str">
        <v>n.a.</v>
      </c>
      <c r="H261" s="14" t="str">
        <v>n.a.</v>
      </c>
      <c r="I261" s="14" t="str">
        <v>n.a.</v>
      </c>
      <c r="J261" s="14" t="str">
        <v>n.a.</v>
      </c>
      <c r="K261" s="14" t="str">
        <v>n.a.</v>
      </c>
      <c r="L261" s="14" t="str">
        <v>n.a.</v>
      </c>
      <c r="M261" s="14" t="str">
        <v>n.a.</v>
      </c>
      <c r="N261" s="14" t="str">
        <v>n.a.</v>
      </c>
      <c r="O261" s="14" t="str">
        <v>n.a.</v>
      </c>
      <c r="P261" s="14" t="n">
        <v>1</v>
      </c>
      <c r="Q261" s="14" t="n">
        <v>2</v>
      </c>
      <c r="R261" s="14" t="n">
        <v>2</v>
      </c>
      <c r="S261" s="14" t="n">
        <v>2</v>
      </c>
      <c r="T261" s="14" t="n">
        <v>2</v>
      </c>
      <c r="U261" s="14" t="n">
        <v>2</v>
      </c>
      <c r="V261" s="14" t="n">
        <v>2</v>
      </c>
      <c r="W261" s="14" t="n">
        <v>2</v>
      </c>
      <c r="X261" s="14" t="str">
        <v>MAESTRO/oferta_anual</v>
      </c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</row>
    <row r="262" ht="36" customHeight="1">
      <c r="A262" s="15" t="str">
        <v>I162S2C3J1V1</v>
      </c>
      <c r="B262" s="15" t="str">
        <v>INGENIERIA EN CONECTIVIDAD Y REDES</v>
      </c>
      <c r="C262" s="15" t="str">
        <v>Pregrado</v>
      </c>
      <c r="D262" s="23" t="n">
        <v>2010</v>
      </c>
      <c r="E262" s="23" t="n">
        <v>2026</v>
      </c>
      <c r="F262" s="15" t="n">
        <v>1</v>
      </c>
      <c r="G262" s="15" t="n">
        <v>1</v>
      </c>
      <c r="H262" s="15" t="n">
        <v>1</v>
      </c>
      <c r="I262" s="15" t="n">
        <v>1</v>
      </c>
      <c r="J262" s="15" t="n">
        <v>1</v>
      </c>
      <c r="K262" s="15" t="n">
        <v>1</v>
      </c>
      <c r="L262" s="15" t="n">
        <v>1</v>
      </c>
      <c r="M262" s="15" t="n">
        <v>1</v>
      </c>
      <c r="N262" s="15" t="n">
        <v>1</v>
      </c>
      <c r="O262" s="15" t="n">
        <v>1</v>
      </c>
      <c r="P262" s="15" t="n">
        <v>2</v>
      </c>
      <c r="Q262" s="15" t="n">
        <v>2</v>
      </c>
      <c r="R262" s="15" t="n">
        <v>1</v>
      </c>
      <c r="S262" s="15" t="n">
        <v>1</v>
      </c>
      <c r="T262" s="15" t="n">
        <v>2</v>
      </c>
      <c r="U262" s="15" t="n">
        <v>2</v>
      </c>
      <c r="V262" s="15" t="n">
        <v>2</v>
      </c>
      <c r="W262" s="15" t="n">
        <v>2</v>
      </c>
      <c r="X262" s="15" t="str">
        <v>MAESTRO/oferta_anual</v>
      </c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</row>
    <row r="263" ht="36" customHeight="1">
      <c r="A263" s="14" t="str">
        <v>I162S2C3J1V2</v>
      </c>
      <c r="B263" s="14" t="str">
        <v>INGENIERIA EN CONECTIVIDAD Y REDES</v>
      </c>
      <c r="C263" s="14" t="str">
        <v>Pregrado</v>
      </c>
      <c r="D263" s="21" t="n">
        <v>2019</v>
      </c>
      <c r="E263" s="21" t="n">
        <v>2026</v>
      </c>
      <c r="F263" s="14" t="n">
        <v>1</v>
      </c>
      <c r="G263" s="14" t="str">
        <v>n.a.</v>
      </c>
      <c r="H263" s="14" t="str">
        <v>n.a.</v>
      </c>
      <c r="I263" s="14" t="str">
        <v>n.a.</v>
      </c>
      <c r="J263" s="14" t="str">
        <v>n.a.</v>
      </c>
      <c r="K263" s="14" t="str">
        <v>n.a.</v>
      </c>
      <c r="L263" s="14" t="str">
        <v>n.a.</v>
      </c>
      <c r="M263" s="14" t="str">
        <v>n.a.</v>
      </c>
      <c r="N263" s="14" t="str">
        <v>n.a.</v>
      </c>
      <c r="O263" s="14" t="str">
        <v>n.a.</v>
      </c>
      <c r="P263" s="14" t="n">
        <v>1</v>
      </c>
      <c r="Q263" s="14" t="n">
        <v>2</v>
      </c>
      <c r="R263" s="14" t="n">
        <v>2</v>
      </c>
      <c r="S263" s="14" t="n">
        <v>2</v>
      </c>
      <c r="T263" s="14" t="n">
        <v>1</v>
      </c>
      <c r="U263" s="14" t="n">
        <v>1</v>
      </c>
      <c r="V263" s="14" t="n">
        <v>1</v>
      </c>
      <c r="W263" s="14" t="n">
        <v>1</v>
      </c>
      <c r="X263" s="14" t="str">
        <v>MAESTRO/oferta_anual</v>
      </c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</row>
    <row r="264" ht="36" customHeight="1">
      <c r="A264" s="15" t="str">
        <v>I162S2C3J2V1</v>
      </c>
      <c r="B264" s="15" t="str">
        <v>INGENIERIA EN CONECTIVIDAD Y REDES</v>
      </c>
      <c r="C264" s="15" t="str">
        <v>Pregrado</v>
      </c>
      <c r="D264" s="23" t="n">
        <v>2010</v>
      </c>
      <c r="E264" s="23" t="n">
        <v>2026</v>
      </c>
      <c r="F264" s="15" t="n">
        <v>1</v>
      </c>
      <c r="G264" s="15" t="n">
        <v>1</v>
      </c>
      <c r="H264" s="15" t="n">
        <v>1</v>
      </c>
      <c r="I264" s="15" t="n">
        <v>1</v>
      </c>
      <c r="J264" s="15" t="n">
        <v>1</v>
      </c>
      <c r="K264" s="15" t="n">
        <v>1</v>
      </c>
      <c r="L264" s="15" t="n">
        <v>1</v>
      </c>
      <c r="M264" s="15" t="n">
        <v>1</v>
      </c>
      <c r="N264" s="15" t="n">
        <v>1</v>
      </c>
      <c r="O264" s="15" t="n">
        <v>1</v>
      </c>
      <c r="P264" s="15" t="n">
        <v>2</v>
      </c>
      <c r="Q264" s="15" t="n">
        <v>2</v>
      </c>
      <c r="R264" s="15" t="n">
        <v>1</v>
      </c>
      <c r="S264" s="15" t="n">
        <v>1</v>
      </c>
      <c r="T264" s="15" t="n">
        <v>2</v>
      </c>
      <c r="U264" s="15" t="n">
        <v>2</v>
      </c>
      <c r="V264" s="15" t="n">
        <v>2</v>
      </c>
      <c r="W264" s="15" t="n">
        <v>2</v>
      </c>
      <c r="X264" s="15" t="str">
        <v>MAESTRO/oferta_anual</v>
      </c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</row>
    <row r="265" ht="36" customHeight="1">
      <c r="A265" s="14" t="str">
        <v>I162S2C3J2V2</v>
      </c>
      <c r="B265" s="14" t="str">
        <v>INGENIERIA EN CONECTIVIDAD Y REDES</v>
      </c>
      <c r="C265" s="14" t="str">
        <v>Pregrado</v>
      </c>
      <c r="D265" s="21" t="n">
        <v>2016</v>
      </c>
      <c r="E265" s="21" t="n">
        <v>2023</v>
      </c>
      <c r="F265" s="14" t="n">
        <v>1</v>
      </c>
      <c r="G265" s="14" t="str">
        <v>n.a.</v>
      </c>
      <c r="H265" s="14" t="str">
        <v>n.a.</v>
      </c>
      <c r="I265" s="14" t="str">
        <v>n.a.</v>
      </c>
      <c r="J265" s="14" t="str">
        <v>n.a.</v>
      </c>
      <c r="K265" s="14" t="str">
        <v>n.a.</v>
      </c>
      <c r="L265" s="14" t="str">
        <v>n.a.</v>
      </c>
      <c r="M265" s="14" t="n">
        <v>1</v>
      </c>
      <c r="N265" s="14" t="n">
        <v>1</v>
      </c>
      <c r="O265" s="14" t="n">
        <v>1</v>
      </c>
      <c r="P265" s="14" t="n">
        <v>2</v>
      </c>
      <c r="Q265" s="14" t="n">
        <v>2</v>
      </c>
      <c r="R265" s="14" t="n">
        <v>2</v>
      </c>
      <c r="S265" s="14" t="n">
        <v>2</v>
      </c>
      <c r="T265" s="14" t="n">
        <v>2</v>
      </c>
      <c r="U265" s="14" t="str">
        <v>n.a.</v>
      </c>
      <c r="V265" s="14" t="str">
        <v>n.a.</v>
      </c>
      <c r="W265" s="14" t="str">
        <v>n.a.</v>
      </c>
      <c r="X265" s="14" t="str">
        <v>MAESTRO/oferta_anual</v>
      </c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</row>
    <row r="266" ht="36" customHeight="1">
      <c r="A266" s="15" t="str">
        <v>I162S2C3J2V3</v>
      </c>
      <c r="B266" s="15" t="str">
        <v>INGENIERIA EN CONECTIVIDAD Y REDES</v>
      </c>
      <c r="C266" s="15" t="str">
        <v>Pregrado</v>
      </c>
      <c r="D266" s="23" t="n">
        <v>2018</v>
      </c>
      <c r="E266" s="23" t="n">
        <v>2026</v>
      </c>
      <c r="F266" s="15" t="n">
        <v>1</v>
      </c>
      <c r="G266" s="15" t="str">
        <v>n.a.</v>
      </c>
      <c r="H266" s="15" t="str">
        <v>n.a.</v>
      </c>
      <c r="I266" s="15" t="str">
        <v>n.a.</v>
      </c>
      <c r="J266" s="15" t="str">
        <v>n.a.</v>
      </c>
      <c r="K266" s="15" t="str">
        <v>n.a.</v>
      </c>
      <c r="L266" s="15" t="str">
        <v>n.a.</v>
      </c>
      <c r="M266" s="15" t="str">
        <v>n.a.</v>
      </c>
      <c r="N266" s="15" t="str">
        <v>n.a.</v>
      </c>
      <c r="O266" s="15" t="n">
        <v>1</v>
      </c>
      <c r="P266" s="15" t="n">
        <v>1</v>
      </c>
      <c r="Q266" s="15" t="n">
        <v>1</v>
      </c>
      <c r="R266" s="15" t="n">
        <v>1</v>
      </c>
      <c r="S266" s="15" t="n">
        <v>2</v>
      </c>
      <c r="T266" s="15" t="n">
        <v>2</v>
      </c>
      <c r="U266" s="15" t="n">
        <v>2</v>
      </c>
      <c r="V266" s="15" t="n">
        <v>2</v>
      </c>
      <c r="W266" s="15" t="n">
        <v>2</v>
      </c>
      <c r="X266" s="15" t="str">
        <v>MAESTRO/oferta_anual</v>
      </c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</row>
    <row r="267" ht="36" customHeight="1">
      <c r="A267" s="14" t="str">
        <v>I162S2C3J2V4</v>
      </c>
      <c r="B267" s="14" t="str">
        <v>INGENIERIA EN CONECTIVIDAD Y REDES</v>
      </c>
      <c r="C267" s="14" t="str">
        <v>Pregrado</v>
      </c>
      <c r="D267" s="21" t="n">
        <v>2019</v>
      </c>
      <c r="E267" s="21" t="n">
        <v>2026</v>
      </c>
      <c r="F267" s="14" t="n">
        <v>1</v>
      </c>
      <c r="G267" s="14" t="str">
        <v>n.a.</v>
      </c>
      <c r="H267" s="14" t="str">
        <v>n.a.</v>
      </c>
      <c r="I267" s="14" t="str">
        <v>n.a.</v>
      </c>
      <c r="J267" s="14" t="str">
        <v>n.a.</v>
      </c>
      <c r="K267" s="14" t="str">
        <v>n.a.</v>
      </c>
      <c r="L267" s="14" t="str">
        <v>n.a.</v>
      </c>
      <c r="M267" s="14" t="str">
        <v>n.a.</v>
      </c>
      <c r="N267" s="14" t="str">
        <v>n.a.</v>
      </c>
      <c r="O267" s="14" t="str">
        <v>n.a.</v>
      </c>
      <c r="P267" s="14" t="n">
        <v>1</v>
      </c>
      <c r="Q267" s="14" t="n">
        <v>1</v>
      </c>
      <c r="R267" s="14" t="n">
        <v>1</v>
      </c>
      <c r="S267" s="14" t="n">
        <v>2</v>
      </c>
      <c r="T267" s="14" t="n">
        <v>1</v>
      </c>
      <c r="U267" s="14" t="n">
        <v>1</v>
      </c>
      <c r="V267" s="14" t="n">
        <v>1</v>
      </c>
      <c r="W267" s="14" t="n">
        <v>1</v>
      </c>
      <c r="X267" s="14" t="str">
        <v>MAESTRO/oferta_anual</v>
      </c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</row>
    <row r="268" ht="36" customHeight="1">
      <c r="A268" s="15" t="str">
        <v>I162S2C3J4V1</v>
      </c>
      <c r="B268" s="15" t="str">
        <v>INGENIERIA EN CONECTIVIDAD Y REDES</v>
      </c>
      <c r="C268" s="15" t="str">
        <v>Pregrado</v>
      </c>
      <c r="D268" s="23" t="n">
        <v>2018</v>
      </c>
      <c r="E268" s="23" t="n">
        <v>2023</v>
      </c>
      <c r="F268" s="15" t="n">
        <v>1</v>
      </c>
      <c r="G268" s="15" t="str">
        <v>n.a.</v>
      </c>
      <c r="H268" s="15" t="str">
        <v>n.a.</v>
      </c>
      <c r="I268" s="15" t="str">
        <v>n.a.</v>
      </c>
      <c r="J268" s="15" t="str">
        <v>n.a.</v>
      </c>
      <c r="K268" s="15" t="str">
        <v>n.a.</v>
      </c>
      <c r="L268" s="15" t="str">
        <v>n.a.</v>
      </c>
      <c r="M268" s="15" t="str">
        <v>n.a.</v>
      </c>
      <c r="N268" s="15" t="str">
        <v>n.a.</v>
      </c>
      <c r="O268" s="15" t="n">
        <v>1</v>
      </c>
      <c r="P268" s="15" t="n">
        <v>2</v>
      </c>
      <c r="Q268" s="15" t="n">
        <v>2</v>
      </c>
      <c r="R268" s="15" t="n">
        <v>1</v>
      </c>
      <c r="S268" s="15" t="n">
        <v>1</v>
      </c>
      <c r="T268" s="15" t="n">
        <v>2</v>
      </c>
      <c r="U268" s="15" t="str">
        <v>n.a.</v>
      </c>
      <c r="V268" s="15" t="str">
        <v>n.a.</v>
      </c>
      <c r="W268" s="15" t="str">
        <v>n.a.</v>
      </c>
      <c r="X268" s="15" t="str">
        <v>MAESTRO/oferta_anual</v>
      </c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</row>
    <row r="269" ht="36" customHeight="1">
      <c r="A269" s="14" t="str">
        <v>I162S2C3J4V2</v>
      </c>
      <c r="B269" s="14" t="str">
        <v>INGENIERIA EN CONECTIVIDAD Y REDES</v>
      </c>
      <c r="C269" s="14" t="str">
        <v>Pregrado</v>
      </c>
      <c r="D269" s="21" t="n">
        <v>2019</v>
      </c>
      <c r="E269" s="21" t="n">
        <v>2026</v>
      </c>
      <c r="F269" s="14" t="n">
        <v>1</v>
      </c>
      <c r="G269" s="14" t="str">
        <v>n.a.</v>
      </c>
      <c r="H269" s="14" t="str">
        <v>n.a.</v>
      </c>
      <c r="I269" s="14" t="str">
        <v>n.a.</v>
      </c>
      <c r="J269" s="14" t="str">
        <v>n.a.</v>
      </c>
      <c r="K269" s="14" t="str">
        <v>n.a.</v>
      </c>
      <c r="L269" s="14" t="str">
        <v>n.a.</v>
      </c>
      <c r="M269" s="14" t="str">
        <v>n.a.</v>
      </c>
      <c r="N269" s="14" t="str">
        <v>n.a.</v>
      </c>
      <c r="O269" s="14" t="str">
        <v>n.a.</v>
      </c>
      <c r="P269" s="14" t="n">
        <v>1</v>
      </c>
      <c r="Q269" s="14" t="n">
        <v>1</v>
      </c>
      <c r="R269" s="14" t="n">
        <v>1</v>
      </c>
      <c r="S269" s="14" t="n">
        <v>2</v>
      </c>
      <c r="T269" s="14" t="n">
        <v>1</v>
      </c>
      <c r="U269" s="14" t="n">
        <v>1</v>
      </c>
      <c r="V269" s="14" t="n">
        <v>1</v>
      </c>
      <c r="W269" s="14" t="n">
        <v>1</v>
      </c>
      <c r="X269" s="14" t="str">
        <v>MAESTRO/oferta_anual</v>
      </c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</row>
    <row r="270" ht="36" customHeight="1">
      <c r="A270" s="15" t="str">
        <v>I162S2C3J4V3</v>
      </c>
      <c r="B270" s="15" t="str">
        <v>INGENIERIA EN CONECTIVIDAD Y REDES</v>
      </c>
      <c r="C270" s="15" t="str">
        <v>Pregrado</v>
      </c>
      <c r="D270" s="23" t="n">
        <v>2019</v>
      </c>
      <c r="E270" s="23" t="n">
        <v>2026</v>
      </c>
      <c r="F270" s="15" t="n">
        <v>1</v>
      </c>
      <c r="G270" s="15" t="str">
        <v>n.a.</v>
      </c>
      <c r="H270" s="15" t="str">
        <v>n.a.</v>
      </c>
      <c r="I270" s="15" t="str">
        <v>n.a.</v>
      </c>
      <c r="J270" s="15" t="str">
        <v>n.a.</v>
      </c>
      <c r="K270" s="15" t="str">
        <v>n.a.</v>
      </c>
      <c r="L270" s="15" t="str">
        <v>n.a.</v>
      </c>
      <c r="M270" s="15" t="str">
        <v>n.a.</v>
      </c>
      <c r="N270" s="15" t="str">
        <v>n.a.</v>
      </c>
      <c r="O270" s="15" t="str">
        <v>n.a.</v>
      </c>
      <c r="P270" s="15" t="n">
        <v>1</v>
      </c>
      <c r="Q270" s="15" t="n">
        <v>1</v>
      </c>
      <c r="R270" s="15" t="n">
        <v>1</v>
      </c>
      <c r="S270" s="15" t="n">
        <v>2</v>
      </c>
      <c r="T270" s="15" t="n">
        <v>2</v>
      </c>
      <c r="U270" s="15" t="n">
        <v>2</v>
      </c>
      <c r="V270" s="15" t="n">
        <v>2</v>
      </c>
      <c r="W270" s="15" t="n">
        <v>2</v>
      </c>
      <c r="X270" s="15" t="str">
        <v>MAESTRO/oferta_anual</v>
      </c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</row>
    <row r="271" ht="36" customHeight="1">
      <c r="A271" s="14" t="str">
        <v>I162S2C40J2V1</v>
      </c>
      <c r="B271" s="14" t="str">
        <v>DIPLOMADO EN DOCENCIA EN EDUCACION SUPERIOR TECNICO PROFESIONAL</v>
      </c>
      <c r="C271" s="14" t="str">
        <v>Postítulo</v>
      </c>
      <c r="D271" s="21" t="n">
        <v>2017</v>
      </c>
      <c r="E271" s="21" t="n">
        <v>2026</v>
      </c>
      <c r="F271" s="14" t="n">
        <v>1</v>
      </c>
      <c r="G271" s="14" t="str">
        <v>n.a.</v>
      </c>
      <c r="H271" s="14" t="str">
        <v>n.a.</v>
      </c>
      <c r="I271" s="14" t="str">
        <v>n.a.</v>
      </c>
      <c r="J271" s="14" t="str">
        <v>n.a.</v>
      </c>
      <c r="K271" s="14" t="str">
        <v>n.a.</v>
      </c>
      <c r="L271" s="14" t="str">
        <v>n.a.</v>
      </c>
      <c r="M271" s="14" t="str">
        <v>n.a.</v>
      </c>
      <c r="N271" s="14" t="n">
        <v>1</v>
      </c>
      <c r="O271" s="14" t="n">
        <v>1</v>
      </c>
      <c r="P271" s="14" t="n">
        <v>1</v>
      </c>
      <c r="Q271" s="14" t="n">
        <v>1</v>
      </c>
      <c r="R271" s="14" t="n">
        <v>1</v>
      </c>
      <c r="S271" s="14" t="n">
        <v>2</v>
      </c>
      <c r="T271" s="14" t="n">
        <v>2</v>
      </c>
      <c r="U271" s="14" t="n">
        <v>2</v>
      </c>
      <c r="V271" s="14" t="n">
        <v>2</v>
      </c>
      <c r="W271" s="14" t="n">
        <v>2</v>
      </c>
      <c r="X271" s="14" t="str">
        <v>MAESTRO/oferta_anual</v>
      </c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</row>
    <row r="272" ht="36" customHeight="1">
      <c r="A272" s="15" t="str">
        <v>I162S2C41J2V1</v>
      </c>
      <c r="B272" s="15" t="str">
        <v>DIPLOMADO EN GESTION DE PROYECTOS</v>
      </c>
      <c r="C272" s="15" t="str">
        <v>Postítulo</v>
      </c>
      <c r="D272" s="23" t="n">
        <v>2017</v>
      </c>
      <c r="E272" s="23" t="n">
        <v>2019</v>
      </c>
      <c r="F272" s="15" t="n">
        <v>0</v>
      </c>
      <c r="G272" s="15" t="str">
        <v>n.a.</v>
      </c>
      <c r="H272" s="15" t="str">
        <v>n.a.</v>
      </c>
      <c r="I272" s="15" t="str">
        <v>n.a.</v>
      </c>
      <c r="J272" s="15" t="str">
        <v>n.a.</v>
      </c>
      <c r="K272" s="15" t="str">
        <v>n.a.</v>
      </c>
      <c r="L272" s="15" t="str">
        <v>n.a.</v>
      </c>
      <c r="M272" s="15" t="str">
        <v>n.a.</v>
      </c>
      <c r="N272" s="15" t="n">
        <v>1</v>
      </c>
      <c r="O272" s="15" t="n">
        <v>1</v>
      </c>
      <c r="P272" s="15" t="n">
        <v>1</v>
      </c>
      <c r="Q272" s="15" t="str">
        <v>n.a.</v>
      </c>
      <c r="R272" s="15" t="str">
        <v>n.a.</v>
      </c>
      <c r="S272" s="15" t="str">
        <v>n.a.</v>
      </c>
      <c r="T272" s="15" t="str">
        <v>n.a.</v>
      </c>
      <c r="U272" s="15" t="str">
        <v>n.a.</v>
      </c>
      <c r="V272" s="15" t="str">
        <v>n.a.</v>
      </c>
      <c r="W272" s="15" t="str">
        <v>n.a.</v>
      </c>
      <c r="X272" s="15" t="str">
        <v>MAESTRO/oferta_anual</v>
      </c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</row>
    <row r="273" ht="36" customHeight="1">
      <c r="A273" s="14" t="str">
        <v>I162S2C46J1V1</v>
      </c>
      <c r="B273" s="14" t="str">
        <v>INGENIERIA EN CIBERSEGURIDAD</v>
      </c>
      <c r="C273" s="14" t="str">
        <v>Pregrado</v>
      </c>
      <c r="D273" s="21" t="n">
        <v>2019</v>
      </c>
      <c r="E273" s="21" t="n">
        <v>2026</v>
      </c>
      <c r="F273" s="14" t="n">
        <v>1</v>
      </c>
      <c r="G273" s="14" t="str">
        <v>n.a.</v>
      </c>
      <c r="H273" s="14" t="str">
        <v>n.a.</v>
      </c>
      <c r="I273" s="14" t="str">
        <v>n.a.</v>
      </c>
      <c r="J273" s="14" t="str">
        <v>n.a.</v>
      </c>
      <c r="K273" s="14" t="str">
        <v>n.a.</v>
      </c>
      <c r="L273" s="14" t="str">
        <v>n.a.</v>
      </c>
      <c r="M273" s="14" t="str">
        <v>n.a.</v>
      </c>
      <c r="N273" s="14" t="str">
        <v>n.a.</v>
      </c>
      <c r="O273" s="14" t="str">
        <v>n.a.</v>
      </c>
      <c r="P273" s="14" t="n">
        <v>1</v>
      </c>
      <c r="Q273" s="14" t="n">
        <v>1</v>
      </c>
      <c r="R273" s="14" t="n">
        <v>1</v>
      </c>
      <c r="S273" s="14" t="n">
        <v>1</v>
      </c>
      <c r="T273" s="14" t="n">
        <v>1</v>
      </c>
      <c r="U273" s="14" t="n">
        <v>1</v>
      </c>
      <c r="V273" s="14" t="n">
        <v>1</v>
      </c>
      <c r="W273" s="14" t="n">
        <v>1</v>
      </c>
      <c r="X273" s="14" t="str">
        <v>MAESTRO/oferta_anual</v>
      </c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</row>
    <row r="274" ht="36" customHeight="1">
      <c r="A274" s="15" t="str">
        <v>I162S2C46J2V1</v>
      </c>
      <c r="B274" s="15" t="str">
        <v>INGENIERIA EN CIBERSEGURIDAD</v>
      </c>
      <c r="C274" s="15" t="str">
        <v>Pregrado</v>
      </c>
      <c r="D274" s="23" t="n">
        <v>2019</v>
      </c>
      <c r="E274" s="23" t="n">
        <v>2026</v>
      </c>
      <c r="F274" s="15" t="n">
        <v>1</v>
      </c>
      <c r="G274" s="15" t="str">
        <v>n.a.</v>
      </c>
      <c r="H274" s="15" t="str">
        <v>n.a.</v>
      </c>
      <c r="I274" s="15" t="str">
        <v>n.a.</v>
      </c>
      <c r="J274" s="15" t="str">
        <v>n.a.</v>
      </c>
      <c r="K274" s="15" t="str">
        <v>n.a.</v>
      </c>
      <c r="L274" s="15" t="str">
        <v>n.a.</v>
      </c>
      <c r="M274" s="15" t="str">
        <v>n.a.</v>
      </c>
      <c r="N274" s="15" t="str">
        <v>n.a.</v>
      </c>
      <c r="O274" s="15" t="str">
        <v>n.a.</v>
      </c>
      <c r="P274" s="15" t="n">
        <v>1</v>
      </c>
      <c r="Q274" s="15" t="n">
        <v>1</v>
      </c>
      <c r="R274" s="15" t="n">
        <v>1</v>
      </c>
      <c r="S274" s="15" t="n">
        <v>1</v>
      </c>
      <c r="T274" s="15" t="n">
        <v>1</v>
      </c>
      <c r="U274" s="15" t="n">
        <v>1</v>
      </c>
      <c r="V274" s="15" t="n">
        <v>1</v>
      </c>
      <c r="W274" s="15" t="n">
        <v>1</v>
      </c>
      <c r="X274" s="15" t="str">
        <v>MAESTRO/oferta_anual</v>
      </c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</row>
    <row r="275" ht="36" customHeight="1">
      <c r="A275" s="14" t="str">
        <v>I162S2C46J2V2</v>
      </c>
      <c r="B275" s="14" t="str">
        <v>INGENIERIA EN CIBERSEGURIDAD</v>
      </c>
      <c r="C275" s="14" t="str">
        <v>Pregrado</v>
      </c>
      <c r="D275" s="21" t="n">
        <v>2019</v>
      </c>
      <c r="E275" s="21" t="n">
        <v>2023</v>
      </c>
      <c r="F275" s="14" t="n">
        <v>1</v>
      </c>
      <c r="G275" s="14" t="str">
        <v>n.a.</v>
      </c>
      <c r="H275" s="14" t="str">
        <v>n.a.</v>
      </c>
      <c r="I275" s="14" t="str">
        <v>n.a.</v>
      </c>
      <c r="J275" s="14" t="str">
        <v>n.a.</v>
      </c>
      <c r="K275" s="14" t="str">
        <v>n.a.</v>
      </c>
      <c r="L275" s="14" t="str">
        <v>n.a.</v>
      </c>
      <c r="M275" s="14" t="str">
        <v>n.a.</v>
      </c>
      <c r="N275" s="14" t="str">
        <v>n.a.</v>
      </c>
      <c r="O275" s="14" t="str">
        <v>n.a.</v>
      </c>
      <c r="P275" s="14" t="n">
        <v>1</v>
      </c>
      <c r="Q275" s="14" t="n">
        <v>1</v>
      </c>
      <c r="R275" s="14" t="n">
        <v>1</v>
      </c>
      <c r="S275" s="14" t="n">
        <v>2</v>
      </c>
      <c r="T275" s="14" t="n">
        <v>2</v>
      </c>
      <c r="U275" s="14" t="str">
        <v>n.a.</v>
      </c>
      <c r="V275" s="14" t="str">
        <v>n.a.</v>
      </c>
      <c r="W275" s="14" t="str">
        <v>n.a.</v>
      </c>
      <c r="X275" s="14" t="str">
        <v>MAESTRO/oferta_anual</v>
      </c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</row>
    <row r="276" ht="36" customHeight="1">
      <c r="A276" s="15" t="str">
        <v>I162S2C46J2V3</v>
      </c>
      <c r="B276" s="15" t="str">
        <v>INGENIERIA EN CIBERSEGURIDAD</v>
      </c>
      <c r="C276" s="15" t="str">
        <v>Pregrado</v>
      </c>
      <c r="D276" s="23" t="n">
        <v>2019</v>
      </c>
      <c r="E276" s="23" t="n">
        <v>2026</v>
      </c>
      <c r="F276" s="15" t="n">
        <v>1</v>
      </c>
      <c r="G276" s="15" t="str">
        <v>n.a.</v>
      </c>
      <c r="H276" s="15" t="str">
        <v>n.a.</v>
      </c>
      <c r="I276" s="15" t="str">
        <v>n.a.</v>
      </c>
      <c r="J276" s="15" t="str">
        <v>n.a.</v>
      </c>
      <c r="K276" s="15" t="str">
        <v>n.a.</v>
      </c>
      <c r="L276" s="15" t="str">
        <v>n.a.</v>
      </c>
      <c r="M276" s="15" t="str">
        <v>n.a.</v>
      </c>
      <c r="N276" s="15" t="str">
        <v>n.a.</v>
      </c>
      <c r="O276" s="15" t="str">
        <v>n.a.</v>
      </c>
      <c r="P276" s="15" t="n">
        <v>1</v>
      </c>
      <c r="Q276" s="15" t="n">
        <v>1</v>
      </c>
      <c r="R276" s="15" t="n">
        <v>2</v>
      </c>
      <c r="S276" s="15" t="n">
        <v>2</v>
      </c>
      <c r="T276" s="15" t="n">
        <v>2</v>
      </c>
      <c r="U276" s="15" t="n">
        <v>2</v>
      </c>
      <c r="V276" s="15" t="n">
        <v>2</v>
      </c>
      <c r="W276" s="15" t="n">
        <v>2</v>
      </c>
      <c r="X276" s="15" t="str">
        <v>MAESTRO/oferta_anual</v>
      </c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</row>
    <row r="277" ht="36" customHeight="1">
      <c r="A277" s="14" t="str">
        <v>I162S2C46J4V1</v>
      </c>
      <c r="B277" s="14" t="str">
        <v>INGENIERIA EN CIBERSEGURIDAD</v>
      </c>
      <c r="C277" s="14" t="str">
        <v>Pregrado</v>
      </c>
      <c r="D277" s="21" t="n">
        <v>2020</v>
      </c>
      <c r="E277" s="21" t="n">
        <v>2026</v>
      </c>
      <c r="F277" s="14" t="n">
        <v>1</v>
      </c>
      <c r="G277" s="14" t="str">
        <v>n.a.</v>
      </c>
      <c r="H277" s="14" t="str">
        <v>n.a.</v>
      </c>
      <c r="I277" s="14" t="str">
        <v>n.a.</v>
      </c>
      <c r="J277" s="14" t="str">
        <v>n.a.</v>
      </c>
      <c r="K277" s="14" t="str">
        <v>n.a.</v>
      </c>
      <c r="L277" s="14" t="str">
        <v>n.a.</v>
      </c>
      <c r="M277" s="14" t="str">
        <v>n.a.</v>
      </c>
      <c r="N277" s="14" t="str">
        <v>n.a.</v>
      </c>
      <c r="O277" s="14" t="str">
        <v>n.a.</v>
      </c>
      <c r="P277" s="14" t="str">
        <v>n.a.</v>
      </c>
      <c r="Q277" s="14" t="n">
        <v>1</v>
      </c>
      <c r="R277" s="14" t="n">
        <v>2</v>
      </c>
      <c r="S277" s="14" t="n">
        <v>2</v>
      </c>
      <c r="T277" s="14" t="n">
        <v>2</v>
      </c>
      <c r="U277" s="14" t="n">
        <v>2</v>
      </c>
      <c r="V277" s="14" t="n">
        <v>2</v>
      </c>
      <c r="W277" s="14" t="n">
        <v>2</v>
      </c>
      <c r="X277" s="14" t="str">
        <v>MAESTRO/oferta_anual</v>
      </c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</row>
    <row r="278" ht="36" customHeight="1">
      <c r="A278" s="15" t="str">
        <v>I162S2C46J4V2</v>
      </c>
      <c r="B278" s="15" t="str">
        <v>INGENIERIA EN CIBERSEGURIDAD</v>
      </c>
      <c r="C278" s="15" t="str">
        <v>Pregrado</v>
      </c>
      <c r="D278" s="23" t="n">
        <v>2020</v>
      </c>
      <c r="E278" s="23" t="n">
        <v>2023</v>
      </c>
      <c r="F278" s="15" t="n">
        <v>1</v>
      </c>
      <c r="G278" s="15" t="str">
        <v>n.a.</v>
      </c>
      <c r="H278" s="15" t="str">
        <v>n.a.</v>
      </c>
      <c r="I278" s="15" t="str">
        <v>n.a.</v>
      </c>
      <c r="J278" s="15" t="str">
        <v>n.a.</v>
      </c>
      <c r="K278" s="15" t="str">
        <v>n.a.</v>
      </c>
      <c r="L278" s="15" t="str">
        <v>n.a.</v>
      </c>
      <c r="M278" s="15" t="str">
        <v>n.a.</v>
      </c>
      <c r="N278" s="15" t="str">
        <v>n.a.</v>
      </c>
      <c r="O278" s="15" t="str">
        <v>n.a.</v>
      </c>
      <c r="P278" s="15" t="str">
        <v>n.a.</v>
      </c>
      <c r="Q278" s="15" t="n">
        <v>1</v>
      </c>
      <c r="R278" s="15" t="n">
        <v>1</v>
      </c>
      <c r="S278" s="15" t="n">
        <v>2</v>
      </c>
      <c r="T278" s="15" t="n">
        <v>2</v>
      </c>
      <c r="U278" s="15" t="str">
        <v>n.a.</v>
      </c>
      <c r="V278" s="15" t="str">
        <v>n.a.</v>
      </c>
      <c r="W278" s="15" t="str">
        <v>n.a.</v>
      </c>
      <c r="X278" s="15" t="str">
        <v>MAESTRO/oferta_anual</v>
      </c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</row>
    <row r="279" ht="36" customHeight="1">
      <c r="A279" s="14" t="str">
        <v>I162S2C46J4V3</v>
      </c>
      <c r="B279" s="14" t="str">
        <v>INGENIERIA EN CIBERSEGURIDAD</v>
      </c>
      <c r="C279" s="14" t="str">
        <v>Pregrado</v>
      </c>
      <c r="D279" s="21" t="n">
        <v>2021</v>
      </c>
      <c r="E279" s="21" t="n">
        <v>2026</v>
      </c>
      <c r="F279" s="14" t="n">
        <v>1</v>
      </c>
      <c r="G279" s="14" t="str">
        <v>n.a.</v>
      </c>
      <c r="H279" s="14" t="str">
        <v>n.a.</v>
      </c>
      <c r="I279" s="14" t="str">
        <v>n.a.</v>
      </c>
      <c r="J279" s="14" t="str">
        <v>n.a.</v>
      </c>
      <c r="K279" s="14" t="str">
        <v>n.a.</v>
      </c>
      <c r="L279" s="14" t="str">
        <v>n.a.</v>
      </c>
      <c r="M279" s="14" t="str">
        <v>n.a.</v>
      </c>
      <c r="N279" s="14" t="str">
        <v>n.a.</v>
      </c>
      <c r="O279" s="14" t="str">
        <v>n.a.</v>
      </c>
      <c r="P279" s="14" t="str">
        <v>n.a.</v>
      </c>
      <c r="Q279" s="14" t="str">
        <v>n.a.</v>
      </c>
      <c r="R279" s="14" t="n">
        <v>1</v>
      </c>
      <c r="S279" s="14" t="n">
        <v>1</v>
      </c>
      <c r="T279" s="14" t="n">
        <v>1</v>
      </c>
      <c r="U279" s="14" t="n">
        <v>1</v>
      </c>
      <c r="V279" s="14" t="n">
        <v>1</v>
      </c>
      <c r="W279" s="14" t="n">
        <v>1</v>
      </c>
      <c r="X279" s="14" t="str">
        <v>MAESTRO/oferta_anual</v>
      </c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</row>
    <row r="280" ht="36" customHeight="1">
      <c r="A280" s="15" t="str">
        <v>I162S2C47J1V1</v>
      </c>
      <c r="B280" s="15" t="str">
        <v>TECNICO EN CIBERSEGURIDAD</v>
      </c>
      <c r="C280" s="15" t="str">
        <v>Pregrado</v>
      </c>
      <c r="D280" s="23" t="n">
        <v>2019</v>
      </c>
      <c r="E280" s="23" t="n">
        <v>2026</v>
      </c>
      <c r="F280" s="15" t="n">
        <v>1</v>
      </c>
      <c r="G280" s="15" t="str">
        <v>n.a.</v>
      </c>
      <c r="H280" s="15" t="str">
        <v>n.a.</v>
      </c>
      <c r="I280" s="15" t="str">
        <v>n.a.</v>
      </c>
      <c r="J280" s="15" t="str">
        <v>n.a.</v>
      </c>
      <c r="K280" s="15" t="str">
        <v>n.a.</v>
      </c>
      <c r="L280" s="15" t="str">
        <v>n.a.</v>
      </c>
      <c r="M280" s="15" t="str">
        <v>n.a.</v>
      </c>
      <c r="N280" s="15" t="str">
        <v>n.a.</v>
      </c>
      <c r="O280" s="15" t="str">
        <v>n.a.</v>
      </c>
      <c r="P280" s="15" t="n">
        <v>1</v>
      </c>
      <c r="Q280" s="15" t="n">
        <v>1</v>
      </c>
      <c r="R280" s="15" t="n">
        <v>1</v>
      </c>
      <c r="S280" s="15" t="n">
        <v>1</v>
      </c>
      <c r="T280" s="15" t="n">
        <v>1</v>
      </c>
      <c r="U280" s="15" t="n">
        <v>1</v>
      </c>
      <c r="V280" s="15" t="n">
        <v>1</v>
      </c>
      <c r="W280" s="15" t="n">
        <v>1</v>
      </c>
      <c r="X280" s="15" t="str">
        <v>MAESTRO/oferta_anual</v>
      </c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</row>
    <row r="281" ht="36" customHeight="1">
      <c r="A281" s="14" t="str">
        <v>I162S2C47J2V1</v>
      </c>
      <c r="B281" s="14" t="str">
        <v>TECNICO EN CIBERSEGURIDAD</v>
      </c>
      <c r="C281" s="14" t="str">
        <v>Pregrado</v>
      </c>
      <c r="D281" s="21" t="n">
        <v>2019</v>
      </c>
      <c r="E281" s="21" t="n">
        <v>2026</v>
      </c>
      <c r="F281" s="14" t="n">
        <v>1</v>
      </c>
      <c r="G281" s="14" t="str">
        <v>n.a.</v>
      </c>
      <c r="H281" s="14" t="str">
        <v>n.a.</v>
      </c>
      <c r="I281" s="14" t="str">
        <v>n.a.</v>
      </c>
      <c r="J281" s="14" t="str">
        <v>n.a.</v>
      </c>
      <c r="K281" s="14" t="str">
        <v>n.a.</v>
      </c>
      <c r="L281" s="14" t="str">
        <v>n.a.</v>
      </c>
      <c r="M281" s="14" t="str">
        <v>n.a.</v>
      </c>
      <c r="N281" s="14" t="str">
        <v>n.a.</v>
      </c>
      <c r="O281" s="14" t="str">
        <v>n.a.</v>
      </c>
      <c r="P281" s="14" t="n">
        <v>1</v>
      </c>
      <c r="Q281" s="14" t="n">
        <v>1</v>
      </c>
      <c r="R281" s="14" t="n">
        <v>1</v>
      </c>
      <c r="S281" s="14" t="n">
        <v>1</v>
      </c>
      <c r="T281" s="14" t="n">
        <v>1</v>
      </c>
      <c r="U281" s="14" t="n">
        <v>1</v>
      </c>
      <c r="V281" s="14" t="n">
        <v>1</v>
      </c>
      <c r="W281" s="14" t="n">
        <v>1</v>
      </c>
      <c r="X281" s="14" t="str">
        <v>MAESTRO/oferta_anual</v>
      </c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</row>
    <row r="282" ht="36" customHeight="1">
      <c r="A282" s="15" t="str">
        <v>I162S2C47J4V1</v>
      </c>
      <c r="B282" s="15" t="str">
        <v>TECNICO EN CIBERSEGURIDAD</v>
      </c>
      <c r="C282" s="15" t="str">
        <v>Pregrado</v>
      </c>
      <c r="D282" s="23" t="n">
        <v>2020</v>
      </c>
      <c r="E282" s="23" t="n">
        <v>2026</v>
      </c>
      <c r="F282" s="15" t="n">
        <v>1</v>
      </c>
      <c r="G282" s="15" t="str">
        <v>n.a.</v>
      </c>
      <c r="H282" s="15" t="str">
        <v>n.a.</v>
      </c>
      <c r="I282" s="15" t="str">
        <v>n.a.</v>
      </c>
      <c r="J282" s="15" t="str">
        <v>n.a.</v>
      </c>
      <c r="K282" s="15" t="str">
        <v>n.a.</v>
      </c>
      <c r="L282" s="15" t="str">
        <v>n.a.</v>
      </c>
      <c r="M282" s="15" t="str">
        <v>n.a.</v>
      </c>
      <c r="N282" s="15" t="str">
        <v>n.a.</v>
      </c>
      <c r="O282" s="15" t="str">
        <v>n.a.</v>
      </c>
      <c r="P282" s="15" t="str">
        <v>n.a.</v>
      </c>
      <c r="Q282" s="15" t="n">
        <v>1</v>
      </c>
      <c r="R282" s="15" t="n">
        <v>1</v>
      </c>
      <c r="S282" s="15" t="n">
        <v>1</v>
      </c>
      <c r="T282" s="15" t="n">
        <v>1</v>
      </c>
      <c r="U282" s="15" t="n">
        <v>1</v>
      </c>
      <c r="V282" s="15" t="n">
        <v>1</v>
      </c>
      <c r="W282" s="15" t="n">
        <v>1</v>
      </c>
      <c r="X282" s="15" t="str">
        <v>MAESTRO/oferta_anual</v>
      </c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</row>
    <row r="283" ht="36" customHeight="1">
      <c r="A283" s="14" t="str">
        <v>I162S2C48J4V1</v>
      </c>
      <c r="B283" s="14" t="str">
        <v>TECNICO EN CONTROL INDUSTRIAL</v>
      </c>
      <c r="C283" s="14" t="str">
        <v>Pregrado</v>
      </c>
      <c r="D283" s="21" t="n">
        <v>2019</v>
      </c>
      <c r="E283" s="21" t="n">
        <v>2026</v>
      </c>
      <c r="F283" s="14" t="n">
        <v>1</v>
      </c>
      <c r="G283" s="14" t="str">
        <v>n.a.</v>
      </c>
      <c r="H283" s="14" t="str">
        <v>n.a.</v>
      </c>
      <c r="I283" s="14" t="str">
        <v>n.a.</v>
      </c>
      <c r="J283" s="14" t="str">
        <v>n.a.</v>
      </c>
      <c r="K283" s="14" t="str">
        <v>n.a.</v>
      </c>
      <c r="L283" s="14" t="str">
        <v>n.a.</v>
      </c>
      <c r="M283" s="14" t="str">
        <v>n.a.</v>
      </c>
      <c r="N283" s="14" t="str">
        <v>n.a.</v>
      </c>
      <c r="O283" s="14" t="str">
        <v>n.a.</v>
      </c>
      <c r="P283" s="14" t="n">
        <v>1</v>
      </c>
      <c r="Q283" s="14" t="n">
        <v>1</v>
      </c>
      <c r="R283" s="14" t="n">
        <v>1</v>
      </c>
      <c r="S283" s="14" t="n">
        <v>1</v>
      </c>
      <c r="T283" s="14" t="n">
        <v>2</v>
      </c>
      <c r="U283" s="14" t="n">
        <v>2</v>
      </c>
      <c r="V283" s="14" t="n">
        <v>2</v>
      </c>
      <c r="W283" s="14" t="n">
        <v>1</v>
      </c>
      <c r="X283" s="14" t="str">
        <v>MAESTRO/oferta_anual</v>
      </c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</row>
    <row r="284" ht="36" customHeight="1">
      <c r="A284" s="15" t="str">
        <v>I162S2C53J3V1</v>
      </c>
      <c r="B284" s="15" t="str">
        <v>DIPLOMADO EN CIBERSEGURIDAD APLICADA</v>
      </c>
      <c r="C284" s="15" t="str">
        <v>Postítulo</v>
      </c>
      <c r="D284" s="23" t="n">
        <v>2019</v>
      </c>
      <c r="E284" s="23" t="n">
        <v>2026</v>
      </c>
      <c r="F284" s="15" t="n">
        <v>1</v>
      </c>
      <c r="G284" s="15" t="str">
        <v>n.a.</v>
      </c>
      <c r="H284" s="15" t="str">
        <v>n.a.</v>
      </c>
      <c r="I284" s="15" t="str">
        <v>n.a.</v>
      </c>
      <c r="J284" s="15" t="str">
        <v>n.a.</v>
      </c>
      <c r="K284" s="15" t="str">
        <v>n.a.</v>
      </c>
      <c r="L284" s="15" t="str">
        <v>n.a.</v>
      </c>
      <c r="M284" s="15" t="str">
        <v>n.a.</v>
      </c>
      <c r="N284" s="15" t="str">
        <v>n.a.</v>
      </c>
      <c r="O284" s="15" t="str">
        <v>n.a.</v>
      </c>
      <c r="P284" s="15" t="n">
        <v>1</v>
      </c>
      <c r="Q284" s="15" t="n">
        <v>1</v>
      </c>
      <c r="R284" s="15" t="n">
        <v>1</v>
      </c>
      <c r="S284" s="15" t="n">
        <v>2</v>
      </c>
      <c r="T284" s="15" t="n">
        <v>1</v>
      </c>
      <c r="U284" s="15" t="n">
        <v>1</v>
      </c>
      <c r="V284" s="15" t="n">
        <v>1</v>
      </c>
      <c r="W284" s="15" t="n">
        <v>1</v>
      </c>
      <c r="X284" s="15" t="str">
        <v>MAESTRO/oferta_anual</v>
      </c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</row>
    <row r="285" ht="36" customHeight="1">
      <c r="A285" s="14" t="str">
        <v>I162S2C57J1V1</v>
      </c>
      <c r="B285" s="14" t="str">
        <v>TECNICO EN PROGRAMACION Y ANALISIS DE SISTEMAS</v>
      </c>
      <c r="C285" s="14" t="str">
        <v>Pregrado</v>
      </c>
      <c r="D285" s="21" t="n">
        <v>2020</v>
      </c>
      <c r="E285" s="21" t="n">
        <v>2026</v>
      </c>
      <c r="F285" s="14" t="n">
        <v>1</v>
      </c>
      <c r="G285" s="14" t="str">
        <v>n.a.</v>
      </c>
      <c r="H285" s="14" t="str">
        <v>n.a.</v>
      </c>
      <c r="I285" s="14" t="str">
        <v>n.a.</v>
      </c>
      <c r="J285" s="14" t="str">
        <v>n.a.</v>
      </c>
      <c r="K285" s="14" t="str">
        <v>n.a.</v>
      </c>
      <c r="L285" s="14" t="str">
        <v>n.a.</v>
      </c>
      <c r="M285" s="14" t="str">
        <v>n.a.</v>
      </c>
      <c r="N285" s="14" t="str">
        <v>n.a.</v>
      </c>
      <c r="O285" s="14" t="str">
        <v>n.a.</v>
      </c>
      <c r="P285" s="14" t="str">
        <v>n.a.</v>
      </c>
      <c r="Q285" s="14" t="n">
        <v>1</v>
      </c>
      <c r="R285" s="14" t="n">
        <v>1</v>
      </c>
      <c r="S285" s="14" t="n">
        <v>1</v>
      </c>
      <c r="T285" s="14" t="n">
        <v>1</v>
      </c>
      <c r="U285" s="14" t="n">
        <v>1</v>
      </c>
      <c r="V285" s="14" t="n">
        <v>1</v>
      </c>
      <c r="W285" s="14" t="n">
        <v>1</v>
      </c>
      <c r="X285" s="14" t="str">
        <v>MAESTRO/oferta_anual</v>
      </c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</row>
    <row r="286" ht="36" customHeight="1">
      <c r="A286" s="15" t="str">
        <v>I162S2C57J2V1</v>
      </c>
      <c r="B286" s="15" t="str">
        <v>TECNICO EN PROGRAMACION Y ANALISIS DE SISTEMAS</v>
      </c>
      <c r="C286" s="15" t="str">
        <v>Pregrado</v>
      </c>
      <c r="D286" s="23" t="n">
        <v>2020</v>
      </c>
      <c r="E286" s="23" t="n">
        <v>2026</v>
      </c>
      <c r="F286" s="15" t="n">
        <v>1</v>
      </c>
      <c r="G286" s="15" t="str">
        <v>n.a.</v>
      </c>
      <c r="H286" s="15" t="str">
        <v>n.a.</v>
      </c>
      <c r="I286" s="15" t="str">
        <v>n.a.</v>
      </c>
      <c r="J286" s="15" t="str">
        <v>n.a.</v>
      </c>
      <c r="K286" s="15" t="str">
        <v>n.a.</v>
      </c>
      <c r="L286" s="15" t="str">
        <v>n.a.</v>
      </c>
      <c r="M286" s="15" t="str">
        <v>n.a.</v>
      </c>
      <c r="N286" s="15" t="str">
        <v>n.a.</v>
      </c>
      <c r="O286" s="15" t="str">
        <v>n.a.</v>
      </c>
      <c r="P286" s="15" t="str">
        <v>n.a.</v>
      </c>
      <c r="Q286" s="15" t="n">
        <v>1</v>
      </c>
      <c r="R286" s="15" t="n">
        <v>1</v>
      </c>
      <c r="S286" s="15" t="n">
        <v>1</v>
      </c>
      <c r="T286" s="15" t="n">
        <v>1</v>
      </c>
      <c r="U286" s="15" t="n">
        <v>1</v>
      </c>
      <c r="V286" s="15" t="n">
        <v>1</v>
      </c>
      <c r="W286" s="15" t="n">
        <v>1</v>
      </c>
      <c r="X286" s="15" t="str">
        <v>MAESTRO/oferta_anual</v>
      </c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</row>
    <row r="287" ht="36" customHeight="1">
      <c r="A287" s="14" t="str">
        <v>I162S2C57J4V1</v>
      </c>
      <c r="B287" s="14" t="str">
        <v>TECNICO EN PROGRAMACION Y ANALISIS DE SISTEMAS</v>
      </c>
      <c r="C287" s="14" t="str">
        <v>Pregrado</v>
      </c>
      <c r="D287" s="21" t="n">
        <v>2020</v>
      </c>
      <c r="E287" s="21" t="n">
        <v>2026</v>
      </c>
      <c r="F287" s="14" t="n">
        <v>1</v>
      </c>
      <c r="G287" s="14" t="str">
        <v>n.a.</v>
      </c>
      <c r="H287" s="14" t="str">
        <v>n.a.</v>
      </c>
      <c r="I287" s="14" t="str">
        <v>n.a.</v>
      </c>
      <c r="J287" s="14" t="str">
        <v>n.a.</v>
      </c>
      <c r="K287" s="14" t="str">
        <v>n.a.</v>
      </c>
      <c r="L287" s="14" t="str">
        <v>n.a.</v>
      </c>
      <c r="M287" s="14" t="str">
        <v>n.a.</v>
      </c>
      <c r="N287" s="14" t="str">
        <v>n.a.</v>
      </c>
      <c r="O287" s="14" t="str">
        <v>n.a.</v>
      </c>
      <c r="P287" s="14" t="str">
        <v>n.a.</v>
      </c>
      <c r="Q287" s="14" t="n">
        <v>1</v>
      </c>
      <c r="R287" s="14" t="n">
        <v>1</v>
      </c>
      <c r="S287" s="14" t="n">
        <v>1</v>
      </c>
      <c r="T287" s="14" t="n">
        <v>1</v>
      </c>
      <c r="U287" s="14" t="n">
        <v>1</v>
      </c>
      <c r="V287" s="14" t="n">
        <v>1</v>
      </c>
      <c r="W287" s="14" t="n">
        <v>1</v>
      </c>
      <c r="X287" s="14" t="str">
        <v>MAESTRO/oferta_anual</v>
      </c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</row>
    <row r="288" ht="36" customHeight="1">
      <c r="A288" s="15" t="str">
        <v>I162S2C63J4V1</v>
      </c>
      <c r="B288" s="15" t="str">
        <v>DIPLOMADO EN ARQUITECTURA CLOUD</v>
      </c>
      <c r="C288" s="15" t="str">
        <v>Postítulo</v>
      </c>
      <c r="D288" s="23" t="n">
        <v>2023</v>
      </c>
      <c r="E288" s="23" t="n">
        <v>2026</v>
      </c>
      <c r="F288" s="15" t="n">
        <v>1</v>
      </c>
      <c r="G288" s="15" t="str">
        <v>n.a.</v>
      </c>
      <c r="H288" s="15" t="str">
        <v>n.a.</v>
      </c>
      <c r="I288" s="15" t="str">
        <v>n.a.</v>
      </c>
      <c r="J288" s="15" t="str">
        <v>n.a.</v>
      </c>
      <c r="K288" s="15" t="str">
        <v>n.a.</v>
      </c>
      <c r="L288" s="15" t="str">
        <v>n.a.</v>
      </c>
      <c r="M288" s="15" t="str">
        <v>n.a.</v>
      </c>
      <c r="N288" s="15" t="str">
        <v>n.a.</v>
      </c>
      <c r="O288" s="15" t="str">
        <v>n.a.</v>
      </c>
      <c r="P288" s="15" t="str">
        <v>n.a.</v>
      </c>
      <c r="Q288" s="15" t="str">
        <v>n.a.</v>
      </c>
      <c r="R288" s="15" t="str">
        <v>n.a.</v>
      </c>
      <c r="S288" s="15" t="str">
        <v>n.a.</v>
      </c>
      <c r="T288" s="15" t="n">
        <v>1</v>
      </c>
      <c r="U288" s="15" t="n">
        <v>1</v>
      </c>
      <c r="V288" s="15" t="n">
        <v>1</v>
      </c>
      <c r="W288" s="15" t="n">
        <v>1</v>
      </c>
      <c r="X288" s="15" t="str">
        <v>MAESTRO/oferta_anual</v>
      </c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</row>
    <row r="289" ht="36" customHeight="1">
      <c r="A289" s="14" t="str">
        <v>I162S2C64J4V1</v>
      </c>
      <c r="B289" s="14" t="str">
        <v>DIPLOMADO EN BACKEND</v>
      </c>
      <c r="C289" s="14" t="str">
        <v>Postítulo</v>
      </c>
      <c r="D289" s="21" t="n">
        <v>2023</v>
      </c>
      <c r="E289" s="21" t="n">
        <v>2026</v>
      </c>
      <c r="F289" s="14" t="n">
        <v>1</v>
      </c>
      <c r="G289" s="14" t="str">
        <v>n.a.</v>
      </c>
      <c r="H289" s="14" t="str">
        <v>n.a.</v>
      </c>
      <c r="I289" s="14" t="str">
        <v>n.a.</v>
      </c>
      <c r="J289" s="14" t="str">
        <v>n.a.</v>
      </c>
      <c r="K289" s="14" t="str">
        <v>n.a.</v>
      </c>
      <c r="L289" s="14" t="str">
        <v>n.a.</v>
      </c>
      <c r="M289" s="14" t="str">
        <v>n.a.</v>
      </c>
      <c r="N289" s="14" t="str">
        <v>n.a.</v>
      </c>
      <c r="O289" s="14" t="str">
        <v>n.a.</v>
      </c>
      <c r="P289" s="14" t="str">
        <v>n.a.</v>
      </c>
      <c r="Q289" s="14" t="str">
        <v>n.a.</v>
      </c>
      <c r="R289" s="14" t="str">
        <v>n.a.</v>
      </c>
      <c r="S289" s="14" t="str">
        <v>n.a.</v>
      </c>
      <c r="T289" s="14" t="n">
        <v>1</v>
      </c>
      <c r="U289" s="14" t="n">
        <v>1</v>
      </c>
      <c r="V289" s="14" t="n">
        <v>1</v>
      </c>
      <c r="W289" s="14" t="n">
        <v>1</v>
      </c>
      <c r="X289" s="14" t="str">
        <v>MAESTRO/oferta_anual</v>
      </c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</row>
    <row r="290" ht="36" customHeight="1">
      <c r="A290" s="15" t="str">
        <v>I162S2C65J4V1</v>
      </c>
      <c r="B290" s="15" t="str">
        <v>DIPLOMADO EN FRONTEND</v>
      </c>
      <c r="C290" s="15" t="str">
        <v>Postítulo</v>
      </c>
      <c r="D290" s="23" t="n">
        <v>2023</v>
      </c>
      <c r="E290" s="23" t="n">
        <v>2026</v>
      </c>
      <c r="F290" s="15" t="n">
        <v>1</v>
      </c>
      <c r="G290" s="15" t="str">
        <v>n.a.</v>
      </c>
      <c r="H290" s="15" t="str">
        <v>n.a.</v>
      </c>
      <c r="I290" s="15" t="str">
        <v>n.a.</v>
      </c>
      <c r="J290" s="15" t="str">
        <v>n.a.</v>
      </c>
      <c r="K290" s="15" t="str">
        <v>n.a.</v>
      </c>
      <c r="L290" s="15" t="str">
        <v>n.a.</v>
      </c>
      <c r="M290" s="15" t="str">
        <v>n.a.</v>
      </c>
      <c r="N290" s="15" t="str">
        <v>n.a.</v>
      </c>
      <c r="O290" s="15" t="str">
        <v>n.a.</v>
      </c>
      <c r="P290" s="15" t="str">
        <v>n.a.</v>
      </c>
      <c r="Q290" s="15" t="str">
        <v>n.a.</v>
      </c>
      <c r="R290" s="15" t="str">
        <v>n.a.</v>
      </c>
      <c r="S290" s="15" t="str">
        <v>n.a.</v>
      </c>
      <c r="T290" s="15" t="n">
        <v>1</v>
      </c>
      <c r="U290" s="15" t="n">
        <v>1</v>
      </c>
      <c r="V290" s="15" t="n">
        <v>1</v>
      </c>
      <c r="W290" s="15" t="n">
        <v>1</v>
      </c>
      <c r="X290" s="15" t="str">
        <v>MAESTRO/oferta_anual</v>
      </c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</row>
    <row r="291" ht="36" customHeight="1">
      <c r="A291" s="14" t="str">
        <v>I162S2C66J4V1</v>
      </c>
      <c r="B291" s="14" t="str">
        <v>DIPLOMADO EN FULLSTACK</v>
      </c>
      <c r="C291" s="14" t="str">
        <v>Postítulo</v>
      </c>
      <c r="D291" s="21" t="n">
        <v>2023</v>
      </c>
      <c r="E291" s="21" t="n">
        <v>2026</v>
      </c>
      <c r="F291" s="14" t="n">
        <v>1</v>
      </c>
      <c r="G291" s="14" t="str">
        <v>n.a.</v>
      </c>
      <c r="H291" s="14" t="str">
        <v>n.a.</v>
      </c>
      <c r="I291" s="14" t="str">
        <v>n.a.</v>
      </c>
      <c r="J291" s="14" t="str">
        <v>n.a.</v>
      </c>
      <c r="K291" s="14" t="str">
        <v>n.a.</v>
      </c>
      <c r="L291" s="14" t="str">
        <v>n.a.</v>
      </c>
      <c r="M291" s="14" t="str">
        <v>n.a.</v>
      </c>
      <c r="N291" s="14" t="str">
        <v>n.a.</v>
      </c>
      <c r="O291" s="14" t="str">
        <v>n.a.</v>
      </c>
      <c r="P291" s="14" t="str">
        <v>n.a.</v>
      </c>
      <c r="Q291" s="14" t="str">
        <v>n.a.</v>
      </c>
      <c r="R291" s="14" t="str">
        <v>n.a.</v>
      </c>
      <c r="S291" s="14" t="str">
        <v>n.a.</v>
      </c>
      <c r="T291" s="14" t="n">
        <v>1</v>
      </c>
      <c r="U291" s="14" t="n">
        <v>1</v>
      </c>
      <c r="V291" s="14" t="n">
        <v>1</v>
      </c>
      <c r="W291" s="14" t="n">
        <v>1</v>
      </c>
      <c r="X291" s="14" t="str">
        <v>MAESTRO/oferta_anual</v>
      </c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</row>
    <row r="292" ht="36" customHeight="1">
      <c r="A292" s="15" t="str">
        <v>I162S2C67J4V1</v>
      </c>
      <c r="B292" s="15" t="str">
        <v>DIPLOMADO EN QUALITY ASSURANCE</v>
      </c>
      <c r="C292" s="15" t="str">
        <v>Postítulo</v>
      </c>
      <c r="D292" s="23" t="n">
        <v>2023</v>
      </c>
      <c r="E292" s="23" t="n">
        <v>2026</v>
      </c>
      <c r="F292" s="15" t="n">
        <v>1</v>
      </c>
      <c r="G292" s="15" t="str">
        <v>n.a.</v>
      </c>
      <c r="H292" s="15" t="str">
        <v>n.a.</v>
      </c>
      <c r="I292" s="15" t="str">
        <v>n.a.</v>
      </c>
      <c r="J292" s="15" t="str">
        <v>n.a.</v>
      </c>
      <c r="K292" s="15" t="str">
        <v>n.a.</v>
      </c>
      <c r="L292" s="15" t="str">
        <v>n.a.</v>
      </c>
      <c r="M292" s="15" t="str">
        <v>n.a.</v>
      </c>
      <c r="N292" s="15" t="str">
        <v>n.a.</v>
      </c>
      <c r="O292" s="15" t="str">
        <v>n.a.</v>
      </c>
      <c r="P292" s="15" t="str">
        <v>n.a.</v>
      </c>
      <c r="Q292" s="15" t="str">
        <v>n.a.</v>
      </c>
      <c r="R292" s="15" t="str">
        <v>n.a.</v>
      </c>
      <c r="S292" s="15" t="str">
        <v>n.a.</v>
      </c>
      <c r="T292" s="15" t="n">
        <v>1</v>
      </c>
      <c r="U292" s="15" t="n">
        <v>1</v>
      </c>
      <c r="V292" s="15" t="n">
        <v>1</v>
      </c>
      <c r="W292" s="15" t="n">
        <v>1</v>
      </c>
      <c r="X292" s="15" t="str">
        <v>MAESTRO/oferta_anual</v>
      </c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</row>
    <row r="293" ht="36" customHeight="1">
      <c r="A293" s="14" t="str">
        <v>I162S2C68J4V1</v>
      </c>
      <c r="B293" s="14" t="str">
        <v>DIPLOMADO EN SEGURIDAD OFENSIVA</v>
      </c>
      <c r="C293" s="14" t="str">
        <v>Postítulo</v>
      </c>
      <c r="D293" s="21" t="n">
        <v>2023</v>
      </c>
      <c r="E293" s="21" t="n">
        <v>2026</v>
      </c>
      <c r="F293" s="14" t="n">
        <v>1</v>
      </c>
      <c r="G293" s="14" t="str">
        <v>n.a.</v>
      </c>
      <c r="H293" s="14" t="str">
        <v>n.a.</v>
      </c>
      <c r="I293" s="14" t="str">
        <v>n.a.</v>
      </c>
      <c r="J293" s="14" t="str">
        <v>n.a.</v>
      </c>
      <c r="K293" s="14" t="str">
        <v>n.a.</v>
      </c>
      <c r="L293" s="14" t="str">
        <v>n.a.</v>
      </c>
      <c r="M293" s="14" t="str">
        <v>n.a.</v>
      </c>
      <c r="N293" s="14" t="str">
        <v>n.a.</v>
      </c>
      <c r="O293" s="14" t="str">
        <v>n.a.</v>
      </c>
      <c r="P293" s="14" t="str">
        <v>n.a.</v>
      </c>
      <c r="Q293" s="14" t="str">
        <v>n.a.</v>
      </c>
      <c r="R293" s="14" t="str">
        <v>n.a.</v>
      </c>
      <c r="S293" s="14" t="str">
        <v>n.a.</v>
      </c>
      <c r="T293" s="14" t="n">
        <v>1</v>
      </c>
      <c r="U293" s="14" t="n">
        <v>1</v>
      </c>
      <c r="V293" s="14" t="n">
        <v>1</v>
      </c>
      <c r="W293" s="14" t="n">
        <v>1</v>
      </c>
      <c r="X293" s="14" t="str">
        <v>MAESTRO/oferta_anual</v>
      </c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</row>
    <row r="294" ht="36" customHeight="1">
      <c r="A294" s="15" t="str">
        <v>I162S2C69J4V1</v>
      </c>
      <c r="B294" s="15" t="str">
        <v>DIPLOMADO INFRAESTRUCTURA CLOUD</v>
      </c>
      <c r="C294" s="15" t="str">
        <v>Postítulo</v>
      </c>
      <c r="D294" s="23" t="n">
        <v>2023</v>
      </c>
      <c r="E294" s="23" t="n">
        <v>2026</v>
      </c>
      <c r="F294" s="15" t="n">
        <v>1</v>
      </c>
      <c r="G294" s="15" t="str">
        <v>n.a.</v>
      </c>
      <c r="H294" s="15" t="str">
        <v>n.a.</v>
      </c>
      <c r="I294" s="15" t="str">
        <v>n.a.</v>
      </c>
      <c r="J294" s="15" t="str">
        <v>n.a.</v>
      </c>
      <c r="K294" s="15" t="str">
        <v>n.a.</v>
      </c>
      <c r="L294" s="15" t="str">
        <v>n.a.</v>
      </c>
      <c r="M294" s="15" t="str">
        <v>n.a.</v>
      </c>
      <c r="N294" s="15" t="str">
        <v>n.a.</v>
      </c>
      <c r="O294" s="15" t="str">
        <v>n.a.</v>
      </c>
      <c r="P294" s="15" t="str">
        <v>n.a.</v>
      </c>
      <c r="Q294" s="15" t="str">
        <v>n.a.</v>
      </c>
      <c r="R294" s="15" t="str">
        <v>n.a.</v>
      </c>
      <c r="S294" s="15" t="str">
        <v>n.a.</v>
      </c>
      <c r="T294" s="15" t="n">
        <v>1</v>
      </c>
      <c r="U294" s="15" t="n">
        <v>1</v>
      </c>
      <c r="V294" s="15" t="n">
        <v>1</v>
      </c>
      <c r="W294" s="15" t="n">
        <v>1</v>
      </c>
      <c r="X294" s="15" t="str">
        <v>MAESTRO/oferta_anual</v>
      </c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</row>
    <row r="295" ht="36" customHeight="1">
      <c r="A295" s="14" t="str">
        <v>I162S2C6J1V1</v>
      </c>
      <c r="B295" s="14" t="str">
        <v>TECNICO EN CONECTIVIDAD Y REDES</v>
      </c>
      <c r="C295" s="14" t="str">
        <v>Pregrado</v>
      </c>
      <c r="D295" s="21" t="n">
        <v>2010</v>
      </c>
      <c r="E295" s="21" t="n">
        <v>2026</v>
      </c>
      <c r="F295" s="14" t="n">
        <v>1</v>
      </c>
      <c r="G295" s="14" t="n">
        <v>1</v>
      </c>
      <c r="H295" s="14" t="n">
        <v>1</v>
      </c>
      <c r="I295" s="14" t="n">
        <v>1</v>
      </c>
      <c r="J295" s="14" t="n">
        <v>1</v>
      </c>
      <c r="K295" s="14" t="n">
        <v>1</v>
      </c>
      <c r="L295" s="14" t="n">
        <v>1</v>
      </c>
      <c r="M295" s="14" t="n">
        <v>1</v>
      </c>
      <c r="N295" s="14" t="n">
        <v>1</v>
      </c>
      <c r="O295" s="14" t="n">
        <v>1</v>
      </c>
      <c r="P295" s="14" t="n">
        <v>2</v>
      </c>
      <c r="Q295" s="14" t="n">
        <v>2</v>
      </c>
      <c r="R295" s="14" t="n">
        <v>1</v>
      </c>
      <c r="S295" s="14" t="n">
        <v>1</v>
      </c>
      <c r="T295" s="14" t="n">
        <v>2</v>
      </c>
      <c r="U295" s="14" t="n">
        <v>2</v>
      </c>
      <c r="V295" s="14" t="n">
        <v>2</v>
      </c>
      <c r="W295" s="14" t="n">
        <v>2</v>
      </c>
      <c r="X295" s="14" t="str">
        <v>MAESTRO/oferta_anual</v>
      </c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</row>
    <row r="296" ht="36" customHeight="1">
      <c r="A296" s="15" t="str">
        <v>I162S2C6J1V2</v>
      </c>
      <c r="B296" s="15" t="str">
        <v>TECNICO EN CONECTIVIDAD Y REDES</v>
      </c>
      <c r="C296" s="15" t="str">
        <v>Pregrado</v>
      </c>
      <c r="D296" s="23" t="n">
        <v>2019</v>
      </c>
      <c r="E296" s="23" t="n">
        <v>2026</v>
      </c>
      <c r="F296" s="15" t="n">
        <v>1</v>
      </c>
      <c r="G296" s="15" t="str">
        <v>n.a.</v>
      </c>
      <c r="H296" s="15" t="str">
        <v>n.a.</v>
      </c>
      <c r="I296" s="15" t="str">
        <v>n.a.</v>
      </c>
      <c r="J296" s="15" t="str">
        <v>n.a.</v>
      </c>
      <c r="K296" s="15" t="str">
        <v>n.a.</v>
      </c>
      <c r="L296" s="15" t="str">
        <v>n.a.</v>
      </c>
      <c r="M296" s="15" t="str">
        <v>n.a.</v>
      </c>
      <c r="N296" s="15" t="str">
        <v>n.a.</v>
      </c>
      <c r="O296" s="15" t="str">
        <v>n.a.</v>
      </c>
      <c r="P296" s="15" t="n">
        <v>1</v>
      </c>
      <c r="Q296" s="15" t="n">
        <v>1</v>
      </c>
      <c r="R296" s="15" t="n">
        <v>1</v>
      </c>
      <c r="S296" s="15" t="n">
        <v>2</v>
      </c>
      <c r="T296" s="15" t="n">
        <v>1</v>
      </c>
      <c r="U296" s="15" t="n">
        <v>1</v>
      </c>
      <c r="V296" s="15" t="n">
        <v>1</v>
      </c>
      <c r="W296" s="15" t="n">
        <v>1</v>
      </c>
      <c r="X296" s="15" t="str">
        <v>MAESTRO/oferta_anual</v>
      </c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</row>
    <row r="297" ht="36" customHeight="1">
      <c r="A297" s="14" t="str">
        <v>I162S2C6J2V1</v>
      </c>
      <c r="B297" s="14" t="str">
        <v>TECNICO EN CONECTIVIDAD Y REDES</v>
      </c>
      <c r="C297" s="14" t="str">
        <v>Pregrado</v>
      </c>
      <c r="D297" s="21" t="n">
        <v>2010</v>
      </c>
      <c r="E297" s="21" t="n">
        <v>2026</v>
      </c>
      <c r="F297" s="14" t="n">
        <v>1</v>
      </c>
      <c r="G297" s="14" t="n">
        <v>1</v>
      </c>
      <c r="H297" s="14" t="n">
        <v>1</v>
      </c>
      <c r="I297" s="14" t="n">
        <v>1</v>
      </c>
      <c r="J297" s="14" t="n">
        <v>1</v>
      </c>
      <c r="K297" s="14" t="n">
        <v>1</v>
      </c>
      <c r="L297" s="14" t="n">
        <v>1</v>
      </c>
      <c r="M297" s="14" t="n">
        <v>1</v>
      </c>
      <c r="N297" s="14" t="n">
        <v>1</v>
      </c>
      <c r="O297" s="14" t="n">
        <v>1</v>
      </c>
      <c r="P297" s="14" t="n">
        <v>2</v>
      </c>
      <c r="Q297" s="14" t="n">
        <v>2</v>
      </c>
      <c r="R297" s="14" t="n">
        <v>1</v>
      </c>
      <c r="S297" s="14" t="n">
        <v>1</v>
      </c>
      <c r="T297" s="14" t="n">
        <v>2</v>
      </c>
      <c r="U297" s="14" t="n">
        <v>2</v>
      </c>
      <c r="V297" s="14" t="n">
        <v>2</v>
      </c>
      <c r="W297" s="14" t="n">
        <v>2</v>
      </c>
      <c r="X297" s="14" t="str">
        <v>MAESTRO/oferta_anual</v>
      </c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</row>
    <row r="298" ht="36" customHeight="1">
      <c r="A298" s="15" t="str">
        <v>I162S2C6J2V2</v>
      </c>
      <c r="B298" s="15" t="str">
        <v>TECNICO EN CONECTIVIDAD Y REDES</v>
      </c>
      <c r="C298" s="15" t="str">
        <v>Pregrado</v>
      </c>
      <c r="D298" s="23" t="n">
        <v>2019</v>
      </c>
      <c r="E298" s="23" t="n">
        <v>2026</v>
      </c>
      <c r="F298" s="15" t="n">
        <v>1</v>
      </c>
      <c r="G298" s="15" t="str">
        <v>n.a.</v>
      </c>
      <c r="H298" s="15" t="str">
        <v>n.a.</v>
      </c>
      <c r="I298" s="15" t="str">
        <v>n.a.</v>
      </c>
      <c r="J298" s="15" t="str">
        <v>n.a.</v>
      </c>
      <c r="K298" s="15" t="str">
        <v>n.a.</v>
      </c>
      <c r="L298" s="15" t="str">
        <v>n.a.</v>
      </c>
      <c r="M298" s="15" t="str">
        <v>n.a.</v>
      </c>
      <c r="N298" s="15" t="str">
        <v>n.a.</v>
      </c>
      <c r="O298" s="15" t="str">
        <v>n.a.</v>
      </c>
      <c r="P298" s="15" t="n">
        <v>1</v>
      </c>
      <c r="Q298" s="15" t="n">
        <v>1</v>
      </c>
      <c r="R298" s="15" t="n">
        <v>1</v>
      </c>
      <c r="S298" s="15" t="n">
        <v>2</v>
      </c>
      <c r="T298" s="15" t="n">
        <v>1</v>
      </c>
      <c r="U298" s="15" t="n">
        <v>1</v>
      </c>
      <c r="V298" s="15" t="n">
        <v>1</v>
      </c>
      <c r="W298" s="15" t="n">
        <v>1</v>
      </c>
      <c r="X298" s="15" t="str">
        <v>MAESTRO/oferta_anual</v>
      </c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</row>
    <row r="299" ht="36" customHeight="1">
      <c r="A299" s="14" t="str">
        <v>I162S2C6J4V1</v>
      </c>
      <c r="B299" s="14" t="str">
        <v>TECNICO EN CONECTIVIDAD Y REDES</v>
      </c>
      <c r="C299" s="14" t="str">
        <v>Pregrado</v>
      </c>
      <c r="D299" s="21" t="n">
        <v>2017</v>
      </c>
      <c r="E299" s="21" t="n">
        <v>2023</v>
      </c>
      <c r="F299" s="14" t="n">
        <v>1</v>
      </c>
      <c r="G299" s="14" t="str">
        <v>n.a.</v>
      </c>
      <c r="H299" s="14" t="str">
        <v>n.a.</v>
      </c>
      <c r="I299" s="14" t="str">
        <v>n.a.</v>
      </c>
      <c r="J299" s="14" t="str">
        <v>n.a.</v>
      </c>
      <c r="K299" s="14" t="str">
        <v>n.a.</v>
      </c>
      <c r="L299" s="14" t="str">
        <v>n.a.</v>
      </c>
      <c r="M299" s="14" t="str">
        <v>n.a.</v>
      </c>
      <c r="N299" s="14" t="n">
        <v>1</v>
      </c>
      <c r="O299" s="14" t="n">
        <v>1</v>
      </c>
      <c r="P299" s="14" t="n">
        <v>2</v>
      </c>
      <c r="Q299" s="14" t="n">
        <v>2</v>
      </c>
      <c r="R299" s="14" t="n">
        <v>1</v>
      </c>
      <c r="S299" s="14" t="n">
        <v>1</v>
      </c>
      <c r="T299" s="14" t="n">
        <v>2</v>
      </c>
      <c r="U299" s="14" t="str">
        <v>n.a.</v>
      </c>
      <c r="V299" s="14" t="str">
        <v>n.a.</v>
      </c>
      <c r="W299" s="14" t="str">
        <v>n.a.</v>
      </c>
      <c r="X299" s="14" t="str">
        <v>MAESTRO/oferta_anual</v>
      </c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</row>
    <row r="300" ht="36" customHeight="1">
      <c r="A300" s="15" t="str">
        <v>I162S2C6J4V2</v>
      </c>
      <c r="B300" s="15" t="str">
        <v>TECNICO EN CONECTIVIDAD Y REDES</v>
      </c>
      <c r="C300" s="15" t="str">
        <v>Pregrado</v>
      </c>
      <c r="D300" s="23" t="n">
        <v>2019</v>
      </c>
      <c r="E300" s="23" t="n">
        <v>2026</v>
      </c>
      <c r="F300" s="15" t="n">
        <v>1</v>
      </c>
      <c r="G300" s="15" t="str">
        <v>n.a.</v>
      </c>
      <c r="H300" s="15" t="str">
        <v>n.a.</v>
      </c>
      <c r="I300" s="15" t="str">
        <v>n.a.</v>
      </c>
      <c r="J300" s="15" t="str">
        <v>n.a.</v>
      </c>
      <c r="K300" s="15" t="str">
        <v>n.a.</v>
      </c>
      <c r="L300" s="15" t="str">
        <v>n.a.</v>
      </c>
      <c r="M300" s="15" t="str">
        <v>n.a.</v>
      </c>
      <c r="N300" s="15" t="str">
        <v>n.a.</v>
      </c>
      <c r="O300" s="15" t="str">
        <v>n.a.</v>
      </c>
      <c r="P300" s="15" t="n">
        <v>1</v>
      </c>
      <c r="Q300" s="15" t="n">
        <v>1</v>
      </c>
      <c r="R300" s="15" t="n">
        <v>1</v>
      </c>
      <c r="S300" s="15" t="n">
        <v>2</v>
      </c>
      <c r="T300" s="15" t="n">
        <v>1</v>
      </c>
      <c r="U300" s="15" t="n">
        <v>1</v>
      </c>
      <c r="V300" s="15" t="n">
        <v>1</v>
      </c>
      <c r="W300" s="15" t="n">
        <v>1</v>
      </c>
      <c r="X300" s="15" t="str">
        <v>MAESTRO/oferta_anual</v>
      </c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</row>
    <row r="301" ht="36" customHeight="1">
      <c r="A301" s="14" t="str">
        <v>I162S2C70J4V1</v>
      </c>
      <c r="B301" s="14" t="str">
        <v>DIPLOMADO REDES INDUSTRIALES</v>
      </c>
      <c r="C301" s="14" t="str">
        <v>Postítulo</v>
      </c>
      <c r="D301" s="21" t="n">
        <v>2023</v>
      </c>
      <c r="E301" s="21" t="n">
        <v>2026</v>
      </c>
      <c r="F301" s="14" t="n">
        <v>1</v>
      </c>
      <c r="G301" s="14" t="str">
        <v>n.a.</v>
      </c>
      <c r="H301" s="14" t="str">
        <v>n.a.</v>
      </c>
      <c r="I301" s="14" t="str">
        <v>n.a.</v>
      </c>
      <c r="J301" s="14" t="str">
        <v>n.a.</v>
      </c>
      <c r="K301" s="14" t="str">
        <v>n.a.</v>
      </c>
      <c r="L301" s="14" t="str">
        <v>n.a.</v>
      </c>
      <c r="M301" s="14" t="str">
        <v>n.a.</v>
      </c>
      <c r="N301" s="14" t="str">
        <v>n.a.</v>
      </c>
      <c r="O301" s="14" t="str">
        <v>n.a.</v>
      </c>
      <c r="P301" s="14" t="str">
        <v>n.a.</v>
      </c>
      <c r="Q301" s="14" t="str">
        <v>n.a.</v>
      </c>
      <c r="R301" s="14" t="str">
        <v>n.a.</v>
      </c>
      <c r="S301" s="14" t="str">
        <v>n.a.</v>
      </c>
      <c r="T301" s="14" t="n">
        <v>1</v>
      </c>
      <c r="U301" s="14" t="n">
        <v>1</v>
      </c>
      <c r="V301" s="14" t="n">
        <v>1</v>
      </c>
      <c r="W301" s="14" t="n">
        <v>1</v>
      </c>
      <c r="X301" s="14" t="str">
        <v>MAESTRO/oferta_anual</v>
      </c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</row>
    <row r="302" ht="36" customHeight="1">
      <c r="A302" s="15" t="str">
        <v>I162S2C71J4V1</v>
      </c>
      <c r="B302" s="15" t="str">
        <v>DIPLOMADO SEGURIDAD EN ARQUITECTURA DE REDES</v>
      </c>
      <c r="C302" s="15" t="str">
        <v>Postítulo</v>
      </c>
      <c r="D302" s="23" t="n">
        <v>2023</v>
      </c>
      <c r="E302" s="23" t="n">
        <v>2026</v>
      </c>
      <c r="F302" s="15" t="n">
        <v>1</v>
      </c>
      <c r="G302" s="15" t="str">
        <v>n.a.</v>
      </c>
      <c r="H302" s="15" t="str">
        <v>n.a.</v>
      </c>
      <c r="I302" s="15" t="str">
        <v>n.a.</v>
      </c>
      <c r="J302" s="15" t="str">
        <v>n.a.</v>
      </c>
      <c r="K302" s="15" t="str">
        <v>n.a.</v>
      </c>
      <c r="L302" s="15" t="str">
        <v>n.a.</v>
      </c>
      <c r="M302" s="15" t="str">
        <v>n.a.</v>
      </c>
      <c r="N302" s="15" t="str">
        <v>n.a.</v>
      </c>
      <c r="O302" s="15" t="str">
        <v>n.a.</v>
      </c>
      <c r="P302" s="15" t="str">
        <v>n.a.</v>
      </c>
      <c r="Q302" s="15" t="str">
        <v>n.a.</v>
      </c>
      <c r="R302" s="15" t="str">
        <v>n.a.</v>
      </c>
      <c r="S302" s="15" t="str">
        <v>n.a.</v>
      </c>
      <c r="T302" s="15" t="n">
        <v>1</v>
      </c>
      <c r="U302" s="15" t="n">
        <v>1</v>
      </c>
      <c r="V302" s="15" t="n">
        <v>1</v>
      </c>
      <c r="W302" s="15" t="n">
        <v>1</v>
      </c>
      <c r="X302" s="15" t="str">
        <v>MAESTRO/oferta_anual</v>
      </c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</row>
    <row r="303" ht="36" customHeight="1">
      <c r="A303" s="14" t="str">
        <v>I162S2C76J1V1</v>
      </c>
      <c r="B303" s="14" t="str">
        <v>INGENIERIA EN ADMINISTRACION DE EMPRESAS</v>
      </c>
      <c r="C303" s="14" t="str">
        <v>Pregrado</v>
      </c>
      <c r="D303" s="21" t="n">
        <v>2024</v>
      </c>
      <c r="E303" s="21" t="n">
        <v>2026</v>
      </c>
      <c r="F303" s="14" t="n">
        <v>1</v>
      </c>
      <c r="G303" s="14" t="str">
        <v>n.a.</v>
      </c>
      <c r="H303" s="14" t="str">
        <v>n.a.</v>
      </c>
      <c r="I303" s="14" t="str">
        <v>n.a.</v>
      </c>
      <c r="J303" s="14" t="str">
        <v>n.a.</v>
      </c>
      <c r="K303" s="14" t="str">
        <v>n.a.</v>
      </c>
      <c r="L303" s="14" t="str">
        <v>n.a.</v>
      </c>
      <c r="M303" s="14" t="str">
        <v>n.a.</v>
      </c>
      <c r="N303" s="14" t="str">
        <v>n.a.</v>
      </c>
      <c r="O303" s="14" t="str">
        <v>n.a.</v>
      </c>
      <c r="P303" s="14" t="str">
        <v>n.a.</v>
      </c>
      <c r="Q303" s="14" t="str">
        <v>n.a.</v>
      </c>
      <c r="R303" s="14" t="str">
        <v>n.a.</v>
      </c>
      <c r="S303" s="14" t="str">
        <v>n.a.</v>
      </c>
      <c r="T303" s="14" t="str">
        <v>n.a.</v>
      </c>
      <c r="U303" s="14" t="n">
        <v>1</v>
      </c>
      <c r="V303" s="14" t="n">
        <v>1</v>
      </c>
      <c r="W303" s="14" t="n">
        <v>1</v>
      </c>
      <c r="X303" s="14" t="str">
        <v>MAESTRO/oferta_anual</v>
      </c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</row>
    <row r="304" ht="36" customHeight="1">
      <c r="A304" s="15" t="str">
        <v>I162S2C76J2V1</v>
      </c>
      <c r="B304" s="15" t="str">
        <v>INGENIERIA EN ADMINISTRACION DE EMPRESAS</v>
      </c>
      <c r="C304" s="15" t="str">
        <v>Pregrado</v>
      </c>
      <c r="D304" s="23" t="n">
        <v>2024</v>
      </c>
      <c r="E304" s="23" t="n">
        <v>2026</v>
      </c>
      <c r="F304" s="15" t="n">
        <v>1</v>
      </c>
      <c r="G304" s="15" t="str">
        <v>n.a.</v>
      </c>
      <c r="H304" s="15" t="str">
        <v>n.a.</v>
      </c>
      <c r="I304" s="15" t="str">
        <v>n.a.</v>
      </c>
      <c r="J304" s="15" t="str">
        <v>n.a.</v>
      </c>
      <c r="K304" s="15" t="str">
        <v>n.a.</v>
      </c>
      <c r="L304" s="15" t="str">
        <v>n.a.</v>
      </c>
      <c r="M304" s="15" t="str">
        <v>n.a.</v>
      </c>
      <c r="N304" s="15" t="str">
        <v>n.a.</v>
      </c>
      <c r="O304" s="15" t="str">
        <v>n.a.</v>
      </c>
      <c r="P304" s="15" t="str">
        <v>n.a.</v>
      </c>
      <c r="Q304" s="15" t="str">
        <v>n.a.</v>
      </c>
      <c r="R304" s="15" t="str">
        <v>n.a.</v>
      </c>
      <c r="S304" s="15" t="str">
        <v>n.a.</v>
      </c>
      <c r="T304" s="15" t="str">
        <v>n.a.</v>
      </c>
      <c r="U304" s="15" t="n">
        <v>1</v>
      </c>
      <c r="V304" s="15" t="n">
        <v>1</v>
      </c>
      <c r="W304" s="15" t="n">
        <v>1</v>
      </c>
      <c r="X304" s="15" t="str">
        <v>MAESTRO/oferta_anual</v>
      </c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</row>
    <row r="305" ht="36" customHeight="1">
      <c r="A305" s="14" t="str">
        <v>I162S2C76J4V1</v>
      </c>
      <c r="B305" s="14" t="str">
        <v>INGENIERIA EN ADMINISTRACION DE EMPRESAS</v>
      </c>
      <c r="C305" s="14" t="str">
        <v>Pregrado</v>
      </c>
      <c r="D305" s="21" t="n">
        <v>2024</v>
      </c>
      <c r="E305" s="21" t="n">
        <v>2026</v>
      </c>
      <c r="F305" s="14" t="n">
        <v>1</v>
      </c>
      <c r="G305" s="14" t="str">
        <v>n.a.</v>
      </c>
      <c r="H305" s="14" t="str">
        <v>n.a.</v>
      </c>
      <c r="I305" s="14" t="str">
        <v>n.a.</v>
      </c>
      <c r="J305" s="14" t="str">
        <v>n.a.</v>
      </c>
      <c r="K305" s="14" t="str">
        <v>n.a.</v>
      </c>
      <c r="L305" s="14" t="str">
        <v>n.a.</v>
      </c>
      <c r="M305" s="14" t="str">
        <v>n.a.</v>
      </c>
      <c r="N305" s="14" t="str">
        <v>n.a.</v>
      </c>
      <c r="O305" s="14" t="str">
        <v>n.a.</v>
      </c>
      <c r="P305" s="14" t="str">
        <v>n.a.</v>
      </c>
      <c r="Q305" s="14" t="str">
        <v>n.a.</v>
      </c>
      <c r="R305" s="14" t="str">
        <v>n.a.</v>
      </c>
      <c r="S305" s="14" t="str">
        <v>n.a.</v>
      </c>
      <c r="T305" s="14" t="str">
        <v>n.a.</v>
      </c>
      <c r="U305" s="14" t="n">
        <v>1</v>
      </c>
      <c r="V305" s="14" t="n">
        <v>1</v>
      </c>
      <c r="W305" s="14" t="n">
        <v>1</v>
      </c>
      <c r="X305" s="14" t="str">
        <v>MAESTRO/oferta_anual</v>
      </c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</row>
    <row r="306" ht="36" customHeight="1">
      <c r="A306" s="15" t="str">
        <v>I162S2C76J4V2</v>
      </c>
      <c r="B306" s="15" t="str">
        <v>INGENIERIA EN ADMINISTRACION DE EMPRESAS</v>
      </c>
      <c r="C306" s="15" t="str">
        <v>Pregrado</v>
      </c>
      <c r="D306" s="23" t="n">
        <v>2025</v>
      </c>
      <c r="E306" s="23" t="n">
        <v>2026</v>
      </c>
      <c r="F306" s="15" t="n">
        <v>1</v>
      </c>
      <c r="G306" s="15" t="str">
        <v>n.a.</v>
      </c>
      <c r="H306" s="15" t="str">
        <v>n.a.</v>
      </c>
      <c r="I306" s="15" t="str">
        <v>n.a.</v>
      </c>
      <c r="J306" s="15" t="str">
        <v>n.a.</v>
      </c>
      <c r="K306" s="15" t="str">
        <v>n.a.</v>
      </c>
      <c r="L306" s="15" t="str">
        <v>n.a.</v>
      </c>
      <c r="M306" s="15" t="str">
        <v>n.a.</v>
      </c>
      <c r="N306" s="15" t="str">
        <v>n.a.</v>
      </c>
      <c r="O306" s="15" t="str">
        <v>n.a.</v>
      </c>
      <c r="P306" s="15" t="str">
        <v>n.a.</v>
      </c>
      <c r="Q306" s="15" t="str">
        <v>n.a.</v>
      </c>
      <c r="R306" s="15" t="str">
        <v>n.a.</v>
      </c>
      <c r="S306" s="15" t="str">
        <v>n.a.</v>
      </c>
      <c r="T306" s="15" t="str">
        <v>n.a.</v>
      </c>
      <c r="U306" s="15" t="str">
        <v>n.a.</v>
      </c>
      <c r="V306" s="15" t="n">
        <v>1</v>
      </c>
      <c r="W306" s="15" t="n">
        <v>2</v>
      </c>
      <c r="X306" s="15" t="str">
        <v>MAESTRO/oferta_anual</v>
      </c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</row>
    <row r="307" ht="36" customHeight="1">
      <c r="A307" s="14" t="str">
        <v>I162S2C77J1V1</v>
      </c>
      <c r="B307" s="14" t="str">
        <v>INGENIERIA EN LOGISTICA</v>
      </c>
      <c r="C307" s="14" t="str">
        <v>Pregrado</v>
      </c>
      <c r="D307" s="21" t="n">
        <v>2024</v>
      </c>
      <c r="E307" s="21" t="n">
        <v>2026</v>
      </c>
      <c r="F307" s="14" t="n">
        <v>1</v>
      </c>
      <c r="G307" s="14" t="str">
        <v>n.a.</v>
      </c>
      <c r="H307" s="14" t="str">
        <v>n.a.</v>
      </c>
      <c r="I307" s="14" t="str">
        <v>n.a.</v>
      </c>
      <c r="J307" s="14" t="str">
        <v>n.a.</v>
      </c>
      <c r="K307" s="14" t="str">
        <v>n.a.</v>
      </c>
      <c r="L307" s="14" t="str">
        <v>n.a.</v>
      </c>
      <c r="M307" s="14" t="str">
        <v>n.a.</v>
      </c>
      <c r="N307" s="14" t="str">
        <v>n.a.</v>
      </c>
      <c r="O307" s="14" t="str">
        <v>n.a.</v>
      </c>
      <c r="P307" s="14" t="str">
        <v>n.a.</v>
      </c>
      <c r="Q307" s="14" t="str">
        <v>n.a.</v>
      </c>
      <c r="R307" s="14" t="str">
        <v>n.a.</v>
      </c>
      <c r="S307" s="14" t="str">
        <v>n.a.</v>
      </c>
      <c r="T307" s="14" t="str">
        <v>n.a.</v>
      </c>
      <c r="U307" s="14" t="n">
        <v>1</v>
      </c>
      <c r="V307" s="14" t="n">
        <v>1</v>
      </c>
      <c r="W307" s="14" t="n">
        <v>1</v>
      </c>
      <c r="X307" s="14" t="str">
        <v>MAESTRO/oferta_anual</v>
      </c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</row>
    <row r="308" ht="36" customHeight="1">
      <c r="A308" s="15" t="str">
        <v>I162S2C77J2V1</v>
      </c>
      <c r="B308" s="15" t="str">
        <v>INGENIERIA EN LOGISTICA</v>
      </c>
      <c r="C308" s="15" t="str">
        <v>Pregrado</v>
      </c>
      <c r="D308" s="23" t="n">
        <v>2024</v>
      </c>
      <c r="E308" s="23" t="n">
        <v>2026</v>
      </c>
      <c r="F308" s="15" t="n">
        <v>1</v>
      </c>
      <c r="G308" s="15" t="str">
        <v>n.a.</v>
      </c>
      <c r="H308" s="15" t="str">
        <v>n.a.</v>
      </c>
      <c r="I308" s="15" t="str">
        <v>n.a.</v>
      </c>
      <c r="J308" s="15" t="str">
        <v>n.a.</v>
      </c>
      <c r="K308" s="15" t="str">
        <v>n.a.</v>
      </c>
      <c r="L308" s="15" t="str">
        <v>n.a.</v>
      </c>
      <c r="M308" s="15" t="str">
        <v>n.a.</v>
      </c>
      <c r="N308" s="15" t="str">
        <v>n.a.</v>
      </c>
      <c r="O308" s="15" t="str">
        <v>n.a.</v>
      </c>
      <c r="P308" s="15" t="str">
        <v>n.a.</v>
      </c>
      <c r="Q308" s="15" t="str">
        <v>n.a.</v>
      </c>
      <c r="R308" s="15" t="str">
        <v>n.a.</v>
      </c>
      <c r="S308" s="15" t="str">
        <v>n.a.</v>
      </c>
      <c r="T308" s="15" t="str">
        <v>n.a.</v>
      </c>
      <c r="U308" s="15" t="n">
        <v>1</v>
      </c>
      <c r="V308" s="15" t="n">
        <v>1</v>
      </c>
      <c r="W308" s="15" t="n">
        <v>1</v>
      </c>
      <c r="X308" s="15" t="str">
        <v>MAESTRO/oferta_anual</v>
      </c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</row>
    <row r="309" ht="36" customHeight="1">
      <c r="A309" s="14" t="str">
        <v>I162S2C77J4V1</v>
      </c>
      <c r="B309" s="14" t="str">
        <v>INGENIERIA EN LOGISTICA</v>
      </c>
      <c r="C309" s="14" t="str">
        <v>Pregrado</v>
      </c>
      <c r="D309" s="21" t="n">
        <v>2024</v>
      </c>
      <c r="E309" s="21" t="n">
        <v>2026</v>
      </c>
      <c r="F309" s="14" t="n">
        <v>1</v>
      </c>
      <c r="G309" s="14" t="str">
        <v>n.a.</v>
      </c>
      <c r="H309" s="14" t="str">
        <v>n.a.</v>
      </c>
      <c r="I309" s="14" t="str">
        <v>n.a.</v>
      </c>
      <c r="J309" s="14" t="str">
        <v>n.a.</v>
      </c>
      <c r="K309" s="14" t="str">
        <v>n.a.</v>
      </c>
      <c r="L309" s="14" t="str">
        <v>n.a.</v>
      </c>
      <c r="M309" s="14" t="str">
        <v>n.a.</v>
      </c>
      <c r="N309" s="14" t="str">
        <v>n.a.</v>
      </c>
      <c r="O309" s="14" t="str">
        <v>n.a.</v>
      </c>
      <c r="P309" s="14" t="str">
        <v>n.a.</v>
      </c>
      <c r="Q309" s="14" t="str">
        <v>n.a.</v>
      </c>
      <c r="R309" s="14" t="str">
        <v>n.a.</v>
      </c>
      <c r="S309" s="14" t="str">
        <v>n.a.</v>
      </c>
      <c r="T309" s="14" t="str">
        <v>n.a.</v>
      </c>
      <c r="U309" s="14" t="n">
        <v>1</v>
      </c>
      <c r="V309" s="14" t="n">
        <v>1</v>
      </c>
      <c r="W309" s="14" t="n">
        <v>1</v>
      </c>
      <c r="X309" s="14" t="str">
        <v>MAESTRO/oferta_anual</v>
      </c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</row>
    <row r="310" ht="36" customHeight="1">
      <c r="A310" s="15" t="str">
        <v>I162S2C77J4V2</v>
      </c>
      <c r="B310" s="15" t="str">
        <v>INGENIERIA EN LOGISTICA</v>
      </c>
      <c r="C310" s="15" t="str">
        <v>Pregrado</v>
      </c>
      <c r="D310" s="23" t="n">
        <v>2025</v>
      </c>
      <c r="E310" s="23" t="n">
        <v>2026</v>
      </c>
      <c r="F310" s="15" t="n">
        <v>1</v>
      </c>
      <c r="G310" s="15" t="str">
        <v>n.a.</v>
      </c>
      <c r="H310" s="15" t="str">
        <v>n.a.</v>
      </c>
      <c r="I310" s="15" t="str">
        <v>n.a.</v>
      </c>
      <c r="J310" s="15" t="str">
        <v>n.a.</v>
      </c>
      <c r="K310" s="15" t="str">
        <v>n.a.</v>
      </c>
      <c r="L310" s="15" t="str">
        <v>n.a.</v>
      </c>
      <c r="M310" s="15" t="str">
        <v>n.a.</v>
      </c>
      <c r="N310" s="15" t="str">
        <v>n.a.</v>
      </c>
      <c r="O310" s="15" t="str">
        <v>n.a.</v>
      </c>
      <c r="P310" s="15" t="str">
        <v>n.a.</v>
      </c>
      <c r="Q310" s="15" t="str">
        <v>n.a.</v>
      </c>
      <c r="R310" s="15" t="str">
        <v>n.a.</v>
      </c>
      <c r="S310" s="15" t="str">
        <v>n.a.</v>
      </c>
      <c r="T310" s="15" t="str">
        <v>n.a.</v>
      </c>
      <c r="U310" s="15" t="str">
        <v>n.a.</v>
      </c>
      <c r="V310" s="15" t="n">
        <v>1</v>
      </c>
      <c r="W310" s="15" t="n">
        <v>2</v>
      </c>
      <c r="X310" s="15" t="str">
        <v>MAESTRO/oferta_anual</v>
      </c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</row>
    <row r="311" ht="36" customHeight="1">
      <c r="A311" s="14" t="str">
        <v>I162S2C78J1V1</v>
      </c>
      <c r="B311" s="14" t="str">
        <v>TECNICO EN ADMINISTRACION DE EMPRESAS</v>
      </c>
      <c r="C311" s="14" t="str">
        <v>Pregrado</v>
      </c>
      <c r="D311" s="21" t="n">
        <v>2024</v>
      </c>
      <c r="E311" s="21" t="n">
        <v>2026</v>
      </c>
      <c r="F311" s="14" t="n">
        <v>1</v>
      </c>
      <c r="G311" s="14" t="str">
        <v>n.a.</v>
      </c>
      <c r="H311" s="14" t="str">
        <v>n.a.</v>
      </c>
      <c r="I311" s="14" t="str">
        <v>n.a.</v>
      </c>
      <c r="J311" s="14" t="str">
        <v>n.a.</v>
      </c>
      <c r="K311" s="14" t="str">
        <v>n.a.</v>
      </c>
      <c r="L311" s="14" t="str">
        <v>n.a.</v>
      </c>
      <c r="M311" s="14" t="str">
        <v>n.a.</v>
      </c>
      <c r="N311" s="14" t="str">
        <v>n.a.</v>
      </c>
      <c r="O311" s="14" t="str">
        <v>n.a.</v>
      </c>
      <c r="P311" s="14" t="str">
        <v>n.a.</v>
      </c>
      <c r="Q311" s="14" t="str">
        <v>n.a.</v>
      </c>
      <c r="R311" s="14" t="str">
        <v>n.a.</v>
      </c>
      <c r="S311" s="14" t="str">
        <v>n.a.</v>
      </c>
      <c r="T311" s="14" t="str">
        <v>n.a.</v>
      </c>
      <c r="U311" s="14" t="n">
        <v>1</v>
      </c>
      <c r="V311" s="14" t="n">
        <v>1</v>
      </c>
      <c r="W311" s="14" t="n">
        <v>1</v>
      </c>
      <c r="X311" s="14" t="str">
        <v>MAESTRO/oferta_anual</v>
      </c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</row>
    <row r="312" ht="36" customHeight="1">
      <c r="A312" s="15" t="str">
        <v>I162S2C78J2V1</v>
      </c>
      <c r="B312" s="15" t="str">
        <v>TECNICO EN ADMINISTRACION DE EMPRESAS</v>
      </c>
      <c r="C312" s="15" t="str">
        <v>Pregrado</v>
      </c>
      <c r="D312" s="23" t="n">
        <v>2024</v>
      </c>
      <c r="E312" s="23" t="n">
        <v>2026</v>
      </c>
      <c r="F312" s="15" t="n">
        <v>1</v>
      </c>
      <c r="G312" s="15" t="str">
        <v>n.a.</v>
      </c>
      <c r="H312" s="15" t="str">
        <v>n.a.</v>
      </c>
      <c r="I312" s="15" t="str">
        <v>n.a.</v>
      </c>
      <c r="J312" s="15" t="str">
        <v>n.a.</v>
      </c>
      <c r="K312" s="15" t="str">
        <v>n.a.</v>
      </c>
      <c r="L312" s="15" t="str">
        <v>n.a.</v>
      </c>
      <c r="M312" s="15" t="str">
        <v>n.a.</v>
      </c>
      <c r="N312" s="15" t="str">
        <v>n.a.</v>
      </c>
      <c r="O312" s="15" t="str">
        <v>n.a.</v>
      </c>
      <c r="P312" s="15" t="str">
        <v>n.a.</v>
      </c>
      <c r="Q312" s="15" t="str">
        <v>n.a.</v>
      </c>
      <c r="R312" s="15" t="str">
        <v>n.a.</v>
      </c>
      <c r="S312" s="15" t="str">
        <v>n.a.</v>
      </c>
      <c r="T312" s="15" t="str">
        <v>n.a.</v>
      </c>
      <c r="U312" s="15" t="n">
        <v>1</v>
      </c>
      <c r="V312" s="15" t="n">
        <v>1</v>
      </c>
      <c r="W312" s="15" t="n">
        <v>1</v>
      </c>
      <c r="X312" s="15" t="str">
        <v>MAESTRO/oferta_anual</v>
      </c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</row>
    <row r="313" ht="36" customHeight="1">
      <c r="A313" s="14" t="str">
        <v>I162S2C78J4V1</v>
      </c>
      <c r="B313" s="14" t="str">
        <v>TECNICO EN ADMINISTRACION DE EMPRESAS</v>
      </c>
      <c r="C313" s="14" t="str">
        <v>Pregrado</v>
      </c>
      <c r="D313" s="21" t="n">
        <v>2024</v>
      </c>
      <c r="E313" s="21" t="n">
        <v>2026</v>
      </c>
      <c r="F313" s="14" t="n">
        <v>1</v>
      </c>
      <c r="G313" s="14" t="str">
        <v>n.a.</v>
      </c>
      <c r="H313" s="14" t="str">
        <v>n.a.</v>
      </c>
      <c r="I313" s="14" t="str">
        <v>n.a.</v>
      </c>
      <c r="J313" s="14" t="str">
        <v>n.a.</v>
      </c>
      <c r="K313" s="14" t="str">
        <v>n.a.</v>
      </c>
      <c r="L313" s="14" t="str">
        <v>n.a.</v>
      </c>
      <c r="M313" s="14" t="str">
        <v>n.a.</v>
      </c>
      <c r="N313" s="14" t="str">
        <v>n.a.</v>
      </c>
      <c r="O313" s="14" t="str">
        <v>n.a.</v>
      </c>
      <c r="P313" s="14" t="str">
        <v>n.a.</v>
      </c>
      <c r="Q313" s="14" t="str">
        <v>n.a.</v>
      </c>
      <c r="R313" s="14" t="str">
        <v>n.a.</v>
      </c>
      <c r="S313" s="14" t="str">
        <v>n.a.</v>
      </c>
      <c r="T313" s="14" t="str">
        <v>n.a.</v>
      </c>
      <c r="U313" s="14" t="n">
        <v>1</v>
      </c>
      <c r="V313" s="14" t="n">
        <v>1</v>
      </c>
      <c r="W313" s="14" t="n">
        <v>1</v>
      </c>
      <c r="X313" s="14" t="str">
        <v>MAESTRO/oferta_anual</v>
      </c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</row>
    <row r="314" ht="36" customHeight="1">
      <c r="A314" s="15" t="str">
        <v>I162S2C79J1V1</v>
      </c>
      <c r="B314" s="15" t="str">
        <v>TECNICO EN LOGISTICA</v>
      </c>
      <c r="C314" s="15" t="str">
        <v>Pregrado</v>
      </c>
      <c r="D314" s="23" t="n">
        <v>2024</v>
      </c>
      <c r="E314" s="23" t="n">
        <v>2026</v>
      </c>
      <c r="F314" s="15" t="n">
        <v>1</v>
      </c>
      <c r="G314" s="15" t="str">
        <v>n.a.</v>
      </c>
      <c r="H314" s="15" t="str">
        <v>n.a.</v>
      </c>
      <c r="I314" s="15" t="str">
        <v>n.a.</v>
      </c>
      <c r="J314" s="15" t="str">
        <v>n.a.</v>
      </c>
      <c r="K314" s="15" t="str">
        <v>n.a.</v>
      </c>
      <c r="L314" s="15" t="str">
        <v>n.a.</v>
      </c>
      <c r="M314" s="15" t="str">
        <v>n.a.</v>
      </c>
      <c r="N314" s="15" t="str">
        <v>n.a.</v>
      </c>
      <c r="O314" s="15" t="str">
        <v>n.a.</v>
      </c>
      <c r="P314" s="15" t="str">
        <v>n.a.</v>
      </c>
      <c r="Q314" s="15" t="str">
        <v>n.a.</v>
      </c>
      <c r="R314" s="15" t="str">
        <v>n.a.</v>
      </c>
      <c r="S314" s="15" t="str">
        <v>n.a.</v>
      </c>
      <c r="T314" s="15" t="str">
        <v>n.a.</v>
      </c>
      <c r="U314" s="15" t="n">
        <v>1</v>
      </c>
      <c r="V314" s="15" t="n">
        <v>1</v>
      </c>
      <c r="W314" s="15" t="n">
        <v>1</v>
      </c>
      <c r="X314" s="15" t="str">
        <v>MAESTRO/oferta_anual</v>
      </c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</row>
    <row r="315" ht="36" customHeight="1">
      <c r="A315" s="14" t="str">
        <v>I162S2C79J2V1</v>
      </c>
      <c r="B315" s="14" t="str">
        <v>TECNICO EN LOGISTICA</v>
      </c>
      <c r="C315" s="14" t="str">
        <v>Pregrado</v>
      </c>
      <c r="D315" s="21" t="n">
        <v>2024</v>
      </c>
      <c r="E315" s="21" t="n">
        <v>2026</v>
      </c>
      <c r="F315" s="14" t="n">
        <v>1</v>
      </c>
      <c r="G315" s="14" t="str">
        <v>n.a.</v>
      </c>
      <c r="H315" s="14" t="str">
        <v>n.a.</v>
      </c>
      <c r="I315" s="14" t="str">
        <v>n.a.</v>
      </c>
      <c r="J315" s="14" t="str">
        <v>n.a.</v>
      </c>
      <c r="K315" s="14" t="str">
        <v>n.a.</v>
      </c>
      <c r="L315" s="14" t="str">
        <v>n.a.</v>
      </c>
      <c r="M315" s="14" t="str">
        <v>n.a.</v>
      </c>
      <c r="N315" s="14" t="str">
        <v>n.a.</v>
      </c>
      <c r="O315" s="14" t="str">
        <v>n.a.</v>
      </c>
      <c r="P315" s="14" t="str">
        <v>n.a.</v>
      </c>
      <c r="Q315" s="14" t="str">
        <v>n.a.</v>
      </c>
      <c r="R315" s="14" t="str">
        <v>n.a.</v>
      </c>
      <c r="S315" s="14" t="str">
        <v>n.a.</v>
      </c>
      <c r="T315" s="14" t="str">
        <v>n.a.</v>
      </c>
      <c r="U315" s="14" t="n">
        <v>1</v>
      </c>
      <c r="V315" s="14" t="n">
        <v>1</v>
      </c>
      <c r="W315" s="14" t="n">
        <v>1</v>
      </c>
      <c r="X315" s="14" t="str">
        <v>MAESTRO/oferta_anual</v>
      </c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</row>
    <row r="316" ht="36" customHeight="1">
      <c r="A316" s="15" t="str">
        <v>I162S2C79J4V1</v>
      </c>
      <c r="B316" s="15" t="str">
        <v>TECNICO EN LOGISTICA</v>
      </c>
      <c r="C316" s="15" t="str">
        <v>Pregrado</v>
      </c>
      <c r="D316" s="23" t="n">
        <v>2024</v>
      </c>
      <c r="E316" s="23" t="n">
        <v>2026</v>
      </c>
      <c r="F316" s="15" t="n">
        <v>1</v>
      </c>
      <c r="G316" s="15" t="str">
        <v>n.a.</v>
      </c>
      <c r="H316" s="15" t="str">
        <v>n.a.</v>
      </c>
      <c r="I316" s="15" t="str">
        <v>n.a.</v>
      </c>
      <c r="J316" s="15" t="str">
        <v>n.a.</v>
      </c>
      <c r="K316" s="15" t="str">
        <v>n.a.</v>
      </c>
      <c r="L316" s="15" t="str">
        <v>n.a.</v>
      </c>
      <c r="M316" s="15" t="str">
        <v>n.a.</v>
      </c>
      <c r="N316" s="15" t="str">
        <v>n.a.</v>
      </c>
      <c r="O316" s="15" t="str">
        <v>n.a.</v>
      </c>
      <c r="P316" s="15" t="str">
        <v>n.a.</v>
      </c>
      <c r="Q316" s="15" t="str">
        <v>n.a.</v>
      </c>
      <c r="R316" s="15" t="str">
        <v>n.a.</v>
      </c>
      <c r="S316" s="15" t="str">
        <v>n.a.</v>
      </c>
      <c r="T316" s="15" t="str">
        <v>n.a.</v>
      </c>
      <c r="U316" s="15" t="n">
        <v>1</v>
      </c>
      <c r="V316" s="15" t="n">
        <v>1</v>
      </c>
      <c r="W316" s="15" t="n">
        <v>1</v>
      </c>
      <c r="X316" s="15" t="str">
        <v>MAESTRO/oferta_anual</v>
      </c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</row>
    <row r="317" ht="36" customHeight="1">
      <c r="A317" s="14" t="str">
        <v>I162S2C83J4V1</v>
      </c>
      <c r="B317" s="14" t="str">
        <v>ADMINISTRACION PUBLICA</v>
      </c>
      <c r="C317" s="14" t="str">
        <v>Pregrado</v>
      </c>
      <c r="D317" s="21" t="n">
        <v>2025</v>
      </c>
      <c r="E317" s="21" t="n">
        <v>2026</v>
      </c>
      <c r="F317" s="14" t="n">
        <v>1</v>
      </c>
      <c r="G317" s="14" t="str">
        <v>n.a.</v>
      </c>
      <c r="H317" s="14" t="str">
        <v>n.a.</v>
      </c>
      <c r="I317" s="14" t="str">
        <v>n.a.</v>
      </c>
      <c r="J317" s="14" t="str">
        <v>n.a.</v>
      </c>
      <c r="K317" s="14" t="str">
        <v>n.a.</v>
      </c>
      <c r="L317" s="14" t="str">
        <v>n.a.</v>
      </c>
      <c r="M317" s="14" t="str">
        <v>n.a.</v>
      </c>
      <c r="N317" s="14" t="str">
        <v>n.a.</v>
      </c>
      <c r="O317" s="14" t="str">
        <v>n.a.</v>
      </c>
      <c r="P317" s="14" t="str">
        <v>n.a.</v>
      </c>
      <c r="Q317" s="14" t="str">
        <v>n.a.</v>
      </c>
      <c r="R317" s="14" t="str">
        <v>n.a.</v>
      </c>
      <c r="S317" s="14" t="str">
        <v>n.a.</v>
      </c>
      <c r="T317" s="14" t="str">
        <v>n.a.</v>
      </c>
      <c r="U317" s="14" t="str">
        <v>n.a.</v>
      </c>
      <c r="V317" s="14" t="n">
        <v>1</v>
      </c>
      <c r="W317" s="14" t="n">
        <v>1</v>
      </c>
      <c r="X317" s="14" t="str">
        <v>MAESTRO/oferta_anual</v>
      </c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</row>
    <row r="318" ht="36" customHeight="1">
      <c r="A318" s="15" t="str">
        <v>I162S2C83J4V2</v>
      </c>
      <c r="B318" s="15" t="str">
        <v>ADMINISTRACION PUBLICA</v>
      </c>
      <c r="C318" s="15" t="str">
        <v>Pregrado</v>
      </c>
      <c r="D318" s="23" t="n">
        <v>2025</v>
      </c>
      <c r="E318" s="23" t="n">
        <v>2026</v>
      </c>
      <c r="F318" s="15" t="n">
        <v>1</v>
      </c>
      <c r="G318" s="15" t="str">
        <v>n.a.</v>
      </c>
      <c r="H318" s="15" t="str">
        <v>n.a.</v>
      </c>
      <c r="I318" s="15" t="str">
        <v>n.a.</v>
      </c>
      <c r="J318" s="15" t="str">
        <v>n.a.</v>
      </c>
      <c r="K318" s="15" t="str">
        <v>n.a.</v>
      </c>
      <c r="L318" s="15" t="str">
        <v>n.a.</v>
      </c>
      <c r="M318" s="15" t="str">
        <v>n.a.</v>
      </c>
      <c r="N318" s="15" t="str">
        <v>n.a.</v>
      </c>
      <c r="O318" s="15" t="str">
        <v>n.a.</v>
      </c>
      <c r="P318" s="15" t="str">
        <v>n.a.</v>
      </c>
      <c r="Q318" s="15" t="str">
        <v>n.a.</v>
      </c>
      <c r="R318" s="15" t="str">
        <v>n.a.</v>
      </c>
      <c r="S318" s="15" t="str">
        <v>n.a.</v>
      </c>
      <c r="T318" s="15" t="str">
        <v>n.a.</v>
      </c>
      <c r="U318" s="15" t="str">
        <v>n.a.</v>
      </c>
      <c r="V318" s="15" t="n">
        <v>1</v>
      </c>
      <c r="W318" s="15" t="n">
        <v>2</v>
      </c>
      <c r="X318" s="15" t="str">
        <v>MAESTRO/oferta_anual</v>
      </c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</row>
    <row r="319" ht="36" customHeight="1">
      <c r="A319" s="14" t="str">
        <v>I162S2C84J4V1</v>
      </c>
      <c r="B319" s="14" t="str">
        <v>TECNICO EN ADMINISTRACION PUBLICA</v>
      </c>
      <c r="C319" s="14" t="str">
        <v>Pregrado</v>
      </c>
      <c r="D319" s="21" t="n">
        <v>2025</v>
      </c>
      <c r="E319" s="21" t="n">
        <v>2026</v>
      </c>
      <c r="F319" s="14" t="n">
        <v>1</v>
      </c>
      <c r="G319" s="14" t="str">
        <v>n.a.</v>
      </c>
      <c r="H319" s="14" t="str">
        <v>n.a.</v>
      </c>
      <c r="I319" s="14" t="str">
        <v>n.a.</v>
      </c>
      <c r="J319" s="14" t="str">
        <v>n.a.</v>
      </c>
      <c r="K319" s="14" t="str">
        <v>n.a.</v>
      </c>
      <c r="L319" s="14" t="str">
        <v>n.a.</v>
      </c>
      <c r="M319" s="14" t="str">
        <v>n.a.</v>
      </c>
      <c r="N319" s="14" t="str">
        <v>n.a.</v>
      </c>
      <c r="O319" s="14" t="str">
        <v>n.a.</v>
      </c>
      <c r="P319" s="14" t="str">
        <v>n.a.</v>
      </c>
      <c r="Q319" s="14" t="str">
        <v>n.a.</v>
      </c>
      <c r="R319" s="14" t="str">
        <v>n.a.</v>
      </c>
      <c r="S319" s="14" t="str">
        <v>n.a.</v>
      </c>
      <c r="T319" s="14" t="str">
        <v>n.a.</v>
      </c>
      <c r="U319" s="14" t="str">
        <v>n.a.</v>
      </c>
      <c r="V319" s="14" t="n">
        <v>1</v>
      </c>
      <c r="W319" s="14" t="n">
        <v>1</v>
      </c>
      <c r="X319" s="14" t="str">
        <v>MAESTRO/oferta_anual</v>
      </c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</row>
    <row r="320" ht="36" customHeight="1">
      <c r="A320" s="15" t="str">
        <v>I162S2C85J4V1</v>
      </c>
      <c r="B320" s="15" t="str">
        <v>CONTABILIDAD GENERAL</v>
      </c>
      <c r="C320" s="15" t="str">
        <v>Pregrado</v>
      </c>
      <c r="D320" s="23" t="n">
        <v>2025</v>
      </c>
      <c r="E320" s="23" t="n">
        <v>2026</v>
      </c>
      <c r="F320" s="15" t="n">
        <v>1</v>
      </c>
      <c r="G320" s="15" t="str">
        <v>n.a.</v>
      </c>
      <c r="H320" s="15" t="str">
        <v>n.a.</v>
      </c>
      <c r="I320" s="15" t="str">
        <v>n.a.</v>
      </c>
      <c r="J320" s="15" t="str">
        <v>n.a.</v>
      </c>
      <c r="K320" s="15" t="str">
        <v>n.a.</v>
      </c>
      <c r="L320" s="15" t="str">
        <v>n.a.</v>
      </c>
      <c r="M320" s="15" t="str">
        <v>n.a.</v>
      </c>
      <c r="N320" s="15" t="str">
        <v>n.a.</v>
      </c>
      <c r="O320" s="15" t="str">
        <v>n.a.</v>
      </c>
      <c r="P320" s="15" t="str">
        <v>n.a.</v>
      </c>
      <c r="Q320" s="15" t="str">
        <v>n.a.</v>
      </c>
      <c r="R320" s="15" t="str">
        <v>n.a.</v>
      </c>
      <c r="S320" s="15" t="str">
        <v>n.a.</v>
      </c>
      <c r="T320" s="15" t="str">
        <v>n.a.</v>
      </c>
      <c r="U320" s="15" t="str">
        <v>n.a.</v>
      </c>
      <c r="V320" s="15" t="n">
        <v>1</v>
      </c>
      <c r="W320" s="15" t="n">
        <v>1</v>
      </c>
      <c r="X320" s="15" t="str">
        <v>MAESTRO/oferta_anual</v>
      </c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</row>
    <row r="321" ht="36" customHeight="1">
      <c r="A321" s="14" t="str">
        <v>I162S2C86J4V1</v>
      </c>
      <c r="B321" s="14" t="str">
        <v>AUDITORIA</v>
      </c>
      <c r="C321" s="14" t="str">
        <v>Pregrado</v>
      </c>
      <c r="D321" s="21" t="n">
        <v>2025</v>
      </c>
      <c r="E321" s="21" t="n">
        <v>2026</v>
      </c>
      <c r="F321" s="14" t="n">
        <v>1</v>
      </c>
      <c r="G321" s="14" t="str">
        <v>n.a.</v>
      </c>
      <c r="H321" s="14" t="str">
        <v>n.a.</v>
      </c>
      <c r="I321" s="14" t="str">
        <v>n.a.</v>
      </c>
      <c r="J321" s="14" t="str">
        <v>n.a.</v>
      </c>
      <c r="K321" s="14" t="str">
        <v>n.a.</v>
      </c>
      <c r="L321" s="14" t="str">
        <v>n.a.</v>
      </c>
      <c r="M321" s="14" t="str">
        <v>n.a.</v>
      </c>
      <c r="N321" s="14" t="str">
        <v>n.a.</v>
      </c>
      <c r="O321" s="14" t="str">
        <v>n.a.</v>
      </c>
      <c r="P321" s="14" t="str">
        <v>n.a.</v>
      </c>
      <c r="Q321" s="14" t="str">
        <v>n.a.</v>
      </c>
      <c r="R321" s="14" t="str">
        <v>n.a.</v>
      </c>
      <c r="S321" s="14" t="str">
        <v>n.a.</v>
      </c>
      <c r="T321" s="14" t="str">
        <v>n.a.</v>
      </c>
      <c r="U321" s="14" t="str">
        <v>n.a.</v>
      </c>
      <c r="V321" s="14" t="n">
        <v>1</v>
      </c>
      <c r="W321" s="14" t="n">
        <v>1</v>
      </c>
      <c r="X321" s="14" t="str">
        <v>MAESTRO/oferta_anual</v>
      </c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</row>
    <row r="322" ht="36" customHeight="1">
      <c r="A322" s="15" t="str">
        <v>I162S2C86J4V2</v>
      </c>
      <c r="B322" s="15" t="str">
        <v>AUDITORIA</v>
      </c>
      <c r="C322" s="15" t="str">
        <v>Pregrado</v>
      </c>
      <c r="D322" s="23" t="n">
        <v>2025</v>
      </c>
      <c r="E322" s="23" t="n">
        <v>2026</v>
      </c>
      <c r="F322" s="15" t="n">
        <v>1</v>
      </c>
      <c r="G322" s="15" t="str">
        <v>n.a.</v>
      </c>
      <c r="H322" s="15" t="str">
        <v>n.a.</v>
      </c>
      <c r="I322" s="15" t="str">
        <v>n.a.</v>
      </c>
      <c r="J322" s="15" t="str">
        <v>n.a.</v>
      </c>
      <c r="K322" s="15" t="str">
        <v>n.a.</v>
      </c>
      <c r="L322" s="15" t="str">
        <v>n.a.</v>
      </c>
      <c r="M322" s="15" t="str">
        <v>n.a.</v>
      </c>
      <c r="N322" s="15" t="str">
        <v>n.a.</v>
      </c>
      <c r="O322" s="15" t="str">
        <v>n.a.</v>
      </c>
      <c r="P322" s="15" t="str">
        <v>n.a.</v>
      </c>
      <c r="Q322" s="15" t="str">
        <v>n.a.</v>
      </c>
      <c r="R322" s="15" t="str">
        <v>n.a.</v>
      </c>
      <c r="S322" s="15" t="str">
        <v>n.a.</v>
      </c>
      <c r="T322" s="15" t="str">
        <v>n.a.</v>
      </c>
      <c r="U322" s="15" t="str">
        <v>n.a.</v>
      </c>
      <c r="V322" s="15" t="n">
        <v>1</v>
      </c>
      <c r="W322" s="15" t="n">
        <v>2</v>
      </c>
      <c r="X322" s="15" t="str">
        <v>MAESTRO/oferta_anual</v>
      </c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</row>
    <row r="323" ht="36" customHeight="1">
      <c r="A323" s="14" t="str">
        <v>I162S2C87J4V1</v>
      </c>
      <c r="B323" s="14" t="str">
        <v>INGENIERIA INDUSTRIAL</v>
      </c>
      <c r="C323" s="14" t="str">
        <v>Pregrado</v>
      </c>
      <c r="D323" s="21" t="n">
        <v>2025</v>
      </c>
      <c r="E323" s="21" t="n">
        <v>2026</v>
      </c>
      <c r="F323" s="14" t="n">
        <v>1</v>
      </c>
      <c r="G323" s="14" t="str">
        <v>n.a.</v>
      </c>
      <c r="H323" s="14" t="str">
        <v>n.a.</v>
      </c>
      <c r="I323" s="14" t="str">
        <v>n.a.</v>
      </c>
      <c r="J323" s="14" t="str">
        <v>n.a.</v>
      </c>
      <c r="K323" s="14" t="str">
        <v>n.a.</v>
      </c>
      <c r="L323" s="14" t="str">
        <v>n.a.</v>
      </c>
      <c r="M323" s="14" t="str">
        <v>n.a.</v>
      </c>
      <c r="N323" s="14" t="str">
        <v>n.a.</v>
      </c>
      <c r="O323" s="14" t="str">
        <v>n.a.</v>
      </c>
      <c r="P323" s="14" t="str">
        <v>n.a.</v>
      </c>
      <c r="Q323" s="14" t="str">
        <v>n.a.</v>
      </c>
      <c r="R323" s="14" t="str">
        <v>n.a.</v>
      </c>
      <c r="S323" s="14" t="str">
        <v>n.a.</v>
      </c>
      <c r="T323" s="14" t="str">
        <v>n.a.</v>
      </c>
      <c r="U323" s="14" t="str">
        <v>n.a.</v>
      </c>
      <c r="V323" s="14" t="n">
        <v>1</v>
      </c>
      <c r="W323" s="14" t="n">
        <v>2</v>
      </c>
      <c r="X323" s="14" t="str">
        <v>MAESTRO/oferta_anual</v>
      </c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</row>
    <row r="324" ht="36" customHeight="1">
      <c r="A324" s="15" t="str">
        <v>I162S2C87J4V2</v>
      </c>
      <c r="B324" s="15" t="str">
        <v>INGENIERIA INDUSTRIAL</v>
      </c>
      <c r="C324" s="15" t="str">
        <v>Pregrado</v>
      </c>
      <c r="D324" s="23" t="n">
        <v>2026</v>
      </c>
      <c r="E324" s="23" t="n">
        <v>2026</v>
      </c>
      <c r="F324" s="15" t="n">
        <v>1</v>
      </c>
      <c r="G324" s="15" t="str">
        <v>n.a.</v>
      </c>
      <c r="H324" s="15" t="str">
        <v>n.a.</v>
      </c>
      <c r="I324" s="15" t="str">
        <v>n.a.</v>
      </c>
      <c r="J324" s="15" t="str">
        <v>n.a.</v>
      </c>
      <c r="K324" s="15" t="str">
        <v>n.a.</v>
      </c>
      <c r="L324" s="15" t="str">
        <v>n.a.</v>
      </c>
      <c r="M324" s="15" t="str">
        <v>n.a.</v>
      </c>
      <c r="N324" s="15" t="str">
        <v>n.a.</v>
      </c>
      <c r="O324" s="15" t="str">
        <v>n.a.</v>
      </c>
      <c r="P324" s="15" t="str">
        <v>n.a.</v>
      </c>
      <c r="Q324" s="15" t="str">
        <v>n.a.</v>
      </c>
      <c r="R324" s="15" t="str">
        <v>n.a.</v>
      </c>
      <c r="S324" s="15" t="str">
        <v>n.a.</v>
      </c>
      <c r="T324" s="15" t="str">
        <v>n.a.</v>
      </c>
      <c r="U324" s="15" t="str">
        <v>n.a.</v>
      </c>
      <c r="V324" s="15" t="str">
        <v>n.a.</v>
      </c>
      <c r="W324" s="15" t="n">
        <v>1</v>
      </c>
      <c r="X324" s="15" t="str">
        <v>MAESTRO/oferta_anual</v>
      </c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</row>
    <row r="325" ht="36" customHeight="1">
      <c r="A325" s="14" t="str">
        <v>I162S2C88J4V1</v>
      </c>
      <c r="B325" s="14" t="str">
        <v>INGENIERIA EN CIENCIA DE DATOS</v>
      </c>
      <c r="C325" s="14" t="str">
        <v>Pregrado</v>
      </c>
      <c r="D325" s="21" t="n">
        <v>2025</v>
      </c>
      <c r="E325" s="21" t="n">
        <v>2026</v>
      </c>
      <c r="F325" s="14" t="n">
        <v>1</v>
      </c>
      <c r="G325" s="14" t="str">
        <v>n.a.</v>
      </c>
      <c r="H325" s="14" t="str">
        <v>n.a.</v>
      </c>
      <c r="I325" s="14" t="str">
        <v>n.a.</v>
      </c>
      <c r="J325" s="14" t="str">
        <v>n.a.</v>
      </c>
      <c r="K325" s="14" t="str">
        <v>n.a.</v>
      </c>
      <c r="L325" s="14" t="str">
        <v>n.a.</v>
      </c>
      <c r="M325" s="14" t="str">
        <v>n.a.</v>
      </c>
      <c r="N325" s="14" t="str">
        <v>n.a.</v>
      </c>
      <c r="O325" s="14" t="str">
        <v>n.a.</v>
      </c>
      <c r="P325" s="14" t="str">
        <v>n.a.</v>
      </c>
      <c r="Q325" s="14" t="str">
        <v>n.a.</v>
      </c>
      <c r="R325" s="14" t="str">
        <v>n.a.</v>
      </c>
      <c r="S325" s="14" t="str">
        <v>n.a.</v>
      </c>
      <c r="T325" s="14" t="str">
        <v>n.a.</v>
      </c>
      <c r="U325" s="14" t="str">
        <v>n.a.</v>
      </c>
      <c r="V325" s="14" t="n">
        <v>1</v>
      </c>
      <c r="W325" s="14" t="n">
        <v>1</v>
      </c>
      <c r="X325" s="14" t="str">
        <v>MAESTRO/oferta_anual</v>
      </c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</row>
    <row r="326" ht="36" customHeight="1">
      <c r="A326" s="15" t="str">
        <v>I162S2C88J4V2</v>
      </c>
      <c r="B326" s="15" t="str">
        <v>INGENIERIA EN CIENCIA DE DATOS</v>
      </c>
      <c r="C326" s="15" t="str">
        <v>Pregrado</v>
      </c>
      <c r="D326" s="23" t="n">
        <v>2025</v>
      </c>
      <c r="E326" s="23" t="n">
        <v>2026</v>
      </c>
      <c r="F326" s="15" t="n">
        <v>1</v>
      </c>
      <c r="G326" s="15" t="str">
        <v>n.a.</v>
      </c>
      <c r="H326" s="15" t="str">
        <v>n.a.</v>
      </c>
      <c r="I326" s="15" t="str">
        <v>n.a.</v>
      </c>
      <c r="J326" s="15" t="str">
        <v>n.a.</v>
      </c>
      <c r="K326" s="15" t="str">
        <v>n.a.</v>
      </c>
      <c r="L326" s="15" t="str">
        <v>n.a.</v>
      </c>
      <c r="M326" s="15" t="str">
        <v>n.a.</v>
      </c>
      <c r="N326" s="15" t="str">
        <v>n.a.</v>
      </c>
      <c r="O326" s="15" t="str">
        <v>n.a.</v>
      </c>
      <c r="P326" s="15" t="str">
        <v>n.a.</v>
      </c>
      <c r="Q326" s="15" t="str">
        <v>n.a.</v>
      </c>
      <c r="R326" s="15" t="str">
        <v>n.a.</v>
      </c>
      <c r="S326" s="15" t="str">
        <v>n.a.</v>
      </c>
      <c r="T326" s="15" t="str">
        <v>n.a.</v>
      </c>
      <c r="U326" s="15" t="str">
        <v>n.a.</v>
      </c>
      <c r="V326" s="15" t="n">
        <v>1</v>
      </c>
      <c r="W326" s="15" t="n">
        <v>2</v>
      </c>
      <c r="X326" s="15" t="str">
        <v>MAESTRO/oferta_anual</v>
      </c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</row>
    <row r="327" ht="36" customHeight="1">
      <c r="A327" s="14" t="str">
        <v>I162S2C89J4V1</v>
      </c>
      <c r="B327" s="14" t="str">
        <v>TECNICO EN CIENCIA DE DATOS</v>
      </c>
      <c r="C327" s="14" t="str">
        <v>Pregrado</v>
      </c>
      <c r="D327" s="21" t="n">
        <v>2025</v>
      </c>
      <c r="E327" s="21" t="n">
        <v>2026</v>
      </c>
      <c r="F327" s="14" t="n">
        <v>1</v>
      </c>
      <c r="G327" s="14" t="str">
        <v>n.a.</v>
      </c>
      <c r="H327" s="14" t="str">
        <v>n.a.</v>
      </c>
      <c r="I327" s="14" t="str">
        <v>n.a.</v>
      </c>
      <c r="J327" s="14" t="str">
        <v>n.a.</v>
      </c>
      <c r="K327" s="14" t="str">
        <v>n.a.</v>
      </c>
      <c r="L327" s="14" t="str">
        <v>n.a.</v>
      </c>
      <c r="M327" s="14" t="str">
        <v>n.a.</v>
      </c>
      <c r="N327" s="14" t="str">
        <v>n.a.</v>
      </c>
      <c r="O327" s="14" t="str">
        <v>n.a.</v>
      </c>
      <c r="P327" s="14" t="str">
        <v>n.a.</v>
      </c>
      <c r="Q327" s="14" t="str">
        <v>n.a.</v>
      </c>
      <c r="R327" s="14" t="str">
        <v>n.a.</v>
      </c>
      <c r="S327" s="14" t="str">
        <v>n.a.</v>
      </c>
      <c r="T327" s="14" t="str">
        <v>n.a.</v>
      </c>
      <c r="U327" s="14" t="str">
        <v>n.a.</v>
      </c>
      <c r="V327" s="14" t="n">
        <v>1</v>
      </c>
      <c r="W327" s="14" t="n">
        <v>1</v>
      </c>
      <c r="X327" s="14" t="str">
        <v>MAESTRO/oferta_anual</v>
      </c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</row>
    <row r="328" ht="36" customHeight="1">
      <c r="A328" s="15" t="str">
        <v>I162S2C90J2V1</v>
      </c>
      <c r="B328" s="15" t="str">
        <v>NATUROPATIA</v>
      </c>
      <c r="C328" s="15" t="str">
        <v>Pregrado</v>
      </c>
      <c r="D328" s="23" t="n">
        <v>2025</v>
      </c>
      <c r="E328" s="23" t="n">
        <v>2026</v>
      </c>
      <c r="F328" s="15" t="n">
        <v>1</v>
      </c>
      <c r="G328" s="15" t="str">
        <v>n.a.</v>
      </c>
      <c r="H328" s="15" t="str">
        <v>n.a.</v>
      </c>
      <c r="I328" s="15" t="str">
        <v>n.a.</v>
      </c>
      <c r="J328" s="15" t="str">
        <v>n.a.</v>
      </c>
      <c r="K328" s="15" t="str">
        <v>n.a.</v>
      </c>
      <c r="L328" s="15" t="str">
        <v>n.a.</v>
      </c>
      <c r="M328" s="15" t="str">
        <v>n.a.</v>
      </c>
      <c r="N328" s="15" t="str">
        <v>n.a.</v>
      </c>
      <c r="O328" s="15" t="str">
        <v>n.a.</v>
      </c>
      <c r="P328" s="15" t="str">
        <v>n.a.</v>
      </c>
      <c r="Q328" s="15" t="str">
        <v>n.a.</v>
      </c>
      <c r="R328" s="15" t="str">
        <v>n.a.</v>
      </c>
      <c r="S328" s="15" t="str">
        <v>n.a.</v>
      </c>
      <c r="T328" s="15" t="str">
        <v>n.a.</v>
      </c>
      <c r="U328" s="15" t="str">
        <v>n.a.</v>
      </c>
      <c r="V328" s="15" t="n">
        <v>1</v>
      </c>
      <c r="W328" s="15" t="n">
        <v>2</v>
      </c>
      <c r="X328" s="15" t="str">
        <v>MAESTRO/oferta_anual</v>
      </c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</row>
    <row r="329" ht="36" customHeight="1">
      <c r="A329" s="14" t="str">
        <v>I162S2C90J2V2</v>
      </c>
      <c r="B329" s="14" t="str">
        <v>NATUROPATIA</v>
      </c>
      <c r="C329" s="14" t="str">
        <v>Pregrado</v>
      </c>
      <c r="D329" s="21" t="n">
        <v>2026</v>
      </c>
      <c r="E329" s="21" t="n">
        <v>2026</v>
      </c>
      <c r="F329" s="14" t="n">
        <v>1</v>
      </c>
      <c r="G329" s="14" t="str">
        <v>n.a.</v>
      </c>
      <c r="H329" s="14" t="str">
        <v>n.a.</v>
      </c>
      <c r="I329" s="14" t="str">
        <v>n.a.</v>
      </c>
      <c r="J329" s="14" t="str">
        <v>n.a.</v>
      </c>
      <c r="K329" s="14" t="str">
        <v>n.a.</v>
      </c>
      <c r="L329" s="14" t="str">
        <v>n.a.</v>
      </c>
      <c r="M329" s="14" t="str">
        <v>n.a.</v>
      </c>
      <c r="N329" s="14" t="str">
        <v>n.a.</v>
      </c>
      <c r="O329" s="14" t="str">
        <v>n.a.</v>
      </c>
      <c r="P329" s="14" t="str">
        <v>n.a.</v>
      </c>
      <c r="Q329" s="14" t="str">
        <v>n.a.</v>
      </c>
      <c r="R329" s="14" t="str">
        <v>n.a.</v>
      </c>
      <c r="S329" s="14" t="str">
        <v>n.a.</v>
      </c>
      <c r="T329" s="14" t="str">
        <v>n.a.</v>
      </c>
      <c r="U329" s="14" t="str">
        <v>n.a.</v>
      </c>
      <c r="V329" s="14" t="str">
        <v>n.a.</v>
      </c>
      <c r="W329" s="14" t="n">
        <v>1</v>
      </c>
      <c r="X329" s="14" t="str">
        <v>MAESTRO/oferta_anual</v>
      </c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</row>
    <row r="330" ht="36" customHeight="1">
      <c r="A330" s="15" t="str">
        <v>I162S2C91J1V1</v>
      </c>
      <c r="B330" s="15" t="str">
        <v>TECNICO EN ENFERMERIA</v>
      </c>
      <c r="C330" s="15" t="str">
        <v>Pregrado</v>
      </c>
      <c r="D330" s="23" t="n">
        <v>2025</v>
      </c>
      <c r="E330" s="23" t="n">
        <v>2026</v>
      </c>
      <c r="F330" s="15" t="n">
        <v>1</v>
      </c>
      <c r="G330" s="15" t="str">
        <v>n.a.</v>
      </c>
      <c r="H330" s="15" t="str">
        <v>n.a.</v>
      </c>
      <c r="I330" s="15" t="str">
        <v>n.a.</v>
      </c>
      <c r="J330" s="15" t="str">
        <v>n.a.</v>
      </c>
      <c r="K330" s="15" t="str">
        <v>n.a.</v>
      </c>
      <c r="L330" s="15" t="str">
        <v>n.a.</v>
      </c>
      <c r="M330" s="15" t="str">
        <v>n.a.</v>
      </c>
      <c r="N330" s="15" t="str">
        <v>n.a.</v>
      </c>
      <c r="O330" s="15" t="str">
        <v>n.a.</v>
      </c>
      <c r="P330" s="15" t="str">
        <v>n.a.</v>
      </c>
      <c r="Q330" s="15" t="str">
        <v>n.a.</v>
      </c>
      <c r="R330" s="15" t="str">
        <v>n.a.</v>
      </c>
      <c r="S330" s="15" t="str">
        <v>n.a.</v>
      </c>
      <c r="T330" s="15" t="str">
        <v>n.a.</v>
      </c>
      <c r="U330" s="15" t="str">
        <v>n.a.</v>
      </c>
      <c r="V330" s="15" t="n">
        <v>1</v>
      </c>
      <c r="W330" s="15" t="n">
        <v>1</v>
      </c>
      <c r="X330" s="15" t="str">
        <v>MAESTRO/oferta_anual</v>
      </c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</row>
    <row r="331" ht="36" customHeight="1">
      <c r="A331" s="14" t="str">
        <v>I162S2C91J2V1</v>
      </c>
      <c r="B331" s="14" t="str">
        <v>TECNICO EN ENFERMERIA</v>
      </c>
      <c r="C331" s="14" t="str">
        <v>Pregrado</v>
      </c>
      <c r="D331" s="21" t="n">
        <v>2025</v>
      </c>
      <c r="E331" s="21" t="n">
        <v>2026</v>
      </c>
      <c r="F331" s="14" t="n">
        <v>1</v>
      </c>
      <c r="G331" s="14" t="str">
        <v>n.a.</v>
      </c>
      <c r="H331" s="14" t="str">
        <v>n.a.</v>
      </c>
      <c r="I331" s="14" t="str">
        <v>n.a.</v>
      </c>
      <c r="J331" s="14" t="str">
        <v>n.a.</v>
      </c>
      <c r="K331" s="14" t="str">
        <v>n.a.</v>
      </c>
      <c r="L331" s="14" t="str">
        <v>n.a.</v>
      </c>
      <c r="M331" s="14" t="str">
        <v>n.a.</v>
      </c>
      <c r="N331" s="14" t="str">
        <v>n.a.</v>
      </c>
      <c r="O331" s="14" t="str">
        <v>n.a.</v>
      </c>
      <c r="P331" s="14" t="str">
        <v>n.a.</v>
      </c>
      <c r="Q331" s="14" t="str">
        <v>n.a.</v>
      </c>
      <c r="R331" s="14" t="str">
        <v>n.a.</v>
      </c>
      <c r="S331" s="14" t="str">
        <v>n.a.</v>
      </c>
      <c r="T331" s="14" t="str">
        <v>n.a.</v>
      </c>
      <c r="U331" s="14" t="str">
        <v>n.a.</v>
      </c>
      <c r="V331" s="14" t="n">
        <v>1</v>
      </c>
      <c r="W331" s="14" t="n">
        <v>1</v>
      </c>
      <c r="X331" s="14" t="str">
        <v>MAESTRO/oferta_anual</v>
      </c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</row>
    <row r="332" ht="36" customHeight="1">
      <c r="A332" s="15" t="str">
        <v>I162S2C95J4V1</v>
      </c>
      <c r="B332" s="15" t="str">
        <v>DIPLOMADO EN INTELIGENCIA ARTIFICIAL</v>
      </c>
      <c r="C332" s="15" t="str">
        <v>Postítulo</v>
      </c>
      <c r="D332" s="23" t="n">
        <v>2025</v>
      </c>
      <c r="E332" s="23" t="n">
        <v>2026</v>
      </c>
      <c r="F332" s="15" t="n">
        <v>1</v>
      </c>
      <c r="G332" s="15" t="str">
        <v>n.a.</v>
      </c>
      <c r="H332" s="15" t="str">
        <v>n.a.</v>
      </c>
      <c r="I332" s="15" t="str">
        <v>n.a.</v>
      </c>
      <c r="J332" s="15" t="str">
        <v>n.a.</v>
      </c>
      <c r="K332" s="15" t="str">
        <v>n.a.</v>
      </c>
      <c r="L332" s="15" t="str">
        <v>n.a.</v>
      </c>
      <c r="M332" s="15" t="str">
        <v>n.a.</v>
      </c>
      <c r="N332" s="15" t="str">
        <v>n.a.</v>
      </c>
      <c r="O332" s="15" t="str">
        <v>n.a.</v>
      </c>
      <c r="P332" s="15" t="str">
        <v>n.a.</v>
      </c>
      <c r="Q332" s="15" t="str">
        <v>n.a.</v>
      </c>
      <c r="R332" s="15" t="str">
        <v>n.a.</v>
      </c>
      <c r="S332" s="15" t="str">
        <v>n.a.</v>
      </c>
      <c r="T332" s="15" t="str">
        <v>n.a.</v>
      </c>
      <c r="U332" s="15" t="str">
        <v>n.a.</v>
      </c>
      <c r="V332" s="15" t="n">
        <v>1</v>
      </c>
      <c r="W332" s="15" t="n">
        <v>1</v>
      </c>
      <c r="X332" s="15" t="str">
        <v>MAESTRO/oferta_anual</v>
      </c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</row>
    <row r="333" ht="36" customHeight="1">
      <c r="A333" s="14" t="str">
        <v>I162S2C96J4V1</v>
      </c>
      <c r="B333" s="14" t="str">
        <v>DIPLOMADO EN GOBERNANZA DE DATOS</v>
      </c>
      <c r="C333" s="14" t="str">
        <v>Postítulo</v>
      </c>
      <c r="D333" s="21" t="n">
        <v>2025</v>
      </c>
      <c r="E333" s="21" t="n">
        <v>2026</v>
      </c>
      <c r="F333" s="14" t="n">
        <v>1</v>
      </c>
      <c r="G333" s="14" t="str">
        <v>n.a.</v>
      </c>
      <c r="H333" s="14" t="str">
        <v>n.a.</v>
      </c>
      <c r="I333" s="14" t="str">
        <v>n.a.</v>
      </c>
      <c r="J333" s="14" t="str">
        <v>n.a.</v>
      </c>
      <c r="K333" s="14" t="str">
        <v>n.a.</v>
      </c>
      <c r="L333" s="14" t="str">
        <v>n.a.</v>
      </c>
      <c r="M333" s="14" t="str">
        <v>n.a.</v>
      </c>
      <c r="N333" s="14" t="str">
        <v>n.a.</v>
      </c>
      <c r="O333" s="14" t="str">
        <v>n.a.</v>
      </c>
      <c r="P333" s="14" t="str">
        <v>n.a.</v>
      </c>
      <c r="Q333" s="14" t="str">
        <v>n.a.</v>
      </c>
      <c r="R333" s="14" t="str">
        <v>n.a.</v>
      </c>
      <c r="S333" s="14" t="str">
        <v>n.a.</v>
      </c>
      <c r="T333" s="14" t="str">
        <v>n.a.</v>
      </c>
      <c r="U333" s="14" t="str">
        <v>n.a.</v>
      </c>
      <c r="V333" s="14" t="n">
        <v>1</v>
      </c>
      <c r="W333" s="14" t="n">
        <v>1</v>
      </c>
      <c r="X333" s="14" t="str">
        <v>MAESTRO/oferta_anual</v>
      </c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</row>
    <row r="334" ht="36" customHeight="1">
      <c r="A334" s="15" t="str">
        <v>I162S2C97J4V1</v>
      </c>
      <c r="B334" s="15" t="str">
        <v>DIPLOMADO EN SUPPLY CHAIN MANAGEMENT Y MINERIA DE REQUERIMIENTOS</v>
      </c>
      <c r="C334" s="15" t="str">
        <v>Postítulo</v>
      </c>
      <c r="D334" s="23" t="n">
        <v>2025</v>
      </c>
      <c r="E334" s="23" t="n">
        <v>2026</v>
      </c>
      <c r="F334" s="15" t="n">
        <v>1</v>
      </c>
      <c r="G334" s="15" t="str">
        <v>n.a.</v>
      </c>
      <c r="H334" s="15" t="str">
        <v>n.a.</v>
      </c>
      <c r="I334" s="15" t="str">
        <v>n.a.</v>
      </c>
      <c r="J334" s="15" t="str">
        <v>n.a.</v>
      </c>
      <c r="K334" s="15" t="str">
        <v>n.a.</v>
      </c>
      <c r="L334" s="15" t="str">
        <v>n.a.</v>
      </c>
      <c r="M334" s="15" t="str">
        <v>n.a.</v>
      </c>
      <c r="N334" s="15" t="str">
        <v>n.a.</v>
      </c>
      <c r="O334" s="15" t="str">
        <v>n.a.</v>
      </c>
      <c r="P334" s="15" t="str">
        <v>n.a.</v>
      </c>
      <c r="Q334" s="15" t="str">
        <v>n.a.</v>
      </c>
      <c r="R334" s="15" t="str">
        <v>n.a.</v>
      </c>
      <c r="S334" s="15" t="str">
        <v>n.a.</v>
      </c>
      <c r="T334" s="15" t="str">
        <v>n.a.</v>
      </c>
      <c r="U334" s="15" t="str">
        <v>n.a.</v>
      </c>
      <c r="V334" s="15" t="n">
        <v>1</v>
      </c>
      <c r="W334" s="15" t="n">
        <v>1</v>
      </c>
      <c r="X334" s="15" t="str">
        <v>MAESTRO/oferta_anual</v>
      </c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</row>
    <row r="335" ht="36" customHeight="1">
      <c r="A335" s="14" t="str">
        <v>I162S2C98J4V1</v>
      </c>
      <c r="B335" s="14" t="str">
        <v>DIPLOMADO EN HABILIDADES DIRECTIVAS PARA PROFESIONALES STEM</v>
      </c>
      <c r="C335" s="14" t="str">
        <v>Postítulo</v>
      </c>
      <c r="D335" s="21" t="n">
        <v>2025</v>
      </c>
      <c r="E335" s="21" t="n">
        <v>2026</v>
      </c>
      <c r="F335" s="14" t="n">
        <v>1</v>
      </c>
      <c r="G335" s="14" t="str">
        <v>n.a.</v>
      </c>
      <c r="H335" s="14" t="str">
        <v>n.a.</v>
      </c>
      <c r="I335" s="14" t="str">
        <v>n.a.</v>
      </c>
      <c r="J335" s="14" t="str">
        <v>n.a.</v>
      </c>
      <c r="K335" s="14" t="str">
        <v>n.a.</v>
      </c>
      <c r="L335" s="14" t="str">
        <v>n.a.</v>
      </c>
      <c r="M335" s="14" t="str">
        <v>n.a.</v>
      </c>
      <c r="N335" s="14" t="str">
        <v>n.a.</v>
      </c>
      <c r="O335" s="14" t="str">
        <v>n.a.</v>
      </c>
      <c r="P335" s="14" t="str">
        <v>n.a.</v>
      </c>
      <c r="Q335" s="14" t="str">
        <v>n.a.</v>
      </c>
      <c r="R335" s="14" t="str">
        <v>n.a.</v>
      </c>
      <c r="S335" s="14" t="str">
        <v>n.a.</v>
      </c>
      <c r="T335" s="14" t="str">
        <v>n.a.</v>
      </c>
      <c r="U335" s="14" t="str">
        <v>n.a.</v>
      </c>
      <c r="V335" s="14" t="n">
        <v>1</v>
      </c>
      <c r="W335" s="14" t="n">
        <v>1</v>
      </c>
      <c r="X335" s="14" t="str">
        <v>MAESTRO/oferta_anual</v>
      </c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</row>
    <row r="336" ht="36" customHeight="1">
      <c r="A336" s="15" t="str">
        <v>I162S2C99J4V1</v>
      </c>
      <c r="B336" s="15" t="str">
        <v>DIPLOMADO EN GESTION PUBLICA LOCAL</v>
      </c>
      <c r="C336" s="15" t="str">
        <v>Postítulo</v>
      </c>
      <c r="D336" s="23" t="n">
        <v>2025</v>
      </c>
      <c r="E336" s="23" t="n">
        <v>2026</v>
      </c>
      <c r="F336" s="15" t="n">
        <v>1</v>
      </c>
      <c r="G336" s="15" t="str">
        <v>n.a.</v>
      </c>
      <c r="H336" s="15" t="str">
        <v>n.a.</v>
      </c>
      <c r="I336" s="15" t="str">
        <v>n.a.</v>
      </c>
      <c r="J336" s="15" t="str">
        <v>n.a.</v>
      </c>
      <c r="K336" s="15" t="str">
        <v>n.a.</v>
      </c>
      <c r="L336" s="15" t="str">
        <v>n.a.</v>
      </c>
      <c r="M336" s="15" t="str">
        <v>n.a.</v>
      </c>
      <c r="N336" s="15" t="str">
        <v>n.a.</v>
      </c>
      <c r="O336" s="15" t="str">
        <v>n.a.</v>
      </c>
      <c r="P336" s="15" t="str">
        <v>n.a.</v>
      </c>
      <c r="Q336" s="15" t="str">
        <v>n.a.</v>
      </c>
      <c r="R336" s="15" t="str">
        <v>n.a.</v>
      </c>
      <c r="S336" s="15" t="str">
        <v>n.a.</v>
      </c>
      <c r="T336" s="15" t="str">
        <v>n.a.</v>
      </c>
      <c r="U336" s="15" t="str">
        <v>n.a.</v>
      </c>
      <c r="V336" s="15" t="n">
        <v>1</v>
      </c>
      <c r="W336" s="15" t="n">
        <v>1</v>
      </c>
      <c r="X336" s="15" t="str">
        <v>MAESTRO/oferta_anual</v>
      </c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</row>
    <row r="337" ht="36" customHeight="1">
      <c r="A337" s="14" t="str">
        <v>I162S3C114J2V1</v>
      </c>
      <c r="B337" s="14" t="str">
        <v>TECNICO EN ENFERMERIA E INSTRUMENTACION QUIRURGICA</v>
      </c>
      <c r="C337" s="14" t="str">
        <v>Pregrado</v>
      </c>
      <c r="D337" s="21" t="n">
        <v>2026</v>
      </c>
      <c r="E337" s="21" t="n">
        <v>2026</v>
      </c>
      <c r="F337" s="14" t="n">
        <v>1</v>
      </c>
      <c r="G337" s="14" t="str">
        <v>n.a.</v>
      </c>
      <c r="H337" s="14" t="str">
        <v>n.a.</v>
      </c>
      <c r="I337" s="14" t="str">
        <v>n.a.</v>
      </c>
      <c r="J337" s="14" t="str">
        <v>n.a.</v>
      </c>
      <c r="K337" s="14" t="str">
        <v>n.a.</v>
      </c>
      <c r="L337" s="14" t="str">
        <v>n.a.</v>
      </c>
      <c r="M337" s="14" t="str">
        <v>n.a.</v>
      </c>
      <c r="N337" s="14" t="str">
        <v>n.a.</v>
      </c>
      <c r="O337" s="14" t="str">
        <v>n.a.</v>
      </c>
      <c r="P337" s="14" t="str">
        <v>n.a.</v>
      </c>
      <c r="Q337" s="14" t="str">
        <v>n.a.</v>
      </c>
      <c r="R337" s="14" t="str">
        <v>n.a.</v>
      </c>
      <c r="S337" s="14" t="str">
        <v>n.a.</v>
      </c>
      <c r="T337" s="14" t="str">
        <v>n.a.</v>
      </c>
      <c r="U337" s="14" t="str">
        <v>n.a.</v>
      </c>
      <c r="V337" s="14" t="str">
        <v>n.a.</v>
      </c>
      <c r="W337" s="14" t="n">
        <v>1</v>
      </c>
      <c r="X337" s="14" t="str">
        <v>MAESTRO/oferta_anual</v>
      </c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</row>
    <row r="338" ht="36" customHeight="1">
      <c r="A338" s="15" t="str">
        <v>I162S3C115J2V1</v>
      </c>
      <c r="B338" s="15" t="str">
        <v>TECNICO EN FARMACIA</v>
      </c>
      <c r="C338" s="15" t="str">
        <v>Pregrado</v>
      </c>
      <c r="D338" s="23" t="n">
        <v>2026</v>
      </c>
      <c r="E338" s="23" t="n">
        <v>2026</v>
      </c>
      <c r="F338" s="15" t="n">
        <v>1</v>
      </c>
      <c r="G338" s="15" t="str">
        <v>n.a.</v>
      </c>
      <c r="H338" s="15" t="str">
        <v>n.a.</v>
      </c>
      <c r="I338" s="15" t="str">
        <v>n.a.</v>
      </c>
      <c r="J338" s="15" t="str">
        <v>n.a.</v>
      </c>
      <c r="K338" s="15" t="str">
        <v>n.a.</v>
      </c>
      <c r="L338" s="15" t="str">
        <v>n.a.</v>
      </c>
      <c r="M338" s="15" t="str">
        <v>n.a.</v>
      </c>
      <c r="N338" s="15" t="str">
        <v>n.a.</v>
      </c>
      <c r="O338" s="15" t="str">
        <v>n.a.</v>
      </c>
      <c r="P338" s="15" t="str">
        <v>n.a.</v>
      </c>
      <c r="Q338" s="15" t="str">
        <v>n.a.</v>
      </c>
      <c r="R338" s="15" t="str">
        <v>n.a.</v>
      </c>
      <c r="S338" s="15" t="str">
        <v>n.a.</v>
      </c>
      <c r="T338" s="15" t="str">
        <v>n.a.</v>
      </c>
      <c r="U338" s="15" t="str">
        <v>n.a.</v>
      </c>
      <c r="V338" s="15" t="str">
        <v>n.a.</v>
      </c>
      <c r="W338" s="15" t="n">
        <v>1</v>
      </c>
      <c r="X338" s="15" t="str">
        <v>MAESTRO/oferta_anual</v>
      </c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</row>
    <row r="339" ht="36" customHeight="1">
      <c r="A339" s="14" t="str">
        <v>I162S3C91J2V1</v>
      </c>
      <c r="B339" s="14" t="str">
        <v>TECNICO EN ENFERMERIA</v>
      </c>
      <c r="C339" s="14" t="str">
        <v>Pregrado</v>
      </c>
      <c r="D339" s="21" t="n">
        <v>2026</v>
      </c>
      <c r="E339" s="21" t="n">
        <v>2026</v>
      </c>
      <c r="F339" s="14" t="n">
        <v>1</v>
      </c>
      <c r="G339" s="14" t="str">
        <v>n.a.</v>
      </c>
      <c r="H339" s="14" t="str">
        <v>n.a.</v>
      </c>
      <c r="I339" s="14" t="str">
        <v>n.a.</v>
      </c>
      <c r="J339" s="14" t="str">
        <v>n.a.</v>
      </c>
      <c r="K339" s="14" t="str">
        <v>n.a.</v>
      </c>
      <c r="L339" s="14" t="str">
        <v>n.a.</v>
      </c>
      <c r="M339" s="14" t="str">
        <v>n.a.</v>
      </c>
      <c r="N339" s="14" t="str">
        <v>n.a.</v>
      </c>
      <c r="O339" s="14" t="str">
        <v>n.a.</v>
      </c>
      <c r="P339" s="14" t="str">
        <v>n.a.</v>
      </c>
      <c r="Q339" s="14" t="str">
        <v>n.a.</v>
      </c>
      <c r="R339" s="14" t="str">
        <v>n.a.</v>
      </c>
      <c r="S339" s="14" t="str">
        <v>n.a.</v>
      </c>
      <c r="T339" s="14" t="str">
        <v>n.a.</v>
      </c>
      <c r="U339" s="14" t="str">
        <v>n.a.</v>
      </c>
      <c r="V339" s="14" t="str">
        <v>n.a.</v>
      </c>
      <c r="W339" s="14" t="n">
        <v>1</v>
      </c>
      <c r="X339" s="14" t="str">
        <v>MAESTRO/oferta_anual</v>
      </c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</row>
  </sheetData>
  <mergeCells>
    <mergeCell ref="A2:E2"/>
    <mergeCell ref="A3:E3"/>
    <mergeCell ref="A4:E4"/>
    <mergeCell ref="A12:E12"/>
  </mergeCells>
  <printOptions headings="0" gridLines="0"/>
  <pageMargins left="0.25" right="0.25" top="0.25" bottom="0.25" header="0" footer="0"/>
  <pageSetup paperSize="8" orientation="landscape" fitToWidth="1" fitToHeight="1"/>
  <drawing ns1:id="Re4d0ec49d114447a"/>
  <tableParts count="7">
    <tablePart ns1:id="Rda4c67eaff8840df"/>
    <tablePart ns1:id="R80f288fbfec4405a"/>
    <tablePart ns1:id="Rfa0697d1b2884b8d"/>
    <tablePart ns1:id="Rb075df1513f84fea"/>
    <tablePart ns1:id="Rf9bd0807947e498d"/>
    <tablePart ns1:id="Ra32a72947bb2480a"/>
    <tablePart ns1:id="R9ad830764feb4834"/>
  </tableParts>
</worksheet>
</file>

<file path=xl/worksheets/sheet4.xml><?xml version="1.0" encoding="utf-8"?>
<worksheet xmlns="http://schemas.openxmlformats.org/spreadsheetml/2006/main" xmlns:ns1="http://schemas.openxmlformats.org/officeDocument/2006/relationships">
  <sheetPr>
    <tabColor rgb="FF102B42"/>
    <pageSetUpPr fitToPage="1"/>
  </sheetPr>
  <sheetViews>
    <sheetView showGridLines="0" workbookViewId="0">
      <pane xSplit="1" ySplit="5" topLeftCell="B6" activePane="bottomRight" state="frozen"/>
    </sheetView>
  </sheetViews>
  <sheetFormatPr defaultRowHeight="15"/>
  <cols>
    <col min="1" max="1" width="24" hidden="0" customWidth="1"/>
    <col min="2" max="2" width="25" hidden="0" customWidth="1"/>
    <col min="3" max="3" width="44" hidden="0" customWidth="1"/>
    <col min="4" max="4" width="12" hidden="0" customWidth="1"/>
    <col min="5" max="5" width="15" hidden="0" customWidth="1"/>
    <col min="6" max="6" width="15" hidden="0" customWidth="1"/>
    <col min="7" max="7" width="32" hidden="0" customWidth="1"/>
    <col min="8" max="8" width="21" hidden="0" customWidth="1"/>
    <col min="9" max="9" width="20" hidden="0" customWidth="1"/>
    <col min="10" max="10" width="32" hidden="0" customWidth="1"/>
    <col min="11" max="11" width="13" hidden="0" customWidth="1"/>
    <col min="12" max="12" width="13" hidden="0" customWidth="1"/>
    <col min="13" max="13" width="14" hidden="0" customWidth="1"/>
    <col min="14" max="14" width="47" hidden="0" customWidth="1"/>
    <col min="15" max="15" width="13" hidden="0" customWidth="1"/>
    <col min="16" max="16" width="70" hidden="0" customWidth="1"/>
    <col min="17" max="17" width="28" hidden="0" customWidth="1"/>
    <col min="18" max="18" width="4" hidden="0" customWidth="1"/>
    <col min="19" max="19" width="25" hidden="0" customWidth="1"/>
    <col min="20" max="20" width="42" hidden="0" customWidth="1"/>
    <col min="21" max="21" width="90" hidden="0" customWidth="1"/>
    <col min="22" max="22" width="13" hidden="0" customWidth="1"/>
    <col min="23" max="23" width="13" hidden="0" customWidth="1"/>
    <col min="24" max="24" width="38" hidden="0" customWidth="1"/>
  </cols>
  <sheetData>
    <row r="1" ht="2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ht="32" customHeight="1">
      <c r="A2" s="16" t="str">
        <v>IPSS · Versiones y atributos SIES</v>
      </c>
      <c r="B2" s="16"/>
      <c r="C2" s="16"/>
      <c r="D2" s="16"/>
      <c r="E2" s="16"/>
      <c r="F2" s="16"/>
      <c r="G2" s="16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ht="54" customHeight="1">
      <c r="A3" s="13" t="str">
        <v>Clasificación histórica 2007–2026: compara valores conocidos de duración, tipo, modalidad y nivel; los vacíos no prueban cambios.</v>
      </c>
      <c r="B3" s="13" t="str">
        <v>Clasificación histórica 2007–2026: compara valores conocidos de duración, tipo, modalidad y nivel; los vacíos no prueban cambios.</v>
      </c>
      <c r="C3" s="13" t="str">
        <v>Clasificación histórica 2007–2026: compara valores conocidos de duración, tipo, modalidad y nivel; los vacíos no prueban cambios.</v>
      </c>
      <c r="D3" s="13" t="str">
        <v>Clasificación histórica 2007–2026: compara valores conocidos de duración, tipo, modalidad y nivel; los vacíos no prueban cambios.</v>
      </c>
      <c r="E3" s="13" t="str">
        <v>Clasificación histórica 2007–2026: compara valores conocidos de duración, tipo, modalidad y nivel; los vacíos no prueban cambios.</v>
      </c>
      <c r="F3" s="13" t="str">
        <v>Clasificación histórica 2007–2026: compara valores conocidos de duración, tipo, modalidad y nivel; los vacíos no prueban cambios.</v>
      </c>
      <c r="G3" s="13" t="str">
        <v>Clasificación histórica 2007–2026: compara valores conocidos de duración, tipo, modalidad y nivel; los vacíos no prueban cambios.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ht="64" customHeight="1">
      <c r="A4" s="13" t="str">
        <v>A · Oferta 2027, líneas 240–248 y 2333–2337: cambiar duración, tipo, nivel o modalidad exige nueva versión. No acredita por sí solo un error de una carga histórica.</v>
      </c>
      <c r="B4" s="13" t="str">
        <v>A · Oferta 2027, líneas 240–248 y 2333–2337: cambiar duración, tipo, nivel o modalidad exige nueva versión. No acredita por sí solo un error de una carga histórica.</v>
      </c>
      <c r="C4" s="13" t="str">
        <v>A · Oferta 2027, líneas 240–248 y 2333–2337: cambiar duración, tipo, nivel o modalidad exige nueva versión. No acredita por sí solo un error de una carga histórica.</v>
      </c>
      <c r="D4" s="13" t="str">
        <v>A · Oferta 2027, líneas 240–248 y 2333–2337: cambiar duración, tipo, nivel o modalidad exige nueva versión. No acredita por sí solo un error de una carga histórica.</v>
      </c>
      <c r="E4" s="13" t="str">
        <v>A · Oferta 2027, líneas 240–248 y 2333–2337: cambiar duración, tipo, nivel o modalidad exige nueva versión. No acredita por sí solo un error de una carga histórica.</v>
      </c>
      <c r="F4" s="13" t="str">
        <v>A · Oferta 2027, líneas 240–248 y 2333–2337: cambiar duración, tipo, nivel o modalidad exige nueva versión. No acredita por sí solo un error de una carga histórica.</v>
      </c>
      <c r="G4" s="13" t="str">
        <v>A · Oferta 2027, líneas 240–248 y 2333–2337: cambiar duración, tipo, nivel o modalidad exige nueva versión. No acredita por sí solo un error de una carga histórica.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48" customHeight="1">
      <c r="A5" s="9" t="str">
        <v>Clasificación histórica</v>
      </c>
      <c r="B5" s="9" t="str">
        <v>Familias</v>
      </c>
      <c r="C5" s="9" t="str">
        <v>Versión final por código: familias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ht="36" customHeight="1">
      <c r="A6" s="14" t="str">
        <v>VERSIONES_POR_DURACION_O_TIPO</v>
      </c>
      <c r="B6" s="14" t="n">
        <v>17</v>
      </c>
      <c r="C6" s="14" t="n">
        <v>11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ht="36" customHeight="1">
      <c r="A7" s="15" t="str">
        <v>VERSIONES_ATRIBUTOS_IDENTICOS</v>
      </c>
      <c r="B7" s="15" t="n">
        <v>4</v>
      </c>
      <c r="C7" s="15" t="n">
        <v>10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ht="2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2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ht="45" customHeight="1">
      <c r="A10" s="13" t="str">
        <v>Detalle A12: duración y atributos de la última matrícula de cada código; historia de cambios en P. Cambios por código desde S12.</v>
      </c>
      <c r="B10" s="13" t="str">
        <v>Detalle A12: duración y atributos de la última matrícula de cada código; historia de cambios en P. Cambios por código desde S12.</v>
      </c>
      <c r="C10" s="13" t="str">
        <v>Detalle A12: duración y atributos de la última matrícula de cada código; historia de cambios en P. Cambios por código desde S12.</v>
      </c>
      <c r="D10" s="13" t="str">
        <v>Detalle A12: duración y atributos de la última matrícula de cada código; historia de cambios en P. Cambios por código desde S12.</v>
      </c>
      <c r="E10" s="13" t="str">
        <v>Detalle A12: duración y atributos de la última matrícula de cada código; historia de cambios en P. Cambios por código desde S12.</v>
      </c>
      <c r="F10" s="13" t="str">
        <v>Detalle A12: duración y atributos de la última matrícula de cada código; historia de cambios en P. Cambios por código desde S12.</v>
      </c>
      <c r="G10" s="13" t="str">
        <v>Detalle A12: duración y atributos de la última matrícula de cada código; historia de cambios en P. Cambios por código desde S12.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ht="25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ht="48" customHeight="1">
      <c r="A12" s="9" t="str">
        <v>Familia SIES</v>
      </c>
      <c r="B12" s="9" t="str">
        <v>Código SIES</v>
      </c>
      <c r="C12" s="9" t="str">
        <v>Carrera</v>
      </c>
      <c r="D12" s="9" t="str">
        <v>Versión</v>
      </c>
      <c r="E12" s="9" t="str">
        <v>Estudios (sem.)</v>
      </c>
      <c r="F12" s="9" t="str">
        <v>Total (sem.)</v>
      </c>
      <c r="G12" s="9" t="str">
        <v>Tipo de plan</v>
      </c>
      <c r="H12" s="9" t="str">
        <v>Modalidad</v>
      </c>
      <c r="I12" s="9" t="str">
        <v>Nivel global</v>
      </c>
      <c r="J12" s="9" t="str">
        <v>Nivel específico</v>
      </c>
      <c r="K12" s="9" t="str">
        <v>Primer año</v>
      </c>
      <c r="L12" s="9" t="str">
        <v>Último año</v>
      </c>
      <c r="M12" s="9" t="str">
        <v>Vigencia 2027</v>
      </c>
      <c r="N12" s="9" t="str">
        <v>Clase familia histórica</v>
      </c>
      <c r="O12" s="9" t="str">
        <v>Año atributos</v>
      </c>
      <c r="P12" s="9" t="str">
        <v>Cambios observados en el código</v>
      </c>
      <c r="Q12" s="9" t="str">
        <v>Fuente</v>
      </c>
      <c r="R12" s="15"/>
      <c r="S12" s="9" t="str">
        <v>Código con cambio</v>
      </c>
      <c r="T12" s="9" t="str">
        <v>Atributos</v>
      </c>
      <c r="U12" s="9" t="str">
        <v>Valores y años publicados</v>
      </c>
      <c r="V12" s="9" t="str">
        <v>Primer año</v>
      </c>
      <c r="W12" s="9" t="str">
        <v>Último año</v>
      </c>
      <c r="X12" s="9" t="str">
        <v>Clase / límite</v>
      </c>
    </row>
    <row r="13" ht="36" customHeight="1">
      <c r="A13" s="14" t="str">
        <v>I162S2C1J1</v>
      </c>
      <c r="B13" s="14" t="str">
        <v>I162S2C1J1V1</v>
      </c>
      <c r="C13" s="14" t="str">
        <v>INGENIERIA EN INFORMATICA</v>
      </c>
      <c r="D13" s="14" t="str">
        <v>1</v>
      </c>
      <c r="E13" s="14" t="n">
        <v>8</v>
      </c>
      <c r="F13" s="14" t="n">
        <v>8</v>
      </c>
      <c r="G13" s="14" t="str">
        <v>Plan Regular</v>
      </c>
      <c r="H13" s="14" t="str">
        <v>Presencial</v>
      </c>
      <c r="I13" s="14" t="str">
        <v>Pregrado</v>
      </c>
      <c r="J13" s="14" t="str">
        <v>Profesional Sin Licenciatura</v>
      </c>
      <c r="K13" s="21" t="n">
        <v>2008</v>
      </c>
      <c r="L13" s="21" t="n">
        <v>2026</v>
      </c>
      <c r="M13" s="14" t="str">
        <v>2</v>
      </c>
      <c r="N13" s="14" t="str">
        <v>VERSIONES_POR_DURACION_O_TIPO</v>
      </c>
      <c r="O13" s="21" t="n">
        <v>2026</v>
      </c>
      <c r="P13" s="14" t="str">
        <v>Duración de estudios: 7 (2008) / 8 (2009,2010,2011,2012,2013,2014,2015,2016,2017,2018,2019,2020,2021,2025,2026)</v>
      </c>
      <c r="Q13" s="14" t="str">
        <v>PUBLICA; H002</v>
      </c>
      <c r="R13" s="15"/>
      <c r="S13" s="14" t="str">
        <v>I162S2C1J1V1</v>
      </c>
      <c r="T13" s="14" t="str">
        <v>Duración de estudios</v>
      </c>
      <c r="U13" s="14" t="str">
        <v>Duración de estudios: 7 (2008) / 8 (2009,2010,2011,2012,2013,2014,2015,2016,2017,2018,2019,2020,2021,2025,2026)</v>
      </c>
      <c r="V13" s="21" t="n">
        <v>2008</v>
      </c>
      <c r="W13" s="21" t="n">
        <v>2026</v>
      </c>
      <c r="X13" s="14" t="str">
        <v>B cambio; E causa histórica</v>
      </c>
    </row>
    <row r="14" ht="36" customHeight="1">
      <c r="A14" s="15" t="str">
        <v>I162S2C1J1</v>
      </c>
      <c r="B14" s="15" t="str">
        <v>I162S2C1J1V2</v>
      </c>
      <c r="C14" s="15" t="str">
        <v>INGENIERIA EN INFORMATICA</v>
      </c>
      <c r="D14" s="15" t="str">
        <v>2</v>
      </c>
      <c r="E14" s="15" t="n">
        <v>8</v>
      </c>
      <c r="F14" s="15" t="n">
        <v>8</v>
      </c>
      <c r="G14" s="15" t="str">
        <v>Plan Regular</v>
      </c>
      <c r="H14" s="15" t="str">
        <v>Presencial</v>
      </c>
      <c r="I14" s="15" t="str">
        <v>Pregrado</v>
      </c>
      <c r="J14" s="15" t="str">
        <v>Profesional Sin Licenciatura</v>
      </c>
      <c r="K14" s="23" t="n">
        <v>2019</v>
      </c>
      <c r="L14" s="23" t="n">
        <v>2026</v>
      </c>
      <c r="M14" s="15" t="str">
        <v>2</v>
      </c>
      <c r="N14" s="15" t="str">
        <v>VERSIONES_POR_DURACION_O_TIPO</v>
      </c>
      <c r="O14" s="23" t="n">
        <v>2026</v>
      </c>
      <c r="P14" s="15" t="str">
        <v>Sin cambios observados en campos conocidos</v>
      </c>
      <c r="Q14" s="15" t="str">
        <v>PUBLICA; H002</v>
      </c>
      <c r="R14" s="15"/>
      <c r="S14" s="15" t="str">
        <v>I162S2C1J2V1</v>
      </c>
      <c r="T14" s="15" t="str">
        <v>Duración de estudios</v>
      </c>
      <c r="U14" s="15" t="str">
        <v>Duración de estudios: 8 (2007,2009,2010,2011,2012,2013,2014,2015,2016,2017,2018,2019,2020,2021,2025) / 7 (2008)</v>
      </c>
      <c r="V14" s="23" t="n">
        <v>2007</v>
      </c>
      <c r="W14" s="23" t="n">
        <v>2025</v>
      </c>
      <c r="X14" s="15" t="str">
        <v>B cambio; E causa histórica</v>
      </c>
    </row>
    <row r="15" ht="36" customHeight="1">
      <c r="A15" s="14" t="str">
        <v>I162S2C1J2</v>
      </c>
      <c r="B15" s="14" t="str">
        <v>I162S2C1J2V1</v>
      </c>
      <c r="C15" s="14" t="str">
        <v>INGENIERIA EN INFORMATICA</v>
      </c>
      <c r="D15" s="14" t="str">
        <v>1</v>
      </c>
      <c r="E15" s="14" t="n">
        <v>8</v>
      </c>
      <c r="F15" s="14" t="n">
        <v>8</v>
      </c>
      <c r="G15" s="14" t="str">
        <v>Plan Regular</v>
      </c>
      <c r="H15" s="14" t="str">
        <v>Presencial</v>
      </c>
      <c r="I15" s="14" t="str">
        <v>Pregrado</v>
      </c>
      <c r="J15" s="14" t="str">
        <v>Profesional Sin Licenciatura</v>
      </c>
      <c r="K15" s="21" t="n">
        <v>2007</v>
      </c>
      <c r="L15" s="21" t="n">
        <v>2025</v>
      </c>
      <c r="M15" s="14" t="str">
        <v>2</v>
      </c>
      <c r="N15" s="14" t="str">
        <v>VERSIONES_POR_DURACION_O_TIPO</v>
      </c>
      <c r="O15" s="21" t="n">
        <v>2025</v>
      </c>
      <c r="P15" s="14" t="str">
        <v>Duración de estudios: 8 (2007,2009,2010,2011,2012,2013,2014,2015,2016,2017,2018,2019,2020,2021,2025) / 7 (2008)</v>
      </c>
      <c r="Q15" s="14" t="str">
        <v>PUBLICA; H002</v>
      </c>
      <c r="R15" s="15"/>
      <c r="S15" s="14" t="str">
        <v>I162S2C2J1V1</v>
      </c>
      <c r="T15" s="14" t="str">
        <v>Duración de estudios</v>
      </c>
      <c r="U15" s="14" t="str">
        <v>Duración de estudios: 4 (2008,2009,2010) / 5 (2011,2012,2013,2014,2015,2016,2017,2018,2019,2020,2021)</v>
      </c>
      <c r="V15" s="21" t="n">
        <v>2008</v>
      </c>
      <c r="W15" s="21" t="n">
        <v>2021</v>
      </c>
      <c r="X15" s="14" t="str">
        <v>B cambio; E causa histórica</v>
      </c>
    </row>
    <row r="16" ht="36" customHeight="1">
      <c r="A16" s="15" t="str">
        <v>I162S2C1J2</v>
      </c>
      <c r="B16" s="15" t="str">
        <v>I162S2C1J2V2</v>
      </c>
      <c r="C16" s="15" t="str">
        <v>INGENIERIA EN INFORMATICA</v>
      </c>
      <c r="D16" s="15" t="str">
        <v>2</v>
      </c>
      <c r="E16" s="15" t="n">
        <v>5</v>
      </c>
      <c r="F16" s="15" t="n">
        <v>5</v>
      </c>
      <c r="G16" s="15" t="str">
        <v>Plan Regular de Continuidad</v>
      </c>
      <c r="H16" s="15" t="str">
        <v>Presencial</v>
      </c>
      <c r="I16" s="15" t="str">
        <v>Pregrado</v>
      </c>
      <c r="J16" s="15" t="str">
        <v>Profesional Sin Licenciatura</v>
      </c>
      <c r="K16" s="23" t="n">
        <v>2016</v>
      </c>
      <c r="L16" s="23" t="n">
        <v>2021</v>
      </c>
      <c r="M16" s="15" t="str">
        <v>2</v>
      </c>
      <c r="N16" s="15" t="str">
        <v>VERSIONES_POR_DURACION_O_TIPO</v>
      </c>
      <c r="O16" s="23" t="n">
        <v>2021</v>
      </c>
      <c r="P16" s="15" t="str">
        <v>Sin cambios observados en campos conocidos</v>
      </c>
      <c r="Q16" s="15" t="str">
        <v>PUBLICA; H002</v>
      </c>
      <c r="R16" s="15"/>
      <c r="S16" s="15" t="str">
        <v>I162S2C2J2V1</v>
      </c>
      <c r="T16" s="15" t="str">
        <v>Duración de estudios</v>
      </c>
      <c r="U16" s="15" t="str">
        <v>Duración de estudios: 4 (2007,2008,2009,2010) / 5 (2011,2012,2013,2014,2015,2016,2017,2018,2019,2020,2021)</v>
      </c>
      <c r="V16" s="23" t="n">
        <v>2007</v>
      </c>
      <c r="W16" s="23" t="n">
        <v>2021</v>
      </c>
      <c r="X16" s="15" t="str">
        <v>B cambio; E causa histórica</v>
      </c>
    </row>
    <row r="17" ht="36" customHeight="1">
      <c r="A17" s="14" t="str">
        <v>I162S2C1J2</v>
      </c>
      <c r="B17" s="14" t="str">
        <v>I162S2C1J2V3</v>
      </c>
      <c r="C17" s="14" t="str">
        <v>INGENIERIA EN INFORMATICA</v>
      </c>
      <c r="D17" s="14" t="str">
        <v>3</v>
      </c>
      <c r="E17" s="14" t="n">
        <v>4</v>
      </c>
      <c r="F17" s="14" t="n">
        <v>4</v>
      </c>
      <c r="G17" s="14" t="str">
        <v>Plan Regular de Continuidad</v>
      </c>
      <c r="H17" s="14" t="str">
        <v>Presencial</v>
      </c>
      <c r="I17" s="14" t="str">
        <v>Pregrado</v>
      </c>
      <c r="J17" s="14" t="str">
        <v>Profesional Sin Licenciatura</v>
      </c>
      <c r="K17" s="21" t="n">
        <v>2018</v>
      </c>
      <c r="L17" s="21" t="n">
        <v>2021</v>
      </c>
      <c r="M17" s="14" t="str">
        <v>2</v>
      </c>
      <c r="N17" s="14" t="str">
        <v>VERSIONES_POR_DURACION_O_TIPO</v>
      </c>
      <c r="O17" s="21" t="n">
        <v>2021</v>
      </c>
      <c r="P17" s="14" t="str">
        <v>Sin cambios observados en campos conocidos</v>
      </c>
      <c r="Q17" s="14" t="str">
        <v>PUBLICA; H002</v>
      </c>
      <c r="R17" s="15"/>
      <c r="S17" s="14" t="str">
        <v>I162S2C35J4V1</v>
      </c>
      <c r="T17" s="14" t="str">
        <v>Duración de estudios, Duración total</v>
      </c>
      <c r="U17" s="14" t="str">
        <v>Duración de estudios: 5 (2017,2018) / 6 (2019,2020,2021); Duración total: 5 (2017,2018) / 6 (2019,2020,2021)</v>
      </c>
      <c r="V17" s="21" t="n">
        <v>2017</v>
      </c>
      <c r="W17" s="21" t="n">
        <v>2021</v>
      </c>
      <c r="X17" s="14" t="str">
        <v>B cambio; E causa histórica</v>
      </c>
    </row>
    <row r="18" ht="36" customHeight="1">
      <c r="A18" s="15" t="str">
        <v>I162S2C1J2</v>
      </c>
      <c r="B18" s="15" t="str">
        <v>I162S2C1J2V4</v>
      </c>
      <c r="C18" s="15" t="str">
        <v>INGENIERIA EN INFORMATICA</v>
      </c>
      <c r="D18" s="15" t="str">
        <v>4</v>
      </c>
      <c r="E18" s="15" t="n">
        <v>8</v>
      </c>
      <c r="F18" s="15" t="n">
        <v>8</v>
      </c>
      <c r="G18" s="15" t="str">
        <v>Plan Regular</v>
      </c>
      <c r="H18" s="15" t="str">
        <v>Presencial</v>
      </c>
      <c r="I18" s="15" t="str">
        <v>Pregrado</v>
      </c>
      <c r="J18" s="15" t="str">
        <v>Profesional Sin Licenciatura</v>
      </c>
      <c r="K18" s="23" t="n">
        <v>2019</v>
      </c>
      <c r="L18" s="23" t="n">
        <v>2026</v>
      </c>
      <c r="M18" s="15" t="str">
        <v>2</v>
      </c>
      <c r="N18" s="15" t="str">
        <v>VERSIONES_POR_DURACION_O_TIPO</v>
      </c>
      <c r="O18" s="23" t="n">
        <v>2026</v>
      </c>
      <c r="P18" s="15" t="str">
        <v>Sin cambios observados en campos conocidos</v>
      </c>
      <c r="Q18" s="15" t="str">
        <v>PUBLICA; H002</v>
      </c>
      <c r="R18" s="15"/>
      <c r="S18" s="15" t="str">
        <v>I162S2C3J1V1</v>
      </c>
      <c r="T18" s="15" t="str">
        <v>Duración de estudios</v>
      </c>
      <c r="U18" s="15" t="str">
        <v>Duración de estudios: 7 (2008) / 8 (2009,2010,2011,2012,2013,2014,2015,2016,2017,2018,2019,2020)</v>
      </c>
      <c r="V18" s="23" t="n">
        <v>2008</v>
      </c>
      <c r="W18" s="23" t="n">
        <v>2020</v>
      </c>
      <c r="X18" s="15" t="str">
        <v>B cambio; E causa histórica</v>
      </c>
    </row>
    <row r="19" ht="36" customHeight="1">
      <c r="A19" s="14" t="str">
        <v>I162S2C1J4</v>
      </c>
      <c r="B19" s="14" t="str">
        <v>I162S2C1J4V1</v>
      </c>
      <c r="C19" s="14" t="str">
        <v>INGENIERIA EN INFORMATICA</v>
      </c>
      <c r="D19" s="14" t="str">
        <v>1</v>
      </c>
      <c r="E19" s="14" t="n">
        <v>8</v>
      </c>
      <c r="F19" s="14" t="n">
        <v>8</v>
      </c>
      <c r="G19" s="14" t="str">
        <v>Plan Regular</v>
      </c>
      <c r="H19" s="14" t="str">
        <v>No Presencial</v>
      </c>
      <c r="I19" s="14" t="str">
        <v>Pregrado</v>
      </c>
      <c r="J19" s="14" t="str">
        <v>Profesional Sin Licenciatura</v>
      </c>
      <c r="K19" s="21" t="n">
        <v>2018</v>
      </c>
      <c r="L19" s="21" t="n">
        <v>2023</v>
      </c>
      <c r="M19" s="14" t="str">
        <v>n.a.</v>
      </c>
      <c r="N19" s="14" t="str">
        <v>VERSIONES_POR_DURACION_O_TIPO</v>
      </c>
      <c r="O19" s="21" t="n">
        <v>2023</v>
      </c>
      <c r="P19" s="14" t="str">
        <v>Sin cambios observados en campos conocidos</v>
      </c>
      <c r="Q19" s="14" t="str">
        <v>PUBLICA; H002</v>
      </c>
      <c r="R19" s="15"/>
      <c r="S19" s="14" t="str">
        <v>I162S2C3J2V1</v>
      </c>
      <c r="T19" s="14" t="str">
        <v>Duración de estudios</v>
      </c>
      <c r="U19" s="14" t="str">
        <v>Duración de estudios: 8 (2007,2009,2010,2011,2012,2013,2014,2015,2016,2017,2018,2019,2020,2021,2023,2025) / 7 (2008)</v>
      </c>
      <c r="V19" s="21" t="n">
        <v>2007</v>
      </c>
      <c r="W19" s="21" t="n">
        <v>2025</v>
      </c>
      <c r="X19" s="14" t="str">
        <v>B cambio; E causa histórica</v>
      </c>
    </row>
    <row r="20" ht="36" customHeight="1">
      <c r="A20" s="15" t="str">
        <v>I162S2C1J4</v>
      </c>
      <c r="B20" s="15" t="str">
        <v>I162S2C1J4V2</v>
      </c>
      <c r="C20" s="15" t="str">
        <v>INGENIERIA EN INFORMATICA</v>
      </c>
      <c r="D20" s="15" t="str">
        <v>2</v>
      </c>
      <c r="E20" s="15" t="n">
        <v>8</v>
      </c>
      <c r="F20" s="15" t="n">
        <v>8</v>
      </c>
      <c r="G20" s="15" t="str">
        <v>Plan Regular</v>
      </c>
      <c r="H20" s="15" t="str">
        <v>No Presencial</v>
      </c>
      <c r="I20" s="15" t="str">
        <v>Pregrado</v>
      </c>
      <c r="J20" s="15" t="str">
        <v>Profesional Sin Licenciatura</v>
      </c>
      <c r="K20" s="23" t="n">
        <v>2019</v>
      </c>
      <c r="L20" s="23" t="n">
        <v>2026</v>
      </c>
      <c r="M20" s="15" t="str">
        <v>1</v>
      </c>
      <c r="N20" s="15" t="str">
        <v>VERSIONES_POR_DURACION_O_TIPO</v>
      </c>
      <c r="O20" s="23" t="n">
        <v>2026</v>
      </c>
      <c r="P20" s="15" t="str">
        <v>Sin cambios observados en campos conocidos</v>
      </c>
      <c r="Q20" s="15" t="str">
        <v>PUBLICA; H002</v>
      </c>
      <c r="R20" s="15"/>
      <c r="S20" s="15" t="str">
        <v>I162S2C6J1V1</v>
      </c>
      <c r="T20" s="15" t="str">
        <v>Duración de estudios</v>
      </c>
      <c r="U20" s="15" t="str">
        <v>Duración de estudios: 4 (2009,2010) / 5 (2011,2012,2013,2014,2015,2016,2017,2018,2019,2020,2021,2022)</v>
      </c>
      <c r="V20" s="23" t="n">
        <v>2009</v>
      </c>
      <c r="W20" s="23" t="n">
        <v>2022</v>
      </c>
      <c r="X20" s="15" t="str">
        <v>B cambio; E causa histórica</v>
      </c>
    </row>
    <row r="21" ht="36" customHeight="1">
      <c r="A21" s="14" t="str">
        <v>I162S2C1J4</v>
      </c>
      <c r="B21" s="14" t="str">
        <v>I162S2C1J4V3</v>
      </c>
      <c r="C21" s="14" t="str">
        <v>INGENIERIA EN INFORMATICA</v>
      </c>
      <c r="D21" s="14" t="str">
        <v>3</v>
      </c>
      <c r="E21" s="14" t="n">
        <v>4</v>
      </c>
      <c r="F21" s="14" t="n">
        <v>4</v>
      </c>
      <c r="G21" s="14" t="str">
        <v>Plan Regular de Continuidad</v>
      </c>
      <c r="H21" s="14" t="str">
        <v>No Presencial</v>
      </c>
      <c r="I21" s="14" t="str">
        <v>Pregrado</v>
      </c>
      <c r="J21" s="14" t="str">
        <v>Profesional Sin Licenciatura</v>
      </c>
      <c r="K21" s="21" t="n">
        <v>2019</v>
      </c>
      <c r="L21" s="21" t="n">
        <v>2026</v>
      </c>
      <c r="M21" s="14" t="str">
        <v>1</v>
      </c>
      <c r="N21" s="14" t="str">
        <v>VERSIONES_POR_DURACION_O_TIPO</v>
      </c>
      <c r="O21" s="21" t="n">
        <v>2026</v>
      </c>
      <c r="P21" s="14" t="str">
        <v>Sin cambios observados en campos conocidos</v>
      </c>
      <c r="Q21" s="14" t="str">
        <v>PUBLICA; H002</v>
      </c>
      <c r="R21" s="15"/>
      <c r="S21" s="14" t="str">
        <v>I162S2C6J2V1</v>
      </c>
      <c r="T21" s="14" t="str">
        <v>Duración de estudios</v>
      </c>
      <c r="U21" s="14" t="str">
        <v>Duración de estudios: 4 (2007,2009,2010) / 5 (2011,2012,2013,2014,2015,2016,2017,2018,2019,2020,2021,2022,2023,2025)</v>
      </c>
      <c r="V21" s="21" t="n">
        <v>2007</v>
      </c>
      <c r="W21" s="21" t="n">
        <v>2025</v>
      </c>
      <c r="X21" s="14" t="str">
        <v>B cambio; E causa histórica</v>
      </c>
    </row>
    <row r="22" ht="36" customHeight="1">
      <c r="A22" s="15" t="str">
        <v>I162S2C22J2</v>
      </c>
      <c r="B22" s="15" t="str">
        <v>I162S2C22J2V1</v>
      </c>
      <c r="C22" s="15" t="str">
        <v>INGENIERIA EN AUTOMATIZACION Y CONTROL INDUSTRIAL</v>
      </c>
      <c r="D22" s="15" t="str">
        <v>1</v>
      </c>
      <c r="E22" s="15" t="n">
        <v>8</v>
      </c>
      <c r="F22" s="15" t="n">
        <v>8</v>
      </c>
      <c r="G22" s="15" t="str">
        <v>Plan Regular</v>
      </c>
      <c r="H22" s="15" t="str">
        <v>Presencial</v>
      </c>
      <c r="I22" s="15" t="str">
        <v>Pregrado</v>
      </c>
      <c r="J22" s="15" t="str">
        <v>Profesional Sin Licenciatura</v>
      </c>
      <c r="K22" s="23" t="n">
        <v>2014</v>
      </c>
      <c r="L22" s="23" t="n">
        <v>2022</v>
      </c>
      <c r="M22" s="15" t="str">
        <v>2</v>
      </c>
      <c r="N22" s="15" t="str">
        <v>VERSIONES_POR_DURACION_O_TIPO</v>
      </c>
      <c r="O22" s="23" t="n">
        <v>2022</v>
      </c>
      <c r="P22" s="15" t="str">
        <v>Sin cambios observados en campos conocidos</v>
      </c>
      <c r="Q22" s="15" t="str">
        <v>PUBLICA; H002</v>
      </c>
      <c r="R22" s="15"/>
      <c r="S22" s="15"/>
      <c r="T22" s="15"/>
      <c r="U22" s="15"/>
      <c r="V22" s="15"/>
      <c r="W22" s="15"/>
      <c r="X22" s="15"/>
    </row>
    <row r="23" ht="36" customHeight="1">
      <c r="A23" s="14" t="str">
        <v>I162S2C22J2</v>
      </c>
      <c r="B23" s="14" t="str">
        <v>I162S2C22J2V2</v>
      </c>
      <c r="C23" s="14" t="str">
        <v>INGENIERIA EN AUTOMATIZACION Y CONTROL INDUSTRIAL</v>
      </c>
      <c r="D23" s="14" t="str">
        <v>2</v>
      </c>
      <c r="E23" s="14" t="n">
        <v>4</v>
      </c>
      <c r="F23" s="14" t="n">
        <v>4</v>
      </c>
      <c r="G23" s="14" t="str">
        <v>Plan Regular de Continuidad</v>
      </c>
      <c r="H23" s="14" t="str">
        <v>Presencial</v>
      </c>
      <c r="I23" s="14" t="str">
        <v>Pregrado</v>
      </c>
      <c r="J23" s="14" t="str">
        <v>Profesional Sin Licenciatura</v>
      </c>
      <c r="K23" s="21" t="n">
        <v>2018</v>
      </c>
      <c r="L23" s="21" t="n">
        <v>2021</v>
      </c>
      <c r="M23" s="14" t="str">
        <v>2</v>
      </c>
      <c r="N23" s="14" t="str">
        <v>VERSIONES_POR_DURACION_O_TIPO</v>
      </c>
      <c r="O23" s="21" t="n">
        <v>2021</v>
      </c>
      <c r="P23" s="14" t="str">
        <v>Sin cambios observados en campos conocidos</v>
      </c>
      <c r="Q23" s="14" t="str">
        <v>PUBLICA; H002</v>
      </c>
      <c r="R23" s="15"/>
      <c r="S23" s="15"/>
      <c r="T23" s="15"/>
      <c r="U23" s="15"/>
      <c r="V23" s="15"/>
      <c r="W23" s="15"/>
      <c r="X23" s="15"/>
    </row>
    <row r="24" ht="36" customHeight="1">
      <c r="A24" s="15" t="str">
        <v>I162S2C2J1</v>
      </c>
      <c r="B24" s="15" t="str">
        <v>I162S2C2J1V1</v>
      </c>
      <c r="C24" s="15" t="str">
        <v>TECNICO EN PROGRAMACION COMPUTACIONAL</v>
      </c>
      <c r="D24" s="15" t="str">
        <v>1</v>
      </c>
      <c r="E24" s="15" t="n">
        <v>5</v>
      </c>
      <c r="F24" s="15" t="n">
        <v>5</v>
      </c>
      <c r="G24" s="15" t="str">
        <v>Plan Regular</v>
      </c>
      <c r="H24" s="15" t="str">
        <v>Presencial</v>
      </c>
      <c r="I24" s="15" t="str">
        <v>Pregrado</v>
      </c>
      <c r="J24" s="15" t="str">
        <v>Técnico de Nivel Superior</v>
      </c>
      <c r="K24" s="23" t="n">
        <v>2008</v>
      </c>
      <c r="L24" s="23" t="n">
        <v>2021</v>
      </c>
      <c r="M24" s="15" t="str">
        <v>2</v>
      </c>
      <c r="N24" s="15" t="str">
        <v>VERSIONES_POR_DURACION_O_TIPO</v>
      </c>
      <c r="O24" s="23" t="n">
        <v>2021</v>
      </c>
      <c r="P24" s="15" t="str">
        <v>Duración de estudios: 4 (2008,2009,2010) / 5 (2011,2012,2013,2014,2015,2016,2017,2018,2019,2020,2021)</v>
      </c>
      <c r="Q24" s="15" t="str">
        <v>PUBLICA; H002</v>
      </c>
      <c r="R24" s="15"/>
      <c r="S24" s="15"/>
      <c r="T24" s="15"/>
      <c r="U24" s="15"/>
      <c r="V24" s="15"/>
      <c r="W24" s="15"/>
      <c r="X24" s="15"/>
    </row>
    <row r="25" ht="27" customHeight="1">
      <c r="A25" s="14" t="str">
        <v>I162S2C2J1</v>
      </c>
      <c r="B25" s="14" t="str">
        <v>I162S2C2J1V2</v>
      </c>
      <c r="C25" s="14" t="str">
        <v>TECNICO EN PROGRAMACION COMPUTACIONAL</v>
      </c>
      <c r="D25" s="14" t="str">
        <v>2</v>
      </c>
      <c r="E25" s="14" t="n">
        <v>5</v>
      </c>
      <c r="F25" s="14" t="n">
        <v>5</v>
      </c>
      <c r="G25" s="14" t="str">
        <v>Plan Regular</v>
      </c>
      <c r="H25" s="14" t="str">
        <v>Presencial</v>
      </c>
      <c r="I25" s="14" t="str">
        <v>Pregrado</v>
      </c>
      <c r="J25" s="14" t="str">
        <v>Técnico de Nivel Superior</v>
      </c>
      <c r="K25" s="21" t="n">
        <v>2019</v>
      </c>
      <c r="L25" s="21" t="n">
        <v>2022</v>
      </c>
      <c r="M25" s="14" t="str">
        <v>2</v>
      </c>
      <c r="N25" s="14" t="str">
        <v>VERSIONES_POR_DURACION_O_TIPO</v>
      </c>
      <c r="O25" s="21" t="n">
        <v>2022</v>
      </c>
      <c r="P25" s="14" t="str">
        <v>Sin cambios observados en campos conocidos</v>
      </c>
      <c r="Q25" s="14" t="str">
        <v>PUBLICA; H002</v>
      </c>
      <c r="R25" s="15"/>
      <c r="S25" s="15"/>
      <c r="T25" s="15"/>
      <c r="U25" s="15"/>
      <c r="V25" s="15"/>
      <c r="W25" s="15"/>
      <c r="X25" s="15"/>
    </row>
    <row r="26" ht="36" customHeight="1">
      <c r="A26" s="15" t="str">
        <v>I162S2C2J2</v>
      </c>
      <c r="B26" s="15" t="str">
        <v>I162S2C2J2V1</v>
      </c>
      <c r="C26" s="15" t="str">
        <v>TECNICO EN PROGRAMACION COMPUTACIONAL</v>
      </c>
      <c r="D26" s="15" t="str">
        <v>1</v>
      </c>
      <c r="E26" s="15" t="n">
        <v>5</v>
      </c>
      <c r="F26" s="15" t="n">
        <v>5</v>
      </c>
      <c r="G26" s="15" t="str">
        <v>Plan Regular</v>
      </c>
      <c r="H26" s="15" t="str">
        <v>Presencial</v>
      </c>
      <c r="I26" s="15" t="str">
        <v>Pregrado</v>
      </c>
      <c r="J26" s="15" t="str">
        <v>Técnico de Nivel Superior</v>
      </c>
      <c r="K26" s="23" t="n">
        <v>2007</v>
      </c>
      <c r="L26" s="23" t="n">
        <v>2021</v>
      </c>
      <c r="M26" s="15" t="str">
        <v>2</v>
      </c>
      <c r="N26" s="15" t="str">
        <v>VERSIONES_POR_DURACION_O_TIPO</v>
      </c>
      <c r="O26" s="23" t="n">
        <v>2021</v>
      </c>
      <c r="P26" s="15" t="str">
        <v>Duración de estudios: 4 (2007,2008,2009,2010) / 5 (2011,2012,2013,2014,2015,2016,2017,2018,2019,2020,2021)</v>
      </c>
      <c r="Q26" s="15" t="str">
        <v>PUBLICA; H002</v>
      </c>
      <c r="R26" s="15"/>
      <c r="S26" s="15"/>
      <c r="T26" s="15"/>
      <c r="U26" s="15"/>
      <c r="V26" s="15"/>
      <c r="W26" s="15"/>
      <c r="X26" s="15"/>
    </row>
    <row r="27" ht="27" customHeight="1">
      <c r="A27" s="14" t="str">
        <v>I162S2C2J2</v>
      </c>
      <c r="B27" s="14" t="str">
        <v>I162S2C2J2V2</v>
      </c>
      <c r="C27" s="14" t="str">
        <v>TECNICO EN PROGRAMACION COMPUTACIONAL</v>
      </c>
      <c r="D27" s="14" t="str">
        <v>2</v>
      </c>
      <c r="E27" s="14" t="n">
        <v>5</v>
      </c>
      <c r="F27" s="14" t="n">
        <v>5</v>
      </c>
      <c r="G27" s="14" t="str">
        <v>Plan Regular</v>
      </c>
      <c r="H27" s="14" t="str">
        <v>Presencial</v>
      </c>
      <c r="I27" s="14" t="str">
        <v>Pregrado</v>
      </c>
      <c r="J27" s="14" t="str">
        <v>Técnico de Nivel Superior</v>
      </c>
      <c r="K27" s="21" t="n">
        <v>2019</v>
      </c>
      <c r="L27" s="21" t="n">
        <v>2021</v>
      </c>
      <c r="M27" s="14" t="str">
        <v>2</v>
      </c>
      <c r="N27" s="14" t="str">
        <v>VERSIONES_POR_DURACION_O_TIPO</v>
      </c>
      <c r="O27" s="21" t="n">
        <v>2021</v>
      </c>
      <c r="P27" s="14" t="str">
        <v>Sin cambios observados en campos conocidos</v>
      </c>
      <c r="Q27" s="14" t="str">
        <v>PUBLICA; H002</v>
      </c>
      <c r="R27" s="15"/>
      <c r="S27" s="15"/>
      <c r="T27" s="15"/>
      <c r="U27" s="15"/>
      <c r="V27" s="15"/>
      <c r="W27" s="15"/>
      <c r="X27" s="15"/>
    </row>
    <row r="28" ht="27" customHeight="1">
      <c r="A28" s="15" t="str">
        <v>I162S2C2J4</v>
      </c>
      <c r="B28" s="15" t="str">
        <v>I162S2C2J4V1</v>
      </c>
      <c r="C28" s="15" t="str">
        <v>TECNICO EN PROGRAMACION COMPUTACIONAL</v>
      </c>
      <c r="D28" s="15" t="str">
        <v>1</v>
      </c>
      <c r="E28" s="15" t="n">
        <v>5</v>
      </c>
      <c r="F28" s="15" t="n">
        <v>5</v>
      </c>
      <c r="G28" s="15" t="str">
        <v>Plan Regular</v>
      </c>
      <c r="H28" s="15" t="str">
        <v>No Presencial</v>
      </c>
      <c r="I28" s="15" t="str">
        <v>Pregrado</v>
      </c>
      <c r="J28" s="15" t="str">
        <v>Técnico de Nivel Superior</v>
      </c>
      <c r="K28" s="23" t="n">
        <v>2017</v>
      </c>
      <c r="L28" s="23" t="n">
        <v>2021</v>
      </c>
      <c r="M28" s="15" t="str">
        <v>2</v>
      </c>
      <c r="N28" s="15" t="str">
        <v>VERSIONES_ATRIBUTOS_IDENTICOS</v>
      </c>
      <c r="O28" s="23" t="n">
        <v>2021</v>
      </c>
      <c r="P28" s="15" t="str">
        <v>Sin cambios observados en campos conocidos</v>
      </c>
      <c r="Q28" s="15" t="str">
        <v>PUBLICA; H002</v>
      </c>
      <c r="R28" s="15"/>
      <c r="S28" s="15"/>
      <c r="T28" s="15"/>
      <c r="U28" s="15"/>
      <c r="V28" s="15"/>
      <c r="W28" s="15"/>
      <c r="X28" s="15"/>
    </row>
    <row r="29" ht="27" customHeight="1">
      <c r="A29" s="14" t="str">
        <v>I162S2C2J4</v>
      </c>
      <c r="B29" s="14" t="str">
        <v>I162S2C2J4V2</v>
      </c>
      <c r="C29" s="14" t="str">
        <v>TECNICO EN PROGRAMACION COMPUTACIONAL</v>
      </c>
      <c r="D29" s="14" t="str">
        <v>2</v>
      </c>
      <c r="E29" s="14" t="n">
        <v>5</v>
      </c>
      <c r="F29" s="14" t="n">
        <v>5</v>
      </c>
      <c r="G29" s="14" t="str">
        <v>Plan Regular</v>
      </c>
      <c r="H29" s="14" t="str">
        <v>No Presencial</v>
      </c>
      <c r="I29" s="14" t="str">
        <v>Pregrado</v>
      </c>
      <c r="J29" s="14" t="str">
        <v>Técnico de Nivel Superior</v>
      </c>
      <c r="K29" s="21" t="n">
        <v>2019</v>
      </c>
      <c r="L29" s="21" t="n">
        <v>2022</v>
      </c>
      <c r="M29" s="14" t="str">
        <v>2</v>
      </c>
      <c r="N29" s="14" t="str">
        <v>VERSIONES_ATRIBUTOS_IDENTICOS</v>
      </c>
      <c r="O29" s="21" t="n">
        <v>2022</v>
      </c>
      <c r="P29" s="14" t="str">
        <v>Sin cambios observados en campos conocidos</v>
      </c>
      <c r="Q29" s="14" t="str">
        <v>PUBLICA; H002</v>
      </c>
      <c r="R29" s="15"/>
      <c r="S29" s="15"/>
      <c r="T29" s="15"/>
      <c r="U29" s="15"/>
      <c r="V29" s="15"/>
      <c r="W29" s="15"/>
      <c r="X29" s="15"/>
    </row>
    <row r="30" ht="27" customHeight="1">
      <c r="A30" s="15" t="str">
        <v>I162S2C35J1</v>
      </c>
      <c r="B30" s="15" t="str">
        <v>I162S2C35J1V1</v>
      </c>
      <c r="C30" s="15" t="str">
        <v>TECNICO EN ANALISIS DE SISTEMAS</v>
      </c>
      <c r="D30" s="15" t="str">
        <v>1</v>
      </c>
      <c r="E30" s="15" t="n">
        <v>6</v>
      </c>
      <c r="F30" s="15" t="n">
        <v>6</v>
      </c>
      <c r="G30" s="15" t="str">
        <v>Plan Regular</v>
      </c>
      <c r="H30" s="15" t="str">
        <v>Presencial</v>
      </c>
      <c r="I30" s="15" t="str">
        <v>Pregrado</v>
      </c>
      <c r="J30" s="15" t="str">
        <v>Técnico de Nivel Superior</v>
      </c>
      <c r="K30" s="23" t="n">
        <v>2015</v>
      </c>
      <c r="L30" s="23" t="n">
        <v>2019</v>
      </c>
      <c r="M30" s="15" t="str">
        <v>2</v>
      </c>
      <c r="N30" s="15" t="str">
        <v>VERSIONES_ATRIBUTOS_IDENTICOS</v>
      </c>
      <c r="O30" s="23" t="n">
        <v>2019</v>
      </c>
      <c r="P30" s="15" t="str">
        <v>Sin cambios observados en campos conocidos</v>
      </c>
      <c r="Q30" s="15" t="str">
        <v>PUBLICA; H002</v>
      </c>
      <c r="R30" s="15"/>
      <c r="S30" s="15"/>
      <c r="T30" s="15"/>
      <c r="U30" s="15"/>
      <c r="V30" s="15"/>
      <c r="W30" s="15"/>
      <c r="X30" s="15"/>
    </row>
    <row r="31" ht="27" customHeight="1">
      <c r="A31" s="14" t="str">
        <v>I162S2C35J1</v>
      </c>
      <c r="B31" s="14" t="str">
        <v>I162S2C35J1V2</v>
      </c>
      <c r="C31" s="14" t="str">
        <v>TECNICO EN ANALISIS DE SISTEMAS</v>
      </c>
      <c r="D31" s="14" t="str">
        <v>2</v>
      </c>
      <c r="E31" s="14" t="n">
        <v>6</v>
      </c>
      <c r="F31" s="14" t="n">
        <v>6</v>
      </c>
      <c r="G31" s="14" t="str">
        <v>Plan Regular</v>
      </c>
      <c r="H31" s="14" t="str">
        <v>Presencial</v>
      </c>
      <c r="I31" s="14" t="str">
        <v>Pregrado</v>
      </c>
      <c r="J31" s="14" t="str">
        <v>Técnico de Nivel Superior</v>
      </c>
      <c r="K31" s="21" t="n">
        <v>2019</v>
      </c>
      <c r="L31" s="21" t="n">
        <v>2019</v>
      </c>
      <c r="M31" s="14" t="str">
        <v>2</v>
      </c>
      <c r="N31" s="14" t="str">
        <v>VERSIONES_ATRIBUTOS_IDENTICOS</v>
      </c>
      <c r="O31" s="21" t="n">
        <v>2019</v>
      </c>
      <c r="P31" s="14" t="str">
        <v>Sin cambios observados en campos conocidos</v>
      </c>
      <c r="Q31" s="14" t="str">
        <v>PUBLICA; H002</v>
      </c>
      <c r="R31" s="15"/>
      <c r="S31" s="15"/>
      <c r="T31" s="15"/>
      <c r="U31" s="15"/>
      <c r="V31" s="15"/>
      <c r="W31" s="15"/>
      <c r="X31" s="15"/>
    </row>
    <row r="32" ht="27" customHeight="1">
      <c r="A32" s="15" t="str">
        <v>I162S2C35J2</v>
      </c>
      <c r="B32" s="15" t="str">
        <v>I162S2C35J2V1</v>
      </c>
      <c r="C32" s="15" t="str">
        <v>TECNICO EN ANALISIS DE SISTEMAS</v>
      </c>
      <c r="D32" s="15" t="str">
        <v>1</v>
      </c>
      <c r="E32" s="15" t="n">
        <v>6</v>
      </c>
      <c r="F32" s="15" t="n">
        <v>6</v>
      </c>
      <c r="G32" s="15" t="str">
        <v>Plan Regular</v>
      </c>
      <c r="H32" s="15" t="str">
        <v>Presencial</v>
      </c>
      <c r="I32" s="15" t="str">
        <v>Pregrado</v>
      </c>
      <c r="J32" s="15" t="str">
        <v>Técnico de Nivel Superior</v>
      </c>
      <c r="K32" s="23" t="n">
        <v>2015</v>
      </c>
      <c r="L32" s="23" t="n">
        <v>2021</v>
      </c>
      <c r="M32" s="15" t="str">
        <v>2</v>
      </c>
      <c r="N32" s="15" t="str">
        <v>VERSIONES_ATRIBUTOS_IDENTICOS</v>
      </c>
      <c r="O32" s="23" t="n">
        <v>2021</v>
      </c>
      <c r="P32" s="15" t="str">
        <v>Sin cambios observados en campos conocidos</v>
      </c>
      <c r="Q32" s="15" t="str">
        <v>PUBLICA; H002</v>
      </c>
      <c r="R32" s="15"/>
      <c r="S32" s="15"/>
      <c r="T32" s="15"/>
      <c r="U32" s="15"/>
      <c r="V32" s="15"/>
      <c r="W32" s="15"/>
      <c r="X32" s="15"/>
    </row>
    <row r="33" ht="27" customHeight="1">
      <c r="A33" s="14" t="str">
        <v>I162S2C35J2</v>
      </c>
      <c r="B33" s="14" t="str">
        <v>I162S2C35J2V2</v>
      </c>
      <c r="C33" s="14" t="str">
        <v>TECNICO EN ANALISIS DE SISTEMAS</v>
      </c>
      <c r="D33" s="14" t="str">
        <v>2</v>
      </c>
      <c r="E33" s="14" t="n">
        <v>6</v>
      </c>
      <c r="F33" s="14" t="n">
        <v>6</v>
      </c>
      <c r="G33" s="14" t="str">
        <v>Plan Regular</v>
      </c>
      <c r="H33" s="14" t="str">
        <v>Presencial</v>
      </c>
      <c r="I33" s="14" t="str">
        <v>Pregrado</v>
      </c>
      <c r="J33" s="14" t="str">
        <v>Técnico de Nivel Superior</v>
      </c>
      <c r="K33" s="21" t="n">
        <v>2019</v>
      </c>
      <c r="L33" s="21" t="n">
        <v>2021</v>
      </c>
      <c r="M33" s="14" t="str">
        <v>2</v>
      </c>
      <c r="N33" s="14" t="str">
        <v>VERSIONES_ATRIBUTOS_IDENTICOS</v>
      </c>
      <c r="O33" s="21" t="n">
        <v>2021</v>
      </c>
      <c r="P33" s="14" t="str">
        <v>Sin cambios observados en campos conocidos</v>
      </c>
      <c r="Q33" s="14" t="str">
        <v>PUBLICA; H002</v>
      </c>
      <c r="R33" s="15"/>
      <c r="S33" s="15"/>
      <c r="T33" s="15"/>
      <c r="U33" s="15"/>
      <c r="V33" s="15"/>
      <c r="W33" s="15"/>
      <c r="X33" s="15"/>
    </row>
    <row r="34" ht="36" customHeight="1">
      <c r="A34" s="15" t="str">
        <v>I162S2C35J4</v>
      </c>
      <c r="B34" s="15" t="str">
        <v>I162S2C35J4V1</v>
      </c>
      <c r="C34" s="15" t="str">
        <v>TECNICO EN ANALISIS DE SISTEMAS</v>
      </c>
      <c r="D34" s="15" t="str">
        <v>1</v>
      </c>
      <c r="E34" s="15" t="n">
        <v>6</v>
      </c>
      <c r="F34" s="15" t="n">
        <v>6</v>
      </c>
      <c r="G34" s="15" t="str">
        <v>Plan Regular</v>
      </c>
      <c r="H34" s="15" t="str">
        <v>No Presencial</v>
      </c>
      <c r="I34" s="15" t="str">
        <v>Pregrado</v>
      </c>
      <c r="J34" s="15" t="str">
        <v>Técnico de Nivel Superior</v>
      </c>
      <c r="K34" s="23" t="n">
        <v>2017</v>
      </c>
      <c r="L34" s="23" t="n">
        <v>2021</v>
      </c>
      <c r="M34" s="15" t="str">
        <v>2</v>
      </c>
      <c r="N34" s="15" t="str">
        <v>VERSIONES_POR_DURACION_O_TIPO</v>
      </c>
      <c r="O34" s="23" t="n">
        <v>2021</v>
      </c>
      <c r="P34" s="15" t="str">
        <v>Duración de estudios: 5 (2017,2018) / 6 (2019,2020,2021); Duración total: 5 (2017,2018) / 6 (2019,2020,2021)</v>
      </c>
      <c r="Q34" s="15" t="str">
        <v>PUBLICA; H002</v>
      </c>
      <c r="R34" s="15"/>
      <c r="S34" s="15"/>
      <c r="T34" s="15"/>
      <c r="U34" s="15"/>
      <c r="V34" s="15"/>
      <c r="W34" s="15"/>
      <c r="X34" s="15"/>
    </row>
    <row r="35" ht="27" customHeight="1">
      <c r="A35" s="14" t="str">
        <v>I162S2C35J4</v>
      </c>
      <c r="B35" s="14" t="str">
        <v>I162S2C35J4V2</v>
      </c>
      <c r="C35" s="14" t="str">
        <v>TECNICO EN ANALISIS DE SISTEMAS</v>
      </c>
      <c r="D35" s="14" t="str">
        <v>2</v>
      </c>
      <c r="E35" s="14" t="n">
        <v>6</v>
      </c>
      <c r="F35" s="14" t="n">
        <v>6</v>
      </c>
      <c r="G35" s="14" t="str">
        <v>Plan Regular</v>
      </c>
      <c r="H35" s="14" t="str">
        <v>No Presencial</v>
      </c>
      <c r="I35" s="14" t="str">
        <v>Pregrado</v>
      </c>
      <c r="J35" s="14" t="str">
        <v>Técnico de Nivel Superior</v>
      </c>
      <c r="K35" s="21" t="n">
        <v>2019</v>
      </c>
      <c r="L35" s="21" t="n">
        <v>2022</v>
      </c>
      <c r="M35" s="14" t="str">
        <v>2</v>
      </c>
      <c r="N35" s="14" t="str">
        <v>VERSIONES_POR_DURACION_O_TIPO</v>
      </c>
      <c r="O35" s="21" t="n">
        <v>2022</v>
      </c>
      <c r="P35" s="14" t="str">
        <v>Sin cambios observados en campos conocidos</v>
      </c>
      <c r="Q35" s="14" t="str">
        <v>PUBLICA; H002</v>
      </c>
      <c r="R35" s="15"/>
      <c r="S35" s="15"/>
      <c r="T35" s="15"/>
      <c r="U35" s="15"/>
      <c r="V35" s="15"/>
      <c r="W35" s="15"/>
      <c r="X35" s="15"/>
    </row>
    <row r="36" ht="36" customHeight="1">
      <c r="A36" s="15" t="str">
        <v>I162S2C3J2</v>
      </c>
      <c r="B36" s="15" t="str">
        <v>I162S2C3J2V1</v>
      </c>
      <c r="C36" s="15" t="str">
        <v>INGENIERIA EN CONECTIVIDAD Y REDES</v>
      </c>
      <c r="D36" s="15" t="str">
        <v>1</v>
      </c>
      <c r="E36" s="15" t="n">
        <v>8</v>
      </c>
      <c r="F36" s="15" t="n">
        <v>8</v>
      </c>
      <c r="G36" s="15" t="str">
        <v>Plan Regular</v>
      </c>
      <c r="H36" s="15" t="str">
        <v>Presencial</v>
      </c>
      <c r="I36" s="15" t="str">
        <v>Pregrado</v>
      </c>
      <c r="J36" s="15" t="str">
        <v>Profesional Sin Licenciatura</v>
      </c>
      <c r="K36" s="23" t="n">
        <v>2007</v>
      </c>
      <c r="L36" s="23" t="n">
        <v>2025</v>
      </c>
      <c r="M36" s="15" t="str">
        <v>2</v>
      </c>
      <c r="N36" s="15" t="str">
        <v>VERSIONES_POR_DURACION_O_TIPO</v>
      </c>
      <c r="O36" s="23" t="n">
        <v>2025</v>
      </c>
      <c r="P36" s="15" t="str">
        <v>Duración de estudios: 8 (2007,2009,2010,2011,2012,2013,2014,2015,2016,2017,2018,2019,2020,2021,2023,2025) / 7 (2008)</v>
      </c>
      <c r="Q36" s="15" t="str">
        <v>PUBLICA; H002</v>
      </c>
      <c r="R36" s="15"/>
      <c r="S36" s="15"/>
      <c r="T36" s="15"/>
      <c r="U36" s="15"/>
      <c r="V36" s="15"/>
      <c r="W36" s="15"/>
      <c r="X36" s="15"/>
    </row>
    <row r="37" ht="27" customHeight="1">
      <c r="A37" s="14" t="str">
        <v>I162S2C3J2</v>
      </c>
      <c r="B37" s="14" t="str">
        <v>I162S2C3J2V2</v>
      </c>
      <c r="C37" s="14" t="str">
        <v>INGENIERIA EN CONECTIVIDAD Y REDES</v>
      </c>
      <c r="D37" s="14" t="str">
        <v>2</v>
      </c>
      <c r="E37" s="14" t="n">
        <v>5</v>
      </c>
      <c r="F37" s="14" t="n">
        <v>5</v>
      </c>
      <c r="G37" s="14" t="str">
        <v>Plan Regular de Continuidad</v>
      </c>
      <c r="H37" s="14" t="str">
        <v>Presencial</v>
      </c>
      <c r="I37" s="14" t="str">
        <v>Pregrado</v>
      </c>
      <c r="J37" s="14" t="str">
        <v>Profesional Sin Licenciatura</v>
      </c>
      <c r="K37" s="21" t="n">
        <v>2016</v>
      </c>
      <c r="L37" s="21" t="n">
        <v>2021</v>
      </c>
      <c r="M37" s="14" t="str">
        <v>n.a.</v>
      </c>
      <c r="N37" s="14" t="str">
        <v>VERSIONES_POR_DURACION_O_TIPO</v>
      </c>
      <c r="O37" s="21" t="n">
        <v>2021</v>
      </c>
      <c r="P37" s="14" t="str">
        <v>Sin cambios observados en campos conocidos</v>
      </c>
      <c r="Q37" s="14" t="str">
        <v>PUBLICA; H002</v>
      </c>
      <c r="R37" s="15"/>
      <c r="S37" s="15"/>
      <c r="T37" s="15"/>
      <c r="U37" s="15"/>
      <c r="V37" s="15"/>
      <c r="W37" s="15"/>
      <c r="X37" s="15"/>
    </row>
    <row r="38" ht="27" customHeight="1">
      <c r="A38" s="15" t="str">
        <v>I162S2C3J2</v>
      </c>
      <c r="B38" s="15" t="str">
        <v>I162S2C3J2V3</v>
      </c>
      <c r="C38" s="15" t="str">
        <v>INGENIERIA EN CONECTIVIDAD Y REDES</v>
      </c>
      <c r="D38" s="15" t="str">
        <v>3</v>
      </c>
      <c r="E38" s="15" t="n">
        <v>4</v>
      </c>
      <c r="F38" s="15" t="n">
        <v>4</v>
      </c>
      <c r="G38" s="15" t="str">
        <v>Plan Regular de Continuidad</v>
      </c>
      <c r="H38" s="15" t="str">
        <v>Presencial</v>
      </c>
      <c r="I38" s="15" t="str">
        <v>Pregrado</v>
      </c>
      <c r="J38" s="15" t="str">
        <v>Profesional Sin Licenciatura</v>
      </c>
      <c r="K38" s="23" t="n">
        <v>2018</v>
      </c>
      <c r="L38" s="23" t="n">
        <v>2026</v>
      </c>
      <c r="M38" s="15" t="str">
        <v>2</v>
      </c>
      <c r="N38" s="15" t="str">
        <v>VERSIONES_POR_DURACION_O_TIPO</v>
      </c>
      <c r="O38" s="23" t="n">
        <v>2026</v>
      </c>
      <c r="P38" s="15" t="str">
        <v>Sin cambios observados en campos conocidos</v>
      </c>
      <c r="Q38" s="15" t="str">
        <v>PUBLICA; H002</v>
      </c>
      <c r="R38" s="15"/>
      <c r="S38" s="15"/>
      <c r="T38" s="15"/>
      <c r="U38" s="15"/>
      <c r="V38" s="15"/>
      <c r="W38" s="15"/>
      <c r="X38" s="15"/>
    </row>
    <row r="39" ht="27" customHeight="1">
      <c r="A39" s="14" t="str">
        <v>I162S2C3J2</v>
      </c>
      <c r="B39" s="14" t="str">
        <v>I162S2C3J2V4</v>
      </c>
      <c r="C39" s="14" t="str">
        <v>INGENIERIA EN CONECTIVIDAD Y REDES</v>
      </c>
      <c r="D39" s="14" t="str">
        <v>4</v>
      </c>
      <c r="E39" s="14" t="n">
        <v>8</v>
      </c>
      <c r="F39" s="14" t="n">
        <v>8</v>
      </c>
      <c r="G39" s="14" t="str">
        <v>Plan Regular</v>
      </c>
      <c r="H39" s="14" t="str">
        <v>Presencial</v>
      </c>
      <c r="I39" s="14" t="str">
        <v>Pregrado</v>
      </c>
      <c r="J39" s="14" t="str">
        <v>Profesional Sin Licenciatura</v>
      </c>
      <c r="K39" s="21" t="n">
        <v>2019</v>
      </c>
      <c r="L39" s="21" t="n">
        <v>2026</v>
      </c>
      <c r="M39" s="14" t="str">
        <v>2</v>
      </c>
      <c r="N39" s="14" t="str">
        <v>VERSIONES_POR_DURACION_O_TIPO</v>
      </c>
      <c r="O39" s="21" t="n">
        <v>2026</v>
      </c>
      <c r="P39" s="14" t="str">
        <v>Sin cambios observados en campos conocidos</v>
      </c>
      <c r="Q39" s="14" t="str">
        <v>PUBLICA; H002</v>
      </c>
      <c r="R39" s="15"/>
      <c r="S39" s="15"/>
      <c r="T39" s="15"/>
      <c r="U39" s="15"/>
      <c r="V39" s="15"/>
      <c r="W39" s="15"/>
      <c r="X39" s="15"/>
    </row>
    <row r="40" ht="27" customHeight="1">
      <c r="A40" s="15" t="str">
        <v>I162S2C3J4</v>
      </c>
      <c r="B40" s="15" t="str">
        <v>I162S2C3J4V1</v>
      </c>
      <c r="C40" s="15" t="str">
        <v>INGENIERIA EN CONECTIVIDAD Y REDES</v>
      </c>
      <c r="D40" s="15" t="str">
        <v>1</v>
      </c>
      <c r="E40" s="15" t="n">
        <v>8</v>
      </c>
      <c r="F40" s="15" t="n">
        <v>8</v>
      </c>
      <c r="G40" s="15" t="str">
        <v>Plan Regular</v>
      </c>
      <c r="H40" s="15" t="str">
        <v>No Presencial</v>
      </c>
      <c r="I40" s="15" t="str">
        <v>Pregrado</v>
      </c>
      <c r="J40" s="15" t="str">
        <v>Profesional Sin Licenciatura</v>
      </c>
      <c r="K40" s="23" t="n">
        <v>2018</v>
      </c>
      <c r="L40" s="23" t="n">
        <v>2022</v>
      </c>
      <c r="M40" s="15" t="str">
        <v>n.a.</v>
      </c>
      <c r="N40" s="15" t="str">
        <v>VERSIONES_POR_DURACION_O_TIPO</v>
      </c>
      <c r="O40" s="23" t="n">
        <v>2022</v>
      </c>
      <c r="P40" s="15" t="str">
        <v>Sin cambios observados en campos conocidos</v>
      </c>
      <c r="Q40" s="15" t="str">
        <v>PUBLICA; H002</v>
      </c>
      <c r="R40" s="15"/>
      <c r="S40" s="15"/>
      <c r="T40" s="15"/>
      <c r="U40" s="15"/>
      <c r="V40" s="15"/>
      <c r="W40" s="15"/>
      <c r="X40" s="15"/>
    </row>
    <row r="41" ht="27" customHeight="1">
      <c r="A41" s="14" t="str">
        <v>I162S2C3J4</v>
      </c>
      <c r="B41" s="14" t="str">
        <v>I162S2C3J4V2</v>
      </c>
      <c r="C41" s="14" t="str">
        <v>INGENIERIA EN CONECTIVIDAD Y REDES</v>
      </c>
      <c r="D41" s="14" t="str">
        <v>2</v>
      </c>
      <c r="E41" s="14" t="n">
        <v>8</v>
      </c>
      <c r="F41" s="14" t="n">
        <v>8</v>
      </c>
      <c r="G41" s="14" t="str">
        <v>Plan Regular</v>
      </c>
      <c r="H41" s="14" t="str">
        <v>No Presencial</v>
      </c>
      <c r="I41" s="14" t="str">
        <v>Pregrado</v>
      </c>
      <c r="J41" s="14" t="str">
        <v>Profesional Sin Licenciatura</v>
      </c>
      <c r="K41" s="21" t="n">
        <v>2019</v>
      </c>
      <c r="L41" s="21" t="n">
        <v>2026</v>
      </c>
      <c r="M41" s="14" t="str">
        <v>1</v>
      </c>
      <c r="N41" s="14" t="str">
        <v>VERSIONES_POR_DURACION_O_TIPO</v>
      </c>
      <c r="O41" s="21" t="n">
        <v>2026</v>
      </c>
      <c r="P41" s="14" t="str">
        <v>Sin cambios observados en campos conocidos</v>
      </c>
      <c r="Q41" s="14" t="str">
        <v>PUBLICA; H002</v>
      </c>
      <c r="R41" s="15"/>
      <c r="S41" s="15"/>
      <c r="T41" s="15"/>
      <c r="U41" s="15"/>
      <c r="V41" s="15"/>
      <c r="W41" s="15"/>
      <c r="X41" s="15"/>
    </row>
    <row r="42" ht="27" customHeight="1">
      <c r="A42" s="15" t="str">
        <v>I162S2C3J4</v>
      </c>
      <c r="B42" s="15" t="str">
        <v>I162S2C3J4V3</v>
      </c>
      <c r="C42" s="15" t="str">
        <v>INGENIERIA EN CONECTIVIDAD Y REDES</v>
      </c>
      <c r="D42" s="15" t="str">
        <v>3</v>
      </c>
      <c r="E42" s="15" t="n">
        <v>4</v>
      </c>
      <c r="F42" s="15" t="n">
        <v>4</v>
      </c>
      <c r="G42" s="15" t="str">
        <v>Plan Regular de Continuidad</v>
      </c>
      <c r="H42" s="15" t="str">
        <v>No Presencial</v>
      </c>
      <c r="I42" s="15" t="str">
        <v>Pregrado</v>
      </c>
      <c r="J42" s="15" t="str">
        <v>Profesional Sin Licenciatura</v>
      </c>
      <c r="K42" s="23" t="n">
        <v>2019</v>
      </c>
      <c r="L42" s="23" t="n">
        <v>2026</v>
      </c>
      <c r="M42" s="15" t="str">
        <v>1</v>
      </c>
      <c r="N42" s="15" t="str">
        <v>VERSIONES_POR_DURACION_O_TIPO</v>
      </c>
      <c r="O42" s="23" t="n">
        <v>2026</v>
      </c>
      <c r="P42" s="15" t="str">
        <v>Sin cambios observados en campos conocidos</v>
      </c>
      <c r="Q42" s="15" t="str">
        <v>PUBLICA; H002</v>
      </c>
      <c r="R42" s="15"/>
      <c r="S42" s="15"/>
      <c r="T42" s="15"/>
      <c r="U42" s="15"/>
      <c r="V42" s="15"/>
      <c r="W42" s="15"/>
      <c r="X42" s="15"/>
    </row>
    <row r="43" ht="27" customHeight="1">
      <c r="A43" s="14" t="str">
        <v>I162S2C46J2</v>
      </c>
      <c r="B43" s="14" t="str">
        <v>I162S2C46J2V1</v>
      </c>
      <c r="C43" s="14" t="str">
        <v>INGENIERIA EN CIBERSEGURIDAD</v>
      </c>
      <c r="D43" s="14" t="str">
        <v>1</v>
      </c>
      <c r="E43" s="14" t="n">
        <v>8</v>
      </c>
      <c r="F43" s="14" t="n">
        <v>8</v>
      </c>
      <c r="G43" s="14" t="str">
        <v>Plan Regular</v>
      </c>
      <c r="H43" s="14" t="str">
        <v>Presencial</v>
      </c>
      <c r="I43" s="14" t="str">
        <v>Pregrado</v>
      </c>
      <c r="J43" s="14" t="str">
        <v>Profesional Sin Licenciatura</v>
      </c>
      <c r="K43" s="21" t="n">
        <v>2019</v>
      </c>
      <c r="L43" s="21" t="n">
        <v>2026</v>
      </c>
      <c r="M43" s="14" t="str">
        <v>1</v>
      </c>
      <c r="N43" s="14" t="str">
        <v>VERSIONES_POR_DURACION_O_TIPO</v>
      </c>
      <c r="O43" s="21" t="n">
        <v>2026</v>
      </c>
      <c r="P43" s="14" t="str">
        <v>Sin cambios observados en campos conocidos</v>
      </c>
      <c r="Q43" s="14" t="str">
        <v>PUBLICA; H002</v>
      </c>
      <c r="R43" s="15"/>
      <c r="S43" s="15"/>
      <c r="T43" s="15"/>
      <c r="U43" s="15"/>
      <c r="V43" s="15"/>
      <c r="W43" s="15"/>
      <c r="X43" s="15"/>
    </row>
    <row r="44" ht="27" customHeight="1">
      <c r="A44" s="15" t="str">
        <v>I162S2C46J2</v>
      </c>
      <c r="B44" s="15" t="str">
        <v>I162S2C46J2V2</v>
      </c>
      <c r="C44" s="15" t="str">
        <v>INGENIERIA EN CIBERSEGURIDAD</v>
      </c>
      <c r="D44" s="15" t="str">
        <v>2</v>
      </c>
      <c r="E44" s="15" t="n">
        <v>5</v>
      </c>
      <c r="F44" s="15" t="n">
        <v>5</v>
      </c>
      <c r="G44" s="15" t="str">
        <v>Plan Regular de Continuidad</v>
      </c>
      <c r="H44" s="15" t="str">
        <v>Presencial</v>
      </c>
      <c r="I44" s="15" t="str">
        <v>Pregrado</v>
      </c>
      <c r="J44" s="15" t="str">
        <v>Profesional Sin Licenciatura</v>
      </c>
      <c r="K44" s="23" t="n">
        <v>2019</v>
      </c>
      <c r="L44" s="23" t="n">
        <v>2021</v>
      </c>
      <c r="M44" s="15" t="str">
        <v>n.a.</v>
      </c>
      <c r="N44" s="15" t="str">
        <v>VERSIONES_POR_DURACION_O_TIPO</v>
      </c>
      <c r="O44" s="23" t="n">
        <v>2021</v>
      </c>
      <c r="P44" s="15" t="str">
        <v>Sin cambios observados en campos conocidos</v>
      </c>
      <c r="Q44" s="15" t="str">
        <v>PUBLICA; H002</v>
      </c>
      <c r="R44" s="15"/>
      <c r="S44" s="15"/>
      <c r="T44" s="15"/>
      <c r="U44" s="15"/>
      <c r="V44" s="15"/>
      <c r="W44" s="15"/>
      <c r="X44" s="15"/>
    </row>
    <row r="45" ht="27" customHeight="1">
      <c r="A45" s="14" t="str">
        <v>I162S2C46J2</v>
      </c>
      <c r="B45" s="14" t="str">
        <v>I162S2C46J2V3</v>
      </c>
      <c r="C45" s="14" t="str">
        <v>INGENIERIA EN CIBERSEGURIDAD</v>
      </c>
      <c r="D45" s="14" t="str">
        <v>3</v>
      </c>
      <c r="E45" s="14" t="n">
        <v>4</v>
      </c>
      <c r="F45" s="14" t="n">
        <v>4</v>
      </c>
      <c r="G45" s="14" t="str">
        <v>Plan Regular de Continuidad</v>
      </c>
      <c r="H45" s="14" t="str">
        <v>Presencial</v>
      </c>
      <c r="I45" s="14" t="str">
        <v>Pregrado</v>
      </c>
      <c r="J45" s="14" t="str">
        <v>Profesional Sin Licenciatura</v>
      </c>
      <c r="K45" s="21" t="n">
        <v>2019</v>
      </c>
      <c r="L45" s="21" t="n">
        <v>2026</v>
      </c>
      <c r="M45" s="14" t="str">
        <v>2</v>
      </c>
      <c r="N45" s="14" t="str">
        <v>VERSIONES_POR_DURACION_O_TIPO</v>
      </c>
      <c r="O45" s="21" t="n">
        <v>2026</v>
      </c>
      <c r="P45" s="14" t="str">
        <v>Sin cambios observados en campos conocidos</v>
      </c>
      <c r="Q45" s="14" t="str">
        <v>PUBLICA; H002</v>
      </c>
      <c r="R45" s="15"/>
      <c r="S45" s="15"/>
      <c r="T45" s="15"/>
      <c r="U45" s="15"/>
      <c r="V45" s="15"/>
      <c r="W45" s="15"/>
      <c r="X45" s="15"/>
    </row>
    <row r="46" ht="27" customHeight="1">
      <c r="A46" s="15" t="str">
        <v>I162S2C46J4</v>
      </c>
      <c r="B46" s="15" t="str">
        <v>I162S2C46J4V1</v>
      </c>
      <c r="C46" s="15" t="str">
        <v>INGENIERIA EN CIBERSEGURIDAD</v>
      </c>
      <c r="D46" s="15" t="str">
        <v>1</v>
      </c>
      <c r="E46" s="15" t="n">
        <v>4</v>
      </c>
      <c r="F46" s="15" t="n">
        <v>4</v>
      </c>
      <c r="G46" s="15" t="str">
        <v>Plan Regular de Continuidad</v>
      </c>
      <c r="H46" s="15" t="str">
        <v>No Presencial</v>
      </c>
      <c r="I46" s="15" t="str">
        <v>Pregrado</v>
      </c>
      <c r="J46" s="15" t="str">
        <v>Profesional Sin Licenciatura</v>
      </c>
      <c r="K46" s="23" t="n">
        <v>2020</v>
      </c>
      <c r="L46" s="23" t="n">
        <v>2026</v>
      </c>
      <c r="M46" s="15" t="str">
        <v>1</v>
      </c>
      <c r="N46" s="15" t="str">
        <v>VERSIONES_POR_DURACION_O_TIPO</v>
      </c>
      <c r="O46" s="23" t="n">
        <v>2026</v>
      </c>
      <c r="P46" s="15" t="str">
        <v>Sin cambios observados en campos conocidos</v>
      </c>
      <c r="Q46" s="15" t="str">
        <v>PUBLICA; H002</v>
      </c>
      <c r="R46" s="15"/>
      <c r="S46" s="15"/>
      <c r="T46" s="15"/>
      <c r="U46" s="15"/>
      <c r="V46" s="15"/>
      <c r="W46" s="15"/>
      <c r="X46" s="15"/>
    </row>
    <row r="47" ht="27" customHeight="1">
      <c r="A47" s="14" t="str">
        <v>I162S2C46J4</v>
      </c>
      <c r="B47" s="14" t="str">
        <v>I162S2C46J4V2</v>
      </c>
      <c r="C47" s="14" t="str">
        <v>INGENIERIA EN CIBERSEGURIDAD</v>
      </c>
      <c r="D47" s="14" t="str">
        <v>2</v>
      </c>
      <c r="E47" s="14" t="n">
        <v>5</v>
      </c>
      <c r="F47" s="14" t="n">
        <v>5</v>
      </c>
      <c r="G47" s="14" t="str">
        <v>Plan Regular de Continuidad</v>
      </c>
      <c r="H47" s="14" t="str">
        <v>No Presencial</v>
      </c>
      <c r="I47" s="14" t="str">
        <v>Pregrado</v>
      </c>
      <c r="J47" s="14" t="str">
        <v>Profesional Sin Licenciatura</v>
      </c>
      <c r="K47" s="21" t="n">
        <v>2020</v>
      </c>
      <c r="L47" s="21" t="n">
        <v>2021</v>
      </c>
      <c r="M47" s="14" t="str">
        <v>n.a.</v>
      </c>
      <c r="N47" s="14" t="str">
        <v>VERSIONES_POR_DURACION_O_TIPO</v>
      </c>
      <c r="O47" s="21" t="n">
        <v>2021</v>
      </c>
      <c r="P47" s="14" t="str">
        <v>Sin cambios observados en campos conocidos</v>
      </c>
      <c r="Q47" s="14" t="str">
        <v>PUBLICA; H002</v>
      </c>
      <c r="R47" s="15"/>
      <c r="S47" s="15"/>
      <c r="T47" s="15"/>
      <c r="U47" s="15"/>
      <c r="V47" s="15"/>
      <c r="W47" s="15"/>
      <c r="X47" s="15"/>
    </row>
    <row r="48" ht="27" customHeight="1">
      <c r="A48" s="15" t="str">
        <v>I162S2C46J4</v>
      </c>
      <c r="B48" s="15" t="str">
        <v>I162S2C46J4V3</v>
      </c>
      <c r="C48" s="15" t="str">
        <v>INGENIERIA EN CIBERSEGURIDAD</v>
      </c>
      <c r="D48" s="15" t="str">
        <v>3</v>
      </c>
      <c r="E48" s="15" t="n">
        <v>8</v>
      </c>
      <c r="F48" s="15" t="n">
        <v>8</v>
      </c>
      <c r="G48" s="15" t="str">
        <v>Plan Regular</v>
      </c>
      <c r="H48" s="15" t="str">
        <v>No Presencial</v>
      </c>
      <c r="I48" s="15" t="str">
        <v>Pregrado</v>
      </c>
      <c r="J48" s="15" t="str">
        <v>Profesional Sin Licenciatura</v>
      </c>
      <c r="K48" s="23" t="n">
        <v>2022</v>
      </c>
      <c r="L48" s="23" t="n">
        <v>2026</v>
      </c>
      <c r="M48" s="15" t="str">
        <v>1</v>
      </c>
      <c r="N48" s="15" t="str">
        <v>VERSIONES_POR_DURACION_O_TIPO</v>
      </c>
      <c r="O48" s="23" t="n">
        <v>2026</v>
      </c>
      <c r="P48" s="15" t="str">
        <v>Sin cambios observados en campos conocidos</v>
      </c>
      <c r="Q48" s="15" t="str">
        <v>PUBLICA; H002</v>
      </c>
      <c r="R48" s="15"/>
      <c r="S48" s="15"/>
      <c r="T48" s="15"/>
      <c r="U48" s="15"/>
      <c r="V48" s="15"/>
      <c r="W48" s="15"/>
      <c r="X48" s="15"/>
    </row>
    <row r="49" ht="36" customHeight="1">
      <c r="A49" s="14" t="str">
        <v>I162S2C6J1</v>
      </c>
      <c r="B49" s="14" t="str">
        <v>I162S2C6J1V1</v>
      </c>
      <c r="C49" s="14" t="str">
        <v>TECNICO EN CONECTIVIDAD Y REDES</v>
      </c>
      <c r="D49" s="14" t="str">
        <v>1</v>
      </c>
      <c r="E49" s="14" t="n">
        <v>5</v>
      </c>
      <c r="F49" s="14" t="n">
        <v>5</v>
      </c>
      <c r="G49" s="14" t="str">
        <v>Plan Regular</v>
      </c>
      <c r="H49" s="14" t="str">
        <v>Presencial</v>
      </c>
      <c r="I49" s="14" t="str">
        <v>Pregrado</v>
      </c>
      <c r="J49" s="14" t="str">
        <v>Técnico de Nivel Superior</v>
      </c>
      <c r="K49" s="21" t="n">
        <v>2009</v>
      </c>
      <c r="L49" s="21" t="n">
        <v>2022</v>
      </c>
      <c r="M49" s="14" t="str">
        <v>2</v>
      </c>
      <c r="N49" s="14" t="str">
        <v>VERSIONES_POR_DURACION_O_TIPO</v>
      </c>
      <c r="O49" s="21" t="n">
        <v>2022</v>
      </c>
      <c r="P49" s="14" t="str">
        <v>Duración de estudios: 4 (2009,2010) / 5 (2011,2012,2013,2014,2015,2016,2017,2018,2019,2020,2021,2022)</v>
      </c>
      <c r="Q49" s="14" t="str">
        <v>PUBLICA; H002</v>
      </c>
      <c r="R49" s="15"/>
      <c r="S49" s="15"/>
      <c r="T49" s="15"/>
      <c r="U49" s="15"/>
      <c r="V49" s="15"/>
      <c r="W49" s="15"/>
      <c r="X49" s="15"/>
    </row>
    <row r="50" ht="27" customHeight="1">
      <c r="A50" s="15" t="str">
        <v>I162S2C6J1</v>
      </c>
      <c r="B50" s="15" t="str">
        <v>I162S2C6J1V2</v>
      </c>
      <c r="C50" s="15" t="str">
        <v>TECNICO EN CONECTIVIDAD Y REDES</v>
      </c>
      <c r="D50" s="15" t="str">
        <v>2</v>
      </c>
      <c r="E50" s="15" t="n">
        <v>5</v>
      </c>
      <c r="F50" s="15" t="n">
        <v>5</v>
      </c>
      <c r="G50" s="15" t="str">
        <v>Plan Regular</v>
      </c>
      <c r="H50" s="15" t="str">
        <v>Presencial</v>
      </c>
      <c r="I50" s="15" t="str">
        <v>Pregrado</v>
      </c>
      <c r="J50" s="15" t="str">
        <v>Técnico de Nivel Superior</v>
      </c>
      <c r="K50" s="23" t="n">
        <v>2019</v>
      </c>
      <c r="L50" s="23" t="n">
        <v>2024</v>
      </c>
      <c r="M50" s="15" t="str">
        <v>2</v>
      </c>
      <c r="N50" s="15" t="str">
        <v>VERSIONES_POR_DURACION_O_TIPO</v>
      </c>
      <c r="O50" s="23" t="n">
        <v>2024</v>
      </c>
      <c r="P50" s="15" t="str">
        <v>Sin cambios observados en campos conocidos</v>
      </c>
      <c r="Q50" s="15" t="str">
        <v>PUBLICA; H002</v>
      </c>
      <c r="R50" s="15"/>
      <c r="S50" s="15"/>
      <c r="T50" s="15"/>
      <c r="U50" s="15"/>
      <c r="V50" s="15"/>
      <c r="W50" s="15"/>
      <c r="X50" s="15"/>
    </row>
    <row r="51" ht="36" customHeight="1">
      <c r="A51" s="14" t="str">
        <v>I162S2C6J2</v>
      </c>
      <c r="B51" s="14" t="str">
        <v>I162S2C6J2V1</v>
      </c>
      <c r="C51" s="14" t="str">
        <v>TECNICO EN CONECTIVIDAD Y REDES</v>
      </c>
      <c r="D51" s="14" t="str">
        <v>1</v>
      </c>
      <c r="E51" s="14" t="n">
        <v>5</v>
      </c>
      <c r="F51" s="14" t="n">
        <v>5</v>
      </c>
      <c r="G51" s="14" t="str">
        <v>Plan Regular</v>
      </c>
      <c r="H51" s="14" t="str">
        <v>Presencial</v>
      </c>
      <c r="I51" s="14" t="str">
        <v>Pregrado</v>
      </c>
      <c r="J51" s="14" t="str">
        <v>Técnico de Nivel Superior</v>
      </c>
      <c r="K51" s="21" t="n">
        <v>2007</v>
      </c>
      <c r="L51" s="21" t="n">
        <v>2025</v>
      </c>
      <c r="M51" s="14" t="str">
        <v>2</v>
      </c>
      <c r="N51" s="14" t="str">
        <v>VERSIONES_POR_DURACION_O_TIPO</v>
      </c>
      <c r="O51" s="21" t="n">
        <v>2025</v>
      </c>
      <c r="P51" s="14" t="str">
        <v>Duración de estudios: 4 (2007,2009,2010) / 5 (2011,2012,2013,2014,2015,2016,2017,2018,2019,2020,2021,2022,2023,2025)</v>
      </c>
      <c r="Q51" s="14" t="str">
        <v>PUBLICA; H002</v>
      </c>
      <c r="R51" s="15"/>
      <c r="S51" s="15"/>
      <c r="T51" s="15"/>
      <c r="U51" s="15"/>
      <c r="V51" s="15"/>
      <c r="W51" s="15"/>
      <c r="X51" s="15"/>
    </row>
    <row r="52" ht="27" customHeight="1">
      <c r="A52" s="15" t="str">
        <v>I162S2C6J2</v>
      </c>
      <c r="B52" s="15" t="str">
        <v>I162S2C6J2V2</v>
      </c>
      <c r="C52" s="15" t="str">
        <v>TECNICO EN CONECTIVIDAD Y REDES</v>
      </c>
      <c r="D52" s="15" t="str">
        <v>2</v>
      </c>
      <c r="E52" s="15" t="n">
        <v>5</v>
      </c>
      <c r="F52" s="15" t="n">
        <v>5</v>
      </c>
      <c r="G52" s="15" t="str">
        <v>Plan Regular</v>
      </c>
      <c r="H52" s="15" t="str">
        <v>Presencial</v>
      </c>
      <c r="I52" s="15" t="str">
        <v>Pregrado</v>
      </c>
      <c r="J52" s="15" t="str">
        <v>Técnico de Nivel Superior</v>
      </c>
      <c r="K52" s="23" t="n">
        <v>2019</v>
      </c>
      <c r="L52" s="23" t="n">
        <v>2026</v>
      </c>
      <c r="M52" s="15" t="str">
        <v>2</v>
      </c>
      <c r="N52" s="15" t="str">
        <v>VERSIONES_POR_DURACION_O_TIPO</v>
      </c>
      <c r="O52" s="23" t="n">
        <v>2026</v>
      </c>
      <c r="P52" s="15" t="str">
        <v>Sin cambios observados en campos conocidos</v>
      </c>
      <c r="Q52" s="15" t="str">
        <v>PUBLICA; H002</v>
      </c>
      <c r="R52" s="15"/>
      <c r="S52" s="15"/>
      <c r="T52" s="15"/>
      <c r="U52" s="15"/>
      <c r="V52" s="15"/>
      <c r="W52" s="15"/>
      <c r="X52" s="15"/>
    </row>
    <row r="53" ht="27" customHeight="1">
      <c r="A53" s="14" t="str">
        <v>I162S2C6J4</v>
      </c>
      <c r="B53" s="14" t="str">
        <v>I162S2C6J4V1</v>
      </c>
      <c r="C53" s="14" t="str">
        <v>TECNICO EN CONECTIVIDAD Y REDES</v>
      </c>
      <c r="D53" s="14" t="str">
        <v>1</v>
      </c>
      <c r="E53" s="14" t="n">
        <v>5</v>
      </c>
      <c r="F53" s="14" t="n">
        <v>5</v>
      </c>
      <c r="G53" s="14" t="str">
        <v>Plan Regular</v>
      </c>
      <c r="H53" s="14" t="str">
        <v>No Presencial</v>
      </c>
      <c r="I53" s="14" t="str">
        <v>Pregrado</v>
      </c>
      <c r="J53" s="14" t="str">
        <v>Técnico de Nivel Superior</v>
      </c>
      <c r="K53" s="21" t="n">
        <v>2017</v>
      </c>
      <c r="L53" s="21" t="n">
        <v>2021</v>
      </c>
      <c r="M53" s="14" t="str">
        <v>n.a.</v>
      </c>
      <c r="N53" s="14" t="str">
        <v>VERSIONES_ATRIBUTOS_IDENTICOS</v>
      </c>
      <c r="O53" s="21" t="n">
        <v>2021</v>
      </c>
      <c r="P53" s="14" t="str">
        <v>Sin cambios observados en campos conocidos</v>
      </c>
      <c r="Q53" s="14" t="str">
        <v>PUBLICA; H002</v>
      </c>
      <c r="R53" s="15"/>
      <c r="S53" s="15"/>
      <c r="T53" s="15"/>
      <c r="U53" s="15"/>
      <c r="V53" s="15"/>
      <c r="W53" s="15"/>
      <c r="X53" s="15"/>
    </row>
    <row r="54" ht="27" customHeight="1">
      <c r="A54" s="15" t="str">
        <v>I162S2C6J4</v>
      </c>
      <c r="B54" s="15" t="str">
        <v>I162S2C6J4V2</v>
      </c>
      <c r="C54" s="15" t="str">
        <v>TECNICO EN CONECTIVIDAD Y REDES</v>
      </c>
      <c r="D54" s="15" t="str">
        <v>2</v>
      </c>
      <c r="E54" s="15" t="n">
        <v>5</v>
      </c>
      <c r="F54" s="15" t="n">
        <v>5</v>
      </c>
      <c r="G54" s="15" t="str">
        <v>Plan Regular</v>
      </c>
      <c r="H54" s="15" t="str">
        <v>No Presencial</v>
      </c>
      <c r="I54" s="15" t="str">
        <v>Pregrado</v>
      </c>
      <c r="J54" s="15" t="str">
        <v>Técnico de Nivel Superior</v>
      </c>
      <c r="K54" s="23" t="n">
        <v>2019</v>
      </c>
      <c r="L54" s="23" t="n">
        <v>2026</v>
      </c>
      <c r="M54" s="15" t="str">
        <v>1</v>
      </c>
      <c r="N54" s="15" t="str">
        <v>VERSIONES_ATRIBUTOS_IDENTICOS</v>
      </c>
      <c r="O54" s="23" t="n">
        <v>2026</v>
      </c>
      <c r="P54" s="15" t="str">
        <v>Sin cambios observados en campos conocidos</v>
      </c>
      <c r="Q54" s="15" t="str">
        <v>PUBLICA; H002</v>
      </c>
      <c r="R54" s="15"/>
      <c r="S54" s="15"/>
      <c r="T54" s="15"/>
      <c r="U54" s="15"/>
      <c r="V54" s="15"/>
      <c r="W54" s="15"/>
      <c r="X54" s="15"/>
    </row>
    <row r="55" ht="36" customHeight="1">
      <c r="A55" s="14" t="str">
        <v>I162S2C76J4</v>
      </c>
      <c r="B55" s="14" t="str">
        <v>I162S2C76J4V1</v>
      </c>
      <c r="C55" s="14" t="str">
        <v>INGENIERIA EN ADMINISTRACION DE EMPRESAS</v>
      </c>
      <c r="D55" s="14" t="str">
        <v>1</v>
      </c>
      <c r="E55" s="14" t="n">
        <v>8</v>
      </c>
      <c r="F55" s="14" t="n">
        <v>8</v>
      </c>
      <c r="G55" s="14" t="str">
        <v>Plan Regular</v>
      </c>
      <c r="H55" s="14" t="str">
        <v>No Presencial</v>
      </c>
      <c r="I55" s="14" t="str">
        <v>Pregrado</v>
      </c>
      <c r="J55" s="14" t="str">
        <v>Profesional Sin Licenciatura</v>
      </c>
      <c r="K55" s="21" t="n">
        <v>2024</v>
      </c>
      <c r="L55" s="21" t="n">
        <v>2026</v>
      </c>
      <c r="M55" s="14" t="str">
        <v>1</v>
      </c>
      <c r="N55" s="14" t="str">
        <v>VERSIONES_POR_DURACION_O_TIPO</v>
      </c>
      <c r="O55" s="21" t="n">
        <v>2026</v>
      </c>
      <c r="P55" s="14" t="str">
        <v>Sin cambios observados en campos conocidos</v>
      </c>
      <c r="Q55" s="14" t="str">
        <v>PUBLICA; H002</v>
      </c>
      <c r="R55" s="15"/>
      <c r="S55" s="15"/>
      <c r="T55" s="15"/>
      <c r="U55" s="15"/>
      <c r="V55" s="15"/>
      <c r="W55" s="15"/>
      <c r="X55" s="15"/>
    </row>
    <row r="56" ht="36" customHeight="1">
      <c r="A56" s="15" t="str">
        <v>I162S2C76J4</v>
      </c>
      <c r="B56" s="15" t="str">
        <v>I162S2C76J4V2</v>
      </c>
      <c r="C56" s="15" t="str">
        <v>INGENIERIA EN ADMINISTRACION DE EMPRESAS</v>
      </c>
      <c r="D56" s="15" t="str">
        <v>2</v>
      </c>
      <c r="E56" s="15" t="n">
        <v>4</v>
      </c>
      <c r="F56" s="15" t="n">
        <v>4</v>
      </c>
      <c r="G56" s="15" t="str">
        <v>Plan Regular de Continuidad</v>
      </c>
      <c r="H56" s="15" t="str">
        <v>No Presencial</v>
      </c>
      <c r="I56" s="15" t="str">
        <v>Pregrado</v>
      </c>
      <c r="J56" s="15" t="str">
        <v>Profesional Sin Licenciatura</v>
      </c>
      <c r="K56" s="23" t="n">
        <v>2025</v>
      </c>
      <c r="L56" s="23" t="n">
        <v>2026</v>
      </c>
      <c r="M56" s="15" t="str">
        <v>1</v>
      </c>
      <c r="N56" s="15" t="str">
        <v>VERSIONES_POR_DURACION_O_TIPO</v>
      </c>
      <c r="O56" s="23" t="n">
        <v>2026</v>
      </c>
      <c r="P56" s="15" t="str">
        <v>Sin cambios observados en campos conocidos</v>
      </c>
      <c r="Q56" s="15" t="str">
        <v>PUBLICA; H002</v>
      </c>
      <c r="R56" s="15"/>
      <c r="S56" s="15"/>
      <c r="T56" s="15"/>
      <c r="U56" s="15"/>
      <c r="V56" s="15"/>
      <c r="W56" s="15"/>
      <c r="X56" s="15"/>
    </row>
    <row r="57" ht="27" customHeight="1">
      <c r="A57" s="14" t="str">
        <v>I162S2C77J4</v>
      </c>
      <c r="B57" s="14" t="str">
        <v>I162S2C77J4V1</v>
      </c>
      <c r="C57" s="14" t="str">
        <v>INGENIERIA EN LOGISTICA</v>
      </c>
      <c r="D57" s="14" t="str">
        <v>1</v>
      </c>
      <c r="E57" s="14" t="n">
        <v>8</v>
      </c>
      <c r="F57" s="14" t="n">
        <v>8</v>
      </c>
      <c r="G57" s="14" t="str">
        <v>Plan Regular</v>
      </c>
      <c r="H57" s="14" t="str">
        <v>No Presencial</v>
      </c>
      <c r="I57" s="14" t="str">
        <v>Pregrado</v>
      </c>
      <c r="J57" s="14" t="str">
        <v>Profesional Sin Licenciatura</v>
      </c>
      <c r="K57" s="21" t="n">
        <v>2024</v>
      </c>
      <c r="L57" s="21" t="n">
        <v>2026</v>
      </c>
      <c r="M57" s="14" t="str">
        <v>1</v>
      </c>
      <c r="N57" s="14" t="str">
        <v>VERSIONES_POR_DURACION_O_TIPO</v>
      </c>
      <c r="O57" s="21" t="n">
        <v>2026</v>
      </c>
      <c r="P57" s="14" t="str">
        <v>Sin cambios observados en campos conocidos</v>
      </c>
      <c r="Q57" s="14" t="str">
        <v>PUBLICA; H002</v>
      </c>
      <c r="R57" s="15"/>
      <c r="S57" s="15"/>
      <c r="T57" s="15"/>
      <c r="U57" s="15"/>
      <c r="V57" s="15"/>
      <c r="W57" s="15"/>
      <c r="X57" s="15"/>
    </row>
    <row r="58" ht="27" customHeight="1">
      <c r="A58" s="15" t="str">
        <v>I162S2C77J4</v>
      </c>
      <c r="B58" s="15" t="str">
        <v>I162S2C77J4V2</v>
      </c>
      <c r="C58" s="15" t="str">
        <v>INGENIERIA EN LOGISTICA</v>
      </c>
      <c r="D58" s="15" t="str">
        <v>2</v>
      </c>
      <c r="E58" s="15" t="n">
        <v>4</v>
      </c>
      <c r="F58" s="15" t="n">
        <v>4</v>
      </c>
      <c r="G58" s="15" t="str">
        <v>Plan Regular de Continuidad</v>
      </c>
      <c r="H58" s="15" t="str">
        <v>No Presencial</v>
      </c>
      <c r="I58" s="15" t="str">
        <v>Pregrado</v>
      </c>
      <c r="J58" s="15" t="str">
        <v>Profesional Sin Licenciatura</v>
      </c>
      <c r="K58" s="23" t="n">
        <v>2025</v>
      </c>
      <c r="L58" s="23" t="n">
        <v>2026</v>
      </c>
      <c r="M58" s="15" t="str">
        <v>1</v>
      </c>
      <c r="N58" s="15" t="str">
        <v>VERSIONES_POR_DURACION_O_TIPO</v>
      </c>
      <c r="O58" s="23" t="n">
        <v>2026</v>
      </c>
      <c r="P58" s="15" t="str">
        <v>Sin cambios observados en campos conocidos</v>
      </c>
      <c r="Q58" s="15" t="str">
        <v>PUBLICA; H002</v>
      </c>
      <c r="R58" s="15"/>
      <c r="S58" s="15"/>
      <c r="T58" s="15"/>
      <c r="U58" s="15"/>
      <c r="V58" s="15"/>
      <c r="W58" s="15"/>
      <c r="X58" s="15"/>
    </row>
    <row r="59" ht="27" customHeight="1">
      <c r="A59" s="14" t="str">
        <v>I162S2C83J4</v>
      </c>
      <c r="B59" s="14" t="str">
        <v>I162S2C83J4V1</v>
      </c>
      <c r="C59" s="14" t="str">
        <v>ADMINISTRACION PUBLICA</v>
      </c>
      <c r="D59" s="14" t="str">
        <v>1</v>
      </c>
      <c r="E59" s="14" t="n">
        <v>8</v>
      </c>
      <c r="F59" s="14" t="n">
        <v>8</v>
      </c>
      <c r="G59" s="14" t="str">
        <v>Plan Regular</v>
      </c>
      <c r="H59" s="14" t="str">
        <v>No Presencial</v>
      </c>
      <c r="I59" s="14" t="str">
        <v>Pregrado</v>
      </c>
      <c r="J59" s="14" t="str">
        <v>Profesional Sin Licenciatura</v>
      </c>
      <c r="K59" s="21" t="n">
        <v>2025</v>
      </c>
      <c r="L59" s="21" t="n">
        <v>2026</v>
      </c>
      <c r="M59" s="14" t="str">
        <v>1</v>
      </c>
      <c r="N59" s="14" t="str">
        <v>VERSIONES_POR_DURACION_O_TIPO</v>
      </c>
      <c r="O59" s="21" t="n">
        <v>2026</v>
      </c>
      <c r="P59" s="14" t="str">
        <v>Sin cambios observados en campos conocidos</v>
      </c>
      <c r="Q59" s="14" t="str">
        <v>PUBLICA; H002</v>
      </c>
      <c r="R59" s="15"/>
      <c r="S59" s="15"/>
      <c r="T59" s="15"/>
      <c r="U59" s="15"/>
      <c r="V59" s="15"/>
      <c r="W59" s="15"/>
      <c r="X59" s="15"/>
    </row>
    <row r="60" ht="27" customHeight="1">
      <c r="A60" s="15" t="str">
        <v>I162S2C83J4</v>
      </c>
      <c r="B60" s="15" t="str">
        <v>I162S2C83J4V2</v>
      </c>
      <c r="C60" s="15" t="str">
        <v>ADMINISTRACION PUBLICA</v>
      </c>
      <c r="D60" s="15" t="str">
        <v>2</v>
      </c>
      <c r="E60" s="15" t="n">
        <v>4</v>
      </c>
      <c r="F60" s="15" t="n">
        <v>4</v>
      </c>
      <c r="G60" s="15" t="str">
        <v>Plan Regular de Continuidad</v>
      </c>
      <c r="H60" s="15" t="str">
        <v>No Presencial</v>
      </c>
      <c r="I60" s="15" t="str">
        <v>Pregrado</v>
      </c>
      <c r="J60" s="15" t="str">
        <v>Profesional Sin Licenciatura</v>
      </c>
      <c r="K60" s="23" t="n">
        <v>2026</v>
      </c>
      <c r="L60" s="23" t="n">
        <v>2026</v>
      </c>
      <c r="M60" s="15" t="str">
        <v>1</v>
      </c>
      <c r="N60" s="15" t="str">
        <v>VERSIONES_POR_DURACION_O_TIPO</v>
      </c>
      <c r="O60" s="23" t="n">
        <v>2026</v>
      </c>
      <c r="P60" s="15" t="str">
        <v>Sin cambios observados en campos conocidos</v>
      </c>
      <c r="Q60" s="15" t="str">
        <v>PUBLICA; H002</v>
      </c>
      <c r="R60" s="15"/>
      <c r="S60" s="15"/>
      <c r="T60" s="15"/>
      <c r="U60" s="15"/>
      <c r="V60" s="15"/>
      <c r="W60" s="15"/>
      <c r="X60" s="15"/>
    </row>
    <row r="61" ht="27" customHeight="1">
      <c r="A61" s="14" t="str">
        <v>I162S2C87J4</v>
      </c>
      <c r="B61" s="14" t="str">
        <v>I162S2C87J4V1</v>
      </c>
      <c r="C61" s="14" t="str">
        <v>INGENIERIA INDUSTRIAL</v>
      </c>
      <c r="D61" s="14" t="str">
        <v>1</v>
      </c>
      <c r="E61" s="14" t="n">
        <v>4</v>
      </c>
      <c r="F61" s="14" t="n">
        <v>4</v>
      </c>
      <c r="G61" s="14" t="str">
        <v>Plan Regular de Continuidad</v>
      </c>
      <c r="H61" s="14" t="str">
        <v>No Presencial</v>
      </c>
      <c r="I61" s="14" t="str">
        <v>Pregrado</v>
      </c>
      <c r="J61" s="14" t="str">
        <v>Profesional Sin Licenciatura</v>
      </c>
      <c r="K61" s="21" t="n">
        <v>2025</v>
      </c>
      <c r="L61" s="21" t="n">
        <v>2026</v>
      </c>
      <c r="M61" s="14" t="str">
        <v>1</v>
      </c>
      <c r="N61" s="14" t="str">
        <v>VERSIONES_POR_DURACION_O_TIPO</v>
      </c>
      <c r="O61" s="21" t="n">
        <v>2026</v>
      </c>
      <c r="P61" s="14" t="str">
        <v>Sin cambios observados en campos conocidos</v>
      </c>
      <c r="Q61" s="14" t="str">
        <v>PUBLICA; H002</v>
      </c>
      <c r="R61" s="15"/>
      <c r="S61" s="15"/>
      <c r="T61" s="15"/>
      <c r="U61" s="15"/>
      <c r="V61" s="15"/>
      <c r="W61" s="15"/>
      <c r="X61" s="15"/>
    </row>
    <row r="62" ht="27" customHeight="1">
      <c r="A62" s="15" t="str">
        <v>I162S2C87J4</v>
      </c>
      <c r="B62" s="15" t="str">
        <v>I162S2C87J4V2</v>
      </c>
      <c r="C62" s="15" t="str">
        <v>INGENIERIA INDUSTRIAL</v>
      </c>
      <c r="D62" s="15" t="str">
        <v>2</v>
      </c>
      <c r="E62" s="15" t="n">
        <v>8</v>
      </c>
      <c r="F62" s="15" t="n">
        <v>8</v>
      </c>
      <c r="G62" s="15" t="str">
        <v>Plan Regular</v>
      </c>
      <c r="H62" s="15" t="str">
        <v>No Presencial</v>
      </c>
      <c r="I62" s="15" t="str">
        <v>Pregrado</v>
      </c>
      <c r="J62" s="15" t="str">
        <v>Profesional Sin Licenciatura</v>
      </c>
      <c r="K62" s="23" t="n">
        <v>2026</v>
      </c>
      <c r="L62" s="23" t="n">
        <v>2026</v>
      </c>
      <c r="M62" s="15" t="str">
        <v>1</v>
      </c>
      <c r="N62" s="15" t="str">
        <v>VERSIONES_POR_DURACION_O_TIPO</v>
      </c>
      <c r="O62" s="23" t="n">
        <v>2026</v>
      </c>
      <c r="P62" s="15" t="str">
        <v>Sin cambios observados en campos conocidos</v>
      </c>
      <c r="Q62" s="15" t="str">
        <v>PUBLICA; H002</v>
      </c>
      <c r="R62" s="15"/>
      <c r="S62" s="15"/>
      <c r="T62" s="15"/>
      <c r="U62" s="15"/>
      <c r="V62" s="15"/>
      <c r="W62" s="15"/>
      <c r="X62" s="15"/>
    </row>
  </sheetData>
  <mergeCells>
    <mergeCell ref="A2:G2"/>
    <mergeCell ref="A3:G3"/>
    <mergeCell ref="A4:G4"/>
    <mergeCell ref="A10:G10"/>
  </mergeCells>
  <printOptions headings="0" gridLines="0"/>
  <pageMargins left="0.25" right="0.25" top="0.25" bottom="0.25" header="0" footer="0"/>
  <pageSetup paperSize="8" orientation="landscape" fitToWidth="1" fitToHeight="1"/>
  <tableParts count="3">
    <tablePart ns1:id="Raf2d6078b2ab4ca9"/>
    <tablePart ns1:id="R482adb33344c4414"/>
    <tablePart ns1:id="R7fdc288b9ad84aad"/>
  </tableParts>
</worksheet>
</file>

<file path=xl/worksheets/sheet5.xml><?xml version="1.0" encoding="utf-8"?>
<worksheet xmlns="http://schemas.openxmlformats.org/spreadsheetml/2006/main" xmlns:ns1="http://schemas.openxmlformats.org/officeDocument/2006/relationships">
  <sheetPr>
    <tabColor rgb="FF102B42"/>
    <pageSetUpPr fitToPage="1"/>
  </sheetPr>
  <sheetViews>
    <sheetView showGridLines="0" workbookViewId="0">
      <pane xSplit="1" ySplit="5" topLeftCell="B6" activePane="bottomRight" state="frozen"/>
    </sheetView>
  </sheetViews>
  <sheetFormatPr defaultRowHeight="15"/>
  <cols>
    <col min="1" max="1" width="27" hidden="0" customWidth="1"/>
    <col min="2" max="2" width="30" hidden="0" customWidth="1"/>
    <col min="3" max="3" width="16" hidden="0" customWidth="1"/>
    <col min="4" max="4" width="17" hidden="0" customWidth="1"/>
    <col min="5" max="5" width="24" hidden="0" customWidth="1"/>
    <col min="6" max="6" width="14" hidden="0" customWidth="1"/>
    <col min="7" max="7" width="14" hidden="0" customWidth="1"/>
    <col min="8" max="8" width="14" hidden="0" customWidth="1"/>
    <col min="9" max="9" width="55" hidden="0" customWidth="1"/>
    <col min="10" max="10" width="36" hidden="0" customWidth="1"/>
    <col min="11" max="11" width="18" hidden="0" customWidth="1"/>
    <col min="12" max="12" width="37" hidden="0" customWidth="1"/>
    <col min="13" max="13" width="35" hidden="0" customWidth="1"/>
    <col min="14" max="14" width="65" hidden="0" customWidth="1"/>
    <col min="15" max="15" width="4" hidden="0" customWidth="1"/>
    <col min="16" max="16" width="24" hidden="0" customWidth="1"/>
    <col min="17" max="17" width="15" hidden="0" customWidth="1"/>
    <col min="18" max="18" width="18" hidden="0" customWidth="1"/>
    <col min="19" max="19" width="45" hidden="0" customWidth="1"/>
  </cols>
  <sheetData>
    <row r="1" ht="2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ht="32" customHeight="1">
      <c r="A2" s="16" t="str">
        <v>IPSS · Catálogo de planes y códigos UMAS</v>
      </c>
      <c r="B2" s="16"/>
      <c r="C2" s="16"/>
      <c r="D2" s="16"/>
      <c r="E2" s="16"/>
      <c r="F2" s="16"/>
      <c r="G2" s="16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44" customHeight="1">
      <c r="A3" s="13" t="str">
        <v>236 planes del maestro; CODCARPR distintos en sus contextos y actividad. La v3 se muestra como CANDIDATO y no reemplaza la v2.</v>
      </c>
      <c r="B3" s="13" t="str">
        <v>236 planes del maestro; CODCARPR distintos en sus contextos y actividad. La v3 se muestra como CANDIDATO y no reemplaza la v2.</v>
      </c>
      <c r="C3" s="13" t="str">
        <v>236 planes del maestro; CODCARPR distintos en sus contextos y actividad. La v3 se muestra como CANDIDATO y no reemplaza la v2.</v>
      </c>
      <c r="D3" s="13" t="str">
        <v>236 planes del maestro; CODCARPR distintos en sus contextos y actividad. La v3 se muestra como CANDIDATO y no reemplaza la v2.</v>
      </c>
      <c r="E3" s="13" t="str">
        <v>236 planes del maestro; CODCARPR distintos en sus contextos y actividad. La v3 se muestra como CANDIDATO y no reemplaza la v2.</v>
      </c>
      <c r="F3" s="13" t="str">
        <v>236 planes del maestro; CODCARPR distintos en sus contextos y actividad. La v3 se muestra como CANDIDATO y no reemplaza la v2.</v>
      </c>
      <c r="G3" s="13" t="str">
        <v>236 planes del maestro; CODCARPR distintos en sus contextos y actividad. La v3 se muestra como CANDIDATO y no reemplaza la v2.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ht="44" customHeight="1">
      <c r="A4" s="13" t="str">
        <v>Un plan por fila. Los candidatos del maestro no cuentan como unión. Ingreso inicial/final: solo lo observado en la matriz reutilizada.</v>
      </c>
      <c r="B4" s="13" t="str">
        <v>Un plan por fila. Los candidatos del maestro no cuentan como unión. Ingreso inicial/final: solo lo observado en la matriz reutilizada.</v>
      </c>
      <c r="C4" s="13" t="str">
        <v>Un plan por fila. Los candidatos del maestro no cuentan como unión. Ingreso inicial/final: solo lo observado en la matriz reutilizada.</v>
      </c>
      <c r="D4" s="13" t="str">
        <v>Un plan por fila. Los candidatos del maestro no cuentan como unión. Ingreso inicial/final: solo lo observado en la matriz reutilizada.</v>
      </c>
      <c r="E4" s="13" t="str">
        <v>Un plan por fila. Los candidatos del maestro no cuentan como unión. Ingreso inicial/final: solo lo observado en la matriz reutilizada.</v>
      </c>
      <c r="F4" s="13" t="str">
        <v>Un plan por fila. Los candidatos del maestro no cuentan como unión. Ingreso inicial/final: solo lo observado en la matriz reutilizada.</v>
      </c>
      <c r="G4" s="13" t="str">
        <v>Un plan por fila. Los candidatos del maestro no cuentan como unión. Ingreso inicial/final: solo lo observado en la matriz reutilizada.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ht="48" customHeight="1">
      <c r="A5" s="9" t="str">
        <v>Tipo v2</v>
      </c>
      <c r="B5" s="9" t="str">
        <v>Planes</v>
      </c>
      <c r="C5" s="9" t="str">
        <v>Con unión</v>
      </c>
      <c r="D5" s="15"/>
      <c r="E5" s="15"/>
      <c r="F5" s="9" t="str">
        <v>Universo</v>
      </c>
      <c r="G5" s="9" t="str">
        <v>Cantidad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ht="27" customHeight="1">
      <c r="A6" s="14" t="str">
        <v>CONTINUIDAD</v>
      </c>
      <c r="B6" s="14" t="n">
        <f>COUNTIFS(E14:E249,A6)</f>
        <v>15</v>
      </c>
      <c r="C6" s="14" t="n">
        <f>COUNTIFS(E14:E249,A6,K14:K249,"UNIDO")</f>
        <v>14</v>
      </c>
      <c r="D6" s="15"/>
      <c r="E6" s="15"/>
      <c r="F6" s="14" t="str">
        <v>Planes</v>
      </c>
      <c r="G6" s="14" t="n">
        <f>COUNTA(A14:A249)</f>
        <v>236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ht="36" customHeight="1">
      <c r="A7" s="15" t="str">
        <v>E</v>
      </c>
      <c r="B7" s="15" t="n">
        <f>COUNTIFS(E14:E249,A7)</f>
        <v>115</v>
      </c>
      <c r="C7" s="15" t="n">
        <f>COUNTIFS(E14:E249,A7,K14:K249,"UNIDO")</f>
        <v>22</v>
      </c>
      <c r="D7" s="15"/>
      <c r="E7" s="15"/>
      <c r="F7" s="15" t="str">
        <v>CODCARPR distintos</v>
      </c>
      <c r="G7" s="15" t="n">
        <f>COUNTA(P14:P140)</f>
        <v>127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ht="36" customHeight="1">
      <c r="A8" s="14" t="str">
        <v>REGULAR</v>
      </c>
      <c r="B8" s="14" t="n">
        <f>COUNTIFS(E14:E249,A8)</f>
        <v>106</v>
      </c>
      <c r="C8" s="14" t="n">
        <f>COUNTIFS(E14:E249,A8,K14:K249,"UNIDO")</f>
        <v>75</v>
      </c>
      <c r="D8" s="15"/>
      <c r="E8" s="15"/>
      <c r="F8" s="14" t="str">
        <v>Planes con unión</v>
      </c>
      <c r="G8" s="14" t="n">
        <f>COUNTIFS(K14:K249,"UNIDO")</f>
        <v>111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ht="36" customHeight="1">
      <c r="A9" s="15"/>
      <c r="B9" s="15"/>
      <c r="C9" s="15"/>
      <c r="D9" s="15"/>
      <c r="E9" s="15"/>
      <c r="F9" s="15" t="str">
        <v>Planes sin unión</v>
      </c>
      <c r="G9" s="15" t="n">
        <f>COUNTIFS(K14:K249,"SIN_UNION")</f>
        <v>125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ht="36" customHeight="1">
      <c r="A10" s="15"/>
      <c r="B10" s="15"/>
      <c r="C10" s="15"/>
      <c r="D10" s="15"/>
      <c r="E10" s="15"/>
      <c r="F10" s="14" t="str">
        <v>CODCARPR con unión</v>
      </c>
      <c r="G10" s="14" t="n">
        <f>COUNTIFS(R14:R140,"UNIDO")</f>
        <v>76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ht="36" customHeight="1">
      <c r="A11" s="15"/>
      <c r="B11" s="15"/>
      <c r="C11" s="15"/>
      <c r="D11" s="15"/>
      <c r="E11" s="15"/>
      <c r="F11" s="15" t="str">
        <v>CODCARPR sin unión</v>
      </c>
      <c r="G11" s="15" t="n">
        <f>COUNTIFS(R14:R140,"SIN_UNION")</f>
        <v>51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ht="44" customHeight="1">
      <c r="A12" s="13" t="str">
        <v>Detalle de planes A13; listado único de CODCARPR en P13. Los dos catálogos tienen unidades distintas.</v>
      </c>
      <c r="B12" s="13" t="str">
        <v>Detalle de planes A13; listado único de CODCARPR en P13. Los dos catálogos tienen unidades distintas.</v>
      </c>
      <c r="C12" s="13" t="str">
        <v>Detalle de planes A13; listado único de CODCARPR en P13. Los dos catálogos tienen unidades distintas.</v>
      </c>
      <c r="D12" s="13" t="str">
        <v>Detalle de planes A13; listado único de CODCARPR en P13. Los dos catálogos tienen unidades distintas.</v>
      </c>
      <c r="E12" s="13" t="str">
        <v>Detalle de planes A13; listado único de CODCARPR en P13. Los dos catálogos tienen unidades distintas.</v>
      </c>
      <c r="F12" s="13" t="str">
        <v>Detalle de planes A13; listado único de CODCARPR en P13. Los dos catálogos tienen unidades distintas.</v>
      </c>
      <c r="G12" s="13" t="str">
        <v>Detalle de planes A13; listado único de CODCARPR en P13. Los dos catálogos tienen unidades distintas.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ht="48" customHeight="1">
      <c r="A13" s="9" t="str">
        <v>Plan UMAS</v>
      </c>
      <c r="B13" s="9" t="str">
        <v>CODCARPR</v>
      </c>
      <c r="C13" s="9" t="str">
        <v>Sede UMAS</v>
      </c>
      <c r="D13" s="9" t="str">
        <v>Jornada UMAS</v>
      </c>
      <c r="E13" s="9" t="str">
        <v>Tipo v2</v>
      </c>
      <c r="F13" s="9" t="str">
        <v>Clase v2</v>
      </c>
      <c r="G13" s="9" t="str">
        <v>Ingreso inicial</v>
      </c>
      <c r="H13" s="9" t="str">
        <v>Ingreso final</v>
      </c>
      <c r="I13" s="9" t="str">
        <v>Códigos SIES enlazados</v>
      </c>
      <c r="J13" s="9" t="str">
        <v>Estado en maestro</v>
      </c>
      <c r="K13" s="9" t="str">
        <v>Unión</v>
      </c>
      <c r="L13" s="9" t="str">
        <v>Tipo v3 candidato</v>
      </c>
      <c r="M13" s="9" t="str">
        <v>Fuente (ID)</v>
      </c>
      <c r="N13" s="9" t="str">
        <v>Límite</v>
      </c>
      <c r="O13" s="15"/>
      <c r="P13" s="9" t="str">
        <v>CODCARPR</v>
      </c>
      <c r="Q13" s="9" t="str">
        <v>Planes</v>
      </c>
      <c r="R13" s="9" t="str">
        <v>Unión</v>
      </c>
      <c r="S13" s="9" t="str">
        <v>Planes asociados</v>
      </c>
    </row>
    <row r="14" ht="36" customHeight="1">
      <c r="A14" s="14" t="str">
        <v>ADMP20251</v>
      </c>
      <c r="B14" s="14" t="str">
        <v>ADMP</v>
      </c>
      <c r="C14" s="14" t="str">
        <v>RE</v>
      </c>
      <c r="D14" s="14" t="str">
        <v>O</v>
      </c>
      <c r="E14" s="14" t="str">
        <v>REGULAR</v>
      </c>
      <c r="F14" s="14" t="str">
        <v>C</v>
      </c>
      <c r="G14" s="21" t="n">
        <v>2025</v>
      </c>
      <c r="H14" s="21" t="n">
        <v>2026</v>
      </c>
      <c r="I14" s="14" t="str">
        <v>I162S2C83J4V1</v>
      </c>
      <c r="J14" s="14" t="str">
        <v>PENDIENTE_EVIDENCIA</v>
      </c>
      <c r="K14" s="14" t="str">
        <v>UNIDO</v>
      </c>
      <c r="L14" s="14" t="str">
        <v>REGULAR (CANDIDATO)</v>
      </c>
      <c r="M14" s="14" t="str">
        <v>MAESTRO; TIPOS_V2; TIPOS_V3; MATRIZ; H002</v>
      </c>
      <c r="N14" s="14" t="str">
        <v>Ingreso observado solo en enlaces agregados H002g; no historia completa</v>
      </c>
      <c r="O14" s="15"/>
      <c r="P14" s="14" t="str">
        <v>ADMP</v>
      </c>
      <c r="Q14" s="14" t="n">
        <v>1</v>
      </c>
      <c r="R14" s="14" t="str">
        <v>UNIDO</v>
      </c>
      <c r="S14" s="14" t="str">
        <v>ADMP20251</v>
      </c>
    </row>
    <row r="15" ht="36" customHeight="1">
      <c r="A15" s="15" t="str">
        <v>ASRE20151</v>
      </c>
      <c r="B15" s="15" t="str">
        <v>ASRE</v>
      </c>
      <c r="C15" s="15" t="str">
        <v>RE</v>
      </c>
      <c r="D15" s="15" t="str">
        <v>D / V</v>
      </c>
      <c r="E15" s="15" t="str">
        <v>E</v>
      </c>
      <c r="F15" s="15" t="str">
        <v>E</v>
      </c>
      <c r="G15" s="23" t="str">
        <v>E</v>
      </c>
      <c r="H15" s="23" t="str">
        <v>E</v>
      </c>
      <c r="I15" s="15" t="str">
        <v>E</v>
      </c>
      <c r="J15" s="15" t="str">
        <v>SIN_CANDIDATO_EN_FUENTE_2026</v>
      </c>
      <c r="K15" s="15" t="str">
        <v>SIN_UNION</v>
      </c>
      <c r="L15" s="15" t="str">
        <v>E (CANDIDATO)</v>
      </c>
      <c r="M15" s="15" t="str">
        <v>MAESTRO; TIPOS_V2; TIPOS_V3; MATRIZ; H002</v>
      </c>
      <c r="N15" s="15" t="str">
        <v>Ingreso observado solo en enlaces agregados H002g; no historia completa</v>
      </c>
      <c r="O15" s="15"/>
      <c r="P15" s="15" t="str">
        <v>ASRE</v>
      </c>
      <c r="Q15" s="15" t="n">
        <v>2</v>
      </c>
      <c r="R15" s="15" t="str">
        <v>SIN_UNION</v>
      </c>
      <c r="S15" s="15" t="str">
        <v>ASRE20151 / TASRE20191</v>
      </c>
    </row>
    <row r="16" ht="36" customHeight="1">
      <c r="A16" s="14" t="str">
        <v>ASREOL</v>
      </c>
      <c r="B16" s="14" t="str">
        <v>ASREOL</v>
      </c>
      <c r="C16" s="14" t="str">
        <v>RE</v>
      </c>
      <c r="D16" s="14" t="str">
        <v>O</v>
      </c>
      <c r="E16" s="14" t="str">
        <v>E</v>
      </c>
      <c r="F16" s="14" t="str">
        <v>E</v>
      </c>
      <c r="G16" s="21" t="str">
        <v>E</v>
      </c>
      <c r="H16" s="21" t="str">
        <v>E</v>
      </c>
      <c r="I16" s="14" t="str">
        <v>E</v>
      </c>
      <c r="J16" s="14" t="str">
        <v>SIN_CANDIDATO_EN_FUENTE_2026</v>
      </c>
      <c r="K16" s="14" t="str">
        <v>SIN_UNION</v>
      </c>
      <c r="L16" s="14" t="str">
        <v>E (CANDIDATO)</v>
      </c>
      <c r="M16" s="14" t="str">
        <v>MAESTRO; TIPOS_V2; TIPOS_V3; MATRIZ; H002</v>
      </c>
      <c r="N16" s="14" t="str">
        <v>Ingreso observado solo en enlaces agregados H002g; no historia completa</v>
      </c>
      <c r="O16" s="15"/>
      <c r="P16" s="14" t="str">
        <v>ASREOL</v>
      </c>
      <c r="Q16" s="14" t="n">
        <v>2</v>
      </c>
      <c r="R16" s="14" t="str">
        <v>SIN_UNION</v>
      </c>
      <c r="S16" s="14" t="str">
        <v>ASREOL / TASREOL20191</v>
      </c>
    </row>
    <row r="17" ht="36" customHeight="1">
      <c r="A17" s="15" t="str">
        <v>ASREPASO</v>
      </c>
      <c r="B17" s="15" t="str">
        <v>E</v>
      </c>
      <c r="C17" s="15" t="str">
        <v>E</v>
      </c>
      <c r="D17" s="15" t="str">
        <v>D</v>
      </c>
      <c r="E17" s="15" t="str">
        <v>E</v>
      </c>
      <c r="F17" s="15" t="str">
        <v>E</v>
      </c>
      <c r="G17" s="23" t="str">
        <v>E</v>
      </c>
      <c r="H17" s="23" t="str">
        <v>E</v>
      </c>
      <c r="I17" s="15" t="str">
        <v>E</v>
      </c>
      <c r="J17" s="15" t="str">
        <v>SIN_CANDIDATO_EN_FUENTE_2026</v>
      </c>
      <c r="K17" s="15" t="str">
        <v>SIN_UNION</v>
      </c>
      <c r="L17" s="15" t="str">
        <v>E (CANDIDATO)</v>
      </c>
      <c r="M17" s="15" t="str">
        <v>MAESTRO; TIPOS_V2; TIPOS_V3; MATRIZ; H002</v>
      </c>
      <c r="N17" s="15" t="str">
        <v>Ingreso observado solo en enlaces agregados H002g; no historia completa</v>
      </c>
      <c r="O17" s="15"/>
      <c r="P17" s="15" t="str">
        <v>AUDT</v>
      </c>
      <c r="Q17" s="15" t="n">
        <v>1</v>
      </c>
      <c r="R17" s="15" t="str">
        <v>UNIDO</v>
      </c>
      <c r="S17" s="15" t="str">
        <v>AUDT20251</v>
      </c>
    </row>
    <row r="18" ht="36" customHeight="1">
      <c r="A18" s="14" t="str">
        <v>AUDT20251</v>
      </c>
      <c r="B18" s="14" t="str">
        <v>AUDT</v>
      </c>
      <c r="C18" s="14" t="str">
        <v>RE</v>
      </c>
      <c r="D18" s="14" t="str">
        <v>O</v>
      </c>
      <c r="E18" s="14" t="str">
        <v>REGULAR</v>
      </c>
      <c r="F18" s="14" t="str">
        <v>C</v>
      </c>
      <c r="G18" s="21" t="n">
        <v>2025</v>
      </c>
      <c r="H18" s="21" t="n">
        <v>2026</v>
      </c>
      <c r="I18" s="14" t="str">
        <v>I162S2C86J4V1</v>
      </c>
      <c r="J18" s="14" t="str">
        <v>PENDIENTE_EVIDENCIA</v>
      </c>
      <c r="K18" s="14" t="str">
        <v>UNIDO</v>
      </c>
      <c r="L18" s="14" t="str">
        <v>REGULAR (CANDIDATO)</v>
      </c>
      <c r="M18" s="14" t="str">
        <v>MAESTRO; TIPOS_V2; TIPOS_V3; MATRIZ; H002</v>
      </c>
      <c r="N18" s="14" t="str">
        <v>Ingreso observado solo en enlaces agregados H002g; no historia completa</v>
      </c>
      <c r="O18" s="15"/>
      <c r="P18" s="14" t="str">
        <v>CADMP</v>
      </c>
      <c r="Q18" s="14" t="n">
        <v>1</v>
      </c>
      <c r="R18" s="14" t="str">
        <v>UNIDO</v>
      </c>
      <c r="S18" s="14" t="str">
        <v>CADMP20251</v>
      </c>
    </row>
    <row r="19" ht="36" customHeight="1">
      <c r="A19" s="15" t="str">
        <v>CADMP20251</v>
      </c>
      <c r="B19" s="15" t="str">
        <v>CADMP</v>
      </c>
      <c r="C19" s="15" t="str">
        <v>RE</v>
      </c>
      <c r="D19" s="15" t="str">
        <v>O</v>
      </c>
      <c r="E19" s="15" t="str">
        <v>CONTINUIDAD</v>
      </c>
      <c r="F19" s="15" t="str">
        <v>C</v>
      </c>
      <c r="G19" s="23" t="n">
        <v>2026</v>
      </c>
      <c r="H19" s="23" t="n">
        <v>2026</v>
      </c>
      <c r="I19" s="15" t="str">
        <v>I162S2C83J4V2</v>
      </c>
      <c r="J19" s="15" t="str">
        <v>PENDIENTE_EVIDENCIA</v>
      </c>
      <c r="K19" s="15" t="str">
        <v>UNIDO</v>
      </c>
      <c r="L19" s="15" t="str">
        <v>CONTINUIDAD (CANDIDATO)</v>
      </c>
      <c r="M19" s="15" t="str">
        <v>MAESTRO; TIPOS_V2; TIPOS_V3; MATRIZ; H002</v>
      </c>
      <c r="N19" s="15" t="str">
        <v>Ingreso observado solo en enlaces agregados H002g; no historia completa</v>
      </c>
      <c r="O19" s="15"/>
      <c r="P19" s="15" t="str">
        <v>CAUDT</v>
      </c>
      <c r="Q19" s="15" t="n">
        <v>1</v>
      </c>
      <c r="R19" s="15" t="str">
        <v>UNIDO</v>
      </c>
      <c r="S19" s="15" t="str">
        <v>CAUDT20251</v>
      </c>
    </row>
    <row r="20" ht="36" customHeight="1">
      <c r="A20" s="14" t="str">
        <v>CAUDT20251</v>
      </c>
      <c r="B20" s="14" t="str">
        <v>CAUDT</v>
      </c>
      <c r="C20" s="14" t="str">
        <v>RE</v>
      </c>
      <c r="D20" s="14" t="str">
        <v>O</v>
      </c>
      <c r="E20" s="14" t="str">
        <v>CONTINUIDAD</v>
      </c>
      <c r="F20" s="14" t="str">
        <v>C</v>
      </c>
      <c r="G20" s="21" t="str">
        <v>E</v>
      </c>
      <c r="H20" s="21" t="str">
        <v>E</v>
      </c>
      <c r="I20" s="14" t="str">
        <v>I162S2C86J4V2</v>
      </c>
      <c r="J20" s="14" t="str">
        <v>PENDIENTE_EVIDENCIA</v>
      </c>
      <c r="K20" s="14" t="str">
        <v>UNIDO</v>
      </c>
      <c r="L20" s="14" t="str">
        <v>CONTINUIDAD (CANDIDATO)</v>
      </c>
      <c r="M20" s="14" t="str">
        <v>MAESTRO; TIPOS_V2; TIPOS_V3; MATRIZ; H002</v>
      </c>
      <c r="N20" s="14" t="str">
        <v>Ingreso observado solo en enlaces agregados H002g; no historia completa</v>
      </c>
      <c r="O20" s="15"/>
      <c r="P20" s="14" t="str">
        <v>CIACI</v>
      </c>
      <c r="Q20" s="14" t="n">
        <v>1</v>
      </c>
      <c r="R20" s="14" t="str">
        <v>SIN_UNION</v>
      </c>
      <c r="S20" s="14" t="str">
        <v>CIACI20241</v>
      </c>
    </row>
    <row r="21" ht="36" customHeight="1">
      <c r="A21" s="15" t="str">
        <v>CIACI20241</v>
      </c>
      <c r="B21" s="15" t="str">
        <v>CIACI</v>
      </c>
      <c r="C21" s="15" t="str">
        <v>RE</v>
      </c>
      <c r="D21" s="15" t="str">
        <v>O</v>
      </c>
      <c r="E21" s="15" t="str">
        <v>CONTINUIDAD</v>
      </c>
      <c r="F21" s="15" t="str">
        <v>C</v>
      </c>
      <c r="G21" s="23" t="str">
        <v>E</v>
      </c>
      <c r="H21" s="23" t="str">
        <v>E</v>
      </c>
      <c r="I21" s="15" t="str">
        <v>E</v>
      </c>
      <c r="J21" s="15" t="str">
        <v>PENDIENTE_EVIDENCIA</v>
      </c>
      <c r="K21" s="15" t="str">
        <v>SIN_UNION</v>
      </c>
      <c r="L21" s="15" t="str">
        <v>CONTINUIDAD (CANDIDATO)</v>
      </c>
      <c r="M21" s="15" t="str">
        <v>MAESTRO; TIPOS_V2; TIPOS_V3; MATRIZ; H002</v>
      </c>
      <c r="N21" s="15" t="str">
        <v>Ingreso observado solo en enlaces agregados H002g; no historia completa</v>
      </c>
      <c r="O21" s="15"/>
      <c r="P21" s="15" t="str">
        <v>CIADM</v>
      </c>
      <c r="Q21" s="15" t="n">
        <v>1</v>
      </c>
      <c r="R21" s="15" t="str">
        <v>UNIDO</v>
      </c>
      <c r="S21" s="15" t="str">
        <v>CIADM20241</v>
      </c>
    </row>
    <row r="22" ht="36" customHeight="1">
      <c r="A22" s="14" t="str">
        <v>CIADM20241</v>
      </c>
      <c r="B22" s="14" t="str">
        <v>CIADM</v>
      </c>
      <c r="C22" s="14" t="str">
        <v>RE</v>
      </c>
      <c r="D22" s="14" t="str">
        <v>O</v>
      </c>
      <c r="E22" s="14" t="str">
        <v>CONTINUIDAD</v>
      </c>
      <c r="F22" s="14" t="str">
        <v>C</v>
      </c>
      <c r="G22" s="21" t="n">
        <v>2025</v>
      </c>
      <c r="H22" s="21" t="n">
        <v>2026</v>
      </c>
      <c r="I22" s="14" t="str">
        <v>I162S2C76J4V1 / I162S2C76J4V2</v>
      </c>
      <c r="J22" s="14" t="str">
        <v>PENDIENTE_EVIDENCIA</v>
      </c>
      <c r="K22" s="14" t="str">
        <v>UNIDO</v>
      </c>
      <c r="L22" s="14" t="str">
        <v>CONTINUIDAD (CANDIDATO)</v>
      </c>
      <c r="M22" s="14" t="str">
        <v>MAESTRO; TIPOS_V2; TIPOS_V3; MATRIZ; H002</v>
      </c>
      <c r="N22" s="14" t="str">
        <v>Ingreso observado solo en enlaces agregados H002g; no historia completa</v>
      </c>
      <c r="O22" s="15"/>
      <c r="P22" s="14" t="str">
        <v>CICDA</v>
      </c>
      <c r="Q22" s="14" t="n">
        <v>1</v>
      </c>
      <c r="R22" s="14" t="str">
        <v>UNIDO</v>
      </c>
      <c r="S22" s="14" t="str">
        <v>CICDA20251</v>
      </c>
    </row>
    <row r="23" ht="36" customHeight="1">
      <c r="A23" s="15" t="str">
        <v>CICDA20251</v>
      </c>
      <c r="B23" s="15" t="str">
        <v>CICDA</v>
      </c>
      <c r="C23" s="15" t="str">
        <v>RE</v>
      </c>
      <c r="D23" s="15" t="str">
        <v>O</v>
      </c>
      <c r="E23" s="15" t="str">
        <v>CONTINUIDAD</v>
      </c>
      <c r="F23" s="15" t="str">
        <v>C</v>
      </c>
      <c r="G23" s="23" t="str">
        <v>E</v>
      </c>
      <c r="H23" s="23" t="str">
        <v>E</v>
      </c>
      <c r="I23" s="15" t="str">
        <v>I162S2C88J4V2</v>
      </c>
      <c r="J23" s="15" t="str">
        <v>PENDIENTE_EVIDENCIA</v>
      </c>
      <c r="K23" s="15" t="str">
        <v>UNIDO</v>
      </c>
      <c r="L23" s="15" t="str">
        <v>CONTINUIDAD (CANDIDATO)</v>
      </c>
      <c r="M23" s="15" t="str">
        <v>MAESTRO; TIPOS_V2; TIPOS_V3; MATRIZ; H002</v>
      </c>
      <c r="N23" s="15" t="str">
        <v>Ingreso observado solo en enlaces agregados H002g; no historia completa</v>
      </c>
      <c r="O23" s="15"/>
      <c r="P23" s="15" t="str">
        <v>CICIB</v>
      </c>
      <c r="Q23" s="15" t="n">
        <v>1</v>
      </c>
      <c r="R23" s="15" t="str">
        <v>UNIDO</v>
      </c>
      <c r="S23" s="15" t="str">
        <v>CICIB20241</v>
      </c>
    </row>
    <row r="24" ht="36" customHeight="1">
      <c r="A24" s="14" t="str">
        <v>CICIB20241</v>
      </c>
      <c r="B24" s="14" t="str">
        <v>CICIB</v>
      </c>
      <c r="C24" s="14" t="str">
        <v>RE</v>
      </c>
      <c r="D24" s="14" t="str">
        <v>O / V</v>
      </c>
      <c r="E24" s="14" t="str">
        <v>CONTINUIDAD</v>
      </c>
      <c r="F24" s="14" t="str">
        <v>C</v>
      </c>
      <c r="G24" s="21" t="n">
        <v>2024</v>
      </c>
      <c r="H24" s="21" t="n">
        <v>2026</v>
      </c>
      <c r="I24" s="14" t="str">
        <v>I162S2C46J2V3 / I162S2C46J4V1 / I162S2C46J4V3</v>
      </c>
      <c r="J24" s="14" t="str">
        <v>PENDIENTE_EVIDENCIA</v>
      </c>
      <c r="K24" s="14" t="str">
        <v>UNIDO</v>
      </c>
      <c r="L24" s="14" t="str">
        <v>CONTINUIDAD (CANDIDATO)</v>
      </c>
      <c r="M24" s="14" t="str">
        <v>MAESTRO; TIPOS_V2; TIPOS_V3; MATRIZ; H002</v>
      </c>
      <c r="N24" s="14" t="str">
        <v>Ingreso observado solo en enlaces agregados H002g; no historia completa</v>
      </c>
      <c r="O24" s="15"/>
      <c r="P24" s="14" t="str">
        <v>CICRE</v>
      </c>
      <c r="Q24" s="14" t="n">
        <v>1</v>
      </c>
      <c r="R24" s="14" t="str">
        <v>UNIDO</v>
      </c>
      <c r="S24" s="14" t="str">
        <v>CICRE20241</v>
      </c>
    </row>
    <row r="25" ht="36" customHeight="1">
      <c r="A25" s="15" t="str">
        <v>CICRE20241</v>
      </c>
      <c r="B25" s="15" t="str">
        <v>CICRE</v>
      </c>
      <c r="C25" s="15" t="str">
        <v>RE</v>
      </c>
      <c r="D25" s="15" t="str">
        <v>O / V</v>
      </c>
      <c r="E25" s="15" t="str">
        <v>CONTINUIDAD</v>
      </c>
      <c r="F25" s="15" t="str">
        <v>C</v>
      </c>
      <c r="G25" s="23" t="n">
        <v>2024</v>
      </c>
      <c r="H25" s="23" t="n">
        <v>2026</v>
      </c>
      <c r="I25" s="15" t="str">
        <v>I162S2C3J2V3 / I162S2C3J4V2 / I162S2C3J4V3</v>
      </c>
      <c r="J25" s="15" t="str">
        <v>PENDIENTE_EVIDENCIA</v>
      </c>
      <c r="K25" s="15" t="str">
        <v>UNIDO</v>
      </c>
      <c r="L25" s="15" t="str">
        <v>CONTINUIDAD (CANDIDATO)</v>
      </c>
      <c r="M25" s="15" t="str">
        <v>MAESTRO; TIPOS_V2; TIPOS_V3; MATRIZ; H002</v>
      </c>
      <c r="N25" s="15" t="str">
        <v>Ingreso observado solo en enlaces agregados H002g; no historia completa</v>
      </c>
      <c r="O25" s="15"/>
      <c r="P25" s="15" t="str">
        <v>CIFIN</v>
      </c>
      <c r="Q25" s="15" t="n">
        <v>1</v>
      </c>
      <c r="R25" s="15" t="str">
        <v>UNIDO</v>
      </c>
      <c r="S25" s="15" t="str">
        <v>CIFIN20261</v>
      </c>
    </row>
    <row r="26" ht="36" customHeight="1">
      <c r="A26" s="14" t="str">
        <v>CIFIN20261</v>
      </c>
      <c r="B26" s="14" t="str">
        <v>CIFIN</v>
      </c>
      <c r="C26" s="14" t="str">
        <v>RE</v>
      </c>
      <c r="D26" s="14" t="str">
        <v>O</v>
      </c>
      <c r="E26" s="14" t="str">
        <v>CONTINUIDAD</v>
      </c>
      <c r="F26" s="14" t="str">
        <v>C</v>
      </c>
      <c r="G26" s="21" t="str">
        <v>E</v>
      </c>
      <c r="H26" s="21" t="str">
        <v>E</v>
      </c>
      <c r="I26" s="14" t="str">
        <v>I162S2C111J4V2</v>
      </c>
      <c r="J26" s="14" t="str">
        <v>PENDIENTE_EVIDENCIA</v>
      </c>
      <c r="K26" s="14" t="str">
        <v>UNIDO</v>
      </c>
      <c r="L26" s="14" t="str">
        <v>CONTINUIDAD (CANDIDATO)</v>
      </c>
      <c r="M26" s="14" t="str">
        <v>MAESTRO; TIPOS_V2; TIPOS_V3; MATRIZ; H002</v>
      </c>
      <c r="N26" s="14" t="str">
        <v>Ingreso observado solo en enlaces agregados H002g; no historia completa</v>
      </c>
      <c r="O26" s="15"/>
      <c r="P26" s="14" t="str">
        <v>CIIND</v>
      </c>
      <c r="Q26" s="14" t="n">
        <v>1</v>
      </c>
      <c r="R26" s="14" t="str">
        <v>UNIDO</v>
      </c>
      <c r="S26" s="14" t="str">
        <v>CIIND20251</v>
      </c>
    </row>
    <row r="27" ht="36" customHeight="1">
      <c r="A27" s="15" t="str">
        <v>CIIND20251</v>
      </c>
      <c r="B27" s="15" t="str">
        <v>CIIND</v>
      </c>
      <c r="C27" s="15" t="str">
        <v>RE</v>
      </c>
      <c r="D27" s="15" t="str">
        <v>O</v>
      </c>
      <c r="E27" s="15" t="str">
        <v>CONTINUIDAD</v>
      </c>
      <c r="F27" s="15" t="str">
        <v>C</v>
      </c>
      <c r="G27" s="23" t="n">
        <v>2025</v>
      </c>
      <c r="H27" s="23" t="n">
        <v>2026</v>
      </c>
      <c r="I27" s="15" t="str">
        <v>I162S2C22J4V2</v>
      </c>
      <c r="J27" s="15" t="str">
        <v>PENDIENTE_EVIDENCIA</v>
      </c>
      <c r="K27" s="15" t="str">
        <v>UNIDO</v>
      </c>
      <c r="L27" s="15" t="str">
        <v>CONTINUIDAD (CANDIDATO)</v>
      </c>
      <c r="M27" s="15" t="str">
        <v>MAESTRO; TIPOS_V2; TIPOS_V3; MATRIZ; H002</v>
      </c>
      <c r="N27" s="15" t="str">
        <v>Ingreso observado solo en enlaces agregados H002g; no historia completa</v>
      </c>
      <c r="O27" s="15"/>
      <c r="P27" s="15" t="str">
        <v>CIINF</v>
      </c>
      <c r="Q27" s="15" t="n">
        <v>1</v>
      </c>
      <c r="R27" s="15" t="str">
        <v>UNIDO</v>
      </c>
      <c r="S27" s="15" t="str">
        <v>CIINF20241</v>
      </c>
    </row>
    <row r="28" ht="36" customHeight="1">
      <c r="A28" s="14" t="str">
        <v>CIINF20241</v>
      </c>
      <c r="B28" s="14" t="str">
        <v>CIINF</v>
      </c>
      <c r="C28" s="14" t="str">
        <v>RE</v>
      </c>
      <c r="D28" s="14" t="str">
        <v>O</v>
      </c>
      <c r="E28" s="14" t="str">
        <v>CONTINUIDAD</v>
      </c>
      <c r="F28" s="14" t="str">
        <v>C</v>
      </c>
      <c r="G28" s="21" t="n">
        <v>2024</v>
      </c>
      <c r="H28" s="21" t="n">
        <v>2026</v>
      </c>
      <c r="I28" s="14" t="str">
        <v>I162S2C1J4V2 / I162S2C1J4V3</v>
      </c>
      <c r="J28" s="14" t="str">
        <v>PENDIENTE_EVIDENCIA</v>
      </c>
      <c r="K28" s="14" t="str">
        <v>UNIDO</v>
      </c>
      <c r="L28" s="14" t="str">
        <v>CONTINUIDAD (CANDIDATO)</v>
      </c>
      <c r="M28" s="14" t="str">
        <v>MAESTRO; TIPOS_V2; TIPOS_V3; MATRIZ; H002</v>
      </c>
      <c r="N28" s="14" t="str">
        <v>Ingreso observado solo en enlaces agregados H002g; no historia completa</v>
      </c>
      <c r="O28" s="15"/>
      <c r="P28" s="14" t="str">
        <v>CILOG</v>
      </c>
      <c r="Q28" s="14" t="n">
        <v>1</v>
      </c>
      <c r="R28" s="14" t="str">
        <v>UNIDO</v>
      </c>
      <c r="S28" s="14" t="str">
        <v>CILOG20241</v>
      </c>
    </row>
    <row r="29" ht="36" customHeight="1">
      <c r="A29" s="15" t="str">
        <v>CILOG20241</v>
      </c>
      <c r="B29" s="15" t="str">
        <v>CILOG</v>
      </c>
      <c r="C29" s="15" t="str">
        <v>RE</v>
      </c>
      <c r="D29" s="15" t="str">
        <v>O</v>
      </c>
      <c r="E29" s="15" t="str">
        <v>CONTINUIDAD</v>
      </c>
      <c r="F29" s="15" t="str">
        <v>C</v>
      </c>
      <c r="G29" s="23" t="n">
        <v>2025</v>
      </c>
      <c r="H29" s="23" t="n">
        <v>2026</v>
      </c>
      <c r="I29" s="15" t="str">
        <v>I162S2C77J4V1 / I162S2C77J4V2</v>
      </c>
      <c r="J29" s="15" t="str">
        <v>PENDIENTE_EVIDENCIA</v>
      </c>
      <c r="K29" s="15" t="str">
        <v>UNIDO</v>
      </c>
      <c r="L29" s="15" t="str">
        <v>CONTINUIDAD (CANDIDATO)</v>
      </c>
      <c r="M29" s="15" t="str">
        <v>MAESTRO; TIPOS_V2; TIPOS_V3; MATRIZ; H002</v>
      </c>
      <c r="N29" s="15" t="str">
        <v>Ingreso observado solo en enlaces agregados H002g; no historia completa</v>
      </c>
      <c r="O29" s="15"/>
      <c r="P29" s="15" t="str">
        <v>CIMDI</v>
      </c>
      <c r="Q29" s="15" t="n">
        <v>1</v>
      </c>
      <c r="R29" s="15" t="str">
        <v>UNIDO</v>
      </c>
      <c r="S29" s="15" t="str">
        <v>CIMDI20261</v>
      </c>
    </row>
    <row r="30" ht="36" customHeight="1">
      <c r="A30" s="14" t="str">
        <v>CIMDI20261</v>
      </c>
      <c r="B30" s="14" t="str">
        <v>CIMDI</v>
      </c>
      <c r="C30" s="14" t="str">
        <v>RE</v>
      </c>
      <c r="D30" s="14" t="str">
        <v>O</v>
      </c>
      <c r="E30" s="14" t="str">
        <v>CONTINUIDAD</v>
      </c>
      <c r="F30" s="14" t="str">
        <v>C</v>
      </c>
      <c r="G30" s="21" t="str">
        <v>E</v>
      </c>
      <c r="H30" s="21" t="str">
        <v>E</v>
      </c>
      <c r="I30" s="14" t="str">
        <v>I162S2C112J4V2</v>
      </c>
      <c r="J30" s="14" t="str">
        <v>PENDIENTE_EVIDENCIA</v>
      </c>
      <c r="K30" s="14" t="str">
        <v>UNIDO</v>
      </c>
      <c r="L30" s="14" t="str">
        <v>CONTINUIDAD (CANDIDATO)</v>
      </c>
      <c r="M30" s="14" t="str">
        <v>MAESTRO; TIPOS_V2; TIPOS_V3; MATRIZ; H002</v>
      </c>
      <c r="N30" s="14" t="str">
        <v>Ingreso observado solo en enlaces agregados H002g; no historia completa</v>
      </c>
      <c r="O30" s="15"/>
      <c r="P30" s="14" t="str">
        <v>CIPRE</v>
      </c>
      <c r="Q30" s="14" t="n">
        <v>1</v>
      </c>
      <c r="R30" s="14" t="str">
        <v>UNIDO</v>
      </c>
      <c r="S30" s="14" t="str">
        <v>CIPRE20261</v>
      </c>
    </row>
    <row r="31" ht="36" customHeight="1">
      <c r="A31" s="15" t="str">
        <v>CIPRE20261</v>
      </c>
      <c r="B31" s="15" t="str">
        <v>CIPRE</v>
      </c>
      <c r="C31" s="15" t="str">
        <v>RE</v>
      </c>
      <c r="D31" s="15" t="str">
        <v>O</v>
      </c>
      <c r="E31" s="15" t="str">
        <v>CONTINUIDAD</v>
      </c>
      <c r="F31" s="15" t="str">
        <v>C</v>
      </c>
      <c r="G31" s="23" t="str">
        <v>E</v>
      </c>
      <c r="H31" s="23" t="str">
        <v>E</v>
      </c>
      <c r="I31" s="15" t="str">
        <v>I162S2C124J4V2</v>
      </c>
      <c r="J31" s="15" t="str">
        <v>PENDIENTE_EVIDENCIA</v>
      </c>
      <c r="K31" s="15" t="str">
        <v>UNIDO</v>
      </c>
      <c r="L31" s="15" t="str">
        <v>CONTINUIDAD (CANDIDATO)</v>
      </c>
      <c r="M31" s="15" t="str">
        <v>MAESTRO; TIPOS_V2; TIPOS_V3; MATRIZ; H002</v>
      </c>
      <c r="N31" s="15" t="str">
        <v>Ingreso observado solo en enlaces agregados H002g; no historia completa</v>
      </c>
      <c r="O31" s="15"/>
      <c r="P31" s="15" t="str">
        <v>CIRHU</v>
      </c>
      <c r="Q31" s="15" t="n">
        <v>1</v>
      </c>
      <c r="R31" s="15" t="str">
        <v>UNIDO</v>
      </c>
      <c r="S31" s="15" t="str">
        <v>CIRHU20261</v>
      </c>
    </row>
    <row r="32" ht="36" customHeight="1">
      <c r="A32" s="14" t="str">
        <v>CIRHU20261</v>
      </c>
      <c r="B32" s="14" t="str">
        <v>CIRHU</v>
      </c>
      <c r="C32" s="14" t="str">
        <v>RE</v>
      </c>
      <c r="D32" s="14" t="str">
        <v>O</v>
      </c>
      <c r="E32" s="14" t="str">
        <v>CONTINUIDAD</v>
      </c>
      <c r="F32" s="14" t="str">
        <v>C</v>
      </c>
      <c r="G32" s="21" t="str">
        <v>E</v>
      </c>
      <c r="H32" s="21" t="str">
        <v>E</v>
      </c>
      <c r="I32" s="14" t="str">
        <v>I162S2C113J4V2</v>
      </c>
      <c r="J32" s="14" t="str">
        <v>PENDIENTE_EVIDENCIA</v>
      </c>
      <c r="K32" s="14" t="str">
        <v>UNIDO</v>
      </c>
      <c r="L32" s="14" t="str">
        <v>CONTINUIDAD (CANDIDATO)</v>
      </c>
      <c r="M32" s="14" t="str">
        <v>MAESTRO; TIPOS_V2; TIPOS_V3; MATRIZ; H002</v>
      </c>
      <c r="N32" s="14" t="str">
        <v>Ingreso observado solo en enlaces agregados H002g; no historia completa</v>
      </c>
      <c r="O32" s="15"/>
      <c r="P32" s="14" t="str">
        <v>CISEP</v>
      </c>
      <c r="Q32" s="14" t="n">
        <v>1</v>
      </c>
      <c r="R32" s="14" t="str">
        <v>UNIDO</v>
      </c>
      <c r="S32" s="14" t="str">
        <v>CISEP20261</v>
      </c>
    </row>
    <row r="33" ht="36" customHeight="1">
      <c r="A33" s="15" t="str">
        <v>CISEP20261</v>
      </c>
      <c r="B33" s="15" t="str">
        <v>CISEP</v>
      </c>
      <c r="C33" s="15" t="str">
        <v>RE</v>
      </c>
      <c r="D33" s="15" t="str">
        <v>O</v>
      </c>
      <c r="E33" s="15" t="str">
        <v>CONTINUIDAD</v>
      </c>
      <c r="F33" s="15" t="str">
        <v>C</v>
      </c>
      <c r="G33" s="23" t="str">
        <v>E</v>
      </c>
      <c r="H33" s="23" t="str">
        <v>E</v>
      </c>
      <c r="I33" s="15" t="str">
        <v>I162S2C125J4V2</v>
      </c>
      <c r="J33" s="15" t="str">
        <v>PENDIENTE_EVIDENCIA</v>
      </c>
      <c r="K33" s="15" t="str">
        <v>UNIDO</v>
      </c>
      <c r="L33" s="15" t="str">
        <v>CONTINUIDAD (CANDIDATO)</v>
      </c>
      <c r="M33" s="15" t="str">
        <v>MAESTRO; TIPOS_V2; TIPOS_V3; MATRIZ; H002</v>
      </c>
      <c r="N33" s="15" t="str">
        <v>Ingreso observado solo en enlaces agregados H002g; no historia completa</v>
      </c>
      <c r="O33" s="15"/>
      <c r="P33" s="15" t="str">
        <v>CNATP</v>
      </c>
      <c r="Q33" s="15" t="n">
        <v>1</v>
      </c>
      <c r="R33" s="15" t="str">
        <v>SIN_UNION</v>
      </c>
      <c r="S33" s="15" t="str">
        <v>CNATP20251</v>
      </c>
    </row>
    <row r="34" ht="36" customHeight="1">
      <c r="A34" s="14" t="str">
        <v>CNATP20251</v>
      </c>
      <c r="B34" s="14" t="str">
        <v>CNATP</v>
      </c>
      <c r="C34" s="14" t="str">
        <v>RE</v>
      </c>
      <c r="D34" s="14" t="str">
        <v>V</v>
      </c>
      <c r="E34" s="14" t="str">
        <v>E</v>
      </c>
      <c r="F34" s="14" t="str">
        <v>E</v>
      </c>
      <c r="G34" s="21" t="str">
        <v>E</v>
      </c>
      <c r="H34" s="21" t="str">
        <v>E</v>
      </c>
      <c r="I34" s="14" t="str">
        <v>E</v>
      </c>
      <c r="J34" s="14" t="str">
        <v>PENDIENTE_EVIDENCIA</v>
      </c>
      <c r="K34" s="14" t="str">
        <v>SIN_UNION</v>
      </c>
      <c r="L34" s="14" t="str">
        <v>E (CANDIDATO)</v>
      </c>
      <c r="M34" s="14" t="str">
        <v>MAESTRO; TIPOS_V2; TIPOS_V3; MATRIZ; H002</v>
      </c>
      <c r="N34" s="14" t="str">
        <v>Ingreso observado solo en enlaces agregados H002g; no historia completa</v>
      </c>
      <c r="O34" s="15"/>
      <c r="P34" s="14" t="str">
        <v>CONG</v>
      </c>
      <c r="Q34" s="14" t="n">
        <v>1</v>
      </c>
      <c r="R34" s="14" t="str">
        <v>UNIDO</v>
      </c>
      <c r="S34" s="14" t="str">
        <v>CONG20251</v>
      </c>
    </row>
    <row r="35" ht="36" customHeight="1">
      <c r="A35" s="15" t="str">
        <v>CONG20251</v>
      </c>
      <c r="B35" s="15" t="str">
        <v>CONG</v>
      </c>
      <c r="C35" s="15" t="str">
        <v>RE</v>
      </c>
      <c r="D35" s="15" t="str">
        <v>O</v>
      </c>
      <c r="E35" s="15" t="str">
        <v>REGULAR</v>
      </c>
      <c r="F35" s="15" t="str">
        <v>C</v>
      </c>
      <c r="G35" s="23" t="n">
        <v>2025</v>
      </c>
      <c r="H35" s="23" t="n">
        <v>2026</v>
      </c>
      <c r="I35" s="15" t="str">
        <v>I162S2C85J4V1</v>
      </c>
      <c r="J35" s="15" t="str">
        <v>PENDIENTE_EVIDENCIA</v>
      </c>
      <c r="K35" s="15" t="str">
        <v>UNIDO</v>
      </c>
      <c r="L35" s="15" t="str">
        <v>REGULAR (CANDIDATO)</v>
      </c>
      <c r="M35" s="15" t="str">
        <v>MAESTRO; TIPOS_V2; TIPOS_V3; MATRIZ; H002</v>
      </c>
      <c r="N35" s="15" t="str">
        <v>Ingreso observado solo en enlaces agregados H002g; no historia completa</v>
      </c>
      <c r="O35" s="15"/>
      <c r="P35" s="15" t="str">
        <v>COPCOM</v>
      </c>
      <c r="Q35" s="15" t="n">
        <v>1</v>
      </c>
      <c r="R35" s="15" t="str">
        <v>SIN_UNION</v>
      </c>
      <c r="S35" s="15" t="str">
        <v>COPCOM20261</v>
      </c>
    </row>
    <row r="36" ht="36" customHeight="1">
      <c r="A36" s="14" t="str">
        <v>COPCOM20261</v>
      </c>
      <c r="B36" s="14" t="str">
        <v>COPCOM</v>
      </c>
      <c r="C36" s="14" t="str">
        <v>CO</v>
      </c>
      <c r="D36" s="14" t="str">
        <v>E</v>
      </c>
      <c r="E36" s="14" t="str">
        <v>E</v>
      </c>
      <c r="F36" s="14" t="str">
        <v>E</v>
      </c>
      <c r="G36" s="21" t="str">
        <v>E</v>
      </c>
      <c r="H36" s="21" t="str">
        <v>E</v>
      </c>
      <c r="I36" s="14" t="str">
        <v>E</v>
      </c>
      <c r="J36" s="14" t="str">
        <v>SIN_CANDIDATO_EN_FUENTE_2026</v>
      </c>
      <c r="K36" s="14" t="str">
        <v>SIN_UNION</v>
      </c>
      <c r="L36" s="14" t="str">
        <v>E (CANDIDATO)</v>
      </c>
      <c r="M36" s="14" t="str">
        <v>MAESTRO; TIPOS_V2; TIPOS_V3; MATRIZ; H002</v>
      </c>
      <c r="N36" s="14" t="str">
        <v>Ingreso observado solo en enlaces agregados H002g; no historia completa</v>
      </c>
      <c r="O36" s="15"/>
      <c r="P36" s="14" t="str">
        <v>COTEIQ</v>
      </c>
      <c r="Q36" s="14" t="n">
        <v>1</v>
      </c>
      <c r="R36" s="14" t="str">
        <v>UNIDO</v>
      </c>
      <c r="S36" s="14" t="str">
        <v>COTEIQ20261</v>
      </c>
    </row>
    <row r="37" ht="36" customHeight="1">
      <c r="A37" s="15" t="str">
        <v>COTEIQ20261</v>
      </c>
      <c r="B37" s="15" t="str">
        <v>COTEIQ</v>
      </c>
      <c r="C37" s="15" t="str">
        <v>CO</v>
      </c>
      <c r="D37" s="15" t="str">
        <v>V</v>
      </c>
      <c r="E37" s="15" t="str">
        <v>REGULAR</v>
      </c>
      <c r="F37" s="15" t="str">
        <v>C</v>
      </c>
      <c r="G37" s="23" t="n">
        <v>2026</v>
      </c>
      <c r="H37" s="23" t="n">
        <v>2026</v>
      </c>
      <c r="I37" s="15" t="str">
        <v>I162S3C114J2V1</v>
      </c>
      <c r="J37" s="15" t="str">
        <v>SIN_CANDIDATO_EN_FUENTE_2026</v>
      </c>
      <c r="K37" s="15" t="str">
        <v>UNIDO</v>
      </c>
      <c r="L37" s="15" t="str">
        <v>REGULAR (CANDIDATO)</v>
      </c>
      <c r="M37" s="15" t="str">
        <v>MAESTRO; TIPOS_V2; TIPOS_V3; MATRIZ; H002</v>
      </c>
      <c r="N37" s="15" t="str">
        <v>Ingreso observado solo en enlaces agregados H002g; no historia completa</v>
      </c>
      <c r="O37" s="15"/>
      <c r="P37" s="15" t="str">
        <v>COTENS</v>
      </c>
      <c r="Q37" s="15" t="n">
        <v>1</v>
      </c>
      <c r="R37" s="15" t="str">
        <v>UNIDO</v>
      </c>
      <c r="S37" s="15" t="str">
        <v>COTENS20261</v>
      </c>
    </row>
    <row r="38" ht="36" customHeight="1">
      <c r="A38" s="14" t="str">
        <v>COTENS20261</v>
      </c>
      <c r="B38" s="14" t="str">
        <v>COTENS</v>
      </c>
      <c r="C38" s="14" t="str">
        <v>CO</v>
      </c>
      <c r="D38" s="14" t="str">
        <v>V</v>
      </c>
      <c r="E38" s="14" t="str">
        <v>REGULAR</v>
      </c>
      <c r="F38" s="14" t="str">
        <v>C</v>
      </c>
      <c r="G38" s="21" t="n">
        <v>2026</v>
      </c>
      <c r="H38" s="21" t="n">
        <v>2026</v>
      </c>
      <c r="I38" s="14" t="str">
        <v>I162S3C91J2V1</v>
      </c>
      <c r="J38" s="14" t="str">
        <v>SIN_CANDIDATO_EN_FUENTE_2026</v>
      </c>
      <c r="K38" s="14" t="str">
        <v>UNIDO</v>
      </c>
      <c r="L38" s="14" t="str">
        <v>REGULAR (CANDIDATO)</v>
      </c>
      <c r="M38" s="14" t="str">
        <v>MAESTRO; TIPOS_V2; TIPOS_V3; MATRIZ; H002</v>
      </c>
      <c r="N38" s="14" t="str">
        <v>Ingreso observado solo en enlaces agregados H002g; no historia completa</v>
      </c>
      <c r="O38" s="15"/>
      <c r="P38" s="14" t="str">
        <v>COTFAR</v>
      </c>
      <c r="Q38" s="14" t="n">
        <v>1</v>
      </c>
      <c r="R38" s="14" t="str">
        <v>UNIDO</v>
      </c>
      <c r="S38" s="14" t="str">
        <v>COTFAR20261</v>
      </c>
    </row>
    <row r="39" ht="36" customHeight="1">
      <c r="A39" s="15" t="str">
        <v>COTFAR20261</v>
      </c>
      <c r="B39" s="15" t="str">
        <v>COTFAR</v>
      </c>
      <c r="C39" s="15" t="str">
        <v>CO</v>
      </c>
      <c r="D39" s="15" t="str">
        <v>V</v>
      </c>
      <c r="E39" s="15" t="str">
        <v>REGULAR</v>
      </c>
      <c r="F39" s="15" t="str">
        <v>C</v>
      </c>
      <c r="G39" s="23" t="n">
        <v>2026</v>
      </c>
      <c r="H39" s="23" t="n">
        <v>2026</v>
      </c>
      <c r="I39" s="15" t="str">
        <v>I162S3C115J2V1</v>
      </c>
      <c r="J39" s="15" t="str">
        <v>SIN_CANDIDATO_EN_FUENTE_2026</v>
      </c>
      <c r="K39" s="15" t="str">
        <v>UNIDO</v>
      </c>
      <c r="L39" s="15" t="str">
        <v>REGULAR (CANDIDATO)</v>
      </c>
      <c r="M39" s="15" t="str">
        <v>MAESTRO; TIPOS_V2; TIPOS_V3; MATRIZ; H002</v>
      </c>
      <c r="N39" s="15" t="str">
        <v>Ingreso observado solo en enlaces agregados H002g; no historia completa</v>
      </c>
      <c r="O39" s="15"/>
      <c r="P39" s="15" t="str">
        <v>CRPYA</v>
      </c>
      <c r="Q39" s="15" t="n">
        <v>1</v>
      </c>
      <c r="R39" s="15" t="str">
        <v>SIN_UNION</v>
      </c>
      <c r="S39" s="15" t="str">
        <v>CRPYA20261</v>
      </c>
    </row>
    <row r="40" ht="36" customHeight="1">
      <c r="A40" s="14" t="str">
        <v>CRPYA20261</v>
      </c>
      <c r="B40" s="14" t="str">
        <v>CRPYA</v>
      </c>
      <c r="C40" s="14" t="str">
        <v>RE</v>
      </c>
      <c r="D40" s="14" t="str">
        <v>E</v>
      </c>
      <c r="E40" s="14" t="str">
        <v>E</v>
      </c>
      <c r="F40" s="14" t="str">
        <v>E</v>
      </c>
      <c r="G40" s="21" t="str">
        <v>E</v>
      </c>
      <c r="H40" s="21" t="str">
        <v>E</v>
      </c>
      <c r="I40" s="14" t="str">
        <v>E</v>
      </c>
      <c r="J40" s="14" t="str">
        <v>SIN_CANDIDATO_EN_FUENTE_2026</v>
      </c>
      <c r="K40" s="14" t="str">
        <v>SIN_UNION</v>
      </c>
      <c r="L40" s="14" t="str">
        <v>E (CANDIDATO)</v>
      </c>
      <c r="M40" s="14" t="str">
        <v>MAESTRO; TIPOS_V2; TIPOS_V3; MATRIZ; H002</v>
      </c>
      <c r="N40" s="14" t="str">
        <v>Ingreso observado solo en enlaces agregados H002g; no historia completa</v>
      </c>
      <c r="O40" s="15"/>
      <c r="P40" s="14" t="str">
        <v>CRPYB</v>
      </c>
      <c r="Q40" s="14" t="n">
        <v>1</v>
      </c>
      <c r="R40" s="14" t="str">
        <v>SIN_UNION</v>
      </c>
      <c r="S40" s="14" t="str">
        <v>CRPYB20261</v>
      </c>
    </row>
    <row r="41" ht="36" customHeight="1">
      <c r="A41" s="15" t="str">
        <v>CRPYB20261</v>
      </c>
      <c r="B41" s="15" t="str">
        <v>CRPYB</v>
      </c>
      <c r="C41" s="15" t="str">
        <v>RE</v>
      </c>
      <c r="D41" s="15" t="str">
        <v>E</v>
      </c>
      <c r="E41" s="15" t="str">
        <v>E</v>
      </c>
      <c r="F41" s="15" t="str">
        <v>E</v>
      </c>
      <c r="G41" s="23" t="str">
        <v>E</v>
      </c>
      <c r="H41" s="23" t="str">
        <v>E</v>
      </c>
      <c r="I41" s="15" t="str">
        <v>E</v>
      </c>
      <c r="J41" s="15" t="str">
        <v>SIN_CANDIDATO_EN_FUENTE_2026</v>
      </c>
      <c r="K41" s="15" t="str">
        <v>SIN_UNION</v>
      </c>
      <c r="L41" s="15" t="str">
        <v>E (CANDIDATO)</v>
      </c>
      <c r="M41" s="15" t="str">
        <v>MAESTRO; TIPOS_V2; TIPOS_V3; MATRIZ; H002</v>
      </c>
      <c r="N41" s="15" t="str">
        <v>Ingreso observado solo en enlaces agregados H002g; no historia completa</v>
      </c>
      <c r="O41" s="15"/>
      <c r="P41" s="15" t="str">
        <v>DACD</v>
      </c>
      <c r="Q41" s="15" t="n">
        <v>1</v>
      </c>
      <c r="R41" s="15" t="str">
        <v>SIN_UNION</v>
      </c>
      <c r="S41" s="15" t="str">
        <v>DACD20251</v>
      </c>
    </row>
    <row r="42" ht="36" customHeight="1">
      <c r="A42" s="14" t="str">
        <v>DACD20251</v>
      </c>
      <c r="B42" s="14" t="str">
        <v>DACD</v>
      </c>
      <c r="C42" s="14" t="str">
        <v>RE</v>
      </c>
      <c r="D42" s="14" t="str">
        <v>O</v>
      </c>
      <c r="E42" s="14" t="str">
        <v>REGULAR</v>
      </c>
      <c r="F42" s="14" t="str">
        <v>C</v>
      </c>
      <c r="G42" s="21" t="str">
        <v>E</v>
      </c>
      <c r="H42" s="21" t="str">
        <v>E</v>
      </c>
      <c r="I42" s="14" t="str">
        <v>E</v>
      </c>
      <c r="J42" s="14" t="str">
        <v>PENDIENTE_EVIDENCIA</v>
      </c>
      <c r="K42" s="14" t="str">
        <v>SIN_UNION</v>
      </c>
      <c r="L42" s="14" t="str">
        <v>REGULAR (CANDIDATO)</v>
      </c>
      <c r="M42" s="14" t="str">
        <v>MAESTRO; TIPOS_V2; TIPOS_V3; MATRIZ; H002</v>
      </c>
      <c r="N42" s="14" t="str">
        <v>Ingreso observado solo en enlaces agregados H002g; no historia completa</v>
      </c>
      <c r="O42" s="15"/>
      <c r="P42" s="14" t="str">
        <v>DAPB</v>
      </c>
      <c r="Q42" s="14" t="n">
        <v>1</v>
      </c>
      <c r="R42" s="14" t="str">
        <v>SIN_UNION</v>
      </c>
      <c r="S42" s="14" t="str">
        <v>DAPB</v>
      </c>
    </row>
    <row r="43" ht="36" customHeight="1">
      <c r="A43" s="15" t="str">
        <v>DAPB</v>
      </c>
      <c r="B43" s="15" t="str">
        <v>DAPB</v>
      </c>
      <c r="C43" s="15" t="str">
        <v>RE</v>
      </c>
      <c r="D43" s="15" t="str">
        <v>O</v>
      </c>
      <c r="E43" s="15" t="str">
        <v>E</v>
      </c>
      <c r="F43" s="15" t="str">
        <v>E</v>
      </c>
      <c r="G43" s="23" t="str">
        <v>E</v>
      </c>
      <c r="H43" s="23" t="str">
        <v>E</v>
      </c>
      <c r="I43" s="15" t="str">
        <v>E</v>
      </c>
      <c r="J43" s="15" t="str">
        <v>SIN_CANDIDATO_EN_FUENTE_2026</v>
      </c>
      <c r="K43" s="15" t="str">
        <v>SIN_UNION</v>
      </c>
      <c r="L43" s="15" t="str">
        <v>E (CANDIDATO)</v>
      </c>
      <c r="M43" s="15" t="str">
        <v>MAESTRO; TIPOS_V2; TIPOS_V3; MATRIZ; H002</v>
      </c>
      <c r="N43" s="15" t="str">
        <v>Ingreso observado solo en enlaces agregados H002g; no historia completa</v>
      </c>
      <c r="O43" s="15"/>
      <c r="P43" s="15" t="str">
        <v>DCBS</v>
      </c>
      <c r="Q43" s="15" t="n">
        <v>1</v>
      </c>
      <c r="R43" s="15" t="str">
        <v>SIN_UNION</v>
      </c>
      <c r="S43" s="15" t="str">
        <v>DCBS20251</v>
      </c>
    </row>
    <row r="44" ht="36" customHeight="1">
      <c r="A44" s="14" t="str">
        <v>DCBS20251</v>
      </c>
      <c r="B44" s="14" t="str">
        <v>DCBS</v>
      </c>
      <c r="C44" s="14" t="str">
        <v>RE</v>
      </c>
      <c r="D44" s="14" t="str">
        <v>O</v>
      </c>
      <c r="E44" s="14" t="str">
        <v>REGULAR</v>
      </c>
      <c r="F44" s="14" t="str">
        <v>C</v>
      </c>
      <c r="G44" s="21" t="str">
        <v>E</v>
      </c>
      <c r="H44" s="21" t="str">
        <v>E</v>
      </c>
      <c r="I44" s="14" t="str">
        <v>E</v>
      </c>
      <c r="J44" s="14" t="str">
        <v>PENDIENTE_EVIDENCIA</v>
      </c>
      <c r="K44" s="14" t="str">
        <v>SIN_UNION</v>
      </c>
      <c r="L44" s="14" t="str">
        <v>REGULAR (CANDIDATO)</v>
      </c>
      <c r="M44" s="14" t="str">
        <v>MAESTRO; TIPOS_V2; TIPOS_V3; MATRIZ; H002</v>
      </c>
      <c r="N44" s="14" t="str">
        <v>Ingreso observado solo en enlaces agregados H002g; no historia completa</v>
      </c>
      <c r="O44" s="15"/>
      <c r="P44" s="14" t="str">
        <v>DCID</v>
      </c>
      <c r="Q44" s="14" t="n">
        <v>1</v>
      </c>
      <c r="R44" s="14" t="str">
        <v>SIN_UNION</v>
      </c>
      <c r="S44" s="14" t="str">
        <v>DCID20262</v>
      </c>
    </row>
    <row r="45" ht="36" customHeight="1">
      <c r="A45" s="15" t="str">
        <v>DCID20262</v>
      </c>
      <c r="B45" s="15" t="str">
        <v>DCID</v>
      </c>
      <c r="C45" s="15" t="str">
        <v>RE</v>
      </c>
      <c r="D45" s="15" t="str">
        <v>E</v>
      </c>
      <c r="E45" s="15" t="str">
        <v>E</v>
      </c>
      <c r="F45" s="15" t="str">
        <v>E</v>
      </c>
      <c r="G45" s="23" t="str">
        <v>E</v>
      </c>
      <c r="H45" s="23" t="str">
        <v>E</v>
      </c>
      <c r="I45" s="15" t="str">
        <v>E</v>
      </c>
      <c r="J45" s="15" t="str">
        <v>SIN_CANDIDATO_EN_FUENTE_2026</v>
      </c>
      <c r="K45" s="15" t="str">
        <v>SIN_UNION</v>
      </c>
      <c r="L45" s="15" t="str">
        <v>E (CANDIDATO)</v>
      </c>
      <c r="M45" s="15" t="str">
        <v>MAESTRO; TIPOS_V2; TIPOS_V3; MATRIZ; H002</v>
      </c>
      <c r="N45" s="15" t="str">
        <v>Ingreso observado solo en enlaces agregados H002g; no historia completa</v>
      </c>
      <c r="O45" s="15"/>
      <c r="P45" s="15" t="str">
        <v>DCSARE</v>
      </c>
      <c r="Q45" s="15" t="n">
        <v>1</v>
      </c>
      <c r="R45" s="15" t="str">
        <v>SIN_UNION</v>
      </c>
      <c r="S45" s="15" t="str">
        <v>DCSARE20191</v>
      </c>
    </row>
    <row r="46" ht="36" customHeight="1">
      <c r="A46" s="14" t="str">
        <v>DCSARE20191</v>
      </c>
      <c r="B46" s="14" t="str">
        <v>DCSARE</v>
      </c>
      <c r="C46" s="14" t="str">
        <v>RE</v>
      </c>
      <c r="D46" s="14" t="str">
        <v>O / V</v>
      </c>
      <c r="E46" s="14" t="str">
        <v>E</v>
      </c>
      <c r="F46" s="14" t="str">
        <v>E</v>
      </c>
      <c r="G46" s="21" t="str">
        <v>E</v>
      </c>
      <c r="H46" s="21" t="str">
        <v>E</v>
      </c>
      <c r="I46" s="14" t="str">
        <v>E</v>
      </c>
      <c r="J46" s="14" t="str">
        <v>SIN_CANDIDATO_EN_FUENTE_2026</v>
      </c>
      <c r="K46" s="14" t="str">
        <v>SIN_UNION</v>
      </c>
      <c r="L46" s="14" t="str">
        <v>E (CANDIDATO)</v>
      </c>
      <c r="M46" s="14" t="str">
        <v>MAESTRO; TIPOS_V2; TIPOS_V3; MATRIZ; H002</v>
      </c>
      <c r="N46" s="14" t="str">
        <v>Ingreso observado solo en enlaces agregados H002g; no historia completa</v>
      </c>
      <c r="O46" s="15"/>
      <c r="P46" s="14" t="str">
        <v>DCSI</v>
      </c>
      <c r="Q46" s="14" t="n">
        <v>1</v>
      </c>
      <c r="R46" s="14" t="str">
        <v>SIN_UNION</v>
      </c>
      <c r="S46" s="14" t="str">
        <v>DCSI20251</v>
      </c>
    </row>
    <row r="47" ht="36" customHeight="1">
      <c r="A47" s="15" t="str">
        <v>DCSI20251</v>
      </c>
      <c r="B47" s="15" t="str">
        <v>DCSI</v>
      </c>
      <c r="C47" s="15" t="str">
        <v>RE</v>
      </c>
      <c r="D47" s="15" t="str">
        <v>O</v>
      </c>
      <c r="E47" s="15" t="str">
        <v>E</v>
      </c>
      <c r="F47" s="15" t="str">
        <v>E</v>
      </c>
      <c r="G47" s="23" t="str">
        <v>E</v>
      </c>
      <c r="H47" s="23" t="str">
        <v>E</v>
      </c>
      <c r="I47" s="15" t="str">
        <v>E</v>
      </c>
      <c r="J47" s="15" t="str">
        <v>SIN_CANDIDATO_EN_FUENTE_2026</v>
      </c>
      <c r="K47" s="15" t="str">
        <v>SIN_UNION</v>
      </c>
      <c r="L47" s="15" t="str">
        <v>E (CANDIDATO)</v>
      </c>
      <c r="M47" s="15" t="str">
        <v>MAESTRO; TIPOS_V2; TIPOS_V3; MATRIZ; H002</v>
      </c>
      <c r="N47" s="15" t="str">
        <v>Ingreso observado solo en enlaces agregados H002g; no historia completa</v>
      </c>
      <c r="O47" s="15"/>
      <c r="P47" s="15" t="str">
        <v>DDASC</v>
      </c>
      <c r="Q47" s="15" t="n">
        <v>1</v>
      </c>
      <c r="R47" s="15" t="str">
        <v>SIN_UNION</v>
      </c>
      <c r="S47" s="15" t="str">
        <v>DDASC</v>
      </c>
    </row>
    <row r="48" ht="36" customHeight="1">
      <c r="A48" s="14" t="str">
        <v>DDASC</v>
      </c>
      <c r="B48" s="14" t="str">
        <v>DDASC</v>
      </c>
      <c r="C48" s="14" t="str">
        <v>RE</v>
      </c>
      <c r="D48" s="14" t="str">
        <v>O</v>
      </c>
      <c r="E48" s="14" t="str">
        <v>E</v>
      </c>
      <c r="F48" s="14" t="str">
        <v>E</v>
      </c>
      <c r="G48" s="21" t="str">
        <v>E</v>
      </c>
      <c r="H48" s="21" t="str">
        <v>E</v>
      </c>
      <c r="I48" s="14" t="str">
        <v>E</v>
      </c>
      <c r="J48" s="14" t="str">
        <v>SIN_CANDIDATO_EN_FUENTE_2026</v>
      </c>
      <c r="K48" s="14" t="str">
        <v>SIN_UNION</v>
      </c>
      <c r="L48" s="14" t="str">
        <v>E (CANDIDATO)</v>
      </c>
      <c r="M48" s="14" t="str">
        <v>MAESTRO; TIPOS_V2; TIPOS_V3; MATRIZ; H002</v>
      </c>
      <c r="N48" s="14" t="str">
        <v>Ingreso observado solo en enlaces agregados H002g; no historia completa</v>
      </c>
      <c r="O48" s="15"/>
      <c r="P48" s="14" t="str">
        <v>DDSC</v>
      </c>
      <c r="Q48" s="14" t="n">
        <v>1</v>
      </c>
      <c r="R48" s="14" t="str">
        <v>SIN_UNION</v>
      </c>
      <c r="S48" s="14" t="str">
        <v>DDSC20251</v>
      </c>
    </row>
    <row r="49" ht="36" customHeight="1">
      <c r="A49" s="15" t="str">
        <v>DDSC20251</v>
      </c>
      <c r="B49" s="15" t="str">
        <v>DDSC</v>
      </c>
      <c r="C49" s="15" t="str">
        <v>RE</v>
      </c>
      <c r="D49" s="15" t="str">
        <v>O</v>
      </c>
      <c r="E49" s="15" t="str">
        <v>REGULAR</v>
      </c>
      <c r="F49" s="15" t="str">
        <v>C</v>
      </c>
      <c r="G49" s="23" t="str">
        <v>E</v>
      </c>
      <c r="H49" s="23" t="str">
        <v>E</v>
      </c>
      <c r="I49" s="15" t="str">
        <v>E</v>
      </c>
      <c r="J49" s="15" t="str">
        <v>PENDIENTE_EVIDENCIA</v>
      </c>
      <c r="K49" s="15" t="str">
        <v>SIN_UNION</v>
      </c>
      <c r="L49" s="15" t="str">
        <v>REGULAR (CANDIDATO)</v>
      </c>
      <c r="M49" s="15" t="str">
        <v>MAESTRO; TIPOS_V2; TIPOS_V3; MATRIZ; H002</v>
      </c>
      <c r="N49" s="15" t="str">
        <v>Ingreso observado solo en enlaces agregados H002g; no historia completa</v>
      </c>
      <c r="O49" s="15"/>
      <c r="P49" s="15" t="str">
        <v>DDSS</v>
      </c>
      <c r="Q49" s="15" t="n">
        <v>1</v>
      </c>
      <c r="R49" s="15" t="str">
        <v>SIN_UNION</v>
      </c>
      <c r="S49" s="15" t="str">
        <v>DDSS</v>
      </c>
    </row>
    <row r="50" ht="36" customHeight="1">
      <c r="A50" s="14" t="str">
        <v>DDSS</v>
      </c>
      <c r="B50" s="14" t="str">
        <v>DDSS</v>
      </c>
      <c r="C50" s="14" t="str">
        <v>RE</v>
      </c>
      <c r="D50" s="14" t="str">
        <v>O</v>
      </c>
      <c r="E50" s="14" t="str">
        <v>E</v>
      </c>
      <c r="F50" s="14" t="str">
        <v>E</v>
      </c>
      <c r="G50" s="21" t="str">
        <v>E</v>
      </c>
      <c r="H50" s="21" t="str">
        <v>E</v>
      </c>
      <c r="I50" s="14" t="str">
        <v>E</v>
      </c>
      <c r="J50" s="14" t="str">
        <v>SIN_CANDIDATO_EN_FUENTE_2026</v>
      </c>
      <c r="K50" s="14" t="str">
        <v>SIN_UNION</v>
      </c>
      <c r="L50" s="14" t="str">
        <v>E (CANDIDATO)</v>
      </c>
      <c r="M50" s="14" t="str">
        <v>MAESTRO; TIPOS_V2; TIPOS_V3; MATRIZ; H002</v>
      </c>
      <c r="N50" s="14" t="str">
        <v>Ingreso observado solo en enlaces agregados H002g; no historia completa</v>
      </c>
      <c r="O50" s="15"/>
      <c r="P50" s="14" t="str">
        <v>DFSCK</v>
      </c>
      <c r="Q50" s="14" t="n">
        <v>1</v>
      </c>
      <c r="R50" s="14" t="str">
        <v>SIN_UNION</v>
      </c>
      <c r="S50" s="14" t="str">
        <v>DFSCK20261</v>
      </c>
    </row>
    <row r="51" ht="36" customHeight="1">
      <c r="A51" s="15" t="str">
        <v>DFSCK20261</v>
      </c>
      <c r="B51" s="15" t="str">
        <v>DFSCK</v>
      </c>
      <c r="C51" s="15" t="str">
        <v>RE</v>
      </c>
      <c r="D51" s="15" t="str">
        <v>O</v>
      </c>
      <c r="E51" s="15" t="str">
        <v>E</v>
      </c>
      <c r="F51" s="15" t="str">
        <v>E</v>
      </c>
      <c r="G51" s="23" t="str">
        <v>E</v>
      </c>
      <c r="H51" s="23" t="str">
        <v>E</v>
      </c>
      <c r="I51" s="15" t="str">
        <v>E</v>
      </c>
      <c r="J51" s="15" t="str">
        <v>SIN_CANDIDATO_EN_FUENTE_2026</v>
      </c>
      <c r="K51" s="15" t="str">
        <v>SIN_UNION</v>
      </c>
      <c r="L51" s="15" t="str">
        <v>E (CANDIDATO)</v>
      </c>
      <c r="M51" s="15" t="str">
        <v>MAESTRO; TIPOS_V2; TIPOS_V3; MATRIZ; H002</v>
      </c>
      <c r="N51" s="15" t="str">
        <v>Ingreso observado solo en enlaces agregados H002g; no historia completa</v>
      </c>
      <c r="O51" s="15"/>
      <c r="P51" s="15" t="str">
        <v>DFSK</v>
      </c>
      <c r="Q51" s="15" t="n">
        <v>1</v>
      </c>
      <c r="R51" s="15" t="str">
        <v>SIN_UNION</v>
      </c>
      <c r="S51" s="15" t="str">
        <v>DFSK20251</v>
      </c>
    </row>
    <row r="52" ht="36" customHeight="1">
      <c r="A52" s="14" t="str">
        <v>DFSK20251</v>
      </c>
      <c r="B52" s="14" t="str">
        <v>DFSK</v>
      </c>
      <c r="C52" s="14" t="str">
        <v>RE</v>
      </c>
      <c r="D52" s="14" t="str">
        <v>O</v>
      </c>
      <c r="E52" s="14" t="str">
        <v>REGULAR</v>
      </c>
      <c r="F52" s="14" t="str">
        <v>C</v>
      </c>
      <c r="G52" s="21" t="str">
        <v>E</v>
      </c>
      <c r="H52" s="21" t="str">
        <v>E</v>
      </c>
      <c r="I52" s="14" t="str">
        <v>E</v>
      </c>
      <c r="J52" s="14" t="str">
        <v>PENDIENTE_EVIDENCIA</v>
      </c>
      <c r="K52" s="14" t="str">
        <v>SIN_UNION</v>
      </c>
      <c r="L52" s="14" t="str">
        <v>REGULAR (CANDIDATO)</v>
      </c>
      <c r="M52" s="14" t="str">
        <v>MAESTRO; TIPOS_V2; TIPOS_V3; MATRIZ; H002</v>
      </c>
      <c r="N52" s="14" t="str">
        <v>Ingreso observado solo en enlaces agregados H002g; no historia completa</v>
      </c>
      <c r="O52" s="15"/>
      <c r="P52" s="14" t="str">
        <v>DGAS</v>
      </c>
      <c r="Q52" s="14" t="n">
        <v>1</v>
      </c>
      <c r="R52" s="14" t="str">
        <v>SIN_UNION</v>
      </c>
      <c r="S52" s="14" t="str">
        <v>DGAS</v>
      </c>
    </row>
    <row r="53" ht="36" customHeight="1">
      <c r="A53" s="15" t="str">
        <v>DGAS</v>
      </c>
      <c r="B53" s="15" t="str">
        <v>DGAS</v>
      </c>
      <c r="C53" s="15" t="str">
        <v>RE</v>
      </c>
      <c r="D53" s="15" t="str">
        <v>O</v>
      </c>
      <c r="E53" s="15" t="str">
        <v>E</v>
      </c>
      <c r="F53" s="15" t="str">
        <v>E</v>
      </c>
      <c r="G53" s="23" t="str">
        <v>E</v>
      </c>
      <c r="H53" s="23" t="str">
        <v>E</v>
      </c>
      <c r="I53" s="15" t="str">
        <v>E</v>
      </c>
      <c r="J53" s="15" t="str">
        <v>SIN_CANDIDATO_EN_FUENTE_2026</v>
      </c>
      <c r="K53" s="15" t="str">
        <v>SIN_UNION</v>
      </c>
      <c r="L53" s="15" t="str">
        <v>E (CANDIDATO)</v>
      </c>
      <c r="M53" s="15" t="str">
        <v>MAESTRO; TIPOS_V2; TIPOS_V3; MATRIZ; H002</v>
      </c>
      <c r="N53" s="15" t="str">
        <v>Ingreso observado solo en enlaces agregados H002g; no historia completa</v>
      </c>
      <c r="O53" s="15"/>
      <c r="P53" s="15" t="str">
        <v>DGDA</v>
      </c>
      <c r="Q53" s="15" t="n">
        <v>1</v>
      </c>
      <c r="R53" s="15" t="str">
        <v>SIN_UNION</v>
      </c>
      <c r="S53" s="15" t="str">
        <v>DGDA</v>
      </c>
    </row>
    <row r="54" ht="36" customHeight="1">
      <c r="A54" s="14" t="str">
        <v>DGDA</v>
      </c>
      <c r="B54" s="14" t="str">
        <v>DGDA</v>
      </c>
      <c r="C54" s="14" t="str">
        <v>RE</v>
      </c>
      <c r="D54" s="14" t="str">
        <v>O</v>
      </c>
      <c r="E54" s="14" t="str">
        <v>REGULAR</v>
      </c>
      <c r="F54" s="14" t="str">
        <v>C</v>
      </c>
      <c r="G54" s="21" t="str">
        <v>E</v>
      </c>
      <c r="H54" s="21" t="str">
        <v>E</v>
      </c>
      <c r="I54" s="14" t="str">
        <v>E</v>
      </c>
      <c r="J54" s="14" t="str">
        <v>PENDIENTE_EVIDENCIA</v>
      </c>
      <c r="K54" s="14" t="str">
        <v>SIN_UNION</v>
      </c>
      <c r="L54" s="14" t="str">
        <v>REGULAR (CANDIDATO)</v>
      </c>
      <c r="M54" s="14" t="str">
        <v>MAESTRO; TIPOS_V2; TIPOS_V3; MATRIZ; H002</v>
      </c>
      <c r="N54" s="14" t="str">
        <v>Ingreso observado solo en enlaces agregados H002g; no historia completa</v>
      </c>
      <c r="O54" s="15"/>
      <c r="P54" s="14" t="str">
        <v>DHDEI</v>
      </c>
      <c r="Q54" s="14" t="n">
        <v>1</v>
      </c>
      <c r="R54" s="14" t="str">
        <v>SIN_UNION</v>
      </c>
      <c r="S54" s="14" t="str">
        <v>DHDEI20262</v>
      </c>
    </row>
    <row r="55" ht="36" customHeight="1">
      <c r="A55" s="15" t="str">
        <v>DHDEI20262</v>
      </c>
      <c r="B55" s="15" t="str">
        <v>DHDEI</v>
      </c>
      <c r="C55" s="15" t="str">
        <v>RE</v>
      </c>
      <c r="D55" s="15" t="str">
        <v>E</v>
      </c>
      <c r="E55" s="15" t="str">
        <v>E</v>
      </c>
      <c r="F55" s="15" t="str">
        <v>E</v>
      </c>
      <c r="G55" s="23" t="str">
        <v>E</v>
      </c>
      <c r="H55" s="23" t="str">
        <v>E</v>
      </c>
      <c r="I55" s="15" t="str">
        <v>E</v>
      </c>
      <c r="J55" s="15" t="str">
        <v>SIN_CANDIDATO_EN_FUENTE_2026</v>
      </c>
      <c r="K55" s="15" t="str">
        <v>SIN_UNION</v>
      </c>
      <c r="L55" s="15" t="str">
        <v>E (CANDIDATO)</v>
      </c>
      <c r="M55" s="15" t="str">
        <v>MAESTRO; TIPOS_V2; TIPOS_V3; MATRIZ; H002</v>
      </c>
      <c r="N55" s="15" t="str">
        <v>Ingreso observado solo en enlaces agregados H002g; no historia completa</v>
      </c>
      <c r="O55" s="15"/>
      <c r="P55" s="15" t="str">
        <v>DHDS</v>
      </c>
      <c r="Q55" s="15" t="n">
        <v>1</v>
      </c>
      <c r="R55" s="15" t="str">
        <v>SIN_UNION</v>
      </c>
      <c r="S55" s="15" t="str">
        <v>DHDS20251</v>
      </c>
    </row>
    <row r="56" ht="36" customHeight="1">
      <c r="A56" s="14" t="str">
        <v>DHDS20251</v>
      </c>
      <c r="B56" s="14" t="str">
        <v>DHDS</v>
      </c>
      <c r="C56" s="14" t="str">
        <v>RE</v>
      </c>
      <c r="D56" s="14" t="str">
        <v>O</v>
      </c>
      <c r="E56" s="14" t="str">
        <v>E</v>
      </c>
      <c r="F56" s="14" t="str">
        <v>E</v>
      </c>
      <c r="G56" s="21" t="str">
        <v>E</v>
      </c>
      <c r="H56" s="21" t="str">
        <v>E</v>
      </c>
      <c r="I56" s="14" t="str">
        <v>E</v>
      </c>
      <c r="J56" s="14" t="str">
        <v>SIN_CANDIDATO_EN_FUENTE_2026</v>
      </c>
      <c r="K56" s="14" t="str">
        <v>SIN_UNION</v>
      </c>
      <c r="L56" s="14" t="str">
        <v>E (CANDIDATO)</v>
      </c>
      <c r="M56" s="14" t="str">
        <v>MAESTRO; TIPOS_V2; TIPOS_V3; MATRIZ; H002</v>
      </c>
      <c r="N56" s="14" t="str">
        <v>Ingreso observado solo en enlaces agregados H002g; no historia completa</v>
      </c>
      <c r="O56" s="15"/>
      <c r="P56" s="14" t="str">
        <v>DHIAD</v>
      </c>
      <c r="Q56" s="14" t="n">
        <v>1</v>
      </c>
      <c r="R56" s="14" t="str">
        <v>SIN_UNION</v>
      </c>
      <c r="S56" s="14" t="str">
        <v>DHIAD20261</v>
      </c>
    </row>
    <row r="57" ht="36" customHeight="1">
      <c r="A57" s="15" t="str">
        <v>DHIAD20261</v>
      </c>
      <c r="B57" s="15" t="str">
        <v>DHIAD</v>
      </c>
      <c r="C57" s="15" t="str">
        <v>RE</v>
      </c>
      <c r="D57" s="15" t="str">
        <v>O</v>
      </c>
      <c r="E57" s="15" t="str">
        <v>E</v>
      </c>
      <c r="F57" s="15" t="str">
        <v>E</v>
      </c>
      <c r="G57" s="23" t="str">
        <v>E</v>
      </c>
      <c r="H57" s="23" t="str">
        <v>E</v>
      </c>
      <c r="I57" s="15" t="str">
        <v>E</v>
      </c>
      <c r="J57" s="15" t="str">
        <v>SIN_CANDIDATO_EN_FUENTE_2026</v>
      </c>
      <c r="K57" s="15" t="str">
        <v>SIN_UNION</v>
      </c>
      <c r="L57" s="15" t="str">
        <v>E (CANDIDATO)</v>
      </c>
      <c r="M57" s="15" t="str">
        <v>MAESTRO; TIPOS_V2; TIPOS_V3; MATRIZ; H002</v>
      </c>
      <c r="N57" s="15" t="str">
        <v>Ingreso observado solo en enlaces agregados H002g; no historia completa</v>
      </c>
      <c r="O57" s="15"/>
      <c r="P57" s="15" t="str">
        <v>DIAR</v>
      </c>
      <c r="Q57" s="15" t="n">
        <v>1</v>
      </c>
      <c r="R57" s="15" t="str">
        <v>SIN_UNION</v>
      </c>
      <c r="S57" s="15" t="str">
        <v>DIAR20251</v>
      </c>
    </row>
    <row r="58" ht="36" customHeight="1">
      <c r="A58" s="14" t="str">
        <v>DIAR20251</v>
      </c>
      <c r="B58" s="14" t="str">
        <v>DIAR</v>
      </c>
      <c r="C58" s="14" t="str">
        <v>RE</v>
      </c>
      <c r="D58" s="14" t="str">
        <v>O</v>
      </c>
      <c r="E58" s="14" t="str">
        <v>REGULAR</v>
      </c>
      <c r="F58" s="14" t="str">
        <v>C</v>
      </c>
      <c r="G58" s="21" t="str">
        <v>E</v>
      </c>
      <c r="H58" s="21" t="str">
        <v>E</v>
      </c>
      <c r="I58" s="14" t="str">
        <v>E</v>
      </c>
      <c r="J58" s="14" t="str">
        <v>PENDIENTE_EVIDENCIA</v>
      </c>
      <c r="K58" s="14" t="str">
        <v>SIN_UNION</v>
      </c>
      <c r="L58" s="14" t="str">
        <v>REGULAR (CANDIDATO)</v>
      </c>
      <c r="M58" s="14" t="str">
        <v>MAESTRO; TIPOS_V2; TIPOS_V3; MATRIZ; H002</v>
      </c>
      <c r="N58" s="14" t="str">
        <v>Ingreso observado solo en enlaces agregados H002g; no historia completa</v>
      </c>
      <c r="O58" s="15"/>
      <c r="P58" s="14" t="str">
        <v>DICD</v>
      </c>
      <c r="Q58" s="14" t="n">
        <v>1</v>
      </c>
      <c r="R58" s="14" t="str">
        <v>SIN_UNION</v>
      </c>
      <c r="S58" s="14" t="str">
        <v>DICD</v>
      </c>
    </row>
    <row r="59" ht="36" customHeight="1">
      <c r="A59" s="15" t="str">
        <v>DICD</v>
      </c>
      <c r="B59" s="15" t="str">
        <v>DICD</v>
      </c>
      <c r="C59" s="15" t="str">
        <v>RE</v>
      </c>
      <c r="D59" s="15" t="str">
        <v>O</v>
      </c>
      <c r="E59" s="15" t="str">
        <v>REGULAR</v>
      </c>
      <c r="F59" s="15" t="str">
        <v>C</v>
      </c>
      <c r="G59" s="23" t="str">
        <v>E</v>
      </c>
      <c r="H59" s="23" t="str">
        <v>E</v>
      </c>
      <c r="I59" s="15" t="str">
        <v>E</v>
      </c>
      <c r="J59" s="15" t="str">
        <v>PENDIENTE_EVIDENCIA</v>
      </c>
      <c r="K59" s="15" t="str">
        <v>SIN_UNION</v>
      </c>
      <c r="L59" s="15" t="str">
        <v>REGULAR (CANDIDATO)</v>
      </c>
      <c r="M59" s="15" t="str">
        <v>MAESTRO; TIPOS_V2; TIPOS_V3; MATRIZ; H002</v>
      </c>
      <c r="N59" s="15" t="str">
        <v>Ingreso observado solo en enlaces agregados H002g; no historia completa</v>
      </c>
      <c r="O59" s="15"/>
      <c r="P59" s="15" t="str">
        <v>DIIFC</v>
      </c>
      <c r="Q59" s="15" t="n">
        <v>1</v>
      </c>
      <c r="R59" s="15" t="str">
        <v>SIN_UNION</v>
      </c>
      <c r="S59" s="15" t="str">
        <v>DIIFC</v>
      </c>
    </row>
    <row r="60" ht="36" customHeight="1">
      <c r="A60" s="14" t="str">
        <v>DIIFC</v>
      </c>
      <c r="B60" s="14" t="str">
        <v>DIIFC</v>
      </c>
      <c r="C60" s="14" t="str">
        <v>RE</v>
      </c>
      <c r="D60" s="14" t="str">
        <v>O</v>
      </c>
      <c r="E60" s="14" t="str">
        <v>E</v>
      </c>
      <c r="F60" s="14" t="str">
        <v>E</v>
      </c>
      <c r="G60" s="21" t="str">
        <v>E</v>
      </c>
      <c r="H60" s="21" t="str">
        <v>E</v>
      </c>
      <c r="I60" s="14" t="str">
        <v>E</v>
      </c>
      <c r="J60" s="14" t="str">
        <v>SIN_CANDIDATO_EN_FUENTE_2026</v>
      </c>
      <c r="K60" s="14" t="str">
        <v>SIN_UNION</v>
      </c>
      <c r="L60" s="14" t="str">
        <v>E (CANDIDATO)</v>
      </c>
      <c r="M60" s="14" t="str">
        <v>MAESTRO; TIPOS_V2; TIPOS_V3; MATRIZ; H002</v>
      </c>
      <c r="N60" s="14" t="str">
        <v>Ingreso observado solo en enlaces agregados H002g; no historia completa</v>
      </c>
      <c r="O60" s="15"/>
      <c r="P60" s="14" t="str">
        <v>DISOF</v>
      </c>
      <c r="Q60" s="14" t="n">
        <v>1</v>
      </c>
      <c r="R60" s="14" t="str">
        <v>SIN_UNION</v>
      </c>
      <c r="S60" s="14" t="str">
        <v>DISOF</v>
      </c>
    </row>
    <row r="61" ht="36" customHeight="1">
      <c r="A61" s="15" t="str">
        <v>DISOF</v>
      </c>
      <c r="B61" s="15" t="str">
        <v>DISOF</v>
      </c>
      <c r="C61" s="15" t="str">
        <v>RE</v>
      </c>
      <c r="D61" s="15" t="str">
        <v>O</v>
      </c>
      <c r="E61" s="15" t="str">
        <v>E</v>
      </c>
      <c r="F61" s="15" t="str">
        <v>E</v>
      </c>
      <c r="G61" s="23" t="str">
        <v>E</v>
      </c>
      <c r="H61" s="23" t="str">
        <v>E</v>
      </c>
      <c r="I61" s="15" t="str">
        <v>E</v>
      </c>
      <c r="J61" s="15" t="str">
        <v>SIN_CANDIDATO_EN_FUENTE_2026</v>
      </c>
      <c r="K61" s="15" t="str">
        <v>SIN_UNION</v>
      </c>
      <c r="L61" s="15" t="str">
        <v>E (CANDIDATO)</v>
      </c>
      <c r="M61" s="15" t="str">
        <v>MAESTRO; TIPOS_V2; TIPOS_V3; MATRIZ; H002</v>
      </c>
      <c r="N61" s="15" t="str">
        <v>Ingreso observado solo en enlaces agregados H002g; no historia completa</v>
      </c>
      <c r="O61" s="15"/>
      <c r="P61" s="15" t="str">
        <v>DLEMS</v>
      </c>
      <c r="Q61" s="15" t="n">
        <v>1</v>
      </c>
      <c r="R61" s="15" t="str">
        <v>SIN_UNION</v>
      </c>
      <c r="S61" s="15" t="str">
        <v>DLEMS20261</v>
      </c>
    </row>
    <row r="62" ht="36" customHeight="1">
      <c r="A62" s="14" t="str">
        <v>DLEMS20261</v>
      </c>
      <c r="B62" s="14" t="str">
        <v>DLEMS</v>
      </c>
      <c r="C62" s="14" t="str">
        <v>RE</v>
      </c>
      <c r="D62" s="14" t="str">
        <v>O</v>
      </c>
      <c r="E62" s="14" t="str">
        <v>E</v>
      </c>
      <c r="F62" s="14" t="str">
        <v>E</v>
      </c>
      <c r="G62" s="21" t="str">
        <v>E</v>
      </c>
      <c r="H62" s="21" t="str">
        <v>E</v>
      </c>
      <c r="I62" s="14" t="str">
        <v>E</v>
      </c>
      <c r="J62" s="14" t="str">
        <v>SIN_CANDIDATO_EN_FUENTE_2026</v>
      </c>
      <c r="K62" s="14" t="str">
        <v>SIN_UNION</v>
      </c>
      <c r="L62" s="14" t="str">
        <v>E (CANDIDATO)</v>
      </c>
      <c r="M62" s="14" t="str">
        <v>MAESTRO; TIPOS_V2; TIPOS_V3; MATRIZ; H002</v>
      </c>
      <c r="N62" s="14" t="str">
        <v>Ingreso observado solo en enlaces agregados H002g; no historia completa</v>
      </c>
      <c r="O62" s="15"/>
      <c r="P62" s="14" t="str">
        <v>DQAS</v>
      </c>
      <c r="Q62" s="14" t="n">
        <v>1</v>
      </c>
      <c r="R62" s="14" t="str">
        <v>SIN_UNION</v>
      </c>
      <c r="S62" s="14" t="str">
        <v>DQAS</v>
      </c>
    </row>
    <row r="63" ht="36" customHeight="1">
      <c r="A63" s="15" t="str">
        <v>DQAS</v>
      </c>
      <c r="B63" s="15" t="str">
        <v>DQAS</v>
      </c>
      <c r="C63" s="15" t="str">
        <v>RE</v>
      </c>
      <c r="D63" s="15" t="str">
        <v>O</v>
      </c>
      <c r="E63" s="15" t="str">
        <v>REGULAR</v>
      </c>
      <c r="F63" s="15" t="str">
        <v>C</v>
      </c>
      <c r="G63" s="23" t="str">
        <v>E</v>
      </c>
      <c r="H63" s="23" t="str">
        <v>E</v>
      </c>
      <c r="I63" s="15" t="str">
        <v>E</v>
      </c>
      <c r="J63" s="15" t="str">
        <v>PENDIENTE_EVIDENCIA</v>
      </c>
      <c r="K63" s="15" t="str">
        <v>SIN_UNION</v>
      </c>
      <c r="L63" s="15" t="str">
        <v>REGULAR (CANDIDATO)</v>
      </c>
      <c r="M63" s="15" t="str">
        <v>MAESTRO; TIPOS_V2; TIPOS_V3; MATRIZ; H002</v>
      </c>
      <c r="N63" s="15" t="str">
        <v>Ingreso observado solo en enlaces agregados H002g; no historia completa</v>
      </c>
      <c r="O63" s="15"/>
      <c r="P63" s="15" t="str">
        <v>DREIN</v>
      </c>
      <c r="Q63" s="15" t="n">
        <v>1</v>
      </c>
      <c r="R63" s="15" t="str">
        <v>SIN_UNION</v>
      </c>
      <c r="S63" s="15" t="str">
        <v>DREIN20261</v>
      </c>
    </row>
    <row r="64" ht="36" customHeight="1">
      <c r="A64" s="14" t="str">
        <v>DREIN20261</v>
      </c>
      <c r="B64" s="14" t="str">
        <v>DREIN</v>
      </c>
      <c r="C64" s="14" t="str">
        <v>RE</v>
      </c>
      <c r="D64" s="14" t="str">
        <v>O</v>
      </c>
      <c r="E64" s="14" t="str">
        <v>E</v>
      </c>
      <c r="F64" s="14" t="str">
        <v>E</v>
      </c>
      <c r="G64" s="21" t="str">
        <v>E</v>
      </c>
      <c r="H64" s="21" t="str">
        <v>E</v>
      </c>
      <c r="I64" s="14" t="str">
        <v>E</v>
      </c>
      <c r="J64" s="14" t="str">
        <v>SIN_CANDIDATO_EN_FUENTE_2026</v>
      </c>
      <c r="K64" s="14" t="str">
        <v>SIN_UNION</v>
      </c>
      <c r="L64" s="14" t="str">
        <v>E (CANDIDATO)</v>
      </c>
      <c r="M64" s="14" t="str">
        <v>MAESTRO; TIPOS_V2; TIPOS_V3; MATRIZ; H002</v>
      </c>
      <c r="N64" s="14" t="str">
        <v>Ingreso observado solo en enlaces agregados H002g; no historia completa</v>
      </c>
      <c r="O64" s="15"/>
      <c r="P64" s="14" t="str">
        <v>DRID</v>
      </c>
      <c r="Q64" s="14" t="n">
        <v>1</v>
      </c>
      <c r="R64" s="14" t="str">
        <v>SIN_UNION</v>
      </c>
      <c r="S64" s="14" t="str">
        <v>DRID</v>
      </c>
    </row>
    <row r="65" ht="36" customHeight="1">
      <c r="A65" s="15" t="str">
        <v>DRID</v>
      </c>
      <c r="B65" s="15" t="str">
        <v>DRID</v>
      </c>
      <c r="C65" s="15" t="str">
        <v>RE</v>
      </c>
      <c r="D65" s="15" t="str">
        <v>O</v>
      </c>
      <c r="E65" s="15" t="str">
        <v>REGULAR</v>
      </c>
      <c r="F65" s="15" t="str">
        <v>C</v>
      </c>
      <c r="G65" s="23" t="str">
        <v>E</v>
      </c>
      <c r="H65" s="23" t="str">
        <v>E</v>
      </c>
      <c r="I65" s="15" t="str">
        <v>E</v>
      </c>
      <c r="J65" s="15" t="str">
        <v>PENDIENTE_EVIDENCIA</v>
      </c>
      <c r="K65" s="15" t="str">
        <v>SIN_UNION</v>
      </c>
      <c r="L65" s="15" t="str">
        <v>REGULAR (CANDIDATO)</v>
      </c>
      <c r="M65" s="15" t="str">
        <v>MAESTRO; TIPOS_V2; TIPOS_V3; MATRIZ; H002</v>
      </c>
      <c r="N65" s="15" t="str">
        <v>Ingreso observado solo en enlaces agregados H002g; no historia completa</v>
      </c>
      <c r="O65" s="15"/>
      <c r="P65" s="15" t="str">
        <v>DSCM</v>
      </c>
      <c r="Q65" s="15" t="n">
        <v>1</v>
      </c>
      <c r="R65" s="15" t="str">
        <v>SIN_UNION</v>
      </c>
      <c r="S65" s="15" t="str">
        <v>DSCM20251</v>
      </c>
    </row>
    <row r="66" ht="36" customHeight="1">
      <c r="A66" s="14" t="str">
        <v>DSCM20251</v>
      </c>
      <c r="B66" s="14" t="str">
        <v>DSCM</v>
      </c>
      <c r="C66" s="14" t="str">
        <v>RE</v>
      </c>
      <c r="D66" s="14" t="str">
        <v>O</v>
      </c>
      <c r="E66" s="14" t="str">
        <v>REGULAR</v>
      </c>
      <c r="F66" s="14" t="str">
        <v>C</v>
      </c>
      <c r="G66" s="21" t="str">
        <v>E</v>
      </c>
      <c r="H66" s="21" t="str">
        <v>E</v>
      </c>
      <c r="I66" s="14" t="str">
        <v>E</v>
      </c>
      <c r="J66" s="14" t="str">
        <v>PENDIENTE_EVIDENCIA</v>
      </c>
      <c r="K66" s="14" t="str">
        <v>SIN_UNION</v>
      </c>
      <c r="L66" s="14" t="str">
        <v>REGULAR (CANDIDATO)</v>
      </c>
      <c r="M66" s="14" t="str">
        <v>MAESTRO; TIPOS_V2; TIPOS_V3; MATRIZ; H002</v>
      </c>
      <c r="N66" s="14" t="str">
        <v>Ingreso observado solo en enlaces agregados H002g; no historia completa</v>
      </c>
      <c r="O66" s="15"/>
      <c r="P66" s="14" t="str">
        <v>DSFA</v>
      </c>
      <c r="Q66" s="14" t="n">
        <v>1</v>
      </c>
      <c r="R66" s="14" t="str">
        <v>SIN_UNION</v>
      </c>
      <c r="S66" s="14" t="str">
        <v>DSFA20251</v>
      </c>
    </row>
    <row r="67" ht="36" customHeight="1">
      <c r="A67" s="15" t="str">
        <v>DSFA20251</v>
      </c>
      <c r="B67" s="15" t="str">
        <v>DSFA</v>
      </c>
      <c r="C67" s="15" t="str">
        <v>RE</v>
      </c>
      <c r="D67" s="15" t="str">
        <v>O</v>
      </c>
      <c r="E67" s="15" t="str">
        <v>REGULAR</v>
      </c>
      <c r="F67" s="15" t="str">
        <v>C</v>
      </c>
      <c r="G67" s="23" t="str">
        <v>E</v>
      </c>
      <c r="H67" s="23" t="str">
        <v>E</v>
      </c>
      <c r="I67" s="15" t="str">
        <v>E</v>
      </c>
      <c r="J67" s="15" t="str">
        <v>PENDIENTE_EVIDENCIA</v>
      </c>
      <c r="K67" s="15" t="str">
        <v>SIN_UNION</v>
      </c>
      <c r="L67" s="15" t="str">
        <v>REGULAR (CANDIDATO)</v>
      </c>
      <c r="M67" s="15" t="str">
        <v>MAESTRO; TIPOS_V2; TIPOS_V3; MATRIZ; H002</v>
      </c>
      <c r="N67" s="15" t="str">
        <v>Ingreso observado solo en enlaces agregados H002g; no historia completa</v>
      </c>
      <c r="O67" s="15"/>
      <c r="P67" s="15" t="str">
        <v>DSOE</v>
      </c>
      <c r="Q67" s="15" t="n">
        <v>1</v>
      </c>
      <c r="R67" s="15" t="str">
        <v>SIN_UNION</v>
      </c>
      <c r="S67" s="15" t="str">
        <v>DSOE20262</v>
      </c>
    </row>
    <row r="68" ht="36" customHeight="1">
      <c r="A68" s="14" t="str">
        <v>DSOE20262</v>
      </c>
      <c r="B68" s="14" t="str">
        <v>DSOE</v>
      </c>
      <c r="C68" s="14" t="str">
        <v>RE</v>
      </c>
      <c r="D68" s="14" t="str">
        <v>E</v>
      </c>
      <c r="E68" s="14" t="str">
        <v>E</v>
      </c>
      <c r="F68" s="14" t="str">
        <v>E</v>
      </c>
      <c r="G68" s="21" t="str">
        <v>E</v>
      </c>
      <c r="H68" s="21" t="str">
        <v>E</v>
      </c>
      <c r="I68" s="14" t="str">
        <v>E</v>
      </c>
      <c r="J68" s="14" t="str">
        <v>SIN_CANDIDATO_EN_FUENTE_2026</v>
      </c>
      <c r="K68" s="14" t="str">
        <v>SIN_UNION</v>
      </c>
      <c r="L68" s="14" t="str">
        <v>E (CANDIDATO)</v>
      </c>
      <c r="M68" s="14" t="str">
        <v>MAESTRO; TIPOS_V2; TIPOS_V3; MATRIZ; H002</v>
      </c>
      <c r="N68" s="14" t="str">
        <v>Ingreso observado solo en enlaces agregados H002g; no historia completa</v>
      </c>
      <c r="O68" s="15"/>
      <c r="P68" s="14" t="str">
        <v>DSOF</v>
      </c>
      <c r="Q68" s="14" t="n">
        <v>1</v>
      </c>
      <c r="R68" s="14" t="str">
        <v>SIN_UNION</v>
      </c>
      <c r="S68" s="14" t="str">
        <v>DSOF20251</v>
      </c>
    </row>
    <row r="69" ht="36" customHeight="1">
      <c r="A69" s="15" t="str">
        <v>DSOF20251</v>
      </c>
      <c r="B69" s="15" t="str">
        <v>DSOF</v>
      </c>
      <c r="C69" s="15" t="str">
        <v>RE</v>
      </c>
      <c r="D69" s="15" t="str">
        <v>O</v>
      </c>
      <c r="E69" s="15" t="str">
        <v>REGULAR</v>
      </c>
      <c r="F69" s="15" t="str">
        <v>C</v>
      </c>
      <c r="G69" s="23" t="str">
        <v>E</v>
      </c>
      <c r="H69" s="23" t="str">
        <v>E</v>
      </c>
      <c r="I69" s="15" t="str">
        <v>E</v>
      </c>
      <c r="J69" s="15" t="str">
        <v>PENDIENTE_EVIDENCIA</v>
      </c>
      <c r="K69" s="15" t="str">
        <v>SIN_UNION</v>
      </c>
      <c r="L69" s="15" t="str">
        <v>REGULAR (CANDIDATO)</v>
      </c>
      <c r="M69" s="15" t="str">
        <v>MAESTRO; TIPOS_V2; TIPOS_V3; MATRIZ; H002</v>
      </c>
      <c r="N69" s="15" t="str">
        <v>Ingreso observado solo en enlaces agregados H002g; no historia completa</v>
      </c>
      <c r="O69" s="15"/>
      <c r="P69" s="15" t="str">
        <v>DTECE</v>
      </c>
      <c r="Q69" s="15" t="n">
        <v>1</v>
      </c>
      <c r="R69" s="15" t="str">
        <v>SIN_UNION</v>
      </c>
      <c r="S69" s="15" t="str">
        <v>DTECE</v>
      </c>
    </row>
    <row r="70" ht="36" customHeight="1">
      <c r="A70" s="14" t="str">
        <v>DTECE</v>
      </c>
      <c r="B70" s="14" t="str">
        <v>DTECE</v>
      </c>
      <c r="C70" s="14" t="str">
        <v>RE</v>
      </c>
      <c r="D70" s="14" t="str">
        <v>E</v>
      </c>
      <c r="E70" s="14" t="str">
        <v>E</v>
      </c>
      <c r="F70" s="14" t="str">
        <v>E</v>
      </c>
      <c r="G70" s="21" t="str">
        <v>E</v>
      </c>
      <c r="H70" s="21" t="str">
        <v>E</v>
      </c>
      <c r="I70" s="14" t="str">
        <v>E</v>
      </c>
      <c r="J70" s="14" t="str">
        <v>SIN_CANDIDATO_EN_FUENTE_2026</v>
      </c>
      <c r="K70" s="14" t="str">
        <v>SIN_UNION</v>
      </c>
      <c r="L70" s="14" t="str">
        <v>E (CANDIDATO)</v>
      </c>
      <c r="M70" s="14" t="str">
        <v>MAESTRO; TIPOS_V2; TIPOS_V3; MATRIZ; H002</v>
      </c>
      <c r="N70" s="14" t="str">
        <v>Ingreso observado solo en enlaces agregados H002g; no historia completa</v>
      </c>
      <c r="O70" s="15"/>
      <c r="P70" s="14" t="str">
        <v>ECCGCVE</v>
      </c>
      <c r="Q70" s="14" t="n">
        <v>1</v>
      </c>
      <c r="R70" s="14" t="str">
        <v>SIN_UNION</v>
      </c>
      <c r="S70" s="14" t="str">
        <v>ECCGCVE2026</v>
      </c>
    </row>
    <row r="71" ht="150" customHeight="1">
      <c r="A71" s="15" t="str">
        <v>ECCACFAR12025</v>
      </c>
      <c r="B71" s="15" t="str">
        <v>ECCURYDP</v>
      </c>
      <c r="C71" s="15" t="str">
        <v>RE</v>
      </c>
      <c r="D71" s="15" t="str">
        <v>O</v>
      </c>
      <c r="E71" s="15" t="str">
        <v>E</v>
      </c>
      <c r="F71" s="15" t="str">
        <v>E</v>
      </c>
      <c r="G71" s="23" t="str">
        <v>E</v>
      </c>
      <c r="H71" s="23" t="str">
        <v>E</v>
      </c>
      <c r="I71" s="15" t="str">
        <v>E</v>
      </c>
      <c r="J71" s="15" t="str">
        <v>SIN_CANDIDATO_EN_FUENTE_2026</v>
      </c>
      <c r="K71" s="15" t="str">
        <v>SIN_UNION</v>
      </c>
      <c r="L71" s="15" t="str">
        <v>E (CANDIDATO)</v>
      </c>
      <c r="M71" s="15" t="str">
        <v>MAESTRO; TIPOS_V2; TIPOS_V3; MATRIZ; H002</v>
      </c>
      <c r="N71" s="15" t="str">
        <v>Ingreso observado solo en enlaces agregados H002g; no historia completa</v>
      </c>
      <c r="O71" s="15"/>
      <c r="P71" s="15" t="str">
        <v>ECCURYDP</v>
      </c>
      <c r="Q71" s="15" t="n">
        <v>33</v>
      </c>
      <c r="R71" s="15" t="str">
        <v>SIN_UNION</v>
      </c>
      <c r="S71" s="15" t="str">
        <v>ECCACFAR12025 / ECCAPP20251 / ECCCE2026 / ECCCIBERSEG2024 / ECCDATAS2024 / ECCFUNCIB2024 / ECCIA2025 / ECCIAP2026 / ECCIAPL20261 / ECCMRS2026 / ECCPGC2026 / ECCPIAT2026 / ECCPOWERBI2024 / ECCPYA2026 / ECCPYB2024 / ECCRECL2025 / ECCSQLBASICO2024 / ECDARQCLOUD2024 / ECDCIBER2024 / ECDCIBER2024V2 / ECDCIBIND2024 / ECDDATASC2024 / ECDFRONT2024 / ECDFULLSTACK2024 / ECDFULLSTACK2024V2 / ECDINFCLOUD2024 / ECDINFCLOUD2024V2 / ECDQA2024 / ECDQA2024V2 / ECDREDIND2024 / ECDREDIND2024V2 / ECDSEGOFEN2024 / ECDSEGOFEN2024V2</v>
      </c>
    </row>
    <row r="72" ht="36" customHeight="1">
      <c r="A72" s="14" t="str">
        <v>ECCACFAR2025</v>
      </c>
      <c r="B72" s="14" t="str">
        <v>OTECURSOS</v>
      </c>
      <c r="C72" s="14" t="str">
        <v>RE</v>
      </c>
      <c r="D72" s="14" t="str">
        <v>E</v>
      </c>
      <c r="E72" s="14" t="str">
        <v>E</v>
      </c>
      <c r="F72" s="14" t="str">
        <v>E</v>
      </c>
      <c r="G72" s="21" t="str">
        <v>E</v>
      </c>
      <c r="H72" s="21" t="str">
        <v>E</v>
      </c>
      <c r="I72" s="14" t="str">
        <v>E</v>
      </c>
      <c r="J72" s="14" t="str">
        <v>SIN_CANDIDATO_EN_FUENTE_2026</v>
      </c>
      <c r="K72" s="14" t="str">
        <v>SIN_UNION</v>
      </c>
      <c r="L72" s="14" t="str">
        <v>E (CANDIDATO)</v>
      </c>
      <c r="M72" s="14" t="str">
        <v>MAESTRO; TIPOS_V2; TIPOS_V3; MATRIZ; H002</v>
      </c>
      <c r="N72" s="14" t="str">
        <v>Ingreso observado solo en enlaces agregados H002g; no historia completa</v>
      </c>
      <c r="O72" s="15"/>
      <c r="P72" s="14" t="str">
        <v>IACI</v>
      </c>
      <c r="Q72" s="14" t="n">
        <v>1</v>
      </c>
      <c r="R72" s="14" t="str">
        <v>UNIDO</v>
      </c>
      <c r="S72" s="14" t="str">
        <v>IACI20241</v>
      </c>
    </row>
    <row r="73" ht="36" customHeight="1">
      <c r="A73" s="15" t="str">
        <v>ECCAPP2025</v>
      </c>
      <c r="B73" s="15" t="str">
        <v>OTECURSOS</v>
      </c>
      <c r="C73" s="15" t="str">
        <v>RE</v>
      </c>
      <c r="D73" s="15" t="str">
        <v>E</v>
      </c>
      <c r="E73" s="15" t="str">
        <v>E</v>
      </c>
      <c r="F73" s="15" t="str">
        <v>E</v>
      </c>
      <c r="G73" s="23" t="str">
        <v>E</v>
      </c>
      <c r="H73" s="23" t="str">
        <v>E</v>
      </c>
      <c r="I73" s="15" t="str">
        <v>E</v>
      </c>
      <c r="J73" s="15" t="str">
        <v>SIN_CANDIDATO_EN_FUENTE_2026</v>
      </c>
      <c r="K73" s="15" t="str">
        <v>SIN_UNION</v>
      </c>
      <c r="L73" s="15" t="str">
        <v>E (CANDIDATO)</v>
      </c>
      <c r="M73" s="15" t="str">
        <v>MAESTRO; TIPOS_V2; TIPOS_V3; MATRIZ; H002</v>
      </c>
      <c r="N73" s="15" t="str">
        <v>Ingreso observado solo en enlaces agregados H002g; no historia completa</v>
      </c>
      <c r="O73" s="15"/>
      <c r="P73" s="15" t="str">
        <v>IADM</v>
      </c>
      <c r="Q73" s="15" t="n">
        <v>1</v>
      </c>
      <c r="R73" s="15" t="str">
        <v>UNIDO</v>
      </c>
      <c r="S73" s="15" t="str">
        <v>IADM20241</v>
      </c>
    </row>
    <row r="74" ht="36" customHeight="1">
      <c r="A74" s="14" t="str">
        <v>ECCAPP20251</v>
      </c>
      <c r="B74" s="14" t="str">
        <v>ECCURYDP</v>
      </c>
      <c r="C74" s="14" t="str">
        <v>RE</v>
      </c>
      <c r="D74" s="14" t="str">
        <v>O</v>
      </c>
      <c r="E74" s="14" t="str">
        <v>E</v>
      </c>
      <c r="F74" s="14" t="str">
        <v>E</v>
      </c>
      <c r="G74" s="21" t="str">
        <v>E</v>
      </c>
      <c r="H74" s="21" t="str">
        <v>E</v>
      </c>
      <c r="I74" s="14" t="str">
        <v>E</v>
      </c>
      <c r="J74" s="14" t="str">
        <v>SIN_CANDIDATO_EN_FUENTE_2026</v>
      </c>
      <c r="K74" s="14" t="str">
        <v>SIN_UNION</v>
      </c>
      <c r="L74" s="14" t="str">
        <v>E (CANDIDATO)</v>
      </c>
      <c r="M74" s="14" t="str">
        <v>MAESTRO; TIPOS_V2; TIPOS_V3; MATRIZ; H002</v>
      </c>
      <c r="N74" s="14" t="str">
        <v>Ingreso observado solo en enlaces agregados H002g; no historia completa</v>
      </c>
      <c r="O74" s="15"/>
      <c r="P74" s="14" t="str">
        <v>ICDA</v>
      </c>
      <c r="Q74" s="14" t="n">
        <v>1</v>
      </c>
      <c r="R74" s="14" t="str">
        <v>UNIDO</v>
      </c>
      <c r="S74" s="14" t="str">
        <v>ICDA20251</v>
      </c>
    </row>
    <row r="75" ht="36" customHeight="1">
      <c r="A75" s="15" t="str">
        <v>ECCCE2026</v>
      </c>
      <c r="B75" s="15" t="str">
        <v>ECCURYDP</v>
      </c>
      <c r="C75" s="15" t="str">
        <v>RE</v>
      </c>
      <c r="D75" s="15" t="str">
        <v>E</v>
      </c>
      <c r="E75" s="15" t="str">
        <v>E</v>
      </c>
      <c r="F75" s="15" t="str">
        <v>E</v>
      </c>
      <c r="G75" s="23" t="str">
        <v>E</v>
      </c>
      <c r="H75" s="23" t="str">
        <v>E</v>
      </c>
      <c r="I75" s="15" t="str">
        <v>E</v>
      </c>
      <c r="J75" s="15" t="str">
        <v>SIN_CANDIDATO_EN_FUENTE_2026</v>
      </c>
      <c r="K75" s="15" t="str">
        <v>SIN_UNION</v>
      </c>
      <c r="L75" s="15" t="str">
        <v>E (CANDIDATO)</v>
      </c>
      <c r="M75" s="15" t="str">
        <v>MAESTRO; TIPOS_V2; TIPOS_V3; MATRIZ; H002</v>
      </c>
      <c r="N75" s="15" t="str">
        <v>Ingreso observado solo en enlaces agregados H002g; no historia completa</v>
      </c>
      <c r="O75" s="15"/>
      <c r="P75" s="15" t="str">
        <v>ICIB</v>
      </c>
      <c r="Q75" s="15" t="n">
        <v>1</v>
      </c>
      <c r="R75" s="15" t="str">
        <v>UNIDO</v>
      </c>
      <c r="S75" s="15" t="str">
        <v>ICIB20241</v>
      </c>
    </row>
    <row r="76" ht="36" customHeight="1">
      <c r="A76" s="14" t="str">
        <v>ECCCIBERSEG2024</v>
      </c>
      <c r="B76" s="14" t="str">
        <v>ECCURYDP</v>
      </c>
      <c r="C76" s="14" t="str">
        <v>RE</v>
      </c>
      <c r="D76" s="14" t="str">
        <v>E</v>
      </c>
      <c r="E76" s="14" t="str">
        <v>E</v>
      </c>
      <c r="F76" s="14" t="str">
        <v>E</v>
      </c>
      <c r="G76" s="21" t="str">
        <v>E</v>
      </c>
      <c r="H76" s="21" t="str">
        <v>E</v>
      </c>
      <c r="I76" s="14" t="str">
        <v>E</v>
      </c>
      <c r="J76" s="14" t="str">
        <v>SIN_CANDIDATO_EN_FUENTE_2026</v>
      </c>
      <c r="K76" s="14" t="str">
        <v>SIN_UNION</v>
      </c>
      <c r="L76" s="14" t="str">
        <v>E (CANDIDATO)</v>
      </c>
      <c r="M76" s="14" t="str">
        <v>MAESTRO; TIPOS_V2; TIPOS_V3; MATRIZ; H002</v>
      </c>
      <c r="N76" s="14" t="str">
        <v>Ingreso observado solo en enlaces agregados H002g; no historia completa</v>
      </c>
      <c r="O76" s="15"/>
      <c r="P76" s="14" t="str">
        <v>ICRE</v>
      </c>
      <c r="Q76" s="14" t="n">
        <v>1</v>
      </c>
      <c r="R76" s="14" t="str">
        <v>UNIDO</v>
      </c>
      <c r="S76" s="14" t="str">
        <v>ICRE20241</v>
      </c>
    </row>
    <row r="77" ht="36" customHeight="1">
      <c r="A77" s="15" t="str">
        <v>ECCDATAS2024</v>
      </c>
      <c r="B77" s="15" t="str">
        <v>ECCURYDP</v>
      </c>
      <c r="C77" s="15" t="str">
        <v>RE</v>
      </c>
      <c r="D77" s="15" t="str">
        <v>E</v>
      </c>
      <c r="E77" s="15" t="str">
        <v>E</v>
      </c>
      <c r="F77" s="15" t="str">
        <v>E</v>
      </c>
      <c r="G77" s="23" t="str">
        <v>E</v>
      </c>
      <c r="H77" s="23" t="str">
        <v>E</v>
      </c>
      <c r="I77" s="15" t="str">
        <v>E</v>
      </c>
      <c r="J77" s="15" t="str">
        <v>SIN_CANDIDATO_EN_FUENTE_2026</v>
      </c>
      <c r="K77" s="15" t="str">
        <v>SIN_UNION</v>
      </c>
      <c r="L77" s="15" t="str">
        <v>E (CANDIDATO)</v>
      </c>
      <c r="M77" s="15" t="str">
        <v>MAESTRO; TIPOS_V2; TIPOS_V3; MATRIZ; H002</v>
      </c>
      <c r="N77" s="15" t="str">
        <v>Ingreso observado solo en enlaces agregados H002g; no historia completa</v>
      </c>
      <c r="O77" s="15"/>
      <c r="P77" s="15" t="str">
        <v>IEACREOL</v>
      </c>
      <c r="Q77" s="15" t="n">
        <v>1</v>
      </c>
      <c r="R77" s="15" t="str">
        <v>SIN_UNION</v>
      </c>
      <c r="S77" s="15" t="str">
        <v>IEACREOL</v>
      </c>
    </row>
    <row r="78" ht="50" customHeight="1">
      <c r="A78" s="14" t="str">
        <v>ECCFUNCIB2024</v>
      </c>
      <c r="B78" s="14" t="str">
        <v>ECCURYDP</v>
      </c>
      <c r="C78" s="14" t="str">
        <v>RE</v>
      </c>
      <c r="D78" s="14" t="str">
        <v>E</v>
      </c>
      <c r="E78" s="14" t="str">
        <v>E</v>
      </c>
      <c r="F78" s="14" t="str">
        <v>E</v>
      </c>
      <c r="G78" s="21" t="str">
        <v>E</v>
      </c>
      <c r="H78" s="21" t="str">
        <v>E</v>
      </c>
      <c r="I78" s="14" t="str">
        <v>E</v>
      </c>
      <c r="J78" s="14" t="str">
        <v>SIN_CANDIDATO_EN_FUENTE_2026</v>
      </c>
      <c r="K78" s="14" t="str">
        <v>SIN_UNION</v>
      </c>
      <c r="L78" s="14" t="str">
        <v>E (CANDIDATO)</v>
      </c>
      <c r="M78" s="14" t="str">
        <v>MAESTRO; TIPOS_V2; TIPOS_V3; MATRIZ; H002</v>
      </c>
      <c r="N78" s="14" t="str">
        <v>Ingreso observado solo en enlaces agregados H002g; no historia completa</v>
      </c>
      <c r="O78" s="15"/>
      <c r="P78" s="14" t="str">
        <v>IECIRE</v>
      </c>
      <c r="Q78" s="14" t="n">
        <v>7</v>
      </c>
      <c r="R78" s="14" t="str">
        <v>UNIDO</v>
      </c>
      <c r="S78" s="14" t="str">
        <v>IECIRE20081 / IECIRE20101 / IECIRE20121 / IECIRE20151 / IECIRE20191 / IECIRE2020 / IECIRE20211</v>
      </c>
    </row>
    <row r="79" ht="36" customHeight="1">
      <c r="A79" s="15" t="str">
        <v>ECCGCVE2026</v>
      </c>
      <c r="B79" s="15" t="str">
        <v>ECCGCVE</v>
      </c>
      <c r="C79" s="15" t="str">
        <v>RE</v>
      </c>
      <c r="D79" s="15" t="str">
        <v>O</v>
      </c>
      <c r="E79" s="15" t="str">
        <v>E</v>
      </c>
      <c r="F79" s="15" t="str">
        <v>E</v>
      </c>
      <c r="G79" s="23" t="str">
        <v>E</v>
      </c>
      <c r="H79" s="23" t="str">
        <v>E</v>
      </c>
      <c r="I79" s="15" t="str">
        <v>E</v>
      </c>
      <c r="J79" s="15" t="str">
        <v>SIN_CANDIDATO_EN_FUENTE_2026</v>
      </c>
      <c r="K79" s="15" t="str">
        <v>SIN_UNION</v>
      </c>
      <c r="L79" s="15" t="str">
        <v>E (CANDIDATO)</v>
      </c>
      <c r="M79" s="15" t="str">
        <v>MAESTRO; TIPOS_V2; TIPOS_V3; MATRIZ; H002</v>
      </c>
      <c r="N79" s="15" t="str">
        <v>Ingreso observado solo en enlaces agregados H002g; no historia completa</v>
      </c>
      <c r="O79" s="15"/>
      <c r="P79" s="15" t="str">
        <v>IECIREOL</v>
      </c>
      <c r="Q79" s="15" t="n">
        <v>5</v>
      </c>
      <c r="R79" s="15" t="str">
        <v>UNIDO</v>
      </c>
      <c r="S79" s="15" t="str">
        <v>IECIREOL / IECIREOL20191 / IECIREOL20201 / IECIREOL20211 / IETMREOL20211</v>
      </c>
    </row>
    <row r="80" ht="36" customHeight="1">
      <c r="A80" s="14" t="str">
        <v>ECCIA2025</v>
      </c>
      <c r="B80" s="14" t="str">
        <v>ECCURYDP</v>
      </c>
      <c r="C80" s="14" t="str">
        <v>RE</v>
      </c>
      <c r="D80" s="14" t="str">
        <v>O</v>
      </c>
      <c r="E80" s="14" t="str">
        <v>E</v>
      </c>
      <c r="F80" s="14" t="str">
        <v>E</v>
      </c>
      <c r="G80" s="21" t="str">
        <v>E</v>
      </c>
      <c r="H80" s="21" t="str">
        <v>E</v>
      </c>
      <c r="I80" s="14" t="str">
        <v>E</v>
      </c>
      <c r="J80" s="14" t="str">
        <v>SIN_CANDIDATO_EN_FUENTE_2026</v>
      </c>
      <c r="K80" s="14" t="str">
        <v>SIN_UNION</v>
      </c>
      <c r="L80" s="14" t="str">
        <v>E (CANDIDATO)</v>
      </c>
      <c r="M80" s="14" t="str">
        <v>MAESTRO; TIPOS_V2; TIPOS_V3; MATRIZ; H002</v>
      </c>
      <c r="N80" s="14" t="str">
        <v>Ingreso observado solo en enlaces agregados H002g; no historia completa</v>
      </c>
      <c r="O80" s="15"/>
      <c r="P80" s="14" t="str">
        <v>IECSRE</v>
      </c>
      <c r="Q80" s="14" t="n">
        <v>2</v>
      </c>
      <c r="R80" s="14" t="str">
        <v>UNIDO</v>
      </c>
      <c r="S80" s="14" t="str">
        <v>IECSRE20191 / IECSRE20211</v>
      </c>
    </row>
    <row r="81" ht="36" customHeight="1">
      <c r="A81" s="15" t="str">
        <v>ECCIAP2026</v>
      </c>
      <c r="B81" s="15" t="str">
        <v>ECCURYDP</v>
      </c>
      <c r="C81" s="15" t="str">
        <v>RE</v>
      </c>
      <c r="D81" s="15" t="str">
        <v>E</v>
      </c>
      <c r="E81" s="15" t="str">
        <v>E</v>
      </c>
      <c r="F81" s="15" t="str">
        <v>E</v>
      </c>
      <c r="G81" s="23" t="str">
        <v>E</v>
      </c>
      <c r="H81" s="23" t="str">
        <v>E</v>
      </c>
      <c r="I81" s="15" t="str">
        <v>E</v>
      </c>
      <c r="J81" s="15" t="str">
        <v>SIN_CANDIDATO_EN_FUENTE_2026</v>
      </c>
      <c r="K81" s="15" t="str">
        <v>SIN_UNION</v>
      </c>
      <c r="L81" s="15" t="str">
        <v>E (CANDIDATO)</v>
      </c>
      <c r="M81" s="15" t="str">
        <v>MAESTRO; TIPOS_V2; TIPOS_V3; MATRIZ; H002</v>
      </c>
      <c r="N81" s="15" t="str">
        <v>Ingreso observado solo en enlaces agregados H002g; no historia completa</v>
      </c>
      <c r="O81" s="15"/>
      <c r="P81" s="15" t="str">
        <v>IECSREOL</v>
      </c>
      <c r="Q81" s="15" t="n">
        <v>1</v>
      </c>
      <c r="R81" s="15" t="str">
        <v>UNIDO</v>
      </c>
      <c r="S81" s="15" t="str">
        <v>IECSREOL20211</v>
      </c>
    </row>
    <row r="82" ht="36" customHeight="1">
      <c r="A82" s="14" t="str">
        <v>ECCIAPL20261</v>
      </c>
      <c r="B82" s="14" t="str">
        <v>ECCURYDP</v>
      </c>
      <c r="C82" s="14" t="str">
        <v>RE</v>
      </c>
      <c r="D82" s="14" t="str">
        <v>E</v>
      </c>
      <c r="E82" s="14" t="str">
        <v>E</v>
      </c>
      <c r="F82" s="14" t="str">
        <v>E</v>
      </c>
      <c r="G82" s="21" t="str">
        <v>E</v>
      </c>
      <c r="H82" s="21" t="str">
        <v>E</v>
      </c>
      <c r="I82" s="14" t="str">
        <v>E</v>
      </c>
      <c r="J82" s="14" t="str">
        <v>SIN_CANDIDATO_EN_FUENTE_2026</v>
      </c>
      <c r="K82" s="14" t="str">
        <v>SIN_UNION</v>
      </c>
      <c r="L82" s="14" t="str">
        <v>E (CANDIDATO)</v>
      </c>
      <c r="M82" s="14" t="str">
        <v>MAESTRO; TIPOS_V2; TIPOS_V3; MATRIZ; H002</v>
      </c>
      <c r="N82" s="14" t="str">
        <v>Ingreso observado solo en enlaces agregados H002g; no historia completa</v>
      </c>
      <c r="O82" s="15"/>
      <c r="P82" s="14" t="str">
        <v>IEMORE</v>
      </c>
      <c r="Q82" s="14" t="n">
        <v>6</v>
      </c>
      <c r="R82" s="14" t="str">
        <v>UNIDO</v>
      </c>
      <c r="S82" s="14" t="str">
        <v>IEMORE20141 / IEMORE20151 / IEMORE20171 / IEMORE20201 / IEMORE20211 / TMIRE20171</v>
      </c>
    </row>
    <row r="83" ht="36" customHeight="1">
      <c r="A83" s="15" t="str">
        <v>ECCMRS2026</v>
      </c>
      <c r="B83" s="15" t="str">
        <v>ECCURYDP</v>
      </c>
      <c r="C83" s="15" t="str">
        <v>RE</v>
      </c>
      <c r="D83" s="15" t="str">
        <v>E</v>
      </c>
      <c r="E83" s="15" t="str">
        <v>E</v>
      </c>
      <c r="F83" s="15" t="str">
        <v>E</v>
      </c>
      <c r="G83" s="23" t="str">
        <v>E</v>
      </c>
      <c r="H83" s="23" t="str">
        <v>E</v>
      </c>
      <c r="I83" s="15" t="str">
        <v>E</v>
      </c>
      <c r="J83" s="15" t="str">
        <v>SIN_CANDIDATO_EN_FUENTE_2026</v>
      </c>
      <c r="K83" s="15" t="str">
        <v>SIN_UNION</v>
      </c>
      <c r="L83" s="15" t="str">
        <v>E (CANDIDATO)</v>
      </c>
      <c r="M83" s="15" t="str">
        <v>MAESTRO; TIPOS_V2; TIPOS_V3; MATRIZ; H002</v>
      </c>
      <c r="N83" s="15" t="str">
        <v>Ingreso observado solo en enlaces agregados H002g; no historia completa</v>
      </c>
      <c r="O83" s="15"/>
      <c r="P83" s="15" t="str">
        <v>IETMRE</v>
      </c>
      <c r="Q83" s="15" t="n">
        <v>6</v>
      </c>
      <c r="R83" s="15" t="str">
        <v>UNIDO</v>
      </c>
      <c r="S83" s="15" t="str">
        <v>IETMRE20091 / IETMRE20101 / IETMRE20121 / IETMRE20161 / IETMRE20191 / IETMRE20211</v>
      </c>
    </row>
    <row r="84" ht="36" customHeight="1">
      <c r="A84" s="14" t="str">
        <v>ECCPGC2026</v>
      </c>
      <c r="B84" s="14" t="str">
        <v>ECCURYDP</v>
      </c>
      <c r="C84" s="14" t="str">
        <v>RE</v>
      </c>
      <c r="D84" s="14" t="str">
        <v>E</v>
      </c>
      <c r="E84" s="14" t="str">
        <v>E</v>
      </c>
      <c r="F84" s="14" t="str">
        <v>E</v>
      </c>
      <c r="G84" s="21" t="str">
        <v>E</v>
      </c>
      <c r="H84" s="21" t="str">
        <v>E</v>
      </c>
      <c r="I84" s="14" t="str">
        <v>E</v>
      </c>
      <c r="J84" s="14" t="str">
        <v>SIN_CANDIDATO_EN_FUENTE_2026</v>
      </c>
      <c r="K84" s="14" t="str">
        <v>SIN_UNION</v>
      </c>
      <c r="L84" s="14" t="str">
        <v>E (CANDIDATO)</v>
      </c>
      <c r="M84" s="14" t="str">
        <v>MAESTRO; TIPOS_V2; TIPOS_V3; MATRIZ; H002</v>
      </c>
      <c r="N84" s="14" t="str">
        <v>Ingreso observado solo en enlaces agregados H002g; no historia completa</v>
      </c>
      <c r="O84" s="15"/>
      <c r="P84" s="14" t="str">
        <v>IETMREOL</v>
      </c>
      <c r="Q84" s="14" t="n">
        <v>3</v>
      </c>
      <c r="R84" s="14" t="str">
        <v>UNIDO</v>
      </c>
      <c r="S84" s="14" t="str">
        <v>IETMREOL / IETMREOL20191 / IETMREOL20211</v>
      </c>
    </row>
    <row r="85" ht="36" customHeight="1">
      <c r="A85" s="15" t="str">
        <v>ECCPIAT2026</v>
      </c>
      <c r="B85" s="15" t="str">
        <v>ECCURYDP</v>
      </c>
      <c r="C85" s="15" t="str">
        <v>RE</v>
      </c>
      <c r="D85" s="15" t="str">
        <v>E</v>
      </c>
      <c r="E85" s="15" t="str">
        <v>E</v>
      </c>
      <c r="F85" s="15" t="str">
        <v>E</v>
      </c>
      <c r="G85" s="23" t="str">
        <v>E</v>
      </c>
      <c r="H85" s="23" t="str">
        <v>E</v>
      </c>
      <c r="I85" s="15" t="str">
        <v>E</v>
      </c>
      <c r="J85" s="15" t="str">
        <v>SIN_CANDIDATO_EN_FUENTE_2026</v>
      </c>
      <c r="K85" s="15" t="str">
        <v>SIN_UNION</v>
      </c>
      <c r="L85" s="15" t="str">
        <v>E (CANDIDATO)</v>
      </c>
      <c r="M85" s="15" t="str">
        <v>MAESTRO; TIPOS_V2; TIPOS_V3; MATRIZ; H002</v>
      </c>
      <c r="N85" s="15" t="str">
        <v>Ingreso observado solo en enlaces agregados H002g; no historia completa</v>
      </c>
      <c r="O85" s="15"/>
      <c r="P85" s="15" t="str">
        <v>IFIN</v>
      </c>
      <c r="Q85" s="15" t="n">
        <v>1</v>
      </c>
      <c r="R85" s="15" t="str">
        <v>UNIDO</v>
      </c>
      <c r="S85" s="15" t="str">
        <v>IFIN20261</v>
      </c>
    </row>
    <row r="86" ht="36" customHeight="1">
      <c r="A86" s="14" t="str">
        <v>ECCPOWERBI2024</v>
      </c>
      <c r="B86" s="14" t="str">
        <v>ECCURYDP</v>
      </c>
      <c r="C86" s="14" t="str">
        <v>RE</v>
      </c>
      <c r="D86" s="14" t="str">
        <v>O</v>
      </c>
      <c r="E86" s="14" t="str">
        <v>E</v>
      </c>
      <c r="F86" s="14" t="str">
        <v>E</v>
      </c>
      <c r="G86" s="21" t="str">
        <v>E</v>
      </c>
      <c r="H86" s="21" t="str">
        <v>E</v>
      </c>
      <c r="I86" s="14" t="str">
        <v>E</v>
      </c>
      <c r="J86" s="14" t="str">
        <v>SIN_CANDIDATO_EN_FUENTE_2026</v>
      </c>
      <c r="K86" s="14" t="str">
        <v>SIN_UNION</v>
      </c>
      <c r="L86" s="14" t="str">
        <v>E (CANDIDATO)</v>
      </c>
      <c r="M86" s="14" t="str">
        <v>MAESTRO; TIPOS_V2; TIPOS_V3; MATRIZ; H002</v>
      </c>
      <c r="N86" s="14" t="str">
        <v>Ingreso observado solo en enlaces agregados H002g; no historia completa</v>
      </c>
      <c r="O86" s="15"/>
      <c r="P86" s="14" t="str">
        <v>IIND</v>
      </c>
      <c r="Q86" s="14" t="n">
        <v>1</v>
      </c>
      <c r="R86" s="14" t="str">
        <v>UNIDO</v>
      </c>
      <c r="S86" s="14" t="str">
        <v>IIND20251</v>
      </c>
    </row>
    <row r="87" ht="36" customHeight="1">
      <c r="A87" s="15" t="str">
        <v>ECCPYA2026</v>
      </c>
      <c r="B87" s="15" t="str">
        <v>ECCURYDP</v>
      </c>
      <c r="C87" s="15" t="str">
        <v>RE</v>
      </c>
      <c r="D87" s="15" t="str">
        <v>E</v>
      </c>
      <c r="E87" s="15" t="str">
        <v>E</v>
      </c>
      <c r="F87" s="15" t="str">
        <v>E</v>
      </c>
      <c r="G87" s="23" t="str">
        <v>E</v>
      </c>
      <c r="H87" s="23" t="str">
        <v>E</v>
      </c>
      <c r="I87" s="15" t="str">
        <v>E</v>
      </c>
      <c r="J87" s="15" t="str">
        <v>SIN_CANDIDATO_EN_FUENTE_2026</v>
      </c>
      <c r="K87" s="15" t="str">
        <v>SIN_UNION</v>
      </c>
      <c r="L87" s="15" t="str">
        <v>E (CANDIDATO)</v>
      </c>
      <c r="M87" s="15" t="str">
        <v>MAESTRO; TIPOS_V2; TIPOS_V3; MATRIZ; H002</v>
      </c>
      <c r="N87" s="15" t="str">
        <v>Ingreso observado solo en enlaces agregados H002g; no historia completa</v>
      </c>
      <c r="O87" s="15"/>
      <c r="P87" s="15" t="str">
        <v>IINF</v>
      </c>
      <c r="Q87" s="15" t="n">
        <v>2</v>
      </c>
      <c r="R87" s="15" t="str">
        <v>UNIDO</v>
      </c>
      <c r="S87" s="15" t="str">
        <v>IINF20241 / TPAS20241</v>
      </c>
    </row>
    <row r="88" ht="36" customHeight="1">
      <c r="A88" s="14" t="str">
        <v>ECCPYB2024</v>
      </c>
      <c r="B88" s="14" t="str">
        <v>ECCURYDP</v>
      </c>
      <c r="C88" s="14" t="str">
        <v>RE</v>
      </c>
      <c r="D88" s="14" t="str">
        <v>O</v>
      </c>
      <c r="E88" s="14" t="str">
        <v>E</v>
      </c>
      <c r="F88" s="14" t="str">
        <v>E</v>
      </c>
      <c r="G88" s="21" t="str">
        <v>E</v>
      </c>
      <c r="H88" s="21" t="str">
        <v>E</v>
      </c>
      <c r="I88" s="14" t="str">
        <v>E</v>
      </c>
      <c r="J88" s="14" t="str">
        <v>SIN_CANDIDATO_EN_FUENTE_2026</v>
      </c>
      <c r="K88" s="14" t="str">
        <v>SIN_UNION</v>
      </c>
      <c r="L88" s="14" t="str">
        <v>E (CANDIDATO)</v>
      </c>
      <c r="M88" s="14" t="str">
        <v>MAESTRO; TIPOS_V2; TIPOS_V3; MATRIZ; H002</v>
      </c>
      <c r="N88" s="14" t="str">
        <v>Ingreso observado solo en enlaces agregados H002g; no historia completa</v>
      </c>
      <c r="O88" s="15"/>
      <c r="P88" s="14" t="str">
        <v>ILOG</v>
      </c>
      <c r="Q88" s="14" t="n">
        <v>1</v>
      </c>
      <c r="R88" s="14" t="str">
        <v>UNIDO</v>
      </c>
      <c r="S88" s="14" t="str">
        <v>ILOG20241</v>
      </c>
    </row>
    <row r="89" ht="36" customHeight="1">
      <c r="A89" s="15" t="str">
        <v>ECCRECL2025</v>
      </c>
      <c r="B89" s="15" t="str">
        <v>ECCURYDP</v>
      </c>
      <c r="C89" s="15" t="str">
        <v>RE</v>
      </c>
      <c r="D89" s="15" t="str">
        <v>O</v>
      </c>
      <c r="E89" s="15" t="str">
        <v>E</v>
      </c>
      <c r="F89" s="15" t="str">
        <v>E</v>
      </c>
      <c r="G89" s="23" t="str">
        <v>E</v>
      </c>
      <c r="H89" s="23" t="str">
        <v>E</v>
      </c>
      <c r="I89" s="15" t="str">
        <v>E</v>
      </c>
      <c r="J89" s="15" t="str">
        <v>SIN_CANDIDATO_EN_FUENTE_2026</v>
      </c>
      <c r="K89" s="15" t="str">
        <v>SIN_UNION</v>
      </c>
      <c r="L89" s="15" t="str">
        <v>E (CANDIDATO)</v>
      </c>
      <c r="M89" s="15" t="str">
        <v>MAESTRO; TIPOS_V2; TIPOS_V3; MATRIZ; H002</v>
      </c>
      <c r="N89" s="15" t="str">
        <v>Ingreso observado solo en enlaces agregados H002g; no historia completa</v>
      </c>
      <c r="O89" s="15"/>
      <c r="P89" s="15" t="str">
        <v>IMDI</v>
      </c>
      <c r="Q89" s="15" t="n">
        <v>1</v>
      </c>
      <c r="R89" s="15" t="str">
        <v>UNIDO</v>
      </c>
      <c r="S89" s="15" t="str">
        <v>IMDI20261</v>
      </c>
    </row>
    <row r="90" ht="36" customHeight="1">
      <c r="A90" s="14" t="str">
        <v>ECCSQLBASICO2024</v>
      </c>
      <c r="B90" s="14" t="str">
        <v>ECCURYDP</v>
      </c>
      <c r="C90" s="14" t="str">
        <v>RE</v>
      </c>
      <c r="D90" s="14" t="str">
        <v>E</v>
      </c>
      <c r="E90" s="14" t="str">
        <v>E</v>
      </c>
      <c r="F90" s="14" t="str">
        <v>E</v>
      </c>
      <c r="G90" s="21" t="str">
        <v>E</v>
      </c>
      <c r="H90" s="21" t="str">
        <v>E</v>
      </c>
      <c r="I90" s="14" t="str">
        <v>E</v>
      </c>
      <c r="J90" s="14" t="str">
        <v>SIN_CANDIDATO_EN_FUENTE_2026</v>
      </c>
      <c r="K90" s="14" t="str">
        <v>SIN_UNION</v>
      </c>
      <c r="L90" s="14" t="str">
        <v>E (CANDIDATO)</v>
      </c>
      <c r="M90" s="14" t="str">
        <v>MAESTRO; TIPOS_V2; TIPOS_V3; MATRIZ; H002</v>
      </c>
      <c r="N90" s="14" t="str">
        <v>Ingreso observado solo en enlaces agregados H002g; no historia completa</v>
      </c>
      <c r="O90" s="15"/>
      <c r="P90" s="14" t="str">
        <v>IPRE</v>
      </c>
      <c r="Q90" s="14" t="n">
        <v>1</v>
      </c>
      <c r="R90" s="14" t="str">
        <v>UNIDO</v>
      </c>
      <c r="S90" s="14" t="str">
        <v>IPRE20261</v>
      </c>
    </row>
    <row r="91" ht="36" customHeight="1">
      <c r="A91" s="15" t="str">
        <v>ECDARQCLOUD2024</v>
      </c>
      <c r="B91" s="15" t="str">
        <v>ECCURYDP</v>
      </c>
      <c r="C91" s="15" t="str">
        <v>RE</v>
      </c>
      <c r="D91" s="15" t="str">
        <v>O</v>
      </c>
      <c r="E91" s="15" t="str">
        <v>E</v>
      </c>
      <c r="F91" s="15" t="str">
        <v>E</v>
      </c>
      <c r="G91" s="23" t="str">
        <v>E</v>
      </c>
      <c r="H91" s="23" t="str">
        <v>E</v>
      </c>
      <c r="I91" s="15" t="str">
        <v>E</v>
      </c>
      <c r="J91" s="15" t="str">
        <v>SIN_CANDIDATO_EN_FUENTE_2026</v>
      </c>
      <c r="K91" s="15" t="str">
        <v>SIN_UNION</v>
      </c>
      <c r="L91" s="15" t="str">
        <v>E (CANDIDATO)</v>
      </c>
      <c r="M91" s="15" t="str">
        <v>MAESTRO; TIPOS_V2; TIPOS_V3; MATRIZ; H002</v>
      </c>
      <c r="N91" s="15" t="str">
        <v>Ingreso observado solo en enlaces agregados H002g; no historia completa</v>
      </c>
      <c r="O91" s="15"/>
      <c r="P91" s="15" t="str">
        <v>IRHU</v>
      </c>
      <c r="Q91" s="15" t="n">
        <v>1</v>
      </c>
      <c r="R91" s="15" t="str">
        <v>UNIDO</v>
      </c>
      <c r="S91" s="15" t="str">
        <v>IRHU20261</v>
      </c>
    </row>
    <row r="92" ht="36" customHeight="1">
      <c r="A92" s="14" t="str">
        <v>ECDCIBER2024</v>
      </c>
      <c r="B92" s="14" t="str">
        <v>ECCURYDP</v>
      </c>
      <c r="C92" s="14" t="str">
        <v>RE</v>
      </c>
      <c r="D92" s="14" t="str">
        <v>O</v>
      </c>
      <c r="E92" s="14" t="str">
        <v>E</v>
      </c>
      <c r="F92" s="14" t="str">
        <v>E</v>
      </c>
      <c r="G92" s="21" t="str">
        <v>E</v>
      </c>
      <c r="H92" s="21" t="str">
        <v>E</v>
      </c>
      <c r="I92" s="14" t="str">
        <v>E</v>
      </c>
      <c r="J92" s="14" t="str">
        <v>SIN_CANDIDATO_EN_FUENTE_2026</v>
      </c>
      <c r="K92" s="14" t="str">
        <v>SIN_UNION</v>
      </c>
      <c r="L92" s="14" t="str">
        <v>E (CANDIDATO)</v>
      </c>
      <c r="M92" s="14" t="str">
        <v>MAESTRO; TIPOS_V2; TIPOS_V3; MATRIZ; H002</v>
      </c>
      <c r="N92" s="14" t="str">
        <v>Ingreso observado solo en enlaces agregados H002g; no historia completa</v>
      </c>
      <c r="O92" s="15"/>
      <c r="P92" s="14" t="str">
        <v>ISEP</v>
      </c>
      <c r="Q92" s="14" t="n">
        <v>1</v>
      </c>
      <c r="R92" s="14" t="str">
        <v>UNIDO</v>
      </c>
      <c r="S92" s="14" t="str">
        <v>ISEP20261</v>
      </c>
    </row>
    <row r="93" ht="36" customHeight="1">
      <c r="A93" s="15" t="str">
        <v>ECDCIBER2024V2</v>
      </c>
      <c r="B93" s="15" t="str">
        <v>ECCURYDP</v>
      </c>
      <c r="C93" s="15" t="str">
        <v>RE</v>
      </c>
      <c r="D93" s="15" t="str">
        <v>O</v>
      </c>
      <c r="E93" s="15" t="str">
        <v>E</v>
      </c>
      <c r="F93" s="15" t="str">
        <v>E</v>
      </c>
      <c r="G93" s="23" t="str">
        <v>E</v>
      </c>
      <c r="H93" s="23" t="str">
        <v>E</v>
      </c>
      <c r="I93" s="15" t="str">
        <v>E</v>
      </c>
      <c r="J93" s="15" t="str">
        <v>SIN_CANDIDATO_EN_FUENTE_2026</v>
      </c>
      <c r="K93" s="15" t="str">
        <v>SIN_UNION</v>
      </c>
      <c r="L93" s="15" t="str">
        <v>E (CANDIDATO)</v>
      </c>
      <c r="M93" s="15" t="str">
        <v>MAESTRO; TIPOS_V2; TIPOS_V3; MATRIZ; H002</v>
      </c>
      <c r="N93" s="15" t="str">
        <v>Ingreso observado solo en enlaces agregados H002g; no historia completa</v>
      </c>
      <c r="O93" s="15"/>
      <c r="P93" s="15" t="str">
        <v>NATP</v>
      </c>
      <c r="Q93" s="15" t="n">
        <v>1</v>
      </c>
      <c r="R93" s="15" t="str">
        <v>UNIDO</v>
      </c>
      <c r="S93" s="15" t="str">
        <v>NATP20251</v>
      </c>
    </row>
    <row r="94" ht="36" customHeight="1">
      <c r="A94" s="14" t="str">
        <v>ECDCIBIND2024</v>
      </c>
      <c r="B94" s="14" t="str">
        <v>ECCURYDP</v>
      </c>
      <c r="C94" s="14" t="str">
        <v>RE</v>
      </c>
      <c r="D94" s="14" t="str">
        <v>E</v>
      </c>
      <c r="E94" s="14" t="str">
        <v>E</v>
      </c>
      <c r="F94" s="14" t="str">
        <v>E</v>
      </c>
      <c r="G94" s="21" t="str">
        <v>E</v>
      </c>
      <c r="H94" s="21" t="str">
        <v>E</v>
      </c>
      <c r="I94" s="14" t="str">
        <v>E</v>
      </c>
      <c r="J94" s="14" t="str">
        <v>SIN_CANDIDATO_EN_FUENTE_2026</v>
      </c>
      <c r="K94" s="14" t="str">
        <v>SIN_UNION</v>
      </c>
      <c r="L94" s="14" t="str">
        <v>E (CANDIDATO)</v>
      </c>
      <c r="M94" s="14" t="str">
        <v>MAESTRO; TIPOS_V2; TIPOS_V3; MATRIZ; H002</v>
      </c>
      <c r="N94" s="14" t="str">
        <v>Ingreso observado solo en enlaces agregados H002g; no historia completa</v>
      </c>
      <c r="O94" s="15"/>
      <c r="P94" s="14" t="str">
        <v>NAUTRE</v>
      </c>
      <c r="Q94" s="14" t="n">
        <v>2</v>
      </c>
      <c r="R94" s="14" t="str">
        <v>SIN_UNION</v>
      </c>
      <c r="S94" s="14" t="str">
        <v>NAUTRE / NAUTRE2020</v>
      </c>
    </row>
    <row r="95" ht="36" customHeight="1">
      <c r="A95" s="15" t="str">
        <v>ECDDATASC2024</v>
      </c>
      <c r="B95" s="15" t="str">
        <v>ECCURYDP</v>
      </c>
      <c r="C95" s="15" t="str">
        <v>RE</v>
      </c>
      <c r="D95" s="15" t="str">
        <v>O</v>
      </c>
      <c r="E95" s="15" t="str">
        <v>E</v>
      </c>
      <c r="F95" s="15" t="str">
        <v>E</v>
      </c>
      <c r="G95" s="23" t="str">
        <v>E</v>
      </c>
      <c r="H95" s="23" t="str">
        <v>E</v>
      </c>
      <c r="I95" s="15" t="str">
        <v>E</v>
      </c>
      <c r="J95" s="15" t="str">
        <v>SIN_CANDIDATO_EN_FUENTE_2026</v>
      </c>
      <c r="K95" s="15" t="str">
        <v>SIN_UNION</v>
      </c>
      <c r="L95" s="15" t="str">
        <v>E (CANDIDATO)</v>
      </c>
      <c r="M95" s="15" t="str">
        <v>MAESTRO; TIPOS_V2; TIPOS_V3; MATRIZ; H002</v>
      </c>
      <c r="N95" s="15" t="str">
        <v>Ingreso observado solo en enlaces agregados H002g; no historia completa</v>
      </c>
      <c r="O95" s="15"/>
      <c r="P95" s="15" t="str">
        <v>NCONRE</v>
      </c>
      <c r="Q95" s="15" t="n">
        <v>1</v>
      </c>
      <c r="R95" s="15" t="str">
        <v>UNIDO</v>
      </c>
      <c r="S95" s="15" t="str">
        <v>NCONRE</v>
      </c>
    </row>
    <row r="96" ht="36" customHeight="1">
      <c r="A96" s="14" t="str">
        <v>ECDFRONT2024</v>
      </c>
      <c r="B96" s="14" t="str">
        <v>ECCURYDP</v>
      </c>
      <c r="C96" s="14" t="str">
        <v>RE</v>
      </c>
      <c r="D96" s="14" t="str">
        <v>E</v>
      </c>
      <c r="E96" s="14" t="str">
        <v>E</v>
      </c>
      <c r="F96" s="14" t="str">
        <v>E</v>
      </c>
      <c r="G96" s="21" t="str">
        <v>E</v>
      </c>
      <c r="H96" s="21" t="str">
        <v>E</v>
      </c>
      <c r="I96" s="14" t="str">
        <v>E</v>
      </c>
      <c r="J96" s="14" t="str">
        <v>SIN_CANDIDATO_EN_FUENTE_2026</v>
      </c>
      <c r="K96" s="14" t="str">
        <v>SIN_UNION</v>
      </c>
      <c r="L96" s="14" t="str">
        <v>E (CANDIDATO)</v>
      </c>
      <c r="M96" s="14" t="str">
        <v>MAESTRO; TIPOS_V2; TIPOS_V3; MATRIZ; H002</v>
      </c>
      <c r="N96" s="14" t="str">
        <v>Ingreso observado solo en enlaces agregados H002g; no historia completa</v>
      </c>
      <c r="O96" s="15"/>
      <c r="P96" s="14" t="str">
        <v>NCONREOL</v>
      </c>
      <c r="Q96" s="14" t="n">
        <v>1</v>
      </c>
      <c r="R96" s="14" t="str">
        <v>UNIDO</v>
      </c>
      <c r="S96" s="14" t="str">
        <v>NCONREOL2019</v>
      </c>
    </row>
    <row r="97" ht="36" customHeight="1">
      <c r="A97" s="15" t="str">
        <v>ECDFULLSTACK2024</v>
      </c>
      <c r="B97" s="15" t="str">
        <v>ECCURYDP</v>
      </c>
      <c r="C97" s="15" t="str">
        <v>RE</v>
      </c>
      <c r="D97" s="15" t="str">
        <v>O</v>
      </c>
      <c r="E97" s="15" t="str">
        <v>E</v>
      </c>
      <c r="F97" s="15" t="str">
        <v>E</v>
      </c>
      <c r="G97" s="23" t="str">
        <v>E</v>
      </c>
      <c r="H97" s="23" t="str">
        <v>E</v>
      </c>
      <c r="I97" s="15" t="str">
        <v>E</v>
      </c>
      <c r="J97" s="15" t="str">
        <v>SIN_CANDIDATO_EN_FUENTE_2026</v>
      </c>
      <c r="K97" s="15" t="str">
        <v>SIN_UNION</v>
      </c>
      <c r="L97" s="15" t="str">
        <v>E (CANDIDATO)</v>
      </c>
      <c r="M97" s="15" t="str">
        <v>MAESTRO; TIPOS_V2; TIPOS_V3; MATRIZ; H002</v>
      </c>
      <c r="N97" s="15" t="str">
        <v>Ingreso observado solo en enlaces agregados H002g; no historia completa</v>
      </c>
      <c r="O97" s="15"/>
      <c r="P97" s="15" t="str">
        <v>NECIRE</v>
      </c>
      <c r="Q97" s="15" t="n">
        <v>4</v>
      </c>
      <c r="R97" s="15" t="str">
        <v>SIN_UNION</v>
      </c>
      <c r="S97" s="15" t="str">
        <v>NECIRE20091 / NECIRE20101 / NECIRE20121 / NECIRE20151</v>
      </c>
    </row>
    <row r="98" ht="36" customHeight="1">
      <c r="A98" s="14" t="str">
        <v>ECDFULLSTACK2024V2</v>
      </c>
      <c r="B98" s="14" t="str">
        <v>ECCURYDP</v>
      </c>
      <c r="C98" s="14" t="str">
        <v>RE</v>
      </c>
      <c r="D98" s="14" t="str">
        <v>O</v>
      </c>
      <c r="E98" s="14" t="str">
        <v>E</v>
      </c>
      <c r="F98" s="14" t="str">
        <v>E</v>
      </c>
      <c r="G98" s="21" t="str">
        <v>E</v>
      </c>
      <c r="H98" s="21" t="str">
        <v>E</v>
      </c>
      <c r="I98" s="14" t="str">
        <v>E</v>
      </c>
      <c r="J98" s="14" t="str">
        <v>SIN_CANDIDATO_EN_FUENTE_2026</v>
      </c>
      <c r="K98" s="14" t="str">
        <v>SIN_UNION</v>
      </c>
      <c r="L98" s="14" t="str">
        <v>E (CANDIDATO)</v>
      </c>
      <c r="M98" s="14" t="str">
        <v>MAESTRO; TIPOS_V2; TIPOS_V3; MATRIZ; H002</v>
      </c>
      <c r="N98" s="14" t="str">
        <v>Ingreso observado solo en enlaces agregados H002g; no historia completa</v>
      </c>
      <c r="O98" s="15"/>
      <c r="P98" s="14" t="str">
        <v>NETMRE</v>
      </c>
      <c r="Q98" s="14" t="n">
        <v>3</v>
      </c>
      <c r="R98" s="14" t="str">
        <v>UNIDO</v>
      </c>
      <c r="S98" s="14" t="str">
        <v>NETMRE20091 / NETMRE20101 / NETMRE20121</v>
      </c>
    </row>
    <row r="99" ht="36" customHeight="1">
      <c r="A99" s="15" t="str">
        <v>ECDINFCLOUD2024</v>
      </c>
      <c r="B99" s="15" t="str">
        <v>ECCURYDP</v>
      </c>
      <c r="C99" s="15" t="str">
        <v>RE</v>
      </c>
      <c r="D99" s="15" t="str">
        <v>O</v>
      </c>
      <c r="E99" s="15" t="str">
        <v>E</v>
      </c>
      <c r="F99" s="15" t="str">
        <v>E</v>
      </c>
      <c r="G99" s="23" t="str">
        <v>E</v>
      </c>
      <c r="H99" s="23" t="str">
        <v>E</v>
      </c>
      <c r="I99" s="15" t="str">
        <v>E</v>
      </c>
      <c r="J99" s="15" t="str">
        <v>SIN_CANDIDATO_EN_FUENTE_2026</v>
      </c>
      <c r="K99" s="15" t="str">
        <v>SIN_UNION</v>
      </c>
      <c r="L99" s="15" t="str">
        <v>E (CANDIDATO)</v>
      </c>
      <c r="M99" s="15" t="str">
        <v>MAESTRO; TIPOS_V2; TIPOS_V3; MATRIZ; H002</v>
      </c>
      <c r="N99" s="15" t="str">
        <v>Ingreso observado solo en enlaces agregados H002g; no historia completa</v>
      </c>
      <c r="O99" s="15"/>
      <c r="P99" s="15" t="str">
        <v>NICCRE</v>
      </c>
      <c r="Q99" s="15" t="n">
        <v>2</v>
      </c>
      <c r="R99" s="15" t="str">
        <v>UNIDO</v>
      </c>
      <c r="S99" s="15" t="str">
        <v>NICCRE20191 / NICCRE2020</v>
      </c>
    </row>
    <row r="100" ht="36" customHeight="1">
      <c r="A100" s="14" t="str">
        <v>ECDINFCLOUD2024V2</v>
      </c>
      <c r="B100" s="14" t="str">
        <v>ECCURYDP</v>
      </c>
      <c r="C100" s="14" t="str">
        <v>RE</v>
      </c>
      <c r="D100" s="14" t="str">
        <v>O</v>
      </c>
      <c r="E100" s="14" t="str">
        <v>E</v>
      </c>
      <c r="F100" s="14" t="str">
        <v>E</v>
      </c>
      <c r="G100" s="21" t="str">
        <v>E</v>
      </c>
      <c r="H100" s="21" t="str">
        <v>E</v>
      </c>
      <c r="I100" s="14" t="str">
        <v>E</v>
      </c>
      <c r="J100" s="14" t="str">
        <v>SIN_CANDIDATO_EN_FUENTE_2026</v>
      </c>
      <c r="K100" s="14" t="str">
        <v>SIN_UNION</v>
      </c>
      <c r="L100" s="14" t="str">
        <v>E (CANDIDATO)</v>
      </c>
      <c r="M100" s="14" t="str">
        <v>MAESTRO; TIPOS_V2; TIPOS_V3; MATRIZ; H002</v>
      </c>
      <c r="N100" s="14" t="str">
        <v>Ingreso observado solo en enlaces agregados H002g; no historia completa</v>
      </c>
      <c r="O100" s="15"/>
      <c r="P100" s="14" t="str">
        <v>NICCREOL</v>
      </c>
      <c r="Q100" s="14" t="n">
        <v>1</v>
      </c>
      <c r="R100" s="14" t="str">
        <v>UNIDO</v>
      </c>
      <c r="S100" s="14" t="str">
        <v>NICCREOL2020</v>
      </c>
    </row>
    <row r="101" ht="36" customHeight="1">
      <c r="A101" s="15" t="str">
        <v>ECDQA2024</v>
      </c>
      <c r="B101" s="15" t="str">
        <v>ECCURYDP</v>
      </c>
      <c r="C101" s="15" t="str">
        <v>RE</v>
      </c>
      <c r="D101" s="15" t="str">
        <v>O</v>
      </c>
      <c r="E101" s="15" t="str">
        <v>E</v>
      </c>
      <c r="F101" s="15" t="str">
        <v>E</v>
      </c>
      <c r="G101" s="23" t="str">
        <v>E</v>
      </c>
      <c r="H101" s="23" t="str">
        <v>E</v>
      </c>
      <c r="I101" s="15" t="str">
        <v>E</v>
      </c>
      <c r="J101" s="15" t="str">
        <v>SIN_CANDIDATO_EN_FUENTE_2026</v>
      </c>
      <c r="K101" s="15" t="str">
        <v>SIN_UNION</v>
      </c>
      <c r="L101" s="15" t="str">
        <v>E (CANDIDATO)</v>
      </c>
      <c r="M101" s="15" t="str">
        <v>MAESTRO; TIPOS_V2; TIPOS_V3; MATRIZ; H002</v>
      </c>
      <c r="N101" s="15" t="str">
        <v>Ingreso observado solo en enlaces agregados H002g; no historia completa</v>
      </c>
      <c r="O101" s="15"/>
      <c r="P101" s="15" t="str">
        <v>NICIRE</v>
      </c>
      <c r="Q101" s="15" t="n">
        <v>4</v>
      </c>
      <c r="R101" s="15" t="str">
        <v>SIN_UNION</v>
      </c>
      <c r="S101" s="15" t="str">
        <v>NICIRE20091 / NICIRE20101 / NICIRE20121 / NICIRE20151</v>
      </c>
    </row>
    <row r="102" ht="36" customHeight="1">
      <c r="A102" s="14" t="str">
        <v>ECDQA2024V2</v>
      </c>
      <c r="B102" s="14" t="str">
        <v>ECCURYDP</v>
      </c>
      <c r="C102" s="14" t="str">
        <v>RE</v>
      </c>
      <c r="D102" s="14" t="str">
        <v>O</v>
      </c>
      <c r="E102" s="14" t="str">
        <v>E</v>
      </c>
      <c r="F102" s="14" t="str">
        <v>E</v>
      </c>
      <c r="G102" s="21" t="str">
        <v>E</v>
      </c>
      <c r="H102" s="21" t="str">
        <v>E</v>
      </c>
      <c r="I102" s="14" t="str">
        <v>E</v>
      </c>
      <c r="J102" s="14" t="str">
        <v>SIN_CANDIDATO_EN_FUENTE_2026</v>
      </c>
      <c r="K102" s="14" t="str">
        <v>SIN_UNION</v>
      </c>
      <c r="L102" s="14" t="str">
        <v>E (CANDIDATO)</v>
      </c>
      <c r="M102" s="14" t="str">
        <v>MAESTRO; TIPOS_V2; TIPOS_V3; MATRIZ; H002</v>
      </c>
      <c r="N102" s="14" t="str">
        <v>Ingreso observado solo en enlaces agregados H002g; no historia completa</v>
      </c>
      <c r="O102" s="15"/>
      <c r="P102" s="14" t="str">
        <v>NINFRE</v>
      </c>
      <c r="Q102" s="14" t="n">
        <v>1</v>
      </c>
      <c r="R102" s="14" t="str">
        <v>SIN_UNION</v>
      </c>
      <c r="S102" s="14" t="str">
        <v>NINFRE</v>
      </c>
    </row>
    <row r="103" ht="36" customHeight="1">
      <c r="A103" s="15" t="str">
        <v>ECDREDIND2024</v>
      </c>
      <c r="B103" s="15" t="str">
        <v>ECCURYDP</v>
      </c>
      <c r="C103" s="15" t="str">
        <v>RE</v>
      </c>
      <c r="D103" s="15" t="str">
        <v>O</v>
      </c>
      <c r="E103" s="15" t="str">
        <v>E</v>
      </c>
      <c r="F103" s="15" t="str">
        <v>E</v>
      </c>
      <c r="G103" s="23" t="str">
        <v>E</v>
      </c>
      <c r="H103" s="23" t="str">
        <v>E</v>
      </c>
      <c r="I103" s="15" t="str">
        <v>E</v>
      </c>
      <c r="J103" s="15" t="str">
        <v>SIN_CANDIDATO_EN_FUENTE_2026</v>
      </c>
      <c r="K103" s="15" t="str">
        <v>SIN_UNION</v>
      </c>
      <c r="L103" s="15" t="str">
        <v>E (CANDIDATO)</v>
      </c>
      <c r="M103" s="15" t="str">
        <v>MAESTRO; TIPOS_V2; TIPOS_V3; MATRIZ; H002</v>
      </c>
      <c r="N103" s="15" t="str">
        <v>Ingreso observado solo en enlaces agregados H002g; no historia completa</v>
      </c>
      <c r="O103" s="15"/>
      <c r="P103" s="15" t="str">
        <v>NINFREOL</v>
      </c>
      <c r="Q103" s="15" t="n">
        <v>1</v>
      </c>
      <c r="R103" s="15" t="str">
        <v>UNIDO</v>
      </c>
      <c r="S103" s="15" t="str">
        <v>NINFREOL2019</v>
      </c>
    </row>
    <row r="104" ht="36" customHeight="1">
      <c r="A104" s="14" t="str">
        <v>ECDREDIND2024V2</v>
      </c>
      <c r="B104" s="14" t="str">
        <v>ECCURYDP</v>
      </c>
      <c r="C104" s="14" t="str">
        <v>RE</v>
      </c>
      <c r="D104" s="14" t="str">
        <v>O</v>
      </c>
      <c r="E104" s="14" t="str">
        <v>E</v>
      </c>
      <c r="F104" s="14" t="str">
        <v>E</v>
      </c>
      <c r="G104" s="21" t="str">
        <v>E</v>
      </c>
      <c r="H104" s="21" t="str">
        <v>E</v>
      </c>
      <c r="I104" s="14" t="str">
        <v>E</v>
      </c>
      <c r="J104" s="14" t="str">
        <v>SIN_CANDIDATO_EN_FUENTE_2026</v>
      </c>
      <c r="K104" s="14" t="str">
        <v>SIN_UNION</v>
      </c>
      <c r="L104" s="14" t="str">
        <v>E (CANDIDATO)</v>
      </c>
      <c r="M104" s="14" t="str">
        <v>MAESTRO; TIPOS_V2; TIPOS_V3; MATRIZ; H002</v>
      </c>
      <c r="N104" s="14" t="str">
        <v>Ingreso observado solo en enlaces agregados H002g; no historia completa</v>
      </c>
      <c r="O104" s="15"/>
      <c r="P104" s="14" t="str">
        <v>NITMRE</v>
      </c>
      <c r="Q104" s="14" t="n">
        <v>4</v>
      </c>
      <c r="R104" s="14" t="str">
        <v>UNIDO</v>
      </c>
      <c r="S104" s="14" t="str">
        <v>NCONRE / NITMRE20091 / NITMRE20101 / NITMRE20121</v>
      </c>
    </row>
    <row r="105" ht="36" customHeight="1">
      <c r="A105" s="15" t="str">
        <v>ECDSEGOFEN2024</v>
      </c>
      <c r="B105" s="15" t="str">
        <v>ECCURYDP</v>
      </c>
      <c r="C105" s="15" t="str">
        <v>RE</v>
      </c>
      <c r="D105" s="15" t="str">
        <v>E</v>
      </c>
      <c r="E105" s="15" t="str">
        <v>E</v>
      </c>
      <c r="F105" s="15" t="str">
        <v>E</v>
      </c>
      <c r="G105" s="23" t="str">
        <v>E</v>
      </c>
      <c r="H105" s="23" t="str">
        <v>E</v>
      </c>
      <c r="I105" s="15" t="str">
        <v>E</v>
      </c>
      <c r="J105" s="15" t="str">
        <v>SIN_CANDIDATO_EN_FUENTE_2026</v>
      </c>
      <c r="K105" s="15" t="str">
        <v>SIN_UNION</v>
      </c>
      <c r="L105" s="15" t="str">
        <v>E (CANDIDATO)</v>
      </c>
      <c r="M105" s="15" t="str">
        <v>MAESTRO; TIPOS_V2; TIPOS_V3; MATRIZ; H002</v>
      </c>
      <c r="N105" s="15" t="str">
        <v>Ingreso observado solo en enlaces agregados H002g; no historia completa</v>
      </c>
      <c r="O105" s="15"/>
      <c r="P105" s="15" t="str">
        <v>NTCCRE</v>
      </c>
      <c r="Q105" s="15" t="n">
        <v>2</v>
      </c>
      <c r="R105" s="15" t="str">
        <v>UNIDO</v>
      </c>
      <c r="S105" s="15" t="str">
        <v>NTCCRE20191 / NTCCRE2020</v>
      </c>
    </row>
    <row r="106" ht="36" customHeight="1">
      <c r="A106" s="14" t="str">
        <v>ECDSEGOFEN2024V2</v>
      </c>
      <c r="B106" s="14" t="str">
        <v>ECCURYDP</v>
      </c>
      <c r="C106" s="14" t="str">
        <v>RE</v>
      </c>
      <c r="D106" s="14" t="str">
        <v>O</v>
      </c>
      <c r="E106" s="14" t="str">
        <v>E</v>
      </c>
      <c r="F106" s="14" t="str">
        <v>E</v>
      </c>
      <c r="G106" s="21" t="str">
        <v>E</v>
      </c>
      <c r="H106" s="21" t="str">
        <v>E</v>
      </c>
      <c r="I106" s="14" t="str">
        <v>E</v>
      </c>
      <c r="J106" s="14" t="str">
        <v>SIN_CANDIDATO_EN_FUENTE_2026</v>
      </c>
      <c r="K106" s="14" t="str">
        <v>SIN_UNION</v>
      </c>
      <c r="L106" s="14" t="str">
        <v>E (CANDIDATO)</v>
      </c>
      <c r="M106" s="14" t="str">
        <v>MAESTRO; TIPOS_V2; TIPOS_V3; MATRIZ; H002</v>
      </c>
      <c r="N106" s="14" t="str">
        <v>Ingreso observado solo en enlaces agregados H002g; no historia completa</v>
      </c>
      <c r="O106" s="15"/>
      <c r="P106" s="14" t="str">
        <v>NTCCREOL</v>
      </c>
      <c r="Q106" s="14" t="n">
        <v>1</v>
      </c>
      <c r="R106" s="14" t="str">
        <v>UNIDO</v>
      </c>
      <c r="S106" s="14" t="str">
        <v>NTCCREOL2020</v>
      </c>
    </row>
    <row r="107" ht="36" customHeight="1">
      <c r="A107" s="15" t="str">
        <v>IACI20241</v>
      </c>
      <c r="B107" s="15" t="str">
        <v>IACI</v>
      </c>
      <c r="C107" s="15" t="str">
        <v>RE</v>
      </c>
      <c r="D107" s="15" t="str">
        <v>D</v>
      </c>
      <c r="E107" s="15" t="str">
        <v>E</v>
      </c>
      <c r="F107" s="15" t="str">
        <v>E</v>
      </c>
      <c r="G107" s="23" t="str">
        <v>E</v>
      </c>
      <c r="H107" s="23" t="str">
        <v>E</v>
      </c>
      <c r="I107" s="15" t="str">
        <v>I162S2C22J1V1</v>
      </c>
      <c r="J107" s="15" t="str">
        <v>PENDIENTE_EVIDENCIA</v>
      </c>
      <c r="K107" s="15" t="str">
        <v>UNIDO</v>
      </c>
      <c r="L107" s="15" t="str">
        <v>E (CANDIDATO)</v>
      </c>
      <c r="M107" s="15" t="str">
        <v>MAESTRO; TIPOS_V2; TIPOS_V3; MATRIZ; H002</v>
      </c>
      <c r="N107" s="15" t="str">
        <v>Ingreso observado solo en enlaces agregados H002g; no historia completa</v>
      </c>
      <c r="O107" s="15"/>
      <c r="P107" s="15" t="str">
        <v>OTECURSOS</v>
      </c>
      <c r="Q107" s="15" t="n">
        <v>3</v>
      </c>
      <c r="R107" s="15" t="str">
        <v>SIN_UNION</v>
      </c>
      <c r="S107" s="15" t="str">
        <v>ECCACFAR2025 / ECCAPP2025 / OTEC2024</v>
      </c>
    </row>
    <row r="108" ht="36" customHeight="1">
      <c r="A108" s="14" t="str">
        <v>IADM20241</v>
      </c>
      <c r="B108" s="14" t="str">
        <v>IADM</v>
      </c>
      <c r="C108" s="14" t="str">
        <v>RE</v>
      </c>
      <c r="D108" s="14" t="str">
        <v>D / O / V</v>
      </c>
      <c r="E108" s="14" t="str">
        <v>REGULAR</v>
      </c>
      <c r="F108" s="14" t="str">
        <v>C</v>
      </c>
      <c r="G108" s="21" t="n">
        <v>2024</v>
      </c>
      <c r="H108" s="21" t="n">
        <v>2026</v>
      </c>
      <c r="I108" s="14" t="str">
        <v>I162S2C76J1V1 / I162S2C76J2V1 / I162S2C76J4V1</v>
      </c>
      <c r="J108" s="14" t="str">
        <v>PENDIENTE_EVIDENCIA</v>
      </c>
      <c r="K108" s="14" t="str">
        <v>UNIDO</v>
      </c>
      <c r="L108" s="14" t="str">
        <v>REGULAR (CANDIDATO)</v>
      </c>
      <c r="M108" s="14" t="str">
        <v>MAESTRO; TIPOS_V2; TIPOS_V3; MATRIZ; H002</v>
      </c>
      <c r="N108" s="14" t="str">
        <v>Ingreso observado solo en enlaces agregados H002g; no historia completa</v>
      </c>
      <c r="O108" s="15"/>
      <c r="P108" s="14" t="str">
        <v>PCOM</v>
      </c>
      <c r="Q108" s="14" t="n">
        <v>1</v>
      </c>
      <c r="R108" s="14" t="str">
        <v>SIN_UNION</v>
      </c>
      <c r="S108" s="14" t="str">
        <v>PCOM20241</v>
      </c>
    </row>
    <row r="109" ht="36" customHeight="1">
      <c r="A109" s="15" t="str">
        <v>ICDA20251</v>
      </c>
      <c r="B109" s="15" t="str">
        <v>ICDA</v>
      </c>
      <c r="C109" s="15" t="str">
        <v>RE</v>
      </c>
      <c r="D109" s="15" t="str">
        <v>O</v>
      </c>
      <c r="E109" s="15" t="str">
        <v>REGULAR</v>
      </c>
      <c r="F109" s="15" t="str">
        <v>C</v>
      </c>
      <c r="G109" s="23" t="n">
        <v>2025</v>
      </c>
      <c r="H109" s="23" t="n">
        <v>2026</v>
      </c>
      <c r="I109" s="15" t="str">
        <v>I162S2C88J4V1</v>
      </c>
      <c r="J109" s="15" t="str">
        <v>PENDIENTE_EVIDENCIA</v>
      </c>
      <c r="K109" s="15" t="str">
        <v>UNIDO</v>
      </c>
      <c r="L109" s="15" t="str">
        <v>REGULAR (CANDIDATO)</v>
      </c>
      <c r="M109" s="15" t="str">
        <v>MAESTRO; TIPOS_V2; TIPOS_V3; MATRIZ; H002</v>
      </c>
      <c r="N109" s="15" t="str">
        <v>Ingreso observado solo en enlaces agregados H002g; no historia completa</v>
      </c>
      <c r="O109" s="15"/>
      <c r="P109" s="15" t="str">
        <v>PCOMS</v>
      </c>
      <c r="Q109" s="15" t="n">
        <v>1</v>
      </c>
      <c r="R109" s="15" t="str">
        <v>SIN_UNION</v>
      </c>
      <c r="S109" s="15" t="str">
        <v>PCOMS20261</v>
      </c>
    </row>
    <row r="110" ht="36" customHeight="1">
      <c r="A110" s="14" t="str">
        <v>ICIB20241</v>
      </c>
      <c r="B110" s="14" t="str">
        <v>ICIB</v>
      </c>
      <c r="C110" s="14" t="str">
        <v>RE</v>
      </c>
      <c r="D110" s="14" t="str">
        <v>D / O / V</v>
      </c>
      <c r="E110" s="14" t="str">
        <v>REGULAR</v>
      </c>
      <c r="F110" s="14" t="str">
        <v>C</v>
      </c>
      <c r="G110" s="21" t="n">
        <v>2021</v>
      </c>
      <c r="H110" s="21" t="n">
        <v>2026</v>
      </c>
      <c r="I110" s="14" t="str">
        <v>I162S2C46J1V1 / I162S2C46J2V1 / I162S2C46J4V3</v>
      </c>
      <c r="J110" s="14" t="str">
        <v>PENDIENTE_EVIDENCIA</v>
      </c>
      <c r="K110" s="14" t="str">
        <v>UNIDO</v>
      </c>
      <c r="L110" s="14" t="str">
        <v>REGULAR (CANDIDATO)</v>
      </c>
      <c r="M110" s="14" t="str">
        <v>MAESTRO; TIPOS_V2; TIPOS_V3; MATRIZ; H002</v>
      </c>
      <c r="N110" s="14" t="str">
        <v>Ingreso observado solo en enlaces agregados H002g; no historia completa</v>
      </c>
      <c r="O110" s="15"/>
      <c r="P110" s="14" t="str">
        <v>PRUEBAOTEC</v>
      </c>
      <c r="Q110" s="14" t="n">
        <v>1</v>
      </c>
      <c r="R110" s="14" t="str">
        <v>SIN_UNION</v>
      </c>
      <c r="S110" s="14" t="str">
        <v>OTEC2026</v>
      </c>
    </row>
    <row r="111" ht="36" customHeight="1">
      <c r="A111" s="15" t="str">
        <v>ICRE20241</v>
      </c>
      <c r="B111" s="15" t="str">
        <v>ICRE</v>
      </c>
      <c r="C111" s="15" t="str">
        <v>RE</v>
      </c>
      <c r="D111" s="15" t="str">
        <v>D / O / V</v>
      </c>
      <c r="E111" s="15" t="str">
        <v>REGULAR</v>
      </c>
      <c r="F111" s="15" t="str">
        <v>C</v>
      </c>
      <c r="G111" s="23" t="n">
        <v>2021</v>
      </c>
      <c r="H111" s="23" t="n">
        <v>2026</v>
      </c>
      <c r="I111" s="15" t="str">
        <v>I162S2C3J2V1 / I162S2C3J2V4 / I162S2C3J4V2</v>
      </c>
      <c r="J111" s="15" t="str">
        <v>PENDIENTE_EVIDENCIA</v>
      </c>
      <c r="K111" s="15" t="str">
        <v>UNIDO</v>
      </c>
      <c r="L111" s="15" t="str">
        <v>REGULAR (CANDIDATO)</v>
      </c>
      <c r="M111" s="15" t="str">
        <v>MAESTRO; TIPOS_V2; TIPOS_V3; MATRIZ; H002</v>
      </c>
      <c r="N111" s="15" t="str">
        <v>Ingreso observado solo en enlaces agregados H002g; no historia completa</v>
      </c>
      <c r="O111" s="15"/>
      <c r="P111" s="15" t="str">
        <v>TACI</v>
      </c>
      <c r="Q111" s="15" t="n">
        <v>1</v>
      </c>
      <c r="R111" s="15" t="str">
        <v>SIN_UNION</v>
      </c>
      <c r="S111" s="15" t="str">
        <v>TACI20241</v>
      </c>
    </row>
    <row r="112" ht="36" customHeight="1">
      <c r="A112" s="14" t="str">
        <v>IEACREOL</v>
      </c>
      <c r="B112" s="14" t="str">
        <v>IEACREOL</v>
      </c>
      <c r="C112" s="14" t="str">
        <v>RE</v>
      </c>
      <c r="D112" s="14" t="str">
        <v>E</v>
      </c>
      <c r="E112" s="14" t="str">
        <v>E</v>
      </c>
      <c r="F112" s="14" t="str">
        <v>E</v>
      </c>
      <c r="G112" s="21" t="str">
        <v>E</v>
      </c>
      <c r="H112" s="21" t="str">
        <v>E</v>
      </c>
      <c r="I112" s="14" t="str">
        <v>E</v>
      </c>
      <c r="J112" s="14" t="str">
        <v>SIN_CANDIDATO_EN_FUENTE_2026</v>
      </c>
      <c r="K112" s="14" t="str">
        <v>SIN_UNION</v>
      </c>
      <c r="L112" s="14" t="str">
        <v>E (CANDIDATO)</v>
      </c>
      <c r="M112" s="14" t="str">
        <v>MAESTRO; TIPOS_V2; TIPOS_V3; MATRIZ; H002</v>
      </c>
      <c r="N112" s="14" t="str">
        <v>Ingreso observado solo en enlaces agregados H002g; no historia completa</v>
      </c>
      <c r="O112" s="15"/>
      <c r="P112" s="14" t="str">
        <v>TACREOL</v>
      </c>
      <c r="Q112" s="14" t="n">
        <v>1</v>
      </c>
      <c r="R112" s="14" t="str">
        <v>SIN_UNION</v>
      </c>
      <c r="S112" s="14" t="str">
        <v>TACREOL</v>
      </c>
    </row>
    <row r="113" ht="36" customHeight="1">
      <c r="A113" s="15" t="str">
        <v>IECIPASO</v>
      </c>
      <c r="B113" s="15" t="str">
        <v>E</v>
      </c>
      <c r="C113" s="15" t="str">
        <v>E</v>
      </c>
      <c r="D113" s="15" t="str">
        <v>D / O / V</v>
      </c>
      <c r="E113" s="15" t="str">
        <v>E</v>
      </c>
      <c r="F113" s="15" t="str">
        <v>E</v>
      </c>
      <c r="G113" s="23" t="str">
        <v>E</v>
      </c>
      <c r="H113" s="23" t="str">
        <v>E</v>
      </c>
      <c r="I113" s="15" t="str">
        <v>E</v>
      </c>
      <c r="J113" s="15" t="str">
        <v>SIN_CANDIDATO_EN_FUENTE_2026</v>
      </c>
      <c r="K113" s="15" t="str">
        <v>SIN_UNION</v>
      </c>
      <c r="L113" s="15" t="str">
        <v>E (CANDIDATO)</v>
      </c>
      <c r="M113" s="15" t="str">
        <v>MAESTRO; TIPOS_V2; TIPOS_V3; MATRIZ; H002</v>
      </c>
      <c r="N113" s="15" t="str">
        <v>Ingreso observado solo en enlaces agregados H002g; no historia completa</v>
      </c>
      <c r="O113" s="15"/>
      <c r="P113" s="15" t="str">
        <v>TADP</v>
      </c>
      <c r="Q113" s="15" t="n">
        <v>1</v>
      </c>
      <c r="R113" s="15" t="str">
        <v>UNIDO</v>
      </c>
      <c r="S113" s="15" t="str">
        <v>TADP20251</v>
      </c>
    </row>
    <row r="114" ht="36" customHeight="1">
      <c r="A114" s="14" t="str">
        <v>IECIRE20081</v>
      </c>
      <c r="B114" s="14" t="str">
        <v>IECIRE</v>
      </c>
      <c r="C114" s="14" t="str">
        <v>RE</v>
      </c>
      <c r="D114" s="14" t="str">
        <v>E</v>
      </c>
      <c r="E114" s="14" t="str">
        <v>REGULAR</v>
      </c>
      <c r="F114" s="14" t="str">
        <v>C</v>
      </c>
      <c r="G114" s="21" t="str">
        <v>E</v>
      </c>
      <c r="H114" s="21" t="str">
        <v>E</v>
      </c>
      <c r="I114" s="14" t="str">
        <v>E</v>
      </c>
      <c r="J114" s="14" t="str">
        <v>PENDIENTE_EVIDENCIA</v>
      </c>
      <c r="K114" s="14" t="str">
        <v>SIN_UNION</v>
      </c>
      <c r="L114" s="14" t="str">
        <v>REGULAR (CANDIDATO)</v>
      </c>
      <c r="M114" s="14" t="str">
        <v>MAESTRO; TIPOS_V2; TIPOS_V3; MATRIZ; H002</v>
      </c>
      <c r="N114" s="14" t="str">
        <v>Ingreso observado solo en enlaces agregados H002g; no historia completa</v>
      </c>
      <c r="O114" s="15"/>
      <c r="P114" s="14" t="str">
        <v>TAMD</v>
      </c>
      <c r="Q114" s="14" t="n">
        <v>1</v>
      </c>
      <c r="R114" s="14" t="str">
        <v>UNIDO</v>
      </c>
      <c r="S114" s="14" t="str">
        <v>TAMD20241</v>
      </c>
    </row>
    <row r="115" ht="36" customHeight="1">
      <c r="A115" s="15" t="str">
        <v>IECIRE20101</v>
      </c>
      <c r="B115" s="15" t="str">
        <v>IECIRE</v>
      </c>
      <c r="C115" s="15" t="str">
        <v>RE</v>
      </c>
      <c r="D115" s="15" t="str">
        <v>V</v>
      </c>
      <c r="E115" s="15" t="str">
        <v>REGULAR</v>
      </c>
      <c r="F115" s="15" t="str">
        <v>C</v>
      </c>
      <c r="G115" s="23" t="str">
        <v>E</v>
      </c>
      <c r="H115" s="23" t="str">
        <v>E</v>
      </c>
      <c r="I115" s="15" t="str">
        <v>E</v>
      </c>
      <c r="J115" s="15" t="str">
        <v>PENDIENTE_EVIDENCIA</v>
      </c>
      <c r="K115" s="15" t="str">
        <v>SIN_UNION</v>
      </c>
      <c r="L115" s="15" t="str">
        <v>REGULAR (CANDIDATO)</v>
      </c>
      <c r="M115" s="15" t="str">
        <v>MAESTRO; TIPOS_V2; TIPOS_V3; MATRIZ; H002</v>
      </c>
      <c r="N115" s="15" t="str">
        <v>Ingreso observado solo en enlaces agregados H002g; no historia completa</v>
      </c>
      <c r="O115" s="15"/>
      <c r="P115" s="15" t="str">
        <v>TCDA</v>
      </c>
      <c r="Q115" s="15" t="n">
        <v>1</v>
      </c>
      <c r="R115" s="15" t="str">
        <v>UNIDO</v>
      </c>
      <c r="S115" s="15" t="str">
        <v>TCDA20251</v>
      </c>
    </row>
    <row r="116" ht="36" customHeight="1">
      <c r="A116" s="14" t="str">
        <v>IECIRE20121</v>
      </c>
      <c r="B116" s="14" t="str">
        <v>IECIRE</v>
      </c>
      <c r="C116" s="14" t="str">
        <v>RE</v>
      </c>
      <c r="D116" s="14" t="str">
        <v>V</v>
      </c>
      <c r="E116" s="14" t="str">
        <v>REGULAR</v>
      </c>
      <c r="F116" s="14" t="str">
        <v>C</v>
      </c>
      <c r="G116" s="21" t="str">
        <v>E</v>
      </c>
      <c r="H116" s="21" t="str">
        <v>E</v>
      </c>
      <c r="I116" s="14" t="str">
        <v>E</v>
      </c>
      <c r="J116" s="14" t="str">
        <v>PENDIENTE_EVIDENCIA</v>
      </c>
      <c r="K116" s="14" t="str">
        <v>SIN_UNION</v>
      </c>
      <c r="L116" s="14" t="str">
        <v>REGULAR (CANDIDATO)</v>
      </c>
      <c r="M116" s="14" t="str">
        <v>MAESTRO; TIPOS_V2; TIPOS_V3; MATRIZ; H002</v>
      </c>
      <c r="N116" s="14" t="str">
        <v>Ingreso observado solo en enlaces agregados H002g; no historia completa</v>
      </c>
      <c r="O116" s="15"/>
      <c r="P116" s="14" t="str">
        <v>TCIB</v>
      </c>
      <c r="Q116" s="14" t="n">
        <v>1</v>
      </c>
      <c r="R116" s="14" t="str">
        <v>UNIDO</v>
      </c>
      <c r="S116" s="14" t="str">
        <v>TCIB20241</v>
      </c>
    </row>
    <row r="117" ht="36" customHeight="1">
      <c r="A117" s="15" t="str">
        <v>IECIRE20151</v>
      </c>
      <c r="B117" s="15" t="str">
        <v>IECIRE</v>
      </c>
      <c r="C117" s="15" t="str">
        <v>RE</v>
      </c>
      <c r="D117" s="15" t="str">
        <v>D / O / V</v>
      </c>
      <c r="E117" s="15" t="str">
        <v>REGULAR</v>
      </c>
      <c r="F117" s="15" t="str">
        <v>C</v>
      </c>
      <c r="G117" s="23" t="str">
        <v>E</v>
      </c>
      <c r="H117" s="23" t="str">
        <v>E</v>
      </c>
      <c r="I117" s="15" t="str">
        <v>E</v>
      </c>
      <c r="J117" s="15" t="str">
        <v>PENDIENTE_EVIDENCIA</v>
      </c>
      <c r="K117" s="15" t="str">
        <v>SIN_UNION</v>
      </c>
      <c r="L117" s="15" t="str">
        <v>REGULAR (CANDIDATO)</v>
      </c>
      <c r="M117" s="15" t="str">
        <v>MAESTRO; TIPOS_V2; TIPOS_V3; MATRIZ; H002</v>
      </c>
      <c r="N117" s="15" t="str">
        <v>Ingreso observado solo en enlaces agregados H002g; no historia completa</v>
      </c>
      <c r="O117" s="15"/>
      <c r="P117" s="15" t="str">
        <v>TCIOL</v>
      </c>
      <c r="Q117" s="15" t="n">
        <v>2</v>
      </c>
      <c r="R117" s="15" t="str">
        <v>UNIDO</v>
      </c>
      <c r="S117" s="15" t="str">
        <v>TCIREOL20191 / TCIREOL20211</v>
      </c>
    </row>
    <row r="118" ht="36" customHeight="1">
      <c r="A118" s="14" t="str">
        <v>IECIRE20191</v>
      </c>
      <c r="B118" s="14" t="str">
        <v>IECIRE</v>
      </c>
      <c r="C118" s="14" t="str">
        <v>RE</v>
      </c>
      <c r="D118" s="14" t="str">
        <v>D / V</v>
      </c>
      <c r="E118" s="14" t="str">
        <v>REGULAR</v>
      </c>
      <c r="F118" s="14" t="str">
        <v>C</v>
      </c>
      <c r="G118" s="21" t="n">
        <v>2018</v>
      </c>
      <c r="H118" s="21" t="n">
        <v>2019</v>
      </c>
      <c r="I118" s="14" t="str">
        <v>I162S2C1J1V2 / I162S2C1J2V4</v>
      </c>
      <c r="J118" s="14" t="str">
        <v>PENDIENTE_EVIDENCIA</v>
      </c>
      <c r="K118" s="14" t="str">
        <v>UNIDO</v>
      </c>
      <c r="L118" s="14" t="str">
        <v>REGULAR (CANDIDATO)</v>
      </c>
      <c r="M118" s="14" t="str">
        <v>MAESTRO; TIPOS_V2; TIPOS_V3; MATRIZ; H002</v>
      </c>
      <c r="N118" s="14" t="str">
        <v>Ingreso observado solo en enlaces agregados H002g; no historia completa</v>
      </c>
      <c r="O118" s="15"/>
      <c r="P118" s="14" t="str">
        <v>TCRE</v>
      </c>
      <c r="Q118" s="14" t="n">
        <v>1</v>
      </c>
      <c r="R118" s="14" t="str">
        <v>UNIDO</v>
      </c>
      <c r="S118" s="14" t="str">
        <v>TCRE20241</v>
      </c>
    </row>
    <row r="119" ht="36" customHeight="1">
      <c r="A119" s="15" t="str">
        <v>IECIRE2020</v>
      </c>
      <c r="B119" s="15" t="str">
        <v>IECIRE</v>
      </c>
      <c r="C119" s="15" t="str">
        <v>RE</v>
      </c>
      <c r="D119" s="15" t="str">
        <v>D / V</v>
      </c>
      <c r="E119" s="15" t="str">
        <v>REGULAR</v>
      </c>
      <c r="F119" s="15" t="str">
        <v>C</v>
      </c>
      <c r="G119" s="23" t="n">
        <v>2018</v>
      </c>
      <c r="H119" s="23" t="n">
        <v>2020</v>
      </c>
      <c r="I119" s="15" t="str">
        <v>I162S2C1J1V2 / I162S2C1J2V4</v>
      </c>
      <c r="J119" s="15" t="str">
        <v>PENDIENTE_EVIDENCIA</v>
      </c>
      <c r="K119" s="15" t="str">
        <v>UNIDO</v>
      </c>
      <c r="L119" s="15" t="str">
        <v>REGULAR (CANDIDATO)</v>
      </c>
      <c r="M119" s="15" t="str">
        <v>MAESTRO; TIPOS_V2; TIPOS_V3; MATRIZ; H002</v>
      </c>
      <c r="N119" s="15" t="str">
        <v>Ingreso observado solo en enlaces agregados H002g; no historia completa</v>
      </c>
      <c r="O119" s="15"/>
      <c r="P119" s="15" t="str">
        <v>TCSRE</v>
      </c>
      <c r="Q119" s="15" t="n">
        <v>2</v>
      </c>
      <c r="R119" s="15" t="str">
        <v>UNIDO</v>
      </c>
      <c r="S119" s="15" t="str">
        <v>TCSRE20191 / TCSRE20211</v>
      </c>
    </row>
    <row r="120" ht="36" customHeight="1">
      <c r="A120" s="14" t="str">
        <v>IECIRE20211</v>
      </c>
      <c r="B120" s="14" t="str">
        <v>IECIRE</v>
      </c>
      <c r="C120" s="14" t="str">
        <v>RE</v>
      </c>
      <c r="D120" s="14" t="str">
        <v>D / V</v>
      </c>
      <c r="E120" s="14" t="str">
        <v>REGULAR</v>
      </c>
      <c r="F120" s="14" t="str">
        <v>C</v>
      </c>
      <c r="G120" s="21" t="n">
        <v>2019</v>
      </c>
      <c r="H120" s="21" t="n">
        <v>2023</v>
      </c>
      <c r="I120" s="14" t="str">
        <v>I162S2C1J1V2 / I162S2C1J2V4</v>
      </c>
      <c r="J120" s="14" t="str">
        <v>PENDIENTE_EVIDENCIA</v>
      </c>
      <c r="K120" s="14" t="str">
        <v>UNIDO</v>
      </c>
      <c r="L120" s="14" t="str">
        <v>REGULAR (CANDIDATO)</v>
      </c>
      <c r="M120" s="14" t="str">
        <v>MAESTRO; TIPOS_V2; TIPOS_V3; MATRIZ; H002</v>
      </c>
      <c r="N120" s="14" t="str">
        <v>Ingreso observado solo en enlaces agregados H002g; no historia completa</v>
      </c>
      <c r="O120" s="15"/>
      <c r="P120" s="14" t="str">
        <v>TCSREOL</v>
      </c>
      <c r="Q120" s="14" t="n">
        <v>3</v>
      </c>
      <c r="R120" s="14" t="str">
        <v>UNIDO</v>
      </c>
      <c r="S120" s="14" t="str">
        <v>TCSREOL2020 / TCSREOL20211 / TCSREOL20231</v>
      </c>
    </row>
    <row r="121" ht="36" customHeight="1">
      <c r="A121" s="15" t="str">
        <v>IECIREOL</v>
      </c>
      <c r="B121" s="15" t="str">
        <v>IECIREOL</v>
      </c>
      <c r="C121" s="15" t="str">
        <v>RE</v>
      </c>
      <c r="D121" s="15" t="str">
        <v>O</v>
      </c>
      <c r="E121" s="15" t="str">
        <v>E</v>
      </c>
      <c r="F121" s="15" t="str">
        <v>E</v>
      </c>
      <c r="G121" s="23" t="n">
        <v>2018</v>
      </c>
      <c r="H121" s="23" t="n">
        <v>2021</v>
      </c>
      <c r="I121" s="15" t="str">
        <v>I162S2C1J4V1 / I162S2C1J4V2</v>
      </c>
      <c r="J121" s="15" t="str">
        <v>PENDIENTE_EVIDENCIA</v>
      </c>
      <c r="K121" s="15" t="str">
        <v>UNIDO</v>
      </c>
      <c r="L121" s="15" t="str">
        <v>DEBIL (CANDIDATO)</v>
      </c>
      <c r="M121" s="15" t="str">
        <v>MAESTRO; TIPOS_V2; TIPOS_V3; MATRIZ; H002</v>
      </c>
      <c r="N121" s="15" t="str">
        <v>Ingreso observado solo en enlaces agregados H002g; no historia completa</v>
      </c>
      <c r="O121" s="15"/>
      <c r="P121" s="15" t="str">
        <v>TEIQ</v>
      </c>
      <c r="Q121" s="15" t="n">
        <v>1</v>
      </c>
      <c r="R121" s="15" t="str">
        <v>UNIDO</v>
      </c>
      <c r="S121" s="15" t="str">
        <v>TEIQ20261</v>
      </c>
    </row>
    <row r="122" ht="36" customHeight="1">
      <c r="A122" s="14" t="str">
        <v>IECIREOL20191</v>
      </c>
      <c r="B122" s="14" t="str">
        <v>IECIREOL</v>
      </c>
      <c r="C122" s="14" t="str">
        <v>RE</v>
      </c>
      <c r="D122" s="14" t="str">
        <v>O</v>
      </c>
      <c r="E122" s="14" t="str">
        <v>E</v>
      </c>
      <c r="F122" s="14" t="str">
        <v>E</v>
      </c>
      <c r="G122" s="21" t="n">
        <v>2019</v>
      </c>
      <c r="H122" s="21" t="n">
        <v>2020</v>
      </c>
      <c r="I122" s="14" t="str">
        <v>I162S2C1J4V2</v>
      </c>
      <c r="J122" s="14" t="str">
        <v>PENDIENTE_EVIDENCIA</v>
      </c>
      <c r="K122" s="14" t="str">
        <v>UNIDO</v>
      </c>
      <c r="L122" s="14" t="str">
        <v>DEBIL (CANDIDATO)</v>
      </c>
      <c r="M122" s="14" t="str">
        <v>MAESTRO; TIPOS_V2; TIPOS_V3; MATRIZ; H002</v>
      </c>
      <c r="N122" s="14" t="str">
        <v>Ingreso observado solo en enlaces agregados H002g; no historia completa</v>
      </c>
      <c r="O122" s="15"/>
      <c r="P122" s="14" t="str">
        <v>TENS</v>
      </c>
      <c r="Q122" s="14" t="n">
        <v>1</v>
      </c>
      <c r="R122" s="14" t="str">
        <v>UNIDO</v>
      </c>
      <c r="S122" s="14" t="str">
        <v>TENS20251</v>
      </c>
    </row>
    <row r="123" ht="36" customHeight="1">
      <c r="A123" s="15" t="str">
        <v>IECIREOL20201</v>
      </c>
      <c r="B123" s="15" t="str">
        <v>IECIREOL</v>
      </c>
      <c r="C123" s="15" t="str">
        <v>RE</v>
      </c>
      <c r="D123" s="15" t="str">
        <v>O</v>
      </c>
      <c r="E123" s="15" t="str">
        <v>E</v>
      </c>
      <c r="F123" s="15" t="str">
        <v>E</v>
      </c>
      <c r="G123" s="23" t="n">
        <v>2019</v>
      </c>
      <c r="H123" s="23" t="n">
        <v>2020</v>
      </c>
      <c r="I123" s="15" t="str">
        <v>I162S2C1J4V1 / I162S2C1J4V2</v>
      </c>
      <c r="J123" s="15" t="str">
        <v>PENDIENTE_EVIDENCIA</v>
      </c>
      <c r="K123" s="15" t="str">
        <v>UNIDO</v>
      </c>
      <c r="L123" s="15" t="str">
        <v>DEBIL (CANDIDATO)</v>
      </c>
      <c r="M123" s="15" t="str">
        <v>MAESTRO; TIPOS_V2; TIPOS_V3; MATRIZ; H002</v>
      </c>
      <c r="N123" s="15" t="str">
        <v>Ingreso observado solo en enlaces agregados H002g; no historia completa</v>
      </c>
      <c r="O123" s="15"/>
      <c r="P123" s="15" t="str">
        <v>TFAR</v>
      </c>
      <c r="Q123" s="15" t="n">
        <v>1</v>
      </c>
      <c r="R123" s="15" t="str">
        <v>UNIDO</v>
      </c>
      <c r="S123" s="15" t="str">
        <v>TFAR20261</v>
      </c>
    </row>
    <row r="124" ht="36" customHeight="1">
      <c r="A124" s="14" t="str">
        <v>IECIREOL20211</v>
      </c>
      <c r="B124" s="14" t="str">
        <v>IECIREOL / TPAREOL</v>
      </c>
      <c r="C124" s="14" t="str">
        <v>RE</v>
      </c>
      <c r="D124" s="14" t="str">
        <v>O</v>
      </c>
      <c r="E124" s="14" t="str">
        <v>E</v>
      </c>
      <c r="F124" s="14" t="str">
        <v>E</v>
      </c>
      <c r="G124" s="21" t="n">
        <v>2012</v>
      </c>
      <c r="H124" s="21" t="n">
        <v>2023</v>
      </c>
      <c r="I124" s="14" t="str">
        <v>I162S2C1J4V2</v>
      </c>
      <c r="J124" s="14" t="str">
        <v>PENDIENTE_EVIDENCIA</v>
      </c>
      <c r="K124" s="14" t="str">
        <v>UNIDO</v>
      </c>
      <c r="L124" s="14" t="str">
        <v>DEBIL (CANDIDATO)</v>
      </c>
      <c r="M124" s="14" t="str">
        <v>MAESTRO; TIPOS_V2; TIPOS_V3; MATRIZ; H002</v>
      </c>
      <c r="N124" s="14" t="str">
        <v>Ingreso observado solo en enlaces agregados H002g; no historia completa</v>
      </c>
      <c r="O124" s="15"/>
      <c r="P124" s="14" t="str">
        <v>TFIN</v>
      </c>
      <c r="Q124" s="14" t="n">
        <v>1</v>
      </c>
      <c r="R124" s="14" t="str">
        <v>UNIDO</v>
      </c>
      <c r="S124" s="14" t="str">
        <v>TFIN20261</v>
      </c>
    </row>
    <row r="125" ht="36" customHeight="1">
      <c r="A125" s="15" t="str">
        <v>IECSRE20191</v>
      </c>
      <c r="B125" s="15" t="str">
        <v>IECSRE</v>
      </c>
      <c r="C125" s="15" t="str">
        <v>RE</v>
      </c>
      <c r="D125" s="15" t="str">
        <v>D / V</v>
      </c>
      <c r="E125" s="15" t="str">
        <v>REGULAR</v>
      </c>
      <c r="F125" s="15" t="str">
        <v>C</v>
      </c>
      <c r="G125" s="23" t="str">
        <v>E</v>
      </c>
      <c r="H125" s="23" t="str">
        <v>E</v>
      </c>
      <c r="I125" s="15" t="str">
        <v>E</v>
      </c>
      <c r="J125" s="15" t="str">
        <v>PENDIENTE_EVIDENCIA</v>
      </c>
      <c r="K125" s="15" t="str">
        <v>SIN_UNION</v>
      </c>
      <c r="L125" s="15" t="str">
        <v>REGULAR (CANDIDATO)</v>
      </c>
      <c r="M125" s="15" t="str">
        <v>MAESTRO; TIPOS_V2; TIPOS_V3; MATRIZ; H002</v>
      </c>
      <c r="N125" s="15" t="str">
        <v>Ingreso observado solo en enlaces agregados H002g; no historia completa</v>
      </c>
      <c r="O125" s="15"/>
      <c r="P125" s="15" t="str">
        <v>TICL</v>
      </c>
      <c r="Q125" s="15" t="n">
        <v>1</v>
      </c>
      <c r="R125" s="15" t="str">
        <v>UNIDO</v>
      </c>
      <c r="S125" s="15" t="str">
        <v>TICL20261</v>
      </c>
    </row>
    <row r="126" ht="36" customHeight="1">
      <c r="A126" s="14" t="str">
        <v>IECSRE20211</v>
      </c>
      <c r="B126" s="14" t="str">
        <v>IECSRE</v>
      </c>
      <c r="C126" s="14" t="str">
        <v>RE</v>
      </c>
      <c r="D126" s="14" t="str">
        <v>D / V</v>
      </c>
      <c r="E126" s="14" t="str">
        <v>REGULAR</v>
      </c>
      <c r="F126" s="14" t="str">
        <v>C</v>
      </c>
      <c r="G126" s="21" t="n">
        <v>2021</v>
      </c>
      <c r="H126" s="21" t="n">
        <v>2022</v>
      </c>
      <c r="I126" s="14" t="str">
        <v>I162S2C46J1V1</v>
      </c>
      <c r="J126" s="14" t="str">
        <v>PENDIENTE_EVIDENCIA</v>
      </c>
      <c r="K126" s="14" t="str">
        <v>UNIDO</v>
      </c>
      <c r="L126" s="14" t="str">
        <v>REGULAR (CANDIDATO)</v>
      </c>
      <c r="M126" s="14" t="str">
        <v>MAESTRO; TIPOS_V2; TIPOS_V3; MATRIZ; H002</v>
      </c>
      <c r="N126" s="14" t="str">
        <v>Ingreso observado solo en enlaces agregados H002g; no historia completa</v>
      </c>
      <c r="O126" s="15"/>
      <c r="P126" s="14" t="str">
        <v>TIND</v>
      </c>
      <c r="Q126" s="14" t="n">
        <v>1</v>
      </c>
      <c r="R126" s="14" t="str">
        <v>SIN_UNION</v>
      </c>
      <c r="S126" s="14" t="str">
        <v>TIND20251</v>
      </c>
    </row>
    <row r="127" ht="36" customHeight="1">
      <c r="A127" s="15" t="str">
        <v>IECSREOL20211</v>
      </c>
      <c r="B127" s="15" t="str">
        <v>IECSREOL</v>
      </c>
      <c r="C127" s="15" t="str">
        <v>RE</v>
      </c>
      <c r="D127" s="15" t="str">
        <v>O</v>
      </c>
      <c r="E127" s="15" t="str">
        <v>REGULAR</v>
      </c>
      <c r="F127" s="15" t="str">
        <v>C</v>
      </c>
      <c r="G127" s="23" t="n">
        <v>2020</v>
      </c>
      <c r="H127" s="23" t="n">
        <v>2023</v>
      </c>
      <c r="I127" s="15" t="str">
        <v>I162S2C46J4V1 / I162S2C46J4V3</v>
      </c>
      <c r="J127" s="15" t="str">
        <v>PENDIENTE_EVIDENCIA</v>
      </c>
      <c r="K127" s="15" t="str">
        <v>UNIDO</v>
      </c>
      <c r="L127" s="15" t="str">
        <v>REGULAR (CANDIDATO)</v>
      </c>
      <c r="M127" s="15" t="str">
        <v>MAESTRO; TIPOS_V2; TIPOS_V3; MATRIZ; H002</v>
      </c>
      <c r="N127" s="15" t="str">
        <v>Ingreso observado solo en enlaces agregados H002g; no historia completa</v>
      </c>
      <c r="O127" s="15"/>
      <c r="P127" s="15" t="str">
        <v>TLOG</v>
      </c>
      <c r="Q127" s="15" t="n">
        <v>1</v>
      </c>
      <c r="R127" s="15" t="str">
        <v>UNIDO</v>
      </c>
      <c r="S127" s="15" t="str">
        <v>TLOG20241</v>
      </c>
    </row>
    <row r="128" ht="36" customHeight="1">
      <c r="A128" s="14" t="str">
        <v>IEMORE20141</v>
      </c>
      <c r="B128" s="14" t="str">
        <v>IEMORE</v>
      </c>
      <c r="C128" s="14" t="str">
        <v>RE</v>
      </c>
      <c r="D128" s="14" t="str">
        <v>V </v>
      </c>
      <c r="E128" s="14" t="str">
        <v>E</v>
      </c>
      <c r="F128" s="14" t="str">
        <v>E</v>
      </c>
      <c r="G128" s="21" t="str">
        <v>E</v>
      </c>
      <c r="H128" s="21" t="str">
        <v>E</v>
      </c>
      <c r="I128" s="14" t="str">
        <v>I162S2C22J1V1</v>
      </c>
      <c r="J128" s="14" t="str">
        <v>PENDIENTE_EVIDENCIA</v>
      </c>
      <c r="K128" s="14" t="str">
        <v>UNIDO</v>
      </c>
      <c r="L128" s="14" t="str">
        <v>E (CANDIDATO)</v>
      </c>
      <c r="M128" s="14" t="str">
        <v>MAESTRO; TIPOS_V2; TIPOS_V3; MATRIZ; H002</v>
      </c>
      <c r="N128" s="14" t="str">
        <v>Ingreso observado solo en enlaces agregados H002g; no historia completa</v>
      </c>
      <c r="O128" s="15"/>
      <c r="P128" s="14" t="str">
        <v>TMDI</v>
      </c>
      <c r="Q128" s="14" t="n">
        <v>1</v>
      </c>
      <c r="R128" s="14" t="str">
        <v>UNIDO</v>
      </c>
      <c r="S128" s="14" t="str">
        <v>TMDI20261</v>
      </c>
    </row>
    <row r="129" ht="36" customHeight="1">
      <c r="A129" s="15" t="str">
        <v>IEMORE20151</v>
      </c>
      <c r="B129" s="15" t="str">
        <v>IEMORE</v>
      </c>
      <c r="C129" s="15" t="str">
        <v>RE</v>
      </c>
      <c r="D129" s="15" t="str">
        <v>D / V</v>
      </c>
      <c r="E129" s="15" t="str">
        <v>E</v>
      </c>
      <c r="F129" s="15" t="str">
        <v>E</v>
      </c>
      <c r="G129" s="23" t="str">
        <v>E</v>
      </c>
      <c r="H129" s="23" t="str">
        <v>E</v>
      </c>
      <c r="I129" s="15" t="str">
        <v>I162S2C22J1V1</v>
      </c>
      <c r="J129" s="15" t="str">
        <v>PENDIENTE_EVIDENCIA</v>
      </c>
      <c r="K129" s="15" t="str">
        <v>UNIDO</v>
      </c>
      <c r="L129" s="15" t="str">
        <v>E (CANDIDATO)</v>
      </c>
      <c r="M129" s="15" t="str">
        <v>MAESTRO; TIPOS_V2; TIPOS_V3; MATRIZ; H002</v>
      </c>
      <c r="N129" s="15" t="str">
        <v>Ingreso observado solo en enlaces agregados H002g; no historia completa</v>
      </c>
      <c r="O129" s="15"/>
      <c r="P129" s="15" t="str">
        <v>TMIRE</v>
      </c>
      <c r="Q129" s="15" t="n">
        <v>5</v>
      </c>
      <c r="R129" s="15" t="str">
        <v>UNIDO</v>
      </c>
      <c r="S129" s="15" t="str">
        <v>TMIRE20131 / TMIRE20151 / TMIRE20171 / TMIRE2020 / TMIRE20211</v>
      </c>
    </row>
    <row r="130" ht="36" customHeight="1">
      <c r="A130" s="14" t="str">
        <v>IEMORE20171</v>
      </c>
      <c r="B130" s="14" t="str">
        <v>IEMORE</v>
      </c>
      <c r="C130" s="14" t="str">
        <v>RE</v>
      </c>
      <c r="D130" s="14" t="str">
        <v>V</v>
      </c>
      <c r="E130" s="14" t="str">
        <v>E</v>
      </c>
      <c r="F130" s="14" t="str">
        <v>E</v>
      </c>
      <c r="G130" s="21" t="str">
        <v>E</v>
      </c>
      <c r="H130" s="21" t="str">
        <v>E</v>
      </c>
      <c r="I130" s="14" t="str">
        <v>I162S2C22J1V1</v>
      </c>
      <c r="J130" s="14" t="str">
        <v>PENDIENTE_EVIDENCIA</v>
      </c>
      <c r="K130" s="14" t="str">
        <v>UNIDO</v>
      </c>
      <c r="L130" s="14" t="str">
        <v>REGULAR (CANDIDATO)</v>
      </c>
      <c r="M130" s="14" t="str">
        <v>MAESTRO; TIPOS_V2; TIPOS_V3; MATRIZ; H002</v>
      </c>
      <c r="N130" s="14" t="str">
        <v>Ingreso observado solo en enlaces agregados H002g; no historia completa</v>
      </c>
      <c r="O130" s="15"/>
      <c r="P130" s="14" t="str">
        <v>TNTP</v>
      </c>
      <c r="Q130" s="14" t="n">
        <v>1</v>
      </c>
      <c r="R130" s="14" t="str">
        <v>SIN_UNION</v>
      </c>
      <c r="S130" s="14" t="str">
        <v>TNTP</v>
      </c>
    </row>
    <row r="131" ht="36" customHeight="1">
      <c r="A131" s="15" t="str">
        <v>IEMORE20201</v>
      </c>
      <c r="B131" s="15" t="str">
        <v>IEMORE</v>
      </c>
      <c r="C131" s="15" t="str">
        <v>RE</v>
      </c>
      <c r="D131" s="15" t="str">
        <v>V</v>
      </c>
      <c r="E131" s="15" t="str">
        <v>E</v>
      </c>
      <c r="F131" s="15" t="str">
        <v>E</v>
      </c>
      <c r="G131" s="23" t="str">
        <v>E</v>
      </c>
      <c r="H131" s="23" t="str">
        <v>E</v>
      </c>
      <c r="I131" s="15" t="str">
        <v>I162S2C22J1V1</v>
      </c>
      <c r="J131" s="15" t="str">
        <v>PENDIENTE_EVIDENCIA</v>
      </c>
      <c r="K131" s="15" t="str">
        <v>UNIDO</v>
      </c>
      <c r="L131" s="15" t="str">
        <v>REGULAR (CANDIDATO)</v>
      </c>
      <c r="M131" s="15" t="str">
        <v>MAESTRO; TIPOS_V2; TIPOS_V3; MATRIZ; H002</v>
      </c>
      <c r="N131" s="15" t="str">
        <v>Ingreso observado solo en enlaces agregados H002g; no historia completa</v>
      </c>
      <c r="O131" s="15"/>
      <c r="P131" s="15" t="str">
        <v>TPARE</v>
      </c>
      <c r="Q131" s="15" t="n">
        <v>2</v>
      </c>
      <c r="R131" s="15" t="str">
        <v>UNIDO</v>
      </c>
      <c r="S131" s="15" t="str">
        <v>TPARE2020 / TPARE20211</v>
      </c>
    </row>
    <row r="132" ht="36" customHeight="1">
      <c r="A132" s="14" t="str">
        <v>IEMORE20211</v>
      </c>
      <c r="B132" s="14" t="str">
        <v>IEMORE</v>
      </c>
      <c r="C132" s="14" t="str">
        <v>RE</v>
      </c>
      <c r="D132" s="14" t="str">
        <v>V</v>
      </c>
      <c r="E132" s="14" t="str">
        <v>E</v>
      </c>
      <c r="F132" s="14" t="str">
        <v>E</v>
      </c>
      <c r="G132" s="21" t="n">
        <v>2019</v>
      </c>
      <c r="H132" s="21" t="n">
        <v>2021</v>
      </c>
      <c r="I132" s="14" t="str">
        <v>I162S2C22J1V1 / I162S2C22J2V1</v>
      </c>
      <c r="J132" s="14" t="str">
        <v>PENDIENTE_EVIDENCIA</v>
      </c>
      <c r="K132" s="14" t="str">
        <v>UNIDO</v>
      </c>
      <c r="L132" s="14" t="str">
        <v>REGULAR (CANDIDATO)</v>
      </c>
      <c r="M132" s="14" t="str">
        <v>MAESTRO; TIPOS_V2; TIPOS_V3; MATRIZ; H002</v>
      </c>
      <c r="N132" s="14" t="str">
        <v>Ingreso observado solo en enlaces agregados H002g; no historia completa</v>
      </c>
      <c r="O132" s="15"/>
      <c r="P132" s="14" t="str">
        <v>TPAREOL</v>
      </c>
      <c r="Q132" s="14" t="n">
        <v>4</v>
      </c>
      <c r="R132" s="14" t="str">
        <v>UNIDO</v>
      </c>
      <c r="S132" s="14" t="str">
        <v>IECIREOL20211 / TPAREOL2020 / TPAREOL20211 / TPAREOL20231</v>
      </c>
    </row>
    <row r="133" ht="36" customHeight="1">
      <c r="A133" s="15" t="str">
        <v>IETMPASO</v>
      </c>
      <c r="B133" s="15" t="str">
        <v>E</v>
      </c>
      <c r="C133" s="15" t="str">
        <v>E</v>
      </c>
      <c r="D133" s="15" t="str">
        <v>D / V</v>
      </c>
      <c r="E133" s="15" t="str">
        <v>E</v>
      </c>
      <c r="F133" s="15" t="str">
        <v>E</v>
      </c>
      <c r="G133" s="23" t="str">
        <v>E</v>
      </c>
      <c r="H133" s="23" t="str">
        <v>E</v>
      </c>
      <c r="I133" s="15" t="str">
        <v>E</v>
      </c>
      <c r="J133" s="15" t="str">
        <v>SIN_CANDIDATO_EN_FUENTE_2026</v>
      </c>
      <c r="K133" s="15" t="str">
        <v>SIN_UNION</v>
      </c>
      <c r="L133" s="15" t="str">
        <v>E (CANDIDATO)</v>
      </c>
      <c r="M133" s="15" t="str">
        <v>MAESTRO; TIPOS_V2; TIPOS_V3; MATRIZ; H002</v>
      </c>
      <c r="N133" s="15" t="str">
        <v>Ingreso observado solo en enlaces agregados H002g; no historia completa</v>
      </c>
      <c r="O133" s="15"/>
      <c r="P133" s="15" t="str">
        <v>TPAS</v>
      </c>
      <c r="Q133" s="15" t="n">
        <v>1</v>
      </c>
      <c r="R133" s="15" t="str">
        <v>UNIDO</v>
      </c>
      <c r="S133" s="15" t="str">
        <v>TPAS20241</v>
      </c>
    </row>
    <row r="134" ht="36" customHeight="1">
      <c r="A134" s="14" t="str">
        <v>IETMRE20091</v>
      </c>
      <c r="B134" s="14" t="str">
        <v>IETMRE</v>
      </c>
      <c r="C134" s="14" t="str">
        <v>RE</v>
      </c>
      <c r="D134" s="14" t="str">
        <v>E</v>
      </c>
      <c r="E134" s="14" t="str">
        <v>REGULAR</v>
      </c>
      <c r="F134" s="14" t="str">
        <v>C</v>
      </c>
      <c r="G134" s="21" t="str">
        <v>E</v>
      </c>
      <c r="H134" s="21" t="str">
        <v>E</v>
      </c>
      <c r="I134" s="14" t="str">
        <v>E</v>
      </c>
      <c r="J134" s="14" t="str">
        <v>PENDIENTE_EVIDENCIA</v>
      </c>
      <c r="K134" s="14" t="str">
        <v>SIN_UNION</v>
      </c>
      <c r="L134" s="14" t="str">
        <v>REGULAR (CANDIDATO)</v>
      </c>
      <c r="M134" s="14" t="str">
        <v>MAESTRO; TIPOS_V2; TIPOS_V3; MATRIZ; H002</v>
      </c>
      <c r="N134" s="14" t="str">
        <v>Ingreso observado solo en enlaces agregados H002g; no historia completa</v>
      </c>
      <c r="O134" s="15"/>
      <c r="P134" s="14" t="str">
        <v>TPCRE</v>
      </c>
      <c r="Q134" s="14" t="n">
        <v>6</v>
      </c>
      <c r="R134" s="14" t="str">
        <v>UNIDO</v>
      </c>
      <c r="S134" s="14" t="str">
        <v>TPCRE20081 / TPCRE20101 / TPCRE20121 / TPCRE20121V2 / TPCRE20151 / TPCRE20191</v>
      </c>
    </row>
    <row r="135" ht="36" customHeight="1">
      <c r="A135" s="15" t="str">
        <v>IETMRE20101</v>
      </c>
      <c r="B135" s="15" t="str">
        <v>IETMRE</v>
      </c>
      <c r="C135" s="15" t="str">
        <v>RE</v>
      </c>
      <c r="D135" s="15" t="str">
        <v>V</v>
      </c>
      <c r="E135" s="15" t="str">
        <v>REGULAR</v>
      </c>
      <c r="F135" s="15" t="str">
        <v>C</v>
      </c>
      <c r="G135" s="23" t="str">
        <v>E</v>
      </c>
      <c r="H135" s="23" t="str">
        <v>E</v>
      </c>
      <c r="I135" s="15" t="str">
        <v>E</v>
      </c>
      <c r="J135" s="15" t="str">
        <v>PENDIENTE_EVIDENCIA</v>
      </c>
      <c r="K135" s="15" t="str">
        <v>SIN_UNION</v>
      </c>
      <c r="L135" s="15" t="str">
        <v>REGULAR (CANDIDATO)</v>
      </c>
      <c r="M135" s="15" t="str">
        <v>MAESTRO; TIPOS_V2; TIPOS_V3; MATRIZ; H002</v>
      </c>
      <c r="N135" s="15" t="str">
        <v>Ingreso observado solo en enlaces agregados H002g; no historia completa</v>
      </c>
      <c r="O135" s="15"/>
      <c r="P135" s="15" t="str">
        <v>TPCREOL</v>
      </c>
      <c r="Q135" s="15" t="n">
        <v>2</v>
      </c>
      <c r="R135" s="15" t="str">
        <v>UNIDO</v>
      </c>
      <c r="S135" s="15" t="str">
        <v>TPCREOL / TPCREOL20191</v>
      </c>
    </row>
    <row r="136" ht="36" customHeight="1">
      <c r="A136" s="14" t="str">
        <v>IETMRE20121</v>
      </c>
      <c r="B136" s="14" t="str">
        <v>IETMRE</v>
      </c>
      <c r="C136" s="14" t="str">
        <v>RE</v>
      </c>
      <c r="D136" s="14" t="str">
        <v>D / D  / V</v>
      </c>
      <c r="E136" s="14" t="str">
        <v>REGULAR</v>
      </c>
      <c r="F136" s="14" t="str">
        <v>C</v>
      </c>
      <c r="G136" s="21" t="n">
        <v>2013</v>
      </c>
      <c r="H136" s="21" t="n">
        <v>2013</v>
      </c>
      <c r="I136" s="14" t="str">
        <v>I162S2C3J2V1</v>
      </c>
      <c r="J136" s="14" t="str">
        <v>PENDIENTE_EVIDENCIA</v>
      </c>
      <c r="K136" s="14" t="str">
        <v>UNIDO</v>
      </c>
      <c r="L136" s="14" t="str">
        <v>REGULAR (CANDIDATO)</v>
      </c>
      <c r="M136" s="14" t="str">
        <v>MAESTRO; TIPOS_V2; TIPOS_V3; MATRIZ; H002</v>
      </c>
      <c r="N136" s="14" t="str">
        <v>Ingreso observado solo en enlaces agregados H002g; no historia completa</v>
      </c>
      <c r="O136" s="15"/>
      <c r="P136" s="14" t="str">
        <v>TPRE</v>
      </c>
      <c r="Q136" s="14" t="n">
        <v>1</v>
      </c>
      <c r="R136" s="14" t="str">
        <v>UNIDO</v>
      </c>
      <c r="S136" s="14" t="str">
        <v>TPRE20261</v>
      </c>
    </row>
    <row r="137" ht="36" customHeight="1">
      <c r="A137" s="15" t="str">
        <v>IETMRE20161</v>
      </c>
      <c r="B137" s="15" t="str">
        <v>IETMRE</v>
      </c>
      <c r="C137" s="15" t="str">
        <v>RE</v>
      </c>
      <c r="D137" s="15" t="str">
        <v>D / V</v>
      </c>
      <c r="E137" s="15" t="str">
        <v>REGULAR</v>
      </c>
      <c r="F137" s="15" t="str">
        <v>C</v>
      </c>
      <c r="G137" s="23" t="n">
        <v>2016</v>
      </c>
      <c r="H137" s="23" t="n">
        <v>2018</v>
      </c>
      <c r="I137" s="15" t="str">
        <v>I162S2C3J2V1 / I162S2C3J2V4</v>
      </c>
      <c r="J137" s="15" t="str">
        <v>PENDIENTE_EVIDENCIA</v>
      </c>
      <c r="K137" s="15" t="str">
        <v>UNIDO</v>
      </c>
      <c r="L137" s="15" t="str">
        <v>REGULAR (CANDIDATO)</v>
      </c>
      <c r="M137" s="15" t="str">
        <v>MAESTRO; TIPOS_V2; TIPOS_V3; MATRIZ; H002</v>
      </c>
      <c r="N137" s="15" t="str">
        <v>Ingreso observado solo en enlaces agregados H002g; no historia completa</v>
      </c>
      <c r="O137" s="15"/>
      <c r="P137" s="15" t="str">
        <v>TPRRE</v>
      </c>
      <c r="Q137" s="15" t="n">
        <v>1</v>
      </c>
      <c r="R137" s="15" t="str">
        <v>UNIDO</v>
      </c>
      <c r="S137" s="15" t="str">
        <v>TPRRE20131</v>
      </c>
    </row>
    <row r="138" ht="36" customHeight="1">
      <c r="A138" s="14" t="str">
        <v>IETMRE20191</v>
      </c>
      <c r="B138" s="14" t="str">
        <v>IETMRE</v>
      </c>
      <c r="C138" s="14" t="str">
        <v>RE</v>
      </c>
      <c r="D138" s="14" t="str">
        <v>D / O / V</v>
      </c>
      <c r="E138" s="14" t="str">
        <v>REGULAR</v>
      </c>
      <c r="F138" s="14" t="str">
        <v>C</v>
      </c>
      <c r="G138" s="21" t="n">
        <v>2016</v>
      </c>
      <c r="H138" s="21" t="n">
        <v>2020</v>
      </c>
      <c r="I138" s="14" t="str">
        <v>I162S2C3J2V4</v>
      </c>
      <c r="J138" s="14" t="str">
        <v>PENDIENTE_EVIDENCIA</v>
      </c>
      <c r="K138" s="14" t="str">
        <v>UNIDO</v>
      </c>
      <c r="L138" s="14" t="str">
        <v>REGULAR (CANDIDATO)</v>
      </c>
      <c r="M138" s="14" t="str">
        <v>MAESTRO; TIPOS_V2; TIPOS_V3; MATRIZ; H002</v>
      </c>
      <c r="N138" s="14" t="str">
        <v>Ingreso observado solo en enlaces agregados H002g; no historia completa</v>
      </c>
      <c r="O138" s="15"/>
      <c r="P138" s="14" t="str">
        <v>TRHU</v>
      </c>
      <c r="Q138" s="14" t="n">
        <v>1</v>
      </c>
      <c r="R138" s="14" t="str">
        <v>UNIDO</v>
      </c>
      <c r="S138" s="14" t="str">
        <v>TRHU20261</v>
      </c>
    </row>
    <row r="139" ht="50" customHeight="1">
      <c r="A139" s="15" t="str">
        <v>IETMRE20211</v>
      </c>
      <c r="B139" s="15" t="str">
        <v>IETMRE</v>
      </c>
      <c r="C139" s="15" t="str">
        <v>RE</v>
      </c>
      <c r="D139" s="15" t="str">
        <v>D / V</v>
      </c>
      <c r="E139" s="15" t="str">
        <v>REGULAR</v>
      </c>
      <c r="F139" s="15" t="str">
        <v>C</v>
      </c>
      <c r="G139" s="23" t="n">
        <v>2021</v>
      </c>
      <c r="H139" s="23" t="n">
        <v>2023</v>
      </c>
      <c r="I139" s="15" t="str">
        <v>I162S2C3J2V1 / I162S2C3J2V4</v>
      </c>
      <c r="J139" s="15" t="str">
        <v>PENDIENTE_EVIDENCIA</v>
      </c>
      <c r="K139" s="15" t="str">
        <v>UNIDO</v>
      </c>
      <c r="L139" s="15" t="str">
        <v>REGULAR (CANDIDATO)</v>
      </c>
      <c r="M139" s="15" t="str">
        <v>MAESTRO; TIPOS_V2; TIPOS_V3; MATRIZ; H002</v>
      </c>
      <c r="N139" s="15" t="str">
        <v>Ingreso observado solo en enlaces agregados H002g; no historia completa</v>
      </c>
      <c r="O139" s="15"/>
      <c r="P139" s="15" t="str">
        <v>TTMRE</v>
      </c>
      <c r="Q139" s="15" t="n">
        <v>7</v>
      </c>
      <c r="R139" s="15" t="str">
        <v>UNIDO</v>
      </c>
      <c r="S139" s="15" t="str">
        <v>TTMRE20091 / TTMRE20101 / TTMRE20121 / TTMRE20121V2 / TTMRE20161 / TTMRE20191 / TTMRE20211</v>
      </c>
    </row>
    <row r="140" ht="36" customHeight="1">
      <c r="A140" s="14" t="str">
        <v>IETMREOL</v>
      </c>
      <c r="B140" s="14" t="str">
        <v>IETMREOL</v>
      </c>
      <c r="C140" s="14" t="str">
        <v>RE</v>
      </c>
      <c r="D140" s="14" t="str">
        <v>O</v>
      </c>
      <c r="E140" s="14" t="str">
        <v>REGULAR</v>
      </c>
      <c r="F140" s="14" t="str">
        <v>C</v>
      </c>
      <c r="G140" s="21" t="n">
        <v>2020</v>
      </c>
      <c r="H140" s="21" t="n">
        <v>2020</v>
      </c>
      <c r="I140" s="14" t="str">
        <v>I162S2C3J4V2</v>
      </c>
      <c r="J140" s="14" t="str">
        <v>PENDIENTE_EVIDENCIA</v>
      </c>
      <c r="K140" s="14" t="str">
        <v>UNIDO</v>
      </c>
      <c r="L140" s="14" t="str">
        <v>REGULAR (CANDIDATO)</v>
      </c>
      <c r="M140" s="14" t="str">
        <v>MAESTRO; TIPOS_V2; TIPOS_V3; MATRIZ; H002</v>
      </c>
      <c r="N140" s="14" t="str">
        <v>Ingreso observado solo en enlaces agregados H002g; no historia completa</v>
      </c>
      <c r="O140" s="15"/>
      <c r="P140" s="14" t="str">
        <v>TTMREOL</v>
      </c>
      <c r="Q140" s="14" t="n">
        <v>5</v>
      </c>
      <c r="R140" s="14" t="str">
        <v>UNIDO</v>
      </c>
      <c r="S140" s="14" t="str">
        <v>TPCPASO / TTMREOL / TTMREOL20191 / TTMREOL20211 / TTMREOL20231</v>
      </c>
    </row>
    <row r="141" ht="36" customHeight="1">
      <c r="A141" s="15" t="str">
        <v>IETMREOL20191</v>
      </c>
      <c r="B141" s="15" t="str">
        <v>IETMREOL</v>
      </c>
      <c r="C141" s="15" t="str">
        <v>RE</v>
      </c>
      <c r="D141" s="15" t="str">
        <v>O</v>
      </c>
      <c r="E141" s="15" t="str">
        <v>REGULAR</v>
      </c>
      <c r="F141" s="15" t="str">
        <v>C</v>
      </c>
      <c r="G141" s="23" t="n">
        <v>2019</v>
      </c>
      <c r="H141" s="23" t="n">
        <v>2020</v>
      </c>
      <c r="I141" s="15" t="str">
        <v>I162S2C3J4V2</v>
      </c>
      <c r="J141" s="15" t="str">
        <v>PENDIENTE_EVIDENCIA</v>
      </c>
      <c r="K141" s="15" t="str">
        <v>UNIDO</v>
      </c>
      <c r="L141" s="15" t="str">
        <v>REGULAR (CANDIDATO)</v>
      </c>
      <c r="M141" s="15" t="str">
        <v>MAESTRO; TIPOS_V2; TIPOS_V3; MATRIZ; H002</v>
      </c>
      <c r="N141" s="15" t="str">
        <v>Ingreso observado solo en enlaces agregados H002g; no historia completa</v>
      </c>
      <c r="O141" s="15"/>
      <c r="P141" s="15"/>
      <c r="Q141" s="15"/>
      <c r="R141" s="15"/>
      <c r="S141" s="15"/>
    </row>
    <row r="142" ht="36" customHeight="1">
      <c r="A142" s="14" t="str">
        <v>IETMREOL20211</v>
      </c>
      <c r="B142" s="14" t="str">
        <v>IECIREOL / IETMREOL</v>
      </c>
      <c r="C142" s="14" t="str">
        <v>RE</v>
      </c>
      <c r="D142" s="14" t="str">
        <v>O</v>
      </c>
      <c r="E142" s="14" t="str">
        <v>REGULAR</v>
      </c>
      <c r="F142" s="14" t="str">
        <v>C</v>
      </c>
      <c r="G142" s="21" t="n">
        <v>2020</v>
      </c>
      <c r="H142" s="21" t="n">
        <v>2023</v>
      </c>
      <c r="I142" s="14" t="str">
        <v>I162S2C3J4V1 / I162S2C3J4V2</v>
      </c>
      <c r="J142" s="14" t="str">
        <v>PENDIENTE_EVIDENCIA</v>
      </c>
      <c r="K142" s="14" t="str">
        <v>UNIDO</v>
      </c>
      <c r="L142" s="14" t="str">
        <v>REGULAR (CANDIDATO)</v>
      </c>
      <c r="M142" s="14" t="str">
        <v>MAESTRO; TIPOS_V2; TIPOS_V3; MATRIZ; H002</v>
      </c>
      <c r="N142" s="14" t="str">
        <v>Ingreso observado solo en enlaces agregados H002g; no historia completa</v>
      </c>
      <c r="O142" s="15"/>
      <c r="P142" s="15"/>
      <c r="Q142" s="15"/>
      <c r="R142" s="15"/>
      <c r="S142" s="15"/>
    </row>
    <row r="143" ht="36" customHeight="1">
      <c r="A143" s="15" t="str">
        <v>IFIN20261</v>
      </c>
      <c r="B143" s="15" t="str">
        <v>IFIN</v>
      </c>
      <c r="C143" s="15" t="str">
        <v>RE</v>
      </c>
      <c r="D143" s="15" t="str">
        <v>O</v>
      </c>
      <c r="E143" s="15" t="str">
        <v>REGULAR</v>
      </c>
      <c r="F143" s="15" t="str">
        <v>C</v>
      </c>
      <c r="G143" s="23" t="n">
        <v>2026</v>
      </c>
      <c r="H143" s="23" t="n">
        <v>2026</v>
      </c>
      <c r="I143" s="15" t="str">
        <v>I162S2C111J4V1</v>
      </c>
      <c r="J143" s="15" t="str">
        <v>PENDIENTE_EVIDENCIA</v>
      </c>
      <c r="K143" s="15" t="str">
        <v>UNIDO</v>
      </c>
      <c r="L143" s="15" t="str">
        <v>REGULAR (CANDIDATO)</v>
      </c>
      <c r="M143" s="15" t="str">
        <v>MAESTRO; TIPOS_V2; TIPOS_V3; MATRIZ; H002</v>
      </c>
      <c r="N143" s="15" t="str">
        <v>Ingreso observado solo en enlaces agregados H002g; no historia completa</v>
      </c>
      <c r="O143" s="15"/>
      <c r="P143" s="15"/>
      <c r="Q143" s="15"/>
      <c r="R143" s="15"/>
      <c r="S143" s="15"/>
    </row>
    <row r="144" ht="36" customHeight="1">
      <c r="A144" s="14" t="str">
        <v>IIND20251</v>
      </c>
      <c r="B144" s="14" t="str">
        <v>IIND</v>
      </c>
      <c r="C144" s="14" t="str">
        <v>RE</v>
      </c>
      <c r="D144" s="14" t="str">
        <v>O</v>
      </c>
      <c r="E144" s="14" t="str">
        <v>REGULAR</v>
      </c>
      <c r="F144" s="14" t="str">
        <v>C</v>
      </c>
      <c r="G144" s="21" t="n">
        <v>2025</v>
      </c>
      <c r="H144" s="21" t="n">
        <v>2026</v>
      </c>
      <c r="I144" s="14" t="str">
        <v>I162S2C87J4V2</v>
      </c>
      <c r="J144" s="14" t="str">
        <v>PENDIENTE_EVIDENCIA</v>
      </c>
      <c r="K144" s="14" t="str">
        <v>UNIDO</v>
      </c>
      <c r="L144" s="14" t="str">
        <v>REGULAR (CANDIDATO)</v>
      </c>
      <c r="M144" s="14" t="str">
        <v>MAESTRO; TIPOS_V2; TIPOS_V3; MATRIZ; H002</v>
      </c>
      <c r="N144" s="14" t="str">
        <v>Ingreso observado solo en enlaces agregados H002g; no historia completa</v>
      </c>
      <c r="O144" s="15"/>
      <c r="P144" s="15"/>
      <c r="Q144" s="15"/>
      <c r="R144" s="15"/>
      <c r="S144" s="15"/>
    </row>
    <row r="145" ht="36" customHeight="1">
      <c r="A145" s="15" t="str">
        <v>IINF20241</v>
      </c>
      <c r="B145" s="15" t="str">
        <v>IINF</v>
      </c>
      <c r="C145" s="15" t="str">
        <v>RE</v>
      </c>
      <c r="D145" s="15" t="str">
        <v>D / O / V</v>
      </c>
      <c r="E145" s="15" t="str">
        <v>REGULAR</v>
      </c>
      <c r="F145" s="15" t="str">
        <v>C</v>
      </c>
      <c r="G145" s="23" t="n">
        <v>2020</v>
      </c>
      <c r="H145" s="23" t="n">
        <v>2026</v>
      </c>
      <c r="I145" s="15" t="str">
        <v>I162S2C1J1V1 / I162S2C1J1V2 / I162S2C1J2V1 / I162S2C1J2V4 / I162S2C1J4V2 / I162S2C1J4V3</v>
      </c>
      <c r="J145" s="15" t="str">
        <v>PENDIENTE_EVIDENCIA</v>
      </c>
      <c r="K145" s="15" t="str">
        <v>UNIDO</v>
      </c>
      <c r="L145" s="15" t="str">
        <v>REGULAR (CANDIDATO)</v>
      </c>
      <c r="M145" s="15" t="str">
        <v>MAESTRO; TIPOS_V2; TIPOS_V3; MATRIZ; H002</v>
      </c>
      <c r="N145" s="15" t="str">
        <v>Ingreso observado solo en enlaces agregados H002g; no historia completa</v>
      </c>
      <c r="O145" s="15"/>
      <c r="P145" s="15"/>
      <c r="Q145" s="15"/>
      <c r="R145" s="15"/>
      <c r="S145" s="15"/>
    </row>
    <row r="146" ht="36" customHeight="1">
      <c r="A146" s="14" t="str">
        <v>ILOG20241</v>
      </c>
      <c r="B146" s="14" t="str">
        <v>ILOG</v>
      </c>
      <c r="C146" s="14" t="str">
        <v>RE</v>
      </c>
      <c r="D146" s="14" t="str">
        <v>D / O / V</v>
      </c>
      <c r="E146" s="14" t="str">
        <v>REGULAR</v>
      </c>
      <c r="F146" s="14" t="str">
        <v>C</v>
      </c>
      <c r="G146" s="21" t="n">
        <v>2024</v>
      </c>
      <c r="H146" s="21" t="n">
        <v>2026</v>
      </c>
      <c r="I146" s="14" t="str">
        <v>I162S2C77J2V1 / I162S2C77J4V1</v>
      </c>
      <c r="J146" s="14" t="str">
        <v>PENDIENTE_EVIDENCIA</v>
      </c>
      <c r="K146" s="14" t="str">
        <v>UNIDO</v>
      </c>
      <c r="L146" s="14" t="str">
        <v>REGULAR (CANDIDATO)</v>
      </c>
      <c r="M146" s="14" t="str">
        <v>MAESTRO; TIPOS_V2; TIPOS_V3; MATRIZ; H002</v>
      </c>
      <c r="N146" s="14" t="str">
        <v>Ingreso observado solo en enlaces agregados H002g; no historia completa</v>
      </c>
      <c r="O146" s="15"/>
      <c r="P146" s="15"/>
      <c r="Q146" s="15"/>
      <c r="R146" s="15"/>
      <c r="S146" s="15"/>
    </row>
    <row r="147" ht="36" customHeight="1">
      <c r="A147" s="15" t="str">
        <v>IMDI20261</v>
      </c>
      <c r="B147" s="15" t="str">
        <v>IMDI</v>
      </c>
      <c r="C147" s="15" t="str">
        <v>RE</v>
      </c>
      <c r="D147" s="15" t="str">
        <v>O</v>
      </c>
      <c r="E147" s="15" t="str">
        <v>REGULAR</v>
      </c>
      <c r="F147" s="15" t="str">
        <v>C</v>
      </c>
      <c r="G147" s="23" t="n">
        <v>2026</v>
      </c>
      <c r="H147" s="23" t="n">
        <v>2026</v>
      </c>
      <c r="I147" s="15" t="str">
        <v>I162S2C112J4V1</v>
      </c>
      <c r="J147" s="15" t="str">
        <v>PENDIENTE_EVIDENCIA</v>
      </c>
      <c r="K147" s="15" t="str">
        <v>UNIDO</v>
      </c>
      <c r="L147" s="15" t="str">
        <v>REGULAR (CANDIDATO)</v>
      </c>
      <c r="M147" s="15" t="str">
        <v>MAESTRO; TIPOS_V2; TIPOS_V3; MATRIZ; H002</v>
      </c>
      <c r="N147" s="15" t="str">
        <v>Ingreso observado solo en enlaces agregados H002g; no historia completa</v>
      </c>
      <c r="O147" s="15"/>
      <c r="P147" s="15"/>
      <c r="Q147" s="15"/>
      <c r="R147" s="15"/>
      <c r="S147" s="15"/>
    </row>
    <row r="148" ht="36" customHeight="1">
      <c r="A148" s="14" t="str">
        <v>IPRE20261</v>
      </c>
      <c r="B148" s="14" t="str">
        <v>IPRE</v>
      </c>
      <c r="C148" s="14" t="str">
        <v>RE</v>
      </c>
      <c r="D148" s="14" t="str">
        <v>O</v>
      </c>
      <c r="E148" s="14" t="str">
        <v>REGULAR</v>
      </c>
      <c r="F148" s="14" t="str">
        <v>C</v>
      </c>
      <c r="G148" s="21" t="n">
        <v>2026</v>
      </c>
      <c r="H148" s="21" t="n">
        <v>2026</v>
      </c>
      <c r="I148" s="14" t="str">
        <v>I162S2C124J4V1</v>
      </c>
      <c r="J148" s="14" t="str">
        <v>PENDIENTE_EVIDENCIA</v>
      </c>
      <c r="K148" s="14" t="str">
        <v>UNIDO</v>
      </c>
      <c r="L148" s="14" t="str">
        <v>REGULAR (CANDIDATO)</v>
      </c>
      <c r="M148" s="14" t="str">
        <v>MAESTRO; TIPOS_V2; TIPOS_V3; MATRIZ; H002</v>
      </c>
      <c r="N148" s="14" t="str">
        <v>Ingreso observado solo en enlaces agregados H002g; no historia completa</v>
      </c>
      <c r="O148" s="15"/>
      <c r="P148" s="15"/>
      <c r="Q148" s="15"/>
      <c r="R148" s="15"/>
      <c r="S148" s="15"/>
    </row>
    <row r="149" ht="36" customHeight="1">
      <c r="A149" s="15" t="str">
        <v>IRHU20261</v>
      </c>
      <c r="B149" s="15" t="str">
        <v>IRHU</v>
      </c>
      <c r="C149" s="15" t="str">
        <v>RE</v>
      </c>
      <c r="D149" s="15" t="str">
        <v>O</v>
      </c>
      <c r="E149" s="15" t="str">
        <v>REGULAR</v>
      </c>
      <c r="F149" s="15" t="str">
        <v>C</v>
      </c>
      <c r="G149" s="23" t="n">
        <v>2026</v>
      </c>
      <c r="H149" s="23" t="n">
        <v>2026</v>
      </c>
      <c r="I149" s="15" t="str">
        <v>I162S2C113J4V1</v>
      </c>
      <c r="J149" s="15" t="str">
        <v>PENDIENTE_EVIDENCIA</v>
      </c>
      <c r="K149" s="15" t="str">
        <v>UNIDO</v>
      </c>
      <c r="L149" s="15" t="str">
        <v>REGULAR (CANDIDATO)</v>
      </c>
      <c r="M149" s="15" t="str">
        <v>MAESTRO; TIPOS_V2; TIPOS_V3; MATRIZ; H002</v>
      </c>
      <c r="N149" s="15" t="str">
        <v>Ingreso observado solo en enlaces agregados H002g; no historia completa</v>
      </c>
      <c r="O149" s="15"/>
      <c r="P149" s="15"/>
      <c r="Q149" s="15"/>
      <c r="R149" s="15"/>
      <c r="S149" s="15"/>
    </row>
    <row r="150" ht="36" customHeight="1">
      <c r="A150" s="14" t="str">
        <v>ISEP20261</v>
      </c>
      <c r="B150" s="14" t="str">
        <v>ISEP</v>
      </c>
      <c r="C150" s="14" t="str">
        <v>RE</v>
      </c>
      <c r="D150" s="14" t="str">
        <v>O</v>
      </c>
      <c r="E150" s="14" t="str">
        <v>REGULAR</v>
      </c>
      <c r="F150" s="14" t="str">
        <v>C</v>
      </c>
      <c r="G150" s="21" t="n">
        <v>2026</v>
      </c>
      <c r="H150" s="21" t="n">
        <v>2026</v>
      </c>
      <c r="I150" s="14" t="str">
        <v>I162S2C125J4V1</v>
      </c>
      <c r="J150" s="14" t="str">
        <v>PENDIENTE_EVIDENCIA</v>
      </c>
      <c r="K150" s="14" t="str">
        <v>UNIDO</v>
      </c>
      <c r="L150" s="14" t="str">
        <v>REGULAR (CANDIDATO)</v>
      </c>
      <c r="M150" s="14" t="str">
        <v>MAESTRO; TIPOS_V2; TIPOS_V3; MATRIZ; H002</v>
      </c>
      <c r="N150" s="14" t="str">
        <v>Ingreso observado solo en enlaces agregados H002g; no historia completa</v>
      </c>
      <c r="O150" s="15"/>
      <c r="P150" s="15"/>
      <c r="Q150" s="15"/>
      <c r="R150" s="15"/>
      <c r="S150" s="15"/>
    </row>
    <row r="151" ht="36" customHeight="1">
      <c r="A151" s="15" t="str">
        <v>NATP20251</v>
      </c>
      <c r="B151" s="15" t="str">
        <v>NATP</v>
      </c>
      <c r="C151" s="15" t="str">
        <v>RE</v>
      </c>
      <c r="D151" s="15" t="str">
        <v>V</v>
      </c>
      <c r="E151" s="15" t="str">
        <v>REGULAR</v>
      </c>
      <c r="F151" s="15" t="str">
        <v>C</v>
      </c>
      <c r="G151" s="23" t="n">
        <v>2026</v>
      </c>
      <c r="H151" s="23" t="n">
        <v>2026</v>
      </c>
      <c r="I151" s="15" t="str">
        <v>I162S2C90J2V2</v>
      </c>
      <c r="J151" s="15" t="str">
        <v>PENDIENTE_EVIDENCIA</v>
      </c>
      <c r="K151" s="15" t="str">
        <v>UNIDO</v>
      </c>
      <c r="L151" s="15" t="str">
        <v>REGULAR (CANDIDATO)</v>
      </c>
      <c r="M151" s="15" t="str">
        <v>MAESTRO; TIPOS_V2; TIPOS_V3; MATRIZ; H002</v>
      </c>
      <c r="N151" s="15" t="str">
        <v>Ingreso observado solo en enlaces agregados H002g; no historia completa</v>
      </c>
      <c r="O151" s="15"/>
      <c r="P151" s="15"/>
      <c r="Q151" s="15"/>
      <c r="R151" s="15"/>
      <c r="S151" s="15"/>
    </row>
    <row r="152" ht="36" customHeight="1">
      <c r="A152" s="14" t="str">
        <v>NAUTRE</v>
      </c>
      <c r="B152" s="14" t="str">
        <v>NAUTRE</v>
      </c>
      <c r="C152" s="14" t="str">
        <v>RE</v>
      </c>
      <c r="D152" s="14" t="str">
        <v>V</v>
      </c>
      <c r="E152" s="14" t="str">
        <v>E</v>
      </c>
      <c r="F152" s="14" t="str">
        <v>E</v>
      </c>
      <c r="G152" s="21" t="str">
        <v>E</v>
      </c>
      <c r="H152" s="21" t="str">
        <v>E</v>
      </c>
      <c r="I152" s="14" t="str">
        <v>E</v>
      </c>
      <c r="J152" s="14" t="str">
        <v>PENDIENTE_EVIDENCIA</v>
      </c>
      <c r="K152" s="14" t="str">
        <v>SIN_UNION</v>
      </c>
      <c r="L152" s="14" t="str">
        <v>CONTINUIDAD (CANDIDATO)</v>
      </c>
      <c r="M152" s="14" t="str">
        <v>MAESTRO; TIPOS_V2; TIPOS_V3; MATRIZ; H002</v>
      </c>
      <c r="N152" s="14" t="str">
        <v>Ingreso observado solo en enlaces agregados H002g; no historia completa</v>
      </c>
      <c r="O152" s="15"/>
      <c r="P152" s="15"/>
      <c r="Q152" s="15"/>
      <c r="R152" s="15"/>
      <c r="S152" s="15"/>
    </row>
    <row r="153" ht="36" customHeight="1">
      <c r="A153" s="15" t="str">
        <v>NAUTRE2020</v>
      </c>
      <c r="B153" s="15" t="str">
        <v>NAUTRE</v>
      </c>
      <c r="C153" s="15" t="str">
        <v>RE</v>
      </c>
      <c r="D153" s="15" t="str">
        <v>V</v>
      </c>
      <c r="E153" s="15" t="str">
        <v>E</v>
      </c>
      <c r="F153" s="15" t="str">
        <v>E</v>
      </c>
      <c r="G153" s="23" t="str">
        <v>E</v>
      </c>
      <c r="H153" s="23" t="str">
        <v>E</v>
      </c>
      <c r="I153" s="15" t="str">
        <v>E</v>
      </c>
      <c r="J153" s="15" t="str">
        <v>PENDIENTE_EVIDENCIA</v>
      </c>
      <c r="K153" s="15" t="str">
        <v>SIN_UNION</v>
      </c>
      <c r="L153" s="15" t="str">
        <v>CONTINUIDAD (CANDIDATO)</v>
      </c>
      <c r="M153" s="15" t="str">
        <v>MAESTRO; TIPOS_V2; TIPOS_V3; MATRIZ; H002</v>
      </c>
      <c r="N153" s="15" t="str">
        <v>Ingreso observado solo en enlaces agregados H002g; no historia completa</v>
      </c>
      <c r="O153" s="15"/>
      <c r="P153" s="15"/>
      <c r="Q153" s="15"/>
      <c r="R153" s="15"/>
      <c r="S153" s="15"/>
    </row>
    <row r="154" ht="36" customHeight="1">
      <c r="A154" s="14" t="str">
        <v>NCONRE</v>
      </c>
      <c r="B154" s="14" t="str">
        <v>NCONRE / NITMRE</v>
      </c>
      <c r="C154" s="14" t="str">
        <v>RE</v>
      </c>
      <c r="D154" s="14" t="str">
        <v>O / V</v>
      </c>
      <c r="E154" s="14" t="str">
        <v>E</v>
      </c>
      <c r="F154" s="14" t="str">
        <v>E</v>
      </c>
      <c r="G154" s="21" t="n">
        <v>2018</v>
      </c>
      <c r="H154" s="21" t="n">
        <v>2020</v>
      </c>
      <c r="I154" s="14" t="str">
        <v>I162S2C3J2V4</v>
      </c>
      <c r="J154" s="14" t="str">
        <v>PENDIENTE_EVIDENCIA</v>
      </c>
      <c r="K154" s="14" t="str">
        <v>UNIDO</v>
      </c>
      <c r="L154" s="14" t="str">
        <v>CONFLICTO (CANDIDATO)</v>
      </c>
      <c r="M154" s="14" t="str">
        <v>MAESTRO; TIPOS_V2; TIPOS_V3; MATRIZ; H002</v>
      </c>
      <c r="N154" s="14" t="str">
        <v>Ingreso observado solo en enlaces agregados H002g; no historia completa</v>
      </c>
      <c r="O154" s="15"/>
      <c r="P154" s="15"/>
      <c r="Q154" s="15"/>
      <c r="R154" s="15"/>
      <c r="S154" s="15"/>
    </row>
    <row r="155" ht="36" customHeight="1">
      <c r="A155" s="15" t="str">
        <v>NCONREOL2019</v>
      </c>
      <c r="B155" s="15" t="str">
        <v>NCONREOL</v>
      </c>
      <c r="C155" s="15" t="str">
        <v>RE</v>
      </c>
      <c r="D155" s="15" t="str">
        <v>O</v>
      </c>
      <c r="E155" s="15" t="str">
        <v>E</v>
      </c>
      <c r="F155" s="15" t="str">
        <v>E</v>
      </c>
      <c r="G155" s="23" t="n">
        <v>2020</v>
      </c>
      <c r="H155" s="23" t="n">
        <v>2020</v>
      </c>
      <c r="I155" s="15" t="str">
        <v>I162S2C3J4V2</v>
      </c>
      <c r="J155" s="15" t="str">
        <v>PENDIENTE_EVIDENCIA</v>
      </c>
      <c r="K155" s="15" t="str">
        <v>UNIDO</v>
      </c>
      <c r="L155" s="15" t="str">
        <v>DEBIL (CANDIDATO)</v>
      </c>
      <c r="M155" s="15" t="str">
        <v>MAESTRO; TIPOS_V2; TIPOS_V3; MATRIZ; H002</v>
      </c>
      <c r="N155" s="15" t="str">
        <v>Ingreso observado solo en enlaces agregados H002g; no historia completa</v>
      </c>
      <c r="O155" s="15"/>
      <c r="P155" s="15"/>
      <c r="Q155" s="15"/>
      <c r="R155" s="15"/>
      <c r="S155" s="15"/>
    </row>
    <row r="156" ht="36" customHeight="1">
      <c r="A156" s="14" t="str">
        <v>NECIRE20091</v>
      </c>
      <c r="B156" s="14" t="str">
        <v>NECIRE</v>
      </c>
      <c r="C156" s="14" t="str">
        <v>RE</v>
      </c>
      <c r="D156" s="14" t="str">
        <v>D / V</v>
      </c>
      <c r="E156" s="14" t="str">
        <v>E</v>
      </c>
      <c r="F156" s="14" t="str">
        <v>E</v>
      </c>
      <c r="G156" s="21" t="str">
        <v>E</v>
      </c>
      <c r="H156" s="21" t="str">
        <v>E</v>
      </c>
      <c r="I156" s="14" t="str">
        <v>E</v>
      </c>
      <c r="J156" s="14" t="str">
        <v>PENDIENTE_EVIDENCIA</v>
      </c>
      <c r="K156" s="14" t="str">
        <v>SIN_UNION</v>
      </c>
      <c r="L156" s="14" t="str">
        <v>CONTINUIDAD (CANDIDATO)</v>
      </c>
      <c r="M156" s="14" t="str">
        <v>MAESTRO; TIPOS_V2; TIPOS_V3; MATRIZ; H002</v>
      </c>
      <c r="N156" s="14" t="str">
        <v>Ingreso observado solo en enlaces agregados H002g; no historia completa</v>
      </c>
      <c r="O156" s="15"/>
      <c r="P156" s="15"/>
      <c r="Q156" s="15"/>
      <c r="R156" s="15"/>
      <c r="S156" s="15"/>
    </row>
    <row r="157" ht="36" customHeight="1">
      <c r="A157" s="15" t="str">
        <v>NECIRE20101</v>
      </c>
      <c r="B157" s="15" t="str">
        <v>NECIRE</v>
      </c>
      <c r="C157" s="15" t="str">
        <v>RE</v>
      </c>
      <c r="D157" s="15" t="str">
        <v>D / V</v>
      </c>
      <c r="E157" s="15" t="str">
        <v>E</v>
      </c>
      <c r="F157" s="15" t="str">
        <v>E</v>
      </c>
      <c r="G157" s="23" t="str">
        <v>E</v>
      </c>
      <c r="H157" s="23" t="str">
        <v>E</v>
      </c>
      <c r="I157" s="15" t="str">
        <v>E</v>
      </c>
      <c r="J157" s="15" t="str">
        <v>PENDIENTE_EVIDENCIA</v>
      </c>
      <c r="K157" s="15" t="str">
        <v>SIN_UNION</v>
      </c>
      <c r="L157" s="15" t="str">
        <v>E (CANDIDATO)</v>
      </c>
      <c r="M157" s="15" t="str">
        <v>MAESTRO; TIPOS_V2; TIPOS_V3; MATRIZ; H002</v>
      </c>
      <c r="N157" s="15" t="str">
        <v>Ingreso observado solo en enlaces agregados H002g; no historia completa</v>
      </c>
      <c r="O157" s="15"/>
      <c r="P157" s="15"/>
      <c r="Q157" s="15"/>
      <c r="R157" s="15"/>
      <c r="S157" s="15"/>
    </row>
    <row r="158" ht="36" customHeight="1">
      <c r="A158" s="14" t="str">
        <v>NECIRE20121</v>
      </c>
      <c r="B158" s="14" t="str">
        <v>NECIRE</v>
      </c>
      <c r="C158" s="14" t="str">
        <v>RE</v>
      </c>
      <c r="D158" s="14" t="str">
        <v>V / V </v>
      </c>
      <c r="E158" s="14" t="str">
        <v>E</v>
      </c>
      <c r="F158" s="14" t="str">
        <v>E</v>
      </c>
      <c r="G158" s="21" t="str">
        <v>E</v>
      </c>
      <c r="H158" s="21" t="str">
        <v>E</v>
      </c>
      <c r="I158" s="14" t="str">
        <v>E</v>
      </c>
      <c r="J158" s="14" t="str">
        <v>PENDIENTE_EVIDENCIA</v>
      </c>
      <c r="K158" s="14" t="str">
        <v>SIN_UNION</v>
      </c>
      <c r="L158" s="14" t="str">
        <v>CONTINUIDAD (CANDIDATO)</v>
      </c>
      <c r="M158" s="14" t="str">
        <v>MAESTRO; TIPOS_V2; TIPOS_V3; MATRIZ; H002</v>
      </c>
      <c r="N158" s="14" t="str">
        <v>Ingreso observado solo en enlaces agregados H002g; no historia completa</v>
      </c>
      <c r="O158" s="15"/>
      <c r="P158" s="15"/>
      <c r="Q158" s="15"/>
      <c r="R158" s="15"/>
      <c r="S158" s="15"/>
    </row>
    <row r="159" ht="36" customHeight="1">
      <c r="A159" s="15" t="str">
        <v>NECIRE20151</v>
      </c>
      <c r="B159" s="15" t="str">
        <v>NECIRE</v>
      </c>
      <c r="C159" s="15" t="str">
        <v>RE</v>
      </c>
      <c r="D159" s="15" t="str">
        <v>V</v>
      </c>
      <c r="E159" s="15" t="str">
        <v>E</v>
      </c>
      <c r="F159" s="15" t="str">
        <v>E</v>
      </c>
      <c r="G159" s="23" t="str">
        <v>E</v>
      </c>
      <c r="H159" s="23" t="str">
        <v>E</v>
      </c>
      <c r="I159" s="15" t="str">
        <v>E</v>
      </c>
      <c r="J159" s="15" t="str">
        <v>PENDIENTE_EVIDENCIA</v>
      </c>
      <c r="K159" s="15" t="str">
        <v>SIN_UNION</v>
      </c>
      <c r="L159" s="15" t="str">
        <v>CONTINUIDAD (CANDIDATO)</v>
      </c>
      <c r="M159" s="15" t="str">
        <v>MAESTRO; TIPOS_V2; TIPOS_V3; MATRIZ; H002</v>
      </c>
      <c r="N159" s="15" t="str">
        <v>Ingreso observado solo en enlaces agregados H002g; no historia completa</v>
      </c>
      <c r="O159" s="15"/>
      <c r="P159" s="15"/>
      <c r="Q159" s="15"/>
      <c r="R159" s="15"/>
      <c r="S159" s="15"/>
    </row>
    <row r="160" ht="36" customHeight="1">
      <c r="A160" s="14" t="str">
        <v>NETMRE20091</v>
      </c>
      <c r="B160" s="14" t="str">
        <v>NETMRE</v>
      </c>
      <c r="C160" s="14" t="str">
        <v>RE</v>
      </c>
      <c r="D160" s="14" t="str">
        <v>V</v>
      </c>
      <c r="E160" s="14" t="str">
        <v>REGULAR</v>
      </c>
      <c r="F160" s="14" t="str">
        <v>C</v>
      </c>
      <c r="G160" s="21" t="str">
        <v>E</v>
      </c>
      <c r="H160" s="21" t="str">
        <v>E</v>
      </c>
      <c r="I160" s="14" t="str">
        <v>I162S2C3J4V2</v>
      </c>
      <c r="J160" s="14" t="str">
        <v>PENDIENTE_EVIDENCIA</v>
      </c>
      <c r="K160" s="14" t="str">
        <v>UNIDO</v>
      </c>
      <c r="L160" s="14" t="str">
        <v>REGULAR (CANDIDATO)</v>
      </c>
      <c r="M160" s="14" t="str">
        <v>MAESTRO; TIPOS_V2; TIPOS_V3; MATRIZ; H002</v>
      </c>
      <c r="N160" s="14" t="str">
        <v>Ingreso observado solo en enlaces agregados H002g; no historia completa</v>
      </c>
      <c r="O160" s="15"/>
      <c r="P160" s="15"/>
      <c r="Q160" s="15"/>
      <c r="R160" s="15"/>
      <c r="S160" s="15"/>
    </row>
    <row r="161" ht="36" customHeight="1">
      <c r="A161" s="15" t="str">
        <v>NETMRE20101</v>
      </c>
      <c r="B161" s="15" t="str">
        <v>NETMRE</v>
      </c>
      <c r="C161" s="15" t="str">
        <v>RE</v>
      </c>
      <c r="D161" s="15" t="str">
        <v>E</v>
      </c>
      <c r="E161" s="15" t="str">
        <v>REGULAR</v>
      </c>
      <c r="F161" s="15" t="str">
        <v>C</v>
      </c>
      <c r="G161" s="23" t="str">
        <v>E</v>
      </c>
      <c r="H161" s="23" t="str">
        <v>E</v>
      </c>
      <c r="I161" s="15" t="str">
        <v>I162S2C3J4V2</v>
      </c>
      <c r="J161" s="15" t="str">
        <v>PENDIENTE_EVIDENCIA</v>
      </c>
      <c r="K161" s="15" t="str">
        <v>UNIDO</v>
      </c>
      <c r="L161" s="15" t="str">
        <v>REGULAR (CANDIDATO)</v>
      </c>
      <c r="M161" s="15" t="str">
        <v>MAESTRO; TIPOS_V2; TIPOS_V3; MATRIZ; H002</v>
      </c>
      <c r="N161" s="15" t="str">
        <v>Ingreso observado solo en enlaces agregados H002g; no historia completa</v>
      </c>
      <c r="O161" s="15"/>
      <c r="P161" s="15"/>
      <c r="Q161" s="15"/>
      <c r="R161" s="15"/>
      <c r="S161" s="15"/>
    </row>
    <row r="162" ht="36" customHeight="1">
      <c r="A162" s="14" t="str">
        <v>NETMRE20121</v>
      </c>
      <c r="B162" s="14" t="str">
        <v>NETMRE</v>
      </c>
      <c r="C162" s="14" t="str">
        <v>RE</v>
      </c>
      <c r="D162" s="14" t="str">
        <v>O / V / V </v>
      </c>
      <c r="E162" s="14" t="str">
        <v>E</v>
      </c>
      <c r="F162" s="14" t="str">
        <v>E</v>
      </c>
      <c r="G162" s="21" t="str">
        <v>E</v>
      </c>
      <c r="H162" s="21" t="str">
        <v>E</v>
      </c>
      <c r="I162" s="14" t="str">
        <v>I162S2C3J4V2</v>
      </c>
      <c r="J162" s="14" t="str">
        <v>PENDIENTE_EVIDENCIA</v>
      </c>
      <c r="K162" s="14" t="str">
        <v>UNIDO</v>
      </c>
      <c r="L162" s="14" t="str">
        <v>CONFLICTO (CANDIDATO)</v>
      </c>
      <c r="M162" s="14" t="str">
        <v>MAESTRO; TIPOS_V2; TIPOS_V3; MATRIZ; H002</v>
      </c>
      <c r="N162" s="14" t="str">
        <v>Ingreso observado solo en enlaces agregados H002g; no historia completa</v>
      </c>
      <c r="O162" s="15"/>
      <c r="P162" s="15"/>
      <c r="Q162" s="15"/>
      <c r="R162" s="15"/>
      <c r="S162" s="15"/>
    </row>
    <row r="163" ht="36" customHeight="1">
      <c r="A163" s="15" t="str">
        <v>NICCRE20191</v>
      </c>
      <c r="B163" s="15" t="str">
        <v>NICCRE</v>
      </c>
      <c r="C163" s="15" t="str">
        <v>RE</v>
      </c>
      <c r="D163" s="15" t="str">
        <v>V</v>
      </c>
      <c r="E163" s="15" t="str">
        <v>E</v>
      </c>
      <c r="F163" s="15" t="str">
        <v>E</v>
      </c>
      <c r="G163" s="23" t="str">
        <v>E</v>
      </c>
      <c r="H163" s="23" t="str">
        <v>E</v>
      </c>
      <c r="I163" s="15" t="str">
        <v>I162S2C46J2V1</v>
      </c>
      <c r="J163" s="15" t="str">
        <v>PENDIENTE_EVIDENCIA</v>
      </c>
      <c r="K163" s="15" t="str">
        <v>UNIDO</v>
      </c>
      <c r="L163" s="15" t="str">
        <v>CONFLICTO (CANDIDATO)</v>
      </c>
      <c r="M163" s="15" t="str">
        <v>MAESTRO; TIPOS_V2; TIPOS_V3; MATRIZ; H002</v>
      </c>
      <c r="N163" s="15" t="str">
        <v>Ingreso observado solo en enlaces agregados H002g; no historia completa</v>
      </c>
      <c r="O163" s="15"/>
      <c r="P163" s="15"/>
      <c r="Q163" s="15"/>
      <c r="R163" s="15"/>
      <c r="S163" s="15"/>
    </row>
    <row r="164" ht="36" customHeight="1">
      <c r="A164" s="14" t="str">
        <v>NICCRE2020</v>
      </c>
      <c r="B164" s="14" t="str">
        <v>NICCRE</v>
      </c>
      <c r="C164" s="14" t="str">
        <v>RE</v>
      </c>
      <c r="D164" s="14" t="str">
        <v>V</v>
      </c>
      <c r="E164" s="14" t="str">
        <v>E</v>
      </c>
      <c r="F164" s="14" t="str">
        <v>E</v>
      </c>
      <c r="G164" s="21" t="str">
        <v>E</v>
      </c>
      <c r="H164" s="21" t="str">
        <v>E</v>
      </c>
      <c r="I164" s="14" t="str">
        <v>I162S2C46J2V1</v>
      </c>
      <c r="J164" s="14" t="str">
        <v>PENDIENTE_EVIDENCIA</v>
      </c>
      <c r="K164" s="14" t="str">
        <v>UNIDO</v>
      </c>
      <c r="L164" s="14" t="str">
        <v>CONFLICTO (CANDIDATO)</v>
      </c>
      <c r="M164" s="14" t="str">
        <v>MAESTRO; TIPOS_V2; TIPOS_V3; MATRIZ; H002</v>
      </c>
      <c r="N164" s="14" t="str">
        <v>Ingreso observado solo en enlaces agregados H002g; no historia completa</v>
      </c>
      <c r="O164" s="15"/>
      <c r="P164" s="15"/>
      <c r="Q164" s="15"/>
      <c r="R164" s="15"/>
      <c r="S164" s="15"/>
    </row>
    <row r="165" ht="36" customHeight="1">
      <c r="A165" s="15" t="str">
        <v>NICCREOL2020</v>
      </c>
      <c r="B165" s="15" t="str">
        <v>NICCREOL</v>
      </c>
      <c r="C165" s="15" t="str">
        <v>RE</v>
      </c>
      <c r="D165" s="15" t="str">
        <v>D / O</v>
      </c>
      <c r="E165" s="15" t="str">
        <v>REGULAR</v>
      </c>
      <c r="F165" s="15" t="str">
        <v>C</v>
      </c>
      <c r="G165" s="23" t="str">
        <v>E</v>
      </c>
      <c r="H165" s="23" t="str">
        <v>E</v>
      </c>
      <c r="I165" s="15" t="str">
        <v>I162S2C46J4V3</v>
      </c>
      <c r="J165" s="15" t="str">
        <v>PENDIENTE_EVIDENCIA</v>
      </c>
      <c r="K165" s="15" t="str">
        <v>UNIDO</v>
      </c>
      <c r="L165" s="15" t="str">
        <v>REGULAR (CANDIDATO)</v>
      </c>
      <c r="M165" s="15" t="str">
        <v>MAESTRO; TIPOS_V2; TIPOS_V3; MATRIZ; H002</v>
      </c>
      <c r="N165" s="15" t="str">
        <v>Ingreso observado solo en enlaces agregados H002g; no historia completa</v>
      </c>
      <c r="O165" s="15"/>
      <c r="P165" s="15"/>
      <c r="Q165" s="15"/>
      <c r="R165" s="15"/>
      <c r="S165" s="15"/>
    </row>
    <row r="166" ht="36" customHeight="1">
      <c r="A166" s="14" t="str">
        <v>NICIRE20091</v>
      </c>
      <c r="B166" s="14" t="str">
        <v>NICIRE</v>
      </c>
      <c r="C166" s="14" t="str">
        <v>RE</v>
      </c>
      <c r="D166" s="14" t="str">
        <v>V</v>
      </c>
      <c r="E166" s="14" t="str">
        <v>E</v>
      </c>
      <c r="F166" s="14" t="str">
        <v>E</v>
      </c>
      <c r="G166" s="21" t="str">
        <v>E</v>
      </c>
      <c r="H166" s="21" t="str">
        <v>E</v>
      </c>
      <c r="I166" s="14" t="str">
        <v>E</v>
      </c>
      <c r="J166" s="14" t="str">
        <v>PENDIENTE_EVIDENCIA</v>
      </c>
      <c r="K166" s="14" t="str">
        <v>SIN_UNION</v>
      </c>
      <c r="L166" s="14" t="str">
        <v>E (CANDIDATO)</v>
      </c>
      <c r="M166" s="14" t="str">
        <v>MAESTRO; TIPOS_V2; TIPOS_V3; MATRIZ; H002</v>
      </c>
      <c r="N166" s="14" t="str">
        <v>Ingreso observado solo en enlaces agregados H002g; no historia completa</v>
      </c>
      <c r="O166" s="15"/>
      <c r="P166" s="15"/>
      <c r="Q166" s="15"/>
      <c r="R166" s="15"/>
      <c r="S166" s="15"/>
    </row>
    <row r="167" ht="36" customHeight="1">
      <c r="A167" s="15" t="str">
        <v>NICIRE20101</v>
      </c>
      <c r="B167" s="15" t="str">
        <v>NICIRE</v>
      </c>
      <c r="C167" s="15" t="str">
        <v>RE</v>
      </c>
      <c r="D167" s="15" t="str">
        <v>E</v>
      </c>
      <c r="E167" s="15" t="str">
        <v>E</v>
      </c>
      <c r="F167" s="15" t="str">
        <v>E</v>
      </c>
      <c r="G167" s="23" t="str">
        <v>E</v>
      </c>
      <c r="H167" s="23" t="str">
        <v>E</v>
      </c>
      <c r="I167" s="15" t="str">
        <v>E</v>
      </c>
      <c r="J167" s="15" t="str">
        <v>PENDIENTE_EVIDENCIA</v>
      </c>
      <c r="K167" s="15" t="str">
        <v>SIN_UNION</v>
      </c>
      <c r="L167" s="15" t="str">
        <v>E (CANDIDATO)</v>
      </c>
      <c r="M167" s="15" t="str">
        <v>MAESTRO; TIPOS_V2; TIPOS_V3; MATRIZ; H002</v>
      </c>
      <c r="N167" s="15" t="str">
        <v>Ingreso observado solo en enlaces agregados H002g; no historia completa</v>
      </c>
      <c r="O167" s="15"/>
      <c r="P167" s="15"/>
      <c r="Q167" s="15"/>
      <c r="R167" s="15"/>
      <c r="S167" s="15"/>
    </row>
    <row r="168" ht="36" customHeight="1">
      <c r="A168" s="14" t="str">
        <v>NICIRE20121</v>
      </c>
      <c r="B168" s="14" t="str">
        <v>NICIRE</v>
      </c>
      <c r="C168" s="14" t="str">
        <v>RE</v>
      </c>
      <c r="D168" s="14" t="str">
        <v>V</v>
      </c>
      <c r="E168" s="14" t="str">
        <v>E</v>
      </c>
      <c r="F168" s="14" t="str">
        <v>E</v>
      </c>
      <c r="G168" s="21" t="str">
        <v>E</v>
      </c>
      <c r="H168" s="21" t="str">
        <v>E</v>
      </c>
      <c r="I168" s="14" t="str">
        <v>E</v>
      </c>
      <c r="J168" s="14" t="str">
        <v>PENDIENTE_EVIDENCIA</v>
      </c>
      <c r="K168" s="14" t="str">
        <v>SIN_UNION</v>
      </c>
      <c r="L168" s="14" t="str">
        <v>CONTINUIDAD (CANDIDATO)</v>
      </c>
      <c r="M168" s="14" t="str">
        <v>MAESTRO; TIPOS_V2; TIPOS_V3; MATRIZ; H002</v>
      </c>
      <c r="N168" s="14" t="str">
        <v>Ingreso observado solo en enlaces agregados H002g; no historia completa</v>
      </c>
      <c r="O168" s="15"/>
      <c r="P168" s="15"/>
      <c r="Q168" s="15"/>
      <c r="R168" s="15"/>
      <c r="S168" s="15"/>
    </row>
    <row r="169" ht="36" customHeight="1">
      <c r="A169" s="15" t="str">
        <v>NICIRE20151</v>
      </c>
      <c r="B169" s="15" t="str">
        <v>NICIRE</v>
      </c>
      <c r="C169" s="15" t="str">
        <v>RE</v>
      </c>
      <c r="D169" s="15" t="str">
        <v>V</v>
      </c>
      <c r="E169" s="15" t="str">
        <v>E</v>
      </c>
      <c r="F169" s="15" t="str">
        <v>E</v>
      </c>
      <c r="G169" s="23" t="str">
        <v>E</v>
      </c>
      <c r="H169" s="23" t="str">
        <v>E</v>
      </c>
      <c r="I169" s="15" t="str">
        <v>E</v>
      </c>
      <c r="J169" s="15" t="str">
        <v>PENDIENTE_EVIDENCIA</v>
      </c>
      <c r="K169" s="15" t="str">
        <v>SIN_UNION</v>
      </c>
      <c r="L169" s="15" t="str">
        <v>CONTINUIDAD (CANDIDATO)</v>
      </c>
      <c r="M169" s="15" t="str">
        <v>MAESTRO; TIPOS_V2; TIPOS_V3; MATRIZ; H002</v>
      </c>
      <c r="N169" s="15" t="str">
        <v>Ingreso observado solo en enlaces agregados H002g; no historia completa</v>
      </c>
      <c r="O169" s="15"/>
      <c r="P169" s="15"/>
      <c r="Q169" s="15"/>
      <c r="R169" s="15"/>
      <c r="S169" s="15"/>
    </row>
    <row r="170" ht="36" customHeight="1">
      <c r="A170" s="14" t="str">
        <v>NINFRE</v>
      </c>
      <c r="B170" s="14" t="str">
        <v>NINFRE</v>
      </c>
      <c r="C170" s="14" t="str">
        <v>RE</v>
      </c>
      <c r="D170" s="14" t="str">
        <v>V</v>
      </c>
      <c r="E170" s="14" t="str">
        <v>E</v>
      </c>
      <c r="F170" s="14" t="str">
        <v>E</v>
      </c>
      <c r="G170" s="21" t="str">
        <v>E</v>
      </c>
      <c r="H170" s="21" t="str">
        <v>E</v>
      </c>
      <c r="I170" s="14" t="str">
        <v>E</v>
      </c>
      <c r="J170" s="14" t="str">
        <v>PENDIENTE_EVIDENCIA</v>
      </c>
      <c r="K170" s="14" t="str">
        <v>SIN_UNION</v>
      </c>
      <c r="L170" s="14" t="str">
        <v>CONTINUIDAD (CANDIDATO)</v>
      </c>
      <c r="M170" s="14" t="str">
        <v>MAESTRO; TIPOS_V2; TIPOS_V3; MATRIZ; H002</v>
      </c>
      <c r="N170" s="14" t="str">
        <v>Ingreso observado solo en enlaces agregados H002g; no historia completa</v>
      </c>
      <c r="O170" s="15"/>
      <c r="P170" s="15"/>
      <c r="Q170" s="15"/>
      <c r="R170" s="15"/>
      <c r="S170" s="15"/>
    </row>
    <row r="171" ht="36" customHeight="1">
      <c r="A171" s="15" t="str">
        <v>NINFREOL2019</v>
      </c>
      <c r="B171" s="15" t="str">
        <v>NINFREOL</v>
      </c>
      <c r="C171" s="15" t="str">
        <v>RE</v>
      </c>
      <c r="D171" s="15" t="str">
        <v>O</v>
      </c>
      <c r="E171" s="15" t="str">
        <v>E</v>
      </c>
      <c r="F171" s="15" t="str">
        <v>E</v>
      </c>
      <c r="G171" s="23" t="n">
        <v>2020</v>
      </c>
      <c r="H171" s="23" t="n">
        <v>2020</v>
      </c>
      <c r="I171" s="15" t="str">
        <v>I162S2C1J4V2</v>
      </c>
      <c r="J171" s="15" t="str">
        <v>PENDIENTE_EVIDENCIA</v>
      </c>
      <c r="K171" s="15" t="str">
        <v>UNIDO</v>
      </c>
      <c r="L171" s="15" t="str">
        <v>DEBIL (CANDIDATO)</v>
      </c>
      <c r="M171" s="15" t="str">
        <v>MAESTRO; TIPOS_V2; TIPOS_V3; MATRIZ; H002</v>
      </c>
      <c r="N171" s="15" t="str">
        <v>Ingreso observado solo en enlaces agregados H002g; no historia completa</v>
      </c>
      <c r="O171" s="15"/>
      <c r="P171" s="15"/>
      <c r="Q171" s="15"/>
      <c r="R171" s="15"/>
      <c r="S171" s="15"/>
    </row>
    <row r="172" ht="36" customHeight="1">
      <c r="A172" s="14" t="str">
        <v>NITMPASO</v>
      </c>
      <c r="B172" s="14" t="str">
        <v>E</v>
      </c>
      <c r="C172" s="14" t="str">
        <v>E</v>
      </c>
      <c r="D172" s="14" t="str">
        <v>V</v>
      </c>
      <c r="E172" s="14" t="str">
        <v>E</v>
      </c>
      <c r="F172" s="14" t="str">
        <v>E</v>
      </c>
      <c r="G172" s="21" t="str">
        <v>E</v>
      </c>
      <c r="H172" s="21" t="str">
        <v>E</v>
      </c>
      <c r="I172" s="14" t="str">
        <v>E</v>
      </c>
      <c r="J172" s="14" t="str">
        <v>SIN_CANDIDATO_EN_FUENTE_2026</v>
      </c>
      <c r="K172" s="14" t="str">
        <v>SIN_UNION</v>
      </c>
      <c r="L172" s="14" t="str">
        <v>E (CANDIDATO)</v>
      </c>
      <c r="M172" s="14" t="str">
        <v>MAESTRO; TIPOS_V2; TIPOS_V3; MATRIZ; H002</v>
      </c>
      <c r="N172" s="14" t="str">
        <v>Ingreso observado solo en enlaces agregados H002g; no historia completa</v>
      </c>
      <c r="O172" s="15"/>
      <c r="P172" s="15"/>
      <c r="Q172" s="15"/>
      <c r="R172" s="15"/>
      <c r="S172" s="15"/>
    </row>
    <row r="173" ht="36" customHeight="1">
      <c r="A173" s="15" t="str">
        <v>NITMRE20091</v>
      </c>
      <c r="B173" s="15" t="str">
        <v>NITMRE</v>
      </c>
      <c r="C173" s="15" t="str">
        <v>RE</v>
      </c>
      <c r="D173" s="15" t="str">
        <v>V</v>
      </c>
      <c r="E173" s="15" t="str">
        <v>REGULAR</v>
      </c>
      <c r="F173" s="15" t="str">
        <v>C</v>
      </c>
      <c r="G173" s="23" t="str">
        <v>E</v>
      </c>
      <c r="H173" s="23" t="str">
        <v>E</v>
      </c>
      <c r="I173" s="15" t="str">
        <v>E</v>
      </c>
      <c r="J173" s="15" t="str">
        <v>PENDIENTE_EVIDENCIA</v>
      </c>
      <c r="K173" s="15" t="str">
        <v>SIN_UNION</v>
      </c>
      <c r="L173" s="15" t="str">
        <v>REGULAR (CANDIDATO)</v>
      </c>
      <c r="M173" s="15" t="str">
        <v>MAESTRO; TIPOS_V2; TIPOS_V3; MATRIZ; H002</v>
      </c>
      <c r="N173" s="15" t="str">
        <v>Ingreso observado solo en enlaces agregados H002g; no historia completa</v>
      </c>
      <c r="O173" s="15"/>
      <c r="P173" s="15"/>
      <c r="Q173" s="15"/>
      <c r="R173" s="15"/>
      <c r="S173" s="15"/>
    </row>
    <row r="174" ht="36" customHeight="1">
      <c r="A174" s="14" t="str">
        <v>NITMRE20101</v>
      </c>
      <c r="B174" s="14" t="str">
        <v>NITMRE</v>
      </c>
      <c r="C174" s="14" t="str">
        <v>RE</v>
      </c>
      <c r="D174" s="14" t="str">
        <v>E</v>
      </c>
      <c r="E174" s="14" t="str">
        <v>REGULAR</v>
      </c>
      <c r="F174" s="14" t="str">
        <v>C</v>
      </c>
      <c r="G174" s="21" t="str">
        <v>E</v>
      </c>
      <c r="H174" s="21" t="str">
        <v>E</v>
      </c>
      <c r="I174" s="14" t="str">
        <v>E</v>
      </c>
      <c r="J174" s="14" t="str">
        <v>PENDIENTE_EVIDENCIA</v>
      </c>
      <c r="K174" s="14" t="str">
        <v>SIN_UNION</v>
      </c>
      <c r="L174" s="14" t="str">
        <v>REGULAR (CANDIDATO)</v>
      </c>
      <c r="M174" s="14" t="str">
        <v>MAESTRO; TIPOS_V2; TIPOS_V3; MATRIZ; H002</v>
      </c>
      <c r="N174" s="14" t="str">
        <v>Ingreso observado solo en enlaces agregados H002g; no historia completa</v>
      </c>
      <c r="O174" s="15"/>
      <c r="P174" s="15"/>
      <c r="Q174" s="15"/>
      <c r="R174" s="15"/>
      <c r="S174" s="15"/>
    </row>
    <row r="175" ht="36" customHeight="1">
      <c r="A175" s="15" t="str">
        <v>NITMRE20121</v>
      </c>
      <c r="B175" s="15" t="str">
        <v>NITMRE</v>
      </c>
      <c r="C175" s="15" t="str">
        <v>RE</v>
      </c>
      <c r="D175" s="15" t="str">
        <v>V</v>
      </c>
      <c r="E175" s="15" t="str">
        <v>E</v>
      </c>
      <c r="F175" s="15" t="str">
        <v>E</v>
      </c>
      <c r="G175" s="23" t="n">
        <v>2016</v>
      </c>
      <c r="H175" s="23" t="n">
        <v>2016</v>
      </c>
      <c r="I175" s="15" t="str">
        <v>I162S2C3J2V4</v>
      </c>
      <c r="J175" s="15" t="str">
        <v>PENDIENTE_EVIDENCIA</v>
      </c>
      <c r="K175" s="15" t="str">
        <v>UNIDO</v>
      </c>
      <c r="L175" s="15" t="str">
        <v>CONFLICTO (CANDIDATO)</v>
      </c>
      <c r="M175" s="15" t="str">
        <v>MAESTRO; TIPOS_V2; TIPOS_V3; MATRIZ; H002</v>
      </c>
      <c r="N175" s="15" t="str">
        <v>Ingreso observado solo en enlaces agregados H002g; no historia completa</v>
      </c>
      <c r="O175" s="15"/>
      <c r="P175" s="15"/>
      <c r="Q175" s="15"/>
      <c r="R175" s="15"/>
      <c r="S175" s="15"/>
    </row>
    <row r="176" ht="36" customHeight="1">
      <c r="A176" s="14" t="str">
        <v>NTCCRE20191</v>
      </c>
      <c r="B176" s="14" t="str">
        <v>NTCCRE</v>
      </c>
      <c r="C176" s="14" t="str">
        <v>RE</v>
      </c>
      <c r="D176" s="14" t="str">
        <v>V</v>
      </c>
      <c r="E176" s="14" t="str">
        <v>E</v>
      </c>
      <c r="F176" s="14" t="str">
        <v>E</v>
      </c>
      <c r="G176" s="21" t="n">
        <v>2019</v>
      </c>
      <c r="H176" s="21" t="n">
        <v>2019</v>
      </c>
      <c r="I176" s="14" t="str">
        <v>I162S2C46J2V1</v>
      </c>
      <c r="J176" s="14" t="str">
        <v>PENDIENTE_EVIDENCIA</v>
      </c>
      <c r="K176" s="14" t="str">
        <v>UNIDO</v>
      </c>
      <c r="L176" s="14" t="str">
        <v>CONFLICTO (CANDIDATO)</v>
      </c>
      <c r="M176" s="14" t="str">
        <v>MAESTRO; TIPOS_V2; TIPOS_V3; MATRIZ; H002</v>
      </c>
      <c r="N176" s="14" t="str">
        <v>Ingreso observado solo en enlaces agregados H002g; no historia completa</v>
      </c>
      <c r="O176" s="15"/>
      <c r="P176" s="15"/>
      <c r="Q176" s="15"/>
      <c r="R176" s="15"/>
      <c r="S176" s="15"/>
    </row>
    <row r="177" ht="36" customHeight="1">
      <c r="A177" s="15" t="str">
        <v>NTCCRE2020</v>
      </c>
      <c r="B177" s="15" t="str">
        <v>NTCCRE</v>
      </c>
      <c r="C177" s="15" t="str">
        <v>RE</v>
      </c>
      <c r="D177" s="15" t="str">
        <v>V</v>
      </c>
      <c r="E177" s="15" t="str">
        <v>E</v>
      </c>
      <c r="F177" s="15" t="str">
        <v>E</v>
      </c>
      <c r="G177" s="23" t="n">
        <v>2020</v>
      </c>
      <c r="H177" s="23" t="n">
        <v>2020</v>
      </c>
      <c r="I177" s="15" t="str">
        <v>I162S2C46J2V1</v>
      </c>
      <c r="J177" s="15" t="str">
        <v>PENDIENTE_EVIDENCIA</v>
      </c>
      <c r="K177" s="15" t="str">
        <v>UNIDO</v>
      </c>
      <c r="L177" s="15" t="str">
        <v>CONFLICTO (CANDIDATO)</v>
      </c>
      <c r="M177" s="15" t="str">
        <v>MAESTRO; TIPOS_V2; TIPOS_V3; MATRIZ; H002</v>
      </c>
      <c r="N177" s="15" t="str">
        <v>Ingreso observado solo en enlaces agregados H002g; no historia completa</v>
      </c>
      <c r="O177" s="15"/>
      <c r="P177" s="15"/>
      <c r="Q177" s="15"/>
      <c r="R177" s="15"/>
      <c r="S177" s="15"/>
    </row>
    <row r="178" ht="36" customHeight="1">
      <c r="A178" s="14" t="str">
        <v>NTCCREOL2020</v>
      </c>
      <c r="B178" s="14" t="str">
        <v>NTCCREOL</v>
      </c>
      <c r="C178" s="14" t="str">
        <v>RE</v>
      </c>
      <c r="D178" s="14" t="str">
        <v>O</v>
      </c>
      <c r="E178" s="14" t="str">
        <v>REGULAR</v>
      </c>
      <c r="F178" s="14" t="str">
        <v>C</v>
      </c>
      <c r="G178" s="21" t="n">
        <v>2020</v>
      </c>
      <c r="H178" s="21" t="n">
        <v>2020</v>
      </c>
      <c r="I178" s="14" t="str">
        <v>I162S2C46J4V3</v>
      </c>
      <c r="J178" s="14" t="str">
        <v>PENDIENTE_EVIDENCIA</v>
      </c>
      <c r="K178" s="14" t="str">
        <v>UNIDO</v>
      </c>
      <c r="L178" s="14" t="str">
        <v>REGULAR (CANDIDATO)</v>
      </c>
      <c r="M178" s="14" t="str">
        <v>MAESTRO; TIPOS_V2; TIPOS_V3; MATRIZ; H002</v>
      </c>
      <c r="N178" s="14" t="str">
        <v>Ingreso observado solo en enlaces agregados H002g; no historia completa</v>
      </c>
      <c r="O178" s="15"/>
      <c r="P178" s="15"/>
      <c r="Q178" s="15"/>
      <c r="R178" s="15"/>
      <c r="S178" s="15"/>
    </row>
    <row r="179" ht="36" customHeight="1">
      <c r="A179" s="15" t="str">
        <v>OTEC2024</v>
      </c>
      <c r="B179" s="15" t="str">
        <v>OTECURSOS</v>
      </c>
      <c r="C179" s="15" t="str">
        <v>RE</v>
      </c>
      <c r="D179" s="15" t="str">
        <v>E</v>
      </c>
      <c r="E179" s="15" t="str">
        <v>E</v>
      </c>
      <c r="F179" s="15" t="str">
        <v>E</v>
      </c>
      <c r="G179" s="23" t="str">
        <v>E</v>
      </c>
      <c r="H179" s="23" t="str">
        <v>E</v>
      </c>
      <c r="I179" s="15" t="str">
        <v>E</v>
      </c>
      <c r="J179" s="15" t="str">
        <v>SIN_CANDIDATO_EN_FUENTE_2026</v>
      </c>
      <c r="K179" s="15" t="str">
        <v>SIN_UNION</v>
      </c>
      <c r="L179" s="15" t="str">
        <v>E (CANDIDATO)</v>
      </c>
      <c r="M179" s="15" t="str">
        <v>MAESTRO; TIPOS_V2; TIPOS_V3; MATRIZ; H002</v>
      </c>
      <c r="N179" s="15" t="str">
        <v>Ingreso observado solo en enlaces agregados H002g; no historia completa</v>
      </c>
      <c r="O179" s="15"/>
      <c r="P179" s="15"/>
      <c r="Q179" s="15"/>
      <c r="R179" s="15"/>
      <c r="S179" s="15"/>
    </row>
    <row r="180" ht="36" customHeight="1">
      <c r="A180" s="14" t="str">
        <v>OTEC2026</v>
      </c>
      <c r="B180" s="14" t="str">
        <v>PRUEBAOTEC</v>
      </c>
      <c r="C180" s="14" t="str">
        <v>RE</v>
      </c>
      <c r="D180" s="14" t="str">
        <v>E</v>
      </c>
      <c r="E180" s="14" t="str">
        <v>E</v>
      </c>
      <c r="F180" s="14" t="str">
        <v>E</v>
      </c>
      <c r="G180" s="21" t="str">
        <v>E</v>
      </c>
      <c r="H180" s="21" t="str">
        <v>E</v>
      </c>
      <c r="I180" s="14" t="str">
        <v>E</v>
      </c>
      <c r="J180" s="14" t="str">
        <v>SIN_CANDIDATO_EN_FUENTE_2026</v>
      </c>
      <c r="K180" s="14" t="str">
        <v>SIN_UNION</v>
      </c>
      <c r="L180" s="14" t="str">
        <v>E (CANDIDATO)</v>
      </c>
      <c r="M180" s="14" t="str">
        <v>MAESTRO; TIPOS_V2; TIPOS_V3; MATRIZ; H002</v>
      </c>
      <c r="N180" s="14" t="str">
        <v>Ingreso observado solo en enlaces agregados H002g; no historia completa</v>
      </c>
      <c r="O180" s="15"/>
      <c r="P180" s="15"/>
      <c r="Q180" s="15"/>
      <c r="R180" s="15"/>
      <c r="S180" s="15"/>
    </row>
    <row r="181" ht="36" customHeight="1">
      <c r="A181" s="15" t="str">
        <v>PCOM20241</v>
      </c>
      <c r="B181" s="15" t="str">
        <v>PCOM</v>
      </c>
      <c r="C181" s="15" t="str">
        <v>RE</v>
      </c>
      <c r="D181" s="15" t="str">
        <v>E</v>
      </c>
      <c r="E181" s="15" t="str">
        <v>E</v>
      </c>
      <c r="F181" s="15" t="str">
        <v>E</v>
      </c>
      <c r="G181" s="23" t="str">
        <v>E</v>
      </c>
      <c r="H181" s="23" t="str">
        <v>E</v>
      </c>
      <c r="I181" s="15" t="str">
        <v>E</v>
      </c>
      <c r="J181" s="15" t="str">
        <v>SIN_CANDIDATO_EN_FUENTE_2026</v>
      </c>
      <c r="K181" s="15" t="str">
        <v>SIN_UNION</v>
      </c>
      <c r="L181" s="15" t="str">
        <v>E (CANDIDATO)</v>
      </c>
      <c r="M181" s="15" t="str">
        <v>MAESTRO; TIPOS_V2; TIPOS_V3; MATRIZ; H002</v>
      </c>
      <c r="N181" s="15" t="str">
        <v>Ingreso observado solo en enlaces agregados H002g; no historia completa</v>
      </c>
      <c r="O181" s="15"/>
      <c r="P181" s="15"/>
      <c r="Q181" s="15"/>
      <c r="R181" s="15"/>
      <c r="S181" s="15"/>
    </row>
    <row r="182" ht="36" customHeight="1">
      <c r="A182" s="14" t="str">
        <v>PCOMS20261</v>
      </c>
      <c r="B182" s="14" t="str">
        <v>PCOMS</v>
      </c>
      <c r="C182" s="14" t="str">
        <v>RE</v>
      </c>
      <c r="D182" s="14" t="str">
        <v>E</v>
      </c>
      <c r="E182" s="14" t="str">
        <v>E</v>
      </c>
      <c r="F182" s="14" t="str">
        <v>E</v>
      </c>
      <c r="G182" s="21" t="str">
        <v>E</v>
      </c>
      <c r="H182" s="21" t="str">
        <v>E</v>
      </c>
      <c r="I182" s="14" t="str">
        <v>E</v>
      </c>
      <c r="J182" s="14" t="str">
        <v>SIN_CANDIDATO_EN_FUENTE_2026</v>
      </c>
      <c r="K182" s="14" t="str">
        <v>SIN_UNION</v>
      </c>
      <c r="L182" s="14" t="str">
        <v>E (CANDIDATO)</v>
      </c>
      <c r="M182" s="14" t="str">
        <v>MAESTRO; TIPOS_V2; TIPOS_V3; MATRIZ; H002</v>
      </c>
      <c r="N182" s="14" t="str">
        <v>Ingreso observado solo en enlaces agregados H002g; no historia completa</v>
      </c>
      <c r="O182" s="15"/>
      <c r="P182" s="15"/>
      <c r="Q182" s="15"/>
      <c r="R182" s="15"/>
      <c r="S182" s="15"/>
    </row>
    <row r="183" ht="36" customHeight="1">
      <c r="A183" s="15" t="str">
        <v>TACI20241</v>
      </c>
      <c r="B183" s="15" t="str">
        <v>TACI</v>
      </c>
      <c r="C183" s="15" t="str">
        <v>RE</v>
      </c>
      <c r="D183" s="15" t="str">
        <v>V</v>
      </c>
      <c r="E183" s="15" t="str">
        <v>REGULAR</v>
      </c>
      <c r="F183" s="15" t="str">
        <v>C</v>
      </c>
      <c r="G183" s="23" t="str">
        <v>E</v>
      </c>
      <c r="H183" s="23" t="str">
        <v>E</v>
      </c>
      <c r="I183" s="15" t="str">
        <v>E</v>
      </c>
      <c r="J183" s="15" t="str">
        <v>PENDIENTE_EVIDENCIA</v>
      </c>
      <c r="K183" s="15" t="str">
        <v>SIN_UNION</v>
      </c>
      <c r="L183" s="15" t="str">
        <v>REGULAR (CANDIDATO)</v>
      </c>
      <c r="M183" s="15" t="str">
        <v>MAESTRO; TIPOS_V2; TIPOS_V3; MATRIZ; H002</v>
      </c>
      <c r="N183" s="15" t="str">
        <v>Ingreso observado solo en enlaces agregados H002g; no historia completa</v>
      </c>
      <c r="O183" s="15"/>
      <c r="P183" s="15"/>
      <c r="Q183" s="15"/>
      <c r="R183" s="15"/>
      <c r="S183" s="15"/>
    </row>
    <row r="184" ht="36" customHeight="1">
      <c r="A184" s="14" t="str">
        <v>TACREOL</v>
      </c>
      <c r="B184" s="14" t="str">
        <v>TACREOL</v>
      </c>
      <c r="C184" s="14" t="str">
        <v>RE</v>
      </c>
      <c r="D184" s="14" t="str">
        <v>E</v>
      </c>
      <c r="E184" s="14" t="str">
        <v>E</v>
      </c>
      <c r="F184" s="14" t="str">
        <v>E</v>
      </c>
      <c r="G184" s="21" t="str">
        <v>E</v>
      </c>
      <c r="H184" s="21" t="str">
        <v>E</v>
      </c>
      <c r="I184" s="14" t="str">
        <v>E</v>
      </c>
      <c r="J184" s="14" t="str">
        <v>SIN_CANDIDATO_EN_FUENTE_2026</v>
      </c>
      <c r="K184" s="14" t="str">
        <v>SIN_UNION</v>
      </c>
      <c r="L184" s="14" t="str">
        <v>E (CANDIDATO)</v>
      </c>
      <c r="M184" s="14" t="str">
        <v>MAESTRO; TIPOS_V2; TIPOS_V3; MATRIZ; H002</v>
      </c>
      <c r="N184" s="14" t="str">
        <v>Ingreso observado solo en enlaces agregados H002g; no historia completa</v>
      </c>
      <c r="O184" s="15"/>
      <c r="P184" s="15"/>
      <c r="Q184" s="15"/>
      <c r="R184" s="15"/>
      <c r="S184" s="15"/>
    </row>
    <row r="185" ht="36" customHeight="1">
      <c r="A185" s="15" t="str">
        <v>TADP20251</v>
      </c>
      <c r="B185" s="15" t="str">
        <v>TADP</v>
      </c>
      <c r="C185" s="15" t="str">
        <v>RE</v>
      </c>
      <c r="D185" s="15" t="str">
        <v>O</v>
      </c>
      <c r="E185" s="15" t="str">
        <v>REGULAR</v>
      </c>
      <c r="F185" s="15" t="str">
        <v>C</v>
      </c>
      <c r="G185" s="23" t="n">
        <v>2025</v>
      </c>
      <c r="H185" s="23" t="n">
        <v>2026</v>
      </c>
      <c r="I185" s="15" t="str">
        <v>I162S2C84J4V1</v>
      </c>
      <c r="J185" s="15" t="str">
        <v>PENDIENTE_EVIDENCIA</v>
      </c>
      <c r="K185" s="15" t="str">
        <v>UNIDO</v>
      </c>
      <c r="L185" s="15" t="str">
        <v>REGULAR (CANDIDATO)</v>
      </c>
      <c r="M185" s="15" t="str">
        <v>MAESTRO; TIPOS_V2; TIPOS_V3; MATRIZ; H002</v>
      </c>
      <c r="N185" s="15" t="str">
        <v>Ingreso observado solo en enlaces agregados H002g; no historia completa</v>
      </c>
      <c r="O185" s="15"/>
      <c r="P185" s="15"/>
      <c r="Q185" s="15"/>
      <c r="R185" s="15"/>
      <c r="S185" s="15"/>
    </row>
    <row r="186" ht="36" customHeight="1">
      <c r="A186" s="14" t="str">
        <v>TAMD20241</v>
      </c>
      <c r="B186" s="14" t="str">
        <v>TAMD</v>
      </c>
      <c r="C186" s="14" t="str">
        <v>RE</v>
      </c>
      <c r="D186" s="14" t="str">
        <v>D / O / V</v>
      </c>
      <c r="E186" s="14" t="str">
        <v>REGULAR</v>
      </c>
      <c r="F186" s="14" t="str">
        <v>C</v>
      </c>
      <c r="G186" s="21" t="n">
        <v>2024</v>
      </c>
      <c r="H186" s="21" t="n">
        <v>2026</v>
      </c>
      <c r="I186" s="14" t="str">
        <v>I162S2C78J1V1 / I162S2C78J2V1 / I162S2C78J4V1</v>
      </c>
      <c r="J186" s="14" t="str">
        <v>PENDIENTE_EVIDENCIA</v>
      </c>
      <c r="K186" s="14" t="str">
        <v>UNIDO</v>
      </c>
      <c r="L186" s="14" t="str">
        <v>REGULAR (CANDIDATO)</v>
      </c>
      <c r="M186" s="14" t="str">
        <v>MAESTRO; TIPOS_V2; TIPOS_V3; MATRIZ; H002</v>
      </c>
      <c r="N186" s="14" t="str">
        <v>Ingreso observado solo en enlaces agregados H002g; no historia completa</v>
      </c>
      <c r="O186" s="15"/>
      <c r="P186" s="15"/>
      <c r="Q186" s="15"/>
      <c r="R186" s="15"/>
      <c r="S186" s="15"/>
    </row>
    <row r="187" ht="36" customHeight="1">
      <c r="A187" s="15" t="str">
        <v>TASRE20191</v>
      </c>
      <c r="B187" s="15" t="str">
        <v>ASRE</v>
      </c>
      <c r="C187" s="15" t="str">
        <v>RE</v>
      </c>
      <c r="D187" s="15" t="str">
        <v>D / V</v>
      </c>
      <c r="E187" s="15" t="str">
        <v>E</v>
      </c>
      <c r="F187" s="15" t="str">
        <v>E</v>
      </c>
      <c r="G187" s="23" t="str">
        <v>E</v>
      </c>
      <c r="H187" s="23" t="str">
        <v>E</v>
      </c>
      <c r="I187" s="15" t="str">
        <v>E</v>
      </c>
      <c r="J187" s="15" t="str">
        <v>SIN_CANDIDATO_EN_FUENTE_2026</v>
      </c>
      <c r="K187" s="15" t="str">
        <v>SIN_UNION</v>
      </c>
      <c r="L187" s="15" t="str">
        <v>E (CANDIDATO)</v>
      </c>
      <c r="M187" s="15" t="str">
        <v>MAESTRO; TIPOS_V2; TIPOS_V3; MATRIZ; H002</v>
      </c>
      <c r="N187" s="15" t="str">
        <v>Ingreso observado solo en enlaces agregados H002g; no historia completa</v>
      </c>
      <c r="O187" s="15"/>
      <c r="P187" s="15"/>
      <c r="Q187" s="15"/>
      <c r="R187" s="15"/>
      <c r="S187" s="15"/>
    </row>
    <row r="188" ht="36" customHeight="1">
      <c r="A188" s="14" t="str">
        <v>TASREOL20191</v>
      </c>
      <c r="B188" s="14" t="str">
        <v>ASREOL</v>
      </c>
      <c r="C188" s="14" t="str">
        <v>RE</v>
      </c>
      <c r="D188" s="14" t="str">
        <v>O</v>
      </c>
      <c r="E188" s="14" t="str">
        <v>E</v>
      </c>
      <c r="F188" s="14" t="str">
        <v>E</v>
      </c>
      <c r="G188" s="21" t="str">
        <v>E</v>
      </c>
      <c r="H188" s="21" t="str">
        <v>E</v>
      </c>
      <c r="I188" s="14" t="str">
        <v>E</v>
      </c>
      <c r="J188" s="14" t="str">
        <v>SIN_CANDIDATO_EN_FUENTE_2026</v>
      </c>
      <c r="K188" s="14" t="str">
        <v>SIN_UNION</v>
      </c>
      <c r="L188" s="14" t="str">
        <v>E (CANDIDATO)</v>
      </c>
      <c r="M188" s="14" t="str">
        <v>MAESTRO; TIPOS_V2; TIPOS_V3; MATRIZ; H002</v>
      </c>
      <c r="N188" s="14" t="str">
        <v>Ingreso observado solo en enlaces agregados H002g; no historia completa</v>
      </c>
      <c r="O188" s="15"/>
      <c r="P188" s="15"/>
      <c r="Q188" s="15"/>
      <c r="R188" s="15"/>
      <c r="S188" s="15"/>
    </row>
    <row r="189" ht="36" customHeight="1">
      <c r="A189" s="15" t="str">
        <v>TCDA20251</v>
      </c>
      <c r="B189" s="15" t="str">
        <v>TCDA</v>
      </c>
      <c r="C189" s="15" t="str">
        <v>RE</v>
      </c>
      <c r="D189" s="15" t="str">
        <v>O</v>
      </c>
      <c r="E189" s="15" t="str">
        <v>REGULAR</v>
      </c>
      <c r="F189" s="15" t="str">
        <v>C</v>
      </c>
      <c r="G189" s="23" t="n">
        <v>2025</v>
      </c>
      <c r="H189" s="23" t="n">
        <v>2026</v>
      </c>
      <c r="I189" s="15" t="str">
        <v>I162S2C89J4V1</v>
      </c>
      <c r="J189" s="15" t="str">
        <v>PENDIENTE_EVIDENCIA</v>
      </c>
      <c r="K189" s="15" t="str">
        <v>UNIDO</v>
      </c>
      <c r="L189" s="15" t="str">
        <v>REGULAR (CANDIDATO)</v>
      </c>
      <c r="M189" s="15" t="str">
        <v>MAESTRO; TIPOS_V2; TIPOS_V3; MATRIZ; H002</v>
      </c>
      <c r="N189" s="15" t="str">
        <v>Ingreso observado solo en enlaces agregados H002g; no historia completa</v>
      </c>
      <c r="O189" s="15"/>
      <c r="P189" s="15"/>
      <c r="Q189" s="15"/>
      <c r="R189" s="15"/>
      <c r="S189" s="15"/>
    </row>
    <row r="190" ht="36" customHeight="1">
      <c r="A190" s="14" t="str">
        <v>TCIB20241</v>
      </c>
      <c r="B190" s="14" t="str">
        <v>TCIB</v>
      </c>
      <c r="C190" s="14" t="str">
        <v>RE</v>
      </c>
      <c r="D190" s="14" t="str">
        <v>D / O / V</v>
      </c>
      <c r="E190" s="14" t="str">
        <v>REGULAR</v>
      </c>
      <c r="F190" s="14" t="str">
        <v>C</v>
      </c>
      <c r="G190" s="21" t="n">
        <v>2020</v>
      </c>
      <c r="H190" s="21" t="n">
        <v>2026</v>
      </c>
      <c r="I190" s="14" t="str">
        <v>I162S2C47J1V1 / I162S2C47J2V1 / I162S2C47J4V1</v>
      </c>
      <c r="J190" s="14" t="str">
        <v>PENDIENTE_EVIDENCIA</v>
      </c>
      <c r="K190" s="14" t="str">
        <v>UNIDO</v>
      </c>
      <c r="L190" s="14" t="str">
        <v>REGULAR (CANDIDATO)</v>
      </c>
      <c r="M190" s="14" t="str">
        <v>MAESTRO; TIPOS_V2; TIPOS_V3; MATRIZ; H002</v>
      </c>
      <c r="N190" s="14" t="str">
        <v>Ingreso observado solo en enlaces agregados H002g; no historia completa</v>
      </c>
      <c r="O190" s="15"/>
      <c r="P190" s="15"/>
      <c r="Q190" s="15"/>
      <c r="R190" s="15"/>
      <c r="S190" s="15"/>
    </row>
    <row r="191" ht="36" customHeight="1">
      <c r="A191" s="15" t="str">
        <v>TCIBPASO</v>
      </c>
      <c r="B191" s="15" t="str">
        <v>E</v>
      </c>
      <c r="C191" s="15" t="str">
        <v>E</v>
      </c>
      <c r="D191" s="15" t="str">
        <v>O</v>
      </c>
      <c r="E191" s="15" t="str">
        <v>E</v>
      </c>
      <c r="F191" s="15" t="str">
        <v>E</v>
      </c>
      <c r="G191" s="23" t="str">
        <v>E</v>
      </c>
      <c r="H191" s="23" t="str">
        <v>E</v>
      </c>
      <c r="I191" s="15" t="str">
        <v>E</v>
      </c>
      <c r="J191" s="15" t="str">
        <v>SIN_CANDIDATO_EN_FUENTE_2026</v>
      </c>
      <c r="K191" s="15" t="str">
        <v>SIN_UNION</v>
      </c>
      <c r="L191" s="15" t="str">
        <v>E (CANDIDATO)</v>
      </c>
      <c r="M191" s="15" t="str">
        <v>MAESTRO; TIPOS_V2; TIPOS_V3; MATRIZ; H002</v>
      </c>
      <c r="N191" s="15" t="str">
        <v>Ingreso observado solo en enlaces agregados H002g; no historia completa</v>
      </c>
      <c r="O191" s="15"/>
      <c r="P191" s="15"/>
      <c r="Q191" s="15"/>
      <c r="R191" s="15"/>
      <c r="S191" s="15"/>
    </row>
    <row r="192" ht="36" customHeight="1">
      <c r="A192" s="14" t="str">
        <v>TCIREOL20191</v>
      </c>
      <c r="B192" s="14" t="str">
        <v>TCIOL</v>
      </c>
      <c r="C192" s="14" t="str">
        <v>RE</v>
      </c>
      <c r="D192" s="14" t="str">
        <v>E</v>
      </c>
      <c r="E192" s="14" t="str">
        <v>E</v>
      </c>
      <c r="F192" s="14" t="str">
        <v>E</v>
      </c>
      <c r="G192" s="21" t="str">
        <v>E</v>
      </c>
      <c r="H192" s="21" t="str">
        <v>E</v>
      </c>
      <c r="I192" s="14" t="str">
        <v>I162S2C48J4V1</v>
      </c>
      <c r="J192" s="14" t="str">
        <v>SIN_CANDIDATO_EN_FUENTE_2026</v>
      </c>
      <c r="K192" s="14" t="str">
        <v>UNIDO</v>
      </c>
      <c r="L192" s="14" t="str">
        <v>E (CANDIDATO)</v>
      </c>
      <c r="M192" s="14" t="str">
        <v>MAESTRO; TIPOS_V2; TIPOS_V3; MATRIZ; H002</v>
      </c>
      <c r="N192" s="14" t="str">
        <v>Ingreso observado solo en enlaces agregados H002g; no historia completa</v>
      </c>
      <c r="O192" s="15"/>
      <c r="P192" s="15"/>
      <c r="Q192" s="15"/>
      <c r="R192" s="15"/>
      <c r="S192" s="15"/>
    </row>
    <row r="193" ht="36" customHeight="1">
      <c r="A193" s="15" t="str">
        <v>TCIREOL20211</v>
      </c>
      <c r="B193" s="15" t="str">
        <v>TCIOL</v>
      </c>
      <c r="C193" s="15" t="str">
        <v>RE</v>
      </c>
      <c r="D193" s="15" t="str">
        <v>O</v>
      </c>
      <c r="E193" s="15" t="str">
        <v>E</v>
      </c>
      <c r="F193" s="15" t="str">
        <v>E</v>
      </c>
      <c r="G193" s="23" t="str">
        <v>E</v>
      </c>
      <c r="H193" s="23" t="str">
        <v>E</v>
      </c>
      <c r="I193" s="15" t="str">
        <v>I162S2C48J4V1</v>
      </c>
      <c r="J193" s="15" t="str">
        <v>SIN_CANDIDATO_EN_FUENTE_2026</v>
      </c>
      <c r="K193" s="15" t="str">
        <v>UNIDO</v>
      </c>
      <c r="L193" s="15" t="str">
        <v>E (CANDIDATO)</v>
      </c>
      <c r="M193" s="15" t="str">
        <v>MAESTRO; TIPOS_V2; TIPOS_V3; MATRIZ; H002</v>
      </c>
      <c r="N193" s="15" t="str">
        <v>Ingreso observado solo en enlaces agregados H002g; no historia completa</v>
      </c>
      <c r="O193" s="15"/>
      <c r="P193" s="15"/>
      <c r="Q193" s="15"/>
      <c r="R193" s="15"/>
      <c r="S193" s="15"/>
    </row>
    <row r="194" ht="36" customHeight="1">
      <c r="A194" s="14" t="str">
        <v>TCRE20241</v>
      </c>
      <c r="B194" s="14" t="str">
        <v>TCRE</v>
      </c>
      <c r="C194" s="14" t="str">
        <v>RE</v>
      </c>
      <c r="D194" s="14" t="str">
        <v>D / O / V</v>
      </c>
      <c r="E194" s="14" t="str">
        <v>REGULAR</v>
      </c>
      <c r="F194" s="14" t="str">
        <v>C</v>
      </c>
      <c r="G194" s="21" t="n">
        <v>2017</v>
      </c>
      <c r="H194" s="21" t="n">
        <v>2026</v>
      </c>
      <c r="I194" s="14" t="str">
        <v>I162S2C6J2V1 / I162S2C6J2V2 / I162S2C6J4V2</v>
      </c>
      <c r="J194" s="14" t="str">
        <v>PENDIENTE_EVIDENCIA</v>
      </c>
      <c r="K194" s="14" t="str">
        <v>UNIDO</v>
      </c>
      <c r="L194" s="14" t="str">
        <v>REGULAR (CANDIDATO)</v>
      </c>
      <c r="M194" s="14" t="str">
        <v>MAESTRO; TIPOS_V2; TIPOS_V3; MATRIZ; H002</v>
      </c>
      <c r="N194" s="14" t="str">
        <v>Ingreso observado solo en enlaces agregados H002g; no historia completa</v>
      </c>
      <c r="O194" s="15"/>
      <c r="P194" s="15"/>
      <c r="Q194" s="15"/>
      <c r="R194" s="15"/>
      <c r="S194" s="15"/>
    </row>
    <row r="195" ht="36" customHeight="1">
      <c r="A195" s="15" t="str">
        <v>TCREPASO</v>
      </c>
      <c r="B195" s="15" t="str">
        <v>E</v>
      </c>
      <c r="C195" s="15" t="str">
        <v>E</v>
      </c>
      <c r="D195" s="15" t="str">
        <v>O</v>
      </c>
      <c r="E195" s="15" t="str">
        <v>E</v>
      </c>
      <c r="F195" s="15" t="str">
        <v>E</v>
      </c>
      <c r="G195" s="23" t="str">
        <v>E</v>
      </c>
      <c r="H195" s="23" t="str">
        <v>E</v>
      </c>
      <c r="I195" s="15" t="str">
        <v>E</v>
      </c>
      <c r="J195" s="15" t="str">
        <v>SIN_CANDIDATO_EN_FUENTE_2026</v>
      </c>
      <c r="K195" s="15" t="str">
        <v>SIN_UNION</v>
      </c>
      <c r="L195" s="15" t="str">
        <v>E (CANDIDATO)</v>
      </c>
      <c r="M195" s="15" t="str">
        <v>MAESTRO; TIPOS_V2; TIPOS_V3; MATRIZ; H002</v>
      </c>
      <c r="N195" s="15" t="str">
        <v>Ingreso observado solo en enlaces agregados H002g; no historia completa</v>
      </c>
      <c r="O195" s="15"/>
      <c r="P195" s="15"/>
      <c r="Q195" s="15"/>
      <c r="R195" s="15"/>
      <c r="S195" s="15"/>
    </row>
    <row r="196" ht="36" customHeight="1">
      <c r="A196" s="14" t="str">
        <v>TCSRE20191</v>
      </c>
      <c r="B196" s="14" t="str">
        <v>TCSRE</v>
      </c>
      <c r="C196" s="14" t="str">
        <v>RE</v>
      </c>
      <c r="D196" s="14" t="str">
        <v>D / V</v>
      </c>
      <c r="E196" s="14" t="str">
        <v>REGULAR</v>
      </c>
      <c r="F196" s="14" t="str">
        <v>C</v>
      </c>
      <c r="G196" s="21" t="n">
        <v>2020</v>
      </c>
      <c r="H196" s="21" t="n">
        <v>2020</v>
      </c>
      <c r="I196" s="14" t="str">
        <v>I162S2C47J1V1 / I162S2C47J2V1</v>
      </c>
      <c r="J196" s="14" t="str">
        <v>PENDIENTE_EVIDENCIA</v>
      </c>
      <c r="K196" s="14" t="str">
        <v>UNIDO</v>
      </c>
      <c r="L196" s="14" t="str">
        <v>REGULAR (CANDIDATO)</v>
      </c>
      <c r="M196" s="14" t="str">
        <v>MAESTRO; TIPOS_V2; TIPOS_V3; MATRIZ; H002</v>
      </c>
      <c r="N196" s="14" t="str">
        <v>Ingreso observado solo en enlaces agregados H002g; no historia completa</v>
      </c>
      <c r="O196" s="15"/>
      <c r="P196" s="15"/>
      <c r="Q196" s="15"/>
      <c r="R196" s="15"/>
      <c r="S196" s="15"/>
    </row>
    <row r="197" ht="36" customHeight="1">
      <c r="A197" s="15" t="str">
        <v>TCSRE20211</v>
      </c>
      <c r="B197" s="15" t="str">
        <v>TCSRE</v>
      </c>
      <c r="C197" s="15" t="str">
        <v>RE</v>
      </c>
      <c r="D197" s="15" t="str">
        <v>D / V</v>
      </c>
      <c r="E197" s="15" t="str">
        <v>REGULAR</v>
      </c>
      <c r="F197" s="15" t="str">
        <v>C</v>
      </c>
      <c r="G197" s="23" t="n">
        <v>2021</v>
      </c>
      <c r="H197" s="23" t="n">
        <v>2022</v>
      </c>
      <c r="I197" s="15" t="str">
        <v>I162S2C47J1V1 / I162S2C47J2V1</v>
      </c>
      <c r="J197" s="15" t="str">
        <v>PENDIENTE_EVIDENCIA</v>
      </c>
      <c r="K197" s="15" t="str">
        <v>UNIDO</v>
      </c>
      <c r="L197" s="15" t="str">
        <v>REGULAR (CANDIDATO)</v>
      </c>
      <c r="M197" s="15" t="str">
        <v>MAESTRO; TIPOS_V2; TIPOS_V3; MATRIZ; H002</v>
      </c>
      <c r="N197" s="15" t="str">
        <v>Ingreso observado solo en enlaces agregados H002g; no historia completa</v>
      </c>
      <c r="O197" s="15"/>
      <c r="P197" s="15"/>
      <c r="Q197" s="15"/>
      <c r="R197" s="15"/>
      <c r="S197" s="15"/>
    </row>
    <row r="198" ht="36" customHeight="1">
      <c r="A198" s="14" t="str">
        <v>TCSREOL2020</v>
      </c>
      <c r="B198" s="14" t="str">
        <v>TCSREOL</v>
      </c>
      <c r="C198" s="14" t="str">
        <v>RE</v>
      </c>
      <c r="D198" s="14" t="str">
        <v>D / O</v>
      </c>
      <c r="E198" s="14" t="str">
        <v>REGULAR</v>
      </c>
      <c r="F198" s="14" t="str">
        <v>C</v>
      </c>
      <c r="G198" s="21" t="n">
        <v>2020</v>
      </c>
      <c r="H198" s="21" t="n">
        <v>2020</v>
      </c>
      <c r="I198" s="14" t="str">
        <v>I162S2C47J4V1</v>
      </c>
      <c r="J198" s="14" t="str">
        <v>PENDIENTE_EVIDENCIA</v>
      </c>
      <c r="K198" s="14" t="str">
        <v>UNIDO</v>
      </c>
      <c r="L198" s="14" t="str">
        <v>REGULAR (CANDIDATO)</v>
      </c>
      <c r="M198" s="14" t="str">
        <v>MAESTRO; TIPOS_V2; TIPOS_V3; MATRIZ; H002</v>
      </c>
      <c r="N198" s="14" t="str">
        <v>Ingreso observado solo en enlaces agregados H002g; no historia completa</v>
      </c>
      <c r="O198" s="15"/>
      <c r="P198" s="15"/>
      <c r="Q198" s="15"/>
      <c r="R198" s="15"/>
      <c r="S198" s="15"/>
    </row>
    <row r="199" ht="36" customHeight="1">
      <c r="A199" s="15" t="str">
        <v>TCSREOL20211</v>
      </c>
      <c r="B199" s="15" t="str">
        <v>TCSREOL</v>
      </c>
      <c r="C199" s="15" t="str">
        <v>RE</v>
      </c>
      <c r="D199" s="15" t="str">
        <v>O</v>
      </c>
      <c r="E199" s="15" t="str">
        <v>REGULAR</v>
      </c>
      <c r="F199" s="15" t="str">
        <v>C</v>
      </c>
      <c r="G199" s="23" t="n">
        <v>2021</v>
      </c>
      <c r="H199" s="23" t="n">
        <v>2023</v>
      </c>
      <c r="I199" s="15" t="str">
        <v>I162S2C47J4V1</v>
      </c>
      <c r="J199" s="15" t="str">
        <v>PENDIENTE_EVIDENCIA</v>
      </c>
      <c r="K199" s="15" t="str">
        <v>UNIDO</v>
      </c>
      <c r="L199" s="15" t="str">
        <v>REGULAR (CANDIDATO)</v>
      </c>
      <c r="M199" s="15" t="str">
        <v>MAESTRO; TIPOS_V2; TIPOS_V3; MATRIZ; H002</v>
      </c>
      <c r="N199" s="15" t="str">
        <v>Ingreso observado solo en enlaces agregados H002g; no historia completa</v>
      </c>
      <c r="O199" s="15"/>
      <c r="P199" s="15"/>
      <c r="Q199" s="15"/>
      <c r="R199" s="15"/>
      <c r="S199" s="15"/>
    </row>
    <row r="200" ht="36" customHeight="1">
      <c r="A200" s="14" t="str">
        <v>TCSREOL20231</v>
      </c>
      <c r="B200" s="14" t="str">
        <v>TCSREOL</v>
      </c>
      <c r="C200" s="14" t="str">
        <v>RE</v>
      </c>
      <c r="D200" s="14" t="str">
        <v>O</v>
      </c>
      <c r="E200" s="14" t="str">
        <v>REGULAR</v>
      </c>
      <c r="F200" s="14" t="str">
        <v>C</v>
      </c>
      <c r="G200" s="21" t="n">
        <v>2023</v>
      </c>
      <c r="H200" s="21" t="n">
        <v>2023</v>
      </c>
      <c r="I200" s="14" t="str">
        <v>I162S2C47J4V1</v>
      </c>
      <c r="J200" s="14" t="str">
        <v>PENDIENTE_EVIDENCIA</v>
      </c>
      <c r="K200" s="14" t="str">
        <v>UNIDO</v>
      </c>
      <c r="L200" s="14" t="str">
        <v>REGULAR (CANDIDATO)</v>
      </c>
      <c r="M200" s="14" t="str">
        <v>MAESTRO; TIPOS_V2; TIPOS_V3; MATRIZ; H002</v>
      </c>
      <c r="N200" s="14" t="str">
        <v>Ingreso observado solo en enlaces agregados H002g; no historia completa</v>
      </c>
      <c r="O200" s="15"/>
      <c r="P200" s="15"/>
      <c r="Q200" s="15"/>
      <c r="R200" s="15"/>
      <c r="S200" s="15"/>
    </row>
    <row r="201" ht="36" customHeight="1">
      <c r="A201" s="15" t="str">
        <v>TCSREOLPASO</v>
      </c>
      <c r="B201" s="15" t="str">
        <v>E</v>
      </c>
      <c r="C201" s="15" t="str">
        <v>E</v>
      </c>
      <c r="D201" s="15" t="str">
        <v>D / O</v>
      </c>
      <c r="E201" s="15" t="str">
        <v>E</v>
      </c>
      <c r="F201" s="15" t="str">
        <v>E</v>
      </c>
      <c r="G201" s="23" t="str">
        <v>E</v>
      </c>
      <c r="H201" s="23" t="str">
        <v>E</v>
      </c>
      <c r="I201" s="15" t="str">
        <v>E</v>
      </c>
      <c r="J201" s="15" t="str">
        <v>SIN_CANDIDATO_EN_FUENTE_2026</v>
      </c>
      <c r="K201" s="15" t="str">
        <v>SIN_UNION</v>
      </c>
      <c r="L201" s="15" t="str">
        <v>E (CANDIDATO)</v>
      </c>
      <c r="M201" s="15" t="str">
        <v>MAESTRO; TIPOS_V2; TIPOS_V3; MATRIZ; H002</v>
      </c>
      <c r="N201" s="15" t="str">
        <v>Ingreso observado solo en enlaces agregados H002g; no historia completa</v>
      </c>
      <c r="O201" s="15"/>
      <c r="P201" s="15"/>
      <c r="Q201" s="15"/>
      <c r="R201" s="15"/>
      <c r="S201" s="15"/>
    </row>
    <row r="202" ht="36" customHeight="1">
      <c r="A202" s="14" t="str">
        <v>TEIQ20261</v>
      </c>
      <c r="B202" s="14" t="str">
        <v>TEIQ</v>
      </c>
      <c r="C202" s="14" t="str">
        <v>RE</v>
      </c>
      <c r="D202" s="14" t="str">
        <v>V</v>
      </c>
      <c r="E202" s="14" t="str">
        <v>REGULAR</v>
      </c>
      <c r="F202" s="14" t="str">
        <v>C</v>
      </c>
      <c r="G202" s="21" t="n">
        <v>2026</v>
      </c>
      <c r="H202" s="21" t="n">
        <v>2026</v>
      </c>
      <c r="I202" s="14" t="str">
        <v>I162S2C114J1V1 / I162S2C114J2V1</v>
      </c>
      <c r="J202" s="14" t="str">
        <v>PENDIENTE_EVIDENCIA</v>
      </c>
      <c r="K202" s="14" t="str">
        <v>UNIDO</v>
      </c>
      <c r="L202" s="14" t="str">
        <v>REGULAR (CANDIDATO)</v>
      </c>
      <c r="M202" s="14" t="str">
        <v>MAESTRO; TIPOS_V2; TIPOS_V3; MATRIZ; H002</v>
      </c>
      <c r="N202" s="14" t="str">
        <v>Ingreso observado solo en enlaces agregados H002g; no historia completa</v>
      </c>
      <c r="O202" s="15"/>
      <c r="P202" s="15"/>
      <c r="Q202" s="15"/>
      <c r="R202" s="15"/>
      <c r="S202" s="15"/>
    </row>
    <row r="203" ht="36" customHeight="1">
      <c r="A203" s="15" t="str">
        <v>TENS20251</v>
      </c>
      <c r="B203" s="15" t="str">
        <v>TENS</v>
      </c>
      <c r="C203" s="15" t="str">
        <v>RE</v>
      </c>
      <c r="D203" s="15" t="str">
        <v>D / V</v>
      </c>
      <c r="E203" s="15" t="str">
        <v>REGULAR</v>
      </c>
      <c r="F203" s="15" t="str">
        <v>C</v>
      </c>
      <c r="G203" s="23" t="n">
        <v>2025</v>
      </c>
      <c r="H203" s="23" t="n">
        <v>2026</v>
      </c>
      <c r="I203" s="15" t="str">
        <v>I162S2C91J1V1 / I162S2C91J2V1</v>
      </c>
      <c r="J203" s="15" t="str">
        <v>PENDIENTE_EVIDENCIA</v>
      </c>
      <c r="K203" s="15" t="str">
        <v>UNIDO</v>
      </c>
      <c r="L203" s="15" t="str">
        <v>REGULAR (CANDIDATO)</v>
      </c>
      <c r="M203" s="15" t="str">
        <v>MAESTRO; TIPOS_V2; TIPOS_V3; MATRIZ; H002</v>
      </c>
      <c r="N203" s="15" t="str">
        <v>Ingreso observado solo en enlaces agregados H002g; no historia completa</v>
      </c>
      <c r="O203" s="15"/>
      <c r="P203" s="15"/>
      <c r="Q203" s="15"/>
      <c r="R203" s="15"/>
      <c r="S203" s="15"/>
    </row>
    <row r="204" ht="36" customHeight="1">
      <c r="A204" s="14" t="str">
        <v>TFAR20261</v>
      </c>
      <c r="B204" s="14" t="str">
        <v>TFAR</v>
      </c>
      <c r="C204" s="14" t="str">
        <v>RE</v>
      </c>
      <c r="D204" s="14" t="str">
        <v>V</v>
      </c>
      <c r="E204" s="14" t="str">
        <v>REGULAR</v>
      </c>
      <c r="F204" s="14" t="str">
        <v>C</v>
      </c>
      <c r="G204" s="21" t="n">
        <v>2026</v>
      </c>
      <c r="H204" s="21" t="n">
        <v>2026</v>
      </c>
      <c r="I204" s="14" t="str">
        <v>I162S2C115J2V1</v>
      </c>
      <c r="J204" s="14" t="str">
        <v>PENDIENTE_EVIDENCIA</v>
      </c>
      <c r="K204" s="14" t="str">
        <v>UNIDO</v>
      </c>
      <c r="L204" s="14" t="str">
        <v>REGULAR (CANDIDATO)</v>
      </c>
      <c r="M204" s="14" t="str">
        <v>MAESTRO; TIPOS_V2; TIPOS_V3; MATRIZ; H002</v>
      </c>
      <c r="N204" s="14" t="str">
        <v>Ingreso observado solo en enlaces agregados H002g; no historia completa</v>
      </c>
      <c r="O204" s="15"/>
      <c r="P204" s="15"/>
      <c r="Q204" s="15"/>
      <c r="R204" s="15"/>
      <c r="S204" s="15"/>
    </row>
    <row r="205" ht="36" customHeight="1">
      <c r="A205" s="15" t="str">
        <v>TFIN20261</v>
      </c>
      <c r="B205" s="15" t="str">
        <v>TFIN</v>
      </c>
      <c r="C205" s="15" t="str">
        <v>RE</v>
      </c>
      <c r="D205" s="15" t="str">
        <v>O</v>
      </c>
      <c r="E205" s="15" t="str">
        <v>REGULAR</v>
      </c>
      <c r="F205" s="15" t="str">
        <v>C</v>
      </c>
      <c r="G205" s="23" t="n">
        <v>2026</v>
      </c>
      <c r="H205" s="23" t="n">
        <v>2026</v>
      </c>
      <c r="I205" s="15" t="str">
        <v>I162S2C116J4V1</v>
      </c>
      <c r="J205" s="15" t="str">
        <v>PENDIENTE_EVIDENCIA</v>
      </c>
      <c r="K205" s="15" t="str">
        <v>UNIDO</v>
      </c>
      <c r="L205" s="15" t="str">
        <v>REGULAR (CANDIDATO)</v>
      </c>
      <c r="M205" s="15" t="str">
        <v>MAESTRO; TIPOS_V2; TIPOS_V3; MATRIZ; H002</v>
      </c>
      <c r="N205" s="15" t="str">
        <v>Ingreso observado solo en enlaces agregados H002g; no historia completa</v>
      </c>
      <c r="O205" s="15"/>
      <c r="P205" s="15"/>
      <c r="Q205" s="15"/>
      <c r="R205" s="15"/>
      <c r="S205" s="15"/>
    </row>
    <row r="206" ht="36" customHeight="1">
      <c r="A206" s="14" t="str">
        <v>TICL20261</v>
      </c>
      <c r="B206" s="14" t="str">
        <v>TICL</v>
      </c>
      <c r="C206" s="14" t="str">
        <v>RE</v>
      </c>
      <c r="D206" s="14" t="str">
        <v>O</v>
      </c>
      <c r="E206" s="14" t="str">
        <v>REGULAR</v>
      </c>
      <c r="F206" s="14" t="str">
        <v>C</v>
      </c>
      <c r="G206" s="21" t="n">
        <v>2026</v>
      </c>
      <c r="H206" s="21" t="n">
        <v>2026</v>
      </c>
      <c r="I206" s="14" t="str">
        <v>I162S2C117J4V1</v>
      </c>
      <c r="J206" s="14" t="str">
        <v>PENDIENTE_EVIDENCIA</v>
      </c>
      <c r="K206" s="14" t="str">
        <v>UNIDO</v>
      </c>
      <c r="L206" s="14" t="str">
        <v>REGULAR (CANDIDATO)</v>
      </c>
      <c r="M206" s="14" t="str">
        <v>MAESTRO; TIPOS_V2; TIPOS_V3; MATRIZ; H002</v>
      </c>
      <c r="N206" s="14" t="str">
        <v>Ingreso observado solo en enlaces agregados H002g; no historia completa</v>
      </c>
      <c r="O206" s="15"/>
      <c r="P206" s="15"/>
      <c r="Q206" s="15"/>
      <c r="R206" s="15"/>
      <c r="S206" s="15"/>
    </row>
    <row r="207" ht="36" customHeight="1">
      <c r="A207" s="15" t="str">
        <v>TIND20251</v>
      </c>
      <c r="B207" s="15" t="str">
        <v>TIND</v>
      </c>
      <c r="C207" s="15" t="str">
        <v>RE</v>
      </c>
      <c r="D207" s="15" t="str">
        <v>E</v>
      </c>
      <c r="E207" s="15" t="str">
        <v>E</v>
      </c>
      <c r="F207" s="15" t="str">
        <v>E</v>
      </c>
      <c r="G207" s="23" t="str">
        <v>E</v>
      </c>
      <c r="H207" s="23" t="str">
        <v>E</v>
      </c>
      <c r="I207" s="15" t="str">
        <v>E</v>
      </c>
      <c r="J207" s="15" t="str">
        <v>SIN_CANDIDATO_EN_FUENTE_2026</v>
      </c>
      <c r="K207" s="15" t="str">
        <v>SIN_UNION</v>
      </c>
      <c r="L207" s="15" t="str">
        <v>E (CANDIDATO)</v>
      </c>
      <c r="M207" s="15" t="str">
        <v>MAESTRO; TIPOS_V2; TIPOS_V3; MATRIZ; H002</v>
      </c>
      <c r="N207" s="15" t="str">
        <v>Ingreso observado solo en enlaces agregados H002g; no historia completa</v>
      </c>
      <c r="O207" s="15"/>
      <c r="P207" s="15"/>
      <c r="Q207" s="15"/>
      <c r="R207" s="15"/>
      <c r="S207" s="15"/>
    </row>
    <row r="208" ht="36" customHeight="1">
      <c r="A208" s="14" t="str">
        <v>TLOG20241</v>
      </c>
      <c r="B208" s="14" t="str">
        <v>TLOG</v>
      </c>
      <c r="C208" s="14" t="str">
        <v>RE</v>
      </c>
      <c r="D208" s="14" t="str">
        <v>D / O / V</v>
      </c>
      <c r="E208" s="14" t="str">
        <v>REGULAR</v>
      </c>
      <c r="F208" s="14" t="str">
        <v>C</v>
      </c>
      <c r="G208" s="21" t="n">
        <v>2024</v>
      </c>
      <c r="H208" s="21" t="n">
        <v>2026</v>
      </c>
      <c r="I208" s="14" t="str">
        <v>I162S2C79J2V1 / I162S2C79J4V1</v>
      </c>
      <c r="J208" s="14" t="str">
        <v>PENDIENTE_EVIDENCIA</v>
      </c>
      <c r="K208" s="14" t="str">
        <v>UNIDO</v>
      </c>
      <c r="L208" s="14" t="str">
        <v>REGULAR (CANDIDATO)</v>
      </c>
      <c r="M208" s="14" t="str">
        <v>MAESTRO; TIPOS_V2; TIPOS_V3; MATRIZ; H002</v>
      </c>
      <c r="N208" s="14" t="str">
        <v>Ingreso observado solo en enlaces agregados H002g; no historia completa</v>
      </c>
      <c r="O208" s="15"/>
      <c r="P208" s="15"/>
      <c r="Q208" s="15"/>
      <c r="R208" s="15"/>
      <c r="S208" s="15"/>
    </row>
    <row r="209" ht="36" customHeight="1">
      <c r="A209" s="15" t="str">
        <v>TMDI20261</v>
      </c>
      <c r="B209" s="15" t="str">
        <v>TMDI</v>
      </c>
      <c r="C209" s="15" t="str">
        <v>RE</v>
      </c>
      <c r="D209" s="15" t="str">
        <v>O</v>
      </c>
      <c r="E209" s="15" t="str">
        <v>REGULAR</v>
      </c>
      <c r="F209" s="15" t="str">
        <v>C</v>
      </c>
      <c r="G209" s="23" t="n">
        <v>2026</v>
      </c>
      <c r="H209" s="23" t="n">
        <v>2026</v>
      </c>
      <c r="I209" s="15" t="str">
        <v>I162S2C118J4V1</v>
      </c>
      <c r="J209" s="15" t="str">
        <v>PENDIENTE_EVIDENCIA</v>
      </c>
      <c r="K209" s="15" t="str">
        <v>UNIDO</v>
      </c>
      <c r="L209" s="15" t="str">
        <v>REGULAR (CANDIDATO)</v>
      </c>
      <c r="M209" s="15" t="str">
        <v>MAESTRO; TIPOS_V2; TIPOS_V3; MATRIZ; H002</v>
      </c>
      <c r="N209" s="15" t="str">
        <v>Ingreso observado solo en enlaces agregados H002g; no historia completa</v>
      </c>
      <c r="O209" s="15"/>
      <c r="P209" s="15"/>
      <c r="Q209" s="15"/>
      <c r="R209" s="15"/>
      <c r="S209" s="15"/>
    </row>
    <row r="210" ht="36" customHeight="1">
      <c r="A210" s="14" t="str">
        <v>TMIRE20131</v>
      </c>
      <c r="B210" s="14" t="str">
        <v>TMIRE</v>
      </c>
      <c r="C210" s="14" t="str">
        <v>RE</v>
      </c>
      <c r="D210" s="14" t="str">
        <v>D / V / V </v>
      </c>
      <c r="E210" s="14" t="str">
        <v>REGULAR</v>
      </c>
      <c r="F210" s="14" t="str">
        <v>C</v>
      </c>
      <c r="G210" s="21" t="str">
        <v>E</v>
      </c>
      <c r="H210" s="21" t="str">
        <v>E</v>
      </c>
      <c r="I210" s="14" t="str">
        <v>I162S2C11J1V1</v>
      </c>
      <c r="J210" s="14" t="str">
        <v>PENDIENTE_EVIDENCIA</v>
      </c>
      <c r="K210" s="14" t="str">
        <v>UNIDO</v>
      </c>
      <c r="L210" s="14" t="str">
        <v>REGULAR (CANDIDATO)</v>
      </c>
      <c r="M210" s="14" t="str">
        <v>MAESTRO; TIPOS_V2; TIPOS_V3; MATRIZ; H002</v>
      </c>
      <c r="N210" s="14" t="str">
        <v>Ingreso observado solo en enlaces agregados H002g; no historia completa</v>
      </c>
      <c r="O210" s="15"/>
      <c r="P210" s="15"/>
      <c r="Q210" s="15"/>
      <c r="R210" s="15"/>
      <c r="S210" s="15"/>
    </row>
    <row r="211" ht="36" customHeight="1">
      <c r="A211" s="15" t="str">
        <v>TMIRE20151</v>
      </c>
      <c r="B211" s="15" t="str">
        <v>TMIRE</v>
      </c>
      <c r="C211" s="15" t="str">
        <v>RE</v>
      </c>
      <c r="D211" s="15" t="str">
        <v>D / D </v>
      </c>
      <c r="E211" s="15" t="str">
        <v>REGULAR</v>
      </c>
      <c r="F211" s="15" t="str">
        <v>C</v>
      </c>
      <c r="G211" s="23" t="str">
        <v>E</v>
      </c>
      <c r="H211" s="23" t="str">
        <v>E</v>
      </c>
      <c r="I211" s="15" t="str">
        <v>I162S2C11J1V1</v>
      </c>
      <c r="J211" s="15" t="str">
        <v>PENDIENTE_EVIDENCIA</v>
      </c>
      <c r="K211" s="15" t="str">
        <v>UNIDO</v>
      </c>
      <c r="L211" s="15" t="str">
        <v>REGULAR (CANDIDATO)</v>
      </c>
      <c r="M211" s="15" t="str">
        <v>MAESTRO; TIPOS_V2; TIPOS_V3; MATRIZ; H002</v>
      </c>
      <c r="N211" s="15" t="str">
        <v>Ingreso observado solo en enlaces agregados H002g; no historia completa</v>
      </c>
      <c r="O211" s="15"/>
      <c r="P211" s="15"/>
      <c r="Q211" s="15"/>
      <c r="R211" s="15"/>
      <c r="S211" s="15"/>
    </row>
    <row r="212" ht="36" customHeight="1">
      <c r="A212" s="14" t="str">
        <v>TMIRE20171</v>
      </c>
      <c r="B212" s="14" t="str">
        <v>IEMORE / TMIRE</v>
      </c>
      <c r="C212" s="14" t="str">
        <v>RE</v>
      </c>
      <c r="D212" s="14" t="str">
        <v>D / V</v>
      </c>
      <c r="E212" s="14" t="str">
        <v>REGULAR</v>
      </c>
      <c r="F212" s="14" t="str">
        <v>C</v>
      </c>
      <c r="G212" s="21" t="n">
        <v>2018</v>
      </c>
      <c r="H212" s="21" t="n">
        <v>2020</v>
      </c>
      <c r="I212" s="14" t="str">
        <v>I162S2C11J1V1 / I162S2C11J2V1</v>
      </c>
      <c r="J212" s="14" t="str">
        <v>PENDIENTE_EVIDENCIA</v>
      </c>
      <c r="K212" s="14" t="str">
        <v>UNIDO</v>
      </c>
      <c r="L212" s="14" t="str">
        <v>REGULAR (CANDIDATO)</v>
      </c>
      <c r="M212" s="14" t="str">
        <v>MAESTRO; TIPOS_V2; TIPOS_V3; MATRIZ; H002</v>
      </c>
      <c r="N212" s="14" t="str">
        <v>Ingreso observado solo en enlaces agregados H002g; no historia completa</v>
      </c>
      <c r="O212" s="15"/>
      <c r="P212" s="15"/>
      <c r="Q212" s="15"/>
      <c r="R212" s="15"/>
      <c r="S212" s="15"/>
    </row>
    <row r="213" ht="36" customHeight="1">
      <c r="A213" s="15" t="str">
        <v>TMIRE2020</v>
      </c>
      <c r="B213" s="15" t="str">
        <v>TMIRE</v>
      </c>
      <c r="C213" s="15" t="str">
        <v>RE</v>
      </c>
      <c r="D213" s="15" t="str">
        <v>V</v>
      </c>
      <c r="E213" s="15" t="str">
        <v>REGULAR</v>
      </c>
      <c r="F213" s="15" t="str">
        <v>C</v>
      </c>
      <c r="G213" s="23" t="n">
        <v>2020</v>
      </c>
      <c r="H213" s="23" t="n">
        <v>2020</v>
      </c>
      <c r="I213" s="15" t="str">
        <v>I162S2C11J1V1 / I162S2C11J2V1</v>
      </c>
      <c r="J213" s="15" t="str">
        <v>PENDIENTE_EVIDENCIA</v>
      </c>
      <c r="K213" s="15" t="str">
        <v>UNIDO</v>
      </c>
      <c r="L213" s="15" t="str">
        <v>REGULAR (CANDIDATO)</v>
      </c>
      <c r="M213" s="15" t="str">
        <v>MAESTRO; TIPOS_V2; TIPOS_V3; MATRIZ; H002</v>
      </c>
      <c r="N213" s="15" t="str">
        <v>Ingreso observado solo en enlaces agregados H002g; no historia completa</v>
      </c>
      <c r="O213" s="15"/>
      <c r="P213" s="15"/>
      <c r="Q213" s="15"/>
      <c r="R213" s="15"/>
      <c r="S213" s="15"/>
    </row>
    <row r="214" ht="36" customHeight="1">
      <c r="A214" s="14" t="str">
        <v>TMIRE20211</v>
      </c>
      <c r="B214" s="14" t="str">
        <v>TMIRE</v>
      </c>
      <c r="C214" s="14" t="str">
        <v>RE</v>
      </c>
      <c r="D214" s="14" t="str">
        <v>V</v>
      </c>
      <c r="E214" s="14" t="str">
        <v>REGULAR</v>
      </c>
      <c r="F214" s="14" t="str">
        <v>C</v>
      </c>
      <c r="G214" s="21" t="n">
        <v>2021</v>
      </c>
      <c r="H214" s="21" t="n">
        <v>2021</v>
      </c>
      <c r="I214" s="14" t="str">
        <v>I162S2C11J1V1 / I162S2C11J2V1</v>
      </c>
      <c r="J214" s="14" t="str">
        <v>PENDIENTE_EVIDENCIA</v>
      </c>
      <c r="K214" s="14" t="str">
        <v>UNIDO</v>
      </c>
      <c r="L214" s="14" t="str">
        <v>REGULAR (CANDIDATO)</v>
      </c>
      <c r="M214" s="14" t="str">
        <v>MAESTRO; TIPOS_V2; TIPOS_V3; MATRIZ; H002</v>
      </c>
      <c r="N214" s="14" t="str">
        <v>Ingreso observado solo en enlaces agregados H002g; no historia completa</v>
      </c>
      <c r="O214" s="15"/>
      <c r="P214" s="15"/>
      <c r="Q214" s="15"/>
      <c r="R214" s="15"/>
      <c r="S214" s="15"/>
    </row>
    <row r="215" ht="36" customHeight="1">
      <c r="A215" s="15" t="str">
        <v>TNTP</v>
      </c>
      <c r="B215" s="15" t="str">
        <v>TNTP</v>
      </c>
      <c r="C215" s="15" t="str">
        <v>RE</v>
      </c>
      <c r="D215" s="15" t="str">
        <v>E</v>
      </c>
      <c r="E215" s="15" t="str">
        <v>E</v>
      </c>
      <c r="F215" s="15" t="str">
        <v>E</v>
      </c>
      <c r="G215" s="23" t="str">
        <v>E</v>
      </c>
      <c r="H215" s="23" t="str">
        <v>E</v>
      </c>
      <c r="I215" s="15" t="str">
        <v>E</v>
      </c>
      <c r="J215" s="15" t="str">
        <v>SIN_CANDIDATO_EN_FUENTE_2026</v>
      </c>
      <c r="K215" s="15" t="str">
        <v>SIN_UNION</v>
      </c>
      <c r="L215" s="15" t="str">
        <v>E (CANDIDATO)</v>
      </c>
      <c r="M215" s="15" t="str">
        <v>MAESTRO; TIPOS_V2; TIPOS_V3; MATRIZ; H002</v>
      </c>
      <c r="N215" s="15" t="str">
        <v>Ingreso observado solo en enlaces agregados H002g; no historia completa</v>
      </c>
      <c r="O215" s="15"/>
      <c r="P215" s="15"/>
      <c r="Q215" s="15"/>
      <c r="R215" s="15"/>
      <c r="S215" s="15"/>
    </row>
    <row r="216" ht="36" customHeight="1">
      <c r="A216" s="14" t="str">
        <v>TPAPASO</v>
      </c>
      <c r="B216" s="14" t="str">
        <v>E</v>
      </c>
      <c r="C216" s="14" t="str">
        <v>E</v>
      </c>
      <c r="D216" s="14" t="str">
        <v>D / O</v>
      </c>
      <c r="E216" s="14" t="str">
        <v>E</v>
      </c>
      <c r="F216" s="14" t="str">
        <v>E</v>
      </c>
      <c r="G216" s="21" t="str">
        <v>E</v>
      </c>
      <c r="H216" s="21" t="str">
        <v>E</v>
      </c>
      <c r="I216" s="14" t="str">
        <v>E</v>
      </c>
      <c r="J216" s="14" t="str">
        <v>SIN_CANDIDATO_EN_FUENTE_2026</v>
      </c>
      <c r="K216" s="14" t="str">
        <v>SIN_UNION</v>
      </c>
      <c r="L216" s="14" t="str">
        <v>E (CANDIDATO)</v>
      </c>
      <c r="M216" s="14" t="str">
        <v>MAESTRO; TIPOS_V2; TIPOS_V3; MATRIZ; H002</v>
      </c>
      <c r="N216" s="14" t="str">
        <v>Ingreso observado solo en enlaces agregados H002g; no historia completa</v>
      </c>
      <c r="O216" s="15"/>
      <c r="P216" s="15"/>
      <c r="Q216" s="15"/>
      <c r="R216" s="15"/>
      <c r="S216" s="15"/>
    </row>
    <row r="217" ht="36" customHeight="1">
      <c r="A217" s="15" t="str">
        <v>TPARE2020</v>
      </c>
      <c r="B217" s="15" t="str">
        <v>TPARE</v>
      </c>
      <c r="C217" s="15" t="str">
        <v>RE</v>
      </c>
      <c r="D217" s="15" t="str">
        <v>D / V</v>
      </c>
      <c r="E217" s="15" t="str">
        <v>REGULAR</v>
      </c>
      <c r="F217" s="15" t="str">
        <v>C</v>
      </c>
      <c r="G217" s="23" t="n">
        <v>2020</v>
      </c>
      <c r="H217" s="23" t="n">
        <v>2020</v>
      </c>
      <c r="I217" s="15" t="str">
        <v>I162S2C57J1V1 / I162S2C57J2V1</v>
      </c>
      <c r="J217" s="15" t="str">
        <v>PENDIENTE_EVIDENCIA</v>
      </c>
      <c r="K217" s="15" t="str">
        <v>UNIDO</v>
      </c>
      <c r="L217" s="15" t="str">
        <v>REGULAR (CANDIDATO)</v>
      </c>
      <c r="M217" s="15" t="str">
        <v>MAESTRO; TIPOS_V2; TIPOS_V3; MATRIZ; H002</v>
      </c>
      <c r="N217" s="15" t="str">
        <v>Ingreso observado solo en enlaces agregados H002g; no historia completa</v>
      </c>
      <c r="O217" s="15"/>
      <c r="P217" s="15"/>
      <c r="Q217" s="15"/>
      <c r="R217" s="15"/>
      <c r="S217" s="15"/>
    </row>
    <row r="218" ht="36" customHeight="1">
      <c r="A218" s="14" t="str">
        <v>TPARE20211</v>
      </c>
      <c r="B218" s="14" t="str">
        <v>TPARE</v>
      </c>
      <c r="C218" s="14" t="str">
        <v>RE</v>
      </c>
      <c r="D218" s="14" t="str">
        <v>D / V</v>
      </c>
      <c r="E218" s="14" t="str">
        <v>REGULAR</v>
      </c>
      <c r="F218" s="14" t="str">
        <v>C</v>
      </c>
      <c r="G218" s="21" t="n">
        <v>2021</v>
      </c>
      <c r="H218" s="21" t="n">
        <v>2022</v>
      </c>
      <c r="I218" s="14" t="str">
        <v>I162S2C57J1V1 / I162S2C57J2V1</v>
      </c>
      <c r="J218" s="14" t="str">
        <v>PENDIENTE_EVIDENCIA</v>
      </c>
      <c r="K218" s="14" t="str">
        <v>UNIDO</v>
      </c>
      <c r="L218" s="14" t="str">
        <v>REGULAR (CANDIDATO)</v>
      </c>
      <c r="M218" s="14" t="str">
        <v>MAESTRO; TIPOS_V2; TIPOS_V3; MATRIZ; H002</v>
      </c>
      <c r="N218" s="14" t="str">
        <v>Ingreso observado solo en enlaces agregados H002g; no historia completa</v>
      </c>
      <c r="O218" s="15"/>
      <c r="P218" s="15"/>
      <c r="Q218" s="15"/>
      <c r="R218" s="15"/>
      <c r="S218" s="15"/>
    </row>
    <row r="219" ht="36" customHeight="1">
      <c r="A219" s="15" t="str">
        <v>TPAREOL2020</v>
      </c>
      <c r="B219" s="15" t="str">
        <v>TPAREOL</v>
      </c>
      <c r="C219" s="15" t="str">
        <v>RE</v>
      </c>
      <c r="D219" s="15" t="str">
        <v>O</v>
      </c>
      <c r="E219" s="15" t="str">
        <v>REGULAR</v>
      </c>
      <c r="F219" s="15" t="str">
        <v>C</v>
      </c>
      <c r="G219" s="23" t="n">
        <v>2020</v>
      </c>
      <c r="H219" s="23" t="n">
        <v>2020</v>
      </c>
      <c r="I219" s="15" t="str">
        <v>I162S2C57J4V1</v>
      </c>
      <c r="J219" s="15" t="str">
        <v>PENDIENTE_EVIDENCIA</v>
      </c>
      <c r="K219" s="15" t="str">
        <v>UNIDO</v>
      </c>
      <c r="L219" s="15" t="str">
        <v>REGULAR (CANDIDATO)</v>
      </c>
      <c r="M219" s="15" t="str">
        <v>MAESTRO; TIPOS_V2; TIPOS_V3; MATRIZ; H002</v>
      </c>
      <c r="N219" s="15" t="str">
        <v>Ingreso observado solo en enlaces agregados H002g; no historia completa</v>
      </c>
      <c r="O219" s="15"/>
      <c r="P219" s="15"/>
      <c r="Q219" s="15"/>
      <c r="R219" s="15"/>
      <c r="S219" s="15"/>
    </row>
    <row r="220" ht="36" customHeight="1">
      <c r="A220" s="14" t="str">
        <v>TPAREOL20211</v>
      </c>
      <c r="B220" s="14" t="str">
        <v>TPAREOL</v>
      </c>
      <c r="C220" s="14" t="str">
        <v>RE</v>
      </c>
      <c r="D220" s="14" t="str">
        <v>O</v>
      </c>
      <c r="E220" s="14" t="str">
        <v>REGULAR</v>
      </c>
      <c r="F220" s="14" t="str">
        <v>C</v>
      </c>
      <c r="G220" s="21" t="n">
        <v>2020</v>
      </c>
      <c r="H220" s="21" t="n">
        <v>2024</v>
      </c>
      <c r="I220" s="14" t="str">
        <v>I162S2C57J4V1</v>
      </c>
      <c r="J220" s="14" t="str">
        <v>PENDIENTE_EVIDENCIA</v>
      </c>
      <c r="K220" s="14" t="str">
        <v>UNIDO</v>
      </c>
      <c r="L220" s="14" t="str">
        <v>REGULAR (CANDIDATO)</v>
      </c>
      <c r="M220" s="14" t="str">
        <v>MAESTRO; TIPOS_V2; TIPOS_V3; MATRIZ; H002</v>
      </c>
      <c r="N220" s="14" t="str">
        <v>Ingreso observado solo en enlaces agregados H002g; no historia completa</v>
      </c>
      <c r="O220" s="15"/>
      <c r="P220" s="15"/>
      <c r="Q220" s="15"/>
      <c r="R220" s="15"/>
      <c r="S220" s="15"/>
    </row>
    <row r="221" ht="36" customHeight="1">
      <c r="A221" s="15" t="str">
        <v>TPAREOL20231</v>
      </c>
      <c r="B221" s="15" t="str">
        <v>TPAREOL</v>
      </c>
      <c r="C221" s="15" t="str">
        <v>RE</v>
      </c>
      <c r="D221" s="15" t="str">
        <v>O</v>
      </c>
      <c r="E221" s="15" t="str">
        <v>REGULAR</v>
      </c>
      <c r="F221" s="15" t="str">
        <v>C</v>
      </c>
      <c r="G221" s="23" t="n">
        <v>2023</v>
      </c>
      <c r="H221" s="23" t="n">
        <v>2023</v>
      </c>
      <c r="I221" s="15" t="str">
        <v>I162S2C57J4V1</v>
      </c>
      <c r="J221" s="15" t="str">
        <v>PENDIENTE_EVIDENCIA</v>
      </c>
      <c r="K221" s="15" t="str">
        <v>UNIDO</v>
      </c>
      <c r="L221" s="15" t="str">
        <v>REGULAR (CANDIDATO)</v>
      </c>
      <c r="M221" s="15" t="str">
        <v>MAESTRO; TIPOS_V2; TIPOS_V3; MATRIZ; H002</v>
      </c>
      <c r="N221" s="15" t="str">
        <v>Ingreso observado solo en enlaces agregados H002g; no historia completa</v>
      </c>
      <c r="O221" s="15"/>
      <c r="P221" s="15"/>
      <c r="Q221" s="15"/>
      <c r="R221" s="15"/>
      <c r="S221" s="15"/>
    </row>
    <row r="222" ht="36" customHeight="1">
      <c r="A222" s="14" t="str">
        <v>TPAS20241</v>
      </c>
      <c r="B222" s="14" t="str">
        <v>IINF / TPAS</v>
      </c>
      <c r="C222" s="14" t="str">
        <v>RE</v>
      </c>
      <c r="D222" s="14" t="str">
        <v>D / O / V</v>
      </c>
      <c r="E222" s="14" t="str">
        <v>REGULAR</v>
      </c>
      <c r="F222" s="14" t="str">
        <v>C</v>
      </c>
      <c r="G222" s="21" t="n">
        <v>2020</v>
      </c>
      <c r="H222" s="21" t="n">
        <v>2026</v>
      </c>
      <c r="I222" s="14" t="str">
        <v>I162S2C57J1V1 / I162S2C57J2V1 / I162S2C57J4V1</v>
      </c>
      <c r="J222" s="14" t="str">
        <v>PENDIENTE_EVIDENCIA</v>
      </c>
      <c r="K222" s="14" t="str">
        <v>UNIDO</v>
      </c>
      <c r="L222" s="14" t="str">
        <v>REGULAR (CANDIDATO)</v>
      </c>
      <c r="M222" s="14" t="str">
        <v>MAESTRO; TIPOS_V2; TIPOS_V3; MATRIZ; H002</v>
      </c>
      <c r="N222" s="14" t="str">
        <v>Ingreso observado solo en enlaces agregados H002g; no historia completa</v>
      </c>
      <c r="O222" s="15"/>
      <c r="P222" s="15"/>
      <c r="Q222" s="15"/>
      <c r="R222" s="15"/>
      <c r="S222" s="15"/>
    </row>
    <row r="223" ht="36" customHeight="1">
      <c r="A223" s="15" t="str">
        <v>TPASPASO</v>
      </c>
      <c r="B223" s="15" t="str">
        <v>E</v>
      </c>
      <c r="C223" s="15" t="str">
        <v>E</v>
      </c>
      <c r="D223" s="15" t="str">
        <v>O</v>
      </c>
      <c r="E223" s="15" t="str">
        <v>E</v>
      </c>
      <c r="F223" s="15" t="str">
        <v>E</v>
      </c>
      <c r="G223" s="23" t="str">
        <v>E</v>
      </c>
      <c r="H223" s="23" t="str">
        <v>E</v>
      </c>
      <c r="I223" s="15" t="str">
        <v>E</v>
      </c>
      <c r="J223" s="15" t="str">
        <v>SIN_CANDIDATO_EN_FUENTE_2026</v>
      </c>
      <c r="K223" s="15" t="str">
        <v>SIN_UNION</v>
      </c>
      <c r="L223" s="15" t="str">
        <v>E (CANDIDATO)</v>
      </c>
      <c r="M223" s="15" t="str">
        <v>MAESTRO; TIPOS_V2; TIPOS_V3; MATRIZ; H002</v>
      </c>
      <c r="N223" s="15" t="str">
        <v>Ingreso observado solo en enlaces agregados H002g; no historia completa</v>
      </c>
      <c r="O223" s="15"/>
      <c r="P223" s="15"/>
      <c r="Q223" s="15"/>
      <c r="R223" s="15"/>
      <c r="S223" s="15"/>
    </row>
    <row r="224" ht="36" customHeight="1">
      <c r="A224" s="14" t="str">
        <v>TPCPASO</v>
      </c>
      <c r="B224" s="14" t="str">
        <v>TTMREOL</v>
      </c>
      <c r="C224" s="14" t="str">
        <v>E</v>
      </c>
      <c r="D224" s="14" t="str">
        <v>D / O / V</v>
      </c>
      <c r="E224" s="14" t="str">
        <v>E</v>
      </c>
      <c r="F224" s="14" t="str">
        <v>E</v>
      </c>
      <c r="G224" s="21" t="str">
        <v>E</v>
      </c>
      <c r="H224" s="21" t="str">
        <v>E</v>
      </c>
      <c r="I224" s="14" t="str">
        <v>E</v>
      </c>
      <c r="J224" s="14" t="str">
        <v>SIN_CANDIDATO_EN_FUENTE_2026</v>
      </c>
      <c r="K224" s="14" t="str">
        <v>SIN_UNION</v>
      </c>
      <c r="L224" s="14" t="str">
        <v>E (CANDIDATO)</v>
      </c>
      <c r="M224" s="14" t="str">
        <v>MAESTRO; TIPOS_V2; TIPOS_V3; MATRIZ; H002</v>
      </c>
      <c r="N224" s="14" t="str">
        <v>Ingreso observado solo en enlaces agregados H002g; no historia completa</v>
      </c>
      <c r="O224" s="15"/>
      <c r="P224" s="15"/>
      <c r="Q224" s="15"/>
      <c r="R224" s="15"/>
      <c r="S224" s="15"/>
    </row>
    <row r="225" ht="36" customHeight="1">
      <c r="A225" s="15" t="str">
        <v>TPCRE20081</v>
      </c>
      <c r="B225" s="15" t="str">
        <v>TPCRE</v>
      </c>
      <c r="C225" s="15" t="str">
        <v>RE</v>
      </c>
      <c r="D225" s="15" t="str">
        <v>D / V</v>
      </c>
      <c r="E225" s="15" t="str">
        <v>REGULAR</v>
      </c>
      <c r="F225" s="15" t="str">
        <v>C</v>
      </c>
      <c r="G225" s="23" t="str">
        <v>E</v>
      </c>
      <c r="H225" s="23" t="str">
        <v>E</v>
      </c>
      <c r="I225" s="15" t="str">
        <v>E</v>
      </c>
      <c r="J225" s="15" t="str">
        <v>PENDIENTE_EVIDENCIA</v>
      </c>
      <c r="K225" s="15" t="str">
        <v>SIN_UNION</v>
      </c>
      <c r="L225" s="15" t="str">
        <v>REGULAR (CANDIDATO)</v>
      </c>
      <c r="M225" s="15" t="str">
        <v>MAESTRO; TIPOS_V2; TIPOS_V3; MATRIZ; H002</v>
      </c>
      <c r="N225" s="15" t="str">
        <v>Ingreso observado solo en enlaces agregados H002g; no historia completa</v>
      </c>
      <c r="O225" s="15"/>
      <c r="P225" s="15"/>
      <c r="Q225" s="15"/>
      <c r="R225" s="15"/>
      <c r="S225" s="15"/>
    </row>
    <row r="226" ht="36" customHeight="1">
      <c r="A226" s="14" t="str">
        <v>TPCRE20101</v>
      </c>
      <c r="B226" s="14" t="str">
        <v>TPCRE</v>
      </c>
      <c r="C226" s="14" t="str">
        <v>RE</v>
      </c>
      <c r="D226" s="14" t="str">
        <v>D / V</v>
      </c>
      <c r="E226" s="14" t="str">
        <v>REGULAR</v>
      </c>
      <c r="F226" s="14" t="str">
        <v>C</v>
      </c>
      <c r="G226" s="21" t="str">
        <v>E</v>
      </c>
      <c r="H226" s="21" t="str">
        <v>E</v>
      </c>
      <c r="I226" s="14" t="str">
        <v>E</v>
      </c>
      <c r="J226" s="14" t="str">
        <v>PENDIENTE_EVIDENCIA</v>
      </c>
      <c r="K226" s="14" t="str">
        <v>SIN_UNION</v>
      </c>
      <c r="L226" s="14" t="str">
        <v>REGULAR (CANDIDATO)</v>
      </c>
      <c r="M226" s="14" t="str">
        <v>MAESTRO; TIPOS_V2; TIPOS_V3; MATRIZ; H002</v>
      </c>
      <c r="N226" s="14" t="str">
        <v>Ingreso observado solo en enlaces agregados H002g; no historia completa</v>
      </c>
      <c r="O226" s="15"/>
      <c r="P226" s="15"/>
      <c r="Q226" s="15"/>
      <c r="R226" s="15"/>
      <c r="S226" s="15"/>
    </row>
    <row r="227" ht="36" customHeight="1">
      <c r="A227" s="15" t="str">
        <v>TPCRE20121</v>
      </c>
      <c r="B227" s="15" t="str">
        <v>TPCRE</v>
      </c>
      <c r="C227" s="15" t="str">
        <v>RE</v>
      </c>
      <c r="D227" s="15" t="str">
        <v>V / V </v>
      </c>
      <c r="E227" s="15" t="str">
        <v>REGULAR</v>
      </c>
      <c r="F227" s="15" t="str">
        <v>C</v>
      </c>
      <c r="G227" s="23" t="str">
        <v>E</v>
      </c>
      <c r="H227" s="23" t="str">
        <v>E</v>
      </c>
      <c r="I227" s="15" t="str">
        <v>E</v>
      </c>
      <c r="J227" s="15" t="str">
        <v>PENDIENTE_EVIDENCIA</v>
      </c>
      <c r="K227" s="15" t="str">
        <v>SIN_UNION</v>
      </c>
      <c r="L227" s="15" t="str">
        <v>REGULAR (CANDIDATO)</v>
      </c>
      <c r="M227" s="15" t="str">
        <v>MAESTRO; TIPOS_V2; TIPOS_V3; MATRIZ; H002</v>
      </c>
      <c r="N227" s="15" t="str">
        <v>Ingreso observado solo en enlaces agregados H002g; no historia completa</v>
      </c>
      <c r="O227" s="15"/>
      <c r="P227" s="15"/>
      <c r="Q227" s="15"/>
      <c r="R227" s="15"/>
      <c r="S227" s="15"/>
    </row>
    <row r="228" ht="36" customHeight="1">
      <c r="A228" s="14" t="str">
        <v>TPCRE20121V2</v>
      </c>
      <c r="B228" s="14" t="str">
        <v>TPCRE</v>
      </c>
      <c r="C228" s="14" t="str">
        <v>RE</v>
      </c>
      <c r="D228" s="14" t="str">
        <v>E</v>
      </c>
      <c r="E228" s="14" t="str">
        <v>REGULAR</v>
      </c>
      <c r="F228" s="14" t="str">
        <v>C</v>
      </c>
      <c r="G228" s="21" t="str">
        <v>E</v>
      </c>
      <c r="H228" s="21" t="str">
        <v>E</v>
      </c>
      <c r="I228" s="14" t="str">
        <v>E</v>
      </c>
      <c r="J228" s="14" t="str">
        <v>PENDIENTE_EVIDENCIA</v>
      </c>
      <c r="K228" s="14" t="str">
        <v>SIN_UNION</v>
      </c>
      <c r="L228" s="14" t="str">
        <v>REGULAR (CANDIDATO)</v>
      </c>
      <c r="M228" s="14" t="str">
        <v>MAESTRO; TIPOS_V2; TIPOS_V3; MATRIZ; H002</v>
      </c>
      <c r="N228" s="14" t="str">
        <v>Ingreso observado solo en enlaces agregados H002g; no historia completa</v>
      </c>
      <c r="O228" s="15"/>
      <c r="P228" s="15"/>
      <c r="Q228" s="15"/>
      <c r="R228" s="15"/>
      <c r="S228" s="15"/>
    </row>
    <row r="229" ht="36" customHeight="1">
      <c r="A229" s="15" t="str">
        <v>TPCRE20151</v>
      </c>
      <c r="B229" s="15" t="str">
        <v>TPCRE</v>
      </c>
      <c r="C229" s="15" t="str">
        <v>RE</v>
      </c>
      <c r="D229" s="15" t="str">
        <v>D / O / V</v>
      </c>
      <c r="E229" s="15" t="str">
        <v>REGULAR</v>
      </c>
      <c r="F229" s="15" t="str">
        <v>C</v>
      </c>
      <c r="G229" s="23" t="n">
        <v>2018</v>
      </c>
      <c r="H229" s="23" t="n">
        <v>2018</v>
      </c>
      <c r="I229" s="15" t="str">
        <v>I162S2C2J1V2</v>
      </c>
      <c r="J229" s="15" t="str">
        <v>PENDIENTE_EVIDENCIA</v>
      </c>
      <c r="K229" s="15" t="str">
        <v>UNIDO</v>
      </c>
      <c r="L229" s="15" t="str">
        <v>REGULAR (CANDIDATO)</v>
      </c>
      <c r="M229" s="15" t="str">
        <v>MAESTRO; TIPOS_V2; TIPOS_V3; MATRIZ; H002</v>
      </c>
      <c r="N229" s="15" t="str">
        <v>Ingreso observado solo en enlaces agregados H002g; no historia completa</v>
      </c>
      <c r="O229" s="15"/>
      <c r="P229" s="15"/>
      <c r="Q229" s="15"/>
      <c r="R229" s="15"/>
      <c r="S229" s="15"/>
    </row>
    <row r="230" ht="36" customHeight="1">
      <c r="A230" s="14" t="str">
        <v>TPCRE20191</v>
      </c>
      <c r="B230" s="14" t="str">
        <v>TPCRE</v>
      </c>
      <c r="C230" s="14" t="str">
        <v>RE</v>
      </c>
      <c r="D230" s="14" t="str">
        <v>D / V</v>
      </c>
      <c r="E230" s="14" t="str">
        <v>REGULAR</v>
      </c>
      <c r="F230" s="14" t="str">
        <v>C</v>
      </c>
      <c r="G230" s="21" t="n">
        <v>2019</v>
      </c>
      <c r="H230" s="21" t="n">
        <v>2019</v>
      </c>
      <c r="I230" s="14" t="str">
        <v>I162S2C2J1V2</v>
      </c>
      <c r="J230" s="14" t="str">
        <v>PENDIENTE_EVIDENCIA</v>
      </c>
      <c r="K230" s="14" t="str">
        <v>UNIDO</v>
      </c>
      <c r="L230" s="14" t="str">
        <v>REGULAR (CANDIDATO)</v>
      </c>
      <c r="M230" s="14" t="str">
        <v>MAESTRO; TIPOS_V2; TIPOS_V3; MATRIZ; H002</v>
      </c>
      <c r="N230" s="14" t="str">
        <v>Ingreso observado solo en enlaces agregados H002g; no historia completa</v>
      </c>
      <c r="O230" s="15"/>
      <c r="P230" s="15"/>
      <c r="Q230" s="15"/>
      <c r="R230" s="15"/>
      <c r="S230" s="15"/>
    </row>
    <row r="231" ht="36" customHeight="1">
      <c r="A231" s="15" t="str">
        <v>TPCREOL</v>
      </c>
      <c r="B231" s="15" t="str">
        <v>TPCREOL</v>
      </c>
      <c r="C231" s="15" t="str">
        <v>RE</v>
      </c>
      <c r="D231" s="15" t="str">
        <v>O</v>
      </c>
      <c r="E231" s="15" t="str">
        <v>REGULAR</v>
      </c>
      <c r="F231" s="15" t="str">
        <v>C</v>
      </c>
      <c r="G231" s="23" t="n">
        <v>2018</v>
      </c>
      <c r="H231" s="23" t="n">
        <v>2018</v>
      </c>
      <c r="I231" s="15" t="str">
        <v>I162S2C2J4V2</v>
      </c>
      <c r="J231" s="15" t="str">
        <v>PENDIENTE_EVIDENCIA</v>
      </c>
      <c r="K231" s="15" t="str">
        <v>UNIDO</v>
      </c>
      <c r="L231" s="15" t="str">
        <v>REGULAR (CANDIDATO)</v>
      </c>
      <c r="M231" s="15" t="str">
        <v>MAESTRO; TIPOS_V2; TIPOS_V3; MATRIZ; H002</v>
      </c>
      <c r="N231" s="15" t="str">
        <v>Ingreso observado solo en enlaces agregados H002g; no historia completa</v>
      </c>
      <c r="O231" s="15"/>
      <c r="P231" s="15"/>
      <c r="Q231" s="15"/>
      <c r="R231" s="15"/>
      <c r="S231" s="15"/>
    </row>
    <row r="232" ht="36" customHeight="1">
      <c r="A232" s="14" t="str">
        <v>TPCREOL20191</v>
      </c>
      <c r="B232" s="14" t="str">
        <v>TPCREOL</v>
      </c>
      <c r="C232" s="14" t="str">
        <v>RE</v>
      </c>
      <c r="D232" s="14" t="str">
        <v>O</v>
      </c>
      <c r="E232" s="14" t="str">
        <v>REGULAR</v>
      </c>
      <c r="F232" s="14" t="str">
        <v>C</v>
      </c>
      <c r="G232" s="21" t="str">
        <v>E</v>
      </c>
      <c r="H232" s="21" t="str">
        <v>E</v>
      </c>
      <c r="I232" s="14" t="str">
        <v>E</v>
      </c>
      <c r="J232" s="14" t="str">
        <v>PENDIENTE_EVIDENCIA</v>
      </c>
      <c r="K232" s="14" t="str">
        <v>SIN_UNION</v>
      </c>
      <c r="L232" s="14" t="str">
        <v>REGULAR (CANDIDATO)</v>
      </c>
      <c r="M232" s="14" t="str">
        <v>MAESTRO; TIPOS_V2; TIPOS_V3; MATRIZ; H002</v>
      </c>
      <c r="N232" s="14" t="str">
        <v>Ingreso observado solo en enlaces agregados H002g; no historia completa</v>
      </c>
      <c r="O232" s="15"/>
      <c r="P232" s="15"/>
      <c r="Q232" s="15"/>
      <c r="R232" s="15"/>
      <c r="S232" s="15"/>
    </row>
    <row r="233" ht="36" customHeight="1">
      <c r="A233" s="15" t="str">
        <v>TPRE20261</v>
      </c>
      <c r="B233" s="15" t="str">
        <v>TPRE</v>
      </c>
      <c r="C233" s="15" t="str">
        <v>RE</v>
      </c>
      <c r="D233" s="15" t="str">
        <v>O</v>
      </c>
      <c r="E233" s="15" t="str">
        <v>REGULAR</v>
      </c>
      <c r="F233" s="15" t="str">
        <v>C</v>
      </c>
      <c r="G233" s="23" t="n">
        <v>2026</v>
      </c>
      <c r="H233" s="23" t="n">
        <v>2026</v>
      </c>
      <c r="I233" s="15" t="str">
        <v>I162S2C10J4V1</v>
      </c>
      <c r="J233" s="15" t="str">
        <v>PENDIENTE_EVIDENCIA</v>
      </c>
      <c r="K233" s="15" t="str">
        <v>UNIDO</v>
      </c>
      <c r="L233" s="15" t="str">
        <v>REGULAR (CANDIDATO)</v>
      </c>
      <c r="M233" s="15" t="str">
        <v>MAESTRO; TIPOS_V2; TIPOS_V3; MATRIZ; H002</v>
      </c>
      <c r="N233" s="15" t="str">
        <v>Ingreso observado solo en enlaces agregados H002g; no historia completa</v>
      </c>
      <c r="O233" s="15"/>
      <c r="P233" s="15"/>
      <c r="Q233" s="15"/>
      <c r="R233" s="15"/>
      <c r="S233" s="15"/>
    </row>
    <row r="234" ht="36" customHeight="1">
      <c r="A234" s="14" t="str">
        <v>TPRPASO</v>
      </c>
      <c r="B234" s="14" t="str">
        <v>E</v>
      </c>
      <c r="C234" s="14" t="str">
        <v>E</v>
      </c>
      <c r="D234" s="14" t="str">
        <v>D</v>
      </c>
      <c r="E234" s="14" t="str">
        <v>E</v>
      </c>
      <c r="F234" s="14" t="str">
        <v>E</v>
      </c>
      <c r="G234" s="21" t="str">
        <v>E</v>
      </c>
      <c r="H234" s="21" t="str">
        <v>E</v>
      </c>
      <c r="I234" s="14" t="str">
        <v>E</v>
      </c>
      <c r="J234" s="14" t="str">
        <v>SIN_CANDIDATO_EN_FUENTE_2026</v>
      </c>
      <c r="K234" s="14" t="str">
        <v>SIN_UNION</v>
      </c>
      <c r="L234" s="14" t="str">
        <v>E (CANDIDATO)</v>
      </c>
      <c r="M234" s="14" t="str">
        <v>MAESTRO; TIPOS_V2; TIPOS_V3; MATRIZ; H002</v>
      </c>
      <c r="N234" s="14" t="str">
        <v>Ingreso observado solo en enlaces agregados H002g; no historia completa</v>
      </c>
      <c r="O234" s="15"/>
      <c r="P234" s="15"/>
      <c r="Q234" s="15"/>
      <c r="R234" s="15"/>
      <c r="S234" s="15"/>
    </row>
    <row r="235" ht="36" customHeight="1">
      <c r="A235" s="15" t="str">
        <v>TPRRE20131</v>
      </c>
      <c r="B235" s="15" t="str">
        <v>TPRRE</v>
      </c>
      <c r="C235" s="15" t="str">
        <v>RE</v>
      </c>
      <c r="D235" s="15" t="str">
        <v>D  / V</v>
      </c>
      <c r="E235" s="15" t="str">
        <v>E</v>
      </c>
      <c r="F235" s="15" t="str">
        <v>E</v>
      </c>
      <c r="G235" s="23" t="str">
        <v>E</v>
      </c>
      <c r="H235" s="23" t="str">
        <v>E</v>
      </c>
      <c r="I235" s="15" t="str">
        <v>I162S2C10J1V1 / I162S2C10J2V1</v>
      </c>
      <c r="J235" s="15" t="str">
        <v>SIN_CANDIDATO_EN_FUENTE_2026</v>
      </c>
      <c r="K235" s="15" t="str">
        <v>UNIDO</v>
      </c>
      <c r="L235" s="15" t="str">
        <v>E (CANDIDATO)</v>
      </c>
      <c r="M235" s="15" t="str">
        <v>MAESTRO; TIPOS_V2; TIPOS_V3; MATRIZ; H002</v>
      </c>
      <c r="N235" s="15" t="str">
        <v>Ingreso observado solo en enlaces agregados H002g; no historia completa</v>
      </c>
      <c r="O235" s="15"/>
      <c r="P235" s="15"/>
      <c r="Q235" s="15"/>
      <c r="R235" s="15"/>
      <c r="S235" s="15"/>
    </row>
    <row r="236" ht="36" customHeight="1">
      <c r="A236" s="14" t="str">
        <v>TRHU20261</v>
      </c>
      <c r="B236" s="14" t="str">
        <v>TRHU</v>
      </c>
      <c r="C236" s="14" t="str">
        <v>RE</v>
      </c>
      <c r="D236" s="14" t="str">
        <v>O</v>
      </c>
      <c r="E236" s="14" t="str">
        <v>REGULAR</v>
      </c>
      <c r="F236" s="14" t="str">
        <v>C</v>
      </c>
      <c r="G236" s="21" t="n">
        <v>2026</v>
      </c>
      <c r="H236" s="21" t="n">
        <v>2026</v>
      </c>
      <c r="I236" s="14" t="str">
        <v>I162S2C119J4V1</v>
      </c>
      <c r="J236" s="14" t="str">
        <v>PENDIENTE_EVIDENCIA</v>
      </c>
      <c r="K236" s="14" t="str">
        <v>UNIDO</v>
      </c>
      <c r="L236" s="14" t="str">
        <v>REGULAR (CANDIDATO)</v>
      </c>
      <c r="M236" s="14" t="str">
        <v>MAESTRO; TIPOS_V2; TIPOS_V3; MATRIZ; H002</v>
      </c>
      <c r="N236" s="14" t="str">
        <v>Ingreso observado solo en enlaces agregados H002g; no historia completa</v>
      </c>
      <c r="O236" s="15"/>
      <c r="P236" s="15"/>
      <c r="Q236" s="15"/>
      <c r="R236" s="15"/>
      <c r="S236" s="15"/>
    </row>
    <row r="237" ht="36" customHeight="1">
      <c r="A237" s="15" t="str">
        <v>TTMPASO</v>
      </c>
      <c r="B237" s="15" t="str">
        <v>E</v>
      </c>
      <c r="C237" s="15" t="str">
        <v>E</v>
      </c>
      <c r="D237" s="15" t="str">
        <v>D / O / V</v>
      </c>
      <c r="E237" s="15" t="str">
        <v>E</v>
      </c>
      <c r="F237" s="15" t="str">
        <v>E</v>
      </c>
      <c r="G237" s="23" t="str">
        <v>E</v>
      </c>
      <c r="H237" s="23" t="str">
        <v>E</v>
      </c>
      <c r="I237" s="15" t="str">
        <v>E</v>
      </c>
      <c r="J237" s="15" t="str">
        <v>SIN_CANDIDATO_EN_FUENTE_2026</v>
      </c>
      <c r="K237" s="15" t="str">
        <v>SIN_UNION</v>
      </c>
      <c r="L237" s="15" t="str">
        <v>E (CANDIDATO)</v>
      </c>
      <c r="M237" s="15" t="str">
        <v>MAESTRO; TIPOS_V2; TIPOS_V3; MATRIZ; H002</v>
      </c>
      <c r="N237" s="15" t="str">
        <v>Ingreso observado solo en enlaces agregados H002g; no historia completa</v>
      </c>
      <c r="O237" s="15"/>
      <c r="P237" s="15"/>
      <c r="Q237" s="15"/>
      <c r="R237" s="15"/>
      <c r="S237" s="15"/>
    </row>
    <row r="238" ht="36" customHeight="1">
      <c r="A238" s="14" t="str">
        <v>TTMRE20081</v>
      </c>
      <c r="B238" s="14" t="str">
        <v>E</v>
      </c>
      <c r="C238" s="14" t="str">
        <v>E</v>
      </c>
      <c r="D238" s="14" t="str">
        <v>V</v>
      </c>
      <c r="E238" s="14" t="str">
        <v>E</v>
      </c>
      <c r="F238" s="14" t="str">
        <v>E</v>
      </c>
      <c r="G238" s="21" t="str">
        <v>E</v>
      </c>
      <c r="H238" s="21" t="str">
        <v>E</v>
      </c>
      <c r="I238" s="14" t="str">
        <v>E</v>
      </c>
      <c r="J238" s="14" t="str">
        <v>SIN_CANDIDATO_EN_FUENTE_2026</v>
      </c>
      <c r="K238" s="14" t="str">
        <v>SIN_UNION</v>
      </c>
      <c r="L238" s="14" t="str">
        <v>E (CANDIDATO)</v>
      </c>
      <c r="M238" s="14" t="str">
        <v>MAESTRO; TIPOS_V2; TIPOS_V3; MATRIZ; H002</v>
      </c>
      <c r="N238" s="14" t="str">
        <v>Ingreso observado solo en enlaces agregados H002g; no historia completa</v>
      </c>
      <c r="O238" s="15"/>
      <c r="P238" s="15"/>
      <c r="Q238" s="15"/>
      <c r="R238" s="15"/>
      <c r="S238" s="15"/>
    </row>
    <row r="239" ht="36" customHeight="1">
      <c r="A239" s="15" t="str">
        <v>TTMRE20091</v>
      </c>
      <c r="B239" s="15" t="str">
        <v>TTMRE</v>
      </c>
      <c r="C239" s="15" t="str">
        <v>RE</v>
      </c>
      <c r="D239" s="15" t="str">
        <v>V</v>
      </c>
      <c r="E239" s="15" t="str">
        <v>REGULAR</v>
      </c>
      <c r="F239" s="15" t="str">
        <v>C</v>
      </c>
      <c r="G239" s="23" t="str">
        <v>E</v>
      </c>
      <c r="H239" s="23" t="str">
        <v>E</v>
      </c>
      <c r="I239" s="15" t="str">
        <v>E</v>
      </c>
      <c r="J239" s="15" t="str">
        <v>PENDIENTE_EVIDENCIA</v>
      </c>
      <c r="K239" s="15" t="str">
        <v>SIN_UNION</v>
      </c>
      <c r="L239" s="15" t="str">
        <v>REGULAR (CANDIDATO)</v>
      </c>
      <c r="M239" s="15" t="str">
        <v>MAESTRO; TIPOS_V2; TIPOS_V3; MATRIZ; H002</v>
      </c>
      <c r="N239" s="15" t="str">
        <v>Ingreso observado solo en enlaces agregados H002g; no historia completa</v>
      </c>
      <c r="O239" s="15"/>
      <c r="P239" s="15"/>
      <c r="Q239" s="15"/>
      <c r="R239" s="15"/>
      <c r="S239" s="15"/>
    </row>
    <row r="240" ht="36" customHeight="1">
      <c r="A240" s="14" t="str">
        <v>TTMRE20101</v>
      </c>
      <c r="B240" s="14" t="str">
        <v>TTMRE</v>
      </c>
      <c r="C240" s="14" t="str">
        <v>RE</v>
      </c>
      <c r="D240" s="14" t="str">
        <v>D / V</v>
      </c>
      <c r="E240" s="14" t="str">
        <v>REGULAR</v>
      </c>
      <c r="F240" s="14" t="str">
        <v>C</v>
      </c>
      <c r="G240" s="21" t="str">
        <v>E</v>
      </c>
      <c r="H240" s="21" t="str">
        <v>E</v>
      </c>
      <c r="I240" s="14" t="str">
        <v>E</v>
      </c>
      <c r="J240" s="14" t="str">
        <v>PENDIENTE_EVIDENCIA</v>
      </c>
      <c r="K240" s="14" t="str">
        <v>SIN_UNION</v>
      </c>
      <c r="L240" s="14" t="str">
        <v>REGULAR (CANDIDATO)</v>
      </c>
      <c r="M240" s="14" t="str">
        <v>MAESTRO; TIPOS_V2; TIPOS_V3; MATRIZ; H002</v>
      </c>
      <c r="N240" s="14" t="str">
        <v>Ingreso observado solo en enlaces agregados H002g; no historia completa</v>
      </c>
      <c r="O240" s="15"/>
      <c r="P240" s="15"/>
      <c r="Q240" s="15"/>
      <c r="R240" s="15"/>
      <c r="S240" s="15"/>
    </row>
    <row r="241" ht="36" customHeight="1">
      <c r="A241" s="15" t="str">
        <v>TTMRE20121</v>
      </c>
      <c r="B241" s="15" t="str">
        <v>TTMRE</v>
      </c>
      <c r="C241" s="15" t="str">
        <v>RE</v>
      </c>
      <c r="D241" s="15" t="str">
        <v>D / D  / V</v>
      </c>
      <c r="E241" s="15" t="str">
        <v>REGULAR</v>
      </c>
      <c r="F241" s="15" t="str">
        <v>C</v>
      </c>
      <c r="G241" s="23" t="str">
        <v>E</v>
      </c>
      <c r="H241" s="23" t="str">
        <v>E</v>
      </c>
      <c r="I241" s="15" t="str">
        <v>E</v>
      </c>
      <c r="J241" s="15" t="str">
        <v>PENDIENTE_EVIDENCIA</v>
      </c>
      <c r="K241" s="15" t="str">
        <v>SIN_UNION</v>
      </c>
      <c r="L241" s="15" t="str">
        <v>REGULAR (CANDIDATO)</v>
      </c>
      <c r="M241" s="15" t="str">
        <v>MAESTRO; TIPOS_V2; TIPOS_V3; MATRIZ; H002</v>
      </c>
      <c r="N241" s="15" t="str">
        <v>Ingreso observado solo en enlaces agregados H002g; no historia completa</v>
      </c>
      <c r="O241" s="15"/>
      <c r="P241" s="15"/>
      <c r="Q241" s="15"/>
      <c r="R241" s="15"/>
      <c r="S241" s="15"/>
    </row>
    <row r="242" ht="36" customHeight="1">
      <c r="A242" s="14" t="str">
        <v>TTMRE20121V2</v>
      </c>
      <c r="B242" s="14" t="str">
        <v>TTMRE</v>
      </c>
      <c r="C242" s="14" t="str">
        <v>RE</v>
      </c>
      <c r="D242" s="14" t="str">
        <v>E</v>
      </c>
      <c r="E242" s="14" t="str">
        <v>REGULAR</v>
      </c>
      <c r="F242" s="14" t="str">
        <v>C</v>
      </c>
      <c r="G242" s="21" t="str">
        <v>E</v>
      </c>
      <c r="H242" s="21" t="str">
        <v>E</v>
      </c>
      <c r="I242" s="14" t="str">
        <v>E</v>
      </c>
      <c r="J242" s="14" t="str">
        <v>PENDIENTE_EVIDENCIA</v>
      </c>
      <c r="K242" s="14" t="str">
        <v>SIN_UNION</v>
      </c>
      <c r="L242" s="14" t="str">
        <v>REGULAR (CANDIDATO)</v>
      </c>
      <c r="M242" s="14" t="str">
        <v>MAESTRO; TIPOS_V2; TIPOS_V3; MATRIZ; H002</v>
      </c>
      <c r="N242" s="14" t="str">
        <v>Ingreso observado solo en enlaces agregados H002g; no historia completa</v>
      </c>
      <c r="O242" s="15"/>
      <c r="P242" s="15"/>
      <c r="Q242" s="15"/>
      <c r="R242" s="15"/>
      <c r="S242" s="15"/>
    </row>
    <row r="243" ht="36" customHeight="1">
      <c r="A243" s="15" t="str">
        <v>TTMRE20161</v>
      </c>
      <c r="B243" s="15" t="str">
        <v>TTMRE</v>
      </c>
      <c r="C243" s="15" t="str">
        <v>RE</v>
      </c>
      <c r="D243" s="15" t="str">
        <v>D / V</v>
      </c>
      <c r="E243" s="15" t="str">
        <v>REGULAR</v>
      </c>
      <c r="F243" s="15" t="str">
        <v>C</v>
      </c>
      <c r="G243" s="23" t="n">
        <v>2015</v>
      </c>
      <c r="H243" s="23" t="n">
        <v>2015</v>
      </c>
      <c r="I243" s="15" t="str">
        <v>I162S2C6J2V1</v>
      </c>
      <c r="J243" s="15" t="str">
        <v>PENDIENTE_EVIDENCIA</v>
      </c>
      <c r="K243" s="15" t="str">
        <v>UNIDO</v>
      </c>
      <c r="L243" s="15" t="str">
        <v>REGULAR (CANDIDATO)</v>
      </c>
      <c r="M243" s="15" t="str">
        <v>MAESTRO; TIPOS_V2; TIPOS_V3; MATRIZ; H002</v>
      </c>
      <c r="N243" s="15" t="str">
        <v>Ingreso observado solo en enlaces agregados H002g; no historia completa</v>
      </c>
      <c r="O243" s="15"/>
      <c r="P243" s="15"/>
      <c r="Q243" s="15"/>
      <c r="R243" s="15"/>
      <c r="S243" s="15"/>
    </row>
    <row r="244" ht="36" customHeight="1">
      <c r="A244" s="14" t="str">
        <v>TTMRE20191</v>
      </c>
      <c r="B244" s="14" t="str">
        <v>TTMRE</v>
      </c>
      <c r="C244" s="14" t="str">
        <v>RE</v>
      </c>
      <c r="D244" s="14" t="str">
        <v>D / V</v>
      </c>
      <c r="E244" s="14" t="str">
        <v>REGULAR</v>
      </c>
      <c r="F244" s="14" t="str">
        <v>C</v>
      </c>
      <c r="G244" s="21" t="n">
        <v>2017</v>
      </c>
      <c r="H244" s="21" t="n">
        <v>2020</v>
      </c>
      <c r="I244" s="14" t="str">
        <v>I162S2C6J1V2 / I162S2C6J2V2</v>
      </c>
      <c r="J244" s="14" t="str">
        <v>PENDIENTE_EVIDENCIA</v>
      </c>
      <c r="K244" s="14" t="str">
        <v>UNIDO</v>
      </c>
      <c r="L244" s="14" t="str">
        <v>REGULAR (CANDIDATO)</v>
      </c>
      <c r="M244" s="14" t="str">
        <v>MAESTRO; TIPOS_V2; TIPOS_V3; MATRIZ; H002</v>
      </c>
      <c r="N244" s="14" t="str">
        <v>Ingreso observado solo en enlaces agregados H002g; no historia completa</v>
      </c>
      <c r="O244" s="15"/>
      <c r="P244" s="15"/>
      <c r="Q244" s="15"/>
      <c r="R244" s="15"/>
      <c r="S244" s="15"/>
    </row>
    <row r="245" ht="36" customHeight="1">
      <c r="A245" s="15" t="str">
        <v>TTMRE20211</v>
      </c>
      <c r="B245" s="15" t="str">
        <v>TTMRE</v>
      </c>
      <c r="C245" s="15" t="str">
        <v>RE</v>
      </c>
      <c r="D245" s="15" t="str">
        <v>D / V</v>
      </c>
      <c r="E245" s="15" t="str">
        <v>REGULAR</v>
      </c>
      <c r="F245" s="15" t="str">
        <v>C</v>
      </c>
      <c r="G245" s="23" t="n">
        <v>2021</v>
      </c>
      <c r="H245" s="23" t="n">
        <v>2022</v>
      </c>
      <c r="I245" s="15" t="str">
        <v>I162S2C6J1V1 / I162S2C6J1V2 / I162S2C6J2V1 / I162S2C6J2V2</v>
      </c>
      <c r="J245" s="15" t="str">
        <v>PENDIENTE_EVIDENCIA</v>
      </c>
      <c r="K245" s="15" t="str">
        <v>UNIDO</v>
      </c>
      <c r="L245" s="15" t="str">
        <v>REGULAR (CANDIDATO)</v>
      </c>
      <c r="M245" s="15" t="str">
        <v>MAESTRO; TIPOS_V2; TIPOS_V3; MATRIZ; H002</v>
      </c>
      <c r="N245" s="15" t="str">
        <v>Ingreso observado solo en enlaces agregados H002g; no historia completa</v>
      </c>
      <c r="O245" s="15"/>
      <c r="P245" s="15"/>
      <c r="Q245" s="15"/>
      <c r="R245" s="15"/>
      <c r="S245" s="15"/>
    </row>
    <row r="246" ht="36" customHeight="1">
      <c r="A246" s="14" t="str">
        <v>TTMREOL</v>
      </c>
      <c r="B246" s="14" t="str">
        <v>TTMREOL</v>
      </c>
      <c r="C246" s="14" t="str">
        <v>RE</v>
      </c>
      <c r="D246" s="14" t="str">
        <v>O</v>
      </c>
      <c r="E246" s="14" t="str">
        <v>REGULAR</v>
      </c>
      <c r="F246" s="14" t="str">
        <v>C</v>
      </c>
      <c r="G246" s="21" t="n">
        <v>2018</v>
      </c>
      <c r="H246" s="21" t="n">
        <v>2018</v>
      </c>
      <c r="I246" s="14" t="str">
        <v>I162S2C6J4V2</v>
      </c>
      <c r="J246" s="14" t="str">
        <v>PENDIENTE_EVIDENCIA</v>
      </c>
      <c r="K246" s="14" t="str">
        <v>UNIDO</v>
      </c>
      <c r="L246" s="14" t="str">
        <v>REGULAR (CANDIDATO)</v>
      </c>
      <c r="M246" s="14" t="str">
        <v>MAESTRO; TIPOS_V2; TIPOS_V3; MATRIZ; H002</v>
      </c>
      <c r="N246" s="14" t="str">
        <v>Ingreso observado solo en enlaces agregados H002g; no historia completa</v>
      </c>
      <c r="O246" s="15"/>
      <c r="P246" s="15"/>
      <c r="Q246" s="15"/>
      <c r="R246" s="15"/>
      <c r="S246" s="15"/>
    </row>
    <row r="247" ht="36" customHeight="1">
      <c r="A247" s="15" t="str">
        <v>TTMREOL20191</v>
      </c>
      <c r="B247" s="15" t="str">
        <v>TTMREOL</v>
      </c>
      <c r="C247" s="15" t="str">
        <v>RE</v>
      </c>
      <c r="D247" s="15" t="str">
        <v>O</v>
      </c>
      <c r="E247" s="15" t="str">
        <v>REGULAR</v>
      </c>
      <c r="F247" s="15" t="str">
        <v>C</v>
      </c>
      <c r="G247" s="23" t="n">
        <v>2017</v>
      </c>
      <c r="H247" s="23" t="n">
        <v>2020</v>
      </c>
      <c r="I247" s="15" t="str">
        <v>I162S2C6J4V2</v>
      </c>
      <c r="J247" s="15" t="str">
        <v>PENDIENTE_EVIDENCIA</v>
      </c>
      <c r="K247" s="15" t="str">
        <v>UNIDO</v>
      </c>
      <c r="L247" s="15" t="str">
        <v>REGULAR (CANDIDATO)</v>
      </c>
      <c r="M247" s="15" t="str">
        <v>MAESTRO; TIPOS_V2; TIPOS_V3; MATRIZ; H002</v>
      </c>
      <c r="N247" s="15" t="str">
        <v>Ingreso observado solo en enlaces agregados H002g; no historia completa</v>
      </c>
      <c r="O247" s="15"/>
      <c r="P247" s="15"/>
      <c r="Q247" s="15"/>
      <c r="R247" s="15"/>
      <c r="S247" s="15"/>
    </row>
    <row r="248" ht="36" customHeight="1">
      <c r="A248" s="14" t="str">
        <v>TTMREOL20211</v>
      </c>
      <c r="B248" s="14" t="str">
        <v>TTMREOL</v>
      </c>
      <c r="C248" s="14" t="str">
        <v>RE</v>
      </c>
      <c r="D248" s="14" t="str">
        <v>O</v>
      </c>
      <c r="E248" s="14" t="str">
        <v>REGULAR</v>
      </c>
      <c r="F248" s="14" t="str">
        <v>C</v>
      </c>
      <c r="G248" s="21" t="n">
        <v>2014</v>
      </c>
      <c r="H248" s="21" t="n">
        <v>2022</v>
      </c>
      <c r="I248" s="14" t="str">
        <v>I162S2C6J4V2</v>
      </c>
      <c r="J248" s="14" t="str">
        <v>PENDIENTE_EVIDENCIA</v>
      </c>
      <c r="K248" s="14" t="str">
        <v>UNIDO</v>
      </c>
      <c r="L248" s="14" t="str">
        <v>REGULAR (CANDIDATO)</v>
      </c>
      <c r="M248" s="14" t="str">
        <v>MAESTRO; TIPOS_V2; TIPOS_V3; MATRIZ; H002</v>
      </c>
      <c r="N248" s="14" t="str">
        <v>Ingreso observado solo en enlaces agregados H002g; no historia completa</v>
      </c>
      <c r="O248" s="15"/>
      <c r="P248" s="15"/>
      <c r="Q248" s="15"/>
      <c r="R248" s="15"/>
      <c r="S248" s="15"/>
    </row>
    <row r="249" ht="36" customHeight="1">
      <c r="A249" s="15" t="str">
        <v>TTMREOL20231</v>
      </c>
      <c r="B249" s="15" t="str">
        <v>TTMREOL</v>
      </c>
      <c r="C249" s="15" t="str">
        <v>RE</v>
      </c>
      <c r="D249" s="15" t="str">
        <v>O</v>
      </c>
      <c r="E249" s="15" t="str">
        <v>REGULAR</v>
      </c>
      <c r="F249" s="15" t="str">
        <v>C</v>
      </c>
      <c r="G249" s="23" t="n">
        <v>2023</v>
      </c>
      <c r="H249" s="23" t="n">
        <v>2023</v>
      </c>
      <c r="I249" s="15" t="str">
        <v>I162S2C6J4V2</v>
      </c>
      <c r="J249" s="15" t="str">
        <v>PENDIENTE_EVIDENCIA</v>
      </c>
      <c r="K249" s="15" t="str">
        <v>UNIDO</v>
      </c>
      <c r="L249" s="15" t="str">
        <v>REGULAR (CANDIDATO)</v>
      </c>
      <c r="M249" s="15" t="str">
        <v>MAESTRO; TIPOS_V2; TIPOS_V3; MATRIZ; H002</v>
      </c>
      <c r="N249" s="15" t="str">
        <v>Ingreso observado solo en enlaces agregados H002g; no historia completa</v>
      </c>
      <c r="O249" s="15"/>
      <c r="P249" s="15"/>
      <c r="Q249" s="15"/>
      <c r="R249" s="15"/>
      <c r="S249" s="15"/>
    </row>
  </sheetData>
  <mergeCells>
    <mergeCell ref="A2:G2"/>
    <mergeCell ref="A3:G3"/>
    <mergeCell ref="A4:G4"/>
    <mergeCell ref="A12:G12"/>
  </mergeCells>
  <printOptions headings="0" gridLines="0"/>
  <pageMargins left="0.25" right="0.25" top="0.25" bottom="0.25" header="0" footer="0"/>
  <pageSetup paperSize="8" orientation="landscape" fitToWidth="1" fitToHeight="1"/>
  <tableParts count="4">
    <tablePart ns1:id="R6e54f6da6adb4409"/>
    <tablePart ns1:id="R6e42d82643cb464a"/>
    <tablePart ns1:id="R3675b160d45d4b65"/>
    <tablePart ns1:id="R3e96605adb534904"/>
  </tableParts>
</worksheet>
</file>

<file path=xl/worksheets/sheet6.xml><?xml version="1.0" encoding="utf-8"?>
<worksheet xmlns="http://schemas.openxmlformats.org/spreadsheetml/2006/main" xmlns:ns1="http://schemas.openxmlformats.org/officeDocument/2006/relationships">
  <sheetPr>
    <tabColor rgb="FF102B42"/>
    <pageSetUpPr fitToPage="1"/>
  </sheetPr>
  <sheetViews>
    <sheetView showGridLines="0" workbookViewId="0">
      <pane xSplit="1" ySplit="5" topLeftCell="B6" activePane="bottomRight" state="frozen"/>
    </sheetView>
  </sheetViews>
  <sheetFormatPr defaultRowHeight="15"/>
  <cols>
    <col min="1" max="1" width="18" hidden="0" customWidth="1"/>
    <col min="2" max="2" width="16" hidden="0" customWidth="1"/>
    <col min="3" max="3" width="16" hidden="0" customWidth="1"/>
    <col min="4" max="4" width="18" hidden="0" customWidth="1"/>
    <col min="5" max="5" width="18" hidden="0" customWidth="1"/>
    <col min="6" max="6" width="16" hidden="0" customWidth="1"/>
    <col min="7" max="7" width="18" hidden="0" customWidth="1"/>
    <col min="8" max="8" width="4" hidden="0" customWidth="1"/>
    <col min="9" max="9" width="43" hidden="0" customWidth="1"/>
    <col min="10" max="10" width="16" hidden="0" customWidth="1"/>
    <col min="11" max="11" width="4" hidden="0" customWidth="1"/>
    <col min="12" max="12" width="43" hidden="0" customWidth="1"/>
    <col min="13" max="13" width="26" hidden="0" customWidth="1"/>
    <col min="14" max="14" width="20" hidden="0" customWidth="1"/>
    <col min="15" max="15" width="48" hidden="0" customWidth="1"/>
    <col min="16" max="16" width="55" hidden="0" customWidth="1"/>
    <col min="17" max="17" width="40" hidden="0" customWidth="1"/>
    <col min="18" max="18" width="65" hidden="0" customWidth="1"/>
    <col min="19" max="19" width="16" hidden="0" customWidth="1"/>
    <col min="20" max="20" width="18" hidden="0" customWidth="1"/>
    <col min="21" max="21" width="18" hidden="0" customWidth="1"/>
    <col min="22" max="22" width="40" hidden="0" customWidth="1"/>
    <col min="23" max="23" width="18" hidden="0" customWidth="1"/>
    <col min="24" max="24" width="28" hidden="0" customWidth="1"/>
    <col min="25" max="25" width="4" hidden="0" customWidth="1"/>
    <col min="26" max="26" width="4" hidden="0" customWidth="1"/>
    <col min="27" max="27" width="22" hidden="0" customWidth="1"/>
    <col min="28" max="28" width="100" hidden="0" customWidth="1"/>
    <col min="29" max="29" width="72" hidden="0" customWidth="1"/>
    <col min="30" max="30" width="25" hidden="0" customWidth="1"/>
    <col min="31" max="31" width="48" hidden="0" customWidth="1"/>
    <col min="32" max="32" width="16" hidden="0" customWidth="1"/>
    <col min="33" max="33" width="16" hidden="0" customWidth="1"/>
    <col min="34" max="34" width="16" hidden="0" customWidth="1"/>
    <col min="35" max="35" width="16" hidden="0" customWidth="1"/>
    <col min="36" max="36" width="16" hidden="0" customWidth="1"/>
    <col min="37" max="37" width="16" hidden="0" customWidth="1"/>
    <col min="38" max="38" width="16" hidden="0" customWidth="1"/>
    <col min="39" max="39" width="16" hidden="0" customWidth="1"/>
    <col min="40" max="40" width="16" hidden="0" customWidth="1"/>
    <col min="41" max="41" width="48" hidden="0" customWidth="1"/>
    <col min="42" max="42" width="18" hidden="0" customWidth="1"/>
    <col min="43" max="43" width="28" hidden="0" customWidth="1"/>
    <col min="44" max="44" width="60" hidden="0" customWidth="1"/>
    <col min="45" max="45" width="45" hidden="0" customWidth="1"/>
    <col min="46" max="46" width="16" hidden="0" customWidth="1"/>
    <col min="47" max="47" width="13" hidden="0" customWidth="1"/>
    <col min="48" max="48" width="25" hidden="0" customWidth="1"/>
    <col min="49" max="49" width="27" hidden="0" customWidth="1"/>
    <col min="50" max="50" width="22" hidden="0" customWidth="1"/>
    <col min="51" max="51" width="25" hidden="0" customWidth="1"/>
    <col min="52" max="52" width="25" hidden="0" customWidth="1"/>
    <col min="53" max="53" width="32" hidden="0" customWidth="1"/>
    <col min="54" max="54" width="18" hidden="0" customWidth="1"/>
    <col min="55" max="55" width="46" hidden="0" customWidth="1"/>
    <col min="56" max="56" width="70" hidden="0" customWidth="1"/>
    <col min="57" max="57" width="80" hidden="0" customWidth="1"/>
    <col min="58" max="58" width="46" hidden="0" customWidth="1"/>
    <col min="59" max="59" width="20" hidden="0" customWidth="1"/>
    <col min="60" max="60" width="20" hidden="0" customWidth="1"/>
  </cols>
  <sheetData>
    <row r="1" ht="2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</row>
    <row r="2" ht="32" customHeight="1">
      <c r="A2" s="16" t="str">
        <v>IPSS · Cobertura del cruce y pendientes</v>
      </c>
      <c r="B2" s="16"/>
      <c r="C2" s="16"/>
      <c r="D2" s="16"/>
      <c r="E2" s="16"/>
      <c r="F2" s="16"/>
      <c r="G2" s="16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</row>
    <row r="3" ht="44" customHeight="1">
      <c r="A3" s="13" t="str">
        <v>Cobertura a expediente ≠ disponibilidad del plan anual. Uniones históricas B/C y catálogo 2027 C/D se distinguen; no certifican identidad curricular.</v>
      </c>
      <c r="B3" s="13" t="str">
        <v>Cobertura a expediente ≠ disponibilidad del plan anual. Uniones históricas B/C y catálogo 2027 C/D se distinguen; no certifican identidad curricular.</v>
      </c>
      <c r="C3" s="13" t="str">
        <v>Cobertura a expediente ≠ disponibilidad del plan anual. Uniones históricas B/C y catálogo 2027 C/D se distinguen; no certifican identidad curricular.</v>
      </c>
      <c r="D3" s="13" t="str">
        <v>Cobertura a expediente ≠ disponibilidad del plan anual. Uniones históricas B/C y catálogo 2027 C/D se distinguen; no certifican identidad curricular.</v>
      </c>
      <c r="E3" s="13" t="str">
        <v>Cobertura a expediente ≠ disponibilidad del plan anual. Uniones históricas B/C y catálogo 2027 C/D se distinguen; no certifican identidad curricular.</v>
      </c>
      <c r="F3" s="13" t="str">
        <v>Cobertura a expediente ≠ disponibilidad del plan anual. Uniones históricas B/C y catálogo 2027 C/D se distinguen; no certifican identidad curricular.</v>
      </c>
      <c r="G3" s="13" t="str">
        <v>Cobertura a expediente ≠ disponibilidad del plan anual. Uniones históricas B/C y catálogo 2027 C/D se distinguen; no certifican identidad curricular.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</row>
    <row r="4" ht="44" customHeight="1">
      <c r="A4" s="13" t="str">
        <v>Antes de 2022: solo SIES; cuadratura con foto actual UMAS cerrada E. No se suman SIES_INDIVIDUAL, MU_DATOS_ALUMNOS y CUADRATURA_TOTALES_C.</v>
      </c>
      <c r="B4" s="13" t="str">
        <v>Antes de 2022: solo SIES; cuadratura con foto actual UMAS cerrada E. No se suman SIES_INDIVIDUAL, MU_DATOS_ALUMNOS y CUADRATURA_TOTALES_C.</v>
      </c>
      <c r="C4" s="13" t="str">
        <v>Antes de 2022: solo SIES; cuadratura con foto actual UMAS cerrada E. No se suman SIES_INDIVIDUAL, MU_DATOS_ALUMNOS y CUADRATURA_TOTALES_C.</v>
      </c>
      <c r="D4" s="13" t="str">
        <v>Antes de 2022: solo SIES; cuadratura con foto actual UMAS cerrada E. No se suman SIES_INDIVIDUAL, MU_DATOS_ALUMNOS y CUADRATURA_TOTALES_C.</v>
      </c>
      <c r="E4" s="13" t="str">
        <v>Antes de 2022: solo SIES; cuadratura con foto actual UMAS cerrada E. No se suman SIES_INDIVIDUAL, MU_DATOS_ALUMNOS y CUADRATURA_TOTALES_C.</v>
      </c>
      <c r="F4" s="13" t="str">
        <v>Antes de 2022: solo SIES; cuadratura con foto actual UMAS cerrada E. No se suman SIES_INDIVIDUAL, MU_DATOS_ALUMNOS y CUADRATURA_TOTALES_C.</v>
      </c>
      <c r="G4" s="13" t="str">
        <v>Antes de 2022: solo SIES; cuadratura con foto actual UMAS cerrada E. No se suman SIES_INDIVIDUAL, MU_DATOS_ALUMNOS y CUADRATURA_TOTALES_C.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</row>
    <row r="5" ht="48" customHeight="1">
      <c r="A5" s="9" t="str">
        <v>Año</v>
      </c>
      <c r="B5" s="9" t="str">
        <v>Códigos MU</v>
      </c>
      <c r="C5" s="9" t="str">
        <v>Con enlace</v>
      </c>
      <c r="D5" s="9" t="str">
        <v>Matrículas MU</v>
      </c>
      <c r="E5" s="9" t="str">
        <v>Enlazadas</v>
      </c>
      <c r="F5" s="9" t="str">
        <v>% enlace</v>
      </c>
      <c r="G5" s="9" t="str">
        <v>Con plan</v>
      </c>
      <c r="H5" s="15"/>
      <c r="I5" s="9" t="str">
        <v>Motivo</v>
      </c>
      <c r="J5" s="9" t="str">
        <v>Códigos</v>
      </c>
      <c r="K5" s="15"/>
      <c r="L5" s="9" t="str">
        <v>Estado</v>
      </c>
      <c r="M5" s="9" t="str">
        <v>Códigos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9" t="str">
        <v>Clasificación de los 253</v>
      </c>
      <c r="AP5" s="9" t="str">
        <v>Matrículas-año</v>
      </c>
      <c r="AQ5" s="9" t="str">
        <v>Clase</v>
      </c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</row>
    <row r="6" ht="36" customHeight="1">
      <c r="A6" s="14" t="n">
        <v>2022</v>
      </c>
      <c r="B6" s="14" t="n">
        <v>26</v>
      </c>
      <c r="C6" s="14" t="n">
        <v>25</v>
      </c>
      <c r="D6" s="22" t="n">
        <v>1033</v>
      </c>
      <c r="E6" s="22" t="n">
        <v>988</v>
      </c>
      <c r="F6" s="29" t="n">
        <f>E6/D6</f>
        <v>0.956437560503388</v>
      </c>
      <c r="G6" s="22" t="n">
        <v>978</v>
      </c>
      <c r="H6" s="15"/>
      <c r="I6" s="14" t="str">
        <v>FUERA_ALCANCE</v>
      </c>
      <c r="J6" s="14" t="n">
        <f>COUNTIFS(Q15:Q183,I6)</f>
        <v>21</v>
      </c>
      <c r="K6" s="15"/>
      <c r="L6" s="14" t="str">
        <v>APROBADA_D_2027</v>
      </c>
      <c r="M6" s="14" t="n">
        <f>COUNTIFS(V15:V183,L6)</f>
        <v>13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4" t="str">
        <v>ERROR_DE_CARGA_SEGUN_MANUAL</v>
      </c>
      <c r="AP6" s="14" t="n">
        <f>SUMIFS(AR13:AR33,AO13:AO33,AO6)</f>
        <v>5</v>
      </c>
      <c r="AQ6" s="14" t="str">
        <v>A criterio; C contraste</v>
      </c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</row>
    <row r="7" ht="36" customHeight="1">
      <c r="A7" s="15" t="n">
        <v>2023</v>
      </c>
      <c r="B7" s="15" t="n">
        <v>21</v>
      </c>
      <c r="C7" s="15" t="n">
        <v>21</v>
      </c>
      <c r="D7" s="24" t="n">
        <v>1142</v>
      </c>
      <c r="E7" s="24" t="n">
        <v>1106</v>
      </c>
      <c r="F7" s="30" t="n">
        <f>E7/D7</f>
        <v>0.968476357267951</v>
      </c>
      <c r="G7" s="24" t="n">
        <v>1091</v>
      </c>
      <c r="H7" s="15"/>
      <c r="I7" s="15" t="str">
        <v>HISTORICO_SIN_MATRICULA_RECIENTE</v>
      </c>
      <c r="J7" s="15" t="n">
        <f>COUNTIFS(Q15:Q183,I7)</f>
        <v>6</v>
      </c>
      <c r="K7" s="15"/>
      <c r="L7" s="15" t="str">
        <v>CONTINUA</v>
      </c>
      <c r="M7" s="15" t="n">
        <f>COUNTIFS(V15:V183,L7)</f>
        <v>53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 t="str">
        <v>VERSION_POR_PLAN_O_ANIO</v>
      </c>
      <c r="AP7" s="15" t="n">
        <f>SUMIFS(AR13:AR33,AO13:AO33,AO7)</f>
        <v>36</v>
      </c>
      <c r="AQ7" s="15" t="str">
        <v>B/C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</row>
    <row r="8" ht="36" customHeight="1">
      <c r="A8" s="14" t="n">
        <v>2024</v>
      </c>
      <c r="B8" s="14" t="n">
        <v>27</v>
      </c>
      <c r="C8" s="14" t="n">
        <v>27</v>
      </c>
      <c r="D8" s="22" t="n">
        <v>1455</v>
      </c>
      <c r="E8" s="22" t="n">
        <v>1373</v>
      </c>
      <c r="F8" s="29" t="n">
        <f>E8/D8</f>
        <v>0.943642611683849</v>
      </c>
      <c r="G8" s="22" t="n">
        <v>1332</v>
      </c>
      <c r="H8" s="15"/>
      <c r="I8" s="14" t="str">
        <v>NUEVO_2027_SIN_ALUMNOS</v>
      </c>
      <c r="J8" s="14" t="n">
        <f>COUNTIFS(Q15:Q183,I8)</f>
        <v>37</v>
      </c>
      <c r="K8" s="15"/>
      <c r="L8" s="14" t="str">
        <v>FUERA_ALCANCE</v>
      </c>
      <c r="M8" s="14" t="n">
        <f>COUNTIFS(V15:V183,L8)</f>
        <v>21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4" t="str">
        <v>CORRECTO_TRASLADO_A_CONTINUIDAD</v>
      </c>
      <c r="AP8" s="14" t="n">
        <f>SUMIFS(AR13:AR33,AO13:AO33,AO8)</f>
        <v>210</v>
      </c>
      <c r="AQ8" s="14" t="str">
        <v>B/C</v>
      </c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</row>
    <row r="9" ht="36" customHeight="1">
      <c r="A9" s="15" t="n">
        <v>2025</v>
      </c>
      <c r="B9" s="15" t="n">
        <v>43</v>
      </c>
      <c r="C9" s="15" t="n">
        <v>42</v>
      </c>
      <c r="D9" s="24" t="n">
        <v>2371</v>
      </c>
      <c r="E9" s="24" t="n">
        <v>2224</v>
      </c>
      <c r="F9" s="30" t="n">
        <f>E9/D9</f>
        <v>0.938000843525938</v>
      </c>
      <c r="G9" s="24" t="n">
        <v>2115</v>
      </c>
      <c r="H9" s="15"/>
      <c r="I9" s="15" t="str">
        <v>SIN_ENLACE</v>
      </c>
      <c r="J9" s="15" t="n">
        <f>COUNTIFS(Q15:Q183,I9)</f>
        <v>6</v>
      </c>
      <c r="K9" s="15"/>
      <c r="L9" s="15" t="str">
        <v>HISTORICO_SIN_MATRICULA_RECIENTE</v>
      </c>
      <c r="M9" s="15" t="n">
        <f>COUNTIFS(V15:V183,L9)</f>
        <v>6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 t="str">
        <v>NO_EVALUABLE</v>
      </c>
      <c r="AP9" s="15" t="n">
        <f>SUMIFS(AR13:AR33,AO13:AO33,AO9)</f>
        <v>2</v>
      </c>
      <c r="AQ9" s="15" t="str">
        <v>E</v>
      </c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</row>
    <row r="10" ht="36" customHeight="1">
      <c r="A10" s="14" t="n">
        <v>2026</v>
      </c>
      <c r="B10" s="14" t="n">
        <v>61</v>
      </c>
      <c r="C10" s="14" t="n">
        <v>60</v>
      </c>
      <c r="D10" s="22" t="n">
        <v>3145</v>
      </c>
      <c r="E10" s="22" t="n">
        <v>3123</v>
      </c>
      <c r="F10" s="29" t="n">
        <f>E10/D10</f>
        <v>0.993004769475358</v>
      </c>
      <c r="G10" s="22" t="n">
        <v>2908</v>
      </c>
      <c r="H10" s="15"/>
      <c r="I10" s="14" t="str">
        <v>SOLO_ANTES_2022</v>
      </c>
      <c r="J10" s="14" t="n">
        <f>COUNTIFS(Q15:Q183,I10)</f>
        <v>14</v>
      </c>
      <c r="K10" s="15"/>
      <c r="L10" s="14" t="str">
        <v>NUEVO_2027_SIN_PLAN_E</v>
      </c>
      <c r="M10" s="14" t="n">
        <f>COUNTIFS(V15:V183,L10)</f>
        <v>37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</row>
    <row r="11" ht="36" customHeight="1">
      <c r="A11" s="15" t="str">
        <v>2022–2026</v>
      </c>
      <c r="B11" s="15" t="n">
        <f>COUNTIFS(S15:S183,"&gt;0")</f>
        <v>74</v>
      </c>
      <c r="C11" s="15" t="n">
        <f>COUNTIFS(T15:T183,"&gt;0")</f>
        <v>72</v>
      </c>
      <c r="D11" s="24" t="n">
        <f>SUM(S15:S183)</f>
        <v>9146</v>
      </c>
      <c r="E11" s="24" t="n">
        <f>SUM(T15:T183)</f>
        <v>8814</v>
      </c>
      <c r="F11" s="30" t="n">
        <f>E11/D11</f>
        <v>0.963699978132517</v>
      </c>
      <c r="G11" s="24" t="n">
        <f>SUM(U15:U183)</f>
        <v>8424</v>
      </c>
      <c r="H11" s="15"/>
      <c r="I11" s="15" t="str">
        <v>UNIDO</v>
      </c>
      <c r="J11" s="15" t="n">
        <f>COUNTIFS(Q15:Q183,I11)</f>
        <v>85</v>
      </c>
      <c r="K11" s="15"/>
      <c r="L11" s="15" t="str">
        <v>VERSION_MULTIPLE_RESUELTA</v>
      </c>
      <c r="M11" s="15" t="n">
        <f>COUNTIFS(V15:V183,L11)</f>
        <v>31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</row>
    <row r="12" ht="48" customHeight="1">
      <c r="A12" s="13" t="str">
        <v>Detalle por código desde M14; fuentes con rutas y hashes en AA16. La cobertura se mide sobre matrículas-año seleccionadas.</v>
      </c>
      <c r="B12" s="13" t="str">
        <v>Detalle por código desde M14; fuentes con rutas y hashes en AA16. La cobertura se mide sobre matrículas-año seleccionadas.</v>
      </c>
      <c r="C12" s="13" t="str">
        <v>Detalle por código desde M14; fuentes con rutas y hashes en AA16. La cobertura se mide sobre matrículas-año seleccionadas.</v>
      </c>
      <c r="D12" s="13" t="str">
        <v>Detalle por código desde M14; fuentes con rutas y hashes en AA16. La cobertura se mide sobre matrículas-año seleccionadas.</v>
      </c>
      <c r="E12" s="13" t="str">
        <v>Detalle por código desde M14; fuentes con rutas y hashes en AA16. La cobertura se mide sobre matrículas-año seleccionadas.</v>
      </c>
      <c r="F12" s="13" t="str">
        <v>Detalle por código desde M14; fuentes con rutas y hashes en AA16. La cobertura se mide sobre matrículas-año seleccionadas.</v>
      </c>
      <c r="G12" s="13" t="str">
        <v>Detalle por código desde M14; fuentes con rutas y hashes en AA16. La cobertura se mide sobre matrículas-año seleccionadas.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9" t="str">
        <v>Clasificación</v>
      </c>
      <c r="AP12" s="9" t="str">
        <v>Familia</v>
      </c>
      <c r="AQ12" s="9" t="str">
        <v>Año</v>
      </c>
      <c r="AR12" s="9" t="str">
        <v>Matrículas-año</v>
      </c>
      <c r="AS12" s="9" t="str">
        <v>Alcance</v>
      </c>
      <c r="AT12" s="15"/>
      <c r="AU12" s="9" t="str">
        <v>Año</v>
      </c>
      <c r="AV12" s="9" t="str">
        <v>Familia</v>
      </c>
      <c r="AW12" s="9" t="str">
        <v>Plan UMAS</v>
      </c>
      <c r="AX12" s="9" t="str">
        <v>Grupo</v>
      </c>
      <c r="AY12" s="9" t="str">
        <v>Código informado</v>
      </c>
      <c r="AZ12" s="9" t="str">
        <v>Código comparado H002j</v>
      </c>
      <c r="BA12" s="9" t="str">
        <v>Tipo plan diagnóstico</v>
      </c>
      <c r="BB12" s="9" t="str">
        <v>Matrículas-año</v>
      </c>
      <c r="BC12" s="9" t="str">
        <v>Clasificación</v>
      </c>
      <c r="BD12" s="9" t="str">
        <v>Clase</v>
      </c>
      <c r="BE12" s="9" t="str">
        <v>Fundamento / límite</v>
      </c>
      <c r="BF12" s="9" t="str">
        <v>Etiqueta anterior H005b</v>
      </c>
      <c r="BG12" s="9" t="str">
        <v>Tipo UMAS v2</v>
      </c>
      <c r="BH12" s="9" t="str">
        <v>Tipo SIES anual</v>
      </c>
    </row>
    <row r="13" ht="36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4" t="str">
        <v>CORRECTO_TRASLADO_A_CONTINUIDAD</v>
      </c>
      <c r="AP13" s="14" t="str">
        <v>I162S2C1J4</v>
      </c>
      <c r="AQ13" s="21" t="n">
        <v>2025</v>
      </c>
      <c r="AR13" s="14" t="n">
        <v>33</v>
      </c>
      <c r="AS13" s="14" t="str">
        <v>Clasificación H005c; tipo UMAS v2 y SIES anual</v>
      </c>
      <c r="AT13" s="15"/>
      <c r="AU13" s="21" t="n">
        <v>2023</v>
      </c>
      <c r="AV13" s="14" t="str">
        <v>I162S2C1J4</v>
      </c>
      <c r="AW13" s="14" t="str">
        <v>IECIREOL20201</v>
      </c>
      <c r="AX13" s="14" t="str">
        <v>ANTIGUO</v>
      </c>
      <c r="AY13" s="14" t="str">
        <v>I162S2C1J4V2</v>
      </c>
      <c r="AZ13" s="14" t="str">
        <v>I162S2C1J4V1</v>
      </c>
      <c r="BA13" s="14" t="str">
        <v>E</v>
      </c>
      <c r="BB13" s="14" t="n">
        <v>1</v>
      </c>
      <c r="BC13" s="14" t="str">
        <v>NO_EVALUABLE</v>
      </c>
      <c r="BD13" s="14" t="str">
        <v>E</v>
      </c>
      <c r="BE13" s="14" t="str">
        <v>Tipo de plan UMAS E en catálogo v2; no se infiere del código ni se activa el catálogo v3.</v>
      </c>
      <c r="BF13" s="14" t="str">
        <v>VERSION_POR_PLAN_O_ANIO</v>
      </c>
      <c r="BG13" s="14" t="str">
        <v>E</v>
      </c>
      <c r="BH13" s="14" t="str">
        <v>REGULAR</v>
      </c>
    </row>
    <row r="14" ht="36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9" t="str">
        <v>Código SIES</v>
      </c>
      <c r="N14" s="9" t="str">
        <v>Estado</v>
      </c>
      <c r="O14" s="9" t="str">
        <v>Método</v>
      </c>
      <c r="P14" s="9" t="str">
        <v>Planes enlazados</v>
      </c>
      <c r="Q14" s="9" t="str">
        <v>Motivo</v>
      </c>
      <c r="R14" s="9" t="str">
        <v>Forma de cierre</v>
      </c>
      <c r="S14" s="9" t="str">
        <v>MU seleccionada</v>
      </c>
      <c r="T14" s="9" t="str">
        <v>Enlace expediente</v>
      </c>
      <c r="U14" s="9" t="str">
        <v>Con plan anual</v>
      </c>
      <c r="V14" s="9" t="str">
        <v>Estado H002 2027</v>
      </c>
      <c r="W14" s="9" t="str">
        <v>Clase</v>
      </c>
      <c r="X14" s="9" t="str">
        <v>Fuente (ID)</v>
      </c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 t="str">
        <v>CORRECTO_TRASLADO_A_CONTINUIDAD</v>
      </c>
      <c r="AP14" s="15" t="str">
        <v>I162S2C1J4</v>
      </c>
      <c r="AQ14" s="23" t="n">
        <v>2026</v>
      </c>
      <c r="AR14" s="15" t="n">
        <v>23</v>
      </c>
      <c r="AS14" s="15" t="str">
        <v>Clasificación H005c; tipo UMAS v2 y SIES anual</v>
      </c>
      <c r="AT14" s="15"/>
      <c r="AU14" s="23" t="n">
        <v>2023</v>
      </c>
      <c r="AV14" s="15" t="str">
        <v>I162S2C1J4</v>
      </c>
      <c r="AW14" s="15" t="str">
        <v>IECIREOL</v>
      </c>
      <c r="AX14" s="15" t="str">
        <v>ANTIGUO</v>
      </c>
      <c r="AY14" s="15" t="str">
        <v>I162S2C1J4V1</v>
      </c>
      <c r="AZ14" s="15" t="str">
        <v>I162S2C1J4V2</v>
      </c>
      <c r="BA14" s="15" t="str">
        <v>E</v>
      </c>
      <c r="BB14" s="15" t="n">
        <v>1</v>
      </c>
      <c r="BC14" s="15" t="str">
        <v>NO_EVALUABLE</v>
      </c>
      <c r="BD14" s="15" t="str">
        <v>E</v>
      </c>
      <c r="BE14" s="15" t="str">
        <v>Tipo de plan UMAS E en catálogo v2; no se infiere del código ni se activa el catálogo v3.</v>
      </c>
      <c r="BF14" s="15" t="str">
        <v>VERSION_POR_PLAN_O_ANIO</v>
      </c>
      <c r="BG14" s="15" t="str">
        <v>E</v>
      </c>
      <c r="BH14" s="15" t="str">
        <v>REGULAR</v>
      </c>
    </row>
    <row r="15" ht="36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4" t="str">
        <v>I162M2008N1</v>
      </c>
      <c r="N15" s="14" t="str">
        <v>PENDIENTE</v>
      </c>
      <c r="O15" s="14" t="str">
        <v>SOLO_SIES_PRE_2022</v>
      </c>
      <c r="P15" s="14" t="str">
        <v>E</v>
      </c>
      <c r="Q15" s="14" t="str">
        <v>SOLO_ANTES_2022</v>
      </c>
      <c r="R15" s="14" t="str">
        <v>Cierre E: Datos Alumnos no conserva el histórico; solo reabrir con registro UMAS anual.</v>
      </c>
      <c r="S15" s="22" t="n">
        <v>0</v>
      </c>
      <c r="T15" s="22" t="n">
        <v>0</v>
      </c>
      <c r="U15" s="22" t="n">
        <v>0</v>
      </c>
      <c r="V15" s="14" t="str">
        <v>SIN_OFERTA_2027</v>
      </c>
      <c r="W15" s="14" t="str">
        <v>B/C/D; E límites</v>
      </c>
      <c r="X15" s="14" t="str">
        <v>MATRIZ; H002; CIERRE; TECHO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4" t="str">
        <v>CORRECTO_TRASLADO_A_CONTINUIDAD</v>
      </c>
      <c r="AP15" s="14" t="str">
        <v>I162S2C3J4</v>
      </c>
      <c r="AQ15" s="21" t="n">
        <v>2025</v>
      </c>
      <c r="AR15" s="14" t="n">
        <v>42</v>
      </c>
      <c r="AS15" s="14" t="str">
        <v>Clasificación H005c; tipo UMAS v2 y SIES anual</v>
      </c>
      <c r="AT15" s="15"/>
      <c r="AU15" s="21" t="n">
        <v>2023</v>
      </c>
      <c r="AV15" s="14" t="str">
        <v>I162S2C3J4</v>
      </c>
      <c r="AW15" s="14" t="str">
        <v>IETMREOL20211</v>
      </c>
      <c r="AX15" s="14" t="str">
        <v>ANTIGUO</v>
      </c>
      <c r="AY15" s="14" t="str">
        <v>I162S2C3J4V2</v>
      </c>
      <c r="AZ15" s="14" t="str">
        <v>I162S2C3J4V1</v>
      </c>
      <c r="BA15" s="14" t="str">
        <v>Plan Regular</v>
      </c>
      <c r="BB15" s="14" t="n">
        <v>1</v>
      </c>
      <c r="BC15" s="14" t="str">
        <v>VERSION_POR_PLAN_O_ANIO</v>
      </c>
      <c r="BD15" s="14" t="str">
        <v>C</v>
      </c>
      <c r="BE15" s="14" t="str">
        <v>Plan regular informado en versión regular. Etiqueta descriptiva del reparto; no afirma causa individual del cambio.</v>
      </c>
      <c r="BF15" s="14" t="str">
        <v>SIN_EXPLICACION</v>
      </c>
      <c r="BG15" s="14" t="str">
        <v>REGULAR</v>
      </c>
      <c r="BH15" s="14" t="str">
        <v>REGULAR</v>
      </c>
    </row>
    <row r="16" ht="36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 t="str">
        <v>I162M2008N3</v>
      </c>
      <c r="N16" s="15" t="str">
        <v>PENDIENTE</v>
      </c>
      <c r="O16" s="15" t="str">
        <v>SOLO_SIES_PRE_2022</v>
      </c>
      <c r="P16" s="15" t="str">
        <v>E</v>
      </c>
      <c r="Q16" s="15" t="str">
        <v>SOLO_ANTES_2022</v>
      </c>
      <c r="R16" s="15" t="str">
        <v>Cierre E: Datos Alumnos no conserva el histórico; solo reabrir con registro UMAS anual.</v>
      </c>
      <c r="S16" s="24" t="n">
        <v>0</v>
      </c>
      <c r="T16" s="24" t="n">
        <v>0</v>
      </c>
      <c r="U16" s="24" t="n">
        <v>0</v>
      </c>
      <c r="V16" s="15" t="str">
        <v>SIN_OFERTA_2027</v>
      </c>
      <c r="W16" s="15" t="str">
        <v>B/C/D; E límites</v>
      </c>
      <c r="X16" s="15" t="str">
        <v>MATRIZ; H002; CIERRE; TECHO</v>
      </c>
      <c r="Y16" s="15"/>
      <c r="Z16" s="15"/>
      <c r="AA16" s="9" t="str">
        <v>ID</v>
      </c>
      <c r="AB16" s="9" t="str">
        <v>Ruta</v>
      </c>
      <c r="AC16" s="9" t="str">
        <v>SHA-256</v>
      </c>
      <c r="AD16" s="9" t="str">
        <v>Clase</v>
      </c>
      <c r="AE16" s="9" t="str">
        <v>Commit / linaje</v>
      </c>
      <c r="AF16" s="15"/>
      <c r="AG16" s="15"/>
      <c r="AH16" s="15"/>
      <c r="AI16" s="15"/>
      <c r="AJ16" s="15"/>
      <c r="AK16" s="15"/>
      <c r="AL16" s="15"/>
      <c r="AM16" s="15"/>
      <c r="AN16" s="15"/>
      <c r="AO16" s="15" t="str">
        <v>CORRECTO_TRASLADO_A_CONTINUIDAD</v>
      </c>
      <c r="AP16" s="15" t="str">
        <v>I162S2C3J4</v>
      </c>
      <c r="AQ16" s="23" t="n">
        <v>2026</v>
      </c>
      <c r="AR16" s="15" t="n">
        <v>42</v>
      </c>
      <c r="AS16" s="15" t="str">
        <v>Clasificación H005c; tipo UMAS v2 y SIES anual</v>
      </c>
      <c r="AT16" s="15"/>
      <c r="AU16" s="23" t="n">
        <v>2023</v>
      </c>
      <c r="AV16" s="15" t="str">
        <v>I162S2C6J1</v>
      </c>
      <c r="AW16" s="15" t="str">
        <v>TTMRE20211</v>
      </c>
      <c r="AX16" s="15" t="str">
        <v>ANTIGUO</v>
      </c>
      <c r="AY16" s="15" t="str">
        <v>I162S2C6J1V2</v>
      </c>
      <c r="AZ16" s="15" t="str">
        <v>I162S2C6J1V1</v>
      </c>
      <c r="BA16" s="15" t="str">
        <v>Plan Regular</v>
      </c>
      <c r="BB16" s="15" t="n">
        <v>2</v>
      </c>
      <c r="BC16" s="15" t="str">
        <v>VERSION_POR_PLAN_O_ANIO</v>
      </c>
      <c r="BD16" s="15" t="str">
        <v>C</v>
      </c>
      <c r="BE16" s="15" t="str">
        <v>Plan regular informado en versión regular. Etiqueta descriptiva del reparto; no afirma causa individual del cambio.</v>
      </c>
      <c r="BF16" s="15" t="str">
        <v>SIN_EXPLICACION</v>
      </c>
      <c r="BG16" s="15" t="str">
        <v>REGULAR</v>
      </c>
      <c r="BH16" s="15" t="str">
        <v>REGULAR</v>
      </c>
    </row>
    <row r="17" ht="36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4" t="str">
        <v>I162S2C101J4V1</v>
      </c>
      <c r="N17" s="14" t="str">
        <v>PENDIENTE</v>
      </c>
      <c r="O17" s="14" t="str">
        <v>SIN_UNION</v>
      </c>
      <c r="P17" s="14" t="str">
        <v>E</v>
      </c>
      <c r="Q17" s="14" t="str">
        <v>FUERA_ALCANCE</v>
      </c>
      <c r="R17" s="14" t="str">
        <v>Excluido del seguimiento por decisión D; catálogo descriptivo conservado.</v>
      </c>
      <c r="S17" s="22" t="n">
        <v>0</v>
      </c>
      <c r="T17" s="22" t="n">
        <v>0</v>
      </c>
      <c r="U17" s="22" t="n">
        <v>0</v>
      </c>
      <c r="V17" s="14" t="str">
        <v>FUERA_ALCANCE</v>
      </c>
      <c r="W17" s="14" t="str">
        <v>B/C/D; E límites</v>
      </c>
      <c r="X17" s="14" t="str">
        <v>MATRIZ; H002; CIERRE; TECHO</v>
      </c>
      <c r="Y17" s="15"/>
      <c r="Z17" s="15"/>
      <c r="AA17" s="14" t="str">
        <v>PUBLICA</v>
      </c>
      <c r="AB17" s="14" t="str">
        <v>/Users/alexi/Documents/GitHub/CARACTERIZACIÓN/.local/publicacion_fechafirma_20261022/gobernanza/sies/Matricula_2007_2026_WEB_10_07_2026.csv</v>
      </c>
      <c r="AC17" s="14" t="str">
        <v>4c630e05e07312ebd567ed77b0c26c5d0230380deea4fc89a6123b11b7aba154</v>
      </c>
      <c r="AD17" s="14" t="str">
        <v>B</v>
      </c>
      <c r="AE17" s="14" t="str">
        <v>Referencia externa por hash</v>
      </c>
      <c r="AF17" s="15"/>
      <c r="AG17" s="15"/>
      <c r="AH17" s="15"/>
      <c r="AI17" s="15"/>
      <c r="AJ17" s="15"/>
      <c r="AK17" s="15"/>
      <c r="AL17" s="15"/>
      <c r="AM17" s="15"/>
      <c r="AN17" s="15"/>
      <c r="AO17" s="14" t="str">
        <v>CORRECTO_TRASLADO_A_CONTINUIDAD</v>
      </c>
      <c r="AP17" s="14" t="str">
        <v>I162S2C46J4</v>
      </c>
      <c r="AQ17" s="21" t="n">
        <v>2025</v>
      </c>
      <c r="AR17" s="14" t="n">
        <v>41</v>
      </c>
      <c r="AS17" s="14" t="str">
        <v>Clasificación H005c; tipo UMAS v2 y SIES anual</v>
      </c>
      <c r="AT17" s="15"/>
      <c r="AU17" s="21" t="n">
        <v>2023</v>
      </c>
      <c r="AV17" s="14" t="str">
        <v>I162S2C6J1</v>
      </c>
      <c r="AW17" s="14" t="str">
        <v>TTMRE20211</v>
      </c>
      <c r="AX17" s="14" t="str">
        <v>ANTIGUO</v>
      </c>
      <c r="AY17" s="14" t="str">
        <v>I162S2C6J1V2</v>
      </c>
      <c r="AZ17" s="14" t="str">
        <v>I162S2C6J1V1</v>
      </c>
      <c r="BA17" s="14" t="str">
        <v>Plan Regular</v>
      </c>
      <c r="BB17" s="14" t="n">
        <v>1</v>
      </c>
      <c r="BC17" s="14" t="str">
        <v>VERSION_POR_PLAN_O_ANIO</v>
      </c>
      <c r="BD17" s="14" t="str">
        <v>C</v>
      </c>
      <c r="BE17" s="14" t="str">
        <v>Plan regular informado en versión regular. Etiqueta descriptiva del reparto; no afirma causa individual del cambio.</v>
      </c>
      <c r="BF17" s="14" t="str">
        <v>SIN_EXPLICACION</v>
      </c>
      <c r="BG17" s="14" t="str">
        <v>REGULAR</v>
      </c>
      <c r="BH17" s="14" t="str">
        <v>REGULAR</v>
      </c>
    </row>
    <row r="18" ht="36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 t="str">
        <v>I162S2C102J4V1</v>
      </c>
      <c r="N18" s="15" t="str">
        <v>PENDIENTE</v>
      </c>
      <c r="O18" s="15" t="str">
        <v>SIN_UNION</v>
      </c>
      <c r="P18" s="15" t="str">
        <v>E</v>
      </c>
      <c r="Q18" s="15" t="str">
        <v>FUERA_ALCANCE</v>
      </c>
      <c r="R18" s="15" t="str">
        <v>Excluido del seguimiento por decisión D; catálogo descriptivo conservado.</v>
      </c>
      <c r="S18" s="24" t="n">
        <v>0</v>
      </c>
      <c r="T18" s="24" t="n">
        <v>0</v>
      </c>
      <c r="U18" s="24" t="n">
        <v>0</v>
      </c>
      <c r="V18" s="15" t="str">
        <v>FUERA_ALCANCE</v>
      </c>
      <c r="W18" s="15" t="str">
        <v>B/C/D; E límites</v>
      </c>
      <c r="X18" s="15" t="str">
        <v>MATRIZ; H002; CIERRE; TECHO</v>
      </c>
      <c r="Y18" s="15"/>
      <c r="Z18" s="15"/>
      <c r="AA18" s="15" t="str">
        <v>H002</v>
      </c>
      <c r="AB18" s="15" t="str">
        <v>/Users/alexi/Documents/GitHub/avance_curricular/data/paridad_codigo_sies/20261029/TABLA_PARIDAD_2026_2027.json</v>
      </c>
      <c r="AC18" s="15" t="str">
        <v>0ed5e17b1a452c85ab25b08ef0e65cdfc7258fd920d0f4dd40c60c9c4eb71063</v>
      </c>
      <c r="AD18" s="15" t="str">
        <v>C/D</v>
      </c>
      <c r="AE18" s="15" t="str">
        <v>82cb49c8b1136214a989676d914766d829e4c4dc</v>
      </c>
      <c r="AF18" s="15"/>
      <c r="AG18" s="15"/>
      <c r="AH18" s="15"/>
      <c r="AI18" s="15"/>
      <c r="AJ18" s="15"/>
      <c r="AK18" s="15"/>
      <c r="AL18" s="15"/>
      <c r="AM18" s="15"/>
      <c r="AN18" s="15"/>
      <c r="AO18" s="15" t="str">
        <v>CORRECTO_TRASLADO_A_CONTINUIDAD</v>
      </c>
      <c r="AP18" s="15" t="str">
        <v>I162S2C46J4</v>
      </c>
      <c r="AQ18" s="23" t="n">
        <v>2026</v>
      </c>
      <c r="AR18" s="15" t="n">
        <v>26</v>
      </c>
      <c r="AS18" s="15" t="str">
        <v>Clasificación H005c; tipo UMAS v2 y SIES anual</v>
      </c>
      <c r="AT18" s="15"/>
      <c r="AU18" s="23" t="n">
        <v>2023</v>
      </c>
      <c r="AV18" s="15" t="str">
        <v>I162S2C6J2</v>
      </c>
      <c r="AW18" s="15" t="str">
        <v>TTMRE20211</v>
      </c>
      <c r="AX18" s="15" t="str">
        <v>ANTIGUO</v>
      </c>
      <c r="AY18" s="15" t="str">
        <v>I162S2C6J2V2</v>
      </c>
      <c r="AZ18" s="15" t="str">
        <v>I162S2C6J2V1</v>
      </c>
      <c r="BA18" s="15" t="str">
        <v>Plan Regular</v>
      </c>
      <c r="BB18" s="15" t="n">
        <v>3</v>
      </c>
      <c r="BC18" s="15" t="str">
        <v>VERSION_POR_PLAN_O_ANIO</v>
      </c>
      <c r="BD18" s="15" t="str">
        <v>C</v>
      </c>
      <c r="BE18" s="15" t="str">
        <v>Plan regular informado en versión regular. Etiqueta descriptiva del reparto; no afirma causa individual del cambio.</v>
      </c>
      <c r="BF18" s="15" t="str">
        <v>VERSION_POR_PLAN_O_ANIO</v>
      </c>
      <c r="BG18" s="15" t="str">
        <v>REGULAR</v>
      </c>
      <c r="BH18" s="15" t="str">
        <v>REGULAR</v>
      </c>
    </row>
    <row r="19" ht="36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4" t="str">
        <v>I162S2C103J4V1</v>
      </c>
      <c r="N19" s="14" t="str">
        <v>PENDIENTE</v>
      </c>
      <c r="O19" s="14" t="str">
        <v>SIN_UNION</v>
      </c>
      <c r="P19" s="14" t="str">
        <v>E</v>
      </c>
      <c r="Q19" s="14" t="str">
        <v>FUERA_ALCANCE</v>
      </c>
      <c r="R19" s="14" t="str">
        <v>Excluido del seguimiento por decisión D; catálogo descriptivo conservado.</v>
      </c>
      <c r="S19" s="22" t="n">
        <v>0</v>
      </c>
      <c r="T19" s="22" t="n">
        <v>0</v>
      </c>
      <c r="U19" s="22" t="n">
        <v>0</v>
      </c>
      <c r="V19" s="14" t="str">
        <v>FUERA_ALCANCE</v>
      </c>
      <c r="W19" s="14" t="str">
        <v>B/C/D; E límites</v>
      </c>
      <c r="X19" s="14" t="str">
        <v>MATRIZ; H002; CIERRE; TECHO</v>
      </c>
      <c r="Y19" s="15"/>
      <c r="Z19" s="15"/>
      <c r="AA19" s="14" t="str">
        <v>MAESTRO</v>
      </c>
      <c r="AB19" s="14" t="str">
        <v>/Users/alexi/Documents/GitHub/avance_curricular/data/versiones_historicas_sies_umas/fase_5_20261015/maestro.json</v>
      </c>
      <c r="AC19" s="14" t="str">
        <v>2ef459251e91ecebe5370402e3d2ea25341aeecbfb3ca54eca210cc347c392a5</v>
      </c>
      <c r="AD19" s="14" t="str">
        <v>B/C/E</v>
      </c>
      <c r="AE19" s="14" t="str">
        <v>55e3b709afb9483f0ecdd2d166f67229a454a5ef</v>
      </c>
      <c r="AF19" s="15"/>
      <c r="AG19" s="15"/>
      <c r="AH19" s="15"/>
      <c r="AI19" s="15"/>
      <c r="AJ19" s="15"/>
      <c r="AK19" s="15"/>
      <c r="AL19" s="15"/>
      <c r="AM19" s="15"/>
      <c r="AN19" s="15"/>
      <c r="AO19" s="14" t="str">
        <v>CORRECTO_TRASLADO_A_CONTINUIDAD</v>
      </c>
      <c r="AP19" s="14" t="str">
        <v>I162S2C77J4</v>
      </c>
      <c r="AQ19" s="21" t="n">
        <v>2026</v>
      </c>
      <c r="AR19" s="14" t="n">
        <v>3</v>
      </c>
      <c r="AS19" s="14" t="str">
        <v>Clasificación H005c; tipo UMAS v2 y SIES anual</v>
      </c>
      <c r="AT19" s="15"/>
      <c r="AU19" s="21" t="n">
        <v>2024</v>
      </c>
      <c r="AV19" s="14" t="str">
        <v>I162S2C46J4</v>
      </c>
      <c r="AW19" s="14" t="str">
        <v>IECSREOL20211</v>
      </c>
      <c r="AX19" s="14" t="str">
        <v>ANTIGUO</v>
      </c>
      <c r="AY19" s="14" t="str">
        <v>I162S2C46J4V1</v>
      </c>
      <c r="AZ19" s="14" t="str">
        <v>I162S2C46J4V3</v>
      </c>
      <c r="BA19" s="14" t="str">
        <v>Plan Regular</v>
      </c>
      <c r="BB19" s="14" t="n">
        <v>1</v>
      </c>
      <c r="BC19" s="14" t="str">
        <v>ERROR_DE_CARGA_SEGUN_MANUAL</v>
      </c>
      <c r="BD19" s="14" t="str">
        <v>A criterio de versiones; C contraste de tipos</v>
      </c>
      <c r="BE19" s="14" t="str">
        <v>El tipo del plan UMAS v2 se cruza con el tipo de la versión informada en oferta_anual del mismo año.</v>
      </c>
      <c r="BF19" s="14" t="str">
        <v>ERROR_DE_CARGA_SEGUN_MANUAL</v>
      </c>
      <c r="BG19" s="14" t="str">
        <v>REGULAR</v>
      </c>
      <c r="BH19" s="14" t="str">
        <v>CONTINUIDAD</v>
      </c>
    </row>
    <row r="20" ht="36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 t="str">
        <v>I162S2C104J4V1</v>
      </c>
      <c r="N20" s="15" t="str">
        <v>PENDIENTE</v>
      </c>
      <c r="O20" s="15" t="str">
        <v>SIN_UNION</v>
      </c>
      <c r="P20" s="15" t="str">
        <v>E</v>
      </c>
      <c r="Q20" s="15" t="str">
        <v>FUERA_ALCANCE</v>
      </c>
      <c r="R20" s="15" t="str">
        <v>Excluido del seguimiento por decisión D; catálogo descriptivo conservado.</v>
      </c>
      <c r="S20" s="24" t="n">
        <v>0</v>
      </c>
      <c r="T20" s="24" t="n">
        <v>0</v>
      </c>
      <c r="U20" s="24" t="n">
        <v>0</v>
      </c>
      <c r="V20" s="15" t="str">
        <v>FUERA_ALCANCE</v>
      </c>
      <c r="W20" s="15" t="str">
        <v>B/C/D; E límites</v>
      </c>
      <c r="X20" s="15" t="str">
        <v>MATRIZ; H002; CIERRE; TECHO</v>
      </c>
      <c r="Y20" s="15"/>
      <c r="Z20" s="15"/>
      <c r="AA20" s="15" t="str">
        <v>MATRIZ</v>
      </c>
      <c r="AB20" s="15" t="str">
        <v>/Users/alexi/Documents/GitHub/avance_curricular/data/paridad_codigo_sies/cohorte_2007_2026/MATRIZ_PARIDAD_COHORTE.csv</v>
      </c>
      <c r="AC20" s="15" t="str">
        <v>44c2c12a37a0f8d552e8a4b93759d09cc4a66babe996218c72d2a64962a481fe</v>
      </c>
      <c r="AD20" s="15" t="str">
        <v>B/C/E</v>
      </c>
      <c r="AE20" s="15" t="str">
        <v>3ce8490fe09c0fef19493b6832165a10a6dc7bc9</v>
      </c>
      <c r="AF20" s="15"/>
      <c r="AG20" s="15"/>
      <c r="AH20" s="15"/>
      <c r="AI20" s="15"/>
      <c r="AJ20" s="15"/>
      <c r="AK20" s="15"/>
      <c r="AL20" s="15"/>
      <c r="AM20" s="15"/>
      <c r="AN20" s="15"/>
      <c r="AO20" s="15" t="str">
        <v>ERROR_DE_CARGA_SEGUN_MANUAL</v>
      </c>
      <c r="AP20" s="15" t="str">
        <v>I162S2C46J4</v>
      </c>
      <c r="AQ20" s="23" t="n">
        <v>2024</v>
      </c>
      <c r="AR20" s="15" t="n">
        <v>1</v>
      </c>
      <c r="AS20" s="15" t="str">
        <v>Clasificación H005c; tipo UMAS v2 y SIES anual</v>
      </c>
      <c r="AT20" s="15"/>
      <c r="AU20" s="23" t="n">
        <v>2025</v>
      </c>
      <c r="AV20" s="15" t="str">
        <v>I162S2C1J1</v>
      </c>
      <c r="AW20" s="15" t="str">
        <v>IINF20241</v>
      </c>
      <c r="AX20" s="15" t="str">
        <v>ANTIGUO</v>
      </c>
      <c r="AY20" s="15" t="str">
        <v>I162S2C1J1V1</v>
      </c>
      <c r="AZ20" s="15" t="str">
        <v>I162S2C1J1V2</v>
      </c>
      <c r="BA20" s="15" t="str">
        <v>Plan Regular</v>
      </c>
      <c r="BB20" s="15" t="n">
        <v>1</v>
      </c>
      <c r="BC20" s="15" t="str">
        <v>VERSION_POR_PLAN_O_ANIO</v>
      </c>
      <c r="BD20" s="15" t="str">
        <v>C</v>
      </c>
      <c r="BE20" s="15" t="str">
        <v>Plan regular informado en versión regular. Etiqueta descriptiva del reparto; no afirma causa individual del cambio.</v>
      </c>
      <c r="BF20" s="15" t="str">
        <v>VERSION_POR_PLAN_O_ANIO</v>
      </c>
      <c r="BG20" s="15" t="str">
        <v>REGULAR</v>
      </c>
      <c r="BH20" s="15" t="str">
        <v>REGULAR</v>
      </c>
    </row>
    <row r="21" ht="36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4" t="str">
        <v>I162S2C105J4V1</v>
      </c>
      <c r="N21" s="14" t="str">
        <v>PENDIENTE</v>
      </c>
      <c r="O21" s="14" t="str">
        <v>SIN_UNION</v>
      </c>
      <c r="P21" s="14" t="str">
        <v>E</v>
      </c>
      <c r="Q21" s="14" t="str">
        <v>FUERA_ALCANCE</v>
      </c>
      <c r="R21" s="14" t="str">
        <v>Excluido del seguimiento por decisión D; catálogo descriptivo conservado.</v>
      </c>
      <c r="S21" s="22" t="n">
        <v>0</v>
      </c>
      <c r="T21" s="22" t="n">
        <v>0</v>
      </c>
      <c r="U21" s="22" t="n">
        <v>0</v>
      </c>
      <c r="V21" s="14" t="str">
        <v>FUERA_ALCANCE</v>
      </c>
      <c r="W21" s="14" t="str">
        <v>B/C/D; E límites</v>
      </c>
      <c r="X21" s="14" t="str">
        <v>MATRIZ; H002; CIERRE; TECHO</v>
      </c>
      <c r="Y21" s="15"/>
      <c r="Z21" s="15"/>
      <c r="AA21" s="14" t="str">
        <v>RESULTADOS</v>
      </c>
      <c r="AB21" s="14" t="str">
        <v>/Users/alexi/Documents/GitHub/avance_curricular/outputs/paridad_cohorte_2007_2026/RESULTADOS.json</v>
      </c>
      <c r="AC21" s="14" t="str">
        <v>ee11647f6a2a6e00696334f0a2cbc2ed41034aa93f137ab6ad217862dde645d4</v>
      </c>
      <c r="AD21" s="14" t="str">
        <v>B/C</v>
      </c>
      <c r="AE21" s="14" t="str">
        <v>3ce8490fe09c0fef19493b6832165a10a6dc7bc9</v>
      </c>
      <c r="AF21" s="15"/>
      <c r="AG21" s="15"/>
      <c r="AH21" s="15"/>
      <c r="AI21" s="15"/>
      <c r="AJ21" s="15"/>
      <c r="AK21" s="15"/>
      <c r="AL21" s="15"/>
      <c r="AM21" s="15"/>
      <c r="AN21" s="15"/>
      <c r="AO21" s="14" t="str">
        <v>ERROR_DE_CARGA_SEGUN_MANUAL</v>
      </c>
      <c r="AP21" s="14" t="str">
        <v>I162S2C76J4</v>
      </c>
      <c r="AQ21" s="21" t="n">
        <v>2025</v>
      </c>
      <c r="AR21" s="14" t="n">
        <v>1</v>
      </c>
      <c r="AS21" s="14" t="str">
        <v>Clasificación H005c; tipo UMAS v2 y SIES anual</v>
      </c>
      <c r="AT21" s="15"/>
      <c r="AU21" s="21" t="n">
        <v>2025</v>
      </c>
      <c r="AV21" s="14" t="str">
        <v>I162S2C1J1</v>
      </c>
      <c r="AW21" s="14" t="str">
        <v>IINF20241</v>
      </c>
      <c r="AX21" s="14" t="str">
        <v>NUEVO</v>
      </c>
      <c r="AY21" s="14" t="str">
        <v>I162S2C1J1V1</v>
      </c>
      <c r="AZ21" s="14" t="str">
        <v>I162S2C1J1V2</v>
      </c>
      <c r="BA21" s="14" t="str">
        <v>Plan Regular</v>
      </c>
      <c r="BB21" s="14" t="n">
        <v>4</v>
      </c>
      <c r="BC21" s="14" t="str">
        <v>VERSION_POR_PLAN_O_ANIO</v>
      </c>
      <c r="BD21" s="14" t="str">
        <v>C</v>
      </c>
      <c r="BE21" s="14" t="str">
        <v>Plan regular informado en versión regular. Etiqueta descriptiva del reparto; no afirma causa individual del cambio.</v>
      </c>
      <c r="BF21" s="14" t="str">
        <v>VERSION_POR_PLAN_O_ANIO</v>
      </c>
      <c r="BG21" s="14" t="str">
        <v>REGULAR</v>
      </c>
      <c r="BH21" s="14" t="str">
        <v>REGULAR</v>
      </c>
    </row>
    <row r="22" ht="36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 t="str">
        <v>I162S2C10J1V1</v>
      </c>
      <c r="N22" s="15" t="str">
        <v>UNIDO</v>
      </c>
      <c r="O22" s="15" t="str">
        <v>APROBACION_D_2027</v>
      </c>
      <c r="P22" s="15" t="str">
        <v>TPRRE20131</v>
      </c>
      <c r="Q22" s="15" t="str">
        <v>UNIDO</v>
      </c>
      <c r="R22" s="15" t="str">
        <v>Reutilizar el vínculo según su período y método; no extenderlo a otras cohortes.</v>
      </c>
      <c r="S22" s="24" t="n">
        <v>0</v>
      </c>
      <c r="T22" s="24" t="n">
        <v>0</v>
      </c>
      <c r="U22" s="24" t="n">
        <v>0</v>
      </c>
      <c r="V22" s="15" t="str">
        <v>APROBADA_D_2027</v>
      </c>
      <c r="W22" s="15" t="str">
        <v>B/C/D; E límites</v>
      </c>
      <c r="X22" s="15" t="str">
        <v>MATRIZ; H002; CIERRE; TECHO</v>
      </c>
      <c r="Y22" s="15"/>
      <c r="Z22" s="15"/>
      <c r="AA22" s="15" t="str">
        <v>CONTROL_SIES</v>
      </c>
      <c r="AB22" s="15" t="str">
        <v>/Users/alexi/Documents/GitHub/avance_curricular/outputs/paridad_cohorte_2007_2026/CONTROL_SIES_PUBLICACION.json</v>
      </c>
      <c r="AC22" s="15" t="str">
        <v>da1adb185e4294e41dcb4a8b93d3e0be8cb2eaf08f7f96bca8ad39f0263ad40e</v>
      </c>
      <c r="AD22" s="15" t="str">
        <v>B/C</v>
      </c>
      <c r="AE22" s="15" t="str">
        <v>3ce8490fe09c0fef19493b6832165a10a6dc7bc9</v>
      </c>
      <c r="AF22" s="15"/>
      <c r="AG22" s="15"/>
      <c r="AH22" s="15"/>
      <c r="AI22" s="15"/>
      <c r="AJ22" s="15"/>
      <c r="AK22" s="15"/>
      <c r="AL22" s="15"/>
      <c r="AM22" s="15"/>
      <c r="AN22" s="15"/>
      <c r="AO22" s="15" t="str">
        <v>ERROR_DE_CARGA_SEGUN_MANUAL</v>
      </c>
      <c r="AP22" s="15" t="str">
        <v>I162S2C77J4</v>
      </c>
      <c r="AQ22" s="23" t="n">
        <v>2025</v>
      </c>
      <c r="AR22" s="15" t="n">
        <v>3</v>
      </c>
      <c r="AS22" s="15" t="str">
        <v>Clasificación H005c; tipo UMAS v2 y SIES anual</v>
      </c>
      <c r="AT22" s="15"/>
      <c r="AU22" s="23" t="n">
        <v>2025</v>
      </c>
      <c r="AV22" s="15" t="str">
        <v>I162S2C1J2</v>
      </c>
      <c r="AW22" s="15" t="str">
        <v>IINF20241</v>
      </c>
      <c r="AX22" s="15" t="str">
        <v>ANTIGUO</v>
      </c>
      <c r="AY22" s="15" t="str">
        <v>I162S2C1J2V1</v>
      </c>
      <c r="AZ22" s="15" t="str">
        <v>I162S2C1J2V4</v>
      </c>
      <c r="BA22" s="15" t="str">
        <v>Plan Regular</v>
      </c>
      <c r="BB22" s="15" t="n">
        <v>1</v>
      </c>
      <c r="BC22" s="15" t="str">
        <v>VERSION_POR_PLAN_O_ANIO</v>
      </c>
      <c r="BD22" s="15" t="str">
        <v>C</v>
      </c>
      <c r="BE22" s="15" t="str">
        <v>Plan regular informado en versión regular. Etiqueta descriptiva del reparto; no afirma causa individual del cambio.</v>
      </c>
      <c r="BF22" s="15" t="str">
        <v>VERSION_POR_PLAN_O_ANIO</v>
      </c>
      <c r="BG22" s="15" t="str">
        <v>REGULAR</v>
      </c>
      <c r="BH22" s="15" t="str">
        <v>REGULAR</v>
      </c>
    </row>
    <row r="23" ht="36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4" t="str">
        <v>I162S2C10J2V1</v>
      </c>
      <c r="N23" s="14" t="str">
        <v>UNIDO</v>
      </c>
      <c r="O23" s="14" t="str">
        <v>APROBACION_D_2027</v>
      </c>
      <c r="P23" s="14" t="str">
        <v>TPRRE20131</v>
      </c>
      <c r="Q23" s="14" t="str">
        <v>UNIDO</v>
      </c>
      <c r="R23" s="14" t="str">
        <v>Reutilizar el vínculo según su período y método; no extenderlo a otras cohortes.</v>
      </c>
      <c r="S23" s="22" t="n">
        <v>0</v>
      </c>
      <c r="T23" s="22" t="n">
        <v>0</v>
      </c>
      <c r="U23" s="22" t="n">
        <v>0</v>
      </c>
      <c r="V23" s="14" t="str">
        <v>APROBADA_D_2027</v>
      </c>
      <c r="W23" s="14" t="str">
        <v>B/C/D; E límites</v>
      </c>
      <c r="X23" s="14" t="str">
        <v>MATRIZ; H002; CIERRE; TECHO</v>
      </c>
      <c r="Y23" s="15"/>
      <c r="Z23" s="15"/>
      <c r="AA23" s="14" t="str">
        <v>PRIMER_ANIO</v>
      </c>
      <c r="AB23" s="14" t="str">
        <v>/Users/alexi/Documents/GitHub/avance_curricular/data/paridad_codigo_sies/cohorte_2007_2026/PRIMER_ANIO_POR_FAMILIA.csv</v>
      </c>
      <c r="AC23" s="14" t="str">
        <v>3b2f1020f3800db6840c4b99951a092ac265f1f9f94fe4a4f4752c5e80807ef4</v>
      </c>
      <c r="AD23" s="14" t="str">
        <v>B/C</v>
      </c>
      <c r="AE23" s="14" t="str">
        <v>3ce8490fe09c0fef19493b6832165a10a6dc7bc9</v>
      </c>
      <c r="AF23" s="15"/>
      <c r="AG23" s="15"/>
      <c r="AH23" s="15"/>
      <c r="AI23" s="15"/>
      <c r="AJ23" s="15"/>
      <c r="AK23" s="15"/>
      <c r="AL23" s="15"/>
      <c r="AM23" s="15"/>
      <c r="AN23" s="15"/>
      <c r="AO23" s="14" t="str">
        <v>NO_EVALUABLE</v>
      </c>
      <c r="AP23" s="14" t="str">
        <v>I162S2C1J4</v>
      </c>
      <c r="AQ23" s="21" t="n">
        <v>2023</v>
      </c>
      <c r="AR23" s="14" t="n">
        <v>2</v>
      </c>
      <c r="AS23" s="14" t="str">
        <v>Clasificación H005c; tipo UMAS v2 y SIES anual</v>
      </c>
      <c r="AT23" s="15"/>
      <c r="AU23" s="21" t="n">
        <v>2025</v>
      </c>
      <c r="AV23" s="14" t="str">
        <v>I162S2C1J2</v>
      </c>
      <c r="AW23" s="14" t="str">
        <v>IINF20241</v>
      </c>
      <c r="AX23" s="14" t="str">
        <v>ANTIGUO</v>
      </c>
      <c r="AY23" s="14" t="str">
        <v>I162S2C1J2V1</v>
      </c>
      <c r="AZ23" s="14" t="str">
        <v>I162S2C1J2V4</v>
      </c>
      <c r="BA23" s="14" t="str">
        <v>Plan Regular</v>
      </c>
      <c r="BB23" s="14" t="n">
        <v>3</v>
      </c>
      <c r="BC23" s="14" t="str">
        <v>VERSION_POR_PLAN_O_ANIO</v>
      </c>
      <c r="BD23" s="14" t="str">
        <v>C</v>
      </c>
      <c r="BE23" s="14" t="str">
        <v>Plan regular informado en versión regular. Etiqueta descriptiva del reparto; no afirma causa individual del cambio.</v>
      </c>
      <c r="BF23" s="14" t="str">
        <v>VERSION_POR_PLAN_O_ANIO</v>
      </c>
      <c r="BG23" s="14" t="str">
        <v>REGULAR</v>
      </c>
      <c r="BH23" s="14" t="str">
        <v>REGULAR</v>
      </c>
    </row>
    <row r="24" ht="36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 t="str">
        <v>I162S2C10J4V1</v>
      </c>
      <c r="N24" s="15" t="str">
        <v>UNIDO</v>
      </c>
      <c r="O24" s="15" t="str">
        <v>CRUCE_PERSONA_MU_2022_2026 / REGLA_MU_2027</v>
      </c>
      <c r="P24" s="15" t="str">
        <v>TPRE20261</v>
      </c>
      <c r="Q24" s="15" t="str">
        <v>UNIDO</v>
      </c>
      <c r="R24" s="15" t="str">
        <v>Reutilizar el vínculo según su período y método; no extenderlo a otras cohortes.</v>
      </c>
      <c r="S24" s="24" t="n">
        <v>16</v>
      </c>
      <c r="T24" s="24" t="n">
        <v>16</v>
      </c>
      <c r="U24" s="24" t="n">
        <v>16</v>
      </c>
      <c r="V24" s="15" t="str">
        <v>CONTINUA</v>
      </c>
      <c r="W24" s="15" t="str">
        <v>B/C/D; E límites</v>
      </c>
      <c r="X24" s="15" t="str">
        <v>MATRIZ; H002; CIERRE; TECHO</v>
      </c>
      <c r="Y24" s="15"/>
      <c r="Z24" s="15"/>
      <c r="AA24" s="15" t="str">
        <v>TIPOS_V2</v>
      </c>
      <c r="AB24" s="15" t="str">
        <v>/Users/alexi/Documents/GitHub/avance_curricular/data/paridad_codigo_sies/regla_operativa_mu_v2/TIPO_PLAN_POR_PLAN_UMAS.csv</v>
      </c>
      <c r="AC24" s="15" t="str">
        <v>065716db537fe9f67935235df293802005f33d5f7eb60a6f85d9b67c12a84e95</v>
      </c>
      <c r="AD24" s="15" t="str">
        <v>C</v>
      </c>
      <c r="AE24" s="15" t="str">
        <v>a6c34668983eb8a067f360ecef7ff1fa18559d83</v>
      </c>
      <c r="AF24" s="15"/>
      <c r="AG24" s="15"/>
      <c r="AH24" s="15"/>
      <c r="AI24" s="15"/>
      <c r="AJ24" s="15"/>
      <c r="AK24" s="15"/>
      <c r="AL24" s="15"/>
      <c r="AM24" s="15"/>
      <c r="AN24" s="15"/>
      <c r="AO24" s="15" t="str">
        <v>VERSION_POR_PLAN_O_ANIO</v>
      </c>
      <c r="AP24" s="15" t="str">
        <v>I162S2C1J1</v>
      </c>
      <c r="AQ24" s="23" t="n">
        <v>2025</v>
      </c>
      <c r="AR24" s="15" t="n">
        <v>5</v>
      </c>
      <c r="AS24" s="15" t="str">
        <v>Clasificación H005c; tipo UMAS v2 y SIES anual</v>
      </c>
      <c r="AT24" s="15"/>
      <c r="AU24" s="23" t="n">
        <v>2025</v>
      </c>
      <c r="AV24" s="15" t="str">
        <v>I162S2C1J2</v>
      </c>
      <c r="AW24" s="15" t="str">
        <v>IINF20241</v>
      </c>
      <c r="AX24" s="15" t="str">
        <v>NUEVO</v>
      </c>
      <c r="AY24" s="15" t="str">
        <v>I162S2C1J2V1</v>
      </c>
      <c r="AZ24" s="15" t="str">
        <v>I162S2C1J2V4</v>
      </c>
      <c r="BA24" s="15" t="str">
        <v>Plan Regular</v>
      </c>
      <c r="BB24" s="15" t="n">
        <v>3</v>
      </c>
      <c r="BC24" s="15" t="str">
        <v>VERSION_POR_PLAN_O_ANIO</v>
      </c>
      <c r="BD24" s="15" t="str">
        <v>C</v>
      </c>
      <c r="BE24" s="15" t="str">
        <v>Plan regular informado en versión regular. Etiqueta descriptiva del reparto; no afirma causa individual del cambio.</v>
      </c>
      <c r="BF24" s="15" t="str">
        <v>VERSION_POR_PLAN_O_ANIO</v>
      </c>
      <c r="BG24" s="15" t="str">
        <v>REGULAR</v>
      </c>
      <c r="BH24" s="15" t="str">
        <v>REGULAR</v>
      </c>
    </row>
    <row r="25" ht="36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4" t="str">
        <v>I162S2C111J4V1</v>
      </c>
      <c r="N25" s="14" t="str">
        <v>UNIDO</v>
      </c>
      <c r="O25" s="14" t="str">
        <v>CRUCE_PERSONA_MU_2022_2026 / REGLA_MU_2027</v>
      </c>
      <c r="P25" s="14" t="str">
        <v>IFIN20261</v>
      </c>
      <c r="Q25" s="14" t="str">
        <v>UNIDO</v>
      </c>
      <c r="R25" s="14" t="str">
        <v>Reutilizar el vínculo según su período y método; no extenderlo a otras cohortes.</v>
      </c>
      <c r="S25" s="22" t="n">
        <v>24</v>
      </c>
      <c r="T25" s="22" t="n">
        <v>24</v>
      </c>
      <c r="U25" s="22" t="n">
        <v>24</v>
      </c>
      <c r="V25" s="14" t="str">
        <v>VERSION_MULTIPLE_RESUELTA</v>
      </c>
      <c r="W25" s="14" t="str">
        <v>B/C/D; E límites</v>
      </c>
      <c r="X25" s="14" t="str">
        <v>MATRIZ; H002; CIERRE; TECHO</v>
      </c>
      <c r="Y25" s="15"/>
      <c r="Z25" s="15"/>
      <c r="AA25" s="14" t="str">
        <v>TIPOS_V3</v>
      </c>
      <c r="AB25" s="14" t="str">
        <v>/Users/alexi/Documents/GitHub/avance_curricular/data/paridad_codigo_sies/regla_operativa_mu_v3/TIPO_PLAN_POR_PLAN_UMAS_v3.csv</v>
      </c>
      <c r="AC25" s="14" t="str">
        <v>4e33b83fd1079545a17dd7508694fee82ad438e025438ca02743ac209dbcc0cc</v>
      </c>
      <c r="AD25" s="14" t="str">
        <v>C/E CANDIDATO</v>
      </c>
      <c r="AE25" s="14" t="str">
        <v>a0bb8f10b4143402b7dfc818c25506b74ead1ada</v>
      </c>
      <c r="AF25" s="15"/>
      <c r="AG25" s="15"/>
      <c r="AH25" s="15"/>
      <c r="AI25" s="15"/>
      <c r="AJ25" s="15"/>
      <c r="AK25" s="15"/>
      <c r="AL25" s="15"/>
      <c r="AM25" s="15"/>
      <c r="AN25" s="15"/>
      <c r="AO25" s="14" t="str">
        <v>VERSION_POR_PLAN_O_ANIO</v>
      </c>
      <c r="AP25" s="14" t="str">
        <v>I162S2C1J1</v>
      </c>
      <c r="AQ25" s="21" t="n">
        <v>2026</v>
      </c>
      <c r="AR25" s="14" t="n">
        <v>5</v>
      </c>
      <c r="AS25" s="14" t="str">
        <v>Clasificación H005c; tipo UMAS v2 y SIES anual</v>
      </c>
      <c r="AT25" s="15"/>
      <c r="AU25" s="21" t="n">
        <v>2025</v>
      </c>
      <c r="AV25" s="14" t="str">
        <v>I162S2C1J4</v>
      </c>
      <c r="AW25" s="14" t="str">
        <v>CIINF20241</v>
      </c>
      <c r="AX25" s="14" t="str">
        <v>ANTIGUO</v>
      </c>
      <c r="AY25" s="14" t="str">
        <v>I162S2C1J4V3</v>
      </c>
      <c r="AZ25" s="14" t="str">
        <v>I162S2C1J4V2</v>
      </c>
      <c r="BA25" s="14" t="str">
        <v>Plan Regular de Continuidad</v>
      </c>
      <c r="BB25" s="14" t="n">
        <v>13</v>
      </c>
      <c r="BC25" s="14" t="str">
        <v>CORRECTO_TRASLADO_A_CONTINUIDAD</v>
      </c>
      <c r="BD25" s="14" t="str">
        <v>B/C</v>
      </c>
      <c r="BE25" s="14" t="str">
        <v>Plan de continuidad informado en versión de continuidad. El código esperado H002j no determina la coherencia.</v>
      </c>
      <c r="BF25" s="14" t="str">
        <v>SIN_EXPLICACION</v>
      </c>
      <c r="BG25" s="14" t="str">
        <v>CONTINUIDAD</v>
      </c>
      <c r="BH25" s="14" t="str">
        <v>CONTINUIDAD</v>
      </c>
    </row>
    <row r="26" ht="36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 t="str">
        <v>I162S2C111J4V2</v>
      </c>
      <c r="N26" s="15" t="str">
        <v>UNIDO</v>
      </c>
      <c r="O26" s="15" t="str">
        <v>REGLA_MU_2027</v>
      </c>
      <c r="P26" s="15" t="str">
        <v>CIFIN20261</v>
      </c>
      <c r="Q26" s="15" t="str">
        <v>UNIDO</v>
      </c>
      <c r="R26" s="15" t="str">
        <v>Reutilizar el vínculo según su período y método; no extenderlo a otras cohortes.</v>
      </c>
      <c r="S26" s="24" t="n">
        <v>0</v>
      </c>
      <c r="T26" s="24" t="n">
        <v>0</v>
      </c>
      <c r="U26" s="24" t="n">
        <v>0</v>
      </c>
      <c r="V26" s="15" t="str">
        <v>VERSION_MULTIPLE_RESUELTA</v>
      </c>
      <c r="W26" s="15" t="str">
        <v>B/C/D; E límites</v>
      </c>
      <c r="X26" s="15" t="str">
        <v>MATRIZ; H002; CIERRE; TECHO</v>
      </c>
      <c r="Y26" s="15"/>
      <c r="Z26" s="15"/>
      <c r="AA26" s="15" t="str">
        <v>PERFILES</v>
      </c>
      <c r="AB26" s="15" t="str">
        <v>/Users/alexi/Documents/GitHub/avance_curricular/outputs/paridad_codigo_sies_20261029/PERFIL_PLANES_H002C.json</v>
      </c>
      <c r="AC26" s="15" t="str">
        <v>56bdc927d8098319fce1ddb5c82c4fe6bf39988666ecf9328036bc108810bcd9</v>
      </c>
      <c r="AD26" s="15" t="str">
        <v>B/C/E</v>
      </c>
      <c r="AE26" s="15" t="str">
        <v>cd78f5ac439e442733a69d0d4d30d61619b49b47</v>
      </c>
      <c r="AF26" s="15"/>
      <c r="AG26" s="15"/>
      <c r="AH26" s="15"/>
      <c r="AI26" s="15"/>
      <c r="AJ26" s="15"/>
      <c r="AK26" s="15"/>
      <c r="AL26" s="15"/>
      <c r="AM26" s="15"/>
      <c r="AN26" s="15"/>
      <c r="AO26" s="15" t="str">
        <v>VERSION_POR_PLAN_O_ANIO</v>
      </c>
      <c r="AP26" s="15" t="str">
        <v>I162S2C1J2</v>
      </c>
      <c r="AQ26" s="23" t="n">
        <v>2025</v>
      </c>
      <c r="AR26" s="15" t="n">
        <v>7</v>
      </c>
      <c r="AS26" s="15" t="str">
        <v>Clasificación H005c; tipo UMAS v2 y SIES anual</v>
      </c>
      <c r="AT26" s="15"/>
      <c r="AU26" s="23" t="n">
        <v>2025</v>
      </c>
      <c r="AV26" s="15" t="str">
        <v>I162S2C1J4</v>
      </c>
      <c r="AW26" s="15" t="str">
        <v>CIINF20241</v>
      </c>
      <c r="AX26" s="15" t="str">
        <v>NUEVO</v>
      </c>
      <c r="AY26" s="15" t="str">
        <v>I162S2C1J4V3</v>
      </c>
      <c r="AZ26" s="15" t="str">
        <v>I162S2C1J4V2</v>
      </c>
      <c r="BA26" s="15" t="str">
        <v>Plan Regular de Continuidad</v>
      </c>
      <c r="BB26" s="15" t="n">
        <v>20</v>
      </c>
      <c r="BC26" s="15" t="str">
        <v>CORRECTO_TRASLADO_A_CONTINUIDAD</v>
      </c>
      <c r="BD26" s="15" t="str">
        <v>B/C</v>
      </c>
      <c r="BE26" s="15" t="str">
        <v>Plan de continuidad informado en versión de continuidad. El código esperado H002j no determina la coherencia.</v>
      </c>
      <c r="BF26" s="15" t="str">
        <v>SIN_EXPLICACION</v>
      </c>
      <c r="BG26" s="15" t="str">
        <v>CONTINUIDAD</v>
      </c>
      <c r="BH26" s="15" t="str">
        <v>CONTINUIDAD</v>
      </c>
    </row>
    <row r="27" ht="36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4" t="str">
        <v>I162S2C112J4V1</v>
      </c>
      <c r="N27" s="14" t="str">
        <v>UNIDO</v>
      </c>
      <c r="O27" s="14" t="str">
        <v>CRUCE_PERSONA_MU_2022_2026 / REGLA_MU_2027</v>
      </c>
      <c r="P27" s="14" t="str">
        <v>IMDI20261</v>
      </c>
      <c r="Q27" s="14" t="str">
        <v>UNIDO</v>
      </c>
      <c r="R27" s="14" t="str">
        <v>Reutilizar el vínculo según su período y método; no extenderlo a otras cohortes.</v>
      </c>
      <c r="S27" s="22" t="n">
        <v>56</v>
      </c>
      <c r="T27" s="22" t="n">
        <v>56</v>
      </c>
      <c r="U27" s="22" t="n">
        <v>55</v>
      </c>
      <c r="V27" s="14" t="str">
        <v>VERSION_MULTIPLE_RESUELTA</v>
      </c>
      <c r="W27" s="14" t="str">
        <v>B/C/D; E límites</v>
      </c>
      <c r="X27" s="14" t="str">
        <v>MATRIZ; H002; CIERRE; TECHO</v>
      </c>
      <c r="Y27" s="15"/>
      <c r="Z27" s="15"/>
      <c r="AA27" s="14" t="str">
        <v>DICCIONARIO_UMAS</v>
      </c>
      <c r="AB27" s="14" t="str">
        <v>/Users/alexi/Documents/GitHub/avance_curricular/data/diccionario_umas/DICCIONARIO_UMAS.json</v>
      </c>
      <c r="AC27" s="14" t="str">
        <v>f05ac03aa8ca0ec6cf5f754cbaacebac630b2a3346ff592d7ee0b181b82e8811</v>
      </c>
      <c r="AD27" s="14" t="str">
        <v>B/C/E</v>
      </c>
      <c r="AE27" s="14" t="str">
        <v>e5a5cdb7c80f9ae06808ee34d0aa9b63ee8bc162</v>
      </c>
      <c r="AF27" s="15"/>
      <c r="AG27" s="15"/>
      <c r="AH27" s="15"/>
      <c r="AI27" s="15"/>
      <c r="AJ27" s="15"/>
      <c r="AK27" s="15"/>
      <c r="AL27" s="15"/>
      <c r="AM27" s="15"/>
      <c r="AN27" s="15"/>
      <c r="AO27" s="14" t="str">
        <v>VERSION_POR_PLAN_O_ANIO</v>
      </c>
      <c r="AP27" s="14" t="str">
        <v>I162S2C1J2</v>
      </c>
      <c r="AQ27" s="21" t="n">
        <v>2026</v>
      </c>
      <c r="AR27" s="14" t="n">
        <v>5</v>
      </c>
      <c r="AS27" s="14" t="str">
        <v>Clasificación H005c; tipo UMAS v2 y SIES anual</v>
      </c>
      <c r="AT27" s="15"/>
      <c r="AU27" s="21" t="n">
        <v>2025</v>
      </c>
      <c r="AV27" s="14" t="str">
        <v>I162S2C3J2</v>
      </c>
      <c r="AW27" s="14" t="str">
        <v>IETMRE20211</v>
      </c>
      <c r="AX27" s="14" t="str">
        <v>ANTIGUO</v>
      </c>
      <c r="AY27" s="14" t="str">
        <v>I162S2C3J2V1</v>
      </c>
      <c r="AZ27" s="14" t="str">
        <v>I162S2C3J2V4</v>
      </c>
      <c r="BA27" s="14" t="str">
        <v>Plan Regular</v>
      </c>
      <c r="BB27" s="14" t="n">
        <v>1</v>
      </c>
      <c r="BC27" s="14" t="str">
        <v>VERSION_POR_PLAN_O_ANIO</v>
      </c>
      <c r="BD27" s="14" t="str">
        <v>C</v>
      </c>
      <c r="BE27" s="14" t="str">
        <v>Plan regular informado en versión regular. Etiqueta descriptiva del reparto; no afirma causa individual del cambio.</v>
      </c>
      <c r="BF27" s="14" t="str">
        <v>VERSION_POR_PLAN_O_ANIO</v>
      </c>
      <c r="BG27" s="14" t="str">
        <v>REGULAR</v>
      </c>
      <c r="BH27" s="14" t="str">
        <v>REGULAR</v>
      </c>
    </row>
    <row r="28" ht="36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 t="str">
        <v>I162S2C112J4V2</v>
      </c>
      <c r="N28" s="15" t="str">
        <v>UNIDO</v>
      </c>
      <c r="O28" s="15" t="str">
        <v>REGLA_MU_2027</v>
      </c>
      <c r="P28" s="15" t="str">
        <v>CIMDI20261</v>
      </c>
      <c r="Q28" s="15" t="str">
        <v>UNIDO</v>
      </c>
      <c r="R28" s="15" t="str">
        <v>Reutilizar el vínculo según su período y método; no extenderlo a otras cohortes.</v>
      </c>
      <c r="S28" s="24" t="n">
        <v>0</v>
      </c>
      <c r="T28" s="24" t="n">
        <v>0</v>
      </c>
      <c r="U28" s="24" t="n">
        <v>0</v>
      </c>
      <c r="V28" s="15" t="str">
        <v>VERSION_MULTIPLE_RESUELTA</v>
      </c>
      <c r="W28" s="15" t="str">
        <v>B/C/D; E límites</v>
      </c>
      <c r="X28" s="15" t="str">
        <v>MATRIZ; H002; CIERRE; TECHO</v>
      </c>
      <c r="Y28" s="15"/>
      <c r="Z28" s="15"/>
      <c r="AA28" s="15" t="str">
        <v>MALLAS</v>
      </c>
      <c r="AB28" s="15" t="str">
        <v>/Users/alexi/Documents/GitHub/avance_curricular/data/diccionario_umas/COMPROBACION_MALLAS.json</v>
      </c>
      <c r="AC28" s="15" t="str">
        <v>2d13dd9123f839343f4ff6b41ce931e7c72a54a90a81390197fed379c92cdc0c</v>
      </c>
      <c r="AD28" s="15" t="str">
        <v>B/C/E</v>
      </c>
      <c r="AE28" s="15" t="str">
        <v>e5a5cdb7c80f9ae06808ee34d0aa9b63ee8bc162</v>
      </c>
      <c r="AF28" s="15"/>
      <c r="AG28" s="15"/>
      <c r="AH28" s="15"/>
      <c r="AI28" s="15"/>
      <c r="AJ28" s="15"/>
      <c r="AK28" s="15"/>
      <c r="AL28" s="15"/>
      <c r="AM28" s="15"/>
      <c r="AN28" s="15"/>
      <c r="AO28" s="15" t="str">
        <v>VERSION_POR_PLAN_O_ANIO</v>
      </c>
      <c r="AP28" s="15" t="str">
        <v>I162S2C3J2</v>
      </c>
      <c r="AQ28" s="23" t="n">
        <v>2025</v>
      </c>
      <c r="AR28" s="15" t="n">
        <v>4</v>
      </c>
      <c r="AS28" s="15" t="str">
        <v>Clasificación H005c; tipo UMAS v2 y SIES anual</v>
      </c>
      <c r="AT28" s="15"/>
      <c r="AU28" s="23" t="n">
        <v>2025</v>
      </c>
      <c r="AV28" s="15" t="str">
        <v>I162S2C3J2</v>
      </c>
      <c r="AW28" s="15" t="str">
        <v>ICRE20241</v>
      </c>
      <c r="AX28" s="15" t="str">
        <v>NUEVO</v>
      </c>
      <c r="AY28" s="15" t="str">
        <v>I162S2C3J2V1</v>
      </c>
      <c r="AZ28" s="15" t="str">
        <v>I162S2C3J2V4</v>
      </c>
      <c r="BA28" s="15" t="str">
        <v>Plan Regular</v>
      </c>
      <c r="BB28" s="15" t="n">
        <v>3</v>
      </c>
      <c r="BC28" s="15" t="str">
        <v>VERSION_POR_PLAN_O_ANIO</v>
      </c>
      <c r="BD28" s="15" t="str">
        <v>C</v>
      </c>
      <c r="BE28" s="15" t="str">
        <v>Plan regular informado en versión regular. Etiqueta descriptiva del reparto; no afirma causa individual del cambio.</v>
      </c>
      <c r="BF28" s="15" t="str">
        <v>VERSION_POR_PLAN_O_ANIO</v>
      </c>
      <c r="BG28" s="15" t="str">
        <v>REGULAR</v>
      </c>
      <c r="BH28" s="15" t="str">
        <v>REGULAR</v>
      </c>
    </row>
    <row r="29" ht="36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4" t="str">
        <v>I162S2C113J4V1</v>
      </c>
      <c r="N29" s="14" t="str">
        <v>UNIDO</v>
      </c>
      <c r="O29" s="14" t="str">
        <v>CRUCE_PERSONA_MU_2022_2026 / REGLA_MU_2027</v>
      </c>
      <c r="P29" s="14" t="str">
        <v>IRHU20261</v>
      </c>
      <c r="Q29" s="14" t="str">
        <v>UNIDO</v>
      </c>
      <c r="R29" s="14" t="str">
        <v>Reutilizar el vínculo según su período y método; no extenderlo a otras cohortes.</v>
      </c>
      <c r="S29" s="22" t="n">
        <v>26</v>
      </c>
      <c r="T29" s="22" t="n">
        <v>26</v>
      </c>
      <c r="U29" s="22" t="n">
        <v>26</v>
      </c>
      <c r="V29" s="14" t="str">
        <v>VERSION_MULTIPLE_RESUELTA</v>
      </c>
      <c r="W29" s="14" t="str">
        <v>B/C/D; E límites</v>
      </c>
      <c r="X29" s="14" t="str">
        <v>MATRIZ; H002; CIERRE; TECHO</v>
      </c>
      <c r="Y29" s="15"/>
      <c r="Z29" s="15"/>
      <c r="AA29" s="14" t="str">
        <v>REGLA</v>
      </c>
      <c r="AB29" s="14" t="str">
        <v>/Users/alexi/Documents/GitHub/avance_curricular/data/reglas_negocio/mu2027/REGLA_CODIGO_SIES_MU2027.json</v>
      </c>
      <c r="AC29" s="14" t="str">
        <v>197fe68f1a7a24ab6a7ed844e4cefbdcf8774d655acc33ad49886aaadc8b90f2</v>
      </c>
      <c r="AD29" s="14" t="str">
        <v>D ACTIVA</v>
      </c>
      <c r="AE29" s="14" t="str">
        <v>75ed9501afe66c941709809ade79c7015827e3cb</v>
      </c>
      <c r="AF29" s="15"/>
      <c r="AG29" s="15"/>
      <c r="AH29" s="15"/>
      <c r="AI29" s="15"/>
      <c r="AJ29" s="15"/>
      <c r="AK29" s="15"/>
      <c r="AL29" s="15"/>
      <c r="AM29" s="15"/>
      <c r="AN29" s="15"/>
      <c r="AO29" s="14" t="str">
        <v>VERSION_POR_PLAN_O_ANIO</v>
      </c>
      <c r="AP29" s="14" t="str">
        <v>I162S2C3J2</v>
      </c>
      <c r="AQ29" s="21" t="n">
        <v>2026</v>
      </c>
      <c r="AR29" s="14" t="n">
        <v>1</v>
      </c>
      <c r="AS29" s="14" t="str">
        <v>Clasificación H005c; tipo UMAS v2 y SIES anual</v>
      </c>
      <c r="AT29" s="15"/>
      <c r="AU29" s="21" t="n">
        <v>2025</v>
      </c>
      <c r="AV29" s="14" t="str">
        <v>I162S2C3J4</v>
      </c>
      <c r="AW29" s="14" t="str">
        <v>CICRE20241</v>
      </c>
      <c r="AX29" s="14" t="str">
        <v>ANTIGUO</v>
      </c>
      <c r="AY29" s="14" t="str">
        <v>I162S2C3J4V3</v>
      </c>
      <c r="AZ29" s="14" t="str">
        <v>I162S2C3J4V2</v>
      </c>
      <c r="BA29" s="14" t="str">
        <v>Plan Regular de Continuidad</v>
      </c>
      <c r="BB29" s="14" t="n">
        <v>24</v>
      </c>
      <c r="BC29" s="14" t="str">
        <v>CORRECTO_TRASLADO_A_CONTINUIDAD</v>
      </c>
      <c r="BD29" s="14" t="str">
        <v>B/C</v>
      </c>
      <c r="BE29" s="14" t="str">
        <v>Plan de continuidad informado en versión de continuidad. El código esperado H002j no determina la coherencia.</v>
      </c>
      <c r="BF29" s="14" t="str">
        <v>SIN_EXPLICACION</v>
      </c>
      <c r="BG29" s="14" t="str">
        <v>CONTINUIDAD</v>
      </c>
      <c r="BH29" s="14" t="str">
        <v>CONTINUIDAD</v>
      </c>
    </row>
    <row r="30" ht="36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 t="str">
        <v>I162S2C113J4V2</v>
      </c>
      <c r="N30" s="15" t="str">
        <v>UNIDO</v>
      </c>
      <c r="O30" s="15" t="str">
        <v>REGLA_MU_2027</v>
      </c>
      <c r="P30" s="15" t="str">
        <v>CIRHU20261</v>
      </c>
      <c r="Q30" s="15" t="str">
        <v>UNIDO</v>
      </c>
      <c r="R30" s="15" t="str">
        <v>Reutilizar el vínculo según su período y método; no extenderlo a otras cohortes.</v>
      </c>
      <c r="S30" s="24" t="n">
        <v>0</v>
      </c>
      <c r="T30" s="24" t="n">
        <v>0</v>
      </c>
      <c r="U30" s="24" t="n">
        <v>0</v>
      </c>
      <c r="V30" s="15" t="str">
        <v>VERSION_MULTIPLE_RESUELTA</v>
      </c>
      <c r="W30" s="15" t="str">
        <v>B/C/D; E límites</v>
      </c>
      <c r="X30" s="15" t="str">
        <v>MATRIZ; H002; CIERRE; TECHO</v>
      </c>
      <c r="Y30" s="15"/>
      <c r="Z30" s="15"/>
      <c r="AA30" s="15" t="str">
        <v>CIERRE</v>
      </c>
      <c r="AB30" s="15" t="str">
        <v>/Users/alexi/Documents/GitHub/avance_curricular/data/paridad_codigo_sies/cierre_historico_2007_2021/README.md</v>
      </c>
      <c r="AC30" s="15" t="str">
        <v>cddd0f2dad9abe85dd5bf64b284030129dba341e55a7e38f5f846d7352242645</v>
      </c>
      <c r="AD30" s="15" t="str">
        <v>D/E</v>
      </c>
      <c r="AE30" s="15" t="str">
        <v>8b79a8acbe093ad78fd7564d9b7b48455f0df96c</v>
      </c>
      <c r="AF30" s="15"/>
      <c r="AG30" s="15"/>
      <c r="AH30" s="15"/>
      <c r="AI30" s="15"/>
      <c r="AJ30" s="15"/>
      <c r="AK30" s="15"/>
      <c r="AL30" s="15"/>
      <c r="AM30" s="15"/>
      <c r="AN30" s="15"/>
      <c r="AO30" s="15" t="str">
        <v>VERSION_POR_PLAN_O_ANIO</v>
      </c>
      <c r="AP30" s="15" t="str">
        <v>I162S2C3J4</v>
      </c>
      <c r="AQ30" s="23" t="n">
        <v>2023</v>
      </c>
      <c r="AR30" s="15" t="n">
        <v>1</v>
      </c>
      <c r="AS30" s="15" t="str">
        <v>Clasificación H005c; tipo UMAS v2 y SIES anual</v>
      </c>
      <c r="AT30" s="15"/>
      <c r="AU30" s="23" t="n">
        <v>2025</v>
      </c>
      <c r="AV30" s="15" t="str">
        <v>I162S2C3J4</v>
      </c>
      <c r="AW30" s="15" t="str">
        <v>CICRE20241</v>
      </c>
      <c r="AX30" s="15" t="str">
        <v>NUEVO</v>
      </c>
      <c r="AY30" s="15" t="str">
        <v>I162S2C3J4V3</v>
      </c>
      <c r="AZ30" s="15" t="str">
        <v>I162S2C3J4V2</v>
      </c>
      <c r="BA30" s="15" t="str">
        <v>Plan Regular de Continuidad</v>
      </c>
      <c r="BB30" s="15" t="n">
        <v>18</v>
      </c>
      <c r="BC30" s="15" t="str">
        <v>CORRECTO_TRASLADO_A_CONTINUIDAD</v>
      </c>
      <c r="BD30" s="15" t="str">
        <v>B/C</v>
      </c>
      <c r="BE30" s="15" t="str">
        <v>Plan de continuidad informado en versión de continuidad. El código esperado H002j no determina la coherencia.</v>
      </c>
      <c r="BF30" s="15" t="str">
        <v>SIN_EXPLICACION</v>
      </c>
      <c r="BG30" s="15" t="str">
        <v>CONTINUIDAD</v>
      </c>
      <c r="BH30" s="15" t="str">
        <v>CONTINUIDAD</v>
      </c>
    </row>
    <row r="31" ht="36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4" t="str">
        <v>I162S2C114J1V1</v>
      </c>
      <c r="N31" s="14" t="str">
        <v>UNIDO</v>
      </c>
      <c r="O31" s="14" t="str">
        <v>APROBACION_D_2027</v>
      </c>
      <c r="P31" s="14" t="str">
        <v>TEIQ20261</v>
      </c>
      <c r="Q31" s="14" t="str">
        <v>UNIDO</v>
      </c>
      <c r="R31" s="14" t="str">
        <v>Reutilizar el vínculo según su período y método; no extenderlo a otras cohortes.</v>
      </c>
      <c r="S31" s="22" t="n">
        <v>0</v>
      </c>
      <c r="T31" s="22" t="n">
        <v>0</v>
      </c>
      <c r="U31" s="22" t="n">
        <v>0</v>
      </c>
      <c r="V31" s="14" t="str">
        <v>APROBADA_D_2027</v>
      </c>
      <c r="W31" s="14" t="str">
        <v>B/C/D; E límites</v>
      </c>
      <c r="X31" s="14" t="str">
        <v>MATRIZ; H002; CIERRE; TECHO</v>
      </c>
      <c r="Y31" s="15"/>
      <c r="Z31" s="15"/>
      <c r="AA31" s="14" t="str">
        <v>TECHO</v>
      </c>
      <c r="AB31" s="14" t="str">
        <v>/Users/alexi/Documents/GitHub/avance_curricular/manifests/milestones/H002-PARIDAD-CODIGO-SIES-2027/TECHO_ALCANZADO.md</v>
      </c>
      <c r="AC31" s="14" t="str">
        <v>60528910ee02f96e18ece8e064d4a0b1fe2f2341f5cbc5393d7144de355dd872</v>
      </c>
      <c r="AD31" s="14" t="str">
        <v>D/E</v>
      </c>
      <c r="AE31" s="14" t="str">
        <v>430c7d4a9cc82c4ed4b259a99bd775eb3f504bbc</v>
      </c>
      <c r="AF31" s="15"/>
      <c r="AG31" s="15"/>
      <c r="AH31" s="15"/>
      <c r="AI31" s="15"/>
      <c r="AJ31" s="15"/>
      <c r="AK31" s="15"/>
      <c r="AL31" s="15"/>
      <c r="AM31" s="15"/>
      <c r="AN31" s="15"/>
      <c r="AO31" s="14" t="str">
        <v>VERSION_POR_PLAN_O_ANIO</v>
      </c>
      <c r="AP31" s="14" t="str">
        <v>I162S2C6J1</v>
      </c>
      <c r="AQ31" s="21" t="n">
        <v>2023</v>
      </c>
      <c r="AR31" s="14" t="n">
        <v>3</v>
      </c>
      <c r="AS31" s="14" t="str">
        <v>Clasificación H005c; tipo UMAS v2 y SIES anual</v>
      </c>
      <c r="AT31" s="15"/>
      <c r="AU31" s="21" t="n">
        <v>2025</v>
      </c>
      <c r="AV31" s="14" t="str">
        <v>I162S2C46J4</v>
      </c>
      <c r="AW31" s="14" t="str">
        <v>CICIB20241</v>
      </c>
      <c r="AX31" s="14" t="str">
        <v>ANTIGUO</v>
      </c>
      <c r="AY31" s="14" t="str">
        <v>I162S2C46J4V1</v>
      </c>
      <c r="AZ31" s="14" t="str">
        <v>I162S2C46J4V3</v>
      </c>
      <c r="BA31" s="14" t="str">
        <v>Plan Regular de Continuidad</v>
      </c>
      <c r="BB31" s="14" t="n">
        <v>21</v>
      </c>
      <c r="BC31" s="14" t="str">
        <v>CORRECTO_TRASLADO_A_CONTINUIDAD</v>
      </c>
      <c r="BD31" s="14" t="str">
        <v>B/C</v>
      </c>
      <c r="BE31" s="14" t="str">
        <v>Plan de continuidad informado en versión de continuidad. El código esperado H002j no determina la coherencia.</v>
      </c>
      <c r="BF31" s="14" t="str">
        <v>SIN_EXPLICACION</v>
      </c>
      <c r="BG31" s="14" t="str">
        <v>CONTINUIDAD</v>
      </c>
      <c r="BH31" s="14" t="str">
        <v>CONTINUIDAD</v>
      </c>
    </row>
    <row r="32" ht="36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 t="str">
        <v>I162S2C114J2V1</v>
      </c>
      <c r="N32" s="15" t="str">
        <v>UNIDO</v>
      </c>
      <c r="O32" s="15" t="str">
        <v>CRUCE_PERSONA_MU_2022_2026 / REGLA_MU_2027</v>
      </c>
      <c r="P32" s="15" t="str">
        <v>TEIQ20261</v>
      </c>
      <c r="Q32" s="15" t="str">
        <v>UNIDO</v>
      </c>
      <c r="R32" s="15" t="str">
        <v>Reutilizar el vínculo según su período y método; no extenderlo a otras cohortes.</v>
      </c>
      <c r="S32" s="24" t="n">
        <v>74</v>
      </c>
      <c r="T32" s="24" t="n">
        <v>73</v>
      </c>
      <c r="U32" s="24" t="n">
        <v>73</v>
      </c>
      <c r="V32" s="15" t="str">
        <v>CONTINUA</v>
      </c>
      <c r="W32" s="15" t="str">
        <v>B/C/D; E límites</v>
      </c>
      <c r="X32" s="15" t="str">
        <v>MATRIZ; H002; CIERRE; TECHO</v>
      </c>
      <c r="Y32" s="15"/>
      <c r="Z32" s="15"/>
      <c r="AA32" s="15" t="str">
        <v>PALETA</v>
      </c>
      <c r="AB32" s="15" t="str">
        <v>/Users/alexi/Documents/GitHub/CARACTERIZACIÓN/gobernanza/marca/paleta_ipss_2026.json</v>
      </c>
      <c r="AC32" s="15" t="str">
        <v>eaf142973cb8b28b4919cd156612587b0d811f94c3e3c41a4f480a1ef4828c26</v>
      </c>
      <c r="AD32" s="15" t="str">
        <v>A/C</v>
      </c>
      <c r="AE32" s="15" t="str">
        <v>Referencia externa por hash</v>
      </c>
      <c r="AF32" s="15"/>
      <c r="AG32" s="15"/>
      <c r="AH32" s="15"/>
      <c r="AI32" s="15"/>
      <c r="AJ32" s="15"/>
      <c r="AK32" s="15"/>
      <c r="AL32" s="15"/>
      <c r="AM32" s="15"/>
      <c r="AN32" s="15"/>
      <c r="AO32" s="15" t="str">
        <v>VERSION_POR_PLAN_O_ANIO</v>
      </c>
      <c r="AP32" s="15" t="str">
        <v>I162S2C6J2</v>
      </c>
      <c r="AQ32" s="23" t="n">
        <v>2023</v>
      </c>
      <c r="AR32" s="15" t="n">
        <v>3</v>
      </c>
      <c r="AS32" s="15" t="str">
        <v>Clasificación H005c; tipo UMAS v2 y SIES anual</v>
      </c>
      <c r="AT32" s="15"/>
      <c r="AU32" s="23" t="n">
        <v>2025</v>
      </c>
      <c r="AV32" s="15" t="str">
        <v>I162S2C46J4</v>
      </c>
      <c r="AW32" s="15" t="str">
        <v>CICIB20241</v>
      </c>
      <c r="AX32" s="15" t="str">
        <v>NUEVO</v>
      </c>
      <c r="AY32" s="15" t="str">
        <v>I162S2C46J4V1</v>
      </c>
      <c r="AZ32" s="15" t="str">
        <v>I162S2C46J4V3</v>
      </c>
      <c r="BA32" s="15" t="str">
        <v>Plan Regular de Continuidad</v>
      </c>
      <c r="BB32" s="15" t="n">
        <v>20</v>
      </c>
      <c r="BC32" s="15" t="str">
        <v>CORRECTO_TRASLADO_A_CONTINUIDAD</v>
      </c>
      <c r="BD32" s="15" t="str">
        <v>B/C</v>
      </c>
      <c r="BE32" s="15" t="str">
        <v>Plan de continuidad informado en versión de continuidad. El código esperado H002j no determina la coherencia.</v>
      </c>
      <c r="BF32" s="15" t="str">
        <v>SIN_EXPLICACION</v>
      </c>
      <c r="BG32" s="15" t="str">
        <v>CONTINUIDAD</v>
      </c>
      <c r="BH32" s="15" t="str">
        <v>CONTINUIDAD</v>
      </c>
    </row>
    <row r="33" ht="50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4" t="str">
        <v>I162S2C115J2V1</v>
      </c>
      <c r="N33" s="14" t="str">
        <v>UNIDO</v>
      </c>
      <c r="O33" s="14" t="str">
        <v>CRUCE_PERSONA_MU_2022_2026 / REGLA_MU_2027</v>
      </c>
      <c r="P33" s="14" t="str">
        <v>TFAR20261</v>
      </c>
      <c r="Q33" s="14" t="str">
        <v>UNIDO</v>
      </c>
      <c r="R33" s="14" t="str">
        <v>Reutilizar el vínculo según su período y método; no extenderlo a otras cohortes.</v>
      </c>
      <c r="S33" s="22" t="n">
        <v>23</v>
      </c>
      <c r="T33" s="22" t="n">
        <v>22</v>
      </c>
      <c r="U33" s="22" t="n">
        <v>22</v>
      </c>
      <c r="V33" s="14" t="str">
        <v>CONTINUA</v>
      </c>
      <c r="W33" s="14" t="str">
        <v>B/C/D; E límites</v>
      </c>
      <c r="X33" s="14" t="str">
        <v>MATRIZ; H002; CIERRE; TECHO</v>
      </c>
      <c r="Y33" s="15"/>
      <c r="Z33" s="15"/>
      <c r="AA33" s="14" t="str">
        <v>LISTADO_AC</v>
      </c>
      <c r="AB33" s="14" t="str">
        <v>/Users/alexi/Library/CloudStorage/OneDrive-InstitutoProfesionalSanSebastián/Datos DAI (RAW) - 1.1 Datos crudos/1.2.1 Datos Institucionales/1.2.1.1 SIES/Enviados/Avance Curricular/2026/Listado_Planes_estudio_Sedes RE+CO.xlsx</v>
      </c>
      <c r="AC33" s="14" t="str">
        <v>fb3a6847dca0745a197867090a9d7d12e8bb7e53e6b421f96826ea0c5657d049</v>
      </c>
      <c r="AD33" s="14" t="str">
        <v>B; solo hash, perfiles agregados reutilizados</v>
      </c>
      <c r="AE33" s="14" t="str">
        <v>Referencia externa por hash</v>
      </c>
      <c r="AF33" s="15"/>
      <c r="AG33" s="15"/>
      <c r="AH33" s="15"/>
      <c r="AI33" s="15"/>
      <c r="AJ33" s="15"/>
      <c r="AK33" s="15"/>
      <c r="AL33" s="15"/>
      <c r="AM33" s="15"/>
      <c r="AN33" s="15"/>
      <c r="AO33" s="14" t="str">
        <v>VERSION_POR_PLAN_O_ANIO</v>
      </c>
      <c r="AP33" s="14" t="str">
        <v>I162S2C6J2</v>
      </c>
      <c r="AQ33" s="21" t="n">
        <v>2025</v>
      </c>
      <c r="AR33" s="14" t="n">
        <v>2</v>
      </c>
      <c r="AS33" s="14" t="str">
        <v>Clasificación H005c; tipo UMAS v2 y SIES anual</v>
      </c>
      <c r="AT33" s="15"/>
      <c r="AU33" s="21" t="n">
        <v>2025</v>
      </c>
      <c r="AV33" s="14" t="str">
        <v>I162S2C6J2</v>
      </c>
      <c r="AW33" s="14" t="str">
        <v>TCRE20241</v>
      </c>
      <c r="AX33" s="14" t="str">
        <v>NUEVO</v>
      </c>
      <c r="AY33" s="14" t="str">
        <v>I162S2C6J2V1</v>
      </c>
      <c r="AZ33" s="14" t="str">
        <v>I162S2C6J2V2</v>
      </c>
      <c r="BA33" s="14" t="str">
        <v>Plan Regular</v>
      </c>
      <c r="BB33" s="14" t="n">
        <v>2</v>
      </c>
      <c r="BC33" s="14" t="str">
        <v>VERSION_POR_PLAN_O_ANIO</v>
      </c>
      <c r="BD33" s="14" t="str">
        <v>C</v>
      </c>
      <c r="BE33" s="14" t="str">
        <v>Plan regular informado en versión regular. Etiqueta descriptiva del reparto; no afirma causa individual del cambio.</v>
      </c>
      <c r="BF33" s="14" t="str">
        <v>VERSION_POR_PLAN_O_ANIO</v>
      </c>
      <c r="BG33" s="14" t="str">
        <v>REGULAR</v>
      </c>
      <c r="BH33" s="14" t="str">
        <v>REGULAR</v>
      </c>
    </row>
    <row r="34" ht="36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 t="str">
        <v>I162S2C115J3V1</v>
      </c>
      <c r="N34" s="15" t="str">
        <v>PENDIENTE</v>
      </c>
      <c r="O34" s="15" t="str">
        <v>SIN_UNION</v>
      </c>
      <c r="P34" s="15" t="str">
        <v>E</v>
      </c>
      <c r="Q34" s="15" t="str">
        <v>NUEVO_2027_SIN_ALUMNOS</v>
      </c>
      <c r="R34" s="15" t="str">
        <v>MU 2027: primera matrícula y cuadratura por código y total.</v>
      </c>
      <c r="S34" s="24" t="n">
        <v>0</v>
      </c>
      <c r="T34" s="24" t="n">
        <v>0</v>
      </c>
      <c r="U34" s="24" t="n">
        <v>0</v>
      </c>
      <c r="V34" s="15" t="str">
        <v>NUEVO_2027_SIN_PLAN_E</v>
      </c>
      <c r="W34" s="15" t="str">
        <v>B/C/D; E límites</v>
      </c>
      <c r="X34" s="15" t="str">
        <v>MATRIZ; H002; CIERRE; TECHO</v>
      </c>
      <c r="Y34" s="15"/>
      <c r="Z34" s="15"/>
      <c r="AA34" s="15" t="str">
        <v>DIAG253</v>
      </c>
      <c r="AB34" s="15" t="str">
        <v>/Users/alexi/Documents/GitHub/avance_curricular/outputs/regla_operativa_mu_v3_20261029/DIAGNOSTICO_253.json</v>
      </c>
      <c r="AC34" s="15" t="str">
        <v>9c4f4e8b8be749dd57641a02d6c1d6c4271d08b61a6f0445f17df659bcb3d06d</v>
      </c>
      <c r="AD34" s="15" t="str">
        <v>C/E</v>
      </c>
      <c r="AE34" s="15" t="str">
        <v>a0bb8f10b4143402b7dfc818c25506b74ead1ada</v>
      </c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23" t="n">
        <v>2025</v>
      </c>
      <c r="AV34" s="15" t="str">
        <v>I162S2C76J4</v>
      </c>
      <c r="AW34" s="15" t="str">
        <v>CIADM20241</v>
      </c>
      <c r="AX34" s="15" t="str">
        <v>NUEVO</v>
      </c>
      <c r="AY34" s="15" t="str">
        <v>I162S2C76J4V1</v>
      </c>
      <c r="AZ34" s="15" t="str">
        <v>I162S2C76J4V2</v>
      </c>
      <c r="BA34" s="15" t="str">
        <v>Plan Regular de Continuidad</v>
      </c>
      <c r="BB34" s="15" t="n">
        <v>1</v>
      </c>
      <c r="BC34" s="15" t="str">
        <v>ERROR_DE_CARGA_SEGUN_MANUAL</v>
      </c>
      <c r="BD34" s="15" t="str">
        <v>A criterio de versiones; C contraste de tipos</v>
      </c>
      <c r="BE34" s="15" t="str">
        <v>El tipo del plan UMAS v2 se cruza con el tipo de la versión informada en oferta_anual del mismo año.</v>
      </c>
      <c r="BF34" s="15" t="str">
        <v>ERROR_DE_CARGA_SEGUN_MANUAL</v>
      </c>
      <c r="BG34" s="15" t="str">
        <v>CONTINUIDAD</v>
      </c>
      <c r="BH34" s="15" t="str">
        <v>REGULAR</v>
      </c>
    </row>
    <row r="35" ht="36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4" t="str">
        <v>I162S2C116J4V1</v>
      </c>
      <c r="N35" s="14" t="str">
        <v>UNIDO</v>
      </c>
      <c r="O35" s="14" t="str">
        <v>CRUCE_PERSONA_MU_2022_2026 / REGLA_MU_2027</v>
      </c>
      <c r="P35" s="14" t="str">
        <v>TFIN20261</v>
      </c>
      <c r="Q35" s="14" t="str">
        <v>UNIDO</v>
      </c>
      <c r="R35" s="14" t="str">
        <v>Reutilizar el vínculo según su período y método; no extenderlo a otras cohortes.</v>
      </c>
      <c r="S35" s="22" t="n">
        <v>23</v>
      </c>
      <c r="T35" s="22" t="n">
        <v>23</v>
      </c>
      <c r="U35" s="22" t="n">
        <v>23</v>
      </c>
      <c r="V35" s="14" t="str">
        <v>CONTINUA</v>
      </c>
      <c r="W35" s="14" t="str">
        <v>B/C/D; E límites</v>
      </c>
      <c r="X35" s="14" t="str">
        <v>MATRIZ; H002; CIERRE; TECHO</v>
      </c>
      <c r="Y35" s="15"/>
      <c r="Z35" s="15"/>
      <c r="AA35" s="14" t="str">
        <v>MANUAL_OFERTA2027</v>
      </c>
      <c r="AB35" s="14" t="str">
        <v>/Users/alexi/Documents/GitHub/avance_curricular/oferta_academica_2027/01_fuentes_oficiales/Instructivo_Oferta_Academica-Acceso_CFT-IP 2027.txt</v>
      </c>
      <c r="AC35" s="14" t="str">
        <v>27095d34a42c37f23a875f925204fc99d03e53fa9011d66480167f834b790c7e</v>
      </c>
      <c r="AD35" s="14" t="str">
        <v>A</v>
      </c>
      <c r="AE35" s="14" t="str">
        <v>25fb135a7630c5f2602e5a653a126f0711aec7d4</v>
      </c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21" t="n">
        <v>2025</v>
      </c>
      <c r="AV35" s="14" t="str">
        <v>I162S2C77J4</v>
      </c>
      <c r="AW35" s="14" t="str">
        <v>CILOG20241</v>
      </c>
      <c r="AX35" s="14" t="str">
        <v>NUEVO</v>
      </c>
      <c r="AY35" s="14" t="str">
        <v>I162S2C77J4V1</v>
      </c>
      <c r="AZ35" s="14" t="str">
        <v>I162S2C77J4V2</v>
      </c>
      <c r="BA35" s="14" t="str">
        <v>Plan Regular de Continuidad</v>
      </c>
      <c r="BB35" s="14" t="n">
        <v>3</v>
      </c>
      <c r="BC35" s="14" t="str">
        <v>ERROR_DE_CARGA_SEGUN_MANUAL</v>
      </c>
      <c r="BD35" s="14" t="str">
        <v>A criterio de versiones; C contraste de tipos</v>
      </c>
      <c r="BE35" s="14" t="str">
        <v>El tipo del plan UMAS v2 se cruza con el tipo de la versión informada en oferta_anual del mismo año.</v>
      </c>
      <c r="BF35" s="14" t="str">
        <v>ERROR_DE_CARGA_SEGUN_MANUAL</v>
      </c>
      <c r="BG35" s="14" t="str">
        <v>CONTINUIDAD</v>
      </c>
      <c r="BH35" s="14" t="str">
        <v>REGULAR</v>
      </c>
    </row>
    <row r="36" ht="36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 t="str">
        <v>I162S2C117J4V1</v>
      </c>
      <c r="N36" s="15" t="str">
        <v>UNIDO</v>
      </c>
      <c r="O36" s="15" t="str">
        <v>CRUCE_PERSONA_MU_2022_2026 / REGLA_MU_2027</v>
      </c>
      <c r="P36" s="15" t="str">
        <v>TICL20261</v>
      </c>
      <c r="Q36" s="15" t="str">
        <v>UNIDO</v>
      </c>
      <c r="R36" s="15" t="str">
        <v>Reutilizar el vínculo según su período y método; no extenderlo a otras cohortes.</v>
      </c>
      <c r="S36" s="24" t="n">
        <v>12</v>
      </c>
      <c r="T36" s="24" t="n">
        <v>12</v>
      </c>
      <c r="U36" s="24" t="n">
        <v>11</v>
      </c>
      <c r="V36" s="15" t="str">
        <v>CONTINUA</v>
      </c>
      <c r="W36" s="15" t="str">
        <v>B/C/D; E límites</v>
      </c>
      <c r="X36" s="15" t="str">
        <v>MATRIZ; H002; CIERRE; TECHO</v>
      </c>
      <c r="Y36" s="15"/>
      <c r="Z36" s="15"/>
      <c r="AA36" s="15" t="str">
        <v>LIMITES_VERSION</v>
      </c>
      <c r="AB36" s="15" t="str">
        <v>/Users/alexi/Documents/GitHub/avance_curricular/docs/unificacion_proyectos_y_reglas_negocio_20261015.md</v>
      </c>
      <c r="AC36" s="15" t="str">
        <v>ef7d47f940f46045fc1c179642fd76807b8f3c876f03b1c1bc680271434a3d53</v>
      </c>
      <c r="AD36" s="15" t="str">
        <v>A/C/E</v>
      </c>
      <c r="AE36" s="15" t="str">
        <v>55e3b709afb9483f0ecdd2d166f67229a454a5ef</v>
      </c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23" t="n">
        <v>2026</v>
      </c>
      <c r="AV36" s="15" t="str">
        <v>I162S2C1J1</v>
      </c>
      <c r="AW36" s="15" t="str">
        <v>IINF20241</v>
      </c>
      <c r="AX36" s="15" t="str">
        <v>ANTIGUO</v>
      </c>
      <c r="AY36" s="15" t="str">
        <v>I162S2C1J1V2</v>
      </c>
      <c r="AZ36" s="15" t="str">
        <v>I162S2C1J1V1</v>
      </c>
      <c r="BA36" s="15" t="str">
        <v>Plan Regular</v>
      </c>
      <c r="BB36" s="15" t="n">
        <v>2</v>
      </c>
      <c r="BC36" s="15" t="str">
        <v>VERSION_POR_PLAN_O_ANIO</v>
      </c>
      <c r="BD36" s="15" t="str">
        <v>C</v>
      </c>
      <c r="BE36" s="15" t="str">
        <v>Plan regular informado en versión regular. Etiqueta descriptiva del reparto; no afirma causa individual del cambio.</v>
      </c>
      <c r="BF36" s="15" t="str">
        <v>VERSION_POR_PLAN_O_ANIO</v>
      </c>
      <c r="BG36" s="15" t="str">
        <v>REGULAR</v>
      </c>
      <c r="BH36" s="15" t="str">
        <v>REGULAR</v>
      </c>
    </row>
    <row r="37" ht="36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4" t="str">
        <v>I162S2C118J4V1</v>
      </c>
      <c r="N37" s="14" t="str">
        <v>UNIDO</v>
      </c>
      <c r="O37" s="14" t="str">
        <v>CRUCE_PERSONA_MU_2022_2026 / REGLA_MU_2027</v>
      </c>
      <c r="P37" s="14" t="str">
        <v>TMDI20261</v>
      </c>
      <c r="Q37" s="14" t="str">
        <v>UNIDO</v>
      </c>
      <c r="R37" s="14" t="str">
        <v>Reutilizar el vínculo según su período y método; no extenderlo a otras cohortes.</v>
      </c>
      <c r="S37" s="22" t="n">
        <v>62</v>
      </c>
      <c r="T37" s="22" t="n">
        <v>62</v>
      </c>
      <c r="U37" s="22" t="n">
        <v>62</v>
      </c>
      <c r="V37" s="14" t="str">
        <v>CONTINUA</v>
      </c>
      <c r="W37" s="14" t="str">
        <v>B/C/D; E límites</v>
      </c>
      <c r="X37" s="14" t="str">
        <v>MATRIZ; H002; CIERRE; TECHO</v>
      </c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21" t="n">
        <v>2026</v>
      </c>
      <c r="AV37" s="14" t="str">
        <v>I162S2C1J1</v>
      </c>
      <c r="AW37" s="14" t="str">
        <v>IINF20241</v>
      </c>
      <c r="AX37" s="14" t="str">
        <v>ANTIGUO</v>
      </c>
      <c r="AY37" s="14" t="str">
        <v>I162S2C1J1V2</v>
      </c>
      <c r="AZ37" s="14" t="str">
        <v>I162S2C1J1V1</v>
      </c>
      <c r="BA37" s="14" t="str">
        <v>Plan Regular</v>
      </c>
      <c r="BB37" s="14" t="n">
        <v>3</v>
      </c>
      <c r="BC37" s="14" t="str">
        <v>VERSION_POR_PLAN_O_ANIO</v>
      </c>
      <c r="BD37" s="14" t="str">
        <v>C</v>
      </c>
      <c r="BE37" s="14" t="str">
        <v>Plan regular informado en versión regular. Etiqueta descriptiva del reparto; no afirma causa individual del cambio.</v>
      </c>
      <c r="BF37" s="14" t="str">
        <v>VERSION_POR_PLAN_O_ANIO</v>
      </c>
      <c r="BG37" s="14" t="str">
        <v>REGULAR</v>
      </c>
      <c r="BH37" s="14" t="str">
        <v>REGULAR</v>
      </c>
    </row>
    <row r="38" ht="36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 t="str">
        <v>I162S2C119J4V1</v>
      </c>
      <c r="N38" s="15" t="str">
        <v>UNIDO</v>
      </c>
      <c r="O38" s="15" t="str">
        <v>CRUCE_PERSONA_MU_2022_2026 / REGLA_MU_2027</v>
      </c>
      <c r="P38" s="15" t="str">
        <v>TRHU20261</v>
      </c>
      <c r="Q38" s="15" t="str">
        <v>UNIDO</v>
      </c>
      <c r="R38" s="15" t="str">
        <v>Reutilizar el vínculo según su período y método; no extenderlo a otras cohortes.</v>
      </c>
      <c r="S38" s="24" t="n">
        <v>28</v>
      </c>
      <c r="T38" s="24" t="n">
        <v>28</v>
      </c>
      <c r="U38" s="24" t="n">
        <v>26</v>
      </c>
      <c r="V38" s="15" t="str">
        <v>CONTINUA</v>
      </c>
      <c r="W38" s="15" t="str">
        <v>B/C/D; E límites</v>
      </c>
      <c r="X38" s="15" t="str">
        <v>MATRIZ; H002; CIERRE; TECHO</v>
      </c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23" t="n">
        <v>2026</v>
      </c>
      <c r="AV38" s="15" t="str">
        <v>I162S2C1J2</v>
      </c>
      <c r="AW38" s="15" t="str">
        <v>IINF20241</v>
      </c>
      <c r="AX38" s="15" t="str">
        <v>ANTIGUO</v>
      </c>
      <c r="AY38" s="15" t="str">
        <v>I162S2C1J2V4</v>
      </c>
      <c r="AZ38" s="15" t="str">
        <v>I162S2C1J2V1</v>
      </c>
      <c r="BA38" s="15" t="str">
        <v>Plan Regular</v>
      </c>
      <c r="BB38" s="15" t="n">
        <v>3</v>
      </c>
      <c r="BC38" s="15" t="str">
        <v>VERSION_POR_PLAN_O_ANIO</v>
      </c>
      <c r="BD38" s="15" t="str">
        <v>C</v>
      </c>
      <c r="BE38" s="15" t="str">
        <v>Plan regular informado en versión regular. Etiqueta descriptiva del reparto; no afirma causa individual del cambio.</v>
      </c>
      <c r="BF38" s="15" t="str">
        <v>SIN_EXPLICACION</v>
      </c>
      <c r="BG38" s="15" t="str">
        <v>REGULAR</v>
      </c>
      <c r="BH38" s="15" t="str">
        <v>REGULAR</v>
      </c>
    </row>
    <row r="39" ht="36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4" t="str">
        <v>I162S2C11J1V1</v>
      </c>
      <c r="N39" s="14" t="str">
        <v>UNIDO</v>
      </c>
      <c r="O39" s="14" t="str">
        <v>APROBACION_D_2027</v>
      </c>
      <c r="P39" s="14" t="str">
        <v>TMIRE20131 / TMIRE20151 / TMIRE20171 / TMIRE2020 / TMIRE20211</v>
      </c>
      <c r="Q39" s="14" t="str">
        <v>UNIDO</v>
      </c>
      <c r="R39" s="14" t="str">
        <v>Reutilizar el vínculo según su período y método; no extenderlo a otras cohortes.</v>
      </c>
      <c r="S39" s="22" t="n">
        <v>0</v>
      </c>
      <c r="T39" s="22" t="n">
        <v>0</v>
      </c>
      <c r="U39" s="22" t="n">
        <v>0</v>
      </c>
      <c r="V39" s="14" t="str">
        <v>APROBADA_D_2027</v>
      </c>
      <c r="W39" s="14" t="str">
        <v>B/C/D; E límites</v>
      </c>
      <c r="X39" s="14" t="str">
        <v>MATRIZ; H002; CIERRE; TECHO</v>
      </c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21" t="n">
        <v>2026</v>
      </c>
      <c r="AV39" s="14" t="str">
        <v>I162S2C1J2</v>
      </c>
      <c r="AW39" s="14" t="str">
        <v>IINF20241</v>
      </c>
      <c r="AX39" s="14" t="str">
        <v>ANTIGUO</v>
      </c>
      <c r="AY39" s="14" t="str">
        <v>I162S2C1J2V4</v>
      </c>
      <c r="AZ39" s="14" t="str">
        <v>I162S2C1J2V1</v>
      </c>
      <c r="BA39" s="14" t="str">
        <v>Plan Regular</v>
      </c>
      <c r="BB39" s="14" t="n">
        <v>2</v>
      </c>
      <c r="BC39" s="14" t="str">
        <v>VERSION_POR_PLAN_O_ANIO</v>
      </c>
      <c r="BD39" s="14" t="str">
        <v>C</v>
      </c>
      <c r="BE39" s="14" t="str">
        <v>Plan regular informado en versión regular. Etiqueta descriptiva del reparto; no afirma causa individual del cambio.</v>
      </c>
      <c r="BF39" s="14" t="str">
        <v>SIN_EXPLICACION</v>
      </c>
      <c r="BG39" s="14" t="str">
        <v>REGULAR</v>
      </c>
      <c r="BH39" s="14" t="str">
        <v>REGULAR</v>
      </c>
    </row>
    <row r="40" ht="36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 t="str">
        <v>I162S2C11J2V1</v>
      </c>
      <c r="N40" s="15" t="str">
        <v>UNIDO</v>
      </c>
      <c r="O40" s="15" t="str">
        <v>CRUCE_PERSONA_MU_2022_2026</v>
      </c>
      <c r="P40" s="15" t="str">
        <v>TMIRE20171 / TMIRE2020 / TMIRE20211</v>
      </c>
      <c r="Q40" s="15" t="str">
        <v>UNIDO</v>
      </c>
      <c r="R40" s="15" t="str">
        <v>Reutilizar el vínculo según su período y método; no extenderlo a otras cohortes.</v>
      </c>
      <c r="S40" s="24" t="n">
        <v>12</v>
      </c>
      <c r="T40" s="24" t="n">
        <v>12</v>
      </c>
      <c r="U40" s="24" t="n">
        <v>11</v>
      </c>
      <c r="V40" s="15" t="str">
        <v>CONTINUA</v>
      </c>
      <c r="W40" s="15" t="str">
        <v>B/C/D; E límites</v>
      </c>
      <c r="X40" s="15" t="str">
        <v>MATRIZ; H002; CIERRE; TECHO</v>
      </c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23" t="n">
        <v>2026</v>
      </c>
      <c r="AV40" s="15" t="str">
        <v>I162S2C1J4</v>
      </c>
      <c r="AW40" s="15" t="str">
        <v>CIINF20241</v>
      </c>
      <c r="AX40" s="15" t="str">
        <v>ANTIGUO</v>
      </c>
      <c r="AY40" s="15" t="str">
        <v>I162S2C1J4V3</v>
      </c>
      <c r="AZ40" s="15" t="str">
        <v>I162S2C1J4V2</v>
      </c>
      <c r="BA40" s="15" t="str">
        <v>Plan Regular de Continuidad</v>
      </c>
      <c r="BB40" s="15" t="n">
        <v>1</v>
      </c>
      <c r="BC40" s="15" t="str">
        <v>CORRECTO_TRASLADO_A_CONTINUIDAD</v>
      </c>
      <c r="BD40" s="15" t="str">
        <v>B/C</v>
      </c>
      <c r="BE40" s="15" t="str">
        <v>Plan de continuidad informado en versión de continuidad. El código esperado H002j no determina la coherencia.</v>
      </c>
      <c r="BF40" s="15" t="str">
        <v>SIN_EXPLICACION</v>
      </c>
      <c r="BG40" s="15" t="str">
        <v>CONTINUIDAD</v>
      </c>
      <c r="BH40" s="15" t="str">
        <v>CONTINUIDAD</v>
      </c>
    </row>
    <row r="41" ht="36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4" t="str">
        <v>I162S2C11J4V1</v>
      </c>
      <c r="N41" s="14" t="str">
        <v>PENDIENTE</v>
      </c>
      <c r="O41" s="14" t="str">
        <v>SIN_UNION</v>
      </c>
      <c r="P41" s="14" t="str">
        <v>E</v>
      </c>
      <c r="Q41" s="14" t="str">
        <v>NUEVO_2027_SIN_ALUMNOS</v>
      </c>
      <c r="R41" s="14" t="str">
        <v>MU 2027: primera matrícula y cuadratura por código y total.</v>
      </c>
      <c r="S41" s="22" t="n">
        <v>0</v>
      </c>
      <c r="T41" s="22" t="n">
        <v>0</v>
      </c>
      <c r="U41" s="22" t="n">
        <v>0</v>
      </c>
      <c r="V41" s="14" t="str">
        <v>NUEVO_2027_SIN_PLAN_E</v>
      </c>
      <c r="W41" s="14" t="str">
        <v>B/C/D; E límites</v>
      </c>
      <c r="X41" s="14" t="str">
        <v>MATRIZ; H002; CIERRE; TECHO</v>
      </c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21" t="n">
        <v>2026</v>
      </c>
      <c r="AV41" s="14" t="str">
        <v>I162S2C1J4</v>
      </c>
      <c r="AW41" s="14" t="str">
        <v>CIINF20241</v>
      </c>
      <c r="AX41" s="14" t="str">
        <v>ANTIGUO</v>
      </c>
      <c r="AY41" s="14" t="str">
        <v>I162S2C1J4V3</v>
      </c>
      <c r="AZ41" s="14" t="str">
        <v>I162S2C1J4V2</v>
      </c>
      <c r="BA41" s="14" t="str">
        <v>Plan Regular de Continuidad</v>
      </c>
      <c r="BB41" s="14" t="n">
        <v>22</v>
      </c>
      <c r="BC41" s="14" t="str">
        <v>CORRECTO_TRASLADO_A_CONTINUIDAD</v>
      </c>
      <c r="BD41" s="14" t="str">
        <v>B/C</v>
      </c>
      <c r="BE41" s="14" t="str">
        <v>Plan de continuidad informado en versión de continuidad. El código esperado H002j no determina la coherencia.</v>
      </c>
      <c r="BF41" s="14" t="str">
        <v>SIN_EXPLICACION</v>
      </c>
      <c r="BG41" s="14" t="str">
        <v>CONTINUIDAD</v>
      </c>
      <c r="BH41" s="14" t="str">
        <v>CONTINUIDAD</v>
      </c>
    </row>
    <row r="42" ht="36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 t="str">
        <v>I162S2C124J4V1</v>
      </c>
      <c r="N42" s="15" t="str">
        <v>UNIDO</v>
      </c>
      <c r="O42" s="15" t="str">
        <v>CRUCE_PERSONA_MU_2022_2026 / REGLA_MU_2027</v>
      </c>
      <c r="P42" s="15" t="str">
        <v>IPRE20261</v>
      </c>
      <c r="Q42" s="15" t="str">
        <v>UNIDO</v>
      </c>
      <c r="R42" s="15" t="str">
        <v>Reutilizar el vínculo según su período y método; no extenderlo a otras cohortes.</v>
      </c>
      <c r="S42" s="24" t="n">
        <v>24</v>
      </c>
      <c r="T42" s="24" t="n">
        <v>24</v>
      </c>
      <c r="U42" s="24" t="n">
        <v>24</v>
      </c>
      <c r="V42" s="15" t="str">
        <v>VERSION_MULTIPLE_RESUELTA</v>
      </c>
      <c r="W42" s="15" t="str">
        <v>B/C/D; E límites</v>
      </c>
      <c r="X42" s="15" t="str">
        <v>MATRIZ; H002; CIERRE; TECHO</v>
      </c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23" t="n">
        <v>2026</v>
      </c>
      <c r="AV42" s="15" t="str">
        <v>I162S2C3J2</v>
      </c>
      <c r="AW42" s="15" t="str">
        <v>ICRE20241</v>
      </c>
      <c r="AX42" s="15" t="str">
        <v>ANTIGUO</v>
      </c>
      <c r="AY42" s="15" t="str">
        <v>I162S2C3J2V4</v>
      </c>
      <c r="AZ42" s="15" t="str">
        <v>I162S2C3J2V1</v>
      </c>
      <c r="BA42" s="15" t="str">
        <v>Plan Regular</v>
      </c>
      <c r="BB42" s="15" t="n">
        <v>1</v>
      </c>
      <c r="BC42" s="15" t="str">
        <v>VERSION_POR_PLAN_O_ANIO</v>
      </c>
      <c r="BD42" s="15" t="str">
        <v>C</v>
      </c>
      <c r="BE42" s="15" t="str">
        <v>Plan regular informado en versión regular. Etiqueta descriptiva del reparto; no afirma causa individual del cambio.</v>
      </c>
      <c r="BF42" s="15" t="str">
        <v>SIN_EXPLICACION</v>
      </c>
      <c r="BG42" s="15" t="str">
        <v>REGULAR</v>
      </c>
      <c r="BH42" s="15" t="str">
        <v>REGULAR</v>
      </c>
    </row>
    <row r="43" ht="36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4" t="str">
        <v>I162S2C124J4V2</v>
      </c>
      <c r="N43" s="14" t="str">
        <v>UNIDO</v>
      </c>
      <c r="O43" s="14" t="str">
        <v>REGLA_MU_2027</v>
      </c>
      <c r="P43" s="14" t="str">
        <v>CIPRE20261</v>
      </c>
      <c r="Q43" s="14" t="str">
        <v>UNIDO</v>
      </c>
      <c r="R43" s="14" t="str">
        <v>Reutilizar el vínculo según su período y método; no extenderlo a otras cohortes.</v>
      </c>
      <c r="S43" s="22" t="n">
        <v>0</v>
      </c>
      <c r="T43" s="22" t="n">
        <v>0</v>
      </c>
      <c r="U43" s="22" t="n">
        <v>0</v>
      </c>
      <c r="V43" s="14" t="str">
        <v>VERSION_MULTIPLE_RESUELTA</v>
      </c>
      <c r="W43" s="14" t="str">
        <v>B/C/D; E límites</v>
      </c>
      <c r="X43" s="14" t="str">
        <v>MATRIZ; H002; CIERRE; TECHO</v>
      </c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21" t="n">
        <v>2026</v>
      </c>
      <c r="AV43" s="14" t="str">
        <v>I162S2C3J4</v>
      </c>
      <c r="AW43" s="14" t="str">
        <v>CICRE20241</v>
      </c>
      <c r="AX43" s="14" t="str">
        <v>ANTIGUO</v>
      </c>
      <c r="AY43" s="14" t="str">
        <v>I162S2C3J4V3</v>
      </c>
      <c r="AZ43" s="14" t="str">
        <v>I162S2C3J4V2</v>
      </c>
      <c r="BA43" s="14" t="str">
        <v>Plan Regular de Continuidad</v>
      </c>
      <c r="BB43" s="14" t="n">
        <v>2</v>
      </c>
      <c r="BC43" s="14" t="str">
        <v>CORRECTO_TRASLADO_A_CONTINUIDAD</v>
      </c>
      <c r="BD43" s="14" t="str">
        <v>B/C</v>
      </c>
      <c r="BE43" s="14" t="str">
        <v>Plan de continuidad informado en versión de continuidad. El código esperado H002j no determina la coherencia.</v>
      </c>
      <c r="BF43" s="14" t="str">
        <v>SIN_EXPLICACION</v>
      </c>
      <c r="BG43" s="14" t="str">
        <v>CONTINUIDAD</v>
      </c>
      <c r="BH43" s="14" t="str">
        <v>CONTINUIDAD</v>
      </c>
    </row>
    <row r="44" ht="36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 t="str">
        <v>I162S2C125J4V1</v>
      </c>
      <c r="N44" s="15" t="str">
        <v>UNIDO</v>
      </c>
      <c r="O44" s="15" t="str">
        <v>CRUCE_PERSONA_MU_2022_2026 / REGLA_MU_2027</v>
      </c>
      <c r="P44" s="15" t="str">
        <v>ISEP20261</v>
      </c>
      <c r="Q44" s="15" t="str">
        <v>UNIDO</v>
      </c>
      <c r="R44" s="15" t="str">
        <v>Reutilizar el vínculo según su período y método; no extenderlo a otras cohortes.</v>
      </c>
      <c r="S44" s="24" t="n">
        <v>11</v>
      </c>
      <c r="T44" s="24" t="n">
        <v>11</v>
      </c>
      <c r="U44" s="24" t="n">
        <v>11</v>
      </c>
      <c r="V44" s="15" t="str">
        <v>VERSION_MULTIPLE_RESUELTA</v>
      </c>
      <c r="W44" s="15" t="str">
        <v>B/C/D; E límites</v>
      </c>
      <c r="X44" s="15" t="str">
        <v>MATRIZ; H002; CIERRE; TECHO</v>
      </c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23" t="n">
        <v>2026</v>
      </c>
      <c r="AV44" s="15" t="str">
        <v>I162S2C3J4</v>
      </c>
      <c r="AW44" s="15" t="str">
        <v>CICRE20241</v>
      </c>
      <c r="AX44" s="15" t="str">
        <v>ANTIGUO</v>
      </c>
      <c r="AY44" s="15" t="str">
        <v>I162S2C3J4V3</v>
      </c>
      <c r="AZ44" s="15" t="str">
        <v>I162S2C3J4V2</v>
      </c>
      <c r="BA44" s="15" t="str">
        <v>Plan Regular de Continuidad</v>
      </c>
      <c r="BB44" s="15" t="n">
        <v>40</v>
      </c>
      <c r="BC44" s="15" t="str">
        <v>CORRECTO_TRASLADO_A_CONTINUIDAD</v>
      </c>
      <c r="BD44" s="15" t="str">
        <v>B/C</v>
      </c>
      <c r="BE44" s="15" t="str">
        <v>Plan de continuidad informado en versión de continuidad. El código esperado H002j no determina la coherencia.</v>
      </c>
      <c r="BF44" s="15" t="str">
        <v>SIN_EXPLICACION</v>
      </c>
      <c r="BG44" s="15" t="str">
        <v>CONTINUIDAD</v>
      </c>
      <c r="BH44" s="15" t="str">
        <v>CONTINUIDAD</v>
      </c>
    </row>
    <row r="45" ht="36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4" t="str">
        <v>I162S2C125J4V2</v>
      </c>
      <c r="N45" s="14" t="str">
        <v>UNIDO</v>
      </c>
      <c r="O45" s="14" t="str">
        <v>REGLA_MU_2027</v>
      </c>
      <c r="P45" s="14" t="str">
        <v>CISEP20261</v>
      </c>
      <c r="Q45" s="14" t="str">
        <v>UNIDO</v>
      </c>
      <c r="R45" s="14" t="str">
        <v>Reutilizar el vínculo según su período y método; no extenderlo a otras cohortes.</v>
      </c>
      <c r="S45" s="22" t="n">
        <v>0</v>
      </c>
      <c r="T45" s="22" t="n">
        <v>0</v>
      </c>
      <c r="U45" s="22" t="n">
        <v>0</v>
      </c>
      <c r="V45" s="14" t="str">
        <v>VERSION_MULTIPLE_RESUELTA</v>
      </c>
      <c r="W45" s="14" t="str">
        <v>B/C/D; E límites</v>
      </c>
      <c r="X45" s="14" t="str">
        <v>MATRIZ; H002; CIERRE; TECHO</v>
      </c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21" t="n">
        <v>2026</v>
      </c>
      <c r="AV45" s="14" t="str">
        <v>I162S2C46J4</v>
      </c>
      <c r="AW45" s="14" t="str">
        <v>CICIB20241</v>
      </c>
      <c r="AX45" s="14" t="str">
        <v>ANTIGUO</v>
      </c>
      <c r="AY45" s="14" t="str">
        <v>I162S2C46J4V1</v>
      </c>
      <c r="AZ45" s="14" t="str">
        <v>I162S2C46J4V3</v>
      </c>
      <c r="BA45" s="14" t="str">
        <v>Plan Regular de Continuidad</v>
      </c>
      <c r="BB45" s="14" t="n">
        <v>26</v>
      </c>
      <c r="BC45" s="14" t="str">
        <v>CORRECTO_TRASLADO_A_CONTINUIDAD</v>
      </c>
      <c r="BD45" s="14" t="str">
        <v>B/C</v>
      </c>
      <c r="BE45" s="14" t="str">
        <v>Plan de continuidad informado en versión de continuidad. El código esperado H002j no determina la coherencia.</v>
      </c>
      <c r="BF45" s="14" t="str">
        <v>SIN_EXPLICACION</v>
      </c>
      <c r="BG45" s="14" t="str">
        <v>CONTINUIDAD</v>
      </c>
      <c r="BH45" s="14" t="str">
        <v>CONTINUIDAD</v>
      </c>
    </row>
    <row r="46" ht="36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 t="str">
        <v>I162S2C130J4V1</v>
      </c>
      <c r="N46" s="15" t="str">
        <v>PENDIENTE</v>
      </c>
      <c r="O46" s="15" t="str">
        <v>SIN_UNION</v>
      </c>
      <c r="P46" s="15" t="str">
        <v>E</v>
      </c>
      <c r="Q46" s="15" t="str">
        <v>NUEVO_2027_SIN_ALUMNOS</v>
      </c>
      <c r="R46" s="15" t="str">
        <v>MU 2027: primera matrícula y cuadratura por código y total.</v>
      </c>
      <c r="S46" s="24" t="n">
        <v>0</v>
      </c>
      <c r="T46" s="24" t="n">
        <v>0</v>
      </c>
      <c r="U46" s="24" t="n">
        <v>0</v>
      </c>
      <c r="V46" s="15" t="str">
        <v>NUEVO_2027_SIN_PLAN_E</v>
      </c>
      <c r="W46" s="15" t="str">
        <v>B/C/D; E límites</v>
      </c>
      <c r="X46" s="15" t="str">
        <v>MATRIZ; H002; CIERRE; TECHO</v>
      </c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23" t="n">
        <v>2026</v>
      </c>
      <c r="AV46" s="15" t="str">
        <v>I162S2C77J4</v>
      </c>
      <c r="AW46" s="15" t="str">
        <v>CILOG20241</v>
      </c>
      <c r="AX46" s="15" t="str">
        <v>ANTIGUO</v>
      </c>
      <c r="AY46" s="15" t="str">
        <v>I162S2C77J4V2</v>
      </c>
      <c r="AZ46" s="15" t="str">
        <v>I162S2C77J4V1</v>
      </c>
      <c r="BA46" s="15" t="str">
        <v>Plan Regular de Continuidad</v>
      </c>
      <c r="BB46" s="15" t="n">
        <v>3</v>
      </c>
      <c r="BC46" s="15" t="str">
        <v>CORRECTO_TRASLADO_A_CONTINUIDAD</v>
      </c>
      <c r="BD46" s="15" t="str">
        <v>B/C</v>
      </c>
      <c r="BE46" s="15" t="str">
        <v>Plan de continuidad informado en versión de continuidad. El código esperado H002j no determina la coherencia.</v>
      </c>
      <c r="BF46" s="15" t="str">
        <v>SIN_EXPLICACION</v>
      </c>
      <c r="BG46" s="15" t="str">
        <v>CONTINUIDAD</v>
      </c>
      <c r="BH46" s="15" t="str">
        <v>CONTINUIDAD</v>
      </c>
    </row>
    <row r="47" ht="36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4" t="str">
        <v>I162S2C130J4V2</v>
      </c>
      <c r="N47" s="14" t="str">
        <v>PENDIENTE</v>
      </c>
      <c r="O47" s="14" t="str">
        <v>SIN_UNION</v>
      </c>
      <c r="P47" s="14" t="str">
        <v>E</v>
      </c>
      <c r="Q47" s="14" t="str">
        <v>NUEVO_2027_SIN_ALUMNOS</v>
      </c>
      <c r="R47" s="14" t="str">
        <v>MU 2027: primera matrícula y cuadratura por código y total.</v>
      </c>
      <c r="S47" s="22" t="n">
        <v>0</v>
      </c>
      <c r="T47" s="22" t="n">
        <v>0</v>
      </c>
      <c r="U47" s="22" t="n">
        <v>0</v>
      </c>
      <c r="V47" s="14" t="str">
        <v>NUEVO_2027_SIN_PLAN_E</v>
      </c>
      <c r="W47" s="14" t="str">
        <v>B/C/D; E límites</v>
      </c>
      <c r="X47" s="14" t="str">
        <v>MATRIZ; H002; CIERRE; TECHO</v>
      </c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</row>
    <row r="48" ht="36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 t="str">
        <v>I162S2C131J4V1</v>
      </c>
      <c r="N48" s="15" t="str">
        <v>PENDIENTE</v>
      </c>
      <c r="O48" s="15" t="str">
        <v>SIN_UNION</v>
      </c>
      <c r="P48" s="15" t="str">
        <v>E</v>
      </c>
      <c r="Q48" s="15" t="str">
        <v>NUEVO_2027_SIN_ALUMNOS</v>
      </c>
      <c r="R48" s="15" t="str">
        <v>MU 2027: primera matrícula y cuadratura por código y total.</v>
      </c>
      <c r="S48" s="24" t="n">
        <v>0</v>
      </c>
      <c r="T48" s="24" t="n">
        <v>0</v>
      </c>
      <c r="U48" s="24" t="n">
        <v>0</v>
      </c>
      <c r="V48" s="15" t="str">
        <v>NUEVO_2027_SIN_PLAN_E</v>
      </c>
      <c r="W48" s="15" t="str">
        <v>B/C/D; E límites</v>
      </c>
      <c r="X48" s="15" t="str">
        <v>MATRIZ; H002; CIERRE; TECHO</v>
      </c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</row>
    <row r="49" ht="36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4" t="str">
        <v>I162S2C132J3V1</v>
      </c>
      <c r="N49" s="14" t="str">
        <v>PENDIENTE</v>
      </c>
      <c r="O49" s="14" t="str">
        <v>SIN_UNION</v>
      </c>
      <c r="P49" s="14" t="str">
        <v>E</v>
      </c>
      <c r="Q49" s="14" t="str">
        <v>NUEVO_2027_SIN_ALUMNOS</v>
      </c>
      <c r="R49" s="14" t="str">
        <v>MU 2027: primera matrícula y cuadratura por código y total.</v>
      </c>
      <c r="S49" s="22" t="n">
        <v>0</v>
      </c>
      <c r="T49" s="22" t="n">
        <v>0</v>
      </c>
      <c r="U49" s="22" t="n">
        <v>0</v>
      </c>
      <c r="V49" s="14" t="str">
        <v>NUEVO_2027_SIN_PLAN_E</v>
      </c>
      <c r="W49" s="14" t="str">
        <v>B/C/D; E límites</v>
      </c>
      <c r="X49" s="14" t="str">
        <v>MATRIZ; H002; CIERRE; TECHO</v>
      </c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3" t="str">
        <v>En 2024–2025, los alumnos de los planes de continuidad CICRE, CICIB y CIINF se informaron en el código regular; en 2026 los planes observados quedaron 100 % en su versión de continuidad.
Los traslados V2→V3 de 2025–2026 son correcciones de coherencia de tipo, no inconsistencias.
La tabla incluye continuidad correcta en 2025; CICIB usa V3 regular→V1 continuidad. Un CICRE 2026 sin plan observado queda NO_EVALUABLE. No certifica trayectorias individuales ni aplica cambios.</v>
      </c>
      <c r="AP49" s="13" t="str">
        <v>En 2024–2025, los alumnos de los planes de continuidad CICRE, CICIB y CIINF se informaron en el código regular; en 2026 los planes observados quedaron 100 % en su versión de continuidad.
Los traslados V2→V3 de 2025–2026 son correcciones de coherencia de tipo, no inconsistencias.
La tabla incluye continuidad correcta en 2025; CICIB usa V3 regular→V1 continuidad. Un CICRE 2026 sin plan observado queda NO_EVALUABLE. No certifica trayectorias individuales ni aplica cambios.</v>
      </c>
      <c r="AQ49" s="13" t="str">
        <v>En 2024–2025, los alumnos de los planes de continuidad CICRE, CICIB y CIINF se informaron en el código regular; en 2026 los planes observados quedaron 100 % en su versión de continuidad.
Los traslados V2→V3 de 2025–2026 son correcciones de coherencia de tipo, no inconsistencias.
La tabla incluye continuidad correcta en 2025; CICIB usa V3 regular→V1 continuidad. Un CICRE 2026 sin plan observado queda NO_EVALUABLE. No certifica trayectorias individuales ni aplica cambios.</v>
      </c>
      <c r="AR49" s="13" t="str">
        <v>En 2024–2025, los alumnos de los planes de continuidad CICRE, CICIB y CIINF se informaron en el código regular; en 2026 los planes observados quedaron 100 % en su versión de continuidad.
Los traslados V2→V3 de 2025–2026 son correcciones de coherencia de tipo, no inconsistencias.
La tabla incluye continuidad correcta en 2025; CICIB usa V3 regular→V1 continuidad. Un CICRE 2026 sin plan observado queda NO_EVALUABLE. No certifica trayectorias individuales ni aplica cambios.</v>
      </c>
      <c r="AS49" s="13" t="str">
        <v>En 2024–2025, los alumnos de los planes de continuidad CICRE, CICIB y CIINF se informaron en el código regular; en 2026 los planes observados quedaron 100 % en su versión de continuidad.
Los traslados V2→V3 de 2025–2026 son correcciones de coherencia de tipo, no inconsistencias.
La tabla incluye continuidad correcta en 2025; CICIB usa V3 regular→V1 continuidad. Un CICRE 2026 sin plan observado queda NO_EVALUABLE. No certifica trayectorias individuales ni aplica cambios.</v>
      </c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</row>
    <row r="50" ht="36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 t="str">
        <v>I162S2C133J3V1</v>
      </c>
      <c r="N50" s="15" t="str">
        <v>PENDIENTE</v>
      </c>
      <c r="O50" s="15" t="str">
        <v>SIN_UNION</v>
      </c>
      <c r="P50" s="15" t="str">
        <v>E</v>
      </c>
      <c r="Q50" s="15" t="str">
        <v>NUEVO_2027_SIN_ALUMNOS</v>
      </c>
      <c r="R50" s="15" t="str">
        <v>MU 2027: primera matrícula y cuadratura por código y total.</v>
      </c>
      <c r="S50" s="24" t="n">
        <v>0</v>
      </c>
      <c r="T50" s="24" t="n">
        <v>0</v>
      </c>
      <c r="U50" s="24" t="n">
        <v>0</v>
      </c>
      <c r="V50" s="15" t="str">
        <v>NUEVO_2027_SIN_PLAN_E</v>
      </c>
      <c r="W50" s="15" t="str">
        <v>B/C/D; E límites</v>
      </c>
      <c r="X50" s="15" t="str">
        <v>MATRIZ; H002; CIERRE; TECHO</v>
      </c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3" t="str">
        <v>En 2024–2025, los alumnos de los planes de continuidad CICRE, CICIB y CIINF se informaron en el código regular; en 2026 los planes observados quedaron 100 % en su versión de continuidad.
Los traslados V2→V3 de 2025–2026 son correcciones de coherencia de tipo, no inconsistencias.
La tabla incluye continuidad correcta en 2025; CICIB usa V3 regular→V1 continuidad. Un CICRE 2026 sin plan observado queda NO_EVALUABLE. No certifica trayectorias individuales ni aplica cambios.</v>
      </c>
      <c r="AP50" s="13" t="str">
        <v>En 2024–2025, los alumnos de los planes de continuidad CICRE, CICIB y CIINF se informaron en el código regular; en 2026 los planes observados quedaron 100 % en su versión de continuidad.
Los traslados V2→V3 de 2025–2026 son correcciones de coherencia de tipo, no inconsistencias.
La tabla incluye continuidad correcta en 2025; CICIB usa V3 regular→V1 continuidad. Un CICRE 2026 sin plan observado queda NO_EVALUABLE. No certifica trayectorias individuales ni aplica cambios.</v>
      </c>
      <c r="AQ50" s="13" t="str">
        <v>En 2024–2025, los alumnos de los planes de continuidad CICRE, CICIB y CIINF se informaron en el código regular; en 2026 los planes observados quedaron 100 % en su versión de continuidad.
Los traslados V2→V3 de 2025–2026 son correcciones de coherencia de tipo, no inconsistencias.
La tabla incluye continuidad correcta en 2025; CICIB usa V3 regular→V1 continuidad. Un CICRE 2026 sin plan observado queda NO_EVALUABLE. No certifica trayectorias individuales ni aplica cambios.</v>
      </c>
      <c r="AR50" s="13" t="str">
        <v>En 2024–2025, los alumnos de los planes de continuidad CICRE, CICIB y CIINF se informaron en el código regular; en 2026 los planes observados quedaron 100 % en su versión de continuidad.
Los traslados V2→V3 de 2025–2026 son correcciones de coherencia de tipo, no inconsistencias.
La tabla incluye continuidad correcta en 2025; CICIB usa V3 regular→V1 continuidad. Un CICRE 2026 sin plan observado queda NO_EVALUABLE. No certifica trayectorias individuales ni aplica cambios.</v>
      </c>
      <c r="AS50" s="13" t="str">
        <v>En 2024–2025, los alumnos de los planes de continuidad CICRE, CICIB y CIINF se informaron en el código regular; en 2026 los planes observados quedaron 100 % en su versión de continuidad.
Los traslados V2→V3 de 2025–2026 son correcciones de coherencia de tipo, no inconsistencias.
La tabla incluye continuidad correcta en 2025; CICIB usa V3 regular→V1 continuidad. Un CICRE 2026 sin plan observado queda NO_EVALUABLE. No certifica trayectorias individuales ni aplica cambios.</v>
      </c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</row>
    <row r="51" ht="36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4" t="str">
        <v>I162S2C134J4V1</v>
      </c>
      <c r="N51" s="14" t="str">
        <v>PENDIENTE</v>
      </c>
      <c r="O51" s="14" t="str">
        <v>SIN_UNION</v>
      </c>
      <c r="P51" s="14" t="str">
        <v>E</v>
      </c>
      <c r="Q51" s="14" t="str">
        <v>NUEVO_2027_SIN_ALUMNOS</v>
      </c>
      <c r="R51" s="14" t="str">
        <v>MU 2027: primera matrícula y cuadratura por código y total.</v>
      </c>
      <c r="S51" s="22" t="n">
        <v>0</v>
      </c>
      <c r="T51" s="22" t="n">
        <v>0</v>
      </c>
      <c r="U51" s="22" t="n">
        <v>0</v>
      </c>
      <c r="V51" s="14" t="str">
        <v>NUEVO_2027_SIN_PLAN_E</v>
      </c>
      <c r="W51" s="14" t="str">
        <v>B/C/D; E límites</v>
      </c>
      <c r="X51" s="14" t="str">
        <v>MATRIZ; H002; CIERRE; TECHO</v>
      </c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3" t="str">
        <v>En 2024–2025, los alumnos de los planes de continuidad CICRE, CICIB y CIINF se informaron en el código regular; en 2026 los planes observados quedaron 100 % en su versión de continuidad.
Los traslados V2→V3 de 2025–2026 son correcciones de coherencia de tipo, no inconsistencias.
La tabla incluye continuidad correcta en 2025; CICIB usa V3 regular→V1 continuidad. Un CICRE 2026 sin plan observado queda NO_EVALUABLE. No certifica trayectorias individuales ni aplica cambios.</v>
      </c>
      <c r="AP51" s="13" t="str">
        <v>En 2024–2025, los alumnos de los planes de continuidad CICRE, CICIB y CIINF se informaron en el código regular; en 2026 los planes observados quedaron 100 % en su versión de continuidad.
Los traslados V2→V3 de 2025–2026 son correcciones de coherencia de tipo, no inconsistencias.
La tabla incluye continuidad correcta en 2025; CICIB usa V3 regular→V1 continuidad. Un CICRE 2026 sin plan observado queda NO_EVALUABLE. No certifica trayectorias individuales ni aplica cambios.</v>
      </c>
      <c r="AQ51" s="13" t="str">
        <v>En 2024–2025, los alumnos de los planes de continuidad CICRE, CICIB y CIINF se informaron en el código regular; en 2026 los planes observados quedaron 100 % en su versión de continuidad.
Los traslados V2→V3 de 2025–2026 son correcciones de coherencia de tipo, no inconsistencias.
La tabla incluye continuidad correcta en 2025; CICIB usa V3 regular→V1 continuidad. Un CICRE 2026 sin plan observado queda NO_EVALUABLE. No certifica trayectorias individuales ni aplica cambios.</v>
      </c>
      <c r="AR51" s="13" t="str">
        <v>En 2024–2025, los alumnos de los planes de continuidad CICRE, CICIB y CIINF se informaron en el código regular; en 2026 los planes observados quedaron 100 % en su versión de continuidad.
Los traslados V2→V3 de 2025–2026 son correcciones de coherencia de tipo, no inconsistencias.
La tabla incluye continuidad correcta en 2025; CICIB usa V3 regular→V1 continuidad. Un CICRE 2026 sin plan observado queda NO_EVALUABLE. No certifica trayectorias individuales ni aplica cambios.</v>
      </c>
      <c r="AS51" s="13" t="str">
        <v>En 2024–2025, los alumnos de los planes de continuidad CICRE, CICIB y CIINF se informaron en el código regular; en 2026 los planes observados quedaron 100 % en su versión de continuidad.
Los traslados V2→V3 de 2025–2026 son correcciones de coherencia de tipo, no inconsistencias.
La tabla incluye continuidad correcta en 2025; CICIB usa V3 regular→V1 continuidad. Un CICRE 2026 sin plan observado queda NO_EVALUABLE. No certifica trayectorias individuales ni aplica cambios.</v>
      </c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</row>
    <row r="52" ht="36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 t="str">
        <v>I162S2C135J4V1</v>
      </c>
      <c r="N52" s="15" t="str">
        <v>PENDIENTE</v>
      </c>
      <c r="O52" s="15" t="str">
        <v>SIN_UNION</v>
      </c>
      <c r="P52" s="15" t="str">
        <v>E</v>
      </c>
      <c r="Q52" s="15" t="str">
        <v>NUEVO_2027_SIN_ALUMNOS</v>
      </c>
      <c r="R52" s="15" t="str">
        <v>MU 2027: primera matrícula y cuadratura por código y total.</v>
      </c>
      <c r="S52" s="24" t="n">
        <v>0</v>
      </c>
      <c r="T52" s="24" t="n">
        <v>0</v>
      </c>
      <c r="U52" s="24" t="n">
        <v>0</v>
      </c>
      <c r="V52" s="15" t="str">
        <v>NUEVO_2027_SIN_PLAN_E</v>
      </c>
      <c r="W52" s="15" t="str">
        <v>B/C/D; E límites</v>
      </c>
      <c r="X52" s="15" t="str">
        <v>MATRIZ; H002; CIERRE; TECHO</v>
      </c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</row>
    <row r="53" ht="36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4" t="str">
        <v>I162S2C136J4V1</v>
      </c>
      <c r="N53" s="14" t="str">
        <v>PENDIENTE</v>
      </c>
      <c r="O53" s="14" t="str">
        <v>SIN_UNION</v>
      </c>
      <c r="P53" s="14" t="str">
        <v>E</v>
      </c>
      <c r="Q53" s="14" t="str">
        <v>NUEVO_2027_SIN_ALUMNOS</v>
      </c>
      <c r="R53" s="14" t="str">
        <v>MU 2027: primera matrícula y cuadratura por código y total.</v>
      </c>
      <c r="S53" s="22" t="n">
        <v>0</v>
      </c>
      <c r="T53" s="22" t="n">
        <v>0</v>
      </c>
      <c r="U53" s="22" t="n">
        <v>0</v>
      </c>
      <c r="V53" s="14" t="str">
        <v>NUEVO_2027_SIN_PLAN_E</v>
      </c>
      <c r="W53" s="14" t="str">
        <v>B/C/D; E límites</v>
      </c>
      <c r="X53" s="14" t="str">
        <v>MATRIZ; H002; CIERRE; TECHO</v>
      </c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</row>
    <row r="54" ht="36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 t="str">
        <v>I162S2C137J3V1</v>
      </c>
      <c r="N54" s="15" t="str">
        <v>PENDIENTE</v>
      </c>
      <c r="O54" s="15" t="str">
        <v>SIN_UNION</v>
      </c>
      <c r="P54" s="15" t="str">
        <v>E</v>
      </c>
      <c r="Q54" s="15" t="str">
        <v>NUEVO_2027_SIN_ALUMNOS</v>
      </c>
      <c r="R54" s="15" t="str">
        <v>MU 2027: primera matrícula y cuadratura por código y total.</v>
      </c>
      <c r="S54" s="24" t="n">
        <v>0</v>
      </c>
      <c r="T54" s="24" t="n">
        <v>0</v>
      </c>
      <c r="U54" s="24" t="n">
        <v>0</v>
      </c>
      <c r="V54" s="15" t="str">
        <v>NUEVO_2027_SIN_PLAN_E</v>
      </c>
      <c r="W54" s="15" t="str">
        <v>B/C/D; E límites</v>
      </c>
      <c r="X54" s="15" t="str">
        <v>MATRIZ; H002; CIERRE; TECHO</v>
      </c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</row>
    <row r="55" ht="36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4" t="str">
        <v>I162S2C138J3V1</v>
      </c>
      <c r="N55" s="14" t="str">
        <v>PENDIENTE</v>
      </c>
      <c r="O55" s="14" t="str">
        <v>SIN_UNION</v>
      </c>
      <c r="P55" s="14" t="str">
        <v>E</v>
      </c>
      <c r="Q55" s="14" t="str">
        <v>NUEVO_2027_SIN_ALUMNOS</v>
      </c>
      <c r="R55" s="14" t="str">
        <v>MU 2027: primera matrícula y cuadratura por código y total.</v>
      </c>
      <c r="S55" s="22" t="n">
        <v>0</v>
      </c>
      <c r="T55" s="22" t="n">
        <v>0</v>
      </c>
      <c r="U55" s="22" t="n">
        <v>0</v>
      </c>
      <c r="V55" s="14" t="str">
        <v>NUEVO_2027_SIN_PLAN_E</v>
      </c>
      <c r="W55" s="14" t="str">
        <v>B/C/D; E límites</v>
      </c>
      <c r="X55" s="14" t="str">
        <v>MATRIZ; H002; CIERRE; TECHO</v>
      </c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9" t="str">
        <v>Año</v>
      </c>
      <c r="AP55" s="9" t="str">
        <v>CORRECTO_SEGUN_MANUAL</v>
      </c>
      <c r="AQ55" s="9" t="str">
        <v>ERROR_DE_CARGA_SEGUN_MANUAL</v>
      </c>
      <c r="AR55" s="9" t="str">
        <v>NO_EVALUABLE</v>
      </c>
      <c r="AS55" s="9" t="str">
        <v>Total enlazadas</v>
      </c>
      <c r="AT55" s="15"/>
      <c r="AU55" s="9" t="str">
        <v>Año</v>
      </c>
      <c r="AV55" s="9" t="str">
        <v>CODCARPR</v>
      </c>
      <c r="AW55" s="9" t="str">
        <v>Plan UMAS</v>
      </c>
      <c r="AX55" s="9" t="str">
        <v>Código informado</v>
      </c>
      <c r="AY55" s="9" t="str">
        <v>Tipo UMAS v2</v>
      </c>
      <c r="AZ55" s="9" t="str">
        <v>Tipo SIES anual</v>
      </c>
      <c r="BA55" s="9" t="str">
        <v>Matrículas-año</v>
      </c>
      <c r="BB55" s="9" t="str">
        <v>Clase</v>
      </c>
      <c r="BC55" s="15"/>
      <c r="BD55" s="15"/>
      <c r="BE55" s="15"/>
      <c r="BF55" s="15"/>
      <c r="BG55" s="15"/>
      <c r="BH55" s="15"/>
    </row>
    <row r="56" ht="50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 t="str">
        <v>I162S2C139J3V1</v>
      </c>
      <c r="N56" s="15" t="str">
        <v>PENDIENTE</v>
      </c>
      <c r="O56" s="15" t="str">
        <v>SIN_UNION</v>
      </c>
      <c r="P56" s="15" t="str">
        <v>E</v>
      </c>
      <c r="Q56" s="15" t="str">
        <v>NUEVO_2027_SIN_ALUMNOS</v>
      </c>
      <c r="R56" s="15" t="str">
        <v>MU 2027: primera matrícula y cuadratura por código y total.</v>
      </c>
      <c r="S56" s="24" t="n">
        <v>0</v>
      </c>
      <c r="T56" s="24" t="n">
        <v>0</v>
      </c>
      <c r="U56" s="24" t="n">
        <v>0</v>
      </c>
      <c r="V56" s="15" t="str">
        <v>NUEVO_2027_SIN_PLAN_E</v>
      </c>
      <c r="W56" s="15" t="str">
        <v>B/C/D; E límites</v>
      </c>
      <c r="X56" s="15" t="str">
        <v>MATRIZ; H002; CIERRE; TECHO</v>
      </c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21" t="n">
        <v>2022</v>
      </c>
      <c r="AP56" s="31" t="n">
        <f>SUMIFS(AR68:AR107,AO68:AO107,AO56,AS68:AS107,"CORRECTO_SEGUN_MANUAL")</f>
        <v>812</v>
      </c>
      <c r="AQ56" s="31" t="n">
        <f>SUMIFS(AR68:AR107,AO68:AO107,AO56,AS68:AS107,"ERROR_DE_CARGA_SEGUN_MANUAL")</f>
        <v>0</v>
      </c>
      <c r="AR56" s="31" t="n">
        <f>SUMIFS(AR68:AR107,AO68:AO107,AO56,AS68:AS107,"NO_EVALUABLE")</f>
        <v>176</v>
      </c>
      <c r="AS56" s="31" t="n">
        <f>SUM(AP56:AR56)</f>
        <v>988</v>
      </c>
      <c r="AT56" s="15"/>
      <c r="AU56" s="21" t="n">
        <v>2024</v>
      </c>
      <c r="AV56" s="14" t="str">
        <v>CICIB</v>
      </c>
      <c r="AW56" s="14" t="str">
        <v>CICIB20241</v>
      </c>
      <c r="AX56" s="14" t="str">
        <v>I162S2C46J4V3</v>
      </c>
      <c r="AY56" s="14" t="str">
        <v>CONTINUIDAD</v>
      </c>
      <c r="AZ56" s="14" t="str">
        <v>REGULAR</v>
      </c>
      <c r="BA56" s="14" t="n">
        <v>44</v>
      </c>
      <c r="BB56" s="14" t="str">
        <v>A criterio; C contraste; no modifica carga</v>
      </c>
      <c r="BC56" s="15"/>
      <c r="BD56" s="15"/>
      <c r="BE56" s="15"/>
      <c r="BF56" s="15"/>
      <c r="BG56" s="15"/>
      <c r="BH56" s="15"/>
    </row>
    <row r="57" ht="50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4" t="str">
        <v>I162S2C140J4V1</v>
      </c>
      <c r="N57" s="14" t="str">
        <v>PENDIENTE</v>
      </c>
      <c r="O57" s="14" t="str">
        <v>SIN_UNION</v>
      </c>
      <c r="P57" s="14" t="str">
        <v>E</v>
      </c>
      <c r="Q57" s="14" t="str">
        <v>NUEVO_2027_SIN_ALUMNOS</v>
      </c>
      <c r="R57" s="14" t="str">
        <v>MU 2027: primera matrícula y cuadratura por código y total.</v>
      </c>
      <c r="S57" s="22" t="n">
        <v>0</v>
      </c>
      <c r="T57" s="22" t="n">
        <v>0</v>
      </c>
      <c r="U57" s="22" t="n">
        <v>0</v>
      </c>
      <c r="V57" s="14" t="str">
        <v>NUEVO_2027_SIN_PLAN_E</v>
      </c>
      <c r="W57" s="14" t="str">
        <v>B/C/D; E límites</v>
      </c>
      <c r="X57" s="14" t="str">
        <v>MATRIZ; H002; CIERRE; TECHO</v>
      </c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23" t="n">
        <v>2023</v>
      </c>
      <c r="AP57" s="32" t="n">
        <f>SUMIFS(AR68:AR107,AO68:AO107,AO57,AS68:AS107,"CORRECTO_SEGUN_MANUAL")</f>
        <v>929</v>
      </c>
      <c r="AQ57" s="32" t="n">
        <f>SUMIFS(AR68:AR107,AO68:AO107,AO57,AS68:AS107,"ERROR_DE_CARGA_SEGUN_MANUAL")</f>
        <v>0</v>
      </c>
      <c r="AR57" s="32" t="n">
        <f>SUMIFS(AR68:AR107,AO68:AO107,AO57,AS68:AS107,"NO_EVALUABLE")</f>
        <v>177</v>
      </c>
      <c r="AS57" s="32" t="n">
        <f>SUM(AP57:AR57)</f>
        <v>1106</v>
      </c>
      <c r="AT57" s="15"/>
      <c r="AU57" s="23" t="n">
        <v>2024</v>
      </c>
      <c r="AV57" s="15" t="str">
        <v>CICRE</v>
      </c>
      <c r="AW57" s="15" t="str">
        <v>CICRE20241</v>
      </c>
      <c r="AX57" s="15" t="str">
        <v>I162S2C3J4V2</v>
      </c>
      <c r="AY57" s="15" t="str">
        <v>CONTINUIDAD</v>
      </c>
      <c r="AZ57" s="15" t="str">
        <v>REGULAR</v>
      </c>
      <c r="BA57" s="15" t="n">
        <v>59</v>
      </c>
      <c r="BB57" s="15" t="str">
        <v>A criterio; C contraste; no modifica carga</v>
      </c>
      <c r="BC57" s="15"/>
      <c r="BD57" s="15"/>
      <c r="BE57" s="15"/>
      <c r="BF57" s="15"/>
      <c r="BG57" s="15"/>
      <c r="BH57" s="15"/>
    </row>
    <row r="58" ht="50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 t="str">
        <v>I162S2C142J4V1</v>
      </c>
      <c r="N58" s="15" t="str">
        <v>PENDIENTE</v>
      </c>
      <c r="O58" s="15" t="str">
        <v>SIN_UNION</v>
      </c>
      <c r="P58" s="15" t="str">
        <v>E</v>
      </c>
      <c r="Q58" s="15" t="str">
        <v>NUEVO_2027_SIN_ALUMNOS</v>
      </c>
      <c r="R58" s="15" t="str">
        <v>MU 2027: primera matrícula y cuadratura por código y total.</v>
      </c>
      <c r="S58" s="24" t="n">
        <v>0</v>
      </c>
      <c r="T58" s="24" t="n">
        <v>0</v>
      </c>
      <c r="U58" s="24" t="n">
        <v>0</v>
      </c>
      <c r="V58" s="15" t="str">
        <v>NUEVO_2027_SIN_PLAN_E</v>
      </c>
      <c r="W58" s="15" t="str">
        <v>B/C/D; E límites</v>
      </c>
      <c r="X58" s="15" t="str">
        <v>MATRIZ; H002; CIERRE; TECHO</v>
      </c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21" t="n">
        <v>2024</v>
      </c>
      <c r="AP58" s="31" t="n">
        <f>SUMIFS(AR68:AR107,AO68:AO107,AO58,AS68:AS107,"CORRECTO_SEGUN_MANUAL")</f>
        <v>1129</v>
      </c>
      <c r="AQ58" s="31" t="n">
        <f>SUMIFS(AR68:AR107,AO68:AO107,AO58,AS68:AS107,"ERROR_DE_CARGA_SEGUN_MANUAL")</f>
        <v>133</v>
      </c>
      <c r="AR58" s="31" t="n">
        <f>SUMIFS(AR68:AR107,AO68:AO107,AO58,AS68:AS107,"NO_EVALUABLE")</f>
        <v>111</v>
      </c>
      <c r="AS58" s="31" t="n">
        <f>SUM(AP58:AR58)</f>
        <v>1373</v>
      </c>
      <c r="AT58" s="15"/>
      <c r="AU58" s="21" t="n">
        <v>2024</v>
      </c>
      <c r="AV58" s="14" t="str">
        <v>CIINF</v>
      </c>
      <c r="AW58" s="14" t="str">
        <v>CIINF20241</v>
      </c>
      <c r="AX58" s="14" t="str">
        <v>I162S2C1J4V2</v>
      </c>
      <c r="AY58" s="14" t="str">
        <v>CONTINUIDAD</v>
      </c>
      <c r="AZ58" s="14" t="str">
        <v>REGULAR</v>
      </c>
      <c r="BA58" s="14" t="n">
        <v>28</v>
      </c>
      <c r="BB58" s="14" t="str">
        <v>A criterio; C contraste; no modifica carga</v>
      </c>
      <c r="BC58" s="15"/>
      <c r="BD58" s="15"/>
      <c r="BE58" s="15"/>
      <c r="BF58" s="15"/>
      <c r="BG58" s="15"/>
      <c r="BH58" s="15"/>
    </row>
    <row r="59" ht="50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4" t="str">
        <v>I162S2C143J3V1</v>
      </c>
      <c r="N59" s="14" t="str">
        <v>PENDIENTE</v>
      </c>
      <c r="O59" s="14" t="str">
        <v>SIN_UNION</v>
      </c>
      <c r="P59" s="14" t="str">
        <v>E</v>
      </c>
      <c r="Q59" s="14" t="str">
        <v>NUEVO_2027_SIN_ALUMNOS</v>
      </c>
      <c r="R59" s="14" t="str">
        <v>MU 2027: primera matrícula y cuadratura por código y total.</v>
      </c>
      <c r="S59" s="22" t="n">
        <v>0</v>
      </c>
      <c r="T59" s="22" t="n">
        <v>0</v>
      </c>
      <c r="U59" s="22" t="n">
        <v>0</v>
      </c>
      <c r="V59" s="14" t="str">
        <v>NUEVO_2027_SIN_PLAN_E</v>
      </c>
      <c r="W59" s="14" t="str">
        <v>B/C/D; E límites</v>
      </c>
      <c r="X59" s="14" t="str">
        <v>MATRIZ; H002; CIERRE; TECHO</v>
      </c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23" t="n">
        <v>2025</v>
      </c>
      <c r="AP59" s="32" t="n">
        <f>SUMIFS(AR68:AR107,AO68:AO107,AO59,AS68:AS107,"CORRECTO_SEGUN_MANUAL")</f>
        <v>1929</v>
      </c>
      <c r="AQ59" s="32" t="n">
        <f>SUMIFS(AR68:AR107,AO68:AO107,AO59,AS68:AS107,"ERROR_DE_CARGA_SEGUN_MANUAL")</f>
        <v>171</v>
      </c>
      <c r="AR59" s="32" t="n">
        <f>SUMIFS(AR68:AR107,AO68:AO107,AO59,AS68:AS107,"NO_EVALUABLE")</f>
        <v>124</v>
      </c>
      <c r="AS59" s="32" t="n">
        <f>SUM(AP59:AR59)</f>
        <v>2224</v>
      </c>
      <c r="AT59" s="15"/>
      <c r="AU59" s="23" t="n">
        <v>2024</v>
      </c>
      <c r="AV59" s="15" t="str">
        <v>IECSREOL</v>
      </c>
      <c r="AW59" s="15" t="str">
        <v>IECSREOL20211</v>
      </c>
      <c r="AX59" s="15" t="str">
        <v>I162S2C46J4V1</v>
      </c>
      <c r="AY59" s="15" t="str">
        <v>REGULAR</v>
      </c>
      <c r="AZ59" s="15" t="str">
        <v>CONTINUIDAD</v>
      </c>
      <c r="BA59" s="15" t="n">
        <v>1</v>
      </c>
      <c r="BB59" s="15" t="str">
        <v>A criterio; C contraste; no modifica carga</v>
      </c>
      <c r="BC59" s="15"/>
      <c r="BD59" s="15"/>
      <c r="BE59" s="15"/>
      <c r="BF59" s="15"/>
      <c r="BG59" s="15"/>
      <c r="BH59" s="15"/>
    </row>
    <row r="60" ht="50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 t="str">
        <v>I162S2C1J1V1</v>
      </c>
      <c r="N60" s="15" t="str">
        <v>UNIDO</v>
      </c>
      <c r="O60" s="15" t="str">
        <v>CRUCE_PERSONA_MU_2022_2026</v>
      </c>
      <c r="P60" s="15" t="str">
        <v>IINF20241</v>
      </c>
      <c r="Q60" s="15" t="str">
        <v>UNIDO</v>
      </c>
      <c r="R60" s="15" t="str">
        <v>Reutilizar el vínculo según su período y método; no extenderlo a otras cohortes.</v>
      </c>
      <c r="S60" s="24" t="n">
        <v>9</v>
      </c>
      <c r="T60" s="24" t="n">
        <v>6</v>
      </c>
      <c r="U60" s="24" t="n">
        <v>6</v>
      </c>
      <c r="V60" s="15" t="str">
        <v>CONTINUA</v>
      </c>
      <c r="W60" s="15" t="str">
        <v>B/C/D; E límites</v>
      </c>
      <c r="X60" s="15" t="str">
        <v>MATRIZ; H002; CIERRE; TECHO</v>
      </c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21" t="n">
        <v>2026</v>
      </c>
      <c r="AP60" s="31" t="n">
        <f>SUMIFS(AR68:AR107,AO68:AO107,AO60,AS68:AS107,"CORRECTO_SEGUN_MANUAL")</f>
        <v>2908</v>
      </c>
      <c r="AQ60" s="31" t="n">
        <f>SUMIFS(AR68:AR107,AO68:AO107,AO60,AS68:AS107,"ERROR_DE_CARGA_SEGUN_MANUAL")</f>
        <v>0</v>
      </c>
      <c r="AR60" s="31" t="n">
        <f>SUMIFS(AR68:AR107,AO68:AO107,AO60,AS68:AS107,"NO_EVALUABLE")</f>
        <v>215</v>
      </c>
      <c r="AS60" s="31" t="n">
        <f>SUM(AP60:AR60)</f>
        <v>3123</v>
      </c>
      <c r="AT60" s="15"/>
      <c r="AU60" s="21" t="n">
        <v>2024</v>
      </c>
      <c r="AV60" s="14" t="str">
        <v>IINF</v>
      </c>
      <c r="AW60" s="14" t="str">
        <v>IINF20241</v>
      </c>
      <c r="AX60" s="14" t="str">
        <v>I162S2C1J4V3</v>
      </c>
      <c r="AY60" s="14" t="str">
        <v>REGULAR</v>
      </c>
      <c r="AZ60" s="14" t="str">
        <v>CONTINUIDAD</v>
      </c>
      <c r="BA60" s="14" t="n">
        <v>1</v>
      </c>
      <c r="BB60" s="14" t="str">
        <v>A criterio; C contraste; no modifica carga</v>
      </c>
      <c r="BC60" s="15"/>
      <c r="BD60" s="15"/>
      <c r="BE60" s="15"/>
      <c r="BF60" s="15"/>
      <c r="BG60" s="15"/>
      <c r="BH60" s="15"/>
    </row>
    <row r="61" ht="50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4" t="str">
        <v>I162S2C1J1V2</v>
      </c>
      <c r="N61" s="14" t="str">
        <v>UNIDO</v>
      </c>
      <c r="O61" s="14" t="str">
        <v>CRUCE_PERSONA_MU_2022_2026</v>
      </c>
      <c r="P61" s="14" t="str">
        <v>IECIRE20191 / IECIRE2020 / IECIRE20211 / IINF20241</v>
      </c>
      <c r="Q61" s="14" t="str">
        <v>UNIDO</v>
      </c>
      <c r="R61" s="14" t="str">
        <v>Reutilizar el vínculo según su período y método; no extenderlo a otras cohortes.</v>
      </c>
      <c r="S61" s="22" t="n">
        <v>95</v>
      </c>
      <c r="T61" s="22" t="n">
        <v>80</v>
      </c>
      <c r="U61" s="22" t="n">
        <v>77</v>
      </c>
      <c r="V61" s="14" t="str">
        <v>CONTINUA</v>
      </c>
      <c r="W61" s="14" t="str">
        <v>B/C/D; E límites</v>
      </c>
      <c r="X61" s="14" t="str">
        <v>MATRIZ; H002; CIERRE; TECHO</v>
      </c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23" t="n">
        <v>2025</v>
      </c>
      <c r="AV61" s="15" t="str">
        <v>CIADM</v>
      </c>
      <c r="AW61" s="15" t="str">
        <v>CIADM20241</v>
      </c>
      <c r="AX61" s="15" t="str">
        <v>I162S2C76J4V1</v>
      </c>
      <c r="AY61" s="15" t="str">
        <v>CONTINUIDAD</v>
      </c>
      <c r="AZ61" s="15" t="str">
        <v>REGULAR</v>
      </c>
      <c r="BA61" s="15" t="n">
        <v>1</v>
      </c>
      <c r="BB61" s="15" t="str">
        <v>A criterio; C contraste; no modifica carga</v>
      </c>
      <c r="BC61" s="15"/>
      <c r="BD61" s="15"/>
      <c r="BE61" s="15"/>
      <c r="BF61" s="15"/>
      <c r="BG61" s="15"/>
      <c r="BH61" s="15"/>
    </row>
    <row r="62" ht="50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 t="str">
        <v>I162S2C1J2V1</v>
      </c>
      <c r="N62" s="15" t="str">
        <v>UNIDO</v>
      </c>
      <c r="O62" s="15" t="str">
        <v>CRUCE_PERSONA_MU_2022_2026</v>
      </c>
      <c r="P62" s="15" t="str">
        <v>IINF20241</v>
      </c>
      <c r="Q62" s="15" t="str">
        <v>UNIDO</v>
      </c>
      <c r="R62" s="15" t="str">
        <v>Reutilizar el vínculo según su período y método; no extenderlo a otras cohortes.</v>
      </c>
      <c r="S62" s="24" t="n">
        <v>9</v>
      </c>
      <c r="T62" s="24" t="n">
        <v>8</v>
      </c>
      <c r="U62" s="24" t="n">
        <v>7</v>
      </c>
      <c r="V62" s="15" t="str">
        <v>CONTINUA</v>
      </c>
      <c r="W62" s="15" t="str">
        <v>B/C/D; E límites</v>
      </c>
      <c r="X62" s="15" t="str">
        <v>MATRIZ; H002; CIERRE; TECHO</v>
      </c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21" t="n">
        <v>2025</v>
      </c>
      <c r="AV62" s="14" t="str">
        <v>CICIB</v>
      </c>
      <c r="AW62" s="14" t="str">
        <v>CICIB20241</v>
      </c>
      <c r="AX62" s="14" t="str">
        <v>I162S2C46J4V3</v>
      </c>
      <c r="AY62" s="14" t="str">
        <v>CONTINUIDAD</v>
      </c>
      <c r="AZ62" s="14" t="str">
        <v>REGULAR</v>
      </c>
      <c r="BA62" s="14" t="n">
        <v>54</v>
      </c>
      <c r="BB62" s="14" t="str">
        <v>A criterio; C contraste; no modifica carga</v>
      </c>
      <c r="BC62" s="15"/>
      <c r="BD62" s="15"/>
      <c r="BE62" s="15"/>
      <c r="BF62" s="15"/>
      <c r="BG62" s="15"/>
      <c r="BH62" s="15"/>
    </row>
    <row r="63" ht="50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4" t="str">
        <v>I162S2C1J2V2</v>
      </c>
      <c r="N63" s="14" t="str">
        <v>PENDIENTE</v>
      </c>
      <c r="O63" s="14" t="str">
        <v>SOLO_SIES_PRE_2022</v>
      </c>
      <c r="P63" s="14" t="str">
        <v>E</v>
      </c>
      <c r="Q63" s="14" t="str">
        <v>SOLO_ANTES_2022</v>
      </c>
      <c r="R63" s="14" t="str">
        <v>Cierre E: Datos Alumnos no conserva el histórico; solo reabrir con registro UMAS anual.</v>
      </c>
      <c r="S63" s="22" t="n">
        <v>0</v>
      </c>
      <c r="T63" s="22" t="n">
        <v>0</v>
      </c>
      <c r="U63" s="22" t="n">
        <v>0</v>
      </c>
      <c r="V63" s="14" t="str">
        <v>CONTINUA</v>
      </c>
      <c r="W63" s="14" t="str">
        <v>B/C/D; E límites</v>
      </c>
      <c r="X63" s="14" t="str">
        <v>MATRIZ; H002; CIERRE; TECHO</v>
      </c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23" t="n">
        <v>2025</v>
      </c>
      <c r="AV63" s="15" t="str">
        <v>CICRE</v>
      </c>
      <c r="AW63" s="15" t="str">
        <v>CICRE20241</v>
      </c>
      <c r="AX63" s="15" t="str">
        <v>I162S2C3J4V2</v>
      </c>
      <c r="AY63" s="15" t="str">
        <v>CONTINUIDAD</v>
      </c>
      <c r="AZ63" s="15" t="str">
        <v>REGULAR</v>
      </c>
      <c r="BA63" s="15" t="n">
        <v>71</v>
      </c>
      <c r="BB63" s="15" t="str">
        <v>A criterio; C contraste; no modifica carga</v>
      </c>
      <c r="BC63" s="15"/>
      <c r="BD63" s="15"/>
      <c r="BE63" s="15"/>
      <c r="BF63" s="15"/>
      <c r="BG63" s="15"/>
      <c r="BH63" s="15"/>
    </row>
    <row r="64" ht="50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 t="str">
        <v>I162S2C1J2V3</v>
      </c>
      <c r="N64" s="15" t="str">
        <v>PENDIENTE</v>
      </c>
      <c r="O64" s="15" t="str">
        <v>SOLO_SIES_PRE_2022</v>
      </c>
      <c r="P64" s="15" t="str">
        <v>E</v>
      </c>
      <c r="Q64" s="15" t="str">
        <v>SOLO_ANTES_2022</v>
      </c>
      <c r="R64" s="15" t="str">
        <v>Cierre E: Datos Alumnos no conserva el histórico; solo reabrir con registro UMAS anual.</v>
      </c>
      <c r="S64" s="24" t="n">
        <v>0</v>
      </c>
      <c r="T64" s="24" t="n">
        <v>0</v>
      </c>
      <c r="U64" s="24" t="n">
        <v>0</v>
      </c>
      <c r="V64" s="15" t="str">
        <v>CONTINUA</v>
      </c>
      <c r="W64" s="15" t="str">
        <v>B/C/D; E límites</v>
      </c>
      <c r="X64" s="15" t="str">
        <v>MATRIZ; H002; CIERRE; TECHO</v>
      </c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21" t="n">
        <v>2025</v>
      </c>
      <c r="AV64" s="14" t="str">
        <v>CIINF</v>
      </c>
      <c r="AW64" s="14" t="str">
        <v>CIINF20241</v>
      </c>
      <c r="AX64" s="14" t="str">
        <v>I162S2C1J4V2</v>
      </c>
      <c r="AY64" s="14" t="str">
        <v>CONTINUIDAD</v>
      </c>
      <c r="AZ64" s="14" t="str">
        <v>REGULAR</v>
      </c>
      <c r="BA64" s="14" t="n">
        <v>42</v>
      </c>
      <c r="BB64" s="14" t="str">
        <v>A criterio; C contraste; no modifica carga</v>
      </c>
      <c r="BC64" s="15"/>
      <c r="BD64" s="15"/>
      <c r="BE64" s="15"/>
      <c r="BF64" s="15"/>
      <c r="BG64" s="15"/>
      <c r="BH64" s="15"/>
    </row>
    <row r="65" ht="50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4" t="str">
        <v>I162S2C1J2V4</v>
      </c>
      <c r="N65" s="14" t="str">
        <v>UNIDO</v>
      </c>
      <c r="O65" s="14" t="str">
        <v>CRUCE_PERSONA_MU_2022_2026</v>
      </c>
      <c r="P65" s="14" t="str">
        <v>IECIRE20191 / IECIRE2020 / IECIRE20211 / IINF20241</v>
      </c>
      <c r="Q65" s="14" t="str">
        <v>UNIDO</v>
      </c>
      <c r="R65" s="14" t="str">
        <v>Reutilizar el vínculo según su período y método; no extenderlo a otras cohortes.</v>
      </c>
      <c r="S65" s="22" t="n">
        <v>138</v>
      </c>
      <c r="T65" s="22" t="n">
        <v>127</v>
      </c>
      <c r="U65" s="22" t="n">
        <v>120</v>
      </c>
      <c r="V65" s="14" t="str">
        <v>CONTINUA</v>
      </c>
      <c r="W65" s="14" t="str">
        <v>B/C/D; E límites</v>
      </c>
      <c r="X65" s="14" t="str">
        <v>MATRIZ; H002; CIERRE; TECHO</v>
      </c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23" t="n">
        <v>2025</v>
      </c>
      <c r="AV65" s="15" t="str">
        <v>CILOG</v>
      </c>
      <c r="AW65" s="15" t="str">
        <v>CILOG20241</v>
      </c>
      <c r="AX65" s="15" t="str">
        <v>I162S2C77J4V1</v>
      </c>
      <c r="AY65" s="15" t="str">
        <v>CONTINUIDAD</v>
      </c>
      <c r="AZ65" s="15" t="str">
        <v>REGULAR</v>
      </c>
      <c r="BA65" s="15" t="n">
        <v>3</v>
      </c>
      <c r="BB65" s="15" t="str">
        <v>A criterio; C contraste; no modifica carga</v>
      </c>
      <c r="BC65" s="15"/>
      <c r="BD65" s="15"/>
      <c r="BE65" s="15"/>
      <c r="BF65" s="15"/>
      <c r="BG65" s="15"/>
      <c r="BH65" s="15"/>
    </row>
    <row r="66" ht="36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 t="str">
        <v>I162S2C1J4V1</v>
      </c>
      <c r="N66" s="15" t="str">
        <v>UNIDO</v>
      </c>
      <c r="O66" s="15" t="str">
        <v>CRUCE_PERSONA_MU_2022_2026</v>
      </c>
      <c r="P66" s="15" t="str">
        <v>IECIREOL / IECIREOL20201</v>
      </c>
      <c r="Q66" s="15" t="str">
        <v>UNIDO</v>
      </c>
      <c r="R66" s="15" t="str">
        <v>Reutilizar el vínculo según su período y método; no extenderlo a otras cohortes.</v>
      </c>
      <c r="S66" s="24" t="n">
        <v>2</v>
      </c>
      <c r="T66" s="24" t="n">
        <v>2</v>
      </c>
      <c r="U66" s="24" t="n">
        <v>2</v>
      </c>
      <c r="V66" s="15" t="str">
        <v>SIN_OFERTA_2027</v>
      </c>
      <c r="W66" s="15" t="str">
        <v>B/C/D; E límites</v>
      </c>
      <c r="X66" s="15" t="str">
        <v>MATRIZ; H002; CIERRE; TECHO</v>
      </c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</row>
    <row r="67" ht="36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4" t="str">
        <v>I162S2C1J4V2</v>
      </c>
      <c r="N67" s="14" t="str">
        <v>UNIDO</v>
      </c>
      <c r="O67" s="14" t="str">
        <v>APROBACION_D_2027 / CRUCE_PERSONA_MU_2022_2026 / REGLA_MU_2027</v>
      </c>
      <c r="P67" s="14" t="str">
        <v>CIINF20241 / IECIREOL / IECIREOL20191 / IECIREOL20201 / IECIREOL20211 / IINF20241 / NINFREOL2019</v>
      </c>
      <c r="Q67" s="14" t="str">
        <v>UNIDO</v>
      </c>
      <c r="R67" s="14" t="str">
        <v>Reutilizar el vínculo según su período y método; no extenderlo a otras cohortes.</v>
      </c>
      <c r="S67" s="22" t="n">
        <v>1010</v>
      </c>
      <c r="T67" s="22" t="n">
        <v>997</v>
      </c>
      <c r="U67" s="22" t="n">
        <v>959</v>
      </c>
      <c r="V67" s="14" t="str">
        <v>APROBADA_D_2027</v>
      </c>
      <c r="W67" s="14" t="str">
        <v>B/C/D; E límites</v>
      </c>
      <c r="X67" s="14" t="str">
        <v>MATRIZ; H002; CIERRE; TECHO</v>
      </c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9" t="str">
        <v>Año</v>
      </c>
      <c r="AP67" s="9" t="str">
        <v>Tipo plan UMAS v2</v>
      </c>
      <c r="AQ67" s="9" t="str">
        <v>Tipo versión SIES</v>
      </c>
      <c r="AR67" s="9" t="str">
        <v>Matrículas-año</v>
      </c>
      <c r="AS67" s="9" t="str">
        <v>Estado</v>
      </c>
      <c r="AT67" s="9" t="str">
        <v>Clase</v>
      </c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</row>
    <row r="68" ht="64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 t="str">
        <v>I162S2C1J4V3</v>
      </c>
      <c r="N68" s="15" t="str">
        <v>UNIDO</v>
      </c>
      <c r="O68" s="15" t="str">
        <v>CRUCE_PERSONA_MU_2022_2026 / REGLA_MU_2027</v>
      </c>
      <c r="P68" s="15" t="str">
        <v>CIINF20241 / IINF20241</v>
      </c>
      <c r="Q68" s="15" t="str">
        <v>UNIDO</v>
      </c>
      <c r="R68" s="15" t="str">
        <v>Reutilizar el vínculo según su período y método; no extenderlo a otras cohortes.</v>
      </c>
      <c r="S68" s="24" t="n">
        <v>121</v>
      </c>
      <c r="T68" s="24" t="n">
        <v>121</v>
      </c>
      <c r="U68" s="24" t="n">
        <v>120</v>
      </c>
      <c r="V68" s="15" t="str">
        <v>VERSION_MULTIPLE_RESUELTA</v>
      </c>
      <c r="W68" s="15" t="str">
        <v>B/C/D; E límites</v>
      </c>
      <c r="X68" s="15" t="str">
        <v>MATRIZ; H002; CIERRE; TECHO</v>
      </c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21" t="n">
        <v>2022</v>
      </c>
      <c r="AP68" s="14" t="str">
        <v>REGULAR</v>
      </c>
      <c r="AQ68" s="14" t="str">
        <v>REGULAR</v>
      </c>
      <c r="AR68" s="14" t="n">
        <v>812</v>
      </c>
      <c r="AS68" s="14" t="str">
        <v>CORRECTO_SEGUN_MANUAL</v>
      </c>
      <c r="AT68" s="14" t="str">
        <v>A criterio; B/C dato y contraste; E sin tipo</v>
      </c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</row>
    <row r="69" ht="64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4" t="str">
        <v>I162S2C22J1V1</v>
      </c>
      <c r="N69" s="14" t="str">
        <v>UNIDO</v>
      </c>
      <c r="O69" s="14" t="str">
        <v>APROBACION_D_2027</v>
      </c>
      <c r="P69" s="14" t="str">
        <v>IACI20241 / IEMORE20141 / IEMORE20151 / IEMORE20171 / IEMORE20201 / IEMORE20211</v>
      </c>
      <c r="Q69" s="14" t="str">
        <v>UNIDO</v>
      </c>
      <c r="R69" s="14" t="str">
        <v>Reutilizar el vínculo según su período y método; no extenderlo a otras cohortes.</v>
      </c>
      <c r="S69" s="22" t="n">
        <v>0</v>
      </c>
      <c r="T69" s="22" t="n">
        <v>0</v>
      </c>
      <c r="U69" s="22" t="n">
        <v>0</v>
      </c>
      <c r="V69" s="14" t="str">
        <v>APROBADA_D_2027</v>
      </c>
      <c r="W69" s="14" t="str">
        <v>B/C/D; E límites</v>
      </c>
      <c r="X69" s="14" t="str">
        <v>MATRIZ; H002; CIERRE; TECHO</v>
      </c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23" t="n">
        <v>2022</v>
      </c>
      <c r="AP69" s="15" t="str">
        <v>REGULAR</v>
      </c>
      <c r="AQ69" s="15" t="str">
        <v>CONTINUIDAD</v>
      </c>
      <c r="AR69" s="15" t="n">
        <v>0</v>
      </c>
      <c r="AS69" s="15" t="str">
        <v>ERROR_DE_CARGA_SEGUN_MANUAL</v>
      </c>
      <c r="AT69" s="15" t="str">
        <v>A criterio; B/C dato y contraste; E sin tipo</v>
      </c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</row>
    <row r="70" ht="64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 t="str">
        <v>I162S2C22J2V1</v>
      </c>
      <c r="N70" s="15" t="str">
        <v>UNIDO</v>
      </c>
      <c r="O70" s="15" t="str">
        <v>CRUCE_PERSONA_MU_2022_2026</v>
      </c>
      <c r="P70" s="15" t="str">
        <v>IEMORE20211</v>
      </c>
      <c r="Q70" s="15" t="str">
        <v>UNIDO</v>
      </c>
      <c r="R70" s="15" t="str">
        <v>Reutilizar el vínculo según su período y método; no extenderlo a otras cohortes.</v>
      </c>
      <c r="S70" s="24" t="n">
        <v>16</v>
      </c>
      <c r="T70" s="24" t="n">
        <v>16</v>
      </c>
      <c r="U70" s="24" t="n">
        <v>16</v>
      </c>
      <c r="V70" s="15" t="str">
        <v>CONTINUA</v>
      </c>
      <c r="W70" s="15" t="str">
        <v>B/C/D; E límites</v>
      </c>
      <c r="X70" s="15" t="str">
        <v>MATRIZ; H002; CIERRE; TECHO</v>
      </c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21" t="n">
        <v>2022</v>
      </c>
      <c r="AP70" s="14" t="str">
        <v>CONTINUIDAD</v>
      </c>
      <c r="AQ70" s="14" t="str">
        <v>REGULAR</v>
      </c>
      <c r="AR70" s="14" t="n">
        <v>0</v>
      </c>
      <c r="AS70" s="14" t="str">
        <v>ERROR_DE_CARGA_SEGUN_MANUAL</v>
      </c>
      <c r="AT70" s="14" t="str">
        <v>A criterio; B/C dato y contraste; E sin tipo</v>
      </c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</row>
    <row r="71" ht="64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4" t="str">
        <v>I162S2C22J2V2</v>
      </c>
      <c r="N71" s="14" t="str">
        <v>PENDIENTE</v>
      </c>
      <c r="O71" s="14" t="str">
        <v>SOLO_SIES_PRE_2022</v>
      </c>
      <c r="P71" s="14" t="str">
        <v>E</v>
      </c>
      <c r="Q71" s="14" t="str">
        <v>SOLO_ANTES_2022</v>
      </c>
      <c r="R71" s="14" t="str">
        <v>Cierre E: Datos Alumnos no conserva el histórico; solo reabrir con registro UMAS anual.</v>
      </c>
      <c r="S71" s="22" t="n">
        <v>0</v>
      </c>
      <c r="T71" s="22" t="n">
        <v>0</v>
      </c>
      <c r="U71" s="22" t="n">
        <v>0</v>
      </c>
      <c r="V71" s="14" t="str">
        <v>CONTINUA</v>
      </c>
      <c r="W71" s="14" t="str">
        <v>B/C/D; E límites</v>
      </c>
      <c r="X71" s="14" t="str">
        <v>MATRIZ; H002; CIERRE; TECHO</v>
      </c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23" t="n">
        <v>2022</v>
      </c>
      <c r="AP71" s="15" t="str">
        <v>CONTINUIDAD</v>
      </c>
      <c r="AQ71" s="15" t="str">
        <v>CONTINUIDAD</v>
      </c>
      <c r="AR71" s="15" t="n">
        <v>0</v>
      </c>
      <c r="AS71" s="15" t="str">
        <v>CORRECTO_SEGUN_MANUAL</v>
      </c>
      <c r="AT71" s="15" t="str">
        <v>A criterio; B/C dato y contraste; E sin tipo</v>
      </c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</row>
    <row r="72" ht="64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 t="str">
        <v>I162S2C22J4V1</v>
      </c>
      <c r="N72" s="15" t="str">
        <v>PENDIENTE</v>
      </c>
      <c r="O72" s="15" t="str">
        <v>SIN_UNION</v>
      </c>
      <c r="P72" s="15" t="str">
        <v>E</v>
      </c>
      <c r="Q72" s="15" t="str">
        <v>SIN_ENLACE</v>
      </c>
      <c r="R72" s="15" t="str">
        <v>E: nueva evidencia gobernada; no repetir enlaces con las mismas fuentes.</v>
      </c>
      <c r="S72" s="24" t="n">
        <v>0</v>
      </c>
      <c r="T72" s="24" t="n">
        <v>0</v>
      </c>
      <c r="U72" s="24" t="n">
        <v>0</v>
      </c>
      <c r="V72" s="15" t="str">
        <v>CONTINUA</v>
      </c>
      <c r="W72" s="15" t="str">
        <v>B/C/D; E límites</v>
      </c>
      <c r="X72" s="15" t="str">
        <v>MATRIZ; H002; CIERRE; TECHO</v>
      </c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21" t="n">
        <v>2022</v>
      </c>
      <c r="AP72" s="14" t="str">
        <v>E</v>
      </c>
      <c r="AQ72" s="14" t="str">
        <v>REGULAR</v>
      </c>
      <c r="AR72" s="14" t="n">
        <v>166</v>
      </c>
      <c r="AS72" s="14" t="str">
        <v>NO_EVALUABLE</v>
      </c>
      <c r="AT72" s="14" t="str">
        <v>A criterio; B/C dato y contraste; E sin tipo</v>
      </c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</row>
    <row r="73" ht="64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4" t="str">
        <v>I162S2C22J4V2</v>
      </c>
      <c r="N73" s="14" t="str">
        <v>UNIDO</v>
      </c>
      <c r="O73" s="14" t="str">
        <v>CRUCE_PERSONA_MU_2022_2026</v>
      </c>
      <c r="P73" s="14" t="str">
        <v>CIIND20251</v>
      </c>
      <c r="Q73" s="14" t="str">
        <v>UNIDO</v>
      </c>
      <c r="R73" s="14" t="str">
        <v>Reutilizar el vínculo según su período y método; no extenderlo a otras cohortes.</v>
      </c>
      <c r="S73" s="22" t="n">
        <v>36</v>
      </c>
      <c r="T73" s="22" t="n">
        <v>36</v>
      </c>
      <c r="U73" s="22" t="n">
        <v>36</v>
      </c>
      <c r="V73" s="14" t="str">
        <v>CONTINUA</v>
      </c>
      <c r="W73" s="14" t="str">
        <v>B/C/D; E límites</v>
      </c>
      <c r="X73" s="14" t="str">
        <v>MATRIZ; H002; CIERRE; TECHO</v>
      </c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23" t="n">
        <v>2022</v>
      </c>
      <c r="AP73" s="15" t="str">
        <v>E</v>
      </c>
      <c r="AQ73" s="15" t="str">
        <v>CONTINUIDAD</v>
      </c>
      <c r="AR73" s="15" t="n">
        <v>0</v>
      </c>
      <c r="AS73" s="15" t="str">
        <v>NO_EVALUABLE</v>
      </c>
      <c r="AT73" s="15" t="str">
        <v>A criterio; B/C dato y contraste; E sin tipo</v>
      </c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</row>
    <row r="74" ht="64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 t="str">
        <v>I162S2C2J1V1</v>
      </c>
      <c r="N74" s="15" t="str">
        <v>PENDIENTE</v>
      </c>
      <c r="O74" s="15" t="str">
        <v>SOLO_SIES_PRE_2022</v>
      </c>
      <c r="P74" s="15" t="str">
        <v>E</v>
      </c>
      <c r="Q74" s="15" t="str">
        <v>SOLO_ANTES_2022</v>
      </c>
      <c r="R74" s="15" t="str">
        <v>Cierre E: Datos Alumnos no conserva el histórico; solo reabrir con registro UMAS anual.</v>
      </c>
      <c r="S74" s="24" t="n">
        <v>0</v>
      </c>
      <c r="T74" s="24" t="n">
        <v>0</v>
      </c>
      <c r="U74" s="24" t="n">
        <v>0</v>
      </c>
      <c r="V74" s="15" t="str">
        <v>CONTINUA</v>
      </c>
      <c r="W74" s="15" t="str">
        <v>B/C/D; E límites</v>
      </c>
      <c r="X74" s="15" t="str">
        <v>MATRIZ; H002; CIERRE; TECHO</v>
      </c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21" t="n">
        <v>2022</v>
      </c>
      <c r="AP74" s="14" t="str">
        <v>SIN_PLAN</v>
      </c>
      <c r="AQ74" s="14" t="str">
        <v>REGULAR</v>
      </c>
      <c r="AR74" s="14" t="n">
        <v>10</v>
      </c>
      <c r="AS74" s="14" t="str">
        <v>NO_EVALUABLE</v>
      </c>
      <c r="AT74" s="14" t="str">
        <v>A criterio; B/C dato y contraste; E sin tipo</v>
      </c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</row>
    <row r="75" ht="64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4" t="str">
        <v>I162S2C2J1V2</v>
      </c>
      <c r="N75" s="14" t="str">
        <v>UNIDO</v>
      </c>
      <c r="O75" s="14" t="str">
        <v>CRUCE_PERSONA_MU_2022_2026</v>
      </c>
      <c r="P75" s="14" t="str">
        <v>TPCRE20151 / TPCRE20191</v>
      </c>
      <c r="Q75" s="14" t="str">
        <v>UNIDO</v>
      </c>
      <c r="R75" s="14" t="str">
        <v>Reutilizar el vínculo según su período y método; no extenderlo a otras cohortes.</v>
      </c>
      <c r="S75" s="22" t="n">
        <v>3</v>
      </c>
      <c r="T75" s="22" t="n">
        <v>3</v>
      </c>
      <c r="U75" s="22" t="n">
        <v>3</v>
      </c>
      <c r="V75" s="14" t="str">
        <v>CONTINUA</v>
      </c>
      <c r="W75" s="14" t="str">
        <v>B/C/D; E límites</v>
      </c>
      <c r="X75" s="14" t="str">
        <v>MATRIZ; H002; CIERRE; TECHO</v>
      </c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23" t="n">
        <v>2022</v>
      </c>
      <c r="AP75" s="15" t="str">
        <v>SIN_PLAN</v>
      </c>
      <c r="AQ75" s="15" t="str">
        <v>CONTINUIDAD</v>
      </c>
      <c r="AR75" s="15" t="n">
        <v>0</v>
      </c>
      <c r="AS75" s="15" t="str">
        <v>NO_EVALUABLE</v>
      </c>
      <c r="AT75" s="15" t="str">
        <v>A criterio; B/C dato y contraste; E sin tipo</v>
      </c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</row>
    <row r="76" ht="64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 t="str">
        <v>I162S2C2J2V1</v>
      </c>
      <c r="N76" s="15" t="str">
        <v>PENDIENTE</v>
      </c>
      <c r="O76" s="15" t="str">
        <v>SOLO_SIES_PRE_2022</v>
      </c>
      <c r="P76" s="15" t="str">
        <v>E</v>
      </c>
      <c r="Q76" s="15" t="str">
        <v>SOLO_ANTES_2022</v>
      </c>
      <c r="R76" s="15" t="str">
        <v>Cierre E: Datos Alumnos no conserva el histórico; solo reabrir con registro UMAS anual.</v>
      </c>
      <c r="S76" s="24" t="n">
        <v>0</v>
      </c>
      <c r="T76" s="24" t="n">
        <v>0</v>
      </c>
      <c r="U76" s="24" t="n">
        <v>0</v>
      </c>
      <c r="V76" s="15" t="str">
        <v>CONTINUA</v>
      </c>
      <c r="W76" s="15" t="str">
        <v>B/C/D; E límites</v>
      </c>
      <c r="X76" s="15" t="str">
        <v>MATRIZ; H002; CIERRE; TECHO</v>
      </c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21" t="n">
        <v>2023</v>
      </c>
      <c r="AP76" s="14" t="str">
        <v>REGULAR</v>
      </c>
      <c r="AQ76" s="14" t="str">
        <v>REGULAR</v>
      </c>
      <c r="AR76" s="14" t="n">
        <v>929</v>
      </c>
      <c r="AS76" s="14" t="str">
        <v>CORRECTO_SEGUN_MANUAL</v>
      </c>
      <c r="AT76" s="14" t="str">
        <v>A criterio; B/C dato y contraste; E sin tipo</v>
      </c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</row>
    <row r="77" ht="64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4" t="str">
        <v>I162S2C2J2V2</v>
      </c>
      <c r="N77" s="14" t="str">
        <v>PENDIENTE</v>
      </c>
      <c r="O77" s="14" t="str">
        <v>SOLO_SIES_PRE_2022</v>
      </c>
      <c r="P77" s="14" t="str">
        <v>E</v>
      </c>
      <c r="Q77" s="14" t="str">
        <v>SOLO_ANTES_2022</v>
      </c>
      <c r="R77" s="14" t="str">
        <v>Cierre E: Datos Alumnos no conserva el histórico; solo reabrir con registro UMAS anual.</v>
      </c>
      <c r="S77" s="22" t="n">
        <v>0</v>
      </c>
      <c r="T77" s="22" t="n">
        <v>0</v>
      </c>
      <c r="U77" s="22" t="n">
        <v>0</v>
      </c>
      <c r="V77" s="14" t="str">
        <v>CONTINUA</v>
      </c>
      <c r="W77" s="14" t="str">
        <v>B/C/D; E límites</v>
      </c>
      <c r="X77" s="14" t="str">
        <v>MATRIZ; H002; CIERRE; TECHO</v>
      </c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23" t="n">
        <v>2023</v>
      </c>
      <c r="AP77" s="15" t="str">
        <v>REGULAR</v>
      </c>
      <c r="AQ77" s="15" t="str">
        <v>CONTINUIDAD</v>
      </c>
      <c r="AR77" s="15" t="n">
        <v>0</v>
      </c>
      <c r="AS77" s="15" t="str">
        <v>ERROR_DE_CARGA_SEGUN_MANUAL</v>
      </c>
      <c r="AT77" s="15" t="str">
        <v>A criterio; B/C dato y contraste; E sin tipo</v>
      </c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</row>
    <row r="78" ht="64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 t="str">
        <v>I162S2C2J4V1</v>
      </c>
      <c r="N78" s="15" t="str">
        <v>PENDIENTE</v>
      </c>
      <c r="O78" s="15" t="str">
        <v>SOLO_SIES_PRE_2022</v>
      </c>
      <c r="P78" s="15" t="str">
        <v>E</v>
      </c>
      <c r="Q78" s="15" t="str">
        <v>SOLO_ANTES_2022</v>
      </c>
      <c r="R78" s="15" t="str">
        <v>Cierre E: Datos Alumnos no conserva el histórico; solo reabrir con registro UMAS anual.</v>
      </c>
      <c r="S78" s="24" t="n">
        <v>0</v>
      </c>
      <c r="T78" s="24" t="n">
        <v>0</v>
      </c>
      <c r="U78" s="24" t="n">
        <v>0</v>
      </c>
      <c r="V78" s="15" t="str">
        <v>CONTINUA</v>
      </c>
      <c r="W78" s="15" t="str">
        <v>B/C/D; E límites</v>
      </c>
      <c r="X78" s="15" t="str">
        <v>MATRIZ; H002; CIERRE; TECHO</v>
      </c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21" t="n">
        <v>2023</v>
      </c>
      <c r="AP78" s="14" t="str">
        <v>CONTINUIDAD</v>
      </c>
      <c r="AQ78" s="14" t="str">
        <v>REGULAR</v>
      </c>
      <c r="AR78" s="14" t="n">
        <v>0</v>
      </c>
      <c r="AS78" s="14" t="str">
        <v>ERROR_DE_CARGA_SEGUN_MANUAL</v>
      </c>
      <c r="AT78" s="14" t="str">
        <v>A criterio; B/C dato y contraste; E sin tipo</v>
      </c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</row>
    <row r="79" ht="64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4" t="str">
        <v>I162S2C2J4V2</v>
      </c>
      <c r="N79" s="14" t="str">
        <v>UNIDO</v>
      </c>
      <c r="O79" s="14" t="str">
        <v>CRUCE_PERSONA_MU_2022_2026</v>
      </c>
      <c r="P79" s="14" t="str">
        <v>TPCREOL</v>
      </c>
      <c r="Q79" s="14" t="str">
        <v>UNIDO</v>
      </c>
      <c r="R79" s="14" t="str">
        <v>Reutilizar el vínculo según su período y método; no extenderlo a otras cohortes.</v>
      </c>
      <c r="S79" s="22" t="n">
        <v>1</v>
      </c>
      <c r="T79" s="22" t="n">
        <v>1</v>
      </c>
      <c r="U79" s="22" t="n">
        <v>1</v>
      </c>
      <c r="V79" s="14" t="str">
        <v>CONTINUA</v>
      </c>
      <c r="W79" s="14" t="str">
        <v>B/C/D; E límites</v>
      </c>
      <c r="X79" s="14" t="str">
        <v>MATRIZ; H002; CIERRE; TECHO</v>
      </c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23" t="n">
        <v>2023</v>
      </c>
      <c r="AP79" s="15" t="str">
        <v>CONTINUIDAD</v>
      </c>
      <c r="AQ79" s="15" t="str">
        <v>CONTINUIDAD</v>
      </c>
      <c r="AR79" s="15" t="n">
        <v>0</v>
      </c>
      <c r="AS79" s="15" t="str">
        <v>CORRECTO_SEGUN_MANUAL</v>
      </c>
      <c r="AT79" s="15" t="str">
        <v>A criterio; B/C dato y contraste; E sin tipo</v>
      </c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</row>
    <row r="80" ht="64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 t="str">
        <v>I162S2C35J1V1</v>
      </c>
      <c r="N80" s="15" t="str">
        <v>PENDIENTE</v>
      </c>
      <c r="O80" s="15" t="str">
        <v>SIN_UNION</v>
      </c>
      <c r="P80" s="15" t="str">
        <v>E</v>
      </c>
      <c r="Q80" s="15" t="str">
        <v>HISTORICO_SIN_MATRICULA_RECIENTE</v>
      </c>
      <c r="R80" s="15" t="str">
        <v>Sin necesidad de paridad 2027; conservar historia.</v>
      </c>
      <c r="S80" s="24" t="n">
        <v>0</v>
      </c>
      <c r="T80" s="24" t="n">
        <v>0</v>
      </c>
      <c r="U80" s="24" t="n">
        <v>0</v>
      </c>
      <c r="V80" s="15" t="str">
        <v>HISTORICO_SIN_MATRICULA_RECIENTE</v>
      </c>
      <c r="W80" s="15" t="str">
        <v>B/C/D; E límites</v>
      </c>
      <c r="X80" s="15" t="str">
        <v>MATRIZ; H002; CIERRE; TECHO</v>
      </c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21" t="n">
        <v>2023</v>
      </c>
      <c r="AP80" s="14" t="str">
        <v>E</v>
      </c>
      <c r="AQ80" s="14" t="str">
        <v>REGULAR</v>
      </c>
      <c r="AR80" s="14" t="n">
        <v>162</v>
      </c>
      <c r="AS80" s="14" t="str">
        <v>NO_EVALUABLE</v>
      </c>
      <c r="AT80" s="14" t="str">
        <v>A criterio; B/C dato y contraste; E sin tipo</v>
      </c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</row>
    <row r="81" ht="64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4" t="str">
        <v>I162S2C35J1V2</v>
      </c>
      <c r="N81" s="14" t="str">
        <v>PENDIENTE</v>
      </c>
      <c r="O81" s="14" t="str">
        <v>SIN_UNION</v>
      </c>
      <c r="P81" s="14" t="str">
        <v>E</v>
      </c>
      <c r="Q81" s="14" t="str">
        <v>HISTORICO_SIN_MATRICULA_RECIENTE</v>
      </c>
      <c r="R81" s="14" t="str">
        <v>Sin necesidad de paridad 2027; conservar historia.</v>
      </c>
      <c r="S81" s="22" t="n">
        <v>0</v>
      </c>
      <c r="T81" s="22" t="n">
        <v>0</v>
      </c>
      <c r="U81" s="22" t="n">
        <v>0</v>
      </c>
      <c r="V81" s="14" t="str">
        <v>HISTORICO_SIN_MATRICULA_RECIENTE</v>
      </c>
      <c r="W81" s="14" t="str">
        <v>B/C/D; E límites</v>
      </c>
      <c r="X81" s="14" t="str">
        <v>MATRIZ; H002; CIERRE; TECHO</v>
      </c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23" t="n">
        <v>2023</v>
      </c>
      <c r="AP81" s="15" t="str">
        <v>E</v>
      </c>
      <c r="AQ81" s="15" t="str">
        <v>CONTINUIDAD</v>
      </c>
      <c r="AR81" s="15" t="n">
        <v>0</v>
      </c>
      <c r="AS81" s="15" t="str">
        <v>NO_EVALUABLE</v>
      </c>
      <c r="AT81" s="15" t="str">
        <v>A criterio; B/C dato y contraste; E sin tipo</v>
      </c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</row>
    <row r="82" ht="64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 t="str">
        <v>I162S2C35J2V1</v>
      </c>
      <c r="N82" s="15" t="str">
        <v>PENDIENTE</v>
      </c>
      <c r="O82" s="15" t="str">
        <v>SIN_UNION</v>
      </c>
      <c r="P82" s="15" t="str">
        <v>E</v>
      </c>
      <c r="Q82" s="15" t="str">
        <v>HISTORICO_SIN_MATRICULA_RECIENTE</v>
      </c>
      <c r="R82" s="15" t="str">
        <v>Sin necesidad de paridad 2027; conservar historia.</v>
      </c>
      <c r="S82" s="24" t="n">
        <v>0</v>
      </c>
      <c r="T82" s="24" t="n">
        <v>0</v>
      </c>
      <c r="U82" s="24" t="n">
        <v>0</v>
      </c>
      <c r="V82" s="15" t="str">
        <v>HISTORICO_SIN_MATRICULA_RECIENTE</v>
      </c>
      <c r="W82" s="15" t="str">
        <v>B/C/D; E límites</v>
      </c>
      <c r="X82" s="15" t="str">
        <v>MATRIZ; H002; CIERRE; TECHO</v>
      </c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21" t="n">
        <v>2023</v>
      </c>
      <c r="AP82" s="14" t="str">
        <v>SIN_PLAN</v>
      </c>
      <c r="AQ82" s="14" t="str">
        <v>REGULAR</v>
      </c>
      <c r="AR82" s="14" t="n">
        <v>15</v>
      </c>
      <c r="AS82" s="14" t="str">
        <v>NO_EVALUABLE</v>
      </c>
      <c r="AT82" s="14" t="str">
        <v>A criterio; B/C dato y contraste; E sin tipo</v>
      </c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</row>
    <row r="83" ht="64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4" t="str">
        <v>I162S2C35J2V2</v>
      </c>
      <c r="N83" s="14" t="str">
        <v>PENDIENTE</v>
      </c>
      <c r="O83" s="14" t="str">
        <v>SIN_UNION</v>
      </c>
      <c r="P83" s="14" t="str">
        <v>E</v>
      </c>
      <c r="Q83" s="14" t="str">
        <v>HISTORICO_SIN_MATRICULA_RECIENTE</v>
      </c>
      <c r="R83" s="14" t="str">
        <v>Sin necesidad de paridad 2027; conservar historia.</v>
      </c>
      <c r="S83" s="22" t="n">
        <v>0</v>
      </c>
      <c r="T83" s="22" t="n">
        <v>0</v>
      </c>
      <c r="U83" s="22" t="n">
        <v>0</v>
      </c>
      <c r="V83" s="14" t="str">
        <v>HISTORICO_SIN_MATRICULA_RECIENTE</v>
      </c>
      <c r="W83" s="14" t="str">
        <v>B/C/D; E límites</v>
      </c>
      <c r="X83" s="14" t="str">
        <v>MATRIZ; H002; CIERRE; TECHO</v>
      </c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23" t="n">
        <v>2023</v>
      </c>
      <c r="AP83" s="15" t="str">
        <v>SIN_PLAN</v>
      </c>
      <c r="AQ83" s="15" t="str">
        <v>CONTINUIDAD</v>
      </c>
      <c r="AR83" s="15" t="n">
        <v>0</v>
      </c>
      <c r="AS83" s="15" t="str">
        <v>NO_EVALUABLE</v>
      </c>
      <c r="AT83" s="15" t="str">
        <v>A criterio; B/C dato y contraste; E sin tipo</v>
      </c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</row>
    <row r="84" ht="64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 t="str">
        <v>I162S2C35J4V1</v>
      </c>
      <c r="N84" s="15" t="str">
        <v>PENDIENTE</v>
      </c>
      <c r="O84" s="15" t="str">
        <v>SIN_UNION</v>
      </c>
      <c r="P84" s="15" t="str">
        <v>E</v>
      </c>
      <c r="Q84" s="15" t="str">
        <v>HISTORICO_SIN_MATRICULA_RECIENTE</v>
      </c>
      <c r="R84" s="15" t="str">
        <v>Sin necesidad de paridad 2027; conservar historia.</v>
      </c>
      <c r="S84" s="24" t="n">
        <v>0</v>
      </c>
      <c r="T84" s="24" t="n">
        <v>0</v>
      </c>
      <c r="U84" s="24" t="n">
        <v>0</v>
      </c>
      <c r="V84" s="15" t="str">
        <v>HISTORICO_SIN_MATRICULA_RECIENTE</v>
      </c>
      <c r="W84" s="15" t="str">
        <v>B/C/D; E límites</v>
      </c>
      <c r="X84" s="15" t="str">
        <v>MATRIZ; H002; CIERRE; TECHO</v>
      </c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21" t="n">
        <v>2024</v>
      </c>
      <c r="AP84" s="14" t="str">
        <v>REGULAR</v>
      </c>
      <c r="AQ84" s="14" t="str">
        <v>REGULAR</v>
      </c>
      <c r="AR84" s="14" t="n">
        <v>1129</v>
      </c>
      <c r="AS84" s="14" t="str">
        <v>CORRECTO_SEGUN_MANUAL</v>
      </c>
      <c r="AT84" s="14" t="str">
        <v>A criterio; B/C dato y contraste; E sin tipo</v>
      </c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</row>
    <row r="85" ht="64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4" t="str">
        <v>I162S2C35J4V2</v>
      </c>
      <c r="N85" s="14" t="str">
        <v>PENDIENTE</v>
      </c>
      <c r="O85" s="14" t="str">
        <v>SIN_UNION</v>
      </c>
      <c r="P85" s="14" t="str">
        <v>E</v>
      </c>
      <c r="Q85" s="14" t="str">
        <v>HISTORICO_SIN_MATRICULA_RECIENTE</v>
      </c>
      <c r="R85" s="14" t="str">
        <v>Sin necesidad de paridad 2027; conservar historia.</v>
      </c>
      <c r="S85" s="22" t="n">
        <v>3</v>
      </c>
      <c r="T85" s="22" t="n">
        <v>0</v>
      </c>
      <c r="U85" s="22" t="n">
        <v>0</v>
      </c>
      <c r="V85" s="14" t="str">
        <v>HISTORICO_SIN_MATRICULA_RECIENTE</v>
      </c>
      <c r="W85" s="14" t="str">
        <v>B/C/D; E límites</v>
      </c>
      <c r="X85" s="14" t="str">
        <v>MATRIZ; H002; CIERRE; TECHO</v>
      </c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23" t="n">
        <v>2024</v>
      </c>
      <c r="AP85" s="15" t="str">
        <v>REGULAR</v>
      </c>
      <c r="AQ85" s="15" t="str">
        <v>CONTINUIDAD</v>
      </c>
      <c r="AR85" s="15" t="n">
        <v>2</v>
      </c>
      <c r="AS85" s="15" t="str">
        <v>ERROR_DE_CARGA_SEGUN_MANUAL</v>
      </c>
      <c r="AT85" s="15" t="str">
        <v>A criterio; B/C dato y contraste; E sin tipo</v>
      </c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</row>
    <row r="86" ht="64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 t="str">
        <v>I162S2C3J1V1</v>
      </c>
      <c r="N86" s="15" t="str">
        <v>PENDIENTE</v>
      </c>
      <c r="O86" s="15" t="str">
        <v>SOLO_SIES_PRE_2022</v>
      </c>
      <c r="P86" s="15" t="str">
        <v>E</v>
      </c>
      <c r="Q86" s="15" t="str">
        <v>SOLO_ANTES_2022</v>
      </c>
      <c r="R86" s="15" t="str">
        <v>Cierre E: Datos Alumnos no conserva el histórico; solo reabrir con registro UMAS anual.</v>
      </c>
      <c r="S86" s="24" t="n">
        <v>0</v>
      </c>
      <c r="T86" s="24" t="n">
        <v>0</v>
      </c>
      <c r="U86" s="24" t="n">
        <v>0</v>
      </c>
      <c r="V86" s="15" t="str">
        <v>CONTINUA</v>
      </c>
      <c r="W86" s="15" t="str">
        <v>B/C/D; E límites</v>
      </c>
      <c r="X86" s="15" t="str">
        <v>MATRIZ; H002; CIERRE; TECHO</v>
      </c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21" t="n">
        <v>2024</v>
      </c>
      <c r="AP86" s="14" t="str">
        <v>CONTINUIDAD</v>
      </c>
      <c r="AQ86" s="14" t="str">
        <v>REGULAR</v>
      </c>
      <c r="AR86" s="14" t="n">
        <v>131</v>
      </c>
      <c r="AS86" s="14" t="str">
        <v>ERROR_DE_CARGA_SEGUN_MANUAL</v>
      </c>
      <c r="AT86" s="14" t="str">
        <v>A criterio; B/C dato y contraste; E sin tipo</v>
      </c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</row>
    <row r="87" ht="64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4" t="str">
        <v>I162S2C3J1V2</v>
      </c>
      <c r="N87" s="14" t="str">
        <v>PENDIENTE</v>
      </c>
      <c r="O87" s="14" t="str">
        <v>CRUCE_PERSONA_MU_2022_2026</v>
      </c>
      <c r="P87" s="14" t="str">
        <v>E</v>
      </c>
      <c r="Q87" s="14" t="str">
        <v>SIN_ENLACE</v>
      </c>
      <c r="R87" s="14" t="str">
        <v>E: nueva evidencia gobernada; no repetir enlaces con las mismas fuentes.</v>
      </c>
      <c r="S87" s="22" t="n">
        <v>0</v>
      </c>
      <c r="T87" s="22" t="n">
        <v>0</v>
      </c>
      <c r="U87" s="22" t="n">
        <v>0</v>
      </c>
      <c r="V87" s="14" t="str">
        <v>CONTINUA</v>
      </c>
      <c r="W87" s="14" t="str">
        <v>B/C/D; E límites</v>
      </c>
      <c r="X87" s="14" t="str">
        <v>MATRIZ; H002; CIERRE; TECHO</v>
      </c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23" t="n">
        <v>2024</v>
      </c>
      <c r="AP87" s="15" t="str">
        <v>CONTINUIDAD</v>
      </c>
      <c r="AQ87" s="15" t="str">
        <v>CONTINUIDAD</v>
      </c>
      <c r="AR87" s="15" t="n">
        <v>0</v>
      </c>
      <c r="AS87" s="15" t="str">
        <v>CORRECTO_SEGUN_MANUAL</v>
      </c>
      <c r="AT87" s="15" t="str">
        <v>A criterio; B/C dato y contraste; E sin tipo</v>
      </c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</row>
    <row r="88" ht="64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 t="str">
        <v>I162S2C3J2V1</v>
      </c>
      <c r="N88" s="15" t="str">
        <v>UNIDO</v>
      </c>
      <c r="O88" s="15" t="str">
        <v>CRUCE_PERSONA_MU_2022_2026</v>
      </c>
      <c r="P88" s="15" t="str">
        <v>ICRE20241 / IETMRE20121 / IETMRE20161 / IETMRE20211</v>
      </c>
      <c r="Q88" s="15" t="str">
        <v>UNIDO</v>
      </c>
      <c r="R88" s="15" t="str">
        <v>Reutilizar el vínculo según su período y método; no extenderlo a otras cohortes.</v>
      </c>
      <c r="S88" s="24" t="n">
        <v>6</v>
      </c>
      <c r="T88" s="24" t="n">
        <v>6</v>
      </c>
      <c r="U88" s="24" t="n">
        <v>6</v>
      </c>
      <c r="V88" s="15" t="str">
        <v>CONTINUA</v>
      </c>
      <c r="W88" s="15" t="str">
        <v>B/C/D; E límites</v>
      </c>
      <c r="X88" s="15" t="str">
        <v>MATRIZ; H002; CIERRE; TECHO</v>
      </c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21" t="n">
        <v>2024</v>
      </c>
      <c r="AP88" s="14" t="str">
        <v>E</v>
      </c>
      <c r="AQ88" s="14" t="str">
        <v>REGULAR</v>
      </c>
      <c r="AR88" s="14" t="n">
        <v>70</v>
      </c>
      <c r="AS88" s="14" t="str">
        <v>NO_EVALUABLE</v>
      </c>
      <c r="AT88" s="14" t="str">
        <v>A criterio; B/C dato y contraste; E sin tipo</v>
      </c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</row>
    <row r="89" ht="64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4" t="str">
        <v>I162S2C3J2V2</v>
      </c>
      <c r="N89" s="14" t="str">
        <v>PENDIENTE</v>
      </c>
      <c r="O89" s="14" t="str">
        <v>SOLO_SIES_PRE_2022</v>
      </c>
      <c r="P89" s="14" t="str">
        <v>E</v>
      </c>
      <c r="Q89" s="14" t="str">
        <v>SOLO_ANTES_2022</v>
      </c>
      <c r="R89" s="14" t="str">
        <v>Cierre E: Datos Alumnos no conserva el histórico; solo reabrir con registro UMAS anual.</v>
      </c>
      <c r="S89" s="22" t="n">
        <v>0</v>
      </c>
      <c r="T89" s="22" t="n">
        <v>0</v>
      </c>
      <c r="U89" s="22" t="n">
        <v>0</v>
      </c>
      <c r="V89" s="14" t="str">
        <v>SIN_OFERTA_2027</v>
      </c>
      <c r="W89" s="14" t="str">
        <v>B/C/D; E límites</v>
      </c>
      <c r="X89" s="14" t="str">
        <v>MATRIZ; H002; CIERRE; TECHO</v>
      </c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23" t="n">
        <v>2024</v>
      </c>
      <c r="AP89" s="15" t="str">
        <v>E</v>
      </c>
      <c r="AQ89" s="15" t="str">
        <v>CONTINUIDAD</v>
      </c>
      <c r="AR89" s="15" t="n">
        <v>0</v>
      </c>
      <c r="AS89" s="15" t="str">
        <v>NO_EVALUABLE</v>
      </c>
      <c r="AT89" s="15" t="str">
        <v>A criterio; B/C dato y contraste; E sin tipo</v>
      </c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</row>
    <row r="90" ht="64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 t="str">
        <v>I162S2C3J2V3</v>
      </c>
      <c r="N90" s="15" t="str">
        <v>UNIDO</v>
      </c>
      <c r="O90" s="15" t="str">
        <v>CRUCE_PERSONA_MU_2022_2026</v>
      </c>
      <c r="P90" s="15" t="str">
        <v>CICRE20241</v>
      </c>
      <c r="Q90" s="15" t="str">
        <v>UNIDO</v>
      </c>
      <c r="R90" s="15" t="str">
        <v>Reutilizar el vínculo según su período y método; no extenderlo a otras cohortes.</v>
      </c>
      <c r="S90" s="24" t="n">
        <v>2</v>
      </c>
      <c r="T90" s="24" t="n">
        <v>2</v>
      </c>
      <c r="U90" s="24" t="n">
        <v>2</v>
      </c>
      <c r="V90" s="15" t="str">
        <v>CONTINUA</v>
      </c>
      <c r="W90" s="15" t="str">
        <v>B/C/D; E límites</v>
      </c>
      <c r="X90" s="15" t="str">
        <v>MATRIZ; H002; CIERRE; TECHO</v>
      </c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21" t="n">
        <v>2024</v>
      </c>
      <c r="AP90" s="14" t="str">
        <v>SIN_PLAN</v>
      </c>
      <c r="AQ90" s="14" t="str">
        <v>REGULAR</v>
      </c>
      <c r="AR90" s="14" t="n">
        <v>41</v>
      </c>
      <c r="AS90" s="14" t="str">
        <v>NO_EVALUABLE</v>
      </c>
      <c r="AT90" s="14" t="str">
        <v>A criterio; B/C dato y contraste; E sin tipo</v>
      </c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</row>
    <row r="91" ht="64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4" t="str">
        <v>I162S2C3J2V4</v>
      </c>
      <c r="N91" s="14" t="str">
        <v>UNIDO</v>
      </c>
      <c r="O91" s="14" t="str">
        <v>CRUCE_PERSONA_MU_2022_2026</v>
      </c>
      <c r="P91" s="14" t="str">
        <v>ICRE20241 / IETMRE20161 / IETMRE20191 / IETMRE20211 / NCONRE / NITMRE20121</v>
      </c>
      <c r="Q91" s="14" t="str">
        <v>UNIDO</v>
      </c>
      <c r="R91" s="14" t="str">
        <v>Reutilizar el vínculo según su período y método; no extenderlo a otras cohortes.</v>
      </c>
      <c r="S91" s="22" t="n">
        <v>119</v>
      </c>
      <c r="T91" s="22" t="n">
        <v>111</v>
      </c>
      <c r="U91" s="22" t="n">
        <v>108</v>
      </c>
      <c r="V91" s="14" t="str">
        <v>CONTINUA</v>
      </c>
      <c r="W91" s="14" t="str">
        <v>B/C/D; E límites</v>
      </c>
      <c r="X91" s="14" t="str">
        <v>MATRIZ; H002; CIERRE; TECHO</v>
      </c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23" t="n">
        <v>2024</v>
      </c>
      <c r="AP91" s="15" t="str">
        <v>SIN_PLAN</v>
      </c>
      <c r="AQ91" s="15" t="str">
        <v>CONTINUIDAD</v>
      </c>
      <c r="AR91" s="15" t="n">
        <v>0</v>
      </c>
      <c r="AS91" s="15" t="str">
        <v>NO_EVALUABLE</v>
      </c>
      <c r="AT91" s="15" t="str">
        <v>A criterio; B/C dato y contraste; E sin tipo</v>
      </c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</row>
    <row r="92" ht="64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 t="str">
        <v>I162S2C3J4V1</v>
      </c>
      <c r="N92" s="15" t="str">
        <v>UNIDO</v>
      </c>
      <c r="O92" s="15" t="str">
        <v>CRUCE_PERSONA_MU_2022_2026</v>
      </c>
      <c r="P92" s="15" t="str">
        <v>IETMREOL20211</v>
      </c>
      <c r="Q92" s="15" t="str">
        <v>UNIDO</v>
      </c>
      <c r="R92" s="15" t="str">
        <v>Reutilizar el vínculo según su período y método; no extenderlo a otras cohortes.</v>
      </c>
      <c r="S92" s="24" t="n">
        <v>3</v>
      </c>
      <c r="T92" s="24" t="n">
        <v>3</v>
      </c>
      <c r="U92" s="24" t="n">
        <v>3</v>
      </c>
      <c r="V92" s="15" t="str">
        <v>SIN_OFERTA_2027</v>
      </c>
      <c r="W92" s="15" t="str">
        <v>B/C/D; E límites</v>
      </c>
      <c r="X92" s="15" t="str">
        <v>MATRIZ; H002; CIERRE; TECHO</v>
      </c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21" t="n">
        <v>2025</v>
      </c>
      <c r="AP92" s="14" t="str">
        <v>REGULAR</v>
      </c>
      <c r="AQ92" s="14" t="str">
        <v>REGULAR</v>
      </c>
      <c r="AR92" s="14" t="n">
        <v>1783</v>
      </c>
      <c r="AS92" s="14" t="str">
        <v>CORRECTO_SEGUN_MANUAL</v>
      </c>
      <c r="AT92" s="14" t="str">
        <v>A criterio; B/C dato y contraste; E sin tipo</v>
      </c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</row>
    <row r="93" ht="64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4" t="str">
        <v>I162S2C3J4V2</v>
      </c>
      <c r="N93" s="14" t="str">
        <v>UNIDO</v>
      </c>
      <c r="O93" s="14" t="str">
        <v>CRUCE_PERSONA_MU_2022_2026 / REGLA_MU_2027</v>
      </c>
      <c r="P93" s="14" t="str">
        <v>CICRE20241 / ICRE20241 / IETMREOL / IETMREOL20191 / IETMREOL20211 / NCONREOL2019 / NETMRE20091 / NETMRE20101 / NETMRE20121</v>
      </c>
      <c r="Q93" s="14" t="str">
        <v>UNIDO</v>
      </c>
      <c r="R93" s="14" t="str">
        <v>Reutilizar el vínculo según su período y método; no extenderlo a otras cohortes.</v>
      </c>
      <c r="S93" s="22" t="n">
        <v>1020</v>
      </c>
      <c r="T93" s="22" t="n">
        <v>1011</v>
      </c>
      <c r="U93" s="22" t="n">
        <v>990</v>
      </c>
      <c r="V93" s="14" t="str">
        <v>VERSION_MULTIPLE_RESUELTA</v>
      </c>
      <c r="W93" s="14" t="str">
        <v>B/C/D; E límites</v>
      </c>
      <c r="X93" s="14" t="str">
        <v>MATRIZ; H002; CIERRE; TECHO</v>
      </c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23" t="n">
        <v>2025</v>
      </c>
      <c r="AP93" s="15" t="str">
        <v>REGULAR</v>
      </c>
      <c r="AQ93" s="15" t="str">
        <v>CONTINUIDAD</v>
      </c>
      <c r="AR93" s="15" t="n">
        <v>0</v>
      </c>
      <c r="AS93" s="15" t="str">
        <v>ERROR_DE_CARGA_SEGUN_MANUAL</v>
      </c>
      <c r="AT93" s="15" t="str">
        <v>A criterio; B/C dato y contraste; E sin tipo</v>
      </c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</row>
    <row r="94" ht="64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 t="str">
        <v>I162S2C3J4V3</v>
      </c>
      <c r="N94" s="15" t="str">
        <v>UNIDO</v>
      </c>
      <c r="O94" s="15" t="str">
        <v>CRUCE_PERSONA_MU_2022_2026 / REGLA_MU_2027</v>
      </c>
      <c r="P94" s="15" t="str">
        <v>CICRE20241</v>
      </c>
      <c r="Q94" s="15" t="str">
        <v>UNIDO</v>
      </c>
      <c r="R94" s="15" t="str">
        <v>Reutilizar el vínculo según su período y método; no extenderlo a otras cohortes.</v>
      </c>
      <c r="S94" s="24" t="n">
        <v>155</v>
      </c>
      <c r="T94" s="24" t="n">
        <v>155</v>
      </c>
      <c r="U94" s="24" t="n">
        <v>154</v>
      </c>
      <c r="V94" s="15" t="str">
        <v>VERSION_MULTIPLE_RESUELTA</v>
      </c>
      <c r="W94" s="15" t="str">
        <v>B/C/D; E límites</v>
      </c>
      <c r="X94" s="15" t="str">
        <v>MATRIZ; H002; CIERRE; TECHO</v>
      </c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21" t="n">
        <v>2025</v>
      </c>
      <c r="AP94" s="14" t="str">
        <v>CONTINUIDAD</v>
      </c>
      <c r="AQ94" s="14" t="str">
        <v>REGULAR</v>
      </c>
      <c r="AR94" s="14" t="n">
        <v>171</v>
      </c>
      <c r="AS94" s="14" t="str">
        <v>ERROR_DE_CARGA_SEGUN_MANUAL</v>
      </c>
      <c r="AT94" s="14" t="str">
        <v>A criterio; B/C dato y contraste; E sin tipo</v>
      </c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</row>
    <row r="95" ht="64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4" t="str">
        <v>I162S2C40J2V1</v>
      </c>
      <c r="N95" s="14" t="str">
        <v>PENDIENTE</v>
      </c>
      <c r="O95" s="14" t="str">
        <v>SIN_UNION</v>
      </c>
      <c r="P95" s="14" t="str">
        <v>E</v>
      </c>
      <c r="Q95" s="14" t="str">
        <v>FUERA_ALCANCE</v>
      </c>
      <c r="R95" s="14" t="str">
        <v>Excluido del seguimiento por decisión D; catálogo descriptivo conservado.</v>
      </c>
      <c r="S95" s="22" t="n">
        <v>0</v>
      </c>
      <c r="T95" s="22" t="n">
        <v>0</v>
      </c>
      <c r="U95" s="22" t="n">
        <v>0</v>
      </c>
      <c r="V95" s="14" t="str">
        <v>FUERA_ALCANCE</v>
      </c>
      <c r="W95" s="14" t="str">
        <v>B/C/D; E límites</v>
      </c>
      <c r="X95" s="14" t="str">
        <v>MATRIZ; H002; CIERRE; TECHO</v>
      </c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23" t="n">
        <v>2025</v>
      </c>
      <c r="AP95" s="15" t="str">
        <v>CONTINUIDAD</v>
      </c>
      <c r="AQ95" s="15" t="str">
        <v>CONTINUIDAD</v>
      </c>
      <c r="AR95" s="15" t="n">
        <v>146</v>
      </c>
      <c r="AS95" s="15" t="str">
        <v>CORRECTO_SEGUN_MANUAL</v>
      </c>
      <c r="AT95" s="15" t="str">
        <v>A criterio; B/C dato y contraste; E sin tipo</v>
      </c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</row>
    <row r="96" ht="64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 t="str">
        <v>I162S2C46J1V1</v>
      </c>
      <c r="N96" s="15" t="str">
        <v>UNIDO</v>
      </c>
      <c r="O96" s="15" t="str">
        <v>CRUCE_PERSONA_MU_2022_2026</v>
      </c>
      <c r="P96" s="15" t="str">
        <v>ICIB20241 / IECSRE20211</v>
      </c>
      <c r="Q96" s="15" t="str">
        <v>UNIDO</v>
      </c>
      <c r="R96" s="15" t="str">
        <v>Reutilizar el vínculo según su período y método; no extenderlo a otras cohortes.</v>
      </c>
      <c r="S96" s="24" t="n">
        <v>110</v>
      </c>
      <c r="T96" s="24" t="n">
        <v>77</v>
      </c>
      <c r="U96" s="24" t="n">
        <v>74</v>
      </c>
      <c r="V96" s="15" t="str">
        <v>CONTINUA</v>
      </c>
      <c r="W96" s="15" t="str">
        <v>B/C/D; E límites</v>
      </c>
      <c r="X96" s="15" t="str">
        <v>MATRIZ; H002; CIERRE; TECHO</v>
      </c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21" t="n">
        <v>2025</v>
      </c>
      <c r="AP96" s="14" t="str">
        <v>E</v>
      </c>
      <c r="AQ96" s="14" t="str">
        <v>REGULAR</v>
      </c>
      <c r="AR96" s="14" t="n">
        <v>15</v>
      </c>
      <c r="AS96" s="14" t="str">
        <v>NO_EVALUABLE</v>
      </c>
      <c r="AT96" s="14" t="str">
        <v>A criterio; B/C dato y contraste; E sin tipo</v>
      </c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</row>
    <row r="97" ht="64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4" t="str">
        <v>I162S2C46J2V1</v>
      </c>
      <c r="N97" s="14" t="str">
        <v>UNIDO</v>
      </c>
      <c r="O97" s="14" t="str">
        <v>CRUCE_PERSONA_MU_2022_2026 / REGLA_MU_2027</v>
      </c>
      <c r="P97" s="14" t="str">
        <v>ICIB20241 / NICCRE20191 / NICCRE2020 / NTCCRE20191 / NTCCRE2020</v>
      </c>
      <c r="Q97" s="14" t="str">
        <v>UNIDO</v>
      </c>
      <c r="R97" s="14" t="str">
        <v>Reutilizar el vínculo según su período y método; no extenderlo a otras cohortes.</v>
      </c>
      <c r="S97" s="22" t="n">
        <v>197</v>
      </c>
      <c r="T97" s="22" t="n">
        <v>112</v>
      </c>
      <c r="U97" s="22" t="n">
        <v>94</v>
      </c>
      <c r="V97" s="14" t="str">
        <v>VERSION_MULTIPLE_RESUELTA</v>
      </c>
      <c r="W97" s="14" t="str">
        <v>B/C/D; E límites</v>
      </c>
      <c r="X97" s="14" t="str">
        <v>MATRIZ; H002; CIERRE; TECHO</v>
      </c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23" t="n">
        <v>2025</v>
      </c>
      <c r="AP97" s="15" t="str">
        <v>E</v>
      </c>
      <c r="AQ97" s="15" t="str">
        <v>CONTINUIDAD</v>
      </c>
      <c r="AR97" s="15" t="n">
        <v>0</v>
      </c>
      <c r="AS97" s="15" t="str">
        <v>NO_EVALUABLE</v>
      </c>
      <c r="AT97" s="15" t="str">
        <v>A criterio; B/C dato y contraste; E sin tipo</v>
      </c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</row>
    <row r="98" ht="64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 t="str">
        <v>I162S2C46J2V2</v>
      </c>
      <c r="N98" s="15" t="str">
        <v>PENDIENTE</v>
      </c>
      <c r="O98" s="15" t="str">
        <v>SOLO_SIES_PRE_2022</v>
      </c>
      <c r="P98" s="15" t="str">
        <v>E</v>
      </c>
      <c r="Q98" s="15" t="str">
        <v>SOLO_ANTES_2022</v>
      </c>
      <c r="R98" s="15" t="str">
        <v>Cierre E: Datos Alumnos no conserva el histórico; solo reabrir con registro UMAS anual.</v>
      </c>
      <c r="S98" s="24" t="n">
        <v>0</v>
      </c>
      <c r="T98" s="24" t="n">
        <v>0</v>
      </c>
      <c r="U98" s="24" t="n">
        <v>0</v>
      </c>
      <c r="V98" s="15" t="str">
        <v>SIN_OFERTA_2027</v>
      </c>
      <c r="W98" s="15" t="str">
        <v>B/C/D; E límites</v>
      </c>
      <c r="X98" s="15" t="str">
        <v>MATRIZ; H002; CIERRE; TECHO</v>
      </c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21" t="n">
        <v>2025</v>
      </c>
      <c r="AP98" s="14" t="str">
        <v>SIN_PLAN</v>
      </c>
      <c r="AQ98" s="14" t="str">
        <v>REGULAR</v>
      </c>
      <c r="AR98" s="14" t="n">
        <v>105</v>
      </c>
      <c r="AS98" s="14" t="str">
        <v>NO_EVALUABLE</v>
      </c>
      <c r="AT98" s="14" t="str">
        <v>A criterio; B/C dato y contraste; E sin tipo</v>
      </c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</row>
    <row r="99" ht="64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4" t="str">
        <v>I162S2C46J2V3</v>
      </c>
      <c r="N99" s="14" t="str">
        <v>UNIDO</v>
      </c>
      <c r="O99" s="14" t="str">
        <v>APROBACION_D_2027 / CRUCE_PERSONA_MU_2022_2026</v>
      </c>
      <c r="P99" s="14" t="str">
        <v>CICIB20241</v>
      </c>
      <c r="Q99" s="14" t="str">
        <v>UNIDO</v>
      </c>
      <c r="R99" s="14" t="str">
        <v>Reutilizar el vínculo según su período y método; no extenderlo a otras cohortes.</v>
      </c>
      <c r="S99" s="22" t="n">
        <v>4</v>
      </c>
      <c r="T99" s="22" t="n">
        <v>4</v>
      </c>
      <c r="U99" s="22" t="n">
        <v>4</v>
      </c>
      <c r="V99" s="14" t="str">
        <v>APROBADA_D_2027</v>
      </c>
      <c r="W99" s="14" t="str">
        <v>B/C/D; E límites</v>
      </c>
      <c r="X99" s="14" t="str">
        <v>MATRIZ; H002; CIERRE; TECHO</v>
      </c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23" t="n">
        <v>2025</v>
      </c>
      <c r="AP99" s="15" t="str">
        <v>SIN_PLAN</v>
      </c>
      <c r="AQ99" s="15" t="str">
        <v>CONTINUIDAD</v>
      </c>
      <c r="AR99" s="15" t="n">
        <v>4</v>
      </c>
      <c r="AS99" s="15" t="str">
        <v>NO_EVALUABLE</v>
      </c>
      <c r="AT99" s="15" t="str">
        <v>A criterio; B/C dato y contraste; E sin tipo</v>
      </c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</row>
    <row r="100" ht="64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 t="str">
        <v>I162S2C46J4V1</v>
      </c>
      <c r="N100" s="15" t="str">
        <v>UNIDO</v>
      </c>
      <c r="O100" s="15" t="str">
        <v>CRUCE_PERSONA_MU_2022_2026 / REGLA_MU_2027</v>
      </c>
      <c r="P100" s="15" t="str">
        <v>CICIB20241 / IECSREOL20211</v>
      </c>
      <c r="Q100" s="15" t="str">
        <v>UNIDO</v>
      </c>
      <c r="R100" s="15" t="str">
        <v>Reutilizar el vínculo según su período y método; no extenderlo a otras cohortes.</v>
      </c>
      <c r="S100" s="24" t="n">
        <v>120</v>
      </c>
      <c r="T100" s="24" t="n">
        <v>120</v>
      </c>
      <c r="U100" s="24" t="n">
        <v>119</v>
      </c>
      <c r="V100" s="15" t="str">
        <v>VERSION_MULTIPLE_RESUELTA</v>
      </c>
      <c r="W100" s="15" t="str">
        <v>B/C/D; E límites</v>
      </c>
      <c r="X100" s="15" t="str">
        <v>MATRIZ; H002; CIERRE; TECHO</v>
      </c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21" t="n">
        <v>2026</v>
      </c>
      <c r="AP100" s="14" t="str">
        <v>REGULAR</v>
      </c>
      <c r="AQ100" s="14" t="str">
        <v>REGULAR</v>
      </c>
      <c r="AR100" s="14" t="n">
        <v>2532</v>
      </c>
      <c r="AS100" s="14" t="str">
        <v>CORRECTO_SEGUN_MANUAL</v>
      </c>
      <c r="AT100" s="14" t="str">
        <v>A criterio; B/C dato y contraste; E sin tipo</v>
      </c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</row>
    <row r="101" ht="64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4" t="str">
        <v>I162S2C46J4V2</v>
      </c>
      <c r="N101" s="14" t="str">
        <v>PENDIENTE</v>
      </c>
      <c r="O101" s="14" t="str">
        <v>SOLO_SIES_PRE_2022</v>
      </c>
      <c r="P101" s="14" t="str">
        <v>E</v>
      </c>
      <c r="Q101" s="14" t="str">
        <v>SOLO_ANTES_2022</v>
      </c>
      <c r="R101" s="14" t="str">
        <v>Cierre E: Datos Alumnos no conserva el histórico; solo reabrir con registro UMAS anual.</v>
      </c>
      <c r="S101" s="22" t="n">
        <v>0</v>
      </c>
      <c r="T101" s="22" t="n">
        <v>0</v>
      </c>
      <c r="U101" s="22" t="n">
        <v>0</v>
      </c>
      <c r="V101" s="14" t="str">
        <v>SIN_OFERTA_2027</v>
      </c>
      <c r="W101" s="14" t="str">
        <v>B/C/D; E límites</v>
      </c>
      <c r="X101" s="14" t="str">
        <v>MATRIZ; H002; CIERRE; TECHO</v>
      </c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23" t="n">
        <v>2026</v>
      </c>
      <c r="AP101" s="15" t="str">
        <v>REGULAR</v>
      </c>
      <c r="AQ101" s="15" t="str">
        <v>CONTINUIDAD</v>
      </c>
      <c r="AR101" s="15" t="n">
        <v>0</v>
      </c>
      <c r="AS101" s="15" t="str">
        <v>ERROR_DE_CARGA_SEGUN_MANUAL</v>
      </c>
      <c r="AT101" s="15" t="str">
        <v>A criterio; B/C dato y contraste; E sin tipo</v>
      </c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</row>
    <row r="102" ht="64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 t="str">
        <v>I162S2C46J4V3</v>
      </c>
      <c r="N102" s="15" t="str">
        <v>UNIDO</v>
      </c>
      <c r="O102" s="15" t="str">
        <v>CRUCE_PERSONA_MU_2022_2026 / REGLA_MU_2027</v>
      </c>
      <c r="P102" s="15" t="str">
        <v>CICIB20241 / ICIB20241 / IECSREOL20211 / NICCREOL2020 / NTCCREOL2020</v>
      </c>
      <c r="Q102" s="15" t="str">
        <v>UNIDO</v>
      </c>
      <c r="R102" s="15" t="str">
        <v>Reutilizar el vínculo según su período y método; no extenderlo a otras cohortes.</v>
      </c>
      <c r="S102" s="24" t="n">
        <v>1017</v>
      </c>
      <c r="T102" s="24" t="n">
        <v>1008</v>
      </c>
      <c r="U102" s="24" t="n">
        <v>979</v>
      </c>
      <c r="V102" s="15" t="str">
        <v>VERSION_MULTIPLE_RESUELTA</v>
      </c>
      <c r="W102" s="15" t="str">
        <v>B/C/D; E límites</v>
      </c>
      <c r="X102" s="15" t="str">
        <v>MATRIZ; H002; CIERRE; TECHO</v>
      </c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21" t="n">
        <v>2026</v>
      </c>
      <c r="AP102" s="14" t="str">
        <v>CONTINUIDAD</v>
      </c>
      <c r="AQ102" s="14" t="str">
        <v>REGULAR</v>
      </c>
      <c r="AR102" s="14" t="n">
        <v>0</v>
      </c>
      <c r="AS102" s="14" t="str">
        <v>ERROR_DE_CARGA_SEGUN_MANUAL</v>
      </c>
      <c r="AT102" s="14" t="str">
        <v>A criterio; B/C dato y contraste; E sin tipo</v>
      </c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</row>
    <row r="103" ht="64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4" t="str">
        <v>I162S2C47J1V1</v>
      </c>
      <c r="N103" s="14" t="str">
        <v>UNIDO</v>
      </c>
      <c r="O103" s="14" t="str">
        <v>CRUCE_PERSONA_MU_2022_2026</v>
      </c>
      <c r="P103" s="14" t="str">
        <v>TCIB20241 / TCSRE20191 / TCSRE20211</v>
      </c>
      <c r="Q103" s="14" t="str">
        <v>UNIDO</v>
      </c>
      <c r="R103" s="14" t="str">
        <v>Reutilizar el vínculo según su período y método; no extenderlo a otras cohortes.</v>
      </c>
      <c r="S103" s="22" t="n">
        <v>70</v>
      </c>
      <c r="T103" s="22" t="n">
        <v>68</v>
      </c>
      <c r="U103" s="22" t="n">
        <v>65</v>
      </c>
      <c r="V103" s="14" t="str">
        <v>CONTINUA</v>
      </c>
      <c r="W103" s="14" t="str">
        <v>B/C/D; E límites</v>
      </c>
      <c r="X103" s="14" t="str">
        <v>MATRIZ; H002; CIERRE; TECHO</v>
      </c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23" t="n">
        <v>2026</v>
      </c>
      <c r="AP103" s="15" t="str">
        <v>CONTINUIDAD</v>
      </c>
      <c r="AQ103" s="15" t="str">
        <v>CONTINUIDAD</v>
      </c>
      <c r="AR103" s="15" t="n">
        <v>376</v>
      </c>
      <c r="AS103" s="15" t="str">
        <v>CORRECTO_SEGUN_MANUAL</v>
      </c>
      <c r="AT103" s="15" t="str">
        <v>A criterio; B/C dato y contraste; E sin tipo</v>
      </c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</row>
    <row r="104" ht="64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 t="str">
        <v>I162S2C47J2V1</v>
      </c>
      <c r="N104" s="15" t="str">
        <v>UNIDO</v>
      </c>
      <c r="O104" s="15" t="str">
        <v>CRUCE_PERSONA_MU_2022_2026</v>
      </c>
      <c r="P104" s="15" t="str">
        <v>TCIB20241 / TCSRE20191 / TCSRE20211</v>
      </c>
      <c r="Q104" s="15" t="str">
        <v>UNIDO</v>
      </c>
      <c r="R104" s="15" t="str">
        <v>Reutilizar el vínculo según su período y método; no extenderlo a otras cohortes.</v>
      </c>
      <c r="S104" s="24" t="n">
        <v>70</v>
      </c>
      <c r="T104" s="24" t="n">
        <v>65</v>
      </c>
      <c r="U104" s="24" t="n">
        <v>64</v>
      </c>
      <c r="V104" s="15" t="str">
        <v>CONTINUA</v>
      </c>
      <c r="W104" s="15" t="str">
        <v>B/C/D; E límites</v>
      </c>
      <c r="X104" s="15" t="str">
        <v>MATRIZ; H002; CIERRE; TECHO</v>
      </c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21" t="n">
        <v>2026</v>
      </c>
      <c r="AP104" s="14" t="str">
        <v>E</v>
      </c>
      <c r="AQ104" s="14" t="str">
        <v>REGULAR</v>
      </c>
      <c r="AR104" s="14" t="n">
        <v>0</v>
      </c>
      <c r="AS104" s="14" t="str">
        <v>NO_EVALUABLE</v>
      </c>
      <c r="AT104" s="14" t="str">
        <v>A criterio; B/C dato y contraste; E sin tipo</v>
      </c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</row>
    <row r="105" ht="64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4" t="str">
        <v>I162S2C47J4V1</v>
      </c>
      <c r="N105" s="14" t="str">
        <v>UNIDO</v>
      </c>
      <c r="O105" s="14" t="str">
        <v>CRUCE_PERSONA_MU_2022_2026 / REGLA_MU_2027</v>
      </c>
      <c r="P105" s="14" t="str">
        <v>TCIB20241 / TCSREOL2020 / TCSREOL20211 / TCSREOL20231</v>
      </c>
      <c r="Q105" s="14" t="str">
        <v>UNIDO</v>
      </c>
      <c r="R105" s="14" t="str">
        <v>Reutilizar el vínculo según su período y método; no extenderlo a otras cohortes.</v>
      </c>
      <c r="S105" s="22" t="n">
        <v>551</v>
      </c>
      <c r="T105" s="22" t="n">
        <v>545</v>
      </c>
      <c r="U105" s="22" t="n">
        <v>517</v>
      </c>
      <c r="V105" s="14" t="str">
        <v>VERSION_MULTIPLE_RESUELTA</v>
      </c>
      <c r="W105" s="14" t="str">
        <v>B/C/D; E límites</v>
      </c>
      <c r="X105" s="14" t="str">
        <v>MATRIZ; H002; CIERRE; TECHO</v>
      </c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23" t="n">
        <v>2026</v>
      </c>
      <c r="AP105" s="15" t="str">
        <v>E</v>
      </c>
      <c r="AQ105" s="15" t="str">
        <v>CONTINUIDAD</v>
      </c>
      <c r="AR105" s="15" t="n">
        <v>0</v>
      </c>
      <c r="AS105" s="15" t="str">
        <v>NO_EVALUABLE</v>
      </c>
      <c r="AT105" s="15" t="str">
        <v>A criterio; B/C dato y contraste; E sin tipo</v>
      </c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</row>
    <row r="106" ht="64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 t="str">
        <v>I162S2C47J4V2</v>
      </c>
      <c r="N106" s="15" t="str">
        <v>PENDIENTE</v>
      </c>
      <c r="O106" s="15" t="str">
        <v>SIN_UNION</v>
      </c>
      <c r="P106" s="15" t="str">
        <v>E</v>
      </c>
      <c r="Q106" s="15" t="str">
        <v>NUEVO_2027_SIN_ALUMNOS</v>
      </c>
      <c r="R106" s="15" t="str">
        <v>MU 2027: primera matrícula y cuadratura por código y total.</v>
      </c>
      <c r="S106" s="24" t="n">
        <v>0</v>
      </c>
      <c r="T106" s="24" t="n">
        <v>0</v>
      </c>
      <c r="U106" s="24" t="n">
        <v>0</v>
      </c>
      <c r="V106" s="15" t="str">
        <v>NUEVO_2027_SIN_PLAN_E</v>
      </c>
      <c r="W106" s="15" t="str">
        <v>B/C/D; E límites</v>
      </c>
      <c r="X106" s="15" t="str">
        <v>MATRIZ; H002; CIERRE; TECHO</v>
      </c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21" t="n">
        <v>2026</v>
      </c>
      <c r="AP106" s="14" t="str">
        <v>SIN_PLAN</v>
      </c>
      <c r="AQ106" s="14" t="str">
        <v>REGULAR</v>
      </c>
      <c r="AR106" s="14" t="n">
        <v>212</v>
      </c>
      <c r="AS106" s="14" t="str">
        <v>NO_EVALUABLE</v>
      </c>
      <c r="AT106" s="14" t="str">
        <v>A criterio; B/C dato y contraste; E sin tipo</v>
      </c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</row>
    <row r="107" ht="64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4" t="str">
        <v>I162S2C48J4V1</v>
      </c>
      <c r="N107" s="14" t="str">
        <v>UNIDO</v>
      </c>
      <c r="O107" s="14" t="str">
        <v>APROBACION_D_2027</v>
      </c>
      <c r="P107" s="14" t="str">
        <v>TCIREOL20191 / TCIREOL20211</v>
      </c>
      <c r="Q107" s="14" t="str">
        <v>UNIDO</v>
      </c>
      <c r="R107" s="14" t="str">
        <v>Reutilizar el vínculo según su período y método; no extenderlo a otras cohortes.</v>
      </c>
      <c r="S107" s="22" t="n">
        <v>0</v>
      </c>
      <c r="T107" s="22" t="n">
        <v>0</v>
      </c>
      <c r="U107" s="22" t="n">
        <v>0</v>
      </c>
      <c r="V107" s="14" t="str">
        <v>APROBADA_D_2027</v>
      </c>
      <c r="W107" s="14" t="str">
        <v>B/C/D; E límites</v>
      </c>
      <c r="X107" s="14" t="str">
        <v>MATRIZ; H002; CIERRE; TECHO</v>
      </c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23" t="n">
        <v>2026</v>
      </c>
      <c r="AP107" s="15" t="str">
        <v>SIN_PLAN</v>
      </c>
      <c r="AQ107" s="15" t="str">
        <v>CONTINUIDAD</v>
      </c>
      <c r="AR107" s="15" t="n">
        <v>3</v>
      </c>
      <c r="AS107" s="15" t="str">
        <v>NO_EVALUABLE</v>
      </c>
      <c r="AT107" s="15" t="str">
        <v>A criterio; B/C dato y contraste; E sin tipo</v>
      </c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</row>
    <row r="108" ht="36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 t="str">
        <v>I162S2C53J3V1</v>
      </c>
      <c r="N108" s="15" t="str">
        <v>PENDIENTE</v>
      </c>
      <c r="O108" s="15" t="str">
        <v>SIN_UNION</v>
      </c>
      <c r="P108" s="15" t="str">
        <v>E</v>
      </c>
      <c r="Q108" s="15" t="str">
        <v>FUERA_ALCANCE</v>
      </c>
      <c r="R108" s="15" t="str">
        <v>Excluido del seguimiento por decisión D; catálogo descriptivo conservado.</v>
      </c>
      <c r="S108" s="24" t="n">
        <v>0</v>
      </c>
      <c r="T108" s="24" t="n">
        <v>0</v>
      </c>
      <c r="U108" s="24" t="n">
        <v>0</v>
      </c>
      <c r="V108" s="15" t="str">
        <v>FUERA_ALCANCE</v>
      </c>
      <c r="W108" s="15" t="str">
        <v>B/C/D; E límites</v>
      </c>
      <c r="X108" s="15" t="str">
        <v>MATRIZ; H002; CIERRE; TECHO</v>
      </c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</row>
    <row r="109" ht="36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4" t="str">
        <v>I162S2C57J1V1</v>
      </c>
      <c r="N109" s="14" t="str">
        <v>UNIDO</v>
      </c>
      <c r="O109" s="14" t="str">
        <v>CRUCE_PERSONA_MU_2022_2026</v>
      </c>
      <c r="P109" s="14" t="str">
        <v>TPARE2020 / TPARE20211 / TPAS20241</v>
      </c>
      <c r="Q109" s="14" t="str">
        <v>UNIDO</v>
      </c>
      <c r="R109" s="14" t="str">
        <v>Reutilizar el vínculo según su período y método; no extenderlo a otras cohortes.</v>
      </c>
      <c r="S109" s="22" t="n">
        <v>118</v>
      </c>
      <c r="T109" s="22" t="n">
        <v>107</v>
      </c>
      <c r="U109" s="22" t="n">
        <v>104</v>
      </c>
      <c r="V109" s="14" t="str">
        <v>CONTINUA</v>
      </c>
      <c r="W109" s="14" t="str">
        <v>B/C/D; E límites</v>
      </c>
      <c r="X109" s="14" t="str">
        <v>MATRIZ; H002; CIERRE; TECHO</v>
      </c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</row>
    <row r="110" ht="36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 t="str">
        <v>I162S2C57J2V1</v>
      </c>
      <c r="N110" s="15" t="str">
        <v>UNIDO</v>
      </c>
      <c r="O110" s="15" t="str">
        <v>CRUCE_PERSONA_MU_2022_2026</v>
      </c>
      <c r="P110" s="15" t="str">
        <v>TPARE2020 / TPARE20211 / TPAS20241</v>
      </c>
      <c r="Q110" s="15" t="str">
        <v>UNIDO</v>
      </c>
      <c r="R110" s="15" t="str">
        <v>Reutilizar el vínculo según su período y método; no extenderlo a otras cohortes.</v>
      </c>
      <c r="S110" s="24" t="n">
        <v>132</v>
      </c>
      <c r="T110" s="24" t="n">
        <v>125</v>
      </c>
      <c r="U110" s="24" t="n">
        <v>123</v>
      </c>
      <c r="V110" s="15" t="str">
        <v>CONTINUA</v>
      </c>
      <c r="W110" s="15" t="str">
        <v>B/C/D; E límites</v>
      </c>
      <c r="X110" s="15" t="str">
        <v>MATRIZ; H002; CIERRE; TECHO</v>
      </c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</row>
    <row r="111" ht="36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4" t="str">
        <v>I162S2C57J4V1</v>
      </c>
      <c r="N111" s="14" t="str">
        <v>UNIDO</v>
      </c>
      <c r="O111" s="14" t="str">
        <v>CRUCE_PERSONA_MU_2022_2026 / REGLA_MU_2027</v>
      </c>
      <c r="P111" s="14" t="str">
        <v>TPAREOL2020 / TPAREOL20211 / TPAREOL20231 / TPAS20241</v>
      </c>
      <c r="Q111" s="14" t="str">
        <v>UNIDO</v>
      </c>
      <c r="R111" s="14" t="str">
        <v>Reutilizar el vínculo según su período y método; no extenderlo a otras cohortes.</v>
      </c>
      <c r="S111" s="22" t="n">
        <v>1257</v>
      </c>
      <c r="T111" s="22" t="n">
        <v>1238</v>
      </c>
      <c r="U111" s="22" t="n">
        <v>1178</v>
      </c>
      <c r="V111" s="14" t="str">
        <v>VERSION_MULTIPLE_RESUELTA</v>
      </c>
      <c r="W111" s="14" t="str">
        <v>B/C/D; E límites</v>
      </c>
      <c r="X111" s="14" t="str">
        <v>MATRIZ; H002; CIERRE; TECHO</v>
      </c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</row>
    <row r="112" ht="36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 t="str">
        <v>I162S2C57J4V2</v>
      </c>
      <c r="N112" s="15" t="str">
        <v>PENDIENTE</v>
      </c>
      <c r="O112" s="15" t="str">
        <v>SIN_UNION</v>
      </c>
      <c r="P112" s="15" t="str">
        <v>E</v>
      </c>
      <c r="Q112" s="15" t="str">
        <v>NUEVO_2027_SIN_ALUMNOS</v>
      </c>
      <c r="R112" s="15" t="str">
        <v>MU 2027: primera matrícula y cuadratura por código y total.</v>
      </c>
      <c r="S112" s="24" t="n">
        <v>0</v>
      </c>
      <c r="T112" s="24" t="n">
        <v>0</v>
      </c>
      <c r="U112" s="24" t="n">
        <v>0</v>
      </c>
      <c r="V112" s="15" t="str">
        <v>NUEVO_2027_SIN_PLAN_E</v>
      </c>
      <c r="W112" s="15" t="str">
        <v>B/C/D; E límites</v>
      </c>
      <c r="X112" s="15" t="str">
        <v>MATRIZ; H002; CIERRE; TECHO</v>
      </c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</row>
    <row r="113" ht="36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4" t="str">
        <v>I162S2C63J4V1</v>
      </c>
      <c r="N113" s="14" t="str">
        <v>PENDIENTE</v>
      </c>
      <c r="O113" s="14" t="str">
        <v>SIN_UNION</v>
      </c>
      <c r="P113" s="14" t="str">
        <v>E</v>
      </c>
      <c r="Q113" s="14" t="str">
        <v>FUERA_ALCANCE</v>
      </c>
      <c r="R113" s="14" t="str">
        <v>Excluido del seguimiento por decisión D; catálogo descriptivo conservado.</v>
      </c>
      <c r="S113" s="22" t="n">
        <v>0</v>
      </c>
      <c r="T113" s="22" t="n">
        <v>0</v>
      </c>
      <c r="U113" s="22" t="n">
        <v>0</v>
      </c>
      <c r="V113" s="14" t="str">
        <v>FUERA_ALCANCE</v>
      </c>
      <c r="W113" s="14" t="str">
        <v>B/C/D; E límites</v>
      </c>
      <c r="X113" s="14" t="str">
        <v>MATRIZ; H002; CIERRE; TECHO</v>
      </c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</row>
    <row r="114" ht="36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 t="str">
        <v>I162S2C64J4V1</v>
      </c>
      <c r="N114" s="15" t="str">
        <v>PENDIENTE</v>
      </c>
      <c r="O114" s="15" t="str">
        <v>SIN_UNION</v>
      </c>
      <c r="P114" s="15" t="str">
        <v>E</v>
      </c>
      <c r="Q114" s="15" t="str">
        <v>FUERA_ALCANCE</v>
      </c>
      <c r="R114" s="15" t="str">
        <v>Excluido del seguimiento por decisión D; catálogo descriptivo conservado.</v>
      </c>
      <c r="S114" s="24" t="n">
        <v>0</v>
      </c>
      <c r="T114" s="24" t="n">
        <v>0</v>
      </c>
      <c r="U114" s="24" t="n">
        <v>0</v>
      </c>
      <c r="V114" s="15" t="str">
        <v>FUERA_ALCANCE</v>
      </c>
      <c r="W114" s="15" t="str">
        <v>B/C/D; E límites</v>
      </c>
      <c r="X114" s="15" t="str">
        <v>MATRIZ; H002; CIERRE; TECHO</v>
      </c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</row>
    <row r="115" ht="36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4" t="str">
        <v>I162S2C65J4V1</v>
      </c>
      <c r="N115" s="14" t="str">
        <v>PENDIENTE</v>
      </c>
      <c r="O115" s="14" t="str">
        <v>SIN_UNION</v>
      </c>
      <c r="P115" s="14" t="str">
        <v>E</v>
      </c>
      <c r="Q115" s="14" t="str">
        <v>FUERA_ALCANCE</v>
      </c>
      <c r="R115" s="14" t="str">
        <v>Excluido del seguimiento por decisión D; catálogo descriptivo conservado.</v>
      </c>
      <c r="S115" s="22" t="n">
        <v>0</v>
      </c>
      <c r="T115" s="22" t="n">
        <v>0</v>
      </c>
      <c r="U115" s="22" t="n">
        <v>0</v>
      </c>
      <c r="V115" s="14" t="str">
        <v>FUERA_ALCANCE</v>
      </c>
      <c r="W115" s="14" t="str">
        <v>B/C/D; E límites</v>
      </c>
      <c r="X115" s="14" t="str">
        <v>MATRIZ; H002; CIERRE; TECHO</v>
      </c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</row>
    <row r="116" ht="36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 t="str">
        <v>I162S2C66J4V1</v>
      </c>
      <c r="N116" s="15" t="str">
        <v>PENDIENTE</v>
      </c>
      <c r="O116" s="15" t="str">
        <v>SIN_UNION</v>
      </c>
      <c r="P116" s="15" t="str">
        <v>E</v>
      </c>
      <c r="Q116" s="15" t="str">
        <v>FUERA_ALCANCE</v>
      </c>
      <c r="R116" s="15" t="str">
        <v>Excluido del seguimiento por decisión D; catálogo descriptivo conservado.</v>
      </c>
      <c r="S116" s="24" t="n">
        <v>0</v>
      </c>
      <c r="T116" s="24" t="n">
        <v>0</v>
      </c>
      <c r="U116" s="24" t="n">
        <v>0</v>
      </c>
      <c r="V116" s="15" t="str">
        <v>FUERA_ALCANCE</v>
      </c>
      <c r="W116" s="15" t="str">
        <v>B/C/D; E límites</v>
      </c>
      <c r="X116" s="15" t="str">
        <v>MATRIZ; H002; CIERRE; TECHO</v>
      </c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</row>
    <row r="117" ht="36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4" t="str">
        <v>I162S2C67J4V1</v>
      </c>
      <c r="N117" s="14" t="str">
        <v>PENDIENTE</v>
      </c>
      <c r="O117" s="14" t="str">
        <v>SIN_UNION</v>
      </c>
      <c r="P117" s="14" t="str">
        <v>E</v>
      </c>
      <c r="Q117" s="14" t="str">
        <v>FUERA_ALCANCE</v>
      </c>
      <c r="R117" s="14" t="str">
        <v>Excluido del seguimiento por decisión D; catálogo descriptivo conservado.</v>
      </c>
      <c r="S117" s="22" t="n">
        <v>0</v>
      </c>
      <c r="T117" s="22" t="n">
        <v>0</v>
      </c>
      <c r="U117" s="22" t="n">
        <v>0</v>
      </c>
      <c r="V117" s="14" t="str">
        <v>FUERA_ALCANCE</v>
      </c>
      <c r="W117" s="14" t="str">
        <v>B/C/D; E límites</v>
      </c>
      <c r="X117" s="14" t="str">
        <v>MATRIZ; H002; CIERRE; TECHO</v>
      </c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</row>
    <row r="118" ht="36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 t="str">
        <v>I162S2C68J4V1</v>
      </c>
      <c r="N118" s="15" t="str">
        <v>PENDIENTE</v>
      </c>
      <c r="O118" s="15" t="str">
        <v>SIN_UNION</v>
      </c>
      <c r="P118" s="15" t="str">
        <v>E</v>
      </c>
      <c r="Q118" s="15" t="str">
        <v>FUERA_ALCANCE</v>
      </c>
      <c r="R118" s="15" t="str">
        <v>Excluido del seguimiento por decisión D; catálogo descriptivo conservado.</v>
      </c>
      <c r="S118" s="24" t="n">
        <v>0</v>
      </c>
      <c r="T118" s="24" t="n">
        <v>0</v>
      </c>
      <c r="U118" s="24" t="n">
        <v>0</v>
      </c>
      <c r="V118" s="15" t="str">
        <v>FUERA_ALCANCE</v>
      </c>
      <c r="W118" s="15" t="str">
        <v>B/C/D; E límites</v>
      </c>
      <c r="X118" s="15" t="str">
        <v>MATRIZ; H002; CIERRE; TECHO</v>
      </c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</row>
    <row r="119" ht="36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4" t="str">
        <v>I162S2C69J4V1</v>
      </c>
      <c r="N119" s="14" t="str">
        <v>PENDIENTE</v>
      </c>
      <c r="O119" s="14" t="str">
        <v>SIN_UNION</v>
      </c>
      <c r="P119" s="14" t="str">
        <v>E</v>
      </c>
      <c r="Q119" s="14" t="str">
        <v>FUERA_ALCANCE</v>
      </c>
      <c r="R119" s="14" t="str">
        <v>Excluido del seguimiento por decisión D; catálogo descriptivo conservado.</v>
      </c>
      <c r="S119" s="22" t="n">
        <v>0</v>
      </c>
      <c r="T119" s="22" t="n">
        <v>0</v>
      </c>
      <c r="U119" s="22" t="n">
        <v>0</v>
      </c>
      <c r="V119" s="14" t="str">
        <v>FUERA_ALCANCE</v>
      </c>
      <c r="W119" s="14" t="str">
        <v>B/C/D; E límites</v>
      </c>
      <c r="X119" s="14" t="str">
        <v>MATRIZ; H002; CIERRE; TECHO</v>
      </c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</row>
    <row r="120" ht="36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 t="str">
        <v>I162S2C6J1V1</v>
      </c>
      <c r="N120" s="15" t="str">
        <v>UNIDO</v>
      </c>
      <c r="O120" s="15" t="str">
        <v>CRUCE_PERSONA_MU_2022_2026</v>
      </c>
      <c r="P120" s="15" t="str">
        <v>TTMRE20211</v>
      </c>
      <c r="Q120" s="15" t="str">
        <v>UNIDO</v>
      </c>
      <c r="R120" s="15" t="str">
        <v>Reutilizar el vínculo según su período y método; no extenderlo a otras cohortes.</v>
      </c>
      <c r="S120" s="24" t="n">
        <v>4</v>
      </c>
      <c r="T120" s="24" t="n">
        <v>3</v>
      </c>
      <c r="U120" s="24" t="n">
        <v>3</v>
      </c>
      <c r="V120" s="15" t="str">
        <v>CONTINUA</v>
      </c>
      <c r="W120" s="15" t="str">
        <v>B/C/D; E límites</v>
      </c>
      <c r="X120" s="15" t="str">
        <v>MATRIZ; H002; CIERRE; TECHO</v>
      </c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</row>
    <row r="121" ht="36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4" t="str">
        <v>I162S2C6J1V2</v>
      </c>
      <c r="N121" s="14" t="str">
        <v>UNIDO</v>
      </c>
      <c r="O121" s="14" t="str">
        <v>CRUCE_PERSONA_MU_2022_2026</v>
      </c>
      <c r="P121" s="14" t="str">
        <v>TTMRE20191 / TTMRE20211</v>
      </c>
      <c r="Q121" s="14" t="str">
        <v>UNIDO</v>
      </c>
      <c r="R121" s="14" t="str">
        <v>Reutilizar el vínculo según su período y método; no extenderlo a otras cohortes.</v>
      </c>
      <c r="S121" s="22" t="n">
        <v>6</v>
      </c>
      <c r="T121" s="22" t="n">
        <v>6</v>
      </c>
      <c r="U121" s="22" t="n">
        <v>6</v>
      </c>
      <c r="V121" s="14" t="str">
        <v>CONTINUA</v>
      </c>
      <c r="W121" s="14" t="str">
        <v>B/C/D; E límites</v>
      </c>
      <c r="X121" s="14" t="str">
        <v>MATRIZ; H002; CIERRE; TECHO</v>
      </c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</row>
    <row r="122" ht="36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 t="str">
        <v>I162S2C6J2V1</v>
      </c>
      <c r="N122" s="15" t="str">
        <v>UNIDO</v>
      </c>
      <c r="O122" s="15" t="str">
        <v>CRUCE_PERSONA_MU_2022_2026</v>
      </c>
      <c r="P122" s="15" t="str">
        <v>TCRE20241 / TTMRE20161 / TTMRE20211</v>
      </c>
      <c r="Q122" s="15" t="str">
        <v>UNIDO</v>
      </c>
      <c r="R122" s="15" t="str">
        <v>Reutilizar el vínculo según su período y método; no extenderlo a otras cohortes.</v>
      </c>
      <c r="S122" s="24" t="n">
        <v>12</v>
      </c>
      <c r="T122" s="24" t="n">
        <v>12</v>
      </c>
      <c r="U122" s="24" t="n">
        <v>12</v>
      </c>
      <c r="V122" s="15" t="str">
        <v>CONTINUA</v>
      </c>
      <c r="W122" s="15" t="str">
        <v>B/C/D; E límites</v>
      </c>
      <c r="X122" s="15" t="str">
        <v>MATRIZ; H002; CIERRE; TECHO</v>
      </c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</row>
    <row r="123" ht="36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4" t="str">
        <v>I162S2C6J2V2</v>
      </c>
      <c r="N123" s="14" t="str">
        <v>UNIDO</v>
      </c>
      <c r="O123" s="14" t="str">
        <v>CRUCE_PERSONA_MU_2022_2026</v>
      </c>
      <c r="P123" s="14" t="str">
        <v>TCRE20241 / TTMRE20191 / TTMRE20211</v>
      </c>
      <c r="Q123" s="14" t="str">
        <v>UNIDO</v>
      </c>
      <c r="R123" s="14" t="str">
        <v>Reutilizar el vínculo según su período y método; no extenderlo a otras cohortes.</v>
      </c>
      <c r="S123" s="22" t="n">
        <v>39</v>
      </c>
      <c r="T123" s="22" t="n">
        <v>38</v>
      </c>
      <c r="U123" s="22" t="n">
        <v>35</v>
      </c>
      <c r="V123" s="14" t="str">
        <v>CONTINUA</v>
      </c>
      <c r="W123" s="14" t="str">
        <v>B/C/D; E límites</v>
      </c>
      <c r="X123" s="14" t="str">
        <v>MATRIZ; H002; CIERRE; TECHO</v>
      </c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</row>
    <row r="124" ht="36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 t="str">
        <v>I162S2C6J4V1</v>
      </c>
      <c r="N124" s="15" t="str">
        <v>PENDIENTE</v>
      </c>
      <c r="O124" s="15" t="str">
        <v>SOLO_SIES_PRE_2022</v>
      </c>
      <c r="P124" s="15" t="str">
        <v>E</v>
      </c>
      <c r="Q124" s="15" t="str">
        <v>SOLO_ANTES_2022</v>
      </c>
      <c r="R124" s="15" t="str">
        <v>Cierre E: Datos Alumnos no conserva el histórico; solo reabrir con registro UMAS anual.</v>
      </c>
      <c r="S124" s="24" t="n">
        <v>0</v>
      </c>
      <c r="T124" s="24" t="n">
        <v>0</v>
      </c>
      <c r="U124" s="24" t="n">
        <v>0</v>
      </c>
      <c r="V124" s="15" t="str">
        <v>SIN_OFERTA_2027</v>
      </c>
      <c r="W124" s="15" t="str">
        <v>B/C/D; E límites</v>
      </c>
      <c r="X124" s="15" t="str">
        <v>MATRIZ; H002; CIERRE; TECHO</v>
      </c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</row>
    <row r="125" ht="36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4" t="str">
        <v>I162S2C6J4V2</v>
      </c>
      <c r="N125" s="14" t="str">
        <v>UNIDO</v>
      </c>
      <c r="O125" s="14" t="str">
        <v>CRUCE_PERSONA_MU_2022_2026 / REGLA_MU_2027</v>
      </c>
      <c r="P125" s="14" t="str">
        <v>TCRE20241 / TTMREOL / TTMREOL20191 / TTMREOL20211 / TTMREOL20231</v>
      </c>
      <c r="Q125" s="14" t="str">
        <v>UNIDO</v>
      </c>
      <c r="R125" s="14" t="str">
        <v>Reutilizar el vínculo según su período y método; no extenderlo a otras cohortes.</v>
      </c>
      <c r="S125" s="22" t="n">
        <v>317</v>
      </c>
      <c r="T125" s="22" t="n">
        <v>315</v>
      </c>
      <c r="U125" s="22" t="n">
        <v>295</v>
      </c>
      <c r="V125" s="14" t="str">
        <v>VERSION_MULTIPLE_RESUELTA</v>
      </c>
      <c r="W125" s="14" t="str">
        <v>B/C/D; E límites</v>
      </c>
      <c r="X125" s="14" t="str">
        <v>MATRIZ; H002; CIERRE; TECHO</v>
      </c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</row>
    <row r="126" ht="36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 t="str">
        <v>I162S2C6J4V3</v>
      </c>
      <c r="N126" s="15" t="str">
        <v>PENDIENTE</v>
      </c>
      <c r="O126" s="15" t="str">
        <v>SIN_UNION</v>
      </c>
      <c r="P126" s="15" t="str">
        <v>E</v>
      </c>
      <c r="Q126" s="15" t="str">
        <v>NUEVO_2027_SIN_ALUMNOS</v>
      </c>
      <c r="R126" s="15" t="str">
        <v>MU 2027: primera matrícula y cuadratura por código y total.</v>
      </c>
      <c r="S126" s="24" t="n">
        <v>0</v>
      </c>
      <c r="T126" s="24" t="n">
        <v>0</v>
      </c>
      <c r="U126" s="24" t="n">
        <v>0</v>
      </c>
      <c r="V126" s="15" t="str">
        <v>NUEVO_2027_SIN_PLAN_E</v>
      </c>
      <c r="W126" s="15" t="str">
        <v>B/C/D; E límites</v>
      </c>
      <c r="X126" s="15" t="str">
        <v>MATRIZ; H002; CIERRE; TECHO</v>
      </c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</row>
    <row r="127" ht="36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4" t="str">
        <v>I162S2C70J4V1</v>
      </c>
      <c r="N127" s="14" t="str">
        <v>PENDIENTE</v>
      </c>
      <c r="O127" s="14" t="str">
        <v>SIN_UNION</v>
      </c>
      <c r="P127" s="14" t="str">
        <v>E</v>
      </c>
      <c r="Q127" s="14" t="str">
        <v>FUERA_ALCANCE</v>
      </c>
      <c r="R127" s="14" t="str">
        <v>Excluido del seguimiento por decisión D; catálogo descriptivo conservado.</v>
      </c>
      <c r="S127" s="22" t="n">
        <v>0</v>
      </c>
      <c r="T127" s="22" t="n">
        <v>0</v>
      </c>
      <c r="U127" s="22" t="n">
        <v>0</v>
      </c>
      <c r="V127" s="14" t="str">
        <v>FUERA_ALCANCE</v>
      </c>
      <c r="W127" s="14" t="str">
        <v>B/C/D; E límites</v>
      </c>
      <c r="X127" s="14" t="str">
        <v>MATRIZ; H002; CIERRE; TECHO</v>
      </c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</row>
    <row r="128" ht="36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 t="str">
        <v>I162S2C71J4V1</v>
      </c>
      <c r="N128" s="15" t="str">
        <v>PENDIENTE</v>
      </c>
      <c r="O128" s="15" t="str">
        <v>SIN_UNION</v>
      </c>
      <c r="P128" s="15" t="str">
        <v>E</v>
      </c>
      <c r="Q128" s="15" t="str">
        <v>FUERA_ALCANCE</v>
      </c>
      <c r="R128" s="15" t="str">
        <v>Excluido del seguimiento por decisión D; catálogo descriptivo conservado.</v>
      </c>
      <c r="S128" s="24" t="n">
        <v>0</v>
      </c>
      <c r="T128" s="24" t="n">
        <v>0</v>
      </c>
      <c r="U128" s="24" t="n">
        <v>0</v>
      </c>
      <c r="V128" s="15" t="str">
        <v>FUERA_ALCANCE</v>
      </c>
      <c r="W128" s="15" t="str">
        <v>B/C/D; E límites</v>
      </c>
      <c r="X128" s="15" t="str">
        <v>MATRIZ; H002; CIERRE; TECHO</v>
      </c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</row>
    <row r="129" ht="36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4" t="str">
        <v>I162S2C76J1V1</v>
      </c>
      <c r="N129" s="14" t="str">
        <v>UNIDO</v>
      </c>
      <c r="O129" s="14" t="str">
        <v>CRUCE_PERSONA_MU_2022_2026</v>
      </c>
      <c r="P129" s="14" t="str">
        <v>IADM20241</v>
      </c>
      <c r="Q129" s="14" t="str">
        <v>UNIDO</v>
      </c>
      <c r="R129" s="14" t="str">
        <v>Reutilizar el vínculo según su período y método; no extenderlo a otras cohortes.</v>
      </c>
      <c r="S129" s="22" t="n">
        <v>6</v>
      </c>
      <c r="T129" s="22" t="n">
        <v>6</v>
      </c>
      <c r="U129" s="22" t="n">
        <v>6</v>
      </c>
      <c r="V129" s="14" t="str">
        <v>CONTINUA</v>
      </c>
      <c r="W129" s="14" t="str">
        <v>B/C/D; E límites</v>
      </c>
      <c r="X129" s="14" t="str">
        <v>MATRIZ; H002; CIERRE; TECHO</v>
      </c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</row>
    <row r="130" ht="36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 t="str">
        <v>I162S2C76J2V1</v>
      </c>
      <c r="N130" s="15" t="str">
        <v>UNIDO</v>
      </c>
      <c r="O130" s="15" t="str">
        <v>CRUCE_PERSONA_MU_2022_2026 / REGLA_MU_2027</v>
      </c>
      <c r="P130" s="15" t="str">
        <v>IADM20241</v>
      </c>
      <c r="Q130" s="15" t="str">
        <v>UNIDO</v>
      </c>
      <c r="R130" s="15" t="str">
        <v>Reutilizar el vínculo según su período y método; no extenderlo a otras cohortes.</v>
      </c>
      <c r="S130" s="24" t="n">
        <v>41</v>
      </c>
      <c r="T130" s="24" t="n">
        <v>34</v>
      </c>
      <c r="U130" s="24" t="n">
        <v>33</v>
      </c>
      <c r="V130" s="15" t="str">
        <v>CONTINUA</v>
      </c>
      <c r="W130" s="15" t="str">
        <v>B/C/D; E límites</v>
      </c>
      <c r="X130" s="15" t="str">
        <v>MATRIZ; H002; CIERRE; TECHO</v>
      </c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</row>
    <row r="131" ht="36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4" t="str">
        <v>I162S2C76J4V1</v>
      </c>
      <c r="N131" s="14" t="str">
        <v>UNIDO</v>
      </c>
      <c r="O131" s="14" t="str">
        <v>CRUCE_PERSONA_MU_2022_2026 / REGLA_MU_2027</v>
      </c>
      <c r="P131" s="14" t="str">
        <v>CIADM20241 / IADM20241</v>
      </c>
      <c r="Q131" s="14" t="str">
        <v>UNIDO</v>
      </c>
      <c r="R131" s="14" t="str">
        <v>Reutilizar el vínculo según su período y método; no extenderlo a otras cohortes.</v>
      </c>
      <c r="S131" s="22" t="n">
        <v>211</v>
      </c>
      <c r="T131" s="22" t="n">
        <v>211</v>
      </c>
      <c r="U131" s="22" t="n">
        <v>193</v>
      </c>
      <c r="V131" s="14" t="str">
        <v>VERSION_MULTIPLE_RESUELTA</v>
      </c>
      <c r="W131" s="14" t="str">
        <v>B/C/D; E límites</v>
      </c>
      <c r="X131" s="14" t="str">
        <v>MATRIZ; H002; CIERRE; TECHO</v>
      </c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</row>
    <row r="132" ht="36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 t="str">
        <v>I162S2C76J4V2</v>
      </c>
      <c r="N132" s="15" t="str">
        <v>UNIDO</v>
      </c>
      <c r="O132" s="15" t="str">
        <v>APROBACION_D_2027 / CRUCE_PERSONA_MU_2022_2026</v>
      </c>
      <c r="P132" s="15" t="str">
        <v>CIADM20241</v>
      </c>
      <c r="Q132" s="15" t="str">
        <v>UNIDO</v>
      </c>
      <c r="R132" s="15" t="str">
        <v>Reutilizar el vínculo según su período y método; no extenderlo a otras cohortes.</v>
      </c>
      <c r="S132" s="24" t="n">
        <v>38</v>
      </c>
      <c r="T132" s="24" t="n">
        <v>38</v>
      </c>
      <c r="U132" s="24" t="n">
        <v>36</v>
      </c>
      <c r="V132" s="15" t="str">
        <v>APROBADA_D_2027</v>
      </c>
      <c r="W132" s="15" t="str">
        <v>B/C/D; E límites</v>
      </c>
      <c r="X132" s="15" t="str">
        <v>MATRIZ; H002; CIERRE; TECHO</v>
      </c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</row>
    <row r="133" ht="36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4" t="str">
        <v>I162S2C77J1V1</v>
      </c>
      <c r="N133" s="14" t="str">
        <v>PENDIENTE</v>
      </c>
      <c r="O133" s="14" t="str">
        <v>SIN_UNION</v>
      </c>
      <c r="P133" s="14" t="str">
        <v>E</v>
      </c>
      <c r="Q133" s="14" t="str">
        <v>SIN_ENLACE</v>
      </c>
      <c r="R133" s="14" t="str">
        <v>E: nueva evidencia gobernada; no repetir enlaces con las mismas fuentes.</v>
      </c>
      <c r="S133" s="22" t="n">
        <v>0</v>
      </c>
      <c r="T133" s="22" t="n">
        <v>0</v>
      </c>
      <c r="U133" s="22" t="n">
        <v>0</v>
      </c>
      <c r="V133" s="14" t="str">
        <v>CONTINUA</v>
      </c>
      <c r="W133" s="14" t="str">
        <v>B/C/D; E límites</v>
      </c>
      <c r="X133" s="14" t="str">
        <v>MATRIZ; H002; CIERRE; TECHO</v>
      </c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</row>
    <row r="134" ht="36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 t="str">
        <v>I162S2C77J2V1</v>
      </c>
      <c r="N134" s="15" t="str">
        <v>UNIDO</v>
      </c>
      <c r="O134" s="15" t="str">
        <v>CRUCE_PERSONA_MU_2022_2026</v>
      </c>
      <c r="P134" s="15" t="str">
        <v>ILOG20241</v>
      </c>
      <c r="Q134" s="15" t="str">
        <v>UNIDO</v>
      </c>
      <c r="R134" s="15" t="str">
        <v>Reutilizar el vínculo según su período y método; no extenderlo a otras cohortes.</v>
      </c>
      <c r="S134" s="24" t="n">
        <v>42</v>
      </c>
      <c r="T134" s="24" t="n">
        <v>37</v>
      </c>
      <c r="U134" s="24" t="n">
        <v>36</v>
      </c>
      <c r="V134" s="15" t="str">
        <v>CONTINUA</v>
      </c>
      <c r="W134" s="15" t="str">
        <v>B/C/D; E límites</v>
      </c>
      <c r="X134" s="15" t="str">
        <v>MATRIZ; H002; CIERRE; TECHO</v>
      </c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</row>
    <row r="135" ht="36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4" t="str">
        <v>I162S2C77J4V1</v>
      </c>
      <c r="N135" s="14" t="str">
        <v>UNIDO</v>
      </c>
      <c r="O135" s="14" t="str">
        <v>CRUCE_PERSONA_MU_2022_2026 / REGLA_MU_2027</v>
      </c>
      <c r="P135" s="14" t="str">
        <v>CILOG20241 / ILOG20241</v>
      </c>
      <c r="Q135" s="14" t="str">
        <v>UNIDO</v>
      </c>
      <c r="R135" s="14" t="str">
        <v>Reutilizar el vínculo según su período y método; no extenderlo a otras cohortes.</v>
      </c>
      <c r="S135" s="22" t="n">
        <v>162</v>
      </c>
      <c r="T135" s="22" t="n">
        <v>161</v>
      </c>
      <c r="U135" s="22" t="n">
        <v>149</v>
      </c>
      <c r="V135" s="14" t="str">
        <v>VERSION_MULTIPLE_RESUELTA</v>
      </c>
      <c r="W135" s="14" t="str">
        <v>B/C/D; E límites</v>
      </c>
      <c r="X135" s="14" t="str">
        <v>MATRIZ; H002; CIERRE; TECHO</v>
      </c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</row>
    <row r="136" ht="36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 t="str">
        <v>I162S2C77J4V2</v>
      </c>
      <c r="N136" s="15" t="str">
        <v>UNIDO</v>
      </c>
      <c r="O136" s="15" t="str">
        <v>CRUCE_PERSONA_MU_2022_2026 / REGLA_MU_2027</v>
      </c>
      <c r="P136" s="15" t="str">
        <v>CILOG20241</v>
      </c>
      <c r="Q136" s="15" t="str">
        <v>UNIDO</v>
      </c>
      <c r="R136" s="15" t="str">
        <v>Reutilizar el vínculo según su período y método; no extenderlo a otras cohortes.</v>
      </c>
      <c r="S136" s="24" t="n">
        <v>46</v>
      </c>
      <c r="T136" s="24" t="n">
        <v>46</v>
      </c>
      <c r="U136" s="24" t="n">
        <v>46</v>
      </c>
      <c r="V136" s="15" t="str">
        <v>VERSION_MULTIPLE_RESUELTA</v>
      </c>
      <c r="W136" s="15" t="str">
        <v>B/C/D; E límites</v>
      </c>
      <c r="X136" s="15" t="str">
        <v>MATRIZ; H002; CIERRE; TECHO</v>
      </c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</row>
    <row r="137" ht="36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4" t="str">
        <v>I162S2C78J1V1</v>
      </c>
      <c r="N137" s="14" t="str">
        <v>UNIDO</v>
      </c>
      <c r="O137" s="14" t="str">
        <v>CRUCE_PERSONA_MU_2022_2026</v>
      </c>
      <c r="P137" s="14" t="str">
        <v>TAMD20241</v>
      </c>
      <c r="Q137" s="14" t="str">
        <v>UNIDO</v>
      </c>
      <c r="R137" s="14" t="str">
        <v>Reutilizar el vínculo según su período y método; no extenderlo a otras cohortes.</v>
      </c>
      <c r="S137" s="22" t="n">
        <v>10</v>
      </c>
      <c r="T137" s="22" t="n">
        <v>10</v>
      </c>
      <c r="U137" s="22" t="n">
        <v>10</v>
      </c>
      <c r="V137" s="14" t="str">
        <v>CONTINUA</v>
      </c>
      <c r="W137" s="14" t="str">
        <v>B/C/D; E límites</v>
      </c>
      <c r="X137" s="14" t="str">
        <v>MATRIZ; H002; CIERRE; TECHO</v>
      </c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</row>
    <row r="138" ht="36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 t="str">
        <v>I162S2C78J2V1</v>
      </c>
      <c r="N138" s="15" t="str">
        <v>UNIDO</v>
      </c>
      <c r="O138" s="15" t="str">
        <v>APROBACION_D_2027 / CRUCE_PERSONA_MU_2022_2026</v>
      </c>
      <c r="P138" s="15" t="str">
        <v>TAMD20241</v>
      </c>
      <c r="Q138" s="15" t="str">
        <v>UNIDO</v>
      </c>
      <c r="R138" s="15" t="str">
        <v>Reutilizar el vínculo según su período y método; no extenderlo a otras cohortes.</v>
      </c>
      <c r="S138" s="24" t="n">
        <v>52</v>
      </c>
      <c r="T138" s="24" t="n">
        <v>44</v>
      </c>
      <c r="U138" s="24" t="n">
        <v>42</v>
      </c>
      <c r="V138" s="15" t="str">
        <v>APROBADA_D_2027</v>
      </c>
      <c r="W138" s="15" t="str">
        <v>B/C/D; E límites</v>
      </c>
      <c r="X138" s="15" t="str">
        <v>MATRIZ; H002; CIERRE; TECHO</v>
      </c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</row>
    <row r="139" ht="36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4" t="str">
        <v>I162S2C78J2V2</v>
      </c>
      <c r="N139" s="14" t="str">
        <v>PENDIENTE</v>
      </c>
      <c r="O139" s="14" t="str">
        <v>SIN_UNION</v>
      </c>
      <c r="P139" s="14" t="str">
        <v>E</v>
      </c>
      <c r="Q139" s="14" t="str">
        <v>NUEVO_2027_SIN_ALUMNOS</v>
      </c>
      <c r="R139" s="14" t="str">
        <v>MU 2027: primera matrícula y cuadratura por código y total.</v>
      </c>
      <c r="S139" s="22" t="n">
        <v>0</v>
      </c>
      <c r="T139" s="22" t="n">
        <v>0</v>
      </c>
      <c r="U139" s="22" t="n">
        <v>0</v>
      </c>
      <c r="V139" s="14" t="str">
        <v>NUEVO_2027_SIN_PLAN_E</v>
      </c>
      <c r="W139" s="14" t="str">
        <v>B/C/D; E límites</v>
      </c>
      <c r="X139" s="14" t="str">
        <v>MATRIZ; H002; CIERRE; TECHO</v>
      </c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</row>
    <row r="140" ht="36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 t="str">
        <v>I162S2C78J4V1</v>
      </c>
      <c r="N140" s="15" t="str">
        <v>UNIDO</v>
      </c>
      <c r="O140" s="15" t="str">
        <v>CRUCE_PERSONA_MU_2022_2026 / REGLA_MU_2027</v>
      </c>
      <c r="P140" s="15" t="str">
        <v>TAMD20241</v>
      </c>
      <c r="Q140" s="15" t="str">
        <v>UNIDO</v>
      </c>
      <c r="R140" s="15" t="str">
        <v>Reutilizar el vínculo según su período y método; no extenderlo a otras cohortes.</v>
      </c>
      <c r="S140" s="24" t="n">
        <v>164</v>
      </c>
      <c r="T140" s="24" t="n">
        <v>162</v>
      </c>
      <c r="U140" s="24" t="n">
        <v>145</v>
      </c>
      <c r="V140" s="15" t="str">
        <v>VERSION_MULTIPLE_RESUELTA</v>
      </c>
      <c r="W140" s="15" t="str">
        <v>B/C/D; E límites</v>
      </c>
      <c r="X140" s="15" t="str">
        <v>MATRIZ; H002; CIERRE; TECHO</v>
      </c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</row>
    <row r="141" ht="36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4" t="str">
        <v>I162S2C78J4V2</v>
      </c>
      <c r="N141" s="14" t="str">
        <v>PENDIENTE</v>
      </c>
      <c r="O141" s="14" t="str">
        <v>SIN_UNION</v>
      </c>
      <c r="P141" s="14" t="str">
        <v>E</v>
      </c>
      <c r="Q141" s="14" t="str">
        <v>NUEVO_2027_SIN_ALUMNOS</v>
      </c>
      <c r="R141" s="14" t="str">
        <v>MU 2027: primera matrícula y cuadratura por código y total.</v>
      </c>
      <c r="S141" s="22" t="n">
        <v>0</v>
      </c>
      <c r="T141" s="22" t="n">
        <v>0</v>
      </c>
      <c r="U141" s="22" t="n">
        <v>0</v>
      </c>
      <c r="V141" s="14" t="str">
        <v>NUEVO_2027_SIN_PLAN_E</v>
      </c>
      <c r="W141" s="14" t="str">
        <v>B/C/D; E límites</v>
      </c>
      <c r="X141" s="14" t="str">
        <v>MATRIZ; H002; CIERRE; TECHO</v>
      </c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</row>
    <row r="142" ht="36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 t="str">
        <v>I162S2C79J1V1</v>
      </c>
      <c r="N142" s="15" t="str">
        <v>PENDIENTE</v>
      </c>
      <c r="O142" s="15" t="str">
        <v>SIN_UNION</v>
      </c>
      <c r="P142" s="15" t="str">
        <v>E</v>
      </c>
      <c r="Q142" s="15" t="str">
        <v>SIN_ENLACE</v>
      </c>
      <c r="R142" s="15" t="str">
        <v>E: nueva evidencia gobernada; no repetir enlaces con las mismas fuentes.</v>
      </c>
      <c r="S142" s="24" t="n">
        <v>0</v>
      </c>
      <c r="T142" s="24" t="n">
        <v>0</v>
      </c>
      <c r="U142" s="24" t="n">
        <v>0</v>
      </c>
      <c r="V142" s="15" t="str">
        <v>CONTINUA</v>
      </c>
      <c r="W142" s="15" t="str">
        <v>B/C/D; E límites</v>
      </c>
      <c r="X142" s="15" t="str">
        <v>MATRIZ; H002; CIERRE; TECHO</v>
      </c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</row>
    <row r="143" ht="36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4" t="str">
        <v>I162S2C79J2V1</v>
      </c>
      <c r="N143" s="14" t="str">
        <v>UNIDO</v>
      </c>
      <c r="O143" s="14" t="str">
        <v>CRUCE_PERSONA_MU_2022_2026</v>
      </c>
      <c r="P143" s="14" t="str">
        <v>TLOG20241</v>
      </c>
      <c r="Q143" s="14" t="str">
        <v>UNIDO</v>
      </c>
      <c r="R143" s="14" t="str">
        <v>Reutilizar el vínculo según su período y método; no extenderlo a otras cohortes.</v>
      </c>
      <c r="S143" s="22" t="n">
        <v>58</v>
      </c>
      <c r="T143" s="22" t="n">
        <v>51</v>
      </c>
      <c r="U143" s="22" t="n">
        <v>48</v>
      </c>
      <c r="V143" s="14" t="str">
        <v>CONTINUA</v>
      </c>
      <c r="W143" s="14" t="str">
        <v>B/C/D; E límites</v>
      </c>
      <c r="X143" s="14" t="str">
        <v>MATRIZ; H002; CIERRE; TECHO</v>
      </c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</row>
    <row r="144" ht="36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 t="str">
        <v>I162S2C79J4V1</v>
      </c>
      <c r="N144" s="15" t="str">
        <v>UNIDO</v>
      </c>
      <c r="O144" s="15" t="str">
        <v>CRUCE_PERSONA_MU_2022_2026 / REGLA_MU_2027</v>
      </c>
      <c r="P144" s="15" t="str">
        <v>TLOG20241</v>
      </c>
      <c r="Q144" s="15" t="str">
        <v>UNIDO</v>
      </c>
      <c r="R144" s="15" t="str">
        <v>Reutilizar el vínculo según su período y método; no extenderlo a otras cohortes.</v>
      </c>
      <c r="S144" s="24" t="n">
        <v>175</v>
      </c>
      <c r="T144" s="24" t="n">
        <v>175</v>
      </c>
      <c r="U144" s="24" t="n">
        <v>159</v>
      </c>
      <c r="V144" s="15" t="str">
        <v>VERSION_MULTIPLE_RESUELTA</v>
      </c>
      <c r="W144" s="15" t="str">
        <v>B/C/D; E límites</v>
      </c>
      <c r="X144" s="15" t="str">
        <v>MATRIZ; H002; CIERRE; TECHO</v>
      </c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</row>
    <row r="145" ht="36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4" t="str">
        <v>I162S2C79J4V2</v>
      </c>
      <c r="N145" s="14" t="str">
        <v>PENDIENTE</v>
      </c>
      <c r="O145" s="14" t="str">
        <v>SIN_UNION</v>
      </c>
      <c r="P145" s="14" t="str">
        <v>E</v>
      </c>
      <c r="Q145" s="14" t="str">
        <v>NUEVO_2027_SIN_ALUMNOS</v>
      </c>
      <c r="R145" s="14" t="str">
        <v>MU 2027: primera matrícula y cuadratura por código y total.</v>
      </c>
      <c r="S145" s="22" t="n">
        <v>0</v>
      </c>
      <c r="T145" s="22" t="n">
        <v>0</v>
      </c>
      <c r="U145" s="22" t="n">
        <v>0</v>
      </c>
      <c r="V145" s="14" t="str">
        <v>NUEVO_2027_SIN_PLAN_E</v>
      </c>
      <c r="W145" s="14" t="str">
        <v>B/C/D; E límites</v>
      </c>
      <c r="X145" s="14" t="str">
        <v>MATRIZ; H002; CIERRE; TECHO</v>
      </c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</row>
    <row r="146" ht="36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 t="str">
        <v>I162S2C83J4V1</v>
      </c>
      <c r="N146" s="15" t="str">
        <v>UNIDO</v>
      </c>
      <c r="O146" s="15" t="str">
        <v>APROBACION_D_2027 / CRUCE_PERSONA_MU_2022_2026</v>
      </c>
      <c r="P146" s="15" t="str">
        <v>ADMP20251</v>
      </c>
      <c r="Q146" s="15" t="str">
        <v>UNIDO</v>
      </c>
      <c r="R146" s="15" t="str">
        <v>Reutilizar el vínculo según su período y método; no extenderlo a otras cohortes.</v>
      </c>
      <c r="S146" s="24" t="n">
        <v>154</v>
      </c>
      <c r="T146" s="24" t="n">
        <v>154</v>
      </c>
      <c r="U146" s="24" t="n">
        <v>141</v>
      </c>
      <c r="V146" s="15" t="str">
        <v>APROBADA_D_2027</v>
      </c>
      <c r="W146" s="15" t="str">
        <v>B/C/D; E límites</v>
      </c>
      <c r="X146" s="15" t="str">
        <v>MATRIZ; H002; CIERRE; TECHO</v>
      </c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</row>
    <row r="147" ht="36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4" t="str">
        <v>I162S2C83J4V2</v>
      </c>
      <c r="N147" s="14" t="str">
        <v>UNIDO</v>
      </c>
      <c r="O147" s="14" t="str">
        <v>APROBACION_D_2027 / CRUCE_PERSONA_MU_2022_2026</v>
      </c>
      <c r="P147" s="14" t="str">
        <v>CADMP20251</v>
      </c>
      <c r="Q147" s="14" t="str">
        <v>UNIDO</v>
      </c>
      <c r="R147" s="14" t="str">
        <v>Reutilizar el vínculo según su período y método; no extenderlo a otras cohortes.</v>
      </c>
      <c r="S147" s="22" t="n">
        <v>9</v>
      </c>
      <c r="T147" s="22" t="n">
        <v>9</v>
      </c>
      <c r="U147" s="22" t="n">
        <v>7</v>
      </c>
      <c r="V147" s="14" t="str">
        <v>APROBADA_D_2027</v>
      </c>
      <c r="W147" s="14" t="str">
        <v>B/C/D; E límites</v>
      </c>
      <c r="X147" s="14" t="str">
        <v>MATRIZ; H002; CIERRE; TECHO</v>
      </c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</row>
    <row r="148" ht="36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 t="str">
        <v>I162S2C84J4V1</v>
      </c>
      <c r="N148" s="15" t="str">
        <v>UNIDO</v>
      </c>
      <c r="O148" s="15" t="str">
        <v>CRUCE_PERSONA_MU_2022_2026 / REGLA_MU_2027</v>
      </c>
      <c r="P148" s="15" t="str">
        <v>TADP20251</v>
      </c>
      <c r="Q148" s="15" t="str">
        <v>UNIDO</v>
      </c>
      <c r="R148" s="15" t="str">
        <v>Reutilizar el vínculo según su período y método; no extenderlo a otras cohortes.</v>
      </c>
      <c r="S148" s="24" t="n">
        <v>52</v>
      </c>
      <c r="T148" s="24" t="n">
        <v>52</v>
      </c>
      <c r="U148" s="24" t="n">
        <v>44</v>
      </c>
      <c r="V148" s="15" t="str">
        <v>CONTINUA</v>
      </c>
      <c r="W148" s="15" t="str">
        <v>B/C/D; E límites</v>
      </c>
      <c r="X148" s="15" t="str">
        <v>MATRIZ; H002; CIERRE; TECHO</v>
      </c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</row>
    <row r="149" ht="36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4" t="str">
        <v>I162S2C85J4V1</v>
      </c>
      <c r="N149" s="14" t="str">
        <v>UNIDO</v>
      </c>
      <c r="O149" s="14" t="str">
        <v>CRUCE_PERSONA_MU_2022_2026 / REGLA_MU_2027</v>
      </c>
      <c r="P149" s="14" t="str">
        <v>CONG20251</v>
      </c>
      <c r="Q149" s="14" t="str">
        <v>UNIDO</v>
      </c>
      <c r="R149" s="14" t="str">
        <v>Reutilizar el vínculo según su período y método; no extenderlo a otras cohortes.</v>
      </c>
      <c r="S149" s="22" t="n">
        <v>90</v>
      </c>
      <c r="T149" s="22" t="n">
        <v>90</v>
      </c>
      <c r="U149" s="22" t="n">
        <v>82</v>
      </c>
      <c r="V149" s="14" t="str">
        <v>CONTINUA</v>
      </c>
      <c r="W149" s="14" t="str">
        <v>B/C/D; E límites</v>
      </c>
      <c r="X149" s="14" t="str">
        <v>MATRIZ; H002; CIERRE; TECHO</v>
      </c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</row>
    <row r="150" ht="36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 t="str">
        <v>I162S2C86J4V1</v>
      </c>
      <c r="N150" s="15" t="str">
        <v>UNIDO</v>
      </c>
      <c r="O150" s="15" t="str">
        <v>CRUCE_PERSONA_MU_2022_2026 / REGLA_MU_2027</v>
      </c>
      <c r="P150" s="15" t="str">
        <v>AUDT20251</v>
      </c>
      <c r="Q150" s="15" t="str">
        <v>UNIDO</v>
      </c>
      <c r="R150" s="15" t="str">
        <v>Reutilizar el vínculo según su período y método; no extenderlo a otras cohortes.</v>
      </c>
      <c r="S150" s="24" t="n">
        <v>101</v>
      </c>
      <c r="T150" s="24" t="n">
        <v>101</v>
      </c>
      <c r="U150" s="24" t="n">
        <v>87</v>
      </c>
      <c r="V150" s="15" t="str">
        <v>VERSION_MULTIPLE_RESUELTA</v>
      </c>
      <c r="W150" s="15" t="str">
        <v>B/C/D; E límites</v>
      </c>
      <c r="X150" s="15" t="str">
        <v>MATRIZ; H002; CIERRE; TECHO</v>
      </c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</row>
    <row r="151" ht="36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4" t="str">
        <v>I162S2C86J4V2</v>
      </c>
      <c r="N151" s="14" t="str">
        <v>UNIDO</v>
      </c>
      <c r="O151" s="14" t="str">
        <v>REGLA_MU_2027</v>
      </c>
      <c r="P151" s="14" t="str">
        <v>CAUDT20251</v>
      </c>
      <c r="Q151" s="14" t="str">
        <v>UNIDO</v>
      </c>
      <c r="R151" s="14" t="str">
        <v>Reutilizar el vínculo según su período y método; no extenderlo a otras cohortes.</v>
      </c>
      <c r="S151" s="22" t="n">
        <v>0</v>
      </c>
      <c r="T151" s="22" t="n">
        <v>0</v>
      </c>
      <c r="U151" s="22" t="n">
        <v>0</v>
      </c>
      <c r="V151" s="14" t="str">
        <v>VERSION_MULTIPLE_RESUELTA</v>
      </c>
      <c r="W151" s="14" t="str">
        <v>B/C/D; E límites</v>
      </c>
      <c r="X151" s="14" t="str">
        <v>MATRIZ; H002; CIERRE; TECHO</v>
      </c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</row>
    <row r="152" ht="36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 t="str">
        <v>I162S2C87J4V1</v>
      </c>
      <c r="N152" s="15" t="str">
        <v>PENDIENTE</v>
      </c>
      <c r="O152" s="15" t="str">
        <v>SIN_UNION</v>
      </c>
      <c r="P152" s="15" t="str">
        <v>E</v>
      </c>
      <c r="Q152" s="15" t="str">
        <v>SIN_ENLACE</v>
      </c>
      <c r="R152" s="15" t="str">
        <v>E: nueva evidencia gobernada; no repetir enlaces con las mismas fuentes.</v>
      </c>
      <c r="S152" s="24" t="n">
        <v>37</v>
      </c>
      <c r="T152" s="24" t="n">
        <v>0</v>
      </c>
      <c r="U152" s="24" t="n">
        <v>0</v>
      </c>
      <c r="V152" s="15" t="str">
        <v>VERSION_MULTIPLE_RESUELTA</v>
      </c>
      <c r="W152" s="15" t="str">
        <v>B/C/D; E límites</v>
      </c>
      <c r="X152" s="15" t="str">
        <v>MATRIZ; H002; CIERRE; TECHO</v>
      </c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</row>
    <row r="153" ht="36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4" t="str">
        <v>I162S2C87J4V2</v>
      </c>
      <c r="N153" s="14" t="str">
        <v>UNIDO</v>
      </c>
      <c r="O153" s="14" t="str">
        <v>APROBACION_D_2027 / CRUCE_PERSONA_MU_2022_2026</v>
      </c>
      <c r="P153" s="14" t="str">
        <v>IIND20251</v>
      </c>
      <c r="Q153" s="14" t="str">
        <v>UNIDO</v>
      </c>
      <c r="R153" s="14" t="str">
        <v>Reutilizar el vínculo según su período y método; no extenderlo a otras cohortes.</v>
      </c>
      <c r="S153" s="22" t="n">
        <v>69</v>
      </c>
      <c r="T153" s="22" t="n">
        <v>69</v>
      </c>
      <c r="U153" s="22" t="n">
        <v>69</v>
      </c>
      <c r="V153" s="14" t="str">
        <v>APROBADA_D_2027</v>
      </c>
      <c r="W153" s="14" t="str">
        <v>B/C/D; E límites</v>
      </c>
      <c r="X153" s="14" t="str">
        <v>MATRIZ; H002; CIERRE; TECHO</v>
      </c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</row>
    <row r="154" ht="36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 t="str">
        <v>I162S2C88J4V1</v>
      </c>
      <c r="N154" s="15" t="str">
        <v>UNIDO</v>
      </c>
      <c r="O154" s="15" t="str">
        <v>CRUCE_PERSONA_MU_2022_2026 / REGLA_MU_2027</v>
      </c>
      <c r="P154" s="15" t="str">
        <v>ICDA20251</v>
      </c>
      <c r="Q154" s="15" t="str">
        <v>UNIDO</v>
      </c>
      <c r="R154" s="15" t="str">
        <v>Reutilizar el vínculo según su período y método; no extenderlo a otras cohortes.</v>
      </c>
      <c r="S154" s="24" t="n">
        <v>90</v>
      </c>
      <c r="T154" s="24" t="n">
        <v>90</v>
      </c>
      <c r="U154" s="24" t="n">
        <v>86</v>
      </c>
      <c r="V154" s="15" t="str">
        <v>VERSION_MULTIPLE_RESUELTA</v>
      </c>
      <c r="W154" s="15" t="str">
        <v>B/C/D; E límites</v>
      </c>
      <c r="X154" s="15" t="str">
        <v>MATRIZ; H002; CIERRE; TECHO</v>
      </c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</row>
    <row r="155" ht="36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4" t="str">
        <v>I162S2C88J4V2</v>
      </c>
      <c r="N155" s="14" t="str">
        <v>UNIDO</v>
      </c>
      <c r="O155" s="14" t="str">
        <v>REGLA_MU_2027</v>
      </c>
      <c r="P155" s="14" t="str">
        <v>CICDA20251</v>
      </c>
      <c r="Q155" s="14" t="str">
        <v>UNIDO</v>
      </c>
      <c r="R155" s="14" t="str">
        <v>Reutilizar el vínculo según su período y método; no extenderlo a otras cohortes.</v>
      </c>
      <c r="S155" s="22" t="n">
        <v>0</v>
      </c>
      <c r="T155" s="22" t="n">
        <v>0</v>
      </c>
      <c r="U155" s="22" t="n">
        <v>0</v>
      </c>
      <c r="V155" s="14" t="str">
        <v>VERSION_MULTIPLE_RESUELTA</v>
      </c>
      <c r="W155" s="14" t="str">
        <v>B/C/D; E límites</v>
      </c>
      <c r="X155" s="14" t="str">
        <v>MATRIZ; H002; CIERRE; TECHO</v>
      </c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</row>
    <row r="156" ht="36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 t="str">
        <v>I162S2C89J4V1</v>
      </c>
      <c r="N156" s="15" t="str">
        <v>UNIDO</v>
      </c>
      <c r="O156" s="15" t="str">
        <v>CRUCE_PERSONA_MU_2022_2026 / REGLA_MU_2027</v>
      </c>
      <c r="P156" s="15" t="str">
        <v>TCDA20251</v>
      </c>
      <c r="Q156" s="15" t="str">
        <v>UNIDO</v>
      </c>
      <c r="R156" s="15" t="str">
        <v>Reutilizar el vínculo según su período y método; no extenderlo a otras cohortes.</v>
      </c>
      <c r="S156" s="24" t="n">
        <v>53</v>
      </c>
      <c r="T156" s="24" t="n">
        <v>53</v>
      </c>
      <c r="U156" s="24" t="n">
        <v>46</v>
      </c>
      <c r="V156" s="15" t="str">
        <v>CONTINUA</v>
      </c>
      <c r="W156" s="15" t="str">
        <v>B/C/D; E límites</v>
      </c>
      <c r="X156" s="15" t="str">
        <v>MATRIZ; H002; CIERRE; TECHO</v>
      </c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</row>
    <row r="157" ht="36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4" t="str">
        <v>I162S2C90J2V1</v>
      </c>
      <c r="N157" s="14" t="str">
        <v>PENDIENTE</v>
      </c>
      <c r="O157" s="14" t="str">
        <v>SIN_UNION</v>
      </c>
      <c r="P157" s="14" t="str">
        <v>E</v>
      </c>
      <c r="Q157" s="14" t="str">
        <v>SIN_ENLACE</v>
      </c>
      <c r="R157" s="14" t="str">
        <v>E: nueva evidencia gobernada; no repetir enlaces con las mismas fuentes.</v>
      </c>
      <c r="S157" s="22" t="n">
        <v>0</v>
      </c>
      <c r="T157" s="22" t="n">
        <v>0</v>
      </c>
      <c r="U157" s="22" t="n">
        <v>0</v>
      </c>
      <c r="V157" s="14" t="str">
        <v>VERSION_MULTIPLE_RESUELTA</v>
      </c>
      <c r="W157" s="14" t="str">
        <v>B/C/D; E límites</v>
      </c>
      <c r="X157" s="14" t="str">
        <v>MATRIZ; H002; CIERRE; TECHO</v>
      </c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</row>
    <row r="158" ht="36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 t="str">
        <v>I162S2C90J2V2</v>
      </c>
      <c r="N158" s="15" t="str">
        <v>UNIDO</v>
      </c>
      <c r="O158" s="15" t="str">
        <v>CRUCE_PERSONA_MU_2022_2026 / REGLA_MU_2027</v>
      </c>
      <c r="P158" s="15" t="str">
        <v>NATP20251</v>
      </c>
      <c r="Q158" s="15" t="str">
        <v>UNIDO</v>
      </c>
      <c r="R158" s="15" t="str">
        <v>Reutilizar el vínculo según su período y método; no extenderlo a otras cohortes.</v>
      </c>
      <c r="S158" s="24" t="n">
        <v>19</v>
      </c>
      <c r="T158" s="24" t="n">
        <v>19</v>
      </c>
      <c r="U158" s="24" t="n">
        <v>18</v>
      </c>
      <c r="V158" s="15" t="str">
        <v>VERSION_MULTIPLE_RESUELTA</v>
      </c>
      <c r="W158" s="15" t="str">
        <v>B/C/D; E límites</v>
      </c>
      <c r="X158" s="15" t="str">
        <v>MATRIZ; H002; CIERRE; TECHO</v>
      </c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</row>
    <row r="159" ht="36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4" t="str">
        <v>I162S2C91J1V1</v>
      </c>
      <c r="N159" s="14" t="str">
        <v>UNIDO</v>
      </c>
      <c r="O159" s="14" t="str">
        <v>CRUCE_PERSONA_MU_2022_2026 / REGLA_MU_2027</v>
      </c>
      <c r="P159" s="14" t="str">
        <v>TENS20251</v>
      </c>
      <c r="Q159" s="14" t="str">
        <v>UNIDO</v>
      </c>
      <c r="R159" s="14" t="str">
        <v>Reutilizar el vínculo según su período y método; no extenderlo a otras cohortes.</v>
      </c>
      <c r="S159" s="22" t="n">
        <v>104</v>
      </c>
      <c r="T159" s="22" t="n">
        <v>93</v>
      </c>
      <c r="U159" s="22" t="n">
        <v>90</v>
      </c>
      <c r="V159" s="14" t="str">
        <v>CONTINUA</v>
      </c>
      <c r="W159" s="14" t="str">
        <v>B/C/D; E límites</v>
      </c>
      <c r="X159" s="14" t="str">
        <v>MATRIZ; H002; CIERRE; TECHO</v>
      </c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</row>
    <row r="160" ht="36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 t="str">
        <v>I162S2C91J2V1</v>
      </c>
      <c r="N160" s="15" t="str">
        <v>UNIDO</v>
      </c>
      <c r="O160" s="15" t="str">
        <v>CRUCE_PERSONA_MU_2022_2026 / REGLA_MU_2027</v>
      </c>
      <c r="P160" s="15" t="str">
        <v>TENS20251</v>
      </c>
      <c r="Q160" s="15" t="str">
        <v>UNIDO</v>
      </c>
      <c r="R160" s="15" t="str">
        <v>Reutilizar el vínculo según su período y método; no extenderlo a otras cohortes.</v>
      </c>
      <c r="S160" s="24" t="n">
        <v>135</v>
      </c>
      <c r="T160" s="24" t="n">
        <v>127</v>
      </c>
      <c r="U160" s="24" t="n">
        <v>120</v>
      </c>
      <c r="V160" s="15" t="str">
        <v>CONTINUA</v>
      </c>
      <c r="W160" s="15" t="str">
        <v>B/C/D; E límites</v>
      </c>
      <c r="X160" s="15" t="str">
        <v>MATRIZ; H002; CIERRE; TECHO</v>
      </c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</row>
    <row r="161" ht="36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4" t="str">
        <v>I162S2C91J3V1</v>
      </c>
      <c r="N161" s="14" t="str">
        <v>PENDIENTE</v>
      </c>
      <c r="O161" s="14" t="str">
        <v>SIN_UNION</v>
      </c>
      <c r="P161" s="14" t="str">
        <v>E</v>
      </c>
      <c r="Q161" s="14" t="str">
        <v>NUEVO_2027_SIN_ALUMNOS</v>
      </c>
      <c r="R161" s="14" t="str">
        <v>MU 2027: primera matrícula y cuadratura por código y total.</v>
      </c>
      <c r="S161" s="22" t="n">
        <v>0</v>
      </c>
      <c r="T161" s="22" t="n">
        <v>0</v>
      </c>
      <c r="U161" s="22" t="n">
        <v>0</v>
      </c>
      <c r="V161" s="14" t="str">
        <v>NUEVO_2027_SIN_PLAN_E</v>
      </c>
      <c r="W161" s="14" t="str">
        <v>B/C/D; E límites</v>
      </c>
      <c r="X161" s="14" t="str">
        <v>MATRIZ; H002; CIERRE; TECHO</v>
      </c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</row>
    <row r="162" ht="36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 t="str">
        <v>I162S2C95J4V1</v>
      </c>
      <c r="N162" s="15" t="str">
        <v>PENDIENTE</v>
      </c>
      <c r="O162" s="15" t="str">
        <v>SIN_UNION</v>
      </c>
      <c r="P162" s="15" t="str">
        <v>E</v>
      </c>
      <c r="Q162" s="15" t="str">
        <v>FUERA_ALCANCE</v>
      </c>
      <c r="R162" s="15" t="str">
        <v>Excluido del seguimiento por decisión D; catálogo descriptivo conservado.</v>
      </c>
      <c r="S162" s="24" t="n">
        <v>0</v>
      </c>
      <c r="T162" s="24" t="n">
        <v>0</v>
      </c>
      <c r="U162" s="24" t="n">
        <v>0</v>
      </c>
      <c r="V162" s="15" t="str">
        <v>FUERA_ALCANCE</v>
      </c>
      <c r="W162" s="15" t="str">
        <v>B/C/D; E límites</v>
      </c>
      <c r="X162" s="15" t="str">
        <v>MATRIZ; H002; CIERRE; TECHO</v>
      </c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</row>
    <row r="163" ht="36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4" t="str">
        <v>I162S2C96J4V1</v>
      </c>
      <c r="N163" s="14" t="str">
        <v>PENDIENTE</v>
      </c>
      <c r="O163" s="14" t="str">
        <v>SIN_UNION</v>
      </c>
      <c r="P163" s="14" t="str">
        <v>E</v>
      </c>
      <c r="Q163" s="14" t="str">
        <v>FUERA_ALCANCE</v>
      </c>
      <c r="R163" s="14" t="str">
        <v>Excluido del seguimiento por decisión D; catálogo descriptivo conservado.</v>
      </c>
      <c r="S163" s="22" t="n">
        <v>0</v>
      </c>
      <c r="T163" s="22" t="n">
        <v>0</v>
      </c>
      <c r="U163" s="22" t="n">
        <v>0</v>
      </c>
      <c r="V163" s="14" t="str">
        <v>FUERA_ALCANCE</v>
      </c>
      <c r="W163" s="14" t="str">
        <v>B/C/D; E límites</v>
      </c>
      <c r="X163" s="14" t="str">
        <v>MATRIZ; H002; CIERRE; TECHO</v>
      </c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</row>
    <row r="164" ht="36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 t="str">
        <v>I162S2C97J4V1</v>
      </c>
      <c r="N164" s="15" t="str">
        <v>PENDIENTE</v>
      </c>
      <c r="O164" s="15" t="str">
        <v>SIN_UNION</v>
      </c>
      <c r="P164" s="15" t="str">
        <v>E</v>
      </c>
      <c r="Q164" s="15" t="str">
        <v>FUERA_ALCANCE</v>
      </c>
      <c r="R164" s="15" t="str">
        <v>Excluido del seguimiento por decisión D; catálogo descriptivo conservado.</v>
      </c>
      <c r="S164" s="24" t="n">
        <v>0</v>
      </c>
      <c r="T164" s="24" t="n">
        <v>0</v>
      </c>
      <c r="U164" s="24" t="n">
        <v>0</v>
      </c>
      <c r="V164" s="15" t="str">
        <v>FUERA_ALCANCE</v>
      </c>
      <c r="W164" s="15" t="str">
        <v>B/C/D; E límites</v>
      </c>
      <c r="X164" s="15" t="str">
        <v>MATRIZ; H002; CIERRE; TECHO</v>
      </c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</row>
    <row r="165" ht="36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4" t="str">
        <v>I162S2C98J4V1</v>
      </c>
      <c r="N165" s="14" t="str">
        <v>PENDIENTE</v>
      </c>
      <c r="O165" s="14" t="str">
        <v>SIN_UNION</v>
      </c>
      <c r="P165" s="14" t="str">
        <v>E</v>
      </c>
      <c r="Q165" s="14" t="str">
        <v>FUERA_ALCANCE</v>
      </c>
      <c r="R165" s="14" t="str">
        <v>Excluido del seguimiento por decisión D; catálogo descriptivo conservado.</v>
      </c>
      <c r="S165" s="22" t="n">
        <v>0</v>
      </c>
      <c r="T165" s="22" t="n">
        <v>0</v>
      </c>
      <c r="U165" s="22" t="n">
        <v>0</v>
      </c>
      <c r="V165" s="14" t="str">
        <v>FUERA_ALCANCE</v>
      </c>
      <c r="W165" s="14" t="str">
        <v>B/C/D; E límites</v>
      </c>
      <c r="X165" s="14" t="str">
        <v>MATRIZ; H002; CIERRE; TECHO</v>
      </c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</row>
    <row r="166" ht="36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 t="str">
        <v>I162S2C99J4V1</v>
      </c>
      <c r="N166" s="15" t="str">
        <v>PENDIENTE</v>
      </c>
      <c r="O166" s="15" t="str">
        <v>SIN_UNION</v>
      </c>
      <c r="P166" s="15" t="str">
        <v>E</v>
      </c>
      <c r="Q166" s="15" t="str">
        <v>FUERA_ALCANCE</v>
      </c>
      <c r="R166" s="15" t="str">
        <v>Excluido del seguimiento por decisión D; catálogo descriptivo conservado.</v>
      </c>
      <c r="S166" s="24" t="n">
        <v>0</v>
      </c>
      <c r="T166" s="24" t="n">
        <v>0</v>
      </c>
      <c r="U166" s="24" t="n">
        <v>0</v>
      </c>
      <c r="V166" s="15" t="str">
        <v>FUERA_ALCANCE</v>
      </c>
      <c r="W166" s="15" t="str">
        <v>B/C/D; E límites</v>
      </c>
      <c r="X166" s="15" t="str">
        <v>MATRIZ; H002; CIERRE; TECHO</v>
      </c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</row>
    <row r="167" ht="36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4" t="str">
        <v>I162S3C114J2V1</v>
      </c>
      <c r="N167" s="14" t="str">
        <v>UNIDO</v>
      </c>
      <c r="O167" s="14" t="str">
        <v>CRUCE_PERSONA_MU_2022_2026 / REGLA_MU_2027</v>
      </c>
      <c r="P167" s="14" t="str">
        <v>COTEIQ20261</v>
      </c>
      <c r="Q167" s="14" t="str">
        <v>UNIDO</v>
      </c>
      <c r="R167" s="14" t="str">
        <v>Reutilizar el vínculo según su período y método; no extenderlo a otras cohortes.</v>
      </c>
      <c r="S167" s="22" t="n">
        <v>33</v>
      </c>
      <c r="T167" s="22" t="n">
        <v>33</v>
      </c>
      <c r="U167" s="22" t="n">
        <v>33</v>
      </c>
      <c r="V167" s="14" t="str">
        <v>CONTINUA</v>
      </c>
      <c r="W167" s="14" t="str">
        <v>B/C/D; E límites</v>
      </c>
      <c r="X167" s="14" t="str">
        <v>MATRIZ; H002; CIERRE; TECHO</v>
      </c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</row>
    <row r="168" ht="36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 t="str">
        <v>I162S3C115J2V1</v>
      </c>
      <c r="N168" s="15" t="str">
        <v>UNIDO</v>
      </c>
      <c r="O168" s="15" t="str">
        <v>CRUCE_PERSONA_MU_2022_2026 / REGLA_MU_2027</v>
      </c>
      <c r="P168" s="15" t="str">
        <v>COTFAR20261</v>
      </c>
      <c r="Q168" s="15" t="str">
        <v>UNIDO</v>
      </c>
      <c r="R168" s="15" t="str">
        <v>Reutilizar el vínculo según su período y método; no extenderlo a otras cohortes.</v>
      </c>
      <c r="S168" s="24" t="n">
        <v>18</v>
      </c>
      <c r="T168" s="24" t="n">
        <v>18</v>
      </c>
      <c r="U168" s="24" t="n">
        <v>18</v>
      </c>
      <c r="V168" s="15" t="str">
        <v>CONTINUA</v>
      </c>
      <c r="W168" s="15" t="str">
        <v>B/C/D; E límites</v>
      </c>
      <c r="X168" s="15" t="str">
        <v>MATRIZ; H002; CIERRE; TECHO</v>
      </c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</row>
    <row r="169" ht="36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4" t="str">
        <v>I162S3C115J3V1</v>
      </c>
      <c r="N169" s="14" t="str">
        <v>PENDIENTE</v>
      </c>
      <c r="O169" s="14" t="str">
        <v>SIN_UNION</v>
      </c>
      <c r="P169" s="14" t="str">
        <v>E</v>
      </c>
      <c r="Q169" s="14" t="str">
        <v>NUEVO_2027_SIN_ALUMNOS</v>
      </c>
      <c r="R169" s="14" t="str">
        <v>MU 2027: primera matrícula y cuadratura por código y total.</v>
      </c>
      <c r="S169" s="22" t="n">
        <v>0</v>
      </c>
      <c r="T169" s="22" t="n">
        <v>0</v>
      </c>
      <c r="U169" s="22" t="n">
        <v>0</v>
      </c>
      <c r="V169" s="14" t="str">
        <v>NUEVO_2027_SIN_PLAN_E</v>
      </c>
      <c r="W169" s="14" t="str">
        <v>B/C/D; E límites</v>
      </c>
      <c r="X169" s="14" t="str">
        <v>MATRIZ; H002; CIERRE; TECHO</v>
      </c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</row>
    <row r="170" ht="36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 t="str">
        <v>I162S3C132J3V1</v>
      </c>
      <c r="N170" s="15" t="str">
        <v>PENDIENTE</v>
      </c>
      <c r="O170" s="15" t="str">
        <v>SIN_UNION</v>
      </c>
      <c r="P170" s="15" t="str">
        <v>E</v>
      </c>
      <c r="Q170" s="15" t="str">
        <v>NUEVO_2027_SIN_ALUMNOS</v>
      </c>
      <c r="R170" s="15" t="str">
        <v>MU 2027: primera matrícula y cuadratura por código y total.</v>
      </c>
      <c r="S170" s="24" t="n">
        <v>0</v>
      </c>
      <c r="T170" s="24" t="n">
        <v>0</v>
      </c>
      <c r="U170" s="24" t="n">
        <v>0</v>
      </c>
      <c r="V170" s="15" t="str">
        <v>NUEVO_2027_SIN_PLAN_E</v>
      </c>
      <c r="W170" s="15" t="str">
        <v>B/C/D; E límites</v>
      </c>
      <c r="X170" s="15" t="str">
        <v>MATRIZ; H002; CIERRE; TECHO</v>
      </c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</row>
    <row r="171" ht="36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4" t="str">
        <v>I162S3C133J3V1</v>
      </c>
      <c r="N171" s="14" t="str">
        <v>PENDIENTE</v>
      </c>
      <c r="O171" s="14" t="str">
        <v>SIN_UNION</v>
      </c>
      <c r="P171" s="14" t="str">
        <v>E</v>
      </c>
      <c r="Q171" s="14" t="str">
        <v>NUEVO_2027_SIN_ALUMNOS</v>
      </c>
      <c r="R171" s="14" t="str">
        <v>MU 2027: primera matrícula y cuadratura por código y total.</v>
      </c>
      <c r="S171" s="22" t="n">
        <v>0</v>
      </c>
      <c r="T171" s="22" t="n">
        <v>0</v>
      </c>
      <c r="U171" s="22" t="n">
        <v>0</v>
      </c>
      <c r="V171" s="14" t="str">
        <v>NUEVO_2027_SIN_PLAN_E</v>
      </c>
      <c r="W171" s="14" t="str">
        <v>B/C/D; E límites</v>
      </c>
      <c r="X171" s="14" t="str">
        <v>MATRIZ; H002; CIERRE; TECHO</v>
      </c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</row>
    <row r="172" ht="36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 t="str">
        <v>I162S3C137J3V1</v>
      </c>
      <c r="N172" s="15" t="str">
        <v>PENDIENTE</v>
      </c>
      <c r="O172" s="15" t="str">
        <v>SIN_UNION</v>
      </c>
      <c r="P172" s="15" t="str">
        <v>E</v>
      </c>
      <c r="Q172" s="15" t="str">
        <v>NUEVO_2027_SIN_ALUMNOS</v>
      </c>
      <c r="R172" s="15" t="str">
        <v>MU 2027: primera matrícula y cuadratura por código y total.</v>
      </c>
      <c r="S172" s="24" t="n">
        <v>0</v>
      </c>
      <c r="T172" s="24" t="n">
        <v>0</v>
      </c>
      <c r="U172" s="24" t="n">
        <v>0</v>
      </c>
      <c r="V172" s="15" t="str">
        <v>NUEVO_2027_SIN_PLAN_E</v>
      </c>
      <c r="W172" s="15" t="str">
        <v>B/C/D; E límites</v>
      </c>
      <c r="X172" s="15" t="str">
        <v>MATRIZ; H002; CIERRE; TECHO</v>
      </c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</row>
    <row r="173" ht="36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4" t="str">
        <v>I162S3C138J3V1</v>
      </c>
      <c r="N173" s="14" t="str">
        <v>PENDIENTE</v>
      </c>
      <c r="O173" s="14" t="str">
        <v>SIN_UNION</v>
      </c>
      <c r="P173" s="14" t="str">
        <v>E</v>
      </c>
      <c r="Q173" s="14" t="str">
        <v>NUEVO_2027_SIN_ALUMNOS</v>
      </c>
      <c r="R173" s="14" t="str">
        <v>MU 2027: primera matrícula y cuadratura por código y total.</v>
      </c>
      <c r="S173" s="22" t="n">
        <v>0</v>
      </c>
      <c r="T173" s="22" t="n">
        <v>0</v>
      </c>
      <c r="U173" s="22" t="n">
        <v>0</v>
      </c>
      <c r="V173" s="14" t="str">
        <v>NUEVO_2027_SIN_PLAN_E</v>
      </c>
      <c r="W173" s="14" t="str">
        <v>B/C/D; E límites</v>
      </c>
      <c r="X173" s="14" t="str">
        <v>MATRIZ; H002; CIERRE; TECHO</v>
      </c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</row>
    <row r="174" ht="36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 t="str">
        <v>I162S3C139J3V1</v>
      </c>
      <c r="N174" s="15" t="str">
        <v>PENDIENTE</v>
      </c>
      <c r="O174" s="15" t="str">
        <v>SIN_UNION</v>
      </c>
      <c r="P174" s="15" t="str">
        <v>E</v>
      </c>
      <c r="Q174" s="15" t="str">
        <v>NUEVO_2027_SIN_ALUMNOS</v>
      </c>
      <c r="R174" s="15" t="str">
        <v>MU 2027: primera matrícula y cuadratura por código y total.</v>
      </c>
      <c r="S174" s="24" t="n">
        <v>0</v>
      </c>
      <c r="T174" s="24" t="n">
        <v>0</v>
      </c>
      <c r="U174" s="24" t="n">
        <v>0</v>
      </c>
      <c r="V174" s="15" t="str">
        <v>NUEVO_2027_SIN_PLAN_E</v>
      </c>
      <c r="W174" s="15" t="str">
        <v>B/C/D; E límites</v>
      </c>
      <c r="X174" s="15" t="str">
        <v>MATRIZ; H002; CIERRE; TECHO</v>
      </c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</row>
    <row r="175" ht="36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4" t="str">
        <v>I162S3C141J3V1</v>
      </c>
      <c r="N175" s="14" t="str">
        <v>PENDIENTE</v>
      </c>
      <c r="O175" s="14" t="str">
        <v>SIN_UNION</v>
      </c>
      <c r="P175" s="14" t="str">
        <v>E</v>
      </c>
      <c r="Q175" s="14" t="str">
        <v>NUEVO_2027_SIN_ALUMNOS</v>
      </c>
      <c r="R175" s="14" t="str">
        <v>MU 2027: primera matrícula y cuadratura por código y total.</v>
      </c>
      <c r="S175" s="22" t="n">
        <v>0</v>
      </c>
      <c r="T175" s="22" t="n">
        <v>0</v>
      </c>
      <c r="U175" s="22" t="n">
        <v>0</v>
      </c>
      <c r="V175" s="14" t="str">
        <v>NUEVO_2027_SIN_PLAN_E</v>
      </c>
      <c r="W175" s="14" t="str">
        <v>B/C/D; E límites</v>
      </c>
      <c r="X175" s="14" t="str">
        <v>MATRIZ; H002; CIERRE; TECHO</v>
      </c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</row>
    <row r="176" ht="36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 t="str">
        <v>I162S3C143J3V1</v>
      </c>
      <c r="N176" s="15" t="str">
        <v>PENDIENTE</v>
      </c>
      <c r="O176" s="15" t="str">
        <v>SIN_UNION</v>
      </c>
      <c r="P176" s="15" t="str">
        <v>E</v>
      </c>
      <c r="Q176" s="15" t="str">
        <v>NUEVO_2027_SIN_ALUMNOS</v>
      </c>
      <c r="R176" s="15" t="str">
        <v>MU 2027: primera matrícula y cuadratura por código y total.</v>
      </c>
      <c r="S176" s="24" t="n">
        <v>0</v>
      </c>
      <c r="T176" s="24" t="n">
        <v>0</v>
      </c>
      <c r="U176" s="24" t="n">
        <v>0</v>
      </c>
      <c r="V176" s="15" t="str">
        <v>NUEVO_2027_SIN_PLAN_E</v>
      </c>
      <c r="W176" s="15" t="str">
        <v>B/C/D; E límites</v>
      </c>
      <c r="X176" s="15" t="str">
        <v>MATRIZ; H002; CIERRE; TECHO</v>
      </c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</row>
    <row r="177" ht="36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4" t="str">
        <v>I162S3C91J1V1</v>
      </c>
      <c r="N177" s="14" t="str">
        <v>PENDIENTE</v>
      </c>
      <c r="O177" s="14" t="str">
        <v>SIN_UNION</v>
      </c>
      <c r="P177" s="14" t="str">
        <v>E</v>
      </c>
      <c r="Q177" s="14" t="str">
        <v>NUEVO_2027_SIN_ALUMNOS</v>
      </c>
      <c r="R177" s="14" t="str">
        <v>MU 2027: primera matrícula y cuadratura por código y total.</v>
      </c>
      <c r="S177" s="22" t="n">
        <v>0</v>
      </c>
      <c r="T177" s="22" t="n">
        <v>0</v>
      </c>
      <c r="U177" s="22" t="n">
        <v>0</v>
      </c>
      <c r="V177" s="14" t="str">
        <v>NUEVO_2027_SIN_PLAN_E</v>
      </c>
      <c r="W177" s="14" t="str">
        <v>B/C/D; E límites</v>
      </c>
      <c r="X177" s="14" t="str">
        <v>MATRIZ; H002; CIERRE; TECHO</v>
      </c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</row>
    <row r="178" ht="36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 t="str">
        <v>I162S3C91J2V1</v>
      </c>
      <c r="N178" s="15" t="str">
        <v>UNIDO</v>
      </c>
      <c r="O178" s="15" t="str">
        <v>CRUCE_PERSONA_MU_2022_2026 / REGLA_MU_2027</v>
      </c>
      <c r="P178" s="15" t="str">
        <v>COTENS20261</v>
      </c>
      <c r="Q178" s="15" t="str">
        <v>UNIDO</v>
      </c>
      <c r="R178" s="15" t="str">
        <v>Reutilizar el vínculo según su período y método; no extenderlo a otras cohortes.</v>
      </c>
      <c r="S178" s="24" t="n">
        <v>14</v>
      </c>
      <c r="T178" s="24" t="n">
        <v>14</v>
      </c>
      <c r="U178" s="24" t="n">
        <v>14</v>
      </c>
      <c r="V178" s="15" t="str">
        <v>CONTINUA</v>
      </c>
      <c r="W178" s="15" t="str">
        <v>B/C/D; E límites</v>
      </c>
      <c r="X178" s="15" t="str">
        <v>MATRIZ; H002; CIERRE; TECHO</v>
      </c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</row>
    <row r="179" ht="36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4" t="str">
        <v>I162S3C91J3V1</v>
      </c>
      <c r="N179" s="14" t="str">
        <v>PENDIENTE</v>
      </c>
      <c r="O179" s="14" t="str">
        <v>SIN_UNION</v>
      </c>
      <c r="P179" s="14" t="str">
        <v>E</v>
      </c>
      <c r="Q179" s="14" t="str">
        <v>NUEVO_2027_SIN_ALUMNOS</v>
      </c>
      <c r="R179" s="14" t="str">
        <v>MU 2027: primera matrícula y cuadratura por código y total.</v>
      </c>
      <c r="S179" s="22" t="n">
        <v>0</v>
      </c>
      <c r="T179" s="22" t="n">
        <v>0</v>
      </c>
      <c r="U179" s="22" t="n">
        <v>0</v>
      </c>
      <c r="V179" s="14" t="str">
        <v>NUEVO_2027_SIN_PLAN_E</v>
      </c>
      <c r="W179" s="14" t="str">
        <v>B/C/D; E límites</v>
      </c>
      <c r="X179" s="14" t="str">
        <v>MATRIZ; H002; CIERRE; TECHO</v>
      </c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</row>
    <row r="180" ht="36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 t="str">
        <v>I162S4C114J2V1</v>
      </c>
      <c r="N180" s="15" t="str">
        <v>PENDIENTE</v>
      </c>
      <c r="O180" s="15" t="str">
        <v>SIN_UNION</v>
      </c>
      <c r="P180" s="15" t="str">
        <v>E</v>
      </c>
      <c r="Q180" s="15" t="str">
        <v>NUEVO_2027_SIN_ALUMNOS</v>
      </c>
      <c r="R180" s="15" t="str">
        <v>MU 2027: primera matrícula y cuadratura por código y total.</v>
      </c>
      <c r="S180" s="24" t="n">
        <v>0</v>
      </c>
      <c r="T180" s="24" t="n">
        <v>0</v>
      </c>
      <c r="U180" s="24" t="n">
        <v>0</v>
      </c>
      <c r="V180" s="15" t="str">
        <v>NUEVO_2027_SIN_PLAN_E</v>
      </c>
      <c r="W180" s="15" t="str">
        <v>B/C/D; E límites</v>
      </c>
      <c r="X180" s="15" t="str">
        <v>MATRIZ; H002; CIERRE; TECHO</v>
      </c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</row>
    <row r="181" ht="36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4" t="str">
        <v>I162S4C115J2V1</v>
      </c>
      <c r="N181" s="14" t="str">
        <v>PENDIENTE</v>
      </c>
      <c r="O181" s="14" t="str">
        <v>SIN_UNION</v>
      </c>
      <c r="P181" s="14" t="str">
        <v>E</v>
      </c>
      <c r="Q181" s="14" t="str">
        <v>NUEVO_2027_SIN_ALUMNOS</v>
      </c>
      <c r="R181" s="14" t="str">
        <v>MU 2027: primera matrícula y cuadratura por código y total.</v>
      </c>
      <c r="S181" s="22" t="n">
        <v>0</v>
      </c>
      <c r="T181" s="22" t="n">
        <v>0</v>
      </c>
      <c r="U181" s="22" t="n">
        <v>0</v>
      </c>
      <c r="V181" s="14" t="str">
        <v>NUEVO_2027_SIN_PLAN_E</v>
      </c>
      <c r="W181" s="14" t="str">
        <v>B/C/D; E límites</v>
      </c>
      <c r="X181" s="14" t="str">
        <v>MATRIZ; H002; CIERRE; TECHO</v>
      </c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</row>
    <row r="182" ht="36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 t="str">
        <v>I162S4C115J3V1</v>
      </c>
      <c r="N182" s="15" t="str">
        <v>PENDIENTE</v>
      </c>
      <c r="O182" s="15" t="str">
        <v>SIN_UNION</v>
      </c>
      <c r="P182" s="15" t="str">
        <v>E</v>
      </c>
      <c r="Q182" s="15" t="str">
        <v>NUEVO_2027_SIN_ALUMNOS</v>
      </c>
      <c r="R182" s="15" t="str">
        <v>MU 2027: primera matrícula y cuadratura por código y total.</v>
      </c>
      <c r="S182" s="24" t="n">
        <v>0</v>
      </c>
      <c r="T182" s="24" t="n">
        <v>0</v>
      </c>
      <c r="U182" s="24" t="n">
        <v>0</v>
      </c>
      <c r="V182" s="15" t="str">
        <v>NUEVO_2027_SIN_PLAN_E</v>
      </c>
      <c r="W182" s="15" t="str">
        <v>B/C/D; E límites</v>
      </c>
      <c r="X182" s="15" t="str">
        <v>MATRIZ; H002; CIERRE; TECHO</v>
      </c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</row>
    <row r="183" ht="36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4" t="str">
        <v>I162S4C91J2V1</v>
      </c>
      <c r="N183" s="14" t="str">
        <v>PENDIENTE</v>
      </c>
      <c r="O183" s="14" t="str">
        <v>SIN_UNION</v>
      </c>
      <c r="P183" s="14" t="str">
        <v>E</v>
      </c>
      <c r="Q183" s="14" t="str">
        <v>NUEVO_2027_SIN_ALUMNOS</v>
      </c>
      <c r="R183" s="14" t="str">
        <v>MU 2027: primera matrícula y cuadratura por código y total.</v>
      </c>
      <c r="S183" s="22" t="n">
        <v>0</v>
      </c>
      <c r="T183" s="22" t="n">
        <v>0</v>
      </c>
      <c r="U183" s="22" t="n">
        <v>0</v>
      </c>
      <c r="V183" s="14" t="str">
        <v>NUEVO_2027_SIN_PLAN_E</v>
      </c>
      <c r="W183" s="14" t="str">
        <v>B/C/D; E límites</v>
      </c>
      <c r="X183" s="14" t="str">
        <v>MATRIZ; H002; CIERRE; TECHO</v>
      </c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</row>
  </sheetData>
  <mergeCells>
    <mergeCell ref="A2:G2"/>
    <mergeCell ref="A3:G3"/>
    <mergeCell ref="A4:G4"/>
    <mergeCell ref="A12:G12"/>
    <mergeCell ref="AO49:AS51"/>
  </mergeCells>
  <printOptions headings="0" gridLines="0"/>
  <pageMargins left="0.25" right="0.25" top="0.25" bottom="0.25" header="0" footer="0"/>
  <pageSetup paperSize="8" orientation="landscape" fitToWidth="1" fitToHeight="1"/>
  <tableParts count="11">
    <tablePart ns1:id="R4a14fa38ad3a494c"/>
    <tablePart ns1:id="R3d75b8bd8d984db2"/>
    <tablePart ns1:id="Rd591037a82234382"/>
    <tablePart ns1:id="R0c4699e87cf846f8"/>
    <tablePart ns1:id="R0b7c932672964c16"/>
    <tablePart ns1:id="R8a94c4d42e5240f1"/>
    <tablePart ns1:id="R0b8fb55ab2d3439b"/>
    <tablePart ns1:id="R7c2b7d15c1a24ed5"/>
    <tablePart ns1:id="R1d2d4657842d464c"/>
    <tablePart ns1:id="R41cc90d5bd3440f7"/>
    <tablePart ns1:id="R3883f0053c42433b"/>
  </tableParts>
</worksheet>
</file>

<file path=xl/worksheets/sheet7.xml><?xml version="1.0" encoding="utf-8"?>
<worksheet xmlns="http://schemas.openxmlformats.org/spreadsheetml/2006/main" xmlns:ns1="http://schemas.openxmlformats.org/officeDocument/2006/relationships">
  <sheetPr>
    <tabColor rgb="FF102B42"/>
    <pageSetUpPr fitToPage="1"/>
  </sheetPr>
  <sheetViews>
    <sheetView showGridLines="0" workbookViewId="0">
      <pane xSplit="1" ySplit="18" topLeftCell="B19" activePane="bottomRight" state="frozen"/>
    </sheetView>
  </sheetViews>
  <sheetFormatPr defaultRowHeight="15"/>
  <cols>
    <col min="1" max="1" width="25" hidden="0" customWidth="1"/>
    <col min="2" max="2" width="46" hidden="0" customWidth="1"/>
    <col min="3" max="3" width="20" hidden="0" customWidth="1"/>
    <col min="4" max="4" width="23" hidden="0" customWidth="1"/>
    <col min="5" max="5" width="28" hidden="0" customWidth="1"/>
    <col min="6" max="6" width="28" hidden="0" customWidth="1"/>
    <col min="7" max="7" width="14" hidden="0" customWidth="1"/>
    <col min="8" max="8" width="14" hidden="0" customWidth="1"/>
    <col min="9" max="9" width="45" hidden="0" customWidth="1"/>
    <col min="10" max="10" width="45" hidden="0" customWidth="1"/>
    <col min="11" max="11" width="19" hidden="0" customWidth="1"/>
    <col min="12" max="12" width="16" hidden="0" customWidth="1"/>
    <col min="13" max="13" width="16" hidden="0" customWidth="1"/>
    <col min="14" max="14" width="16" hidden="0" customWidth="1"/>
    <col min="15" max="15" width="16" hidden="0" customWidth="1"/>
    <col min="16" max="16" width="18" hidden="0" customWidth="1"/>
    <col min="17" max="17" width="18" hidden="0" customWidth="1"/>
    <col min="18" max="18" width="18" hidden="0" customWidth="1"/>
    <col min="19" max="19" width="22" hidden="0" customWidth="1"/>
    <col min="20" max="20" width="18" hidden="0" customWidth="1"/>
    <col min="21" max="21" width="24" hidden="0" customWidth="1"/>
    <col min="22" max="22" width="50" hidden="0" customWidth="1"/>
  </cols>
  <sheetData>
    <row r="1" ht="2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ht="32" customHeight="1">
      <c r="A2" s="16" t="str">
        <v>IPSS · Familias con matrícula desde 2016 o antes</v>
      </c>
      <c r="B2" s="16"/>
      <c r="C2" s="16"/>
      <c r="D2" s="16"/>
      <c r="E2" s="16"/>
      <c r="F2" s="16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ht="44" customHeight="1">
      <c r="A3" s="13" t="str">
        <v>Familia = sede + carrera + jornada; se suman versiones. Filtros para el panel; autofiltro independiente para el detalle.</v>
      </c>
      <c r="B3" s="13" t="str">
        <v>Familia = sede + carrera + jornada; se suman versiones. Filtros para el panel; autofiltro independiente para el detalle.</v>
      </c>
      <c r="C3" s="13" t="str">
        <v>Familia = sede + carrera + jornada; se suman versiones. Filtros para el panel; autofiltro independiente para el detalle.</v>
      </c>
      <c r="D3" s="13" t="str">
        <v>Familia = sede + carrera + jornada; se suman versiones. Filtros para el panel; autofiltro independiente para el detalle.</v>
      </c>
      <c r="E3" s="13" t="str">
        <v>Familia = sede + carrera + jornada; se suman versiones. Filtros para el panel; autofiltro independiente para el detalle.</v>
      </c>
      <c r="F3" s="13" t="str">
        <v>Familia = sede + carrera + jornada; se suman versiones. Filtros para el panel; autofiltro independiente para el detalle.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ht="38" customHeight="1">
      <c r="A4" s="39" t="str">
        <v>SEDE</v>
      </c>
      <c r="B4" s="40" t="str">
        <v>Todas</v>
      </c>
      <c r="C4" s="39" t="str">
        <v>JORNADA</v>
      </c>
      <c r="D4" s="40" t="str">
        <v>Todas</v>
      </c>
      <c r="E4" s="39" t="str">
        <v>SECTOR IPSS</v>
      </c>
      <c r="F4" s="40" t="str">
        <v>Todas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ht="25" customHeight="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ht="2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ht="48" customHeight="1">
      <c r="A7" s="9" t="str">
        <v>Indicador</v>
      </c>
      <c r="B7" s="9" t="str">
        <v>Total filtrado</v>
      </c>
      <c r="C7" s="9" t="str">
        <v>Unidad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ht="27" customHeight="1">
      <c r="A8" s="14" t="str">
        <v>Familias antiguas</v>
      </c>
      <c r="B8" s="22" t="n">
        <f>COUNTIFS($C$19:$C$22,IF($B$4="Todas","*",$B$4),$D$19:$D$22,IF($D$4="Todas","*",$D$4),$E$19:$E$22,IF($F$4="Todas","*",$F$4))</f>
        <v>4</v>
      </c>
      <c r="C8" s="14" t="str">
        <v>familias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ht="36" customHeight="1">
      <c r="A9" s="15" t="str">
        <v>VIG1 / quedan por titular (proxy)</v>
      </c>
      <c r="B9" s="24" t="n">
        <f>SUMIFS(K19:K22,$C$19:$C$22,IF($B$4="Todas","*",$B$4),$D$19:$D$22,IF($D$4="Todas","*",$D$4),$E$19:$E$22,IF($F$4="Todas","*",$F$4))</f>
        <v>78</v>
      </c>
      <c r="C9" s="15" t="str">
        <v>matrículas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ht="36" customHeight="1">
      <c r="A10" s="14" t="str">
        <v>Solo antiguos en oferta 2027</v>
      </c>
      <c r="B10" s="22" t="n">
        <f>COUNTIFS($C$19:$C$22,IF($B$4="Todas","*",$B$4),$D$19:$D$22,IF($D$4="Todas","*",$D$4),$E$19:$E$22,IF($F$4="Todas","*",$F$4),S19:S22,"Sí")</f>
        <v>3</v>
      </c>
      <c r="C10" s="14" t="str">
        <v>familias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ht="27" customHeight="1">
      <c r="A11" s="15" t="str">
        <v>Rezago aproximado</v>
      </c>
      <c r="B11" s="24" t="n">
        <f>SUMIFS(P19:P22,$C$19:$C$22,IF($B$4="Todas","*",$B$4),$D$19:$D$22,IF($D$4="Todas","*",$D$4),$E$19:$E$22,IF($F$4="Todas","*",$F$4))</f>
        <v>1</v>
      </c>
      <c r="C11" s="15" t="str">
        <v>matrículas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ht="27" customHeight="1">
      <c r="A12" s="14" t="str">
        <v>Ingreso ≤ 2016</v>
      </c>
      <c r="B12" s="22" t="n">
        <f>SUMIFS(L19:L22,$C$19:$C$22,IF($B$4="Todas","*",$B$4),$D$19:$D$22,IF($D$4="Todas","*",$D$4),$E$19:$E$22,IF($F$4="Todas","*",$F$4))</f>
        <v>0</v>
      </c>
      <c r="C12" s="14" t="str">
        <v>matrículas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ht="36" customHeight="1">
      <c r="A13" s="15" t="str">
        <v>Titulados proceso 2026</v>
      </c>
      <c r="B13" s="24" t="n">
        <f>SUMIFS(R19:R22,$C$19:$C$22,IF($B$4="Todas","*",$B$4),$D$19:$D$22,IF($D$4="Todas","*",$D$4),$E$19:$E$22,IF($F$4="Todas","*",$F$4))</f>
        <v>38</v>
      </c>
      <c r="C13" s="15" t="str">
        <v>registros de titulación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ht="2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ht="46" customHeight="1">
      <c r="A15" s="13" t="str">
        <v>«Quedan por titular» = VIG1 MU 2026 (proxy D); no certifica ausencia de título. Rezago: 2026 − ingreso actual &gt; duración de estudios/2; aproximación anual C.</v>
      </c>
      <c r="B15" s="13" t="str">
        <v>«Quedan por titular» = VIG1 MU 2026 (proxy D); no certifica ausencia de título. Rezago: 2026 − ingreso actual &gt; duración de estudios/2; aproximación anual C.</v>
      </c>
      <c r="C15" s="13" t="str">
        <v>«Quedan por titular» = VIG1 MU 2026 (proxy D); no certifica ausencia de título. Rezago: 2026 − ingreso actual &gt; duración de estudios/2; aproximación anual C.</v>
      </c>
      <c r="D15" s="13" t="str">
        <v>«Quedan por titular» = VIG1 MU 2026 (proxy D); no certifica ausencia de título. Rezago: 2026 − ingreso actual &gt; duración de estudios/2; aproximación anual C.</v>
      </c>
      <c r="E15" s="13" t="str">
        <v>«Quedan por titular» = VIG1 MU 2026 (proxy D); no certifica ausencia de título. Rezago: 2026 − ingreso actual &gt; duración de estudios/2; aproximación anual C.</v>
      </c>
      <c r="F15" s="13" t="str">
        <v>«Quedan por titular» = VIG1 MU 2026 (proxy D); no certifica ausencia de título. Rezago: 2026 − ingreso actual &gt; duración de estudios/2; aproximación anual C.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ht="46" customHeight="1">
      <c r="A16" s="13" t="str">
        <v>Titulación: proceso 2026, referencia 2025, 431 cargas agregadas; no se resta de VIG1. Vigencia por versión: 1 con nuevos, 2 solo antiguos, 3 sin estudiantes, E sin fila.</v>
      </c>
      <c r="B16" s="13" t="str">
        <v>Titulación: proceso 2026, referencia 2025, 431 cargas agregadas; no se resta de VIG1. Vigencia por versión: 1 con nuevos, 2 solo antiguos, 3 sin estudiantes, E sin fila.</v>
      </c>
      <c r="C16" s="13" t="str">
        <v>Titulación: proceso 2026, referencia 2025, 431 cargas agregadas; no se resta de VIG1. Vigencia por versión: 1 con nuevos, 2 solo antiguos, 3 sin estudiantes, E sin fila.</v>
      </c>
      <c r="D16" s="13" t="str">
        <v>Titulación: proceso 2026, referencia 2025, 431 cargas agregadas; no se resta de VIG1. Vigencia por versión: 1 con nuevos, 2 solo antiguos, 3 sin estudiantes, E sin fila.</v>
      </c>
      <c r="E16" s="13" t="str">
        <v>Titulación: proceso 2026, referencia 2025, 431 cargas agregadas; no se resta de VIG1. Vigencia por versión: 1 con nuevos, 2 solo antiguos, 3 sin estudiantes, E sin fila.</v>
      </c>
      <c r="F16" s="13" t="str">
        <v>Titulación: proceso 2026, referencia 2025, 431 cargas agregadas; no se resta de VIG1. Vigencia por versión: 1 con nuevos, 2 solo antiguos, 3 sin estudiantes, E sin fila.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ht="2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ht="48" customHeight="1">
      <c r="A18" s="9" t="str">
        <v>Familia SIES</v>
      </c>
      <c r="B18" s="9" t="str">
        <v>Carrera</v>
      </c>
      <c r="C18" s="9" t="str">
        <v>Sede</v>
      </c>
      <c r="D18" s="9" t="str">
        <v>Jornada</v>
      </c>
      <c r="E18" s="9" t="str">
        <v>Sector IPSS</v>
      </c>
      <c r="F18" s="9" t="str">
        <v>Códigos incluidos</v>
      </c>
      <c r="G18" s="9" t="str">
        <v>Primer año</v>
      </c>
      <c r="H18" s="9" t="str">
        <v>Años con matrícula</v>
      </c>
      <c r="I18" s="9" t="str">
        <v>Vigencia 2026 por versión</v>
      </c>
      <c r="J18" s="9" t="str">
        <v>Vigencia 2027 por versión</v>
      </c>
      <c r="K18" s="9" t="str">
        <v>VIG1 / quedan por titular (proxy)</v>
      </c>
      <c r="L18" s="9" t="str">
        <v>Ingreso ≤ 2016</v>
      </c>
      <c r="M18" s="9" t="str">
        <v>Ingreso 2017–2021</v>
      </c>
      <c r="N18" s="9" t="str">
        <v>Ingreso ≥ 2022</v>
      </c>
      <c r="O18" s="9" t="str">
        <v>Ingreso E</v>
      </c>
      <c r="P18" s="9" t="str">
        <v>Rezago aproximado</v>
      </c>
      <c r="Q18" s="9" t="str">
        <v>Rezago no evaluable</v>
      </c>
      <c r="R18" s="9" t="str">
        <v>Titulación proceso 2026</v>
      </c>
      <c r="S18" s="9" t="str">
        <v>Solo antiguos 2027</v>
      </c>
      <c r="T18" s="9" t="str">
        <v>Matrícula SIES 2026</v>
      </c>
      <c r="U18" s="9" t="str">
        <v>Clase</v>
      </c>
      <c r="V18" s="9" t="str">
        <v>Fuente</v>
      </c>
    </row>
    <row r="19" ht="36" customHeight="1">
      <c r="A19" s="14" t="str">
        <v>I162S2C1J1</v>
      </c>
      <c r="B19" s="14" t="str">
        <v>INGENIERIA EN INFORMATICA</v>
      </c>
      <c r="C19" s="14" t="str">
        <v>Santiago</v>
      </c>
      <c r="D19" s="14" t="str">
        <v>Diurna</v>
      </c>
      <c r="E19" s="14" t="str">
        <v>Tecnologías</v>
      </c>
      <c r="F19" s="14" t="str">
        <v>I162S2C1J1V1 / I162S2C1J1V2</v>
      </c>
      <c r="G19" s="21" t="n">
        <v>2008</v>
      </c>
      <c r="H19" s="14" t="n">
        <v>19</v>
      </c>
      <c r="I19" s="14" t="str">
        <v>1: 2 / 2: 1</v>
      </c>
      <c r="J19" s="14" t="str">
        <v>1: 2 / 2: 2</v>
      </c>
      <c r="K19" s="22" t="n">
        <v>35</v>
      </c>
      <c r="L19" s="22" t="n">
        <v>0</v>
      </c>
      <c r="M19" s="22" t="n">
        <v>0</v>
      </c>
      <c r="N19" s="22" t="n">
        <v>35</v>
      </c>
      <c r="O19" s="22" t="n">
        <v>0</v>
      </c>
      <c r="P19" s="22" t="n">
        <v>0</v>
      </c>
      <c r="Q19" s="22" t="n">
        <v>0</v>
      </c>
      <c r="R19" s="22" t="n">
        <v>3</v>
      </c>
      <c r="S19" s="14" t="str">
        <v>Sí</v>
      </c>
      <c r="T19" s="22" t="n">
        <v>36</v>
      </c>
      <c r="U19" s="14" t="str">
        <v>B/C; proxy D</v>
      </c>
      <c r="V19" s="14" t="str">
        <v>PUBLICA; MU_142342; TITULACION_AGREGADA; H002</v>
      </c>
    </row>
    <row r="20" ht="50" customHeight="1">
      <c r="A20" s="15" t="str">
        <v>I162S2C1J2</v>
      </c>
      <c r="B20" s="15" t="str">
        <v>INGENIERIA EN INFORMATICA</v>
      </c>
      <c r="C20" s="15" t="str">
        <v>Santiago</v>
      </c>
      <c r="D20" s="15" t="str">
        <v>Vespertina</v>
      </c>
      <c r="E20" s="15" t="str">
        <v>Tecnologías</v>
      </c>
      <c r="F20" s="15" t="str">
        <v>I162S2C1J2V1 / I162S2C1J2V2 / I162S2C1J2V3 / I162S2C1J2V4</v>
      </c>
      <c r="G20" s="23" t="n">
        <v>2007</v>
      </c>
      <c r="H20" s="15" t="n">
        <v>20</v>
      </c>
      <c r="I20" s="15" t="str">
        <v>1: 2 / 2: 2 / 3: 2 / 4: 1</v>
      </c>
      <c r="J20" s="15" t="str">
        <v>1: 2 / 2: 2 / 3: 2 / 4: 2</v>
      </c>
      <c r="K20" s="24" t="n">
        <v>29</v>
      </c>
      <c r="L20" s="24" t="n">
        <v>0</v>
      </c>
      <c r="M20" s="24" t="n">
        <v>0</v>
      </c>
      <c r="N20" s="24" t="n">
        <v>29</v>
      </c>
      <c r="O20" s="24" t="n">
        <v>0</v>
      </c>
      <c r="P20" s="24" t="n">
        <v>0</v>
      </c>
      <c r="Q20" s="24" t="n">
        <v>0</v>
      </c>
      <c r="R20" s="24" t="n">
        <v>9</v>
      </c>
      <c r="S20" s="15" t="str">
        <v>Sí</v>
      </c>
      <c r="T20" s="24" t="n">
        <v>32</v>
      </c>
      <c r="U20" s="15" t="str">
        <v>B/C; proxy D</v>
      </c>
      <c r="V20" s="15" t="str">
        <v>PUBLICA; MU_142342; TITULACION_AGREGADA; H002</v>
      </c>
    </row>
    <row r="21" ht="50" customHeight="1">
      <c r="A21" s="14" t="str">
        <v>I162S2C3J2</v>
      </c>
      <c r="B21" s="14" t="str">
        <v>INGENIERIA EN CONECTIVIDAD Y REDES</v>
      </c>
      <c r="C21" s="14" t="str">
        <v>Santiago</v>
      </c>
      <c r="D21" s="14" t="str">
        <v>Vespertina</v>
      </c>
      <c r="E21" s="14" t="str">
        <v>Tecnologías</v>
      </c>
      <c r="F21" s="14" t="str">
        <v>I162S2C3J2V1 / I162S2C3J2V2 / I162S2C3J2V3 / I162S2C3J2V4</v>
      </c>
      <c r="G21" s="21" t="n">
        <v>2007</v>
      </c>
      <c r="H21" s="14" t="n">
        <v>20</v>
      </c>
      <c r="I21" s="14" t="str">
        <v>1: 2 / 2: E / 3: 2 / 4: 1</v>
      </c>
      <c r="J21" s="14" t="str">
        <v>1: 2 / 2: E / 3: 2 / 4: 2</v>
      </c>
      <c r="K21" s="22" t="n">
        <v>8</v>
      </c>
      <c r="L21" s="22" t="n">
        <v>0</v>
      </c>
      <c r="M21" s="22" t="n">
        <v>0</v>
      </c>
      <c r="N21" s="22" t="n">
        <v>8</v>
      </c>
      <c r="O21" s="22" t="n">
        <v>0</v>
      </c>
      <c r="P21" s="22" t="n">
        <v>0</v>
      </c>
      <c r="Q21" s="22" t="n">
        <v>0</v>
      </c>
      <c r="R21" s="22" t="n">
        <v>24</v>
      </c>
      <c r="S21" s="14" t="str">
        <v>E</v>
      </c>
      <c r="T21" s="22" t="n">
        <v>8</v>
      </c>
      <c r="U21" s="14" t="str">
        <v>B/C; proxy D</v>
      </c>
      <c r="V21" s="14" t="str">
        <v>PUBLICA; MU_142342; TITULACION_AGREGADA; H002</v>
      </c>
    </row>
    <row r="22" ht="36" customHeight="1">
      <c r="A22" s="15" t="str">
        <v>I162S2C6J2</v>
      </c>
      <c r="B22" s="15" t="str">
        <v>TECNICO EN CONECTIVIDAD Y REDES</v>
      </c>
      <c r="C22" s="15" t="str">
        <v>Santiago</v>
      </c>
      <c r="D22" s="15" t="str">
        <v>Vespertina</v>
      </c>
      <c r="E22" s="15" t="str">
        <v>Tecnologías</v>
      </c>
      <c r="F22" s="15" t="str">
        <v>I162S2C6J2V1 / I162S2C6J2V2</v>
      </c>
      <c r="G22" s="23" t="n">
        <v>2007</v>
      </c>
      <c r="H22" s="15" t="n">
        <v>19</v>
      </c>
      <c r="I22" s="15" t="str">
        <v>1: 2 / 2: 1</v>
      </c>
      <c r="J22" s="15" t="str">
        <v>1: 2 / 2: 2</v>
      </c>
      <c r="K22" s="24" t="n">
        <v>6</v>
      </c>
      <c r="L22" s="24" t="n">
        <v>0</v>
      </c>
      <c r="M22" s="24" t="n">
        <v>1</v>
      </c>
      <c r="N22" s="24" t="n">
        <v>5</v>
      </c>
      <c r="O22" s="24" t="n">
        <v>0</v>
      </c>
      <c r="P22" s="24" t="n">
        <v>1</v>
      </c>
      <c r="Q22" s="24" t="n">
        <v>0</v>
      </c>
      <c r="R22" s="24" t="n">
        <v>2</v>
      </c>
      <c r="S22" s="15" t="str">
        <v>Sí</v>
      </c>
      <c r="T22" s="24" t="n">
        <v>7</v>
      </c>
      <c r="U22" s="15" t="str">
        <v>B/C; proxy D</v>
      </c>
      <c r="V22" s="15" t="str">
        <v>PUBLICA; MU_142342; TITULACION_AGREGADA; H002</v>
      </c>
    </row>
  </sheetData>
  <mergeCells>
    <mergeCell ref="A2:F2"/>
    <mergeCell ref="A3:F3"/>
    <mergeCell ref="A15:F15"/>
    <mergeCell ref="A16:F16"/>
  </mergeCells>
  <conditionalFormatting sqref="A19:V22">
    <cfRule type="expression" dxfId="0" priority="1">
      <formula>$S19="Sí"</formula>
    </cfRule>
  </conditionalFormatting>
  <dataValidations count="3">
    <dataValidation type="list" sqref="B4">
      <formula1>"Todas,Santiago"</formula1>
    </dataValidation>
    <dataValidation type="list" sqref="D4">
      <formula1>"Todas,Diurna,Vespertina"</formula1>
    </dataValidation>
    <dataValidation type="list" sqref="F4">
      <formula1>"Todas,Tecnologías"</formula1>
    </dataValidation>
  </dataValidations>
  <printOptions headings="0" gridLines="0"/>
  <pageMargins left="0.25" right="0.25" top="0.25" bottom="0.25" header="0" footer="0"/>
  <pageSetup paperSize="8" orientation="landscape" fitToWidth="1" fitToHeight="1"/>
  <tableParts count="2">
    <tablePart ns1:id="R41e185b9e4584d04"/>
    <tablePart ns1:id="R8151f4addb4e4e73"/>
  </tableParts>
</worksheet>
</file>

<file path=xl/worksheets/sheet8.xml><?xml version="1.0" encoding="utf-8"?>
<worksheet xmlns="http://schemas.openxmlformats.org/spreadsheetml/2006/main" xmlns:ns1="http://schemas.openxmlformats.org/officeDocument/2006/relationships">
  <sheetPr>
    <tabColor rgb="FF102B42"/>
    <pageSetUpPr fitToPage="1"/>
  </sheetPr>
  <sheetViews>
    <sheetView showGridLines="0" workbookViewId="0">
      <pane xSplit="1" ySplit="18" topLeftCell="B19" activePane="bottomRight" state="frozen"/>
    </sheetView>
  </sheetViews>
  <sheetFormatPr defaultRowHeight="15"/>
  <cols>
    <col min="1" max="1" width="16" hidden="0" customWidth="1"/>
    <col min="2" max="2" width="25" hidden="0" customWidth="1"/>
    <col min="3" max="3" width="46" hidden="0" customWidth="1"/>
    <col min="4" max="4" width="20" hidden="0" customWidth="1"/>
    <col min="5" max="5" width="23" hidden="0" customWidth="1"/>
    <col min="6" max="6" width="28" hidden="0" customWidth="1"/>
    <col min="7" max="7" width="17" hidden="0" customWidth="1"/>
    <col min="8" max="8" width="30" hidden="0" customWidth="1"/>
    <col min="9" max="9" width="20" hidden="0" customWidth="1"/>
    <col min="10" max="10" width="14" hidden="0" customWidth="1"/>
    <col min="11" max="11" width="20" hidden="0" customWidth="1"/>
    <col min="12" max="12" width="48" hidden="0" customWidth="1"/>
    <col min="13" max="13" width="48" hidden="0" customWidth="1"/>
    <col min="14" max="14" width="18" hidden="0" customWidth="1"/>
    <col min="15" max="15" width="18" hidden="0" customWidth="1"/>
    <col min="16" max="16" width="18" hidden="0" customWidth="1"/>
    <col min="17" max="17" width="18" hidden="0" customWidth="1"/>
    <col min="18" max="18" width="18" hidden="0" customWidth="1"/>
    <col min="19" max="19" width="18" hidden="0" customWidth="1"/>
    <col min="20" max="20" width="18" hidden="0" customWidth="1"/>
    <col min="21" max="21" width="18" hidden="0" customWidth="1"/>
    <col min="22" max="22" width="18" hidden="0" customWidth="1"/>
    <col min="23" max="23" width="18" hidden="0" customWidth="1"/>
    <col min="24" max="24" width="18" hidden="0" customWidth="1"/>
    <col min="25" max="25" width="18" hidden="0" customWidth="1"/>
    <col min="26" max="26" width="18" hidden="0" customWidth="1"/>
    <col min="27" max="27" width="18" hidden="0" customWidth="1"/>
  </cols>
  <sheetData>
    <row r="1" ht="2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ht="32" customHeight="1">
      <c r="A2" s="16" t="str">
        <v>IPSS · Oferta con nuevos sin primer año observado</v>
      </c>
      <c r="B2" s="16"/>
      <c r="C2" s="16"/>
      <c r="D2" s="16"/>
      <c r="E2" s="16"/>
      <c r="F2" s="16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ht="44" customHeight="1">
      <c r="A3" s="13" t="str">
        <v>Códigos-año con VIGENCIA 1 y primer año SIES = 0 o sin fila. No acredita que una carrera no se abrió operacionalmente.</v>
      </c>
      <c r="B3" s="13" t="str">
        <v>Códigos-año con VIGENCIA 1 y primer año SIES = 0 o sin fila. No acredita que una carrera no se abrió operacionalmente.</v>
      </c>
      <c r="C3" s="13" t="str">
        <v>Códigos-año con VIGENCIA 1 y primer año SIES = 0 o sin fila. No acredita que una carrera no se abrió operacionalmente.</v>
      </c>
      <c r="D3" s="13" t="str">
        <v>Códigos-año con VIGENCIA 1 y primer año SIES = 0 o sin fila. No acredita que una carrera no se abrió operacionalmente.</v>
      </c>
      <c r="E3" s="13" t="str">
        <v>Códigos-año con VIGENCIA 1 y primer año SIES = 0 o sin fila. No acredita que una carrera no se abrió operacionalmente.</v>
      </c>
      <c r="F3" s="13" t="str">
        <v>Códigos-año con VIGENCIA 1 y primer año SIES = 0 o sin fila. No acredita que una carrera no se abrió operacionalmente.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ht="38" customHeight="1">
      <c r="A4" s="39" t="str">
        <v>SEDE</v>
      </c>
      <c r="B4" s="40" t="str">
        <v>Todas</v>
      </c>
      <c r="C4" s="39" t="str">
        <v>JORNADA</v>
      </c>
      <c r="D4" s="40" t="str">
        <v>Todas</v>
      </c>
      <c r="E4" s="39" t="str">
        <v>SECTOR IPSS</v>
      </c>
      <c r="F4" s="40" t="str">
        <v>Todas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ht="25" customHeight="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ht="2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ht="48" customHeight="1">
      <c r="A7" s="9" t="str">
        <v>Indicador</v>
      </c>
      <c r="B7" s="9" t="str">
        <v>Total filtrado</v>
      </c>
      <c r="C7" s="9" t="str">
        <v>Unidad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9" t="str">
        <v>Año</v>
      </c>
      <c r="P7" s="9" t="str">
        <v>Códigos-año</v>
      </c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ht="50" customHeight="1">
      <c r="A8" s="14" t="str">
        <v>Ofertas sin primer año observado</v>
      </c>
      <c r="B8" s="22" t="n">
        <f>COUNTIFS($D$19:$D$143,IF($B$4="Todas","*",$B$4),$E$19:$E$143,IF($D$4="Todas","*",$D$4),$F$19:$F$143,IF($F$4="Todas","*",$F$4))</f>
        <v>125</v>
      </c>
      <c r="C8" s="14" t="str">
        <v>códigos-año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4" t="str">
        <v>2010</v>
      </c>
      <c r="P8" s="22" t="n">
        <f>COUNTIFS($D$19:$D$143,IF($B$4="Todas","*",$B$4),$E$19:$E$143,IF($D$4="Todas","*",$D$4),$F$19:$F$143,IF($F$4="Todas","*",$F$4),A19:A143,O8)</f>
        <v>0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ht="36" customHeight="1">
      <c r="A9" s="15" t="str">
        <v>Con fila y primer año cero</v>
      </c>
      <c r="B9" s="24" t="n">
        <f>COUNTIFS($D$19:$D$143,IF($B$4="Todas","*",$B$4),$E$19:$E$143,IF($D$4="Todas","*",$D$4),$F$19:$F$143,IF($F$4="Todas","*",$F$4),J19:J143,1)</f>
        <v>0</v>
      </c>
      <c r="C9" s="15" t="str">
        <v>códigos-año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 t="str">
        <v>2011</v>
      </c>
      <c r="P9" s="24" t="n">
        <f>COUNTIFS($D$19:$D$143,IF($B$4="Todas","*",$B$4),$E$19:$E$143,IF($D$4="Todas","*",$D$4),$F$19:$F$143,IF($F$4="Todas","*",$F$4),A19:A143,O9)</f>
        <v>0</v>
      </c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ht="27" customHeight="1">
      <c r="A10" s="14" t="str">
        <v>Sin fila SIES</v>
      </c>
      <c r="B10" s="22" t="n">
        <f>COUNTIFS($D$19:$D$143,IF($B$4="Todas","*",$B$4),$E$19:$E$143,IF($D$4="Todas","*",$D$4),$F$19:$F$143,IF($F$4="Todas","*",$F$4),J19:J143,0)</f>
        <v>125</v>
      </c>
      <c r="C10" s="14" t="str">
        <v>códigos-año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4" t="str">
        <v>2012</v>
      </c>
      <c r="P10" s="22" t="n">
        <f>COUNTIFS($D$19:$D$143,IF($B$4="Todas","*",$B$4),$E$19:$E$143,IF($D$4="Todas","*",$D$4),$F$19:$F$143,IF($F$4="Todas","*",$F$4),A19:A143,O10)</f>
        <v>0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ht="27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 t="str">
        <v>2013</v>
      </c>
      <c r="P11" s="24" t="n">
        <f>COUNTIFS($D$19:$D$143,IF($B$4="Todas","*",$B$4),$E$19:$E$143,IF($D$4="Todas","*",$D$4),$F$19:$F$143,IF($F$4="Todas","*",$F$4),A19:A143,O11)</f>
        <v>2</v>
      </c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ht="27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4" t="str">
        <v>2014</v>
      </c>
      <c r="P12" s="22" t="n">
        <f>COUNTIFS($D$19:$D$143,IF($B$4="Todas","*",$B$4),$E$19:$E$143,IF($D$4="Todas","*",$D$4),$F$19:$F$143,IF($F$4="Todas","*",$F$4),A19:A143,O12)</f>
        <v>7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ht="27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 t="str">
        <v>2015</v>
      </c>
      <c r="P13" s="24" t="n">
        <f>COUNTIFS($D$19:$D$143,IF($B$4="Todas","*",$B$4),$E$19:$E$143,IF($D$4="Todas","*",$D$4),$F$19:$F$143,IF($F$4="Todas","*",$F$4),A19:A143,O13)</f>
        <v>2</v>
      </c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ht="27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4" t="str">
        <v>2016</v>
      </c>
      <c r="P14" s="22" t="n">
        <f>COUNTIFS($D$19:$D$143,IF($B$4="Todas","*",$B$4),$E$19:$E$143,IF($D$4="Todas","*",$D$4),$F$19:$F$143,IF($F$4="Todas","*",$F$4),A19:A143,O14)</f>
        <v>1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ht="27" customHeight="1">
      <c r="A15" s="13" t="str">
        <v>2027: NO EVALUABLE hasta la MU 2027. No se asigna cero. La oferta V06 es carga preparada C; no aceptación técnica PES.</v>
      </c>
      <c r="B15" s="13" t="str">
        <v>2027: NO EVALUABLE hasta la MU 2027. No se asigna cero. La oferta V06 es carga preparada C; no aceptación técnica PES.</v>
      </c>
      <c r="C15" s="13" t="str">
        <v>2027: NO EVALUABLE hasta la MU 2027. No se asigna cero. La oferta V06 es carga preparada C; no aceptación técnica PES.</v>
      </c>
      <c r="D15" s="13" t="str">
        <v>2027: NO EVALUABLE hasta la MU 2027. No se asigna cero. La oferta V06 es carga preparada C; no aceptación técnica PES.</v>
      </c>
      <c r="E15" s="13" t="str">
        <v>2027: NO EVALUABLE hasta la MU 2027. No se asigna cero. La oferta V06 es carga preparada C; no aceptación técnica PES.</v>
      </c>
      <c r="F15" s="13" t="str">
        <v>2027: NO EVALUABLE hasta la MU 2027. No se asigna cero. La oferta V06 es carga preparada C; no aceptación técnica PES.</v>
      </c>
      <c r="G15" s="15"/>
      <c r="H15" s="15"/>
      <c r="I15" s="15"/>
      <c r="J15" s="15"/>
      <c r="K15" s="15"/>
      <c r="L15" s="15"/>
      <c r="M15" s="15"/>
      <c r="N15" s="15"/>
      <c r="O15" s="15" t="str">
        <v>2017</v>
      </c>
      <c r="P15" s="24" t="n">
        <f>COUNTIFS($D$19:$D$143,IF($B$4="Todas","*",$B$4),$E$19:$E$143,IF($D$4="Todas","*",$D$4),$F$19:$F$143,IF($F$4="Todas","*",$F$4),A19:A143,O15)</f>
        <v>3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ht="27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4" t="str">
        <v>2018</v>
      </c>
      <c r="P16" s="22" t="n">
        <f>COUNTIFS($D$19:$D$143,IF($B$4="Todas","*",$B$4),$E$19:$E$143,IF($D$4="Todas","*",$D$4),$F$19:$F$143,IF($F$4="Todas","*",$F$4),A19:A143,O16)</f>
        <v>3</v>
      </c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ht="27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 t="str">
        <v>2019</v>
      </c>
      <c r="P17" s="24" t="n">
        <f>COUNTIFS($D$19:$D$143,IF($B$4="Todas","*",$B$4),$E$19:$E$143,IF($D$4="Todas","*",$D$4),$F$19:$F$143,IF($F$4="Todas","*",$F$4),A19:A143,O17)</f>
        <v>7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ht="27" customHeight="1">
      <c r="A18" s="9" t="str">
        <v>Año</v>
      </c>
      <c r="B18" s="9" t="str">
        <v>Código SIES</v>
      </c>
      <c r="C18" s="9" t="str">
        <v>Carrera</v>
      </c>
      <c r="D18" s="9" t="str">
        <v>Sede</v>
      </c>
      <c r="E18" s="9" t="str">
        <v>Jornada</v>
      </c>
      <c r="F18" s="9" t="str">
        <v>Sector IPSS</v>
      </c>
      <c r="G18" s="9" t="str">
        <v>Duración estudios semestres</v>
      </c>
      <c r="H18" s="9" t="str">
        <v>Tipo plan</v>
      </c>
      <c r="I18" s="9" t="str">
        <v>Primer año SIES</v>
      </c>
      <c r="J18" s="9" t="str">
        <v>Fila pública (1/0)</v>
      </c>
      <c r="K18" s="9" t="str">
        <v>Nivel</v>
      </c>
      <c r="L18" s="9" t="str">
        <v>Límite / clase</v>
      </c>
      <c r="M18" s="9" t="str">
        <v>Fuente</v>
      </c>
      <c r="N18" s="15"/>
      <c r="O18" s="14" t="str">
        <v>2020</v>
      </c>
      <c r="P18" s="22" t="n">
        <f>COUNTIFS($D$19:$D$143,IF($B$4="Todas","*",$B$4),$E$19:$E$143,IF($D$4="Todas","*",$D$4),$F$19:$F$143,IF($F$4="Todas","*",$F$4),A19:A143,O18)</f>
        <v>4</v>
      </c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ht="36" customHeight="1">
      <c r="A19" s="14" t="str">
        <v>2013</v>
      </c>
      <c r="B19" s="14" t="str">
        <v>I162S2C13J1V1</v>
      </c>
      <c r="C19" s="14" t="str">
        <v>SOPORTE DE SERVICIOS DE TELECOMUNICACIONES</v>
      </c>
      <c r="D19" s="14" t="str">
        <v>Santiago</v>
      </c>
      <c r="E19" s="14" t="str">
        <v>Diurna</v>
      </c>
      <c r="F19" s="14" t="str">
        <v>E: sin sector</v>
      </c>
      <c r="G19" s="21" t="n">
        <v>5</v>
      </c>
      <c r="H19" s="14" t="str">
        <v>Plan Regular</v>
      </c>
      <c r="I19" s="14" t="str">
        <v>Sin fila SIES</v>
      </c>
      <c r="J19" s="21" t="n">
        <v>0</v>
      </c>
      <c r="K19" s="14" t="str">
        <v>Pregrado</v>
      </c>
      <c r="L19" s="14" t="str">
        <v>B/C: primer año 0 o sin fila; no prueba apertura operativa</v>
      </c>
      <c r="M19" s="14" t="str">
        <v>MAESTRO/oferta_anual; PUBLICA</v>
      </c>
      <c r="N19" s="15"/>
      <c r="O19" s="15" t="str">
        <v>2021</v>
      </c>
      <c r="P19" s="24" t="n">
        <f>COUNTIFS($D$19:$D$143,IF($B$4="Todas","*",$B$4),$E$19:$E$143,IF($D$4="Todas","*",$D$4),$F$19:$F$143,IF($F$4="Todas","*",$F$4),A19:A143,O19)</f>
        <v>8</v>
      </c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ht="36" customHeight="1">
      <c r="A20" s="15" t="str">
        <v>2013</v>
      </c>
      <c r="B20" s="15" t="str">
        <v>I162S2C13J2V1</v>
      </c>
      <c r="C20" s="15" t="str">
        <v>SOPORTE DE SERVICIOS DE TELECOMUNICACIONES</v>
      </c>
      <c r="D20" s="15" t="str">
        <v>Santiago</v>
      </c>
      <c r="E20" s="15" t="str">
        <v>Vespertina</v>
      </c>
      <c r="F20" s="15" t="str">
        <v>E: sin sector</v>
      </c>
      <c r="G20" s="23" t="n">
        <v>5</v>
      </c>
      <c r="H20" s="15" t="str">
        <v>Plan Regular</v>
      </c>
      <c r="I20" s="15" t="str">
        <v>Sin fila SIES</v>
      </c>
      <c r="J20" s="23" t="n">
        <v>0</v>
      </c>
      <c r="K20" s="15" t="str">
        <v>Pregrado</v>
      </c>
      <c r="L20" s="15" t="str">
        <v>B/C: primer año 0 o sin fila; no prueba apertura operativa</v>
      </c>
      <c r="M20" s="15" t="str">
        <v>MAESTRO/oferta_anual; PUBLICA</v>
      </c>
      <c r="N20" s="15"/>
      <c r="O20" s="14" t="str">
        <v>2022</v>
      </c>
      <c r="P20" s="22" t="n">
        <f>COUNTIFS($D$19:$D$143,IF($B$4="Todas","*",$B$4),$E$19:$E$143,IF($D$4="Todas","*",$D$4),$F$19:$F$143,IF($F$4="Todas","*",$F$4),A19:A143,O20)</f>
        <v>10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ht="36" customHeight="1">
      <c r="A21" s="14" t="str">
        <v>2014</v>
      </c>
      <c r="B21" s="14" t="str">
        <v>I162S2C10J1V1</v>
      </c>
      <c r="C21" s="14" t="str">
        <v>PREVENCION DE RIESGOS</v>
      </c>
      <c r="D21" s="14" t="str">
        <v>Santiago</v>
      </c>
      <c r="E21" s="14" t="str">
        <v>Diurna</v>
      </c>
      <c r="F21" s="14" t="str">
        <v>E: sin sector</v>
      </c>
      <c r="G21" s="21" t="n">
        <v>5</v>
      </c>
      <c r="H21" s="14" t="str">
        <v>Plan Regular</v>
      </c>
      <c r="I21" s="14" t="str">
        <v>Sin fila SIES</v>
      </c>
      <c r="J21" s="21" t="n">
        <v>0</v>
      </c>
      <c r="K21" s="14" t="str">
        <v>Pregrado</v>
      </c>
      <c r="L21" s="14" t="str">
        <v>B/C: primer año 0 o sin fila; no prueba apertura operativa</v>
      </c>
      <c r="M21" s="14" t="str">
        <v>MAESTRO/oferta_anual; PUBLICA</v>
      </c>
      <c r="N21" s="15"/>
      <c r="O21" s="15" t="str">
        <v>2023</v>
      </c>
      <c r="P21" s="24" t="n">
        <f>COUNTIFS($D$19:$D$143,IF($B$4="Todas","*",$B$4),$E$19:$E$143,IF($D$4="Todas","*",$D$4),$F$19:$F$143,IF($F$4="Todas","*",$F$4),A19:A143,O21)</f>
        <v>10</v>
      </c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ht="36" customHeight="1">
      <c r="A22" s="15" t="str">
        <v>2014</v>
      </c>
      <c r="B22" s="15" t="str">
        <v>I162S2C21J1V1</v>
      </c>
      <c r="C22" s="15" t="str">
        <v>INGENIERIA DE EJECUCION EN AUTOMATIZACION Y CONTROL INDUSTRIAL</v>
      </c>
      <c r="D22" s="15" t="str">
        <v>Santiago</v>
      </c>
      <c r="E22" s="15" t="str">
        <v>Diurna</v>
      </c>
      <c r="F22" s="15" t="str">
        <v>E: sin sector</v>
      </c>
      <c r="G22" s="23" t="n">
        <v>8</v>
      </c>
      <c r="H22" s="15" t="str">
        <v>Plan Regular</v>
      </c>
      <c r="I22" s="15" t="str">
        <v>Sin fila SIES</v>
      </c>
      <c r="J22" s="23" t="n">
        <v>0</v>
      </c>
      <c r="K22" s="15" t="str">
        <v>Pregrado</v>
      </c>
      <c r="L22" s="15" t="str">
        <v>B/C: primer año 0 o sin fila; no prueba apertura operativa</v>
      </c>
      <c r="M22" s="15" t="str">
        <v>MAESTRO/oferta_anual; PUBLICA</v>
      </c>
      <c r="N22" s="15"/>
      <c r="O22" s="14" t="str">
        <v>2024</v>
      </c>
      <c r="P22" s="22" t="n">
        <f>COUNTIFS($D$19:$D$143,IF($B$4="Todas","*",$B$4),$E$19:$E$143,IF($D$4="Todas","*",$D$4),$F$19:$F$143,IF($F$4="Todas","*",$F$4),A19:A143,O22)</f>
        <v>19</v>
      </c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ht="36" customHeight="1">
      <c r="A23" s="14" t="str">
        <v>2014</v>
      </c>
      <c r="B23" s="14" t="str">
        <v>I162S2C21J2V1</v>
      </c>
      <c r="C23" s="14" t="str">
        <v>INGENIERIA DE EJECUCION EN AUTOMATIZACION Y CONTROL INDUSTRIAL</v>
      </c>
      <c r="D23" s="14" t="str">
        <v>Santiago</v>
      </c>
      <c r="E23" s="14" t="str">
        <v>Vespertina</v>
      </c>
      <c r="F23" s="14" t="str">
        <v>E: sin sector</v>
      </c>
      <c r="G23" s="21" t="n">
        <v>8</v>
      </c>
      <c r="H23" s="14" t="str">
        <v>Plan Regular</v>
      </c>
      <c r="I23" s="14" t="str">
        <v>Sin fila SIES</v>
      </c>
      <c r="J23" s="21" t="n">
        <v>0</v>
      </c>
      <c r="K23" s="14" t="str">
        <v>Pregrado</v>
      </c>
      <c r="L23" s="14" t="str">
        <v>B/C: primer año 0 o sin fila; no prueba apertura operativa</v>
      </c>
      <c r="M23" s="14" t="str">
        <v>MAESTRO/oferta_anual; PUBLICA</v>
      </c>
      <c r="N23" s="15"/>
      <c r="O23" s="15" t="str">
        <v>2025</v>
      </c>
      <c r="P23" s="24" t="n">
        <f>COUNTIFS($D$19:$D$143,IF($B$4="Todas","*",$B$4),$E$19:$E$143,IF($D$4="Todas","*",$D$4),$F$19:$F$143,IF($F$4="Todas","*",$F$4),A19:A143,O23)</f>
        <v>23</v>
      </c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ht="36" customHeight="1">
      <c r="A24" s="15" t="str">
        <v>2014</v>
      </c>
      <c r="B24" s="15" t="str">
        <v>I162S2C23J1V1</v>
      </c>
      <c r="C24" s="15" t="str">
        <v>INGENIERIA DE EJECUCION EN PREVENCION DE RIESGOS</v>
      </c>
      <c r="D24" s="15" t="str">
        <v>Santiago</v>
      </c>
      <c r="E24" s="15" t="str">
        <v>Diurna</v>
      </c>
      <c r="F24" s="15" t="str">
        <v>E: sin sector</v>
      </c>
      <c r="G24" s="23" t="n">
        <v>8</v>
      </c>
      <c r="H24" s="15" t="str">
        <v>Plan Regular</v>
      </c>
      <c r="I24" s="15" t="str">
        <v>Sin fila SIES</v>
      </c>
      <c r="J24" s="23" t="n">
        <v>0</v>
      </c>
      <c r="K24" s="15" t="str">
        <v>Pregrado</v>
      </c>
      <c r="L24" s="15" t="str">
        <v>B/C: primer año 0 o sin fila; no prueba apertura operativa</v>
      </c>
      <c r="M24" s="15" t="str">
        <v>MAESTRO/oferta_anual; PUBLICA</v>
      </c>
      <c r="N24" s="15"/>
      <c r="O24" s="14" t="str">
        <v>2026</v>
      </c>
      <c r="P24" s="22" t="n">
        <f>COUNTIFS($D$19:$D$143,IF($B$4="Todas","*",$B$4),$E$19:$E$143,IF($D$4="Todas","*",$D$4),$F$19:$F$143,IF($F$4="Todas","*",$F$4),A19:A143,O24)</f>
        <v>26</v>
      </c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ht="36" customHeight="1">
      <c r="A25" s="14" t="str">
        <v>2014</v>
      </c>
      <c r="B25" s="14" t="str">
        <v>I162S2C23J2V1</v>
      </c>
      <c r="C25" s="14" t="str">
        <v>INGENIERIA DE EJECUCION EN PREVENCION DE RIESGOS</v>
      </c>
      <c r="D25" s="14" t="str">
        <v>Santiago</v>
      </c>
      <c r="E25" s="14" t="str">
        <v>Vespertina</v>
      </c>
      <c r="F25" s="14" t="str">
        <v>E: sin sector</v>
      </c>
      <c r="G25" s="21" t="n">
        <v>8</v>
      </c>
      <c r="H25" s="14" t="str">
        <v>Plan Regular</v>
      </c>
      <c r="I25" s="14" t="str">
        <v>Sin fila SIES</v>
      </c>
      <c r="J25" s="21" t="n">
        <v>0</v>
      </c>
      <c r="K25" s="14" t="str">
        <v>Pregrado</v>
      </c>
      <c r="L25" s="14" t="str">
        <v>B/C: primer año 0 o sin fila; no prueba apertura operativa</v>
      </c>
      <c r="M25" s="14" t="str">
        <v>MAESTRO/oferta_anual; PUBLICA</v>
      </c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ht="36" customHeight="1">
      <c r="A26" s="15" t="str">
        <v>2014</v>
      </c>
      <c r="B26" s="15" t="str">
        <v>I162S2C24J1V1</v>
      </c>
      <c r="C26" s="15" t="str">
        <v>TECNICO EN AUTOMATIZACION Y CONTROL INDUSTRIAL</v>
      </c>
      <c r="D26" s="15" t="str">
        <v>Santiago</v>
      </c>
      <c r="E26" s="15" t="str">
        <v>Diurna</v>
      </c>
      <c r="F26" s="15" t="str">
        <v>E: sin sector</v>
      </c>
      <c r="G26" s="23" t="n">
        <v>5</v>
      </c>
      <c r="H26" s="15" t="str">
        <v>Plan Regular</v>
      </c>
      <c r="I26" s="15" t="str">
        <v>Sin fila SIES</v>
      </c>
      <c r="J26" s="23" t="n">
        <v>0</v>
      </c>
      <c r="K26" s="15" t="str">
        <v>Pregrado</v>
      </c>
      <c r="L26" s="15" t="str">
        <v>B/C: primer año 0 o sin fila; no prueba apertura operativa</v>
      </c>
      <c r="M26" s="15" t="str">
        <v>MAESTRO/oferta_anual; PUBLICA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ht="36" customHeight="1">
      <c r="A27" s="14" t="str">
        <v>2014</v>
      </c>
      <c r="B27" s="14" t="str">
        <v>I162S2C24J2V1</v>
      </c>
      <c r="C27" s="14" t="str">
        <v>TECNICO EN AUTOMATIZACION Y CONTROL INDUSTRIAL</v>
      </c>
      <c r="D27" s="14" t="str">
        <v>Santiago</v>
      </c>
      <c r="E27" s="14" t="str">
        <v>Vespertina</v>
      </c>
      <c r="F27" s="14" t="str">
        <v>E: sin sector</v>
      </c>
      <c r="G27" s="21" t="n">
        <v>5</v>
      </c>
      <c r="H27" s="14" t="str">
        <v>Plan Regular</v>
      </c>
      <c r="I27" s="14" t="str">
        <v>Sin fila SIES</v>
      </c>
      <c r="J27" s="21" t="n">
        <v>0</v>
      </c>
      <c r="K27" s="14" t="str">
        <v>Pregrado</v>
      </c>
      <c r="L27" s="14" t="str">
        <v>B/C: primer año 0 o sin fila; no prueba apertura operativa</v>
      </c>
      <c r="M27" s="14" t="str">
        <v>MAESTRO/oferta_anual; PUBLICA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ht="36" customHeight="1">
      <c r="A28" s="15" t="str">
        <v>2015</v>
      </c>
      <c r="B28" s="15" t="str">
        <v>I162S2C10J1V1</v>
      </c>
      <c r="C28" s="15" t="str">
        <v>TECNICO EN PREVENCION DE RIESGOS</v>
      </c>
      <c r="D28" s="15" t="str">
        <v>Santiago</v>
      </c>
      <c r="E28" s="15" t="str">
        <v>Diurna</v>
      </c>
      <c r="F28" s="15" t="str">
        <v>E: sin sector</v>
      </c>
      <c r="G28" s="23" t="n">
        <v>5</v>
      </c>
      <c r="H28" s="15" t="str">
        <v>Plan Regular</v>
      </c>
      <c r="I28" s="15" t="str">
        <v>Sin fila SIES</v>
      </c>
      <c r="J28" s="23" t="n">
        <v>0</v>
      </c>
      <c r="K28" s="15" t="str">
        <v>Pregrado</v>
      </c>
      <c r="L28" s="15" t="str">
        <v>B/C: primer año 0 o sin fila; no prueba apertura operativa</v>
      </c>
      <c r="M28" s="15" t="str">
        <v>MAESTRO/oferta_anual; PUBLICA</v>
      </c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ht="36" customHeight="1">
      <c r="A29" s="14" t="str">
        <v>2015</v>
      </c>
      <c r="B29" s="14" t="str">
        <v>I162S2C22J1V1</v>
      </c>
      <c r="C29" s="14" t="str">
        <v>INGENIERIA EN OPERACIONES DE PLANTAS MINERAS E INDUSTRIALES</v>
      </c>
      <c r="D29" s="14" t="str">
        <v>Santiago</v>
      </c>
      <c r="E29" s="14" t="str">
        <v>Diurna</v>
      </c>
      <c r="F29" s="14" t="str">
        <v>E: sin sector</v>
      </c>
      <c r="G29" s="21" t="n">
        <v>8</v>
      </c>
      <c r="H29" s="14" t="str">
        <v>Plan Regular</v>
      </c>
      <c r="I29" s="14" t="str">
        <v>Sin fila SIES</v>
      </c>
      <c r="J29" s="21" t="n">
        <v>0</v>
      </c>
      <c r="K29" s="14" t="str">
        <v>Pregrado</v>
      </c>
      <c r="L29" s="14" t="str">
        <v>B/C: primer año 0 o sin fila; no prueba apertura operativa</v>
      </c>
      <c r="M29" s="14" t="str">
        <v>MAESTRO/oferta_anual; PUBLICA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ht="36" customHeight="1">
      <c r="A30" s="15" t="str">
        <v>2016</v>
      </c>
      <c r="B30" s="15" t="str">
        <v>I162S2C22J1V1</v>
      </c>
      <c r="C30" s="15" t="str">
        <v>INGENIERIA EN AUTOMATIZACION Y CONTROL INDUSTRIAL</v>
      </c>
      <c r="D30" s="15" t="str">
        <v>Santiago</v>
      </c>
      <c r="E30" s="15" t="str">
        <v>Diurna</v>
      </c>
      <c r="F30" s="15" t="str">
        <v>E: sin sector</v>
      </c>
      <c r="G30" s="23" t="n">
        <v>8</v>
      </c>
      <c r="H30" s="15" t="str">
        <v>Plan Regular</v>
      </c>
      <c r="I30" s="15" t="str">
        <v>Sin fila SIES</v>
      </c>
      <c r="J30" s="23" t="n">
        <v>0</v>
      </c>
      <c r="K30" s="15" t="str">
        <v>Pregrado</v>
      </c>
      <c r="L30" s="15" t="str">
        <v>B/C: primer año 0 o sin fila; no prueba apertura operativa</v>
      </c>
      <c r="M30" s="15" t="str">
        <v>MAESTRO/oferta_anual; PUBLICA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ht="36" customHeight="1">
      <c r="A31" s="14" t="str">
        <v>2017</v>
      </c>
      <c r="B31" s="14" t="str">
        <v>I162S2C22J1V1</v>
      </c>
      <c r="C31" s="14" t="str">
        <v>INGENIERIA EN AUTOMATIZACION Y CONTROL INDUSTRIAL</v>
      </c>
      <c r="D31" s="14" t="str">
        <v>Santiago</v>
      </c>
      <c r="E31" s="14" t="str">
        <v>Diurna</v>
      </c>
      <c r="F31" s="14" t="str">
        <v>E: sin sector</v>
      </c>
      <c r="G31" s="21" t="n">
        <v>8</v>
      </c>
      <c r="H31" s="14" t="str">
        <v>Plan Regular</v>
      </c>
      <c r="I31" s="14" t="str">
        <v>Sin fila SIES</v>
      </c>
      <c r="J31" s="21" t="n">
        <v>0</v>
      </c>
      <c r="K31" s="14" t="str">
        <v>Pregrado</v>
      </c>
      <c r="L31" s="14" t="str">
        <v>B/C: primer año 0 o sin fila; no prueba apertura operativa</v>
      </c>
      <c r="M31" s="14" t="str">
        <v>MAESTRO/oferta_anual; PUBLICA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ht="36" customHeight="1">
      <c r="A32" s="15" t="str">
        <v>2017</v>
      </c>
      <c r="B32" s="15" t="str">
        <v>I162S2C40J2V1</v>
      </c>
      <c r="C32" s="15" t="str">
        <v>DIPLOMADO EN DOCENCIA EN EDUCACION SUPERIOR TECNICO PROFESIONAL</v>
      </c>
      <c r="D32" s="15" t="str">
        <v>Santiago</v>
      </c>
      <c r="E32" s="15" t="str">
        <v>Vespertina</v>
      </c>
      <c r="F32" s="15" t="str">
        <v>E: sin sector</v>
      </c>
      <c r="G32" s="23" t="n">
        <v>2</v>
      </c>
      <c r="H32" s="15" t="str">
        <v>Plan Regular</v>
      </c>
      <c r="I32" s="15" t="str">
        <v>Sin fila SIES</v>
      </c>
      <c r="J32" s="23" t="n">
        <v>0</v>
      </c>
      <c r="K32" s="15" t="str">
        <v>Postítulo</v>
      </c>
      <c r="L32" s="15" t="str">
        <v>B/C: primer año 0 o sin fila; no prueba apertura operativa</v>
      </c>
      <c r="M32" s="15" t="str">
        <v>MAESTRO/oferta_anual; PUBLICA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ht="36" customHeight="1">
      <c r="A33" s="14" t="str">
        <v>2017</v>
      </c>
      <c r="B33" s="14" t="str">
        <v>I162S2C41J2V1</v>
      </c>
      <c r="C33" s="14" t="str">
        <v>DIPLOMADO EN GESTION DE PROYECTOS</v>
      </c>
      <c r="D33" s="14" t="str">
        <v>Santiago</v>
      </c>
      <c r="E33" s="14" t="str">
        <v>Vespertina</v>
      </c>
      <c r="F33" s="14" t="str">
        <v>E: sin sector</v>
      </c>
      <c r="G33" s="21" t="n">
        <v>2</v>
      </c>
      <c r="H33" s="14" t="str">
        <v>Plan Regular</v>
      </c>
      <c r="I33" s="14" t="str">
        <v>Sin fila SIES</v>
      </c>
      <c r="J33" s="21" t="n">
        <v>0</v>
      </c>
      <c r="K33" s="14" t="str">
        <v>Postítulo</v>
      </c>
      <c r="L33" s="14" t="str">
        <v>B/C: primer año 0 o sin fila; no prueba apertura operativa</v>
      </c>
      <c r="M33" s="14" t="str">
        <v>MAESTRO/oferta_anual; PUBLICA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ht="36" customHeight="1">
      <c r="A34" s="15" t="str">
        <v>2018</v>
      </c>
      <c r="B34" s="15" t="str">
        <v>I162S2C22J1V1</v>
      </c>
      <c r="C34" s="15" t="str">
        <v>INGENIERIA EN AUTOMATIZACION Y CONTROL INDUSTRIAL</v>
      </c>
      <c r="D34" s="15" t="str">
        <v>Santiago</v>
      </c>
      <c r="E34" s="15" t="str">
        <v>Diurna</v>
      </c>
      <c r="F34" s="15" t="str">
        <v>E: sin sector</v>
      </c>
      <c r="G34" s="23" t="n">
        <v>8</v>
      </c>
      <c r="H34" s="15" t="str">
        <v>Plan Regular</v>
      </c>
      <c r="I34" s="15" t="str">
        <v>Sin fila SIES</v>
      </c>
      <c r="J34" s="23" t="n">
        <v>0</v>
      </c>
      <c r="K34" s="15" t="str">
        <v>Pregrado</v>
      </c>
      <c r="L34" s="15" t="str">
        <v>B/C: primer año 0 o sin fila; no prueba apertura operativa</v>
      </c>
      <c r="M34" s="15" t="str">
        <v>MAESTRO/oferta_anual; PUBLICA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ht="36" customHeight="1">
      <c r="A35" s="14" t="str">
        <v>2018</v>
      </c>
      <c r="B35" s="14" t="str">
        <v>I162S2C40J2V1</v>
      </c>
      <c r="C35" s="14" t="str">
        <v>DIPLOMADO EN DOCENCIA EN EDUCACION SUPERIOR TECNICO PROFESIONAL</v>
      </c>
      <c r="D35" s="14" t="str">
        <v>Santiago</v>
      </c>
      <c r="E35" s="14" t="str">
        <v>Vespertina</v>
      </c>
      <c r="F35" s="14" t="str">
        <v>E: sin sector</v>
      </c>
      <c r="G35" s="21" t="n">
        <v>2</v>
      </c>
      <c r="H35" s="14" t="str">
        <v>Plan Regular</v>
      </c>
      <c r="I35" s="14" t="str">
        <v>Sin fila SIES</v>
      </c>
      <c r="J35" s="21" t="n">
        <v>0</v>
      </c>
      <c r="K35" s="14" t="str">
        <v>Postítulo</v>
      </c>
      <c r="L35" s="14" t="str">
        <v>B/C: primer año 0 o sin fila; no prueba apertura operativa</v>
      </c>
      <c r="M35" s="14" t="str">
        <v>MAESTRO/oferta_anual; PUBLICA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ht="36" customHeight="1">
      <c r="A36" s="15" t="str">
        <v>2018</v>
      </c>
      <c r="B36" s="15" t="str">
        <v>I162S2C41J2V1</v>
      </c>
      <c r="C36" s="15" t="str">
        <v>DIPLOMADO EN GESTION DE PROYECTOS</v>
      </c>
      <c r="D36" s="15" t="str">
        <v>Santiago</v>
      </c>
      <c r="E36" s="15" t="str">
        <v>Vespertina</v>
      </c>
      <c r="F36" s="15" t="str">
        <v>E: sin sector</v>
      </c>
      <c r="G36" s="23" t="n">
        <v>2</v>
      </c>
      <c r="H36" s="15" t="str">
        <v>Plan Regular</v>
      </c>
      <c r="I36" s="15" t="str">
        <v>Sin fila SIES</v>
      </c>
      <c r="J36" s="23" t="n">
        <v>0</v>
      </c>
      <c r="K36" s="15" t="str">
        <v>Postítulo</v>
      </c>
      <c r="L36" s="15" t="str">
        <v>B/C: primer año 0 o sin fila; no prueba apertura operativa</v>
      </c>
      <c r="M36" s="15" t="str">
        <v>MAESTRO/oferta_anual; PUBLICA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ht="36" customHeight="1">
      <c r="A37" s="14" t="str">
        <v>2019</v>
      </c>
      <c r="B37" s="14" t="str">
        <v>I162S2C22J1V1</v>
      </c>
      <c r="C37" s="14" t="str">
        <v>INGENIERIA EN AUTOMATIZACION Y CONTROL INDUSTRIAL</v>
      </c>
      <c r="D37" s="14" t="str">
        <v>Santiago</v>
      </c>
      <c r="E37" s="14" t="str">
        <v>Diurna</v>
      </c>
      <c r="F37" s="14" t="str">
        <v>E: sin sector</v>
      </c>
      <c r="G37" s="21" t="n">
        <v>8</v>
      </c>
      <c r="H37" s="14" t="str">
        <v>Plan Regular</v>
      </c>
      <c r="I37" s="14" t="str">
        <v>Sin fila SIES</v>
      </c>
      <c r="J37" s="21" t="n">
        <v>0</v>
      </c>
      <c r="K37" s="14" t="str">
        <v>Pregrado</v>
      </c>
      <c r="L37" s="14" t="str">
        <v>B/C: primer año 0 o sin fila; no prueba apertura operativa</v>
      </c>
      <c r="M37" s="14" t="str">
        <v>MAESTRO/oferta_anual; PUBLICA</v>
      </c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ht="36" customHeight="1">
      <c r="A38" s="15" t="str">
        <v>2019</v>
      </c>
      <c r="B38" s="15" t="str">
        <v>I162S2C3J1V2</v>
      </c>
      <c r="C38" s="15" t="str">
        <v>INGENIERIA EN CONECTIVIDAD Y REDES</v>
      </c>
      <c r="D38" s="15" t="str">
        <v>Santiago</v>
      </c>
      <c r="E38" s="15" t="str">
        <v>Diurna</v>
      </c>
      <c r="F38" s="15" t="str">
        <v>Tecnologías</v>
      </c>
      <c r="G38" s="23" t="n">
        <v>8</v>
      </c>
      <c r="H38" s="15" t="str">
        <v>Plan Regular</v>
      </c>
      <c r="I38" s="15" t="str">
        <v>Sin fila SIES</v>
      </c>
      <c r="J38" s="23" t="n">
        <v>0</v>
      </c>
      <c r="K38" s="15" t="str">
        <v>Pregrado</v>
      </c>
      <c r="L38" s="15" t="str">
        <v>B/C: primer año 0 o sin fila; no prueba apertura operativa</v>
      </c>
      <c r="M38" s="15" t="str">
        <v>MAESTRO/oferta_anual; PUBLICA</v>
      </c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ht="36" customHeight="1">
      <c r="A39" s="14" t="str">
        <v>2019</v>
      </c>
      <c r="B39" s="14" t="str">
        <v>I162S2C40J2V1</v>
      </c>
      <c r="C39" s="14" t="str">
        <v>DIPLOMADO EN DOCENCIA EN EDUCACION SUPERIOR TECNICO PROFESIONAL</v>
      </c>
      <c r="D39" s="14" t="str">
        <v>Santiago</v>
      </c>
      <c r="E39" s="14" t="str">
        <v>Vespertina</v>
      </c>
      <c r="F39" s="14" t="str">
        <v>E: sin sector</v>
      </c>
      <c r="G39" s="21" t="n">
        <v>2</v>
      </c>
      <c r="H39" s="14" t="str">
        <v>Plan Regular</v>
      </c>
      <c r="I39" s="14" t="str">
        <v>Sin fila SIES</v>
      </c>
      <c r="J39" s="21" t="n">
        <v>0</v>
      </c>
      <c r="K39" s="14" t="str">
        <v>Postítulo</v>
      </c>
      <c r="L39" s="14" t="str">
        <v>B/C: primer año 0 o sin fila; no prueba apertura operativa</v>
      </c>
      <c r="M39" s="14" t="str">
        <v>MAESTRO/oferta_anual; PUBLICA</v>
      </c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ht="36" customHeight="1">
      <c r="A40" s="15" t="str">
        <v>2019</v>
      </c>
      <c r="B40" s="15" t="str">
        <v>I162S2C41J2V1</v>
      </c>
      <c r="C40" s="15" t="str">
        <v>DIPLOMADO EN GESTION DE PROYECTOS</v>
      </c>
      <c r="D40" s="15" t="str">
        <v>Santiago</v>
      </c>
      <c r="E40" s="15" t="str">
        <v>Vespertina</v>
      </c>
      <c r="F40" s="15" t="str">
        <v>E: sin sector</v>
      </c>
      <c r="G40" s="23" t="n">
        <v>2</v>
      </c>
      <c r="H40" s="15" t="str">
        <v>Plan Regular</v>
      </c>
      <c r="I40" s="15" t="str">
        <v>Sin fila SIES</v>
      </c>
      <c r="J40" s="23" t="n">
        <v>0</v>
      </c>
      <c r="K40" s="15" t="str">
        <v>Postítulo</v>
      </c>
      <c r="L40" s="15" t="str">
        <v>B/C: primer año 0 o sin fila; no prueba apertura operativa</v>
      </c>
      <c r="M40" s="15" t="str">
        <v>MAESTRO/oferta_anual; PUBLICA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ht="36" customHeight="1">
      <c r="A41" s="14" t="str">
        <v>2019</v>
      </c>
      <c r="B41" s="14" t="str">
        <v>I162S2C46J1V1</v>
      </c>
      <c r="C41" s="14" t="str">
        <v>INGENIERIA EN CIBERSEGURIDAD</v>
      </c>
      <c r="D41" s="14" t="str">
        <v>Santiago</v>
      </c>
      <c r="E41" s="14" t="str">
        <v>Diurna</v>
      </c>
      <c r="F41" s="14" t="str">
        <v>Tecnologías</v>
      </c>
      <c r="G41" s="21" t="n">
        <v>8</v>
      </c>
      <c r="H41" s="14" t="str">
        <v>Plan Regular</v>
      </c>
      <c r="I41" s="14" t="str">
        <v>Sin fila SIES</v>
      </c>
      <c r="J41" s="21" t="n">
        <v>0</v>
      </c>
      <c r="K41" s="14" t="str">
        <v>Pregrado</v>
      </c>
      <c r="L41" s="14" t="str">
        <v>B/C: primer año 0 o sin fila; no prueba apertura operativa</v>
      </c>
      <c r="M41" s="14" t="str">
        <v>MAESTRO/oferta_anual; PUBLICA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ht="36" customHeight="1">
      <c r="A42" s="15" t="str">
        <v>2019</v>
      </c>
      <c r="B42" s="15" t="str">
        <v>I162S2C47J1V1</v>
      </c>
      <c r="C42" s="15" t="str">
        <v>TECNICO EN CIBERSEGURIDAD</v>
      </c>
      <c r="D42" s="15" t="str">
        <v>Santiago</v>
      </c>
      <c r="E42" s="15" t="str">
        <v>Diurna</v>
      </c>
      <c r="F42" s="15" t="str">
        <v>Tecnologías</v>
      </c>
      <c r="G42" s="23" t="n">
        <v>5</v>
      </c>
      <c r="H42" s="15" t="str">
        <v>Plan Regular</v>
      </c>
      <c r="I42" s="15" t="str">
        <v>Sin fila SIES</v>
      </c>
      <c r="J42" s="23" t="n">
        <v>0</v>
      </c>
      <c r="K42" s="15" t="str">
        <v>Pregrado</v>
      </c>
      <c r="L42" s="15" t="str">
        <v>B/C: primer año 0 o sin fila; no prueba apertura operativa</v>
      </c>
      <c r="M42" s="15" t="str">
        <v>MAESTRO/oferta_anual; PUBLICA</v>
      </c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ht="36" customHeight="1">
      <c r="A43" s="14" t="str">
        <v>2019</v>
      </c>
      <c r="B43" s="14" t="str">
        <v>I162S2C48J4V1</v>
      </c>
      <c r="C43" s="14" t="str">
        <v>TECNICO EN CONTROL INDUSTRIAL</v>
      </c>
      <c r="D43" s="14" t="str">
        <v>Santiago</v>
      </c>
      <c r="E43" s="14" t="str">
        <v>A distancia</v>
      </c>
      <c r="F43" s="14" t="str">
        <v>E: sin sector</v>
      </c>
      <c r="G43" s="21" t="n">
        <v>5</v>
      </c>
      <c r="H43" s="14" t="str">
        <v>Plan Regular</v>
      </c>
      <c r="I43" s="14" t="str">
        <v>Sin fila SIES</v>
      </c>
      <c r="J43" s="21" t="n">
        <v>0</v>
      </c>
      <c r="K43" s="14" t="str">
        <v>Pregrado</v>
      </c>
      <c r="L43" s="14" t="str">
        <v>B/C: primer año 0 o sin fila; no prueba apertura operativa</v>
      </c>
      <c r="M43" s="14" t="str">
        <v>MAESTRO/oferta_anual; PUBLICA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ht="36" customHeight="1">
      <c r="A44" s="15" t="str">
        <v>2020</v>
      </c>
      <c r="B44" s="15" t="str">
        <v>I162S2C11J1V1</v>
      </c>
      <c r="C44" s="15" t="str">
        <v>TECNICO EN AUTOMATIZACION Y CONTROL INDUSTRIAL</v>
      </c>
      <c r="D44" s="15" t="str">
        <v>Santiago</v>
      </c>
      <c r="E44" s="15" t="str">
        <v>Diurna</v>
      </c>
      <c r="F44" s="15" t="str">
        <v>E: sin sector</v>
      </c>
      <c r="G44" s="23" t="n">
        <v>5</v>
      </c>
      <c r="H44" s="15" t="str">
        <v>Plan Regular</v>
      </c>
      <c r="I44" s="15" t="str">
        <v>Sin fila SIES</v>
      </c>
      <c r="J44" s="23" t="n">
        <v>0</v>
      </c>
      <c r="K44" s="15" t="str">
        <v>Pregrado</v>
      </c>
      <c r="L44" s="15" t="str">
        <v>B/C: primer año 0 o sin fila; no prueba apertura operativa</v>
      </c>
      <c r="M44" s="15" t="str">
        <v>MAESTRO/oferta_anual; PUBLICA</v>
      </c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ht="36" customHeight="1">
      <c r="A45" s="14" t="str">
        <v>2020</v>
      </c>
      <c r="B45" s="14" t="str">
        <v>I162S2C3J4V3</v>
      </c>
      <c r="C45" s="14" t="str">
        <v>INGENIERIA EN CONECTIVIDAD Y REDES</v>
      </c>
      <c r="D45" s="14" t="str">
        <v>Santiago</v>
      </c>
      <c r="E45" s="14" t="str">
        <v>A distancia</v>
      </c>
      <c r="F45" s="14" t="str">
        <v>Tecnologías</v>
      </c>
      <c r="G45" s="21" t="n">
        <v>4</v>
      </c>
      <c r="H45" s="14" t="str">
        <v>Plan Regular de Continuidad</v>
      </c>
      <c r="I45" s="14" t="str">
        <v>Sin fila SIES</v>
      </c>
      <c r="J45" s="21" t="n">
        <v>0</v>
      </c>
      <c r="K45" s="14" t="str">
        <v>Pregrado</v>
      </c>
      <c r="L45" s="14" t="str">
        <v>B/C: primer año 0 o sin fila; no prueba apertura operativa</v>
      </c>
      <c r="M45" s="14" t="str">
        <v>MAESTRO/oferta_anual; PUBLICA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ht="36" customHeight="1">
      <c r="A46" s="15" t="str">
        <v>2020</v>
      </c>
      <c r="B46" s="15" t="str">
        <v>I162S2C40J2V1</v>
      </c>
      <c r="C46" s="15" t="str">
        <v>DIPLOMADO EN DOCENCIA EN EDUCACION SUPERIOR TECNICO PROFESIONAL</v>
      </c>
      <c r="D46" s="15" t="str">
        <v>Santiago</v>
      </c>
      <c r="E46" s="15" t="str">
        <v>Vespertina</v>
      </c>
      <c r="F46" s="15" t="str">
        <v>E: sin sector</v>
      </c>
      <c r="G46" s="23" t="n">
        <v>2</v>
      </c>
      <c r="H46" s="15" t="str">
        <v>Plan Regular</v>
      </c>
      <c r="I46" s="15" t="str">
        <v>Sin fila SIES</v>
      </c>
      <c r="J46" s="23" t="n">
        <v>0</v>
      </c>
      <c r="K46" s="15" t="str">
        <v>Postítulo</v>
      </c>
      <c r="L46" s="15" t="str">
        <v>B/C: primer año 0 o sin fila; no prueba apertura operativa</v>
      </c>
      <c r="M46" s="15" t="str">
        <v>MAESTRO/oferta_anual; PUBLICA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ht="36" customHeight="1">
      <c r="A47" s="14" t="str">
        <v>2020</v>
      </c>
      <c r="B47" s="14" t="str">
        <v>I162S2C48J4V1</v>
      </c>
      <c r="C47" s="14" t="str">
        <v>TECNICO EN CONTROL INDUSTRIAL</v>
      </c>
      <c r="D47" s="14" t="str">
        <v>Santiago</v>
      </c>
      <c r="E47" s="14" t="str">
        <v>A distancia</v>
      </c>
      <c r="F47" s="14" t="str">
        <v>E: sin sector</v>
      </c>
      <c r="G47" s="21" t="n">
        <v>5</v>
      </c>
      <c r="H47" s="14" t="str">
        <v>Plan Regular</v>
      </c>
      <c r="I47" s="14" t="str">
        <v>Sin fila SIES</v>
      </c>
      <c r="J47" s="21" t="n">
        <v>0</v>
      </c>
      <c r="K47" s="14" t="str">
        <v>Pregrado</v>
      </c>
      <c r="L47" s="14" t="str">
        <v>B/C: primer año 0 o sin fila; no prueba apertura operativa</v>
      </c>
      <c r="M47" s="14" t="str">
        <v>MAESTRO/oferta_anual; PUBLICA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ht="36" customHeight="1">
      <c r="A48" s="15" t="str">
        <v>2021</v>
      </c>
      <c r="B48" s="15" t="str">
        <v>I162S2C11J1V1</v>
      </c>
      <c r="C48" s="15" t="str">
        <v>TECNICO EN AUTOMATIZACION Y CONTROL INDUSTRIAL</v>
      </c>
      <c r="D48" s="15" t="str">
        <v>Santiago</v>
      </c>
      <c r="E48" s="15" t="str">
        <v>Diurna</v>
      </c>
      <c r="F48" s="15" t="str">
        <v>E: sin sector</v>
      </c>
      <c r="G48" s="23" t="n">
        <v>5</v>
      </c>
      <c r="H48" s="15" t="str">
        <v>Plan Regular</v>
      </c>
      <c r="I48" s="15" t="str">
        <v>Sin fila SIES</v>
      </c>
      <c r="J48" s="23" t="n">
        <v>0</v>
      </c>
      <c r="K48" s="15" t="str">
        <v>Pregrado</v>
      </c>
      <c r="L48" s="15" t="str">
        <v>B/C: primer año 0 o sin fila; no prueba apertura operativa</v>
      </c>
      <c r="M48" s="15" t="str">
        <v>MAESTRO/oferta_anual; PUBLICA</v>
      </c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ht="36" customHeight="1">
      <c r="A49" s="14" t="str">
        <v>2021</v>
      </c>
      <c r="B49" s="14" t="str">
        <v>I162S2C22J1V1</v>
      </c>
      <c r="C49" s="14" t="str">
        <v>INGENIERIA EN AUTOMATIZACION Y CONTROL INDUSTRIAL</v>
      </c>
      <c r="D49" s="14" t="str">
        <v>Santiago</v>
      </c>
      <c r="E49" s="14" t="str">
        <v>Diurna</v>
      </c>
      <c r="F49" s="14" t="str">
        <v>E: sin sector</v>
      </c>
      <c r="G49" s="21" t="n">
        <v>8</v>
      </c>
      <c r="H49" s="14" t="str">
        <v>Plan Regular</v>
      </c>
      <c r="I49" s="14" t="str">
        <v>Sin fila SIES</v>
      </c>
      <c r="J49" s="21" t="n">
        <v>0</v>
      </c>
      <c r="K49" s="14" t="str">
        <v>Pregrado</v>
      </c>
      <c r="L49" s="14" t="str">
        <v>B/C: primer año 0 o sin fila; no prueba apertura operativa</v>
      </c>
      <c r="M49" s="14" t="str">
        <v>MAESTRO/oferta_anual; PUBLICA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ht="36" customHeight="1">
      <c r="A50" s="15" t="str">
        <v>2021</v>
      </c>
      <c r="B50" s="15" t="str">
        <v>I162S2C3J1V1</v>
      </c>
      <c r="C50" s="15" t="str">
        <v>INGENIERIA EN CONECTIVIDAD Y REDES</v>
      </c>
      <c r="D50" s="15" t="str">
        <v>Santiago</v>
      </c>
      <c r="E50" s="15" t="str">
        <v>Diurna</v>
      </c>
      <c r="F50" s="15" t="str">
        <v>Tecnologías</v>
      </c>
      <c r="G50" s="23" t="n">
        <v>8</v>
      </c>
      <c r="H50" s="15" t="str">
        <v>Plan Regular</v>
      </c>
      <c r="I50" s="15" t="str">
        <v>Sin fila SIES</v>
      </c>
      <c r="J50" s="23" t="n">
        <v>0</v>
      </c>
      <c r="K50" s="15" t="str">
        <v>Pregrado</v>
      </c>
      <c r="L50" s="15" t="str">
        <v>B/C: primer año 0 o sin fila; no prueba apertura operativa</v>
      </c>
      <c r="M50" s="15" t="str">
        <v>MAESTRO/oferta_anual; PUBLICA</v>
      </c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ht="36" customHeight="1">
      <c r="A51" s="14" t="str">
        <v>2021</v>
      </c>
      <c r="B51" s="14" t="str">
        <v>I162S2C3J4V3</v>
      </c>
      <c r="C51" s="14" t="str">
        <v>INGENIERIA EN CONECTIVIDAD Y REDES</v>
      </c>
      <c r="D51" s="14" t="str">
        <v>Santiago</v>
      </c>
      <c r="E51" s="14" t="str">
        <v>A distancia</v>
      </c>
      <c r="F51" s="14" t="str">
        <v>Tecnologías</v>
      </c>
      <c r="G51" s="21" t="n">
        <v>4</v>
      </c>
      <c r="H51" s="14" t="str">
        <v>Plan Regular de Continuidad</v>
      </c>
      <c r="I51" s="14" t="str">
        <v>Sin fila SIES</v>
      </c>
      <c r="J51" s="21" t="n">
        <v>0</v>
      </c>
      <c r="K51" s="14" t="str">
        <v>Pregrado</v>
      </c>
      <c r="L51" s="14" t="str">
        <v>B/C: primer año 0 o sin fila; no prueba apertura operativa</v>
      </c>
      <c r="M51" s="14" t="str">
        <v>MAESTRO/oferta_anual; PUBLICA</v>
      </c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ht="36" customHeight="1">
      <c r="A52" s="15" t="str">
        <v>2021</v>
      </c>
      <c r="B52" s="15" t="str">
        <v>I162S2C40J2V1</v>
      </c>
      <c r="C52" s="15" t="str">
        <v>DIPLOMADO EN DOCENCIA EN EDUCACION SUPERIOR TECNICO PROFESIONAL</v>
      </c>
      <c r="D52" s="15" t="str">
        <v>Santiago</v>
      </c>
      <c r="E52" s="15" t="str">
        <v>Vespertina</v>
      </c>
      <c r="F52" s="15" t="str">
        <v>E: sin sector</v>
      </c>
      <c r="G52" s="23" t="n">
        <v>2</v>
      </c>
      <c r="H52" s="15" t="str">
        <v>Plan Regular</v>
      </c>
      <c r="I52" s="15" t="str">
        <v>Sin fila SIES</v>
      </c>
      <c r="J52" s="23" t="n">
        <v>0</v>
      </c>
      <c r="K52" s="15" t="str">
        <v>Postítulo</v>
      </c>
      <c r="L52" s="15" t="str">
        <v>B/C: primer año 0 o sin fila; no prueba apertura operativa</v>
      </c>
      <c r="M52" s="15" t="str">
        <v>MAESTRO/oferta_anual; PUBLICA</v>
      </c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ht="36" customHeight="1">
      <c r="A53" s="14" t="str">
        <v>2021</v>
      </c>
      <c r="B53" s="14" t="str">
        <v>I162S2C46J4V3</v>
      </c>
      <c r="C53" s="14" t="str">
        <v>INGENIERIA EN CIBERSEGURIDAD</v>
      </c>
      <c r="D53" s="14" t="str">
        <v>Santiago</v>
      </c>
      <c r="E53" s="14" t="str">
        <v>A distancia</v>
      </c>
      <c r="F53" s="14" t="str">
        <v>Tecnologías</v>
      </c>
      <c r="G53" s="21" t="n">
        <v>8</v>
      </c>
      <c r="H53" s="14" t="str">
        <v>Plan Regular</v>
      </c>
      <c r="I53" s="14" t="str">
        <v>Sin fila SIES</v>
      </c>
      <c r="J53" s="21" t="n">
        <v>0</v>
      </c>
      <c r="K53" s="14" t="str">
        <v>Pregrado</v>
      </c>
      <c r="L53" s="14" t="str">
        <v>B/C: primer año 0 o sin fila; no prueba apertura operativa</v>
      </c>
      <c r="M53" s="14" t="str">
        <v>MAESTRO/oferta_anual; PUBLICA</v>
      </c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ht="36" customHeight="1">
      <c r="A54" s="15" t="str">
        <v>2021</v>
      </c>
      <c r="B54" s="15" t="str">
        <v>I162S2C48J4V1</v>
      </c>
      <c r="C54" s="15" t="str">
        <v>TECNICO EN CONTROL INDUSTRIAL</v>
      </c>
      <c r="D54" s="15" t="str">
        <v>Santiago</v>
      </c>
      <c r="E54" s="15" t="str">
        <v>A distancia</v>
      </c>
      <c r="F54" s="15" t="str">
        <v>E: sin sector</v>
      </c>
      <c r="G54" s="23" t="n">
        <v>5</v>
      </c>
      <c r="H54" s="15" t="str">
        <v>Plan Regular</v>
      </c>
      <c r="I54" s="15" t="str">
        <v>Sin fila SIES</v>
      </c>
      <c r="J54" s="23" t="n">
        <v>0</v>
      </c>
      <c r="K54" s="15" t="str">
        <v>Pregrado</v>
      </c>
      <c r="L54" s="15" t="str">
        <v>B/C: primer año 0 o sin fila; no prueba apertura operativa</v>
      </c>
      <c r="M54" s="15" t="str">
        <v>MAESTRO/oferta_anual; PUBLICA</v>
      </c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ht="36" customHeight="1">
      <c r="A55" s="14" t="str">
        <v>2021</v>
      </c>
      <c r="B55" s="14" t="str">
        <v>I162S2C53J3V1</v>
      </c>
      <c r="C55" s="14" t="str">
        <v>DIPLOMADO EN CIBERSEGURIDAD APLICADA</v>
      </c>
      <c r="D55" s="14" t="str">
        <v>Santiago</v>
      </c>
      <c r="E55" s="14" t="str">
        <v>Semipresencial</v>
      </c>
      <c r="F55" s="14" t="str">
        <v>E: sin sector</v>
      </c>
      <c r="G55" s="21" t="n">
        <v>1</v>
      </c>
      <c r="H55" s="14" t="str">
        <v>Plan Regular</v>
      </c>
      <c r="I55" s="14" t="str">
        <v>Sin fila SIES</v>
      </c>
      <c r="J55" s="21" t="n">
        <v>0</v>
      </c>
      <c r="K55" s="14" t="str">
        <v>Postítulo</v>
      </c>
      <c r="L55" s="14" t="str">
        <v>B/C: primer año 0 o sin fila; no prueba apertura operativa</v>
      </c>
      <c r="M55" s="14" t="str">
        <v>MAESTRO/oferta_anual; PUBLICA</v>
      </c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ht="36" customHeight="1">
      <c r="A56" s="15" t="str">
        <v>2022</v>
      </c>
      <c r="B56" s="15" t="str">
        <v>I162S2C11J1V1</v>
      </c>
      <c r="C56" s="15" t="str">
        <v>TECNICO EN AUTOMATIZACION Y CONTROL INDUSTRIAL</v>
      </c>
      <c r="D56" s="15" t="str">
        <v>Santiago</v>
      </c>
      <c r="E56" s="15" t="str">
        <v>Diurna</v>
      </c>
      <c r="F56" s="15" t="str">
        <v>E: sin sector</v>
      </c>
      <c r="G56" s="23" t="n">
        <v>5</v>
      </c>
      <c r="H56" s="15" t="str">
        <v>Plan Regular</v>
      </c>
      <c r="I56" s="15" t="str">
        <v>Sin fila SIES</v>
      </c>
      <c r="J56" s="23" t="n">
        <v>0</v>
      </c>
      <c r="K56" s="15" t="str">
        <v>Pregrado</v>
      </c>
      <c r="L56" s="15" t="str">
        <v>B/C: primer año 0 o sin fila; no prueba apertura operativa</v>
      </c>
      <c r="M56" s="15" t="str">
        <v>MAESTRO/oferta_anual; PUBLICA</v>
      </c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ht="36" customHeight="1">
      <c r="A57" s="14" t="str">
        <v>2022</v>
      </c>
      <c r="B57" s="14" t="str">
        <v>I162S2C11J4V1</v>
      </c>
      <c r="C57" s="14" t="str">
        <v>TECNICO EN AUTOMATIZACION Y CONTROL INDUSTRIAL</v>
      </c>
      <c r="D57" s="14" t="str">
        <v>Santiago</v>
      </c>
      <c r="E57" s="14" t="str">
        <v>A distancia</v>
      </c>
      <c r="F57" s="14" t="str">
        <v>E: sin sector</v>
      </c>
      <c r="G57" s="21" t="n">
        <v>5</v>
      </c>
      <c r="H57" s="14" t="str">
        <v>Plan Regular</v>
      </c>
      <c r="I57" s="14" t="str">
        <v>Sin fila SIES</v>
      </c>
      <c r="J57" s="21" t="n">
        <v>0</v>
      </c>
      <c r="K57" s="14" t="str">
        <v>Pregrado</v>
      </c>
      <c r="L57" s="14" t="str">
        <v>B/C: primer año 0 o sin fila; no prueba apertura operativa</v>
      </c>
      <c r="M57" s="14" t="str">
        <v>MAESTRO/oferta_anual; PUBLICA</v>
      </c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ht="36" customHeight="1">
      <c r="A58" s="15" t="str">
        <v>2022</v>
      </c>
      <c r="B58" s="15" t="str">
        <v>I162S2C1J1V1</v>
      </c>
      <c r="C58" s="15" t="str">
        <v>INGENIERIA EN INFORMATICA</v>
      </c>
      <c r="D58" s="15" t="str">
        <v>Santiago</v>
      </c>
      <c r="E58" s="15" t="str">
        <v>Diurna</v>
      </c>
      <c r="F58" s="15" t="str">
        <v>Tecnologías</v>
      </c>
      <c r="G58" s="23" t="n">
        <v>8</v>
      </c>
      <c r="H58" s="15" t="str">
        <v>Plan Regular</v>
      </c>
      <c r="I58" s="15" t="str">
        <v>Sin fila SIES</v>
      </c>
      <c r="J58" s="23" t="n">
        <v>0</v>
      </c>
      <c r="K58" s="15" t="str">
        <v>Pregrado</v>
      </c>
      <c r="L58" s="15" t="str">
        <v>B/C: primer año 0 o sin fila; no prueba apertura operativa</v>
      </c>
      <c r="M58" s="15" t="str">
        <v>MAESTRO/oferta_anual; PUBLICA</v>
      </c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ht="36" customHeight="1">
      <c r="A59" s="14" t="str">
        <v>2022</v>
      </c>
      <c r="B59" s="14" t="str">
        <v>I162S2C1J2V1</v>
      </c>
      <c r="C59" s="14" t="str">
        <v>INGENIERIA EN INFORMATICA</v>
      </c>
      <c r="D59" s="14" t="str">
        <v>Santiago</v>
      </c>
      <c r="E59" s="14" t="str">
        <v>Vespertina</v>
      </c>
      <c r="F59" s="14" t="str">
        <v>Tecnologías</v>
      </c>
      <c r="G59" s="21" t="n">
        <v>8</v>
      </c>
      <c r="H59" s="14" t="str">
        <v>Plan Regular</v>
      </c>
      <c r="I59" s="14" t="str">
        <v>Sin fila SIES</v>
      </c>
      <c r="J59" s="21" t="n">
        <v>0</v>
      </c>
      <c r="K59" s="14" t="str">
        <v>Pregrado</v>
      </c>
      <c r="L59" s="14" t="str">
        <v>B/C: primer año 0 o sin fila; no prueba apertura operativa</v>
      </c>
      <c r="M59" s="14" t="str">
        <v>MAESTRO/oferta_anual; PUBLICA</v>
      </c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ht="36" customHeight="1">
      <c r="A60" s="15" t="str">
        <v>2022</v>
      </c>
      <c r="B60" s="15" t="str">
        <v>I162S2C22J1V1</v>
      </c>
      <c r="C60" s="15" t="str">
        <v>INGENIERIA EN AUTOMATIZACION Y CONTROL INDUSTRIAL</v>
      </c>
      <c r="D60" s="15" t="str">
        <v>Santiago</v>
      </c>
      <c r="E60" s="15" t="str">
        <v>Diurna</v>
      </c>
      <c r="F60" s="15" t="str">
        <v>E: sin sector</v>
      </c>
      <c r="G60" s="23" t="n">
        <v>8</v>
      </c>
      <c r="H60" s="15" t="str">
        <v>Plan Regular</v>
      </c>
      <c r="I60" s="15" t="str">
        <v>Sin fila SIES</v>
      </c>
      <c r="J60" s="23" t="n">
        <v>0</v>
      </c>
      <c r="K60" s="15" t="str">
        <v>Pregrado</v>
      </c>
      <c r="L60" s="15" t="str">
        <v>B/C: primer año 0 o sin fila; no prueba apertura operativa</v>
      </c>
      <c r="M60" s="15" t="str">
        <v>MAESTRO/oferta_anual; PUBLICA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ht="36" customHeight="1">
      <c r="A61" s="14" t="str">
        <v>2022</v>
      </c>
      <c r="B61" s="14" t="str">
        <v>I162S2C22J4V1</v>
      </c>
      <c r="C61" s="14" t="str">
        <v>INGENIERIA EN AUTOMATIZACION Y CONTROL INDUSTRIAL</v>
      </c>
      <c r="D61" s="14" t="str">
        <v>Santiago</v>
      </c>
      <c r="E61" s="14" t="str">
        <v>A distancia</v>
      </c>
      <c r="F61" s="14" t="str">
        <v>E: sin sector</v>
      </c>
      <c r="G61" s="21" t="n">
        <v>8</v>
      </c>
      <c r="H61" s="14" t="str">
        <v>Plan Regular</v>
      </c>
      <c r="I61" s="14" t="str">
        <v>Sin fila SIES</v>
      </c>
      <c r="J61" s="21" t="n">
        <v>0</v>
      </c>
      <c r="K61" s="14" t="str">
        <v>Pregrado</v>
      </c>
      <c r="L61" s="14" t="str">
        <v>B/C: primer año 0 o sin fila; no prueba apertura operativa</v>
      </c>
      <c r="M61" s="14" t="str">
        <v>MAESTRO/oferta_anual; PUBLICA</v>
      </c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ht="36" customHeight="1">
      <c r="A62" s="15" t="str">
        <v>2022</v>
      </c>
      <c r="B62" s="15" t="str">
        <v>I162S2C3J1V1</v>
      </c>
      <c r="C62" s="15" t="str">
        <v>INGENIERIA EN CONECTIVIDAD Y REDES</v>
      </c>
      <c r="D62" s="15" t="str">
        <v>Santiago</v>
      </c>
      <c r="E62" s="15" t="str">
        <v>Diurna</v>
      </c>
      <c r="F62" s="15" t="str">
        <v>Tecnologías</v>
      </c>
      <c r="G62" s="23" t="n">
        <v>8</v>
      </c>
      <c r="H62" s="15" t="str">
        <v>Plan Regular</v>
      </c>
      <c r="I62" s="15" t="str">
        <v>Sin fila SIES</v>
      </c>
      <c r="J62" s="23" t="n">
        <v>0</v>
      </c>
      <c r="K62" s="15" t="str">
        <v>Pregrado</v>
      </c>
      <c r="L62" s="15" t="str">
        <v>B/C: primer año 0 o sin fila; no prueba apertura operativa</v>
      </c>
      <c r="M62" s="15" t="str">
        <v>MAESTRO/oferta_anual; PUBLICA</v>
      </c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ht="36" customHeight="1">
      <c r="A63" s="14" t="str">
        <v>2022</v>
      </c>
      <c r="B63" s="14" t="str">
        <v>I162S2C3J2V1</v>
      </c>
      <c r="C63" s="14" t="str">
        <v>INGENIERIA EN CONECTIVIDAD Y REDES</v>
      </c>
      <c r="D63" s="14" t="str">
        <v>Santiago</v>
      </c>
      <c r="E63" s="14" t="str">
        <v>Vespertina</v>
      </c>
      <c r="F63" s="14" t="str">
        <v>Tecnologías</v>
      </c>
      <c r="G63" s="21" t="n">
        <v>8</v>
      </c>
      <c r="H63" s="14" t="str">
        <v>Plan Regular</v>
      </c>
      <c r="I63" s="14" t="str">
        <v>Sin fila SIES</v>
      </c>
      <c r="J63" s="21" t="n">
        <v>0</v>
      </c>
      <c r="K63" s="14" t="str">
        <v>Pregrado</v>
      </c>
      <c r="L63" s="14" t="str">
        <v>B/C: primer año 0 o sin fila; no prueba apertura operativa</v>
      </c>
      <c r="M63" s="14" t="str">
        <v>MAESTRO/oferta_anual; PUBLICA</v>
      </c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ht="36" customHeight="1">
      <c r="A64" s="15" t="str">
        <v>2022</v>
      </c>
      <c r="B64" s="15" t="str">
        <v>I162S2C48J4V1</v>
      </c>
      <c r="C64" s="15" t="str">
        <v>TECNICO EN CONTROL INDUSTRIAL</v>
      </c>
      <c r="D64" s="15" t="str">
        <v>Santiago</v>
      </c>
      <c r="E64" s="15" t="str">
        <v>A distancia</v>
      </c>
      <c r="F64" s="15" t="str">
        <v>E: sin sector</v>
      </c>
      <c r="G64" s="23" t="n">
        <v>5</v>
      </c>
      <c r="H64" s="15" t="str">
        <v>Plan Regular</v>
      </c>
      <c r="I64" s="15" t="str">
        <v>Sin fila SIES</v>
      </c>
      <c r="J64" s="23" t="n">
        <v>0</v>
      </c>
      <c r="K64" s="15" t="str">
        <v>Pregrado</v>
      </c>
      <c r="L64" s="15" t="str">
        <v>B/C: primer año 0 o sin fila; no prueba apertura operativa</v>
      </c>
      <c r="M64" s="15" t="str">
        <v>MAESTRO/oferta_anual; PUBLICA</v>
      </c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ht="36" customHeight="1">
      <c r="A65" s="14" t="str">
        <v>2022</v>
      </c>
      <c r="B65" s="14" t="str">
        <v>I162S2C6J4V1</v>
      </c>
      <c r="C65" s="14" t="str">
        <v>TECNICO EN CONECTIVIDAD Y REDES</v>
      </c>
      <c r="D65" s="14" t="str">
        <v>Santiago</v>
      </c>
      <c r="E65" s="14" t="str">
        <v>A distancia</v>
      </c>
      <c r="F65" s="14" t="str">
        <v>Tecnologías</v>
      </c>
      <c r="G65" s="21" t="n">
        <v>5</v>
      </c>
      <c r="H65" s="14" t="str">
        <v>Plan Regular</v>
      </c>
      <c r="I65" s="14" t="str">
        <v>Sin fila SIES</v>
      </c>
      <c r="J65" s="21" t="n">
        <v>0</v>
      </c>
      <c r="K65" s="14" t="str">
        <v>Pregrado</v>
      </c>
      <c r="L65" s="14" t="str">
        <v>B/C: primer año 0 o sin fila; no prueba apertura operativa</v>
      </c>
      <c r="M65" s="14" t="str">
        <v>MAESTRO/oferta_anual; PUBLICA</v>
      </c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ht="36" customHeight="1">
      <c r="A66" s="15" t="str">
        <v>2023</v>
      </c>
      <c r="B66" s="15" t="str">
        <v>I162S2C3J1V2</v>
      </c>
      <c r="C66" s="15" t="str">
        <v>INGENIERIA EN CONECTIVIDAD Y REDES</v>
      </c>
      <c r="D66" s="15" t="str">
        <v>Santiago</v>
      </c>
      <c r="E66" s="15" t="str">
        <v>Diurna</v>
      </c>
      <c r="F66" s="15" t="str">
        <v>Tecnologías</v>
      </c>
      <c r="G66" s="23" t="n">
        <v>8</v>
      </c>
      <c r="H66" s="15" t="str">
        <v>Plan Regular</v>
      </c>
      <c r="I66" s="15" t="str">
        <v>Sin fila SIES</v>
      </c>
      <c r="J66" s="23" t="n">
        <v>0</v>
      </c>
      <c r="K66" s="15" t="str">
        <v>Pregrado</v>
      </c>
      <c r="L66" s="15" t="str">
        <v>B/C: primer año 0 o sin fila; no prueba apertura operativa</v>
      </c>
      <c r="M66" s="15" t="str">
        <v>MAESTRO/oferta_anual; PUBLICA</v>
      </c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ht="36" customHeight="1">
      <c r="A67" s="14" t="str">
        <v>2023</v>
      </c>
      <c r="B67" s="14" t="str">
        <v>I162S2C63J4V1</v>
      </c>
      <c r="C67" s="14" t="str">
        <v>DIPLOMADO EN ARQUITECTURA CLOUD</v>
      </c>
      <c r="D67" s="14" t="str">
        <v>Santiago</v>
      </c>
      <c r="E67" s="14" t="str">
        <v>A distancia</v>
      </c>
      <c r="F67" s="14" t="str">
        <v>E: sin sector</v>
      </c>
      <c r="G67" s="21" t="n">
        <v>1</v>
      </c>
      <c r="H67" s="14" t="str">
        <v>Plan Regular</v>
      </c>
      <c r="I67" s="14" t="str">
        <v>Sin fila SIES</v>
      </c>
      <c r="J67" s="21" t="n">
        <v>0</v>
      </c>
      <c r="K67" s="14" t="str">
        <v>Postítulo</v>
      </c>
      <c r="L67" s="14" t="str">
        <v>B/C: primer año 0 o sin fila; no prueba apertura operativa</v>
      </c>
      <c r="M67" s="14" t="str">
        <v>MAESTRO/oferta_anual; PUBLICA</v>
      </c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ht="36" customHeight="1">
      <c r="A68" s="15" t="str">
        <v>2023</v>
      </c>
      <c r="B68" s="15" t="str">
        <v>I162S2C64J4V1</v>
      </c>
      <c r="C68" s="15" t="str">
        <v>DIPLOMADO EN BACKEND</v>
      </c>
      <c r="D68" s="15" t="str">
        <v>Santiago</v>
      </c>
      <c r="E68" s="15" t="str">
        <v>A distancia</v>
      </c>
      <c r="F68" s="15" t="str">
        <v>E: sin sector</v>
      </c>
      <c r="G68" s="23" t="n">
        <v>1</v>
      </c>
      <c r="H68" s="15" t="str">
        <v>Plan Regular</v>
      </c>
      <c r="I68" s="15" t="str">
        <v>Sin fila SIES</v>
      </c>
      <c r="J68" s="23" t="n">
        <v>0</v>
      </c>
      <c r="K68" s="15" t="str">
        <v>Postítulo</v>
      </c>
      <c r="L68" s="15" t="str">
        <v>B/C: primer año 0 o sin fila; no prueba apertura operativa</v>
      </c>
      <c r="M68" s="15" t="str">
        <v>MAESTRO/oferta_anual; PUBLICA</v>
      </c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ht="36" customHeight="1">
      <c r="A69" s="14" t="str">
        <v>2023</v>
      </c>
      <c r="B69" s="14" t="str">
        <v>I162S2C65J4V1</v>
      </c>
      <c r="C69" s="14" t="str">
        <v>DIPLOMADO EN FRONTEND</v>
      </c>
      <c r="D69" s="14" t="str">
        <v>Santiago</v>
      </c>
      <c r="E69" s="14" t="str">
        <v>A distancia</v>
      </c>
      <c r="F69" s="14" t="str">
        <v>E: sin sector</v>
      </c>
      <c r="G69" s="21" t="n">
        <v>1</v>
      </c>
      <c r="H69" s="14" t="str">
        <v>Plan Regular</v>
      </c>
      <c r="I69" s="14" t="str">
        <v>Sin fila SIES</v>
      </c>
      <c r="J69" s="21" t="n">
        <v>0</v>
      </c>
      <c r="K69" s="14" t="str">
        <v>Postítulo</v>
      </c>
      <c r="L69" s="14" t="str">
        <v>B/C: primer año 0 o sin fila; no prueba apertura operativa</v>
      </c>
      <c r="M69" s="14" t="str">
        <v>MAESTRO/oferta_anual; PUBLICA</v>
      </c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ht="36" customHeight="1">
      <c r="A70" s="15" t="str">
        <v>2023</v>
      </c>
      <c r="B70" s="15" t="str">
        <v>I162S2C66J4V1</v>
      </c>
      <c r="C70" s="15" t="str">
        <v>DIPLOMADO EN FULLSTACK</v>
      </c>
      <c r="D70" s="15" t="str">
        <v>Santiago</v>
      </c>
      <c r="E70" s="15" t="str">
        <v>A distancia</v>
      </c>
      <c r="F70" s="15" t="str">
        <v>E: sin sector</v>
      </c>
      <c r="G70" s="23" t="n">
        <v>1</v>
      </c>
      <c r="H70" s="15" t="str">
        <v>Plan Regular</v>
      </c>
      <c r="I70" s="15" t="str">
        <v>Sin fila SIES</v>
      </c>
      <c r="J70" s="23" t="n">
        <v>0</v>
      </c>
      <c r="K70" s="15" t="str">
        <v>Postítulo</v>
      </c>
      <c r="L70" s="15" t="str">
        <v>B/C: primer año 0 o sin fila; no prueba apertura operativa</v>
      </c>
      <c r="M70" s="15" t="str">
        <v>MAESTRO/oferta_anual; PUBLICA</v>
      </c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ht="36" customHeight="1">
      <c r="A71" s="14" t="str">
        <v>2023</v>
      </c>
      <c r="B71" s="14" t="str">
        <v>I162S2C67J4V1</v>
      </c>
      <c r="C71" s="14" t="str">
        <v>DIPLOMADO EN QUALITY ASSURANCE</v>
      </c>
      <c r="D71" s="14" t="str">
        <v>Santiago</v>
      </c>
      <c r="E71" s="14" t="str">
        <v>A distancia</v>
      </c>
      <c r="F71" s="14" t="str">
        <v>E: sin sector</v>
      </c>
      <c r="G71" s="21" t="n">
        <v>1</v>
      </c>
      <c r="H71" s="14" t="str">
        <v>Plan Regular</v>
      </c>
      <c r="I71" s="14" t="str">
        <v>Sin fila SIES</v>
      </c>
      <c r="J71" s="21" t="n">
        <v>0</v>
      </c>
      <c r="K71" s="14" t="str">
        <v>Postítulo</v>
      </c>
      <c r="L71" s="14" t="str">
        <v>B/C: primer año 0 o sin fila; no prueba apertura operativa</v>
      </c>
      <c r="M71" s="14" t="str">
        <v>MAESTRO/oferta_anual; PUBLICA</v>
      </c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ht="36" customHeight="1">
      <c r="A72" s="15" t="str">
        <v>2023</v>
      </c>
      <c r="B72" s="15" t="str">
        <v>I162S2C68J4V1</v>
      </c>
      <c r="C72" s="15" t="str">
        <v>DIPLOMADO EN SEGURIDAD OFENSIVA</v>
      </c>
      <c r="D72" s="15" t="str">
        <v>Santiago</v>
      </c>
      <c r="E72" s="15" t="str">
        <v>A distancia</v>
      </c>
      <c r="F72" s="15" t="str">
        <v>E: sin sector</v>
      </c>
      <c r="G72" s="23" t="n">
        <v>1</v>
      </c>
      <c r="H72" s="15" t="str">
        <v>Plan Regular</v>
      </c>
      <c r="I72" s="15" t="str">
        <v>Sin fila SIES</v>
      </c>
      <c r="J72" s="23" t="n">
        <v>0</v>
      </c>
      <c r="K72" s="15" t="str">
        <v>Postítulo</v>
      </c>
      <c r="L72" s="15" t="str">
        <v>B/C: primer año 0 o sin fila; no prueba apertura operativa</v>
      </c>
      <c r="M72" s="15" t="str">
        <v>MAESTRO/oferta_anual; PUBLICA</v>
      </c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ht="36" customHeight="1">
      <c r="A73" s="14" t="str">
        <v>2023</v>
      </c>
      <c r="B73" s="14" t="str">
        <v>I162S2C69J4V1</v>
      </c>
      <c r="C73" s="14" t="str">
        <v>DIPLOMADO INFRAESTRUCTURA CLOUD</v>
      </c>
      <c r="D73" s="14" t="str">
        <v>Santiago</v>
      </c>
      <c r="E73" s="14" t="str">
        <v>A distancia</v>
      </c>
      <c r="F73" s="14" t="str">
        <v>E: sin sector</v>
      </c>
      <c r="G73" s="21" t="n">
        <v>1</v>
      </c>
      <c r="H73" s="14" t="str">
        <v>Plan Regular</v>
      </c>
      <c r="I73" s="14" t="str">
        <v>Sin fila SIES</v>
      </c>
      <c r="J73" s="21" t="n">
        <v>0</v>
      </c>
      <c r="K73" s="14" t="str">
        <v>Postítulo</v>
      </c>
      <c r="L73" s="14" t="str">
        <v>B/C: primer año 0 o sin fila; no prueba apertura operativa</v>
      </c>
      <c r="M73" s="14" t="str">
        <v>MAESTRO/oferta_anual; PUBLICA</v>
      </c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ht="36" customHeight="1">
      <c r="A74" s="15" t="str">
        <v>2023</v>
      </c>
      <c r="B74" s="15" t="str">
        <v>I162S2C70J4V1</v>
      </c>
      <c r="C74" s="15" t="str">
        <v>DIPLOMADO REDES INDUSTRIALES</v>
      </c>
      <c r="D74" s="15" t="str">
        <v>Santiago</v>
      </c>
      <c r="E74" s="15" t="str">
        <v>A distancia</v>
      </c>
      <c r="F74" s="15" t="str">
        <v>E: sin sector</v>
      </c>
      <c r="G74" s="23" t="n">
        <v>1</v>
      </c>
      <c r="H74" s="15" t="str">
        <v>Plan Regular</v>
      </c>
      <c r="I74" s="15" t="str">
        <v>Sin fila SIES</v>
      </c>
      <c r="J74" s="23" t="n">
        <v>0</v>
      </c>
      <c r="K74" s="15" t="str">
        <v>Postítulo</v>
      </c>
      <c r="L74" s="15" t="str">
        <v>B/C: primer año 0 o sin fila; no prueba apertura operativa</v>
      </c>
      <c r="M74" s="15" t="str">
        <v>MAESTRO/oferta_anual; PUBLICA</v>
      </c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ht="36" customHeight="1">
      <c r="A75" s="14" t="str">
        <v>2023</v>
      </c>
      <c r="B75" s="14" t="str">
        <v>I162S2C71J4V1</v>
      </c>
      <c r="C75" s="14" t="str">
        <v>DIPLOMADO SEGURIDAD EN ARQUITECTURA DE REDES</v>
      </c>
      <c r="D75" s="14" t="str">
        <v>Santiago</v>
      </c>
      <c r="E75" s="14" t="str">
        <v>A distancia</v>
      </c>
      <c r="F75" s="14" t="str">
        <v>E: sin sector</v>
      </c>
      <c r="G75" s="21" t="n">
        <v>1</v>
      </c>
      <c r="H75" s="14" t="str">
        <v>Plan Regular</v>
      </c>
      <c r="I75" s="14" t="str">
        <v>Sin fila SIES</v>
      </c>
      <c r="J75" s="21" t="n">
        <v>0</v>
      </c>
      <c r="K75" s="14" t="str">
        <v>Postítulo</v>
      </c>
      <c r="L75" s="14" t="str">
        <v>B/C: primer año 0 o sin fila; no prueba apertura operativa</v>
      </c>
      <c r="M75" s="14" t="str">
        <v>MAESTRO/oferta_anual; PUBLICA</v>
      </c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ht="36" customHeight="1">
      <c r="A76" s="15" t="str">
        <v>2024</v>
      </c>
      <c r="B76" s="15" t="str">
        <v>I162S2C11J1V1</v>
      </c>
      <c r="C76" s="15" t="str">
        <v>TECNICO EN AUTOMATIZACION Y CONTROL INDUSTRIAL</v>
      </c>
      <c r="D76" s="15" t="str">
        <v>Santiago</v>
      </c>
      <c r="E76" s="15" t="str">
        <v>Diurna</v>
      </c>
      <c r="F76" s="15" t="str">
        <v>E: sin sector</v>
      </c>
      <c r="G76" s="23" t="n">
        <v>5</v>
      </c>
      <c r="H76" s="15" t="str">
        <v>Plan Regular</v>
      </c>
      <c r="I76" s="15" t="str">
        <v>Sin fila SIES</v>
      </c>
      <c r="J76" s="23" t="n">
        <v>0</v>
      </c>
      <c r="K76" s="15" t="str">
        <v>Pregrado</v>
      </c>
      <c r="L76" s="15" t="str">
        <v>B/C: primer año 0 o sin fila; no prueba apertura operativa</v>
      </c>
      <c r="M76" s="15" t="str">
        <v>MAESTRO/oferta_anual; PUBLICA</v>
      </c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ht="36" customHeight="1">
      <c r="A77" s="14" t="str">
        <v>2024</v>
      </c>
      <c r="B77" s="14" t="str">
        <v>I162S2C11J2V1</v>
      </c>
      <c r="C77" s="14" t="str">
        <v>TECNICO EN AUTOMATIZACION Y CONTROL INDUSTRIAL</v>
      </c>
      <c r="D77" s="14" t="str">
        <v>Santiago</v>
      </c>
      <c r="E77" s="14" t="str">
        <v>Vespertina</v>
      </c>
      <c r="F77" s="14" t="str">
        <v>E: sin sector</v>
      </c>
      <c r="G77" s="21" t="n">
        <v>5</v>
      </c>
      <c r="H77" s="14" t="str">
        <v>Plan Regular</v>
      </c>
      <c r="I77" s="14" t="str">
        <v>Sin fila SIES</v>
      </c>
      <c r="J77" s="21" t="n">
        <v>0</v>
      </c>
      <c r="K77" s="14" t="str">
        <v>Pregrado</v>
      </c>
      <c r="L77" s="14" t="str">
        <v>B/C: primer año 0 o sin fila; no prueba apertura operativa</v>
      </c>
      <c r="M77" s="14" t="str">
        <v>MAESTRO/oferta_anual; PUBLICA</v>
      </c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ht="36" customHeight="1">
      <c r="A78" s="15" t="str">
        <v>2024</v>
      </c>
      <c r="B78" s="15" t="str">
        <v>I162S2C22J1V1</v>
      </c>
      <c r="C78" s="15" t="str">
        <v>INGENIERIA EN AUTOMATIZACION Y CONTROL INDUSTRIAL</v>
      </c>
      <c r="D78" s="15" t="str">
        <v>Santiago</v>
      </c>
      <c r="E78" s="15" t="str">
        <v>Diurna</v>
      </c>
      <c r="F78" s="15" t="str">
        <v>E: sin sector</v>
      </c>
      <c r="G78" s="23" t="n">
        <v>8</v>
      </c>
      <c r="H78" s="15" t="str">
        <v>Plan Regular</v>
      </c>
      <c r="I78" s="15" t="str">
        <v>Sin fila SIES</v>
      </c>
      <c r="J78" s="23" t="n">
        <v>0</v>
      </c>
      <c r="K78" s="15" t="str">
        <v>Pregrado</v>
      </c>
      <c r="L78" s="15" t="str">
        <v>B/C: primer año 0 o sin fila; no prueba apertura operativa</v>
      </c>
      <c r="M78" s="15" t="str">
        <v>MAESTRO/oferta_anual; PUBLICA</v>
      </c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ht="36" customHeight="1">
      <c r="A79" s="14" t="str">
        <v>2024</v>
      </c>
      <c r="B79" s="14" t="str">
        <v>I162S2C22J2V1</v>
      </c>
      <c r="C79" s="14" t="str">
        <v>INGENIERIA EN AUTOMATIZACION Y CONTROL INDUSTRIAL</v>
      </c>
      <c r="D79" s="14" t="str">
        <v>Santiago</v>
      </c>
      <c r="E79" s="14" t="str">
        <v>Vespertina</v>
      </c>
      <c r="F79" s="14" t="str">
        <v>E: sin sector</v>
      </c>
      <c r="G79" s="21" t="n">
        <v>8</v>
      </c>
      <c r="H79" s="14" t="str">
        <v>Plan Regular</v>
      </c>
      <c r="I79" s="14" t="str">
        <v>Sin fila SIES</v>
      </c>
      <c r="J79" s="21" t="n">
        <v>0</v>
      </c>
      <c r="K79" s="14" t="str">
        <v>Pregrado</v>
      </c>
      <c r="L79" s="14" t="str">
        <v>B/C: primer año 0 o sin fila; no prueba apertura operativa</v>
      </c>
      <c r="M79" s="14" t="str">
        <v>MAESTRO/oferta_anual; PUBLICA</v>
      </c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ht="36" customHeight="1">
      <c r="A80" s="15" t="str">
        <v>2024</v>
      </c>
      <c r="B80" s="15" t="str">
        <v>I162S2C22J4V2</v>
      </c>
      <c r="C80" s="15" t="str">
        <v>INGENIERIA EN AUTOMATIZACION Y CONTROL INDUSTRIAL</v>
      </c>
      <c r="D80" s="15" t="str">
        <v>Santiago</v>
      </c>
      <c r="E80" s="15" t="str">
        <v>A distancia</v>
      </c>
      <c r="F80" s="15" t="str">
        <v>E: sin sector</v>
      </c>
      <c r="G80" s="23" t="n">
        <v>4</v>
      </c>
      <c r="H80" s="15" t="str">
        <v>Plan Regular de Continuidad</v>
      </c>
      <c r="I80" s="15" t="str">
        <v>Sin fila SIES</v>
      </c>
      <c r="J80" s="23" t="n">
        <v>0</v>
      </c>
      <c r="K80" s="15" t="str">
        <v>Pregrado</v>
      </c>
      <c r="L80" s="15" t="str">
        <v>B/C: primer año 0 o sin fila; no prueba apertura operativa</v>
      </c>
      <c r="M80" s="15" t="str">
        <v>MAESTRO/oferta_anual; PUBLICA</v>
      </c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ht="36" customHeight="1">
      <c r="A81" s="14" t="str">
        <v>2024</v>
      </c>
      <c r="B81" s="14" t="str">
        <v>I162S2C3J1V2</v>
      </c>
      <c r="C81" s="14" t="str">
        <v>INGENIERIA EN CONECTIVIDAD Y REDES</v>
      </c>
      <c r="D81" s="14" t="str">
        <v>Santiago</v>
      </c>
      <c r="E81" s="14" t="str">
        <v>Diurna</v>
      </c>
      <c r="F81" s="14" t="str">
        <v>Tecnologías</v>
      </c>
      <c r="G81" s="21" t="n">
        <v>8</v>
      </c>
      <c r="H81" s="14" t="str">
        <v>Plan Regular</v>
      </c>
      <c r="I81" s="14" t="str">
        <v>Sin fila SIES</v>
      </c>
      <c r="J81" s="21" t="n">
        <v>0</v>
      </c>
      <c r="K81" s="14" t="str">
        <v>Pregrado</v>
      </c>
      <c r="L81" s="14" t="str">
        <v>B/C: primer año 0 o sin fila; no prueba apertura operativa</v>
      </c>
      <c r="M81" s="14" t="str">
        <v>MAESTRO/oferta_anual; PUBLICA</v>
      </c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ht="36" customHeight="1">
      <c r="A82" s="15" t="str">
        <v>2024</v>
      </c>
      <c r="B82" s="15" t="str">
        <v>I162S2C63J4V1</v>
      </c>
      <c r="C82" s="15" t="str">
        <v>DIPLOMADO EN ARQUITECTURA CLOUD</v>
      </c>
      <c r="D82" s="15" t="str">
        <v>Santiago</v>
      </c>
      <c r="E82" s="15" t="str">
        <v>A distancia</v>
      </c>
      <c r="F82" s="15" t="str">
        <v>E: sin sector</v>
      </c>
      <c r="G82" s="23" t="n">
        <v>1</v>
      </c>
      <c r="H82" s="15" t="str">
        <v>Plan Regular</v>
      </c>
      <c r="I82" s="15" t="str">
        <v>Sin fila SIES</v>
      </c>
      <c r="J82" s="23" t="n">
        <v>0</v>
      </c>
      <c r="K82" s="15" t="str">
        <v>Postítulo</v>
      </c>
      <c r="L82" s="15" t="str">
        <v>B/C: primer año 0 o sin fila; no prueba apertura operativa</v>
      </c>
      <c r="M82" s="15" t="str">
        <v>MAESTRO/oferta_anual; PUBLICA</v>
      </c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ht="36" customHeight="1">
      <c r="A83" s="14" t="str">
        <v>2024</v>
      </c>
      <c r="B83" s="14" t="str">
        <v>I162S2C64J4V1</v>
      </c>
      <c r="C83" s="14" t="str">
        <v>DIPLOMADO EN BACKEND</v>
      </c>
      <c r="D83" s="14" t="str">
        <v>Santiago</v>
      </c>
      <c r="E83" s="14" t="str">
        <v>A distancia</v>
      </c>
      <c r="F83" s="14" t="str">
        <v>E: sin sector</v>
      </c>
      <c r="G83" s="21" t="n">
        <v>1</v>
      </c>
      <c r="H83" s="14" t="str">
        <v>Plan Regular</v>
      </c>
      <c r="I83" s="14" t="str">
        <v>Sin fila SIES</v>
      </c>
      <c r="J83" s="21" t="n">
        <v>0</v>
      </c>
      <c r="K83" s="14" t="str">
        <v>Postítulo</v>
      </c>
      <c r="L83" s="14" t="str">
        <v>B/C: primer año 0 o sin fila; no prueba apertura operativa</v>
      </c>
      <c r="M83" s="14" t="str">
        <v>MAESTRO/oferta_anual; PUBLICA</v>
      </c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ht="36" customHeight="1">
      <c r="A84" s="15" t="str">
        <v>2024</v>
      </c>
      <c r="B84" s="15" t="str">
        <v>I162S2C65J4V1</v>
      </c>
      <c r="C84" s="15" t="str">
        <v>DIPLOMADO EN FRONTEND</v>
      </c>
      <c r="D84" s="15" t="str">
        <v>Santiago</v>
      </c>
      <c r="E84" s="15" t="str">
        <v>A distancia</v>
      </c>
      <c r="F84" s="15" t="str">
        <v>E: sin sector</v>
      </c>
      <c r="G84" s="23" t="n">
        <v>1</v>
      </c>
      <c r="H84" s="15" t="str">
        <v>Plan Regular</v>
      </c>
      <c r="I84" s="15" t="str">
        <v>Sin fila SIES</v>
      </c>
      <c r="J84" s="23" t="n">
        <v>0</v>
      </c>
      <c r="K84" s="15" t="str">
        <v>Postítulo</v>
      </c>
      <c r="L84" s="15" t="str">
        <v>B/C: primer año 0 o sin fila; no prueba apertura operativa</v>
      </c>
      <c r="M84" s="15" t="str">
        <v>MAESTRO/oferta_anual; PUBLICA</v>
      </c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ht="36" customHeight="1">
      <c r="A85" s="14" t="str">
        <v>2024</v>
      </c>
      <c r="B85" s="14" t="str">
        <v>I162S2C66J4V1</v>
      </c>
      <c r="C85" s="14" t="str">
        <v>DIPLOMADO EN FULLSTACK</v>
      </c>
      <c r="D85" s="14" t="str">
        <v>Santiago</v>
      </c>
      <c r="E85" s="14" t="str">
        <v>A distancia</v>
      </c>
      <c r="F85" s="14" t="str">
        <v>E: sin sector</v>
      </c>
      <c r="G85" s="21" t="n">
        <v>1</v>
      </c>
      <c r="H85" s="14" t="str">
        <v>Plan Regular</v>
      </c>
      <c r="I85" s="14" t="str">
        <v>Sin fila SIES</v>
      </c>
      <c r="J85" s="21" t="n">
        <v>0</v>
      </c>
      <c r="K85" s="14" t="str">
        <v>Postítulo</v>
      </c>
      <c r="L85" s="14" t="str">
        <v>B/C: primer año 0 o sin fila; no prueba apertura operativa</v>
      </c>
      <c r="M85" s="14" t="str">
        <v>MAESTRO/oferta_anual; PUBLICA</v>
      </c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ht="36" customHeight="1">
      <c r="A86" s="15" t="str">
        <v>2024</v>
      </c>
      <c r="B86" s="15" t="str">
        <v>I162S2C67J4V1</v>
      </c>
      <c r="C86" s="15" t="str">
        <v>DIPLOMADO EN QUALITY ASSURANCE</v>
      </c>
      <c r="D86" s="15" t="str">
        <v>Santiago</v>
      </c>
      <c r="E86" s="15" t="str">
        <v>A distancia</v>
      </c>
      <c r="F86" s="15" t="str">
        <v>E: sin sector</v>
      </c>
      <c r="G86" s="23" t="n">
        <v>1</v>
      </c>
      <c r="H86" s="15" t="str">
        <v>Plan Regular</v>
      </c>
      <c r="I86" s="15" t="str">
        <v>Sin fila SIES</v>
      </c>
      <c r="J86" s="23" t="n">
        <v>0</v>
      </c>
      <c r="K86" s="15" t="str">
        <v>Postítulo</v>
      </c>
      <c r="L86" s="15" t="str">
        <v>B/C: primer año 0 o sin fila; no prueba apertura operativa</v>
      </c>
      <c r="M86" s="15" t="str">
        <v>MAESTRO/oferta_anual; PUBLICA</v>
      </c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ht="36" customHeight="1">
      <c r="A87" s="14" t="str">
        <v>2024</v>
      </c>
      <c r="B87" s="14" t="str">
        <v>I162S2C68J4V1</v>
      </c>
      <c r="C87" s="14" t="str">
        <v>DIPLOMADO EN SEGURIDAD OFENSIVA</v>
      </c>
      <c r="D87" s="14" t="str">
        <v>Santiago</v>
      </c>
      <c r="E87" s="14" t="str">
        <v>A distancia</v>
      </c>
      <c r="F87" s="14" t="str">
        <v>E: sin sector</v>
      </c>
      <c r="G87" s="21" t="n">
        <v>1</v>
      </c>
      <c r="H87" s="14" t="str">
        <v>Plan Regular</v>
      </c>
      <c r="I87" s="14" t="str">
        <v>Sin fila SIES</v>
      </c>
      <c r="J87" s="21" t="n">
        <v>0</v>
      </c>
      <c r="K87" s="14" t="str">
        <v>Postítulo</v>
      </c>
      <c r="L87" s="14" t="str">
        <v>B/C: primer año 0 o sin fila; no prueba apertura operativa</v>
      </c>
      <c r="M87" s="14" t="str">
        <v>MAESTRO/oferta_anual; PUBLICA</v>
      </c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ht="36" customHeight="1">
      <c r="A88" s="15" t="str">
        <v>2024</v>
      </c>
      <c r="B88" s="15" t="str">
        <v>I162S2C69J4V1</v>
      </c>
      <c r="C88" s="15" t="str">
        <v>DIPLOMADO INFRAESTRUCTURA CLOUD</v>
      </c>
      <c r="D88" s="15" t="str">
        <v>Santiago</v>
      </c>
      <c r="E88" s="15" t="str">
        <v>A distancia</v>
      </c>
      <c r="F88" s="15" t="str">
        <v>E: sin sector</v>
      </c>
      <c r="G88" s="23" t="n">
        <v>1</v>
      </c>
      <c r="H88" s="15" t="str">
        <v>Plan Regular</v>
      </c>
      <c r="I88" s="15" t="str">
        <v>Sin fila SIES</v>
      </c>
      <c r="J88" s="23" t="n">
        <v>0</v>
      </c>
      <c r="K88" s="15" t="str">
        <v>Postítulo</v>
      </c>
      <c r="L88" s="15" t="str">
        <v>B/C: primer año 0 o sin fila; no prueba apertura operativa</v>
      </c>
      <c r="M88" s="15" t="str">
        <v>MAESTRO/oferta_anual; PUBLICA</v>
      </c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ht="36" customHeight="1">
      <c r="A89" s="14" t="str">
        <v>2024</v>
      </c>
      <c r="B89" s="14" t="str">
        <v>I162S2C70J4V1</v>
      </c>
      <c r="C89" s="14" t="str">
        <v>DIPLOMADO REDES INDUSTRIALES</v>
      </c>
      <c r="D89" s="14" t="str">
        <v>Santiago</v>
      </c>
      <c r="E89" s="14" t="str">
        <v>A distancia</v>
      </c>
      <c r="F89" s="14" t="str">
        <v>E: sin sector</v>
      </c>
      <c r="G89" s="21" t="n">
        <v>1</v>
      </c>
      <c r="H89" s="14" t="str">
        <v>Plan Regular</v>
      </c>
      <c r="I89" s="14" t="str">
        <v>Sin fila SIES</v>
      </c>
      <c r="J89" s="21" t="n">
        <v>0</v>
      </c>
      <c r="K89" s="14" t="str">
        <v>Postítulo</v>
      </c>
      <c r="L89" s="14" t="str">
        <v>B/C: primer año 0 o sin fila; no prueba apertura operativa</v>
      </c>
      <c r="M89" s="14" t="str">
        <v>MAESTRO/oferta_anual; PUBLICA</v>
      </c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ht="36" customHeight="1">
      <c r="A90" s="15" t="str">
        <v>2024</v>
      </c>
      <c r="B90" s="15" t="str">
        <v>I162S2C71J4V1</v>
      </c>
      <c r="C90" s="15" t="str">
        <v>DIPLOMADO SEGURIDAD EN ARQUITECTURA DE REDES</v>
      </c>
      <c r="D90" s="15" t="str">
        <v>Santiago</v>
      </c>
      <c r="E90" s="15" t="str">
        <v>A distancia</v>
      </c>
      <c r="F90" s="15" t="str">
        <v>E: sin sector</v>
      </c>
      <c r="G90" s="23" t="n">
        <v>1</v>
      </c>
      <c r="H90" s="15" t="str">
        <v>Plan Regular</v>
      </c>
      <c r="I90" s="15" t="str">
        <v>Sin fila SIES</v>
      </c>
      <c r="J90" s="23" t="n">
        <v>0</v>
      </c>
      <c r="K90" s="15" t="str">
        <v>Postítulo</v>
      </c>
      <c r="L90" s="15" t="str">
        <v>B/C: primer año 0 o sin fila; no prueba apertura operativa</v>
      </c>
      <c r="M90" s="15" t="str">
        <v>MAESTRO/oferta_anual; PUBLICA</v>
      </c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ht="36" customHeight="1">
      <c r="A91" s="14" t="str">
        <v>2024</v>
      </c>
      <c r="B91" s="14" t="str">
        <v>I162S2C76J1V1</v>
      </c>
      <c r="C91" s="14" t="str">
        <v>INGENIERIA EN ADMINISTRACION DE EMPRESAS</v>
      </c>
      <c r="D91" s="14" t="str">
        <v>Santiago</v>
      </c>
      <c r="E91" s="14" t="str">
        <v>Diurna</v>
      </c>
      <c r="F91" s="14" t="str">
        <v>Administración y Comercio</v>
      </c>
      <c r="G91" s="21" t="n">
        <v>8</v>
      </c>
      <c r="H91" s="14" t="str">
        <v>Plan Regular</v>
      </c>
      <c r="I91" s="14" t="str">
        <v>Sin fila SIES</v>
      </c>
      <c r="J91" s="21" t="n">
        <v>0</v>
      </c>
      <c r="K91" s="14" t="str">
        <v>Pregrado</v>
      </c>
      <c r="L91" s="14" t="str">
        <v>B/C: primer año 0 o sin fila; no prueba apertura operativa</v>
      </c>
      <c r="M91" s="14" t="str">
        <v>MAESTRO/oferta_anual; PUBLICA</v>
      </c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ht="36" customHeight="1">
      <c r="A92" s="15" t="str">
        <v>2024</v>
      </c>
      <c r="B92" s="15" t="str">
        <v>I162S2C77J1V1</v>
      </c>
      <c r="C92" s="15" t="str">
        <v>INGENIERIA EN LOGISTICA</v>
      </c>
      <c r="D92" s="15" t="str">
        <v>Santiago</v>
      </c>
      <c r="E92" s="15" t="str">
        <v>Diurna</v>
      </c>
      <c r="F92" s="15" t="str">
        <v>Administración y Comercio</v>
      </c>
      <c r="G92" s="23" t="n">
        <v>8</v>
      </c>
      <c r="H92" s="15" t="str">
        <v>Plan Regular</v>
      </c>
      <c r="I92" s="15" t="str">
        <v>Sin fila SIES</v>
      </c>
      <c r="J92" s="23" t="n">
        <v>0</v>
      </c>
      <c r="K92" s="15" t="str">
        <v>Pregrado</v>
      </c>
      <c r="L92" s="15" t="str">
        <v>B/C: primer año 0 o sin fila; no prueba apertura operativa</v>
      </c>
      <c r="M92" s="15" t="str">
        <v>MAESTRO/oferta_anual; PUBLICA</v>
      </c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ht="36" customHeight="1">
      <c r="A93" s="14" t="str">
        <v>2024</v>
      </c>
      <c r="B93" s="14" t="str">
        <v>I162S2C78J1V1</v>
      </c>
      <c r="C93" s="14" t="str">
        <v>TECNICO EN ADMINISTRACION DE EMPRESAS</v>
      </c>
      <c r="D93" s="14" t="str">
        <v>Santiago</v>
      </c>
      <c r="E93" s="14" t="str">
        <v>Diurna</v>
      </c>
      <c r="F93" s="14" t="str">
        <v>Administración y Comercio</v>
      </c>
      <c r="G93" s="21" t="n">
        <v>5</v>
      </c>
      <c r="H93" s="14" t="str">
        <v>Plan Regular</v>
      </c>
      <c r="I93" s="14" t="str">
        <v>Sin fila SIES</v>
      </c>
      <c r="J93" s="21" t="n">
        <v>0</v>
      </c>
      <c r="K93" s="14" t="str">
        <v>Pregrado</v>
      </c>
      <c r="L93" s="14" t="str">
        <v>B/C: primer año 0 o sin fila; no prueba apertura operativa</v>
      </c>
      <c r="M93" s="14" t="str">
        <v>MAESTRO/oferta_anual; PUBLICA</v>
      </c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ht="36" customHeight="1">
      <c r="A94" s="15" t="str">
        <v>2024</v>
      </c>
      <c r="B94" s="15" t="str">
        <v>I162S2C79J1V1</v>
      </c>
      <c r="C94" s="15" t="str">
        <v>TECNICO EN LOGISTICA</v>
      </c>
      <c r="D94" s="15" t="str">
        <v>Santiago</v>
      </c>
      <c r="E94" s="15" t="str">
        <v>Diurna</v>
      </c>
      <c r="F94" s="15" t="str">
        <v>Administración y Comercio</v>
      </c>
      <c r="G94" s="23" t="n">
        <v>5</v>
      </c>
      <c r="H94" s="15" t="str">
        <v>Plan Regular</v>
      </c>
      <c r="I94" s="15" t="str">
        <v>Sin fila SIES</v>
      </c>
      <c r="J94" s="23" t="n">
        <v>0</v>
      </c>
      <c r="K94" s="15" t="str">
        <v>Pregrado</v>
      </c>
      <c r="L94" s="15" t="str">
        <v>B/C: primer año 0 o sin fila; no prueba apertura operativa</v>
      </c>
      <c r="M94" s="15" t="str">
        <v>MAESTRO/oferta_anual; PUBLICA</v>
      </c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ht="36" customHeight="1">
      <c r="A95" s="14" t="str">
        <v>2025</v>
      </c>
      <c r="B95" s="14" t="str">
        <v>I162S2C101J4V1</v>
      </c>
      <c r="C95" s="14" t="str">
        <v>DIPLOMADO EN SALUD FAMILIAR CON ENFOQUE COMUNITARIO</v>
      </c>
      <c r="D95" s="14" t="str">
        <v>Santiago</v>
      </c>
      <c r="E95" s="14" t="str">
        <v>A distancia</v>
      </c>
      <c r="F95" s="14" t="str">
        <v>E: sin sector</v>
      </c>
      <c r="G95" s="21" t="n">
        <v>1</v>
      </c>
      <c r="H95" s="14" t="str">
        <v>Plan Regular</v>
      </c>
      <c r="I95" s="14" t="str">
        <v>Sin fila SIES</v>
      </c>
      <c r="J95" s="21" t="n">
        <v>0</v>
      </c>
      <c r="K95" s="14" t="str">
        <v>Postítulo</v>
      </c>
      <c r="L95" s="14" t="str">
        <v>B/C: primer año 0 o sin fila; no prueba apertura operativa</v>
      </c>
      <c r="M95" s="14" t="str">
        <v>MAESTRO/oferta_anual; PUBLICA</v>
      </c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ht="36" customHeight="1">
      <c r="A96" s="15" t="str">
        <v>2025</v>
      </c>
      <c r="B96" s="15" t="str">
        <v>I162S2C102J4V1</v>
      </c>
      <c r="C96" s="15" t="str">
        <v>DIPLOMADO SALUD CON FOCO EN MIGRACION</v>
      </c>
      <c r="D96" s="15" t="str">
        <v>Santiago</v>
      </c>
      <c r="E96" s="15" t="str">
        <v>A distancia</v>
      </c>
      <c r="F96" s="15" t="str">
        <v>E: sin sector</v>
      </c>
      <c r="G96" s="23" t="n">
        <v>1</v>
      </c>
      <c r="H96" s="15" t="str">
        <v>Plan Regular</v>
      </c>
      <c r="I96" s="15" t="str">
        <v>Sin fila SIES</v>
      </c>
      <c r="J96" s="23" t="n">
        <v>0</v>
      </c>
      <c r="K96" s="15" t="str">
        <v>Postítulo</v>
      </c>
      <c r="L96" s="15" t="str">
        <v>B/C: primer año 0 o sin fila; no prueba apertura operativa</v>
      </c>
      <c r="M96" s="15" t="str">
        <v>MAESTRO/oferta_anual; PUBLICA</v>
      </c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ht="50" customHeight="1">
      <c r="A97" s="14" t="str">
        <v>2025</v>
      </c>
      <c r="B97" s="14" t="str">
        <v>I162S2C103J4V1</v>
      </c>
      <c r="C97" s="14" t="str">
        <v>DIPLOMADO ABORDAJE INTEGRAL DE LA VIOLENCIA DE GENERO EN ATENCION PRIMARIA DE SALUD</v>
      </c>
      <c r="D97" s="14" t="str">
        <v>Santiago</v>
      </c>
      <c r="E97" s="14" t="str">
        <v>A distancia</v>
      </c>
      <c r="F97" s="14" t="str">
        <v>E: sin sector</v>
      </c>
      <c r="G97" s="21" t="n">
        <v>1</v>
      </c>
      <c r="H97" s="14" t="str">
        <v>Plan Regular</v>
      </c>
      <c r="I97" s="14" t="str">
        <v>Sin fila SIES</v>
      </c>
      <c r="J97" s="21" t="n">
        <v>0</v>
      </c>
      <c r="K97" s="14" t="str">
        <v>Postítulo</v>
      </c>
      <c r="L97" s="14" t="str">
        <v>B/C: primer año 0 o sin fila; no prueba apertura operativa</v>
      </c>
      <c r="M97" s="14" t="str">
        <v>MAESTRO/oferta_anual; PUBLICA</v>
      </c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ht="36" customHeight="1">
      <c r="A98" s="15" t="str">
        <v>2025</v>
      </c>
      <c r="B98" s="15" t="str">
        <v>I162S2C104J4V1</v>
      </c>
      <c r="C98" s="15" t="str">
        <v>DIPLOMADO EN INNOVACION PARA LA DOCENCIA</v>
      </c>
      <c r="D98" s="15" t="str">
        <v>Santiago</v>
      </c>
      <c r="E98" s="15" t="str">
        <v>A distancia</v>
      </c>
      <c r="F98" s="15" t="str">
        <v>E: sin sector</v>
      </c>
      <c r="G98" s="23" t="n">
        <v>1</v>
      </c>
      <c r="H98" s="15" t="str">
        <v>Plan Regular</v>
      </c>
      <c r="I98" s="15" t="str">
        <v>Sin fila SIES</v>
      </c>
      <c r="J98" s="23" t="n">
        <v>0</v>
      </c>
      <c r="K98" s="15" t="str">
        <v>Postítulo</v>
      </c>
      <c r="L98" s="15" t="str">
        <v>B/C: primer año 0 o sin fila; no prueba apertura operativa</v>
      </c>
      <c r="M98" s="15" t="str">
        <v>MAESTRO/oferta_anual; PUBLICA</v>
      </c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ht="36" customHeight="1">
      <c r="A99" s="14" t="str">
        <v>2025</v>
      </c>
      <c r="B99" s="14" t="str">
        <v>I162S2C105J4V1</v>
      </c>
      <c r="C99" s="14" t="str">
        <v>DIPLOMADO EN HUMANIZACION EN SALUD</v>
      </c>
      <c r="D99" s="14" t="str">
        <v>Santiago</v>
      </c>
      <c r="E99" s="14" t="str">
        <v>A distancia</v>
      </c>
      <c r="F99" s="14" t="str">
        <v>E: sin sector</v>
      </c>
      <c r="G99" s="21" t="n">
        <v>1</v>
      </c>
      <c r="H99" s="14" t="str">
        <v>Plan Regular</v>
      </c>
      <c r="I99" s="14" t="str">
        <v>Sin fila SIES</v>
      </c>
      <c r="J99" s="21" t="n">
        <v>0</v>
      </c>
      <c r="K99" s="14" t="str">
        <v>Postítulo</v>
      </c>
      <c r="L99" s="14" t="str">
        <v>B/C: primer año 0 o sin fila; no prueba apertura operativa</v>
      </c>
      <c r="M99" s="14" t="str">
        <v>MAESTRO/oferta_anual; PUBLICA</v>
      </c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ht="36" customHeight="1">
      <c r="A100" s="15" t="str">
        <v>2025</v>
      </c>
      <c r="B100" s="15" t="str">
        <v>I162S2C3J1V2</v>
      </c>
      <c r="C100" s="15" t="str">
        <v>INGENIERIA EN CONECTIVIDAD Y REDES</v>
      </c>
      <c r="D100" s="15" t="str">
        <v>Santiago</v>
      </c>
      <c r="E100" s="15" t="str">
        <v>Diurna</v>
      </c>
      <c r="F100" s="15" t="str">
        <v>Tecnologías</v>
      </c>
      <c r="G100" s="23" t="n">
        <v>8</v>
      </c>
      <c r="H100" s="15" t="str">
        <v>Plan Regular</v>
      </c>
      <c r="I100" s="15" t="str">
        <v>Sin fila SIES</v>
      </c>
      <c r="J100" s="23" t="n">
        <v>0</v>
      </c>
      <c r="K100" s="15" t="str">
        <v>Pregrado</v>
      </c>
      <c r="L100" s="15" t="str">
        <v>B/C: primer año 0 o sin fila; no prueba apertura operativa</v>
      </c>
      <c r="M100" s="15" t="str">
        <v>MAESTRO/oferta_anual; PUBLICA</v>
      </c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ht="36" customHeight="1">
      <c r="A101" s="14" t="str">
        <v>2025</v>
      </c>
      <c r="B101" s="14" t="str">
        <v>I162S2C64J4V1</v>
      </c>
      <c r="C101" s="14" t="str">
        <v>DIPLOMADO EN BACKEND</v>
      </c>
      <c r="D101" s="14" t="str">
        <v>Santiago</v>
      </c>
      <c r="E101" s="14" t="str">
        <v>A distancia</v>
      </c>
      <c r="F101" s="14" t="str">
        <v>E: sin sector</v>
      </c>
      <c r="G101" s="21" t="n">
        <v>1</v>
      </c>
      <c r="H101" s="14" t="str">
        <v>Plan Regular</v>
      </c>
      <c r="I101" s="14" t="str">
        <v>Sin fila SIES</v>
      </c>
      <c r="J101" s="21" t="n">
        <v>0</v>
      </c>
      <c r="K101" s="14" t="str">
        <v>Postítulo</v>
      </c>
      <c r="L101" s="14" t="str">
        <v>B/C: primer año 0 o sin fila; no prueba apertura operativa</v>
      </c>
      <c r="M101" s="14" t="str">
        <v>MAESTRO/oferta_anual; PUBLICA</v>
      </c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ht="36" customHeight="1">
      <c r="A102" s="15" t="str">
        <v>2025</v>
      </c>
      <c r="B102" s="15" t="str">
        <v>I162S2C65J4V1</v>
      </c>
      <c r="C102" s="15" t="str">
        <v>DIPLOMADO EN FRONTEND</v>
      </c>
      <c r="D102" s="15" t="str">
        <v>Santiago</v>
      </c>
      <c r="E102" s="15" t="str">
        <v>A distancia</v>
      </c>
      <c r="F102" s="15" t="str">
        <v>E: sin sector</v>
      </c>
      <c r="G102" s="23" t="n">
        <v>1</v>
      </c>
      <c r="H102" s="15" t="str">
        <v>Plan Regular</v>
      </c>
      <c r="I102" s="15" t="str">
        <v>Sin fila SIES</v>
      </c>
      <c r="J102" s="23" t="n">
        <v>0</v>
      </c>
      <c r="K102" s="15" t="str">
        <v>Postítulo</v>
      </c>
      <c r="L102" s="15" t="str">
        <v>B/C: primer año 0 o sin fila; no prueba apertura operativa</v>
      </c>
      <c r="M102" s="15" t="str">
        <v>MAESTRO/oferta_anual; PUBLICA</v>
      </c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ht="36" customHeight="1">
      <c r="A103" s="14" t="str">
        <v>2025</v>
      </c>
      <c r="B103" s="14" t="str">
        <v>I162S2C69J4V1</v>
      </c>
      <c r="C103" s="14" t="str">
        <v>DIPLOMADO INFRAESTRUCTURA CLOUD</v>
      </c>
      <c r="D103" s="14" t="str">
        <v>Santiago</v>
      </c>
      <c r="E103" s="14" t="str">
        <v>A distancia</v>
      </c>
      <c r="F103" s="14" t="str">
        <v>E: sin sector</v>
      </c>
      <c r="G103" s="21" t="n">
        <v>1</v>
      </c>
      <c r="H103" s="14" t="str">
        <v>Plan Regular</v>
      </c>
      <c r="I103" s="14" t="str">
        <v>Sin fila SIES</v>
      </c>
      <c r="J103" s="21" t="n">
        <v>0</v>
      </c>
      <c r="K103" s="14" t="str">
        <v>Postítulo</v>
      </c>
      <c r="L103" s="14" t="str">
        <v>B/C: primer año 0 o sin fila; no prueba apertura operativa</v>
      </c>
      <c r="M103" s="14" t="str">
        <v>MAESTRO/oferta_anual; PUBLICA</v>
      </c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ht="36" customHeight="1">
      <c r="A104" s="15" t="str">
        <v>2025</v>
      </c>
      <c r="B104" s="15" t="str">
        <v>I162S2C6J1V2</v>
      </c>
      <c r="C104" s="15" t="str">
        <v>TECNICO EN CONECTIVIDAD Y REDES</v>
      </c>
      <c r="D104" s="15" t="str">
        <v>Santiago</v>
      </c>
      <c r="E104" s="15" t="str">
        <v>Diurna</v>
      </c>
      <c r="F104" s="15" t="str">
        <v>Tecnologías</v>
      </c>
      <c r="G104" s="23" t="n">
        <v>5</v>
      </c>
      <c r="H104" s="15" t="str">
        <v>Plan Regular</v>
      </c>
      <c r="I104" s="15" t="str">
        <v>Sin fila SIES</v>
      </c>
      <c r="J104" s="23" t="n">
        <v>0</v>
      </c>
      <c r="K104" s="15" t="str">
        <v>Pregrado</v>
      </c>
      <c r="L104" s="15" t="str">
        <v>B/C: primer año 0 o sin fila; no prueba apertura operativa</v>
      </c>
      <c r="M104" s="15" t="str">
        <v>MAESTRO/oferta_anual; PUBLICA</v>
      </c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ht="36" customHeight="1">
      <c r="A105" s="14" t="str">
        <v>2025</v>
      </c>
      <c r="B105" s="14" t="str">
        <v>I162S2C70J4V1</v>
      </c>
      <c r="C105" s="14" t="str">
        <v>DIPLOMADO REDES INDUSTRIALES</v>
      </c>
      <c r="D105" s="14" t="str">
        <v>Santiago</v>
      </c>
      <c r="E105" s="14" t="str">
        <v>A distancia</v>
      </c>
      <c r="F105" s="14" t="str">
        <v>E: sin sector</v>
      </c>
      <c r="G105" s="21" t="n">
        <v>1</v>
      </c>
      <c r="H105" s="14" t="str">
        <v>Plan Regular</v>
      </c>
      <c r="I105" s="14" t="str">
        <v>Sin fila SIES</v>
      </c>
      <c r="J105" s="21" t="n">
        <v>0</v>
      </c>
      <c r="K105" s="14" t="str">
        <v>Postítulo</v>
      </c>
      <c r="L105" s="14" t="str">
        <v>B/C: primer año 0 o sin fila; no prueba apertura operativa</v>
      </c>
      <c r="M105" s="14" t="str">
        <v>MAESTRO/oferta_anual; PUBLICA</v>
      </c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ht="36" customHeight="1">
      <c r="A106" s="15" t="str">
        <v>2025</v>
      </c>
      <c r="B106" s="15" t="str">
        <v>I162S2C76J1V1</v>
      </c>
      <c r="C106" s="15" t="str">
        <v>INGENIERIA EN ADMINISTRACION DE EMPRESAS</v>
      </c>
      <c r="D106" s="15" t="str">
        <v>Santiago</v>
      </c>
      <c r="E106" s="15" t="str">
        <v>Diurna</v>
      </c>
      <c r="F106" s="15" t="str">
        <v>Administración y Comercio</v>
      </c>
      <c r="G106" s="23" t="n">
        <v>8</v>
      </c>
      <c r="H106" s="15" t="str">
        <v>Plan Regular</v>
      </c>
      <c r="I106" s="15" t="str">
        <v>Sin fila SIES</v>
      </c>
      <c r="J106" s="23" t="n">
        <v>0</v>
      </c>
      <c r="K106" s="15" t="str">
        <v>Pregrado</v>
      </c>
      <c r="L106" s="15" t="str">
        <v>B/C: primer año 0 o sin fila; no prueba apertura operativa</v>
      </c>
      <c r="M106" s="15" t="str">
        <v>MAESTRO/oferta_anual; PUBLICA</v>
      </c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ht="36" customHeight="1">
      <c r="A107" s="14" t="str">
        <v>2025</v>
      </c>
      <c r="B107" s="14" t="str">
        <v>I162S2C77J1V1</v>
      </c>
      <c r="C107" s="14" t="str">
        <v>INGENIERIA EN LOGISTICA</v>
      </c>
      <c r="D107" s="14" t="str">
        <v>Santiago</v>
      </c>
      <c r="E107" s="14" t="str">
        <v>Diurna</v>
      </c>
      <c r="F107" s="14" t="str">
        <v>Administración y Comercio</v>
      </c>
      <c r="G107" s="21" t="n">
        <v>8</v>
      </c>
      <c r="H107" s="14" t="str">
        <v>Plan Regular</v>
      </c>
      <c r="I107" s="14" t="str">
        <v>Sin fila SIES</v>
      </c>
      <c r="J107" s="21" t="n">
        <v>0</v>
      </c>
      <c r="K107" s="14" t="str">
        <v>Pregrado</v>
      </c>
      <c r="L107" s="14" t="str">
        <v>B/C: primer año 0 o sin fila; no prueba apertura operativa</v>
      </c>
      <c r="M107" s="14" t="str">
        <v>MAESTRO/oferta_anual; PUBLICA</v>
      </c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ht="36" customHeight="1">
      <c r="A108" s="15" t="str">
        <v>2025</v>
      </c>
      <c r="B108" s="15" t="str">
        <v>I162S2C78J1V1</v>
      </c>
      <c r="C108" s="15" t="str">
        <v>TECNICO EN ADMINISTRACION DE EMPRESAS</v>
      </c>
      <c r="D108" s="15" t="str">
        <v>Santiago</v>
      </c>
      <c r="E108" s="15" t="str">
        <v>Diurna</v>
      </c>
      <c r="F108" s="15" t="str">
        <v>Administración y Comercio</v>
      </c>
      <c r="G108" s="23" t="n">
        <v>5</v>
      </c>
      <c r="H108" s="15" t="str">
        <v>Plan Regular</v>
      </c>
      <c r="I108" s="15" t="str">
        <v>Sin fila SIES</v>
      </c>
      <c r="J108" s="23" t="n">
        <v>0</v>
      </c>
      <c r="K108" s="15" t="str">
        <v>Pregrado</v>
      </c>
      <c r="L108" s="15" t="str">
        <v>B/C: primer año 0 o sin fila; no prueba apertura operativa</v>
      </c>
      <c r="M108" s="15" t="str">
        <v>MAESTRO/oferta_anual; PUBLICA</v>
      </c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ht="36" customHeight="1">
      <c r="A109" s="14" t="str">
        <v>2025</v>
      </c>
      <c r="B109" s="14" t="str">
        <v>I162S2C79J1V1</v>
      </c>
      <c r="C109" s="14" t="str">
        <v>TECNICO EN LOGISTICA</v>
      </c>
      <c r="D109" s="14" t="str">
        <v>Santiago</v>
      </c>
      <c r="E109" s="14" t="str">
        <v>Diurna</v>
      </c>
      <c r="F109" s="14" t="str">
        <v>Administración y Comercio</v>
      </c>
      <c r="G109" s="21" t="n">
        <v>5</v>
      </c>
      <c r="H109" s="14" t="str">
        <v>Plan Regular</v>
      </c>
      <c r="I109" s="14" t="str">
        <v>Sin fila SIES</v>
      </c>
      <c r="J109" s="21" t="n">
        <v>0</v>
      </c>
      <c r="K109" s="14" t="str">
        <v>Pregrado</v>
      </c>
      <c r="L109" s="14" t="str">
        <v>B/C: primer año 0 o sin fila; no prueba apertura operativa</v>
      </c>
      <c r="M109" s="14" t="str">
        <v>MAESTRO/oferta_anual; PUBLICA</v>
      </c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ht="36" customHeight="1">
      <c r="A110" s="15" t="str">
        <v>2025</v>
      </c>
      <c r="B110" s="15" t="str">
        <v>I162S2C83J4V2</v>
      </c>
      <c r="C110" s="15" t="str">
        <v>ADMINISTRACION PUBLICA</v>
      </c>
      <c r="D110" s="15" t="str">
        <v>Santiago</v>
      </c>
      <c r="E110" s="15" t="str">
        <v>A distancia</v>
      </c>
      <c r="F110" s="15" t="str">
        <v>Administración y Comercio</v>
      </c>
      <c r="G110" s="23" t="n">
        <v>4</v>
      </c>
      <c r="H110" s="15" t="str">
        <v>Plan Regular de Continuidad</v>
      </c>
      <c r="I110" s="15" t="str">
        <v>Sin fila SIES</v>
      </c>
      <c r="J110" s="23" t="n">
        <v>0</v>
      </c>
      <c r="K110" s="15" t="str">
        <v>Pregrado</v>
      </c>
      <c r="L110" s="15" t="str">
        <v>B/C: primer año 0 o sin fila; no prueba apertura operativa</v>
      </c>
      <c r="M110" s="15" t="str">
        <v>MAESTRO/oferta_anual; PUBLICA</v>
      </c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ht="36" customHeight="1">
      <c r="A111" s="14" t="str">
        <v>2025</v>
      </c>
      <c r="B111" s="14" t="str">
        <v>I162S2C86J4V2</v>
      </c>
      <c r="C111" s="14" t="str">
        <v>AUDITORIA</v>
      </c>
      <c r="D111" s="14" t="str">
        <v>Santiago</v>
      </c>
      <c r="E111" s="14" t="str">
        <v>A distancia</v>
      </c>
      <c r="F111" s="14" t="str">
        <v>Administración y Comercio</v>
      </c>
      <c r="G111" s="21" t="n">
        <v>4</v>
      </c>
      <c r="H111" s="14" t="str">
        <v>Plan Regular de Continuidad</v>
      </c>
      <c r="I111" s="14" t="str">
        <v>Sin fila SIES</v>
      </c>
      <c r="J111" s="21" t="n">
        <v>0</v>
      </c>
      <c r="K111" s="14" t="str">
        <v>Pregrado</v>
      </c>
      <c r="L111" s="14" t="str">
        <v>B/C: primer año 0 o sin fila; no prueba apertura operativa</v>
      </c>
      <c r="M111" s="14" t="str">
        <v>MAESTRO/oferta_anual; PUBLICA</v>
      </c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ht="36" customHeight="1">
      <c r="A112" s="15" t="str">
        <v>2025</v>
      </c>
      <c r="B112" s="15" t="str">
        <v>I162S2C88J4V2</v>
      </c>
      <c r="C112" s="15" t="str">
        <v>INGENIERIA EN CIENCIA DE DATOS</v>
      </c>
      <c r="D112" s="15" t="str">
        <v>Santiago</v>
      </c>
      <c r="E112" s="15" t="str">
        <v>A distancia</v>
      </c>
      <c r="F112" s="15" t="str">
        <v>Tecnologías</v>
      </c>
      <c r="G112" s="23" t="n">
        <v>4</v>
      </c>
      <c r="H112" s="15" t="str">
        <v>Plan Regular de Continuidad</v>
      </c>
      <c r="I112" s="15" t="str">
        <v>Sin fila SIES</v>
      </c>
      <c r="J112" s="23" t="n">
        <v>0</v>
      </c>
      <c r="K112" s="15" t="str">
        <v>Pregrado</v>
      </c>
      <c r="L112" s="15" t="str">
        <v>B/C: primer año 0 o sin fila; no prueba apertura operativa</v>
      </c>
      <c r="M112" s="15" t="str">
        <v>MAESTRO/oferta_anual; PUBLICA</v>
      </c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ht="36" customHeight="1">
      <c r="A113" s="14" t="str">
        <v>2025</v>
      </c>
      <c r="B113" s="14" t="str">
        <v>I162S2C90J2V1</v>
      </c>
      <c r="C113" s="14" t="str">
        <v>NATUROPATIA</v>
      </c>
      <c r="D113" s="14" t="str">
        <v>Santiago</v>
      </c>
      <c r="E113" s="14" t="str">
        <v>Vespertina</v>
      </c>
      <c r="F113" s="14" t="str">
        <v>E: sin sector</v>
      </c>
      <c r="G113" s="21" t="n">
        <v>4</v>
      </c>
      <c r="H113" s="14" t="str">
        <v>Plan Regular de Continuidad</v>
      </c>
      <c r="I113" s="14" t="str">
        <v>Sin fila SIES</v>
      </c>
      <c r="J113" s="21" t="n">
        <v>0</v>
      </c>
      <c r="K113" s="14" t="str">
        <v>Pregrado</v>
      </c>
      <c r="L113" s="14" t="str">
        <v>B/C: primer año 0 o sin fila; no prueba apertura operativa</v>
      </c>
      <c r="M113" s="14" t="str">
        <v>MAESTRO/oferta_anual; PUBLICA</v>
      </c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ht="36" customHeight="1">
      <c r="A114" s="15" t="str">
        <v>2025</v>
      </c>
      <c r="B114" s="15" t="str">
        <v>I162S2C96J4V1</v>
      </c>
      <c r="C114" s="15" t="str">
        <v>DIPLOMADO EN GOBERNANZA DE DATOS</v>
      </c>
      <c r="D114" s="15" t="str">
        <v>Santiago</v>
      </c>
      <c r="E114" s="15" t="str">
        <v>A distancia</v>
      </c>
      <c r="F114" s="15" t="str">
        <v>E: sin sector</v>
      </c>
      <c r="G114" s="23" t="n">
        <v>1</v>
      </c>
      <c r="H114" s="15" t="str">
        <v>Plan Regular</v>
      </c>
      <c r="I114" s="15" t="str">
        <v>Sin fila SIES</v>
      </c>
      <c r="J114" s="23" t="n">
        <v>0</v>
      </c>
      <c r="K114" s="15" t="str">
        <v>Postítulo</v>
      </c>
      <c r="L114" s="15" t="str">
        <v>B/C: primer año 0 o sin fila; no prueba apertura operativa</v>
      </c>
      <c r="M114" s="15" t="str">
        <v>MAESTRO/oferta_anual; PUBLICA</v>
      </c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ht="36" customHeight="1">
      <c r="A115" s="14" t="str">
        <v>2025</v>
      </c>
      <c r="B115" s="14" t="str">
        <v>I162S2C97J4V1</v>
      </c>
      <c r="C115" s="14" t="str">
        <v>DIPLOMADO EN SUPPLY CHAIN MANAGEMENT Y MINERIA DE REQUERIMIENTOS</v>
      </c>
      <c r="D115" s="14" t="str">
        <v>Santiago</v>
      </c>
      <c r="E115" s="14" t="str">
        <v>A distancia</v>
      </c>
      <c r="F115" s="14" t="str">
        <v>E: sin sector</v>
      </c>
      <c r="G115" s="21" t="n">
        <v>1</v>
      </c>
      <c r="H115" s="14" t="str">
        <v>Plan Regular</v>
      </c>
      <c r="I115" s="14" t="str">
        <v>Sin fila SIES</v>
      </c>
      <c r="J115" s="21" t="n">
        <v>0</v>
      </c>
      <c r="K115" s="14" t="str">
        <v>Postítulo</v>
      </c>
      <c r="L115" s="14" t="str">
        <v>B/C: primer año 0 o sin fila; no prueba apertura operativa</v>
      </c>
      <c r="M115" s="14" t="str">
        <v>MAESTRO/oferta_anual; PUBLICA</v>
      </c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ht="36" customHeight="1">
      <c r="A116" s="15" t="str">
        <v>2025</v>
      </c>
      <c r="B116" s="15" t="str">
        <v>I162S2C98J4V1</v>
      </c>
      <c r="C116" s="15" t="str">
        <v>DIPLOMADO EN HABILIDADES DIRECTIVAS PARA PROFESIONALES STEM</v>
      </c>
      <c r="D116" s="15" t="str">
        <v>Santiago</v>
      </c>
      <c r="E116" s="15" t="str">
        <v>A distancia</v>
      </c>
      <c r="F116" s="15" t="str">
        <v>E: sin sector</v>
      </c>
      <c r="G116" s="23" t="n">
        <v>1</v>
      </c>
      <c r="H116" s="15" t="str">
        <v>Plan Regular</v>
      </c>
      <c r="I116" s="15" t="str">
        <v>Sin fila SIES</v>
      </c>
      <c r="J116" s="23" t="n">
        <v>0</v>
      </c>
      <c r="K116" s="15" t="str">
        <v>Postítulo</v>
      </c>
      <c r="L116" s="15" t="str">
        <v>B/C: primer año 0 o sin fila; no prueba apertura operativa</v>
      </c>
      <c r="M116" s="15" t="str">
        <v>MAESTRO/oferta_anual; PUBLICA</v>
      </c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ht="36" customHeight="1">
      <c r="A117" s="14" t="str">
        <v>2025</v>
      </c>
      <c r="B117" s="14" t="str">
        <v>I162S2C99J4V1</v>
      </c>
      <c r="C117" s="14" t="str">
        <v>DIPLOMADO EN GESTION PUBLICA LOCAL</v>
      </c>
      <c r="D117" s="14" t="str">
        <v>Santiago</v>
      </c>
      <c r="E117" s="14" t="str">
        <v>A distancia</v>
      </c>
      <c r="F117" s="14" t="str">
        <v>E: sin sector</v>
      </c>
      <c r="G117" s="21" t="n">
        <v>1</v>
      </c>
      <c r="H117" s="14" t="str">
        <v>Plan Regular</v>
      </c>
      <c r="I117" s="14" t="str">
        <v>Sin fila SIES</v>
      </c>
      <c r="J117" s="21" t="n">
        <v>0</v>
      </c>
      <c r="K117" s="14" t="str">
        <v>Postítulo</v>
      </c>
      <c r="L117" s="14" t="str">
        <v>B/C: primer año 0 o sin fila; no prueba apertura operativa</v>
      </c>
      <c r="M117" s="14" t="str">
        <v>MAESTRO/oferta_anual; PUBLICA</v>
      </c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ht="36" customHeight="1">
      <c r="A118" s="15" t="str">
        <v>2026</v>
      </c>
      <c r="B118" s="15" t="str">
        <v>I162S2C101J4V1</v>
      </c>
      <c r="C118" s="15" t="str">
        <v>DIPLOMADO EN SALUD FAMILIAR CON ENFOQUE COMUNITARIO</v>
      </c>
      <c r="D118" s="15" t="str">
        <v>Santiago</v>
      </c>
      <c r="E118" s="15" t="str">
        <v>A distancia</v>
      </c>
      <c r="F118" s="15" t="str">
        <v>E: sin sector</v>
      </c>
      <c r="G118" s="23" t="n">
        <v>1</v>
      </c>
      <c r="H118" s="15" t="str">
        <v>Plan Regular</v>
      </c>
      <c r="I118" s="15" t="str">
        <v>Sin fila SIES</v>
      </c>
      <c r="J118" s="23" t="n">
        <v>0</v>
      </c>
      <c r="K118" s="15" t="str">
        <v>Postítulo</v>
      </c>
      <c r="L118" s="15" t="str">
        <v>B/C: primer año 0 o sin fila; no prueba apertura operativa</v>
      </c>
      <c r="M118" s="15" t="str">
        <v>MAESTRO/oferta_anual; PUBLICA</v>
      </c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ht="36" customHeight="1">
      <c r="A119" s="14" t="str">
        <v>2026</v>
      </c>
      <c r="B119" s="14" t="str">
        <v>I162S2C102J4V1</v>
      </c>
      <c r="C119" s="14" t="str">
        <v>DIPLOMADO SALUD CON FOCO EN MIGRACION</v>
      </c>
      <c r="D119" s="14" t="str">
        <v>Santiago</v>
      </c>
      <c r="E119" s="14" t="str">
        <v>A distancia</v>
      </c>
      <c r="F119" s="14" t="str">
        <v>E: sin sector</v>
      </c>
      <c r="G119" s="21" t="n">
        <v>1</v>
      </c>
      <c r="H119" s="14" t="str">
        <v>Plan Regular</v>
      </c>
      <c r="I119" s="14" t="str">
        <v>Sin fila SIES</v>
      </c>
      <c r="J119" s="21" t="n">
        <v>0</v>
      </c>
      <c r="K119" s="14" t="str">
        <v>Postítulo</v>
      </c>
      <c r="L119" s="14" t="str">
        <v>B/C: primer año 0 o sin fila; no prueba apertura operativa</v>
      </c>
      <c r="M119" s="14" t="str">
        <v>MAESTRO/oferta_anual; PUBLICA</v>
      </c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ht="50" customHeight="1">
      <c r="A120" s="15" t="str">
        <v>2026</v>
      </c>
      <c r="B120" s="15" t="str">
        <v>I162S2C103J4V1</v>
      </c>
      <c r="C120" s="15" t="str">
        <v>DIPLOMADO ABORDAJE INTEGRAL DE LA VIOLENCIA DE GENERO EN ATENCION PRIMARIA DE SALUD</v>
      </c>
      <c r="D120" s="15" t="str">
        <v>Santiago</v>
      </c>
      <c r="E120" s="15" t="str">
        <v>A distancia</v>
      </c>
      <c r="F120" s="15" t="str">
        <v>E: sin sector</v>
      </c>
      <c r="G120" s="23" t="n">
        <v>1</v>
      </c>
      <c r="H120" s="15" t="str">
        <v>Plan Regular</v>
      </c>
      <c r="I120" s="15" t="str">
        <v>Sin fila SIES</v>
      </c>
      <c r="J120" s="23" t="n">
        <v>0</v>
      </c>
      <c r="K120" s="15" t="str">
        <v>Postítulo</v>
      </c>
      <c r="L120" s="15" t="str">
        <v>B/C: primer año 0 o sin fila; no prueba apertura operativa</v>
      </c>
      <c r="M120" s="15" t="str">
        <v>MAESTRO/oferta_anual; PUBLICA</v>
      </c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ht="36" customHeight="1">
      <c r="A121" s="14" t="str">
        <v>2026</v>
      </c>
      <c r="B121" s="14" t="str">
        <v>I162S2C104J4V1</v>
      </c>
      <c r="C121" s="14" t="str">
        <v>DIPLOMADO EN INNOVACION PARA LA DOCENCIA</v>
      </c>
      <c r="D121" s="14" t="str">
        <v>Santiago</v>
      </c>
      <c r="E121" s="14" t="str">
        <v>A distancia</v>
      </c>
      <c r="F121" s="14" t="str">
        <v>E: sin sector</v>
      </c>
      <c r="G121" s="21" t="n">
        <v>1</v>
      </c>
      <c r="H121" s="14" t="str">
        <v>Plan Regular</v>
      </c>
      <c r="I121" s="14" t="str">
        <v>Sin fila SIES</v>
      </c>
      <c r="J121" s="21" t="n">
        <v>0</v>
      </c>
      <c r="K121" s="14" t="str">
        <v>Postítulo</v>
      </c>
      <c r="L121" s="14" t="str">
        <v>B/C: primer año 0 o sin fila; no prueba apertura operativa</v>
      </c>
      <c r="M121" s="14" t="str">
        <v>MAESTRO/oferta_anual; PUBLICA</v>
      </c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ht="36" customHeight="1">
      <c r="A122" s="15" t="str">
        <v>2026</v>
      </c>
      <c r="B122" s="15" t="str">
        <v>I162S2C105J4V1</v>
      </c>
      <c r="C122" s="15" t="str">
        <v>DIPLOMADO EN HUMANIZACION EN SALUD</v>
      </c>
      <c r="D122" s="15" t="str">
        <v>Santiago</v>
      </c>
      <c r="E122" s="15" t="str">
        <v>A distancia</v>
      </c>
      <c r="F122" s="15" t="str">
        <v>E: sin sector</v>
      </c>
      <c r="G122" s="23" t="n">
        <v>1</v>
      </c>
      <c r="H122" s="15" t="str">
        <v>Plan Regular</v>
      </c>
      <c r="I122" s="15" t="str">
        <v>Sin fila SIES</v>
      </c>
      <c r="J122" s="23" t="n">
        <v>0</v>
      </c>
      <c r="K122" s="15" t="str">
        <v>Postítulo</v>
      </c>
      <c r="L122" s="15" t="str">
        <v>B/C: primer año 0 o sin fila; no prueba apertura operativa</v>
      </c>
      <c r="M122" s="15" t="str">
        <v>MAESTRO/oferta_anual; PUBLICA</v>
      </c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ht="36" customHeight="1">
      <c r="A123" s="14" t="str">
        <v>2026</v>
      </c>
      <c r="B123" s="14" t="str">
        <v>I162S2C111J4V2</v>
      </c>
      <c r="C123" s="14" t="str">
        <v>INGENIERIA EN FINANZAS</v>
      </c>
      <c r="D123" s="14" t="str">
        <v>Santiago</v>
      </c>
      <c r="E123" s="14" t="str">
        <v>A distancia</v>
      </c>
      <c r="F123" s="14" t="str">
        <v>E: sin sector</v>
      </c>
      <c r="G123" s="21" t="n">
        <v>4</v>
      </c>
      <c r="H123" s="14" t="str">
        <v>Plan Regular de Continuidad</v>
      </c>
      <c r="I123" s="14" t="str">
        <v>Sin fila SIES</v>
      </c>
      <c r="J123" s="21" t="n">
        <v>0</v>
      </c>
      <c r="K123" s="14" t="str">
        <v>Pregrado</v>
      </c>
      <c r="L123" s="14" t="str">
        <v>B/C: primer año 0 o sin fila; no prueba apertura operativa</v>
      </c>
      <c r="M123" s="14" t="str">
        <v>MAESTRO/oferta_anual; PUBLICA</v>
      </c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ht="36" customHeight="1">
      <c r="A124" s="15" t="str">
        <v>2026</v>
      </c>
      <c r="B124" s="15" t="str">
        <v>I162S2C112J4V2</v>
      </c>
      <c r="C124" s="15" t="str">
        <v>INGENIERIA EN MARKETING DIGITAL</v>
      </c>
      <c r="D124" s="15" t="str">
        <v>Santiago</v>
      </c>
      <c r="E124" s="15" t="str">
        <v>A distancia</v>
      </c>
      <c r="F124" s="15" t="str">
        <v>E: sin sector</v>
      </c>
      <c r="G124" s="23" t="n">
        <v>4</v>
      </c>
      <c r="H124" s="15" t="str">
        <v>Plan Regular de Continuidad</v>
      </c>
      <c r="I124" s="15" t="str">
        <v>Sin fila SIES</v>
      </c>
      <c r="J124" s="23" t="n">
        <v>0</v>
      </c>
      <c r="K124" s="15" t="str">
        <v>Pregrado</v>
      </c>
      <c r="L124" s="15" t="str">
        <v>B/C: primer año 0 o sin fila; no prueba apertura operativa</v>
      </c>
      <c r="M124" s="15" t="str">
        <v>MAESTRO/oferta_anual; PUBLICA</v>
      </c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ht="36" customHeight="1">
      <c r="A125" s="14" t="str">
        <v>2026</v>
      </c>
      <c r="B125" s="14" t="str">
        <v>I162S2C113J4V2</v>
      </c>
      <c r="C125" s="14" t="str">
        <v>INGENIERIA EN RECURSOS HUMANOS</v>
      </c>
      <c r="D125" s="14" t="str">
        <v>Santiago</v>
      </c>
      <c r="E125" s="14" t="str">
        <v>A distancia</v>
      </c>
      <c r="F125" s="14" t="str">
        <v>E: sin sector</v>
      </c>
      <c r="G125" s="21" t="n">
        <v>4</v>
      </c>
      <c r="H125" s="14" t="str">
        <v>Plan Regular de Continuidad</v>
      </c>
      <c r="I125" s="14" t="str">
        <v>Sin fila SIES</v>
      </c>
      <c r="J125" s="21" t="n">
        <v>0</v>
      </c>
      <c r="K125" s="14" t="str">
        <v>Pregrado</v>
      </c>
      <c r="L125" s="14" t="str">
        <v>B/C: primer año 0 o sin fila; no prueba apertura operativa</v>
      </c>
      <c r="M125" s="14" t="str">
        <v>MAESTRO/oferta_anual; PUBLICA</v>
      </c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ht="36" customHeight="1">
      <c r="A126" s="15" t="str">
        <v>2026</v>
      </c>
      <c r="B126" s="15" t="str">
        <v>I162S2C124J4V2</v>
      </c>
      <c r="C126" s="15" t="str">
        <v>INGENIERIA EN PREVENCION DE RIESGOS</v>
      </c>
      <c r="D126" s="15" t="str">
        <v>Santiago</v>
      </c>
      <c r="E126" s="15" t="str">
        <v>A distancia</v>
      </c>
      <c r="F126" s="15" t="str">
        <v>E: sin sector</v>
      </c>
      <c r="G126" s="23" t="n">
        <v>4</v>
      </c>
      <c r="H126" s="15" t="str">
        <v>Plan Regular de Continuidad</v>
      </c>
      <c r="I126" s="15" t="str">
        <v>Sin fila SIES</v>
      </c>
      <c r="J126" s="23" t="n">
        <v>0</v>
      </c>
      <c r="K126" s="15" t="str">
        <v>Pregrado</v>
      </c>
      <c r="L126" s="15" t="str">
        <v>B/C: primer año 0 o sin fila; no prueba apertura operativa</v>
      </c>
      <c r="M126" s="15" t="str">
        <v>MAESTRO/oferta_anual; PUBLICA</v>
      </c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ht="36" customHeight="1">
      <c r="A127" s="14" t="str">
        <v>2026</v>
      </c>
      <c r="B127" s="14" t="str">
        <v>I162S2C125J4V2</v>
      </c>
      <c r="C127" s="14" t="str">
        <v>INGENIERIA EN SEGURIDAD PRIVADA</v>
      </c>
      <c r="D127" s="14" t="str">
        <v>Santiago</v>
      </c>
      <c r="E127" s="14" t="str">
        <v>A distancia</v>
      </c>
      <c r="F127" s="14" t="str">
        <v>E: sin sector</v>
      </c>
      <c r="G127" s="21" t="n">
        <v>4</v>
      </c>
      <c r="H127" s="14" t="str">
        <v>Plan Regular de Continuidad</v>
      </c>
      <c r="I127" s="14" t="str">
        <v>Sin fila SIES</v>
      </c>
      <c r="J127" s="21" t="n">
        <v>0</v>
      </c>
      <c r="K127" s="14" t="str">
        <v>Pregrado</v>
      </c>
      <c r="L127" s="14" t="str">
        <v>B/C: primer año 0 o sin fila; no prueba apertura operativa</v>
      </c>
      <c r="M127" s="14" t="str">
        <v>MAESTRO/oferta_anual; PUBLICA</v>
      </c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ht="36" customHeight="1">
      <c r="A128" s="15" t="str">
        <v>2026</v>
      </c>
      <c r="B128" s="15" t="str">
        <v>I162S2C3J1V2</v>
      </c>
      <c r="C128" s="15" t="str">
        <v>INGENIERIA EN CONECTIVIDAD Y REDES</v>
      </c>
      <c r="D128" s="15" t="str">
        <v>Santiago</v>
      </c>
      <c r="E128" s="15" t="str">
        <v>Diurna</v>
      </c>
      <c r="F128" s="15" t="str">
        <v>Tecnologías</v>
      </c>
      <c r="G128" s="23" t="n">
        <v>8</v>
      </c>
      <c r="H128" s="15" t="str">
        <v>Plan Regular</v>
      </c>
      <c r="I128" s="15" t="str">
        <v>Sin fila SIES</v>
      </c>
      <c r="J128" s="23" t="n">
        <v>0</v>
      </c>
      <c r="K128" s="15" t="str">
        <v>Pregrado</v>
      </c>
      <c r="L128" s="15" t="str">
        <v>B/C: primer año 0 o sin fila; no prueba apertura operativa</v>
      </c>
      <c r="M128" s="15" t="str">
        <v>MAESTRO/oferta_anual; PUBLICA</v>
      </c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ht="36" customHeight="1">
      <c r="A129" s="14" t="str">
        <v>2026</v>
      </c>
      <c r="B129" s="14" t="str">
        <v>I162S2C48J4V1</v>
      </c>
      <c r="C129" s="14" t="str">
        <v>TECNICO EN CONTROL INDUSTRIAL</v>
      </c>
      <c r="D129" s="14" t="str">
        <v>Santiago</v>
      </c>
      <c r="E129" s="14" t="str">
        <v>A distancia</v>
      </c>
      <c r="F129" s="14" t="str">
        <v>E: sin sector</v>
      </c>
      <c r="G129" s="21" t="n">
        <v>5</v>
      </c>
      <c r="H129" s="14" t="str">
        <v>Plan Regular</v>
      </c>
      <c r="I129" s="14" t="str">
        <v>Sin fila SIES</v>
      </c>
      <c r="J129" s="21" t="n">
        <v>0</v>
      </c>
      <c r="K129" s="14" t="str">
        <v>Pregrado</v>
      </c>
      <c r="L129" s="14" t="str">
        <v>B/C: primer año 0 o sin fila; no prueba apertura operativa</v>
      </c>
      <c r="M129" s="14" t="str">
        <v>MAESTRO/oferta_anual; PUBLICA</v>
      </c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ht="36" customHeight="1">
      <c r="A130" s="15" t="str">
        <v>2026</v>
      </c>
      <c r="B130" s="15" t="str">
        <v>I162S2C63J4V1</v>
      </c>
      <c r="C130" s="15" t="str">
        <v>DIPLOMADO EN ARQUITECTURA CLOUD</v>
      </c>
      <c r="D130" s="15" t="str">
        <v>Santiago</v>
      </c>
      <c r="E130" s="15" t="str">
        <v>A distancia</v>
      </c>
      <c r="F130" s="15" t="str">
        <v>E: sin sector</v>
      </c>
      <c r="G130" s="23" t="n">
        <v>1</v>
      </c>
      <c r="H130" s="15" t="str">
        <v>Plan Regular</v>
      </c>
      <c r="I130" s="15" t="str">
        <v>Sin fila SIES</v>
      </c>
      <c r="J130" s="23" t="n">
        <v>0</v>
      </c>
      <c r="K130" s="15" t="str">
        <v>Postítulo</v>
      </c>
      <c r="L130" s="15" t="str">
        <v>B/C: primer año 0 o sin fila; no prueba apertura operativa</v>
      </c>
      <c r="M130" s="15" t="str">
        <v>MAESTRO/oferta_anual; PUBLICA</v>
      </c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ht="36" customHeight="1">
      <c r="A131" s="14" t="str">
        <v>2026</v>
      </c>
      <c r="B131" s="14" t="str">
        <v>I162S2C64J4V1</v>
      </c>
      <c r="C131" s="14" t="str">
        <v>DIPLOMADO EN BACKEND</v>
      </c>
      <c r="D131" s="14" t="str">
        <v>Santiago</v>
      </c>
      <c r="E131" s="14" t="str">
        <v>A distancia</v>
      </c>
      <c r="F131" s="14" t="str">
        <v>E: sin sector</v>
      </c>
      <c r="G131" s="21" t="n">
        <v>1</v>
      </c>
      <c r="H131" s="14" t="str">
        <v>Plan Regular</v>
      </c>
      <c r="I131" s="14" t="str">
        <v>Sin fila SIES</v>
      </c>
      <c r="J131" s="21" t="n">
        <v>0</v>
      </c>
      <c r="K131" s="14" t="str">
        <v>Postítulo</v>
      </c>
      <c r="L131" s="14" t="str">
        <v>B/C: primer año 0 o sin fila; no prueba apertura operativa</v>
      </c>
      <c r="M131" s="14" t="str">
        <v>MAESTRO/oferta_anual; PUBLICA</v>
      </c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ht="36" customHeight="1">
      <c r="A132" s="15" t="str">
        <v>2026</v>
      </c>
      <c r="B132" s="15" t="str">
        <v>I162S2C65J4V1</v>
      </c>
      <c r="C132" s="15" t="str">
        <v>DIPLOMADO EN FRONTEND</v>
      </c>
      <c r="D132" s="15" t="str">
        <v>Santiago</v>
      </c>
      <c r="E132" s="15" t="str">
        <v>A distancia</v>
      </c>
      <c r="F132" s="15" t="str">
        <v>E: sin sector</v>
      </c>
      <c r="G132" s="23" t="n">
        <v>1</v>
      </c>
      <c r="H132" s="15" t="str">
        <v>Plan Regular</v>
      </c>
      <c r="I132" s="15" t="str">
        <v>Sin fila SIES</v>
      </c>
      <c r="J132" s="23" t="n">
        <v>0</v>
      </c>
      <c r="K132" s="15" t="str">
        <v>Postítulo</v>
      </c>
      <c r="L132" s="15" t="str">
        <v>B/C: primer año 0 o sin fila; no prueba apertura operativa</v>
      </c>
      <c r="M132" s="15" t="str">
        <v>MAESTRO/oferta_anual; PUBLICA</v>
      </c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ht="36" customHeight="1">
      <c r="A133" s="14" t="str">
        <v>2026</v>
      </c>
      <c r="B133" s="14" t="str">
        <v>I162S2C67J4V1</v>
      </c>
      <c r="C133" s="14" t="str">
        <v>DIPLOMADO EN QUALITY ASSURANCE</v>
      </c>
      <c r="D133" s="14" t="str">
        <v>Santiago</v>
      </c>
      <c r="E133" s="14" t="str">
        <v>A distancia</v>
      </c>
      <c r="F133" s="14" t="str">
        <v>E: sin sector</v>
      </c>
      <c r="G133" s="21" t="n">
        <v>1</v>
      </c>
      <c r="H133" s="14" t="str">
        <v>Plan Regular</v>
      </c>
      <c r="I133" s="14" t="str">
        <v>Sin fila SIES</v>
      </c>
      <c r="J133" s="21" t="n">
        <v>0</v>
      </c>
      <c r="K133" s="14" t="str">
        <v>Postítulo</v>
      </c>
      <c r="L133" s="14" t="str">
        <v>B/C: primer año 0 o sin fila; no prueba apertura operativa</v>
      </c>
      <c r="M133" s="14" t="str">
        <v>MAESTRO/oferta_anual; PUBLICA</v>
      </c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ht="36" customHeight="1">
      <c r="A134" s="15" t="str">
        <v>2026</v>
      </c>
      <c r="B134" s="15" t="str">
        <v>I162S2C68J4V1</v>
      </c>
      <c r="C134" s="15" t="str">
        <v>DIPLOMADO EN SEGURIDAD OFENSIVA</v>
      </c>
      <c r="D134" s="15" t="str">
        <v>Santiago</v>
      </c>
      <c r="E134" s="15" t="str">
        <v>A distancia</v>
      </c>
      <c r="F134" s="15" t="str">
        <v>E: sin sector</v>
      </c>
      <c r="G134" s="23" t="n">
        <v>1</v>
      </c>
      <c r="H134" s="15" t="str">
        <v>Plan Regular</v>
      </c>
      <c r="I134" s="15" t="str">
        <v>Sin fila SIES</v>
      </c>
      <c r="J134" s="23" t="n">
        <v>0</v>
      </c>
      <c r="K134" s="15" t="str">
        <v>Postítulo</v>
      </c>
      <c r="L134" s="15" t="str">
        <v>B/C: primer año 0 o sin fila; no prueba apertura operativa</v>
      </c>
      <c r="M134" s="15" t="str">
        <v>MAESTRO/oferta_anual; PUBLICA</v>
      </c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ht="36" customHeight="1">
      <c r="A135" s="14" t="str">
        <v>2026</v>
      </c>
      <c r="B135" s="14" t="str">
        <v>I162S2C69J4V1</v>
      </c>
      <c r="C135" s="14" t="str">
        <v>DIPLOMADO INFRAESTRUCTURA CLOUD</v>
      </c>
      <c r="D135" s="14" t="str">
        <v>Santiago</v>
      </c>
      <c r="E135" s="14" t="str">
        <v>A distancia</v>
      </c>
      <c r="F135" s="14" t="str">
        <v>E: sin sector</v>
      </c>
      <c r="G135" s="21" t="n">
        <v>1</v>
      </c>
      <c r="H135" s="14" t="str">
        <v>Plan Regular</v>
      </c>
      <c r="I135" s="14" t="str">
        <v>Sin fila SIES</v>
      </c>
      <c r="J135" s="21" t="n">
        <v>0</v>
      </c>
      <c r="K135" s="14" t="str">
        <v>Postítulo</v>
      </c>
      <c r="L135" s="14" t="str">
        <v>B/C: primer año 0 o sin fila; no prueba apertura operativa</v>
      </c>
      <c r="M135" s="14" t="str">
        <v>MAESTRO/oferta_anual; PUBLICA</v>
      </c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ht="36" customHeight="1">
      <c r="A136" s="15" t="str">
        <v>2026</v>
      </c>
      <c r="B136" s="15" t="str">
        <v>I162S2C6J1V2</v>
      </c>
      <c r="C136" s="15" t="str">
        <v>TECNICO EN CONECTIVIDAD Y REDES</v>
      </c>
      <c r="D136" s="15" t="str">
        <v>Santiago</v>
      </c>
      <c r="E136" s="15" t="str">
        <v>Diurna</v>
      </c>
      <c r="F136" s="15" t="str">
        <v>Tecnologías</v>
      </c>
      <c r="G136" s="23" t="n">
        <v>5</v>
      </c>
      <c r="H136" s="15" t="str">
        <v>Plan Regular</v>
      </c>
      <c r="I136" s="15" t="str">
        <v>Sin fila SIES</v>
      </c>
      <c r="J136" s="23" t="n">
        <v>0</v>
      </c>
      <c r="K136" s="15" t="str">
        <v>Pregrado</v>
      </c>
      <c r="L136" s="15" t="str">
        <v>B/C: primer año 0 o sin fila; no prueba apertura operativa</v>
      </c>
      <c r="M136" s="15" t="str">
        <v>MAESTRO/oferta_anual; PUBLICA</v>
      </c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ht="36" customHeight="1">
      <c r="A137" s="14" t="str">
        <v>2026</v>
      </c>
      <c r="B137" s="14" t="str">
        <v>I162S2C71J4V1</v>
      </c>
      <c r="C137" s="14" t="str">
        <v>DIPLOMADO SEGURIDAD EN ARQUITECTURA DE REDES</v>
      </c>
      <c r="D137" s="14" t="str">
        <v>Santiago</v>
      </c>
      <c r="E137" s="14" t="str">
        <v>A distancia</v>
      </c>
      <c r="F137" s="14" t="str">
        <v>E: sin sector</v>
      </c>
      <c r="G137" s="21" t="n">
        <v>1</v>
      </c>
      <c r="H137" s="14" t="str">
        <v>Plan Regular</v>
      </c>
      <c r="I137" s="14" t="str">
        <v>Sin fila SIES</v>
      </c>
      <c r="J137" s="21" t="n">
        <v>0</v>
      </c>
      <c r="K137" s="14" t="str">
        <v>Postítulo</v>
      </c>
      <c r="L137" s="14" t="str">
        <v>B/C: primer año 0 o sin fila; no prueba apertura operativa</v>
      </c>
      <c r="M137" s="14" t="str">
        <v>MAESTRO/oferta_anual; PUBLICA</v>
      </c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ht="36" customHeight="1">
      <c r="A138" s="15" t="str">
        <v>2026</v>
      </c>
      <c r="B138" s="15" t="str">
        <v>I162S2C79J1V1</v>
      </c>
      <c r="C138" s="15" t="str">
        <v>TECNICO EN LOGISTICA</v>
      </c>
      <c r="D138" s="15" t="str">
        <v>Santiago</v>
      </c>
      <c r="E138" s="15" t="str">
        <v>Diurna</v>
      </c>
      <c r="F138" s="15" t="str">
        <v>Administración y Comercio</v>
      </c>
      <c r="G138" s="23" t="n">
        <v>5</v>
      </c>
      <c r="H138" s="15" t="str">
        <v>Plan Regular</v>
      </c>
      <c r="I138" s="15" t="str">
        <v>Sin fila SIES</v>
      </c>
      <c r="J138" s="23" t="n">
        <v>0</v>
      </c>
      <c r="K138" s="15" t="str">
        <v>Pregrado</v>
      </c>
      <c r="L138" s="15" t="str">
        <v>B/C: primer año 0 o sin fila; no prueba apertura operativa</v>
      </c>
      <c r="M138" s="15" t="str">
        <v>MAESTRO/oferta_anual; PUBLICA</v>
      </c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ht="36" customHeight="1">
      <c r="A139" s="14" t="str">
        <v>2026</v>
      </c>
      <c r="B139" s="14" t="str">
        <v>I162S2C95J4V1</v>
      </c>
      <c r="C139" s="14" t="str">
        <v>DIPLOMADO EN INTELIGENCIA ARTIFICIAL</v>
      </c>
      <c r="D139" s="14" t="str">
        <v>Santiago</v>
      </c>
      <c r="E139" s="14" t="str">
        <v>A distancia</v>
      </c>
      <c r="F139" s="14" t="str">
        <v>E: sin sector</v>
      </c>
      <c r="G139" s="21" t="n">
        <v>1</v>
      </c>
      <c r="H139" s="14" t="str">
        <v>Plan Regular</v>
      </c>
      <c r="I139" s="14" t="str">
        <v>Sin fila SIES</v>
      </c>
      <c r="J139" s="21" t="n">
        <v>0</v>
      </c>
      <c r="K139" s="14" t="str">
        <v>Postítulo</v>
      </c>
      <c r="L139" s="14" t="str">
        <v>B/C: primer año 0 o sin fila; no prueba apertura operativa</v>
      </c>
      <c r="M139" s="14" t="str">
        <v>MAESTRO/oferta_anual; PUBLICA</v>
      </c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ht="36" customHeight="1">
      <c r="A140" s="15" t="str">
        <v>2026</v>
      </c>
      <c r="B140" s="15" t="str">
        <v>I162S2C96J4V1</v>
      </c>
      <c r="C140" s="15" t="str">
        <v>DIPLOMADO EN GOBERNANZA DE DATOS</v>
      </c>
      <c r="D140" s="15" t="str">
        <v>Santiago</v>
      </c>
      <c r="E140" s="15" t="str">
        <v>A distancia</v>
      </c>
      <c r="F140" s="15" t="str">
        <v>E: sin sector</v>
      </c>
      <c r="G140" s="23" t="n">
        <v>1</v>
      </c>
      <c r="H140" s="15" t="str">
        <v>Plan Regular</v>
      </c>
      <c r="I140" s="15" t="str">
        <v>Sin fila SIES</v>
      </c>
      <c r="J140" s="23" t="n">
        <v>0</v>
      </c>
      <c r="K140" s="15" t="str">
        <v>Postítulo</v>
      </c>
      <c r="L140" s="15" t="str">
        <v>B/C: primer año 0 o sin fila; no prueba apertura operativa</v>
      </c>
      <c r="M140" s="15" t="str">
        <v>MAESTRO/oferta_anual; PUBLICA</v>
      </c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ht="36" customHeight="1">
      <c r="A141" s="14" t="str">
        <v>2026</v>
      </c>
      <c r="B141" s="14" t="str">
        <v>I162S2C97J4V1</v>
      </c>
      <c r="C141" s="14" t="str">
        <v>DIPLOMADO EN SUPPLY CHAIN MANAGEMENT Y MINERIA DE REQUERIMIENTOS</v>
      </c>
      <c r="D141" s="14" t="str">
        <v>Santiago</v>
      </c>
      <c r="E141" s="14" t="str">
        <v>A distancia</v>
      </c>
      <c r="F141" s="14" t="str">
        <v>E: sin sector</v>
      </c>
      <c r="G141" s="21" t="n">
        <v>1</v>
      </c>
      <c r="H141" s="14" t="str">
        <v>Plan Regular</v>
      </c>
      <c r="I141" s="14" t="str">
        <v>Sin fila SIES</v>
      </c>
      <c r="J141" s="21" t="n">
        <v>0</v>
      </c>
      <c r="K141" s="14" t="str">
        <v>Postítulo</v>
      </c>
      <c r="L141" s="14" t="str">
        <v>B/C: primer año 0 o sin fila; no prueba apertura operativa</v>
      </c>
      <c r="M141" s="14" t="str">
        <v>MAESTRO/oferta_anual; PUBLICA</v>
      </c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ht="36" customHeight="1">
      <c r="A142" s="15" t="str">
        <v>2026</v>
      </c>
      <c r="B142" s="15" t="str">
        <v>I162S2C98J4V1</v>
      </c>
      <c r="C142" s="15" t="str">
        <v>DIPLOMADO EN HABILIDADES DIRECTIVAS PARA PROFESIONALES STEM</v>
      </c>
      <c r="D142" s="15" t="str">
        <v>Santiago</v>
      </c>
      <c r="E142" s="15" t="str">
        <v>A distancia</v>
      </c>
      <c r="F142" s="15" t="str">
        <v>E: sin sector</v>
      </c>
      <c r="G142" s="23" t="n">
        <v>1</v>
      </c>
      <c r="H142" s="15" t="str">
        <v>Plan Regular</v>
      </c>
      <c r="I142" s="15" t="str">
        <v>Sin fila SIES</v>
      </c>
      <c r="J142" s="23" t="n">
        <v>0</v>
      </c>
      <c r="K142" s="15" t="str">
        <v>Postítulo</v>
      </c>
      <c r="L142" s="15" t="str">
        <v>B/C: primer año 0 o sin fila; no prueba apertura operativa</v>
      </c>
      <c r="M142" s="15" t="str">
        <v>MAESTRO/oferta_anual; PUBLICA</v>
      </c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ht="36" customHeight="1">
      <c r="A143" s="14" t="str">
        <v>2026</v>
      </c>
      <c r="B143" s="14" t="str">
        <v>I162S2C99J4V1</v>
      </c>
      <c r="C143" s="14" t="str">
        <v>DIPLOMADO EN GESTION PUBLICA LOCAL</v>
      </c>
      <c r="D143" s="14" t="str">
        <v>Santiago</v>
      </c>
      <c r="E143" s="14" t="str">
        <v>A distancia</v>
      </c>
      <c r="F143" s="14" t="str">
        <v>E: sin sector</v>
      </c>
      <c r="G143" s="21" t="n">
        <v>1</v>
      </c>
      <c r="H143" s="14" t="str">
        <v>Plan Regular</v>
      </c>
      <c r="I143" s="14" t="str">
        <v>Sin fila SIES</v>
      </c>
      <c r="J143" s="21" t="n">
        <v>0</v>
      </c>
      <c r="K143" s="14" t="str">
        <v>Postítulo</v>
      </c>
      <c r="L143" s="14" t="str">
        <v>B/C: primer año 0 o sin fila; no prueba apertura operativa</v>
      </c>
      <c r="M143" s="14" t="str">
        <v>MAESTRO/oferta_anual; PUBLICA</v>
      </c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</sheetData>
  <mergeCells>
    <mergeCell ref="A2:F2"/>
    <mergeCell ref="A3:F3"/>
    <mergeCell ref="A15:F15"/>
  </mergeCells>
  <dataValidations count="3">
    <dataValidation type="list" sqref="B4">
      <formula1>"Todas,Santiago"</formula1>
    </dataValidation>
    <dataValidation type="list" sqref="D4">
      <formula1>"Todas,A distancia,Diurna,Semipresencial,Vespertina"</formula1>
    </dataValidation>
    <dataValidation type="list" sqref="F4">
      <formula1>"Todas,Administración y Comercio,E: sin sector,Tecnologías"</formula1>
    </dataValidation>
  </dataValidations>
  <printOptions headings="0" gridLines="0"/>
  <pageMargins left="0.25" right="0.25" top="0.25" bottom="0.25" header="0" footer="0"/>
  <pageSetup paperSize="8" orientation="landscape" fitToWidth="1" fitToHeight="1"/>
  <drawing ns1:id="R5d6864ecab474fbc"/>
  <tableParts count="3">
    <tablePart ns1:id="R7dabdf5423d84f43"/>
    <tablePart ns1:id="R9dc315f1ba2b4d24"/>
    <tablePart ns1:id="R00cac984e1ee4b90"/>
  </tableParts>
</worksheet>
</file>

<file path=xl/worksheets/sheet9.xml><?xml version="1.0" encoding="utf-8"?>
<worksheet xmlns="http://schemas.openxmlformats.org/spreadsheetml/2006/main" xmlns:ns1="http://schemas.openxmlformats.org/officeDocument/2006/relationships">
  <sheetPr>
    <tabColor rgb="FF102B42"/>
    <pageSetUpPr fitToPage="1"/>
  </sheetPr>
  <sheetViews>
    <sheetView showGridLines="0" workbookViewId="0">
      <pane xSplit="1" ySplit="18" topLeftCell="B19" activePane="bottomRight" state="frozen"/>
    </sheetView>
  </sheetViews>
  <sheetFormatPr defaultRowHeight="15"/>
  <cols>
    <col min="1" max="1" width="25" hidden="0" customWidth="1"/>
    <col min="2" max="2" width="46" hidden="0" customWidth="1"/>
    <col min="3" max="3" width="20" hidden="0" customWidth="1"/>
    <col min="4" max="4" width="23" hidden="0" customWidth="1"/>
    <col min="5" max="5" width="28" hidden="0" customWidth="1"/>
    <col min="6" max="6" width="28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  <col min="16" max="16" width="14" hidden="0" customWidth="1"/>
    <col min="17" max="17" width="14" hidden="0" customWidth="1"/>
    <col min="18" max="18" width="14" hidden="0" customWidth="1"/>
    <col min="19" max="19" width="14" hidden="0" customWidth="1"/>
    <col min="20" max="20" width="14" hidden="0" customWidth="1"/>
    <col min="21" max="21" width="14" hidden="0" customWidth="1"/>
    <col min="22" max="22" width="14" hidden="0" customWidth="1"/>
    <col min="23" max="23" width="14" hidden="0" customWidth="1"/>
    <col min="24" max="24" width="14" hidden="0" customWidth="1"/>
    <col min="25" max="25" width="18" hidden="0" customWidth="1"/>
    <col min="26" max="26" width="18" hidden="0" customWidth="1"/>
    <col min="27" max="27" width="18" hidden="0" customWidth="1"/>
    <col min="28" max="28" width="18" hidden="0" customWidth="1"/>
    <col min="29" max="29" width="23" hidden="0" customWidth="1"/>
    <col min="30" max="30" width="30" hidden="0" customWidth="1"/>
    <col min="31" max="31" width="18" hidden="0" customWidth="1"/>
    <col min="32" max="32" width="15" hidden="0" customWidth="1"/>
    <col min="33" max="33" width="15" hidden="0" customWidth="1"/>
    <col min="34" max="34" width="25" hidden="0" customWidth="1"/>
    <col min="35" max="35" width="48" hidden="0" customWidth="1"/>
    <col min="36" max="36" width="18" hidden="0" customWidth="1"/>
    <col min="37" max="37" width="25" hidden="0" customWidth="1"/>
    <col min="38" max="38" width="48" hidden="0" customWidth="1"/>
    <col min="39" max="39" width="18" hidden="0" customWidth="1"/>
    <col min="40" max="40" width="18" hidden="0" customWidth="1"/>
    <col min="41" max="41" width="18" hidden="0" customWidth="1"/>
    <col min="42" max="42" width="18" hidden="0" customWidth="1"/>
    <col min="43" max="43" width="18" hidden="0" customWidth="1"/>
    <col min="44" max="44" width="18" hidden="0" customWidth="1"/>
    <col min="45" max="45" width="18" hidden="0" customWidth="1"/>
    <col min="46" max="46" width="18" hidden="0" customWidth="1"/>
    <col min="47" max="47" width="18" hidden="0" customWidth="1"/>
    <col min="48" max="48" width="18" hidden="0" customWidth="1"/>
    <col min="49" max="49" width="18" hidden="0" customWidth="1"/>
    <col min="50" max="50" width="18" hidden="0" customWidth="1"/>
    <col min="51" max="51" width="18" hidden="0" customWidth="1"/>
    <col min="52" max="52" width="18" hidden="0" customWidth="1"/>
    <col min="53" max="53" width="18" hidden="0" customWidth="1"/>
    <col min="54" max="54" width="18" hidden="0" customWidth="1"/>
    <col min="55" max="55" width="18" hidden="0" customWidth="1"/>
    <col min="56" max="56" width="18" hidden="0" customWidth="1"/>
    <col min="57" max="57" width="18" hidden="0" customWidth="1"/>
    <col min="58" max="58" width="18" hidden="0" customWidth="1"/>
    <col min="59" max="59" width="18" hidden="0" customWidth="1"/>
    <col min="60" max="60" width="18" hidden="0" customWidth="1"/>
    <col min="61" max="61" width="18" hidden="0" customWidth="1"/>
  </cols>
  <sheetData>
    <row r="1" ht="2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</row>
    <row r="2" ht="32" customHeight="1">
      <c r="A2" s="16" t="str">
        <v>IPSS · Tendencia por familia, suma de versiones</v>
      </c>
      <c r="B2" s="16"/>
      <c r="C2" s="16"/>
      <c r="D2" s="16"/>
      <c r="E2" s="16"/>
      <c r="F2" s="16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</row>
    <row r="3" ht="44" customHeight="1">
      <c r="A3" s="13" t="str">
        <v>Matrículas, no personas únicas. Familia = sede + carrera + jornada. Top 10 por variación absoluta 2022→2026; filtros compartidos.</v>
      </c>
      <c r="B3" s="13" t="str">
        <v>Matrículas, no personas únicas. Familia = sede + carrera + jornada. Top 10 por variación absoluta 2022→2026; filtros compartidos.</v>
      </c>
      <c r="C3" s="13" t="str">
        <v>Matrículas, no personas únicas. Familia = sede + carrera + jornada. Top 10 por variación absoluta 2022→2026; filtros compartidos.</v>
      </c>
      <c r="D3" s="13" t="str">
        <v>Matrículas, no personas únicas. Familia = sede + carrera + jornada. Top 10 por variación absoluta 2022→2026; filtros compartidos.</v>
      </c>
      <c r="E3" s="13" t="str">
        <v>Matrículas, no personas únicas. Familia = sede + carrera + jornada. Top 10 por variación absoluta 2022→2026; filtros compartidos.</v>
      </c>
      <c r="F3" s="13" t="str">
        <v>Matrículas, no personas únicas. Familia = sede + carrera + jornada. Top 10 por variación absoluta 2022→2026; filtros compartidos.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</row>
    <row r="4" ht="38" customHeight="1">
      <c r="A4" s="39" t="str">
        <v>SEDE</v>
      </c>
      <c r="B4" s="40" t="str">
        <v>Todas</v>
      </c>
      <c r="C4" s="39" t="str">
        <v>JORNADA</v>
      </c>
      <c r="D4" s="40" t="str">
        <v>Todas</v>
      </c>
      <c r="E4" s="39" t="str">
        <v>SECTOR IPSS</v>
      </c>
      <c r="F4" s="40" t="str">
        <v>Todas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</row>
    <row r="5" ht="25" customHeight="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</row>
    <row r="6" ht="2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</row>
    <row r="7" ht="48" customHeight="1">
      <c r="A7" s="9" t="str">
        <v>Estado</v>
      </c>
      <c r="B7" s="9" t="str">
        <v>Total filtrado</v>
      </c>
      <c r="C7" s="9" t="str">
        <v>Unidad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9" t="str">
        <v>Familia</v>
      </c>
      <c r="AI7" s="9" t="str">
        <v>Carrera</v>
      </c>
      <c r="AJ7" s="9" t="str">
        <v>Cambio absoluto</v>
      </c>
      <c r="AK7" s="9" t="str">
        <v>Familia</v>
      </c>
      <c r="AL7" s="9" t="str">
        <v>Carrera</v>
      </c>
      <c r="AM7" s="9" t="str">
        <v>Cambio absoluto</v>
      </c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</row>
    <row r="8" ht="27" customHeight="1">
      <c r="A8" s="14" t="str">
        <v>ALZA</v>
      </c>
      <c r="B8" s="14" t="n">
        <f>COUNTIFS($C$19:$C$95,IF($B$4="Todas","*",$B$4),$D$19:$D$95,IF($D$4="Todas","*",$D$4),$E$19:$E$95,IF($F$4="Todas","*",$F$4),AC19:AC95,A8)</f>
        <v>10</v>
      </c>
      <c r="C8" s="14" t="str">
        <v>familias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4" t="str">
        <f>IFERROR(INDEX($A$19:$A$95,MATCH(1,$AF$19:$AF$95,0)),"")</f>
        <v>I162S2C46J4</v>
      </c>
      <c r="AI8" s="14" t="str">
        <f>IFERROR(INDEX($B$19:$B$95,MATCH(1,$AF$19:$AF$95,0)),"")</f>
        <v>INGENIERIA EN CIBERSEGURIDAD</v>
      </c>
      <c r="AJ8" s="43" t="n">
        <f>IFERROR(INDEX($Y$19:$Y$95,MATCH(1,$AF$19:$AF$95,0)),"")</f>
        <v>228</v>
      </c>
      <c r="AK8" s="14" t="str">
        <f>IFERROR(INDEX($A$19:$A$95,MATCH(1,$AG$19:$AG$95,0)),"")</f>
        <v>I162S2C3J2</v>
      </c>
      <c r="AL8" s="14" t="str">
        <f>IFERROR(INDEX($B$19:$B$95,MATCH(1,$AG$19:$AG$95,0)),"")</f>
        <v>INGENIERIA EN CONECTIVIDAD Y REDES</v>
      </c>
      <c r="AM8" s="43" t="n">
        <f>IFERROR(INDEX($Y$19:$Y$95,MATCH(1,$AG$19:$AG$95,0)),"")</f>
        <v>-40</v>
      </c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</row>
    <row r="9" ht="27" customHeight="1">
      <c r="A9" s="15" t="str">
        <v>BAJA</v>
      </c>
      <c r="B9" s="15" t="n">
        <f>COUNTIFS($C$19:$C$95,IF($B$4="Todas","*",$B$4),$D$19:$D$95,IF($D$4="Todas","*",$D$4),$E$19:$E$95,IF($F$4="Todas","*",$F$4),AC19:AC95,A9)</f>
        <v>4</v>
      </c>
      <c r="C9" s="15" t="str">
        <v>familias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tr">
        <f>IFERROR(INDEX($A$19:$A$95,MATCH(2,$AF$19:$AF$95,0)),"")</f>
        <v>I162S2C1J4</v>
      </c>
      <c r="AI9" s="15" t="str">
        <f>IFERROR(INDEX($B$19:$B$95,MATCH(2,$AF$19:$AF$95,0)),"")</f>
        <v>INGENIERIA EN INFORMATICA</v>
      </c>
      <c r="AJ9" s="44" t="n">
        <f>IFERROR(INDEX($Y$19:$Y$95,MATCH(2,$AF$19:$AF$95,0)),"")</f>
        <v>194</v>
      </c>
      <c r="AK9" s="15" t="str">
        <f>IFERROR(INDEX($A$19:$A$95,MATCH(2,$AG$19:$AG$95,0)),"")</f>
        <v>I162S2C6J4</v>
      </c>
      <c r="AL9" s="15" t="str">
        <f>IFERROR(INDEX($B$19:$B$95,MATCH(2,$AG$19:$AG$95,0)),"")</f>
        <v>TECNICO EN CONECTIVIDAD Y REDES</v>
      </c>
      <c r="AM9" s="44" t="n">
        <f>IFERROR(INDEX($Y$19:$Y$95,MATCH(2,$AG$19:$AG$95,0)),"")</f>
        <v>-27</v>
      </c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</row>
    <row r="10" ht="36" customHeight="1">
      <c r="A10" s="14" t="str">
        <v>ESTABLE</v>
      </c>
      <c r="B10" s="14" t="n">
        <f>COUNTIFS($C$19:$C$95,IF($B$4="Todas","*",$B$4),$D$19:$D$95,IF($D$4="Todas","*",$D$4),$E$19:$E$95,IF($F$4="Todas","*",$F$4),AC19:AC95,A10)</f>
        <v>2</v>
      </c>
      <c r="C10" s="14" t="str">
        <v>familias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4" t="str">
        <f>IFERROR(INDEX($A$19:$A$95,MATCH(3,$AF$19:$AF$95,0)),"")</f>
        <v>I162S2C76J4</v>
      </c>
      <c r="AI10" s="14" t="str">
        <f>IFERROR(INDEX($B$19:$B$95,MATCH(3,$AF$19:$AF$95,0)),"")</f>
        <v>INGENIERIA EN ADMINISTRACION DE EMPRESAS</v>
      </c>
      <c r="AJ10" s="43" t="n">
        <f>IFERROR(INDEX($Y$19:$Y$95,MATCH(3,$AF$19:$AF$95,0)),"")</f>
        <v>153</v>
      </c>
      <c r="AK10" s="14" t="str">
        <f>IFERROR(INDEX($A$19:$A$95,MATCH(3,$AG$19:$AG$95,0)),"")</f>
        <v>I162S2C57J2</v>
      </c>
      <c r="AL10" s="14" t="str">
        <f>IFERROR(INDEX($B$19:$B$95,MATCH(3,$AG$19:$AG$95,0)),"")</f>
        <v>TECNICO EN PROGRAMACION Y ANALISIS DE SISTEMAS</v>
      </c>
      <c r="AM10" s="43" t="n">
        <f>IFERROR(INDEX($Y$19:$Y$95,MATCH(3,$AG$19:$AG$95,0)),"")</f>
        <v>-19</v>
      </c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</row>
    <row r="11" ht="36" customHeight="1">
      <c r="A11" s="15" t="str">
        <v>NUEVA</v>
      </c>
      <c r="B11" s="15" t="n">
        <f>COUNTIFS($C$19:$C$95,IF($B$4="Todas","*",$B$4),$D$19:$D$95,IF($D$4="Todas","*",$D$4),$E$19:$E$95,IF($F$4="Todas","*",$F$4),AC19:AC95,A11)</f>
        <v>40</v>
      </c>
      <c r="C11" s="15" t="str">
        <v>familias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tr">
        <f>IFERROR(INDEX($A$19:$A$95,MATCH(4,$AF$19:$AF$95,0)),"")</f>
        <v>I162S2C77J4</v>
      </c>
      <c r="AI11" s="15" t="str">
        <f>IFERROR(INDEX($B$19:$B$95,MATCH(4,$AF$19:$AF$95,0)),"")</f>
        <v>INGENIERIA EN LOGISTICA</v>
      </c>
      <c r="AJ11" s="44" t="n">
        <f>IFERROR(INDEX($Y$19:$Y$95,MATCH(4,$AF$19:$AF$95,0)),"")</f>
        <v>130</v>
      </c>
      <c r="AK11" s="15" t="str">
        <f>IFERROR(INDEX($A$19:$A$95,MATCH(4,$AG$19:$AG$95,0)),"")</f>
        <v>I162S2C22J2</v>
      </c>
      <c r="AL11" s="15" t="str">
        <f>IFERROR(INDEX($B$19:$B$95,MATCH(4,$AG$19:$AG$95,0)),"")</f>
        <v>INGENIERIA EN AUTOMATIZACION Y CONTROL INDUSTRIAL</v>
      </c>
      <c r="AM11" s="44" t="n">
        <f>IFERROR(INDEX($Y$19:$Y$95,MATCH(4,$AG$19:$AG$95,0)),"")</f>
        <v>-16</v>
      </c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</row>
    <row r="12" ht="27" customHeight="1">
      <c r="A12" s="14" t="str">
        <v>EN_EXTINCION</v>
      </c>
      <c r="B12" s="14" t="n">
        <f>COUNTIFS($C$19:$C$95,IF($B$4="Todas","*",$B$4),$D$19:$D$95,IF($D$4="Todas","*",$D$4),$E$19:$E$95,IF($F$4="Todas","*",$F$4),AC19:AC95,A12)</f>
        <v>0</v>
      </c>
      <c r="C12" s="14" t="str">
        <v>familias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4" t="str">
        <f>IFERROR(INDEX($A$19:$A$95,MATCH(5,$AF$19:$AF$95,0)),"")</f>
        <v>I162S2C91J2</v>
      </c>
      <c r="AI12" s="14" t="str">
        <f>IFERROR(INDEX($B$19:$B$95,MATCH(5,$AF$19:$AF$95,0)),"")</f>
        <v>TECNICO EN ENFERMERIA</v>
      </c>
      <c r="AJ12" s="43" t="n">
        <f>IFERROR(INDEX($Y$19:$Y$95,MATCH(5,$AF$19:$AF$95,0)),"")</f>
        <v>112</v>
      </c>
      <c r="AK12" s="14" t="str">
        <f>IFERROR(INDEX($A$19:$A$95,MATCH(5,$AG$19:$AG$95,0)),"")</f>
        <v>I162S2C6J2</v>
      </c>
      <c r="AL12" s="14" t="str">
        <f>IFERROR(INDEX($B$19:$B$95,MATCH(5,$AG$19:$AG$95,0)),"")</f>
        <v>TECNICO EN CONECTIVIDAD Y REDES</v>
      </c>
      <c r="AM12" s="43" t="n">
        <f>IFERROR(INDEX($Y$19:$Y$95,MATCH(5,$AG$19:$AG$95,0)),"")</f>
        <v>-16</v>
      </c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</row>
    <row r="13" ht="36" customHeight="1">
      <c r="A13" s="15" t="str">
        <v>CERRADA</v>
      </c>
      <c r="B13" s="15" t="n">
        <f>COUNTIFS($C$19:$C$95,IF($B$4="Todas","*",$B$4),$D$19:$D$95,IF($D$4="Todas","*",$D$4),$E$19:$E$95,IF($F$4="Todas","*",$F$4),AC19:AC95,A13)</f>
        <v>21</v>
      </c>
      <c r="C13" s="15" t="str">
        <v>familias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tr">
        <f>IFERROR(INDEX($A$19:$A$95,MATCH(6,$AF$19:$AF$95,0)),"")</f>
        <v>I162S2C3J4</v>
      </c>
      <c r="AI13" s="15" t="str">
        <f>IFERROR(INDEX($B$19:$B$95,MATCH(6,$AF$19:$AF$95,0)),"")</f>
        <v>INGENIERIA EN CONECTIVIDAD Y REDES</v>
      </c>
      <c r="AJ13" s="44" t="n">
        <f>IFERROR(INDEX($Y$19:$Y$95,MATCH(6,$AF$19:$AF$95,0)),"")</f>
        <v>108</v>
      </c>
      <c r="AK13" s="15" t="str">
        <f>IFERROR(INDEX($A$19:$A$95,MATCH(6,$AG$19:$AG$95,0)),"")</f>
        <v>I162S2C11J2</v>
      </c>
      <c r="AL13" s="15" t="str">
        <f>IFERROR(INDEX($B$19:$B$95,MATCH(6,$AG$19:$AG$95,0)),"")</f>
        <v>TECNICO EN AUTOMATIZACION Y CONTROL INDUSTRIAL</v>
      </c>
      <c r="AM13" s="44" t="n">
        <f>IFERROR(INDEX($Y$19:$Y$95,MATCH(6,$AG$19:$AG$95,0)),"")</f>
        <v>-8</v>
      </c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</row>
    <row r="14" ht="27" customHeight="1">
      <c r="A14" s="14" t="str">
        <v>TOTAL</v>
      </c>
      <c r="B14" s="14" t="n">
        <f>COUNTIFS($C$19:$C$95,IF($B$4="Todas","*",$B$4),$D$19:$D$95,IF($D$4="Todas","*",$D$4),$E$19:$E$95,IF($F$4="Todas","*",$F$4))</f>
        <v>77</v>
      </c>
      <c r="C14" s="14" t="str">
        <v>familias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4" t="str">
        <f>IFERROR(INDEX($A$19:$A$95,MATCH(7,$AF$19:$AF$95,0)),"")</f>
        <v>I162S2C83J4</v>
      </c>
      <c r="AI14" s="14" t="str">
        <f>IFERROR(INDEX($B$19:$B$95,MATCH(7,$AF$19:$AF$95,0)),"")</f>
        <v>ADMINISTRACION PUBLICA</v>
      </c>
      <c r="AJ14" s="43" t="n">
        <f>IFERROR(INDEX($Y$19:$Y$95,MATCH(7,$AF$19:$AF$95,0)),"")</f>
        <v>103</v>
      </c>
      <c r="AK14" s="14" t="str">
        <f>IFERROR(INDEX($A$19:$A$95,MATCH(7,$AG$19:$AG$95,0)),"")</f>
        <v>I162S2C6J1</v>
      </c>
      <c r="AL14" s="14" t="str">
        <f>IFERROR(INDEX($B$19:$B$95,MATCH(7,$AG$19:$AG$95,0)),"")</f>
        <v>TECNICO EN CONECTIVIDAD Y REDES</v>
      </c>
      <c r="AM14" s="43" t="n">
        <f>IFERROR(INDEX($Y$19:$Y$95,MATCH(7,$AG$19:$AG$95,0)),"")</f>
        <v>-6</v>
      </c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</row>
    <row r="15" ht="36" customHeight="1">
      <c r="A15" s="13" t="str">
        <v>Prioridad C: CERRADA (total 2026=0), NUEVA (base 2022=0), EN_EXTINCION (primer año 2026=0), luego ALZA/BAJA ±10 % o ESTABLE. No certifica cierre de oferta.</v>
      </c>
      <c r="B15" s="13" t="str">
        <v>Prioridad C: CERRADA (total 2026=0), NUEVA (base 2022=0), EN_EXTINCION (primer año 2026=0), luego ALZA/BAJA ±10 % o ESTABLE. No certifica cierre de oferta.</v>
      </c>
      <c r="C15" s="13" t="str">
        <v>Prioridad C: CERRADA (total 2026=0), NUEVA (base 2022=0), EN_EXTINCION (primer año 2026=0), luego ALZA/BAJA ±10 % o ESTABLE. No certifica cierre de oferta.</v>
      </c>
      <c r="D15" s="13" t="str">
        <v>Prioridad C: CERRADA (total 2026=0), NUEVA (base 2022=0), EN_EXTINCION (primer año 2026=0), luego ALZA/BAJA ±10 % o ESTABLE. No certifica cierre de oferta.</v>
      </c>
      <c r="E15" s="13" t="str">
        <v>Prioridad C: CERRADA (total 2026=0), NUEVA (base 2022=0), EN_EXTINCION (primer año 2026=0), luego ALZA/BAJA ±10 % o ESTABLE. No certifica cierre de oferta.</v>
      </c>
      <c r="F15" s="13" t="str">
        <v>Prioridad C: CERRADA (total 2026=0), NUEVA (base 2022=0), EN_EXTINCION (primer año 2026=0), luego ALZA/BAJA ±10 % o ESTABLE. No certifica cierre de oferta.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tr">
        <f>IFERROR(INDEX($A$19:$A$95,MATCH(8,$AF$19:$AF$95,0)),"")</f>
        <v>I162S2C114J2</v>
      </c>
      <c r="AI15" s="15" t="str">
        <f>IFERROR(INDEX($B$19:$B$95,MATCH(8,$AF$19:$AF$95,0)),"")</f>
        <v>TECNICO EN ENFERMERIA E INSTRUMENTACION QUIRURGICA</v>
      </c>
      <c r="AJ15" s="44" t="n">
        <f>IFERROR(INDEX($Y$19:$Y$95,MATCH(8,$AF$19:$AF$95,0)),"")</f>
        <v>94</v>
      </c>
      <c r="AK15" s="15" t="str">
        <f>IFERROR(INDEX($A$19:$A$95,MATCH(8,$AG$19:$AG$95,0)),"")</f>
        <v>I162S2C2J1</v>
      </c>
      <c r="AL15" s="15" t="str">
        <f>IFERROR(INDEX($B$19:$B$95,MATCH(8,$AG$19:$AG$95,0)),"")</f>
        <v>TECNICO EN PROGRAMACION COMPUTACIONAL</v>
      </c>
      <c r="AM15" s="44" t="n">
        <f>IFERROR(INDEX($Y$19:$Y$95,MATCH(8,$AG$19:$AG$95,0)),"")</f>
        <v>-3</v>
      </c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</row>
    <row r="16" ht="36" customHeight="1">
      <c r="A16" s="13" t="str">
        <v>Sin fila: ausencia de matrícula publicada; primer año vacío en una versión: E, nunca cero. Porcentaje con base cero: E. CERRADA no acredita cierre de oferta.</v>
      </c>
      <c r="B16" s="13" t="str">
        <v>Sin fila: ausencia de matrícula publicada; primer año vacío en una versión: E, nunca cero. Porcentaje con base cero: E. CERRADA no acredita cierre de oferta.</v>
      </c>
      <c r="C16" s="13" t="str">
        <v>Sin fila: ausencia de matrícula publicada; primer año vacío en una versión: E, nunca cero. Porcentaje con base cero: E. CERRADA no acredita cierre de oferta.</v>
      </c>
      <c r="D16" s="13" t="str">
        <v>Sin fila: ausencia de matrícula publicada; primer año vacío en una versión: E, nunca cero. Porcentaje con base cero: E. CERRADA no acredita cierre de oferta.</v>
      </c>
      <c r="E16" s="13" t="str">
        <v>Sin fila: ausencia de matrícula publicada; primer año vacío en una versión: E, nunca cero. Porcentaje con base cero: E. CERRADA no acredita cierre de oferta.</v>
      </c>
      <c r="F16" s="13" t="str">
        <v>Sin fila: ausencia de matrícula publicada; primer año vacío en una versión: E, nunca cero. Porcentaje con base cero: E. CERRADA no acredita cierre de oferta.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4" t="str">
        <f>IFERROR(INDEX($A$19:$A$95,MATCH(9,$AF$19:$AF$95,0)),"")</f>
        <v>I162S2C57J4</v>
      </c>
      <c r="AI16" s="14" t="str">
        <f>IFERROR(INDEX($B$19:$B$95,MATCH(9,$AF$19:$AF$95,0)),"")</f>
        <v>TECNICO EN PROGRAMACION Y ANALISIS DE SISTEMAS</v>
      </c>
      <c r="AJ16" s="43" t="n">
        <f>IFERROR(INDEX($Y$19:$Y$95,MATCH(9,$AF$19:$AF$95,0)),"")</f>
        <v>88</v>
      </c>
      <c r="AK16" s="14" t="str">
        <f>IFERROR(INDEX($A$19:$A$95,MATCH(9,$AG$19:$AG$95,0)),"")</f>
        <v>I162S2C35J4</v>
      </c>
      <c r="AL16" s="14" t="str">
        <f>IFERROR(INDEX($B$19:$B$95,MATCH(9,$AG$19:$AG$95,0)),"")</f>
        <v>TECNICO EN ANALISIS DE SISTEMAS</v>
      </c>
      <c r="AM16" s="43" t="n">
        <f>IFERROR(INDEX($Y$19:$Y$95,MATCH(9,$AG$19:$AG$95,0)),"")</f>
        <v>-3</v>
      </c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</row>
    <row r="17" ht="36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 t="str">
        <f>IFERROR(INDEX($A$19:$A$95,MATCH(10,$AF$19:$AF$95,0)),"")</f>
        <v>I162S2C78J4</v>
      </c>
      <c r="AI17" s="15" t="str">
        <f>IFERROR(INDEX($B$19:$B$95,MATCH(10,$AF$19:$AF$95,0)),"")</f>
        <v>TECNICO EN ADMINISTRACION DE EMPRESAS</v>
      </c>
      <c r="AJ17" s="44" t="n">
        <f>IFERROR(INDEX($Y$19:$Y$95,MATCH(10,$AF$19:$AF$95,0)),"")</f>
        <v>88</v>
      </c>
      <c r="AK17" s="15" t="str">
        <f>IFERROR(INDEX($A$19:$A$95,MATCH(10,$AG$19:$AG$95,0)),"")</f>
        <v>I162S2C57J1</v>
      </c>
      <c r="AL17" s="15" t="str">
        <f>IFERROR(INDEX($B$19:$B$95,MATCH(10,$AG$19:$AG$95,0)),"")</f>
        <v>TECNICO EN PROGRAMACION Y ANALISIS DE SISTEMAS</v>
      </c>
      <c r="AM17" s="44" t="n">
        <f>IFERROR(INDEX($Y$19:$Y$95,MATCH(10,$AG$19:$AG$95,0)),"")</f>
        <v>-2</v>
      </c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</row>
    <row r="18" ht="48" customHeight="1">
      <c r="A18" s="9" t="str">
        <v>Familia SIES</v>
      </c>
      <c r="B18" s="9" t="str">
        <v>Carrera</v>
      </c>
      <c r="C18" s="9" t="str">
        <v>Sede</v>
      </c>
      <c r="D18" s="9" t="str">
        <v>Jornada</v>
      </c>
      <c r="E18" s="9" t="str">
        <v>Sector IPSS</v>
      </c>
      <c r="F18" s="9" t="str">
        <v>Códigos incluidos</v>
      </c>
      <c r="G18" s="9" t="str">
        <v>Primer año</v>
      </c>
      <c r="H18" s="9" t="str">
        <v>Último año</v>
      </c>
      <c r="I18" s="9" t="str">
        <v>Total 2019</v>
      </c>
      <c r="J18" s="9" t="str">
        <v>Primer año 2019</v>
      </c>
      <c r="K18" s="9" t="str">
        <v>Total 2020</v>
      </c>
      <c r="L18" s="9" t="str">
        <v>Primer año 2020</v>
      </c>
      <c r="M18" s="9" t="str">
        <v>Total 2021</v>
      </c>
      <c r="N18" s="9" t="str">
        <v>Primer año 2021</v>
      </c>
      <c r="O18" s="9" t="str">
        <v>Total 2022</v>
      </c>
      <c r="P18" s="9" t="str">
        <v>Primer año 2022</v>
      </c>
      <c r="Q18" s="9" t="str">
        <v>Total 2023</v>
      </c>
      <c r="R18" s="9" t="str">
        <v>Primer año 2023</v>
      </c>
      <c r="S18" s="9" t="str">
        <v>Total 2024</v>
      </c>
      <c r="T18" s="9" t="str">
        <v>Primer año 2024</v>
      </c>
      <c r="U18" s="9" t="str">
        <v>Total 2025</v>
      </c>
      <c r="V18" s="9" t="str">
        <v>Primer año 2025</v>
      </c>
      <c r="W18" s="9" t="str">
        <v>Total 2026</v>
      </c>
      <c r="X18" s="9" t="str">
        <v>Primer año 2026</v>
      </c>
      <c r="Y18" s="9" t="str">
        <v>Variación absoluta 2022→2026</v>
      </c>
      <c r="Z18" s="9" t="str">
        <v>Variación % 2022→2026</v>
      </c>
      <c r="AA18" s="9" t="str">
        <v>Variación absoluta 2024→2026</v>
      </c>
      <c r="AB18" s="9" t="str">
        <v>Variación % 2024→2026</v>
      </c>
      <c r="AC18" s="9" t="str">
        <v>Clasificación</v>
      </c>
      <c r="AD18" s="9" t="str">
        <v>Clase / fuente</v>
      </c>
      <c r="AE18" s="9" t="str">
        <v>Auxiliar variación filtrada</v>
      </c>
      <c r="AF18" s="9" t="str">
        <v>Auxiliar orden alza</v>
      </c>
      <c r="AG18" s="9" t="str">
        <v>Auxiliar orden baja</v>
      </c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</row>
    <row r="19" ht="36" customHeight="1">
      <c r="A19" s="14" t="str">
        <v>I162M2008N1</v>
      </c>
      <c r="B19" s="14" t="str">
        <v>CONSTRUCCION Y ADMINISTRACION DE REDES DE COMUNICACIONES</v>
      </c>
      <c r="C19" s="14" t="str">
        <v>E: sin sede</v>
      </c>
      <c r="D19" s="14" t="str">
        <v>E: sin jornada</v>
      </c>
      <c r="E19" s="14" t="str">
        <v>E: sin sector</v>
      </c>
      <c r="F19" s="14" t="str">
        <v>I162M2008N1</v>
      </c>
      <c r="G19" s="21" t="n">
        <v>2008</v>
      </c>
      <c r="H19" s="21" t="n">
        <v>2008</v>
      </c>
      <c r="I19" s="22" t="n">
        <v>0</v>
      </c>
      <c r="J19" s="22" t="n">
        <v>0</v>
      </c>
      <c r="K19" s="22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0</v>
      </c>
      <c r="X19" s="22" t="n">
        <v>0</v>
      </c>
      <c r="Y19" s="43" t="n">
        <f>W19-O19</f>
        <v>0</v>
      </c>
      <c r="Z19" s="29" t="str">
        <f>IF(O19=0,"E: base 0",Y19/O19)</f>
        <v>E: base 0</v>
      </c>
      <c r="AA19" s="43" t="n">
        <f>W19-S19</f>
        <v>0</v>
      </c>
      <c r="AB19" s="29" t="str">
        <f>IF(S19=0,"E: base 0",AA19/S19)</f>
        <v>E: base 0</v>
      </c>
      <c r="AC19" s="14" t="str">
        <v>CERRADA</v>
      </c>
      <c r="AD19" s="14" t="str">
        <v>B/C; PUBLICA</v>
      </c>
      <c r="AE19" s="14" t="n">
        <f>IF(AND(OR($B$4="Todas",C19=$B$4),OR($D$4="Todas",D19=$D$4),OR($F$4="Todas",E19=$F$4)),Y19,"")</f>
        <v>0</v>
      </c>
      <c r="AF19" s="14" t="str">
        <f>IF(AND(ISNUMBER(AE19),AE19&gt;0),COUNTIF($AE$19:$AE$95,"&gt;"&amp;AE19)+COUNTIF($AE$19:AE19,AE19),"")</f>
        <v/>
      </c>
      <c r="AG19" s="14" t="str">
        <f>IF(AND(ISNUMBER(AE19),AE19&lt;0),COUNTIF($AE$19:$AE$95,"&lt;"&amp;AE19)+COUNTIF($AE$19:AE19,AE19),"")</f>
        <v/>
      </c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</row>
    <row r="20" ht="36" customHeight="1">
      <c r="A20" s="15" t="str">
        <v>I162M2008N3</v>
      </c>
      <c r="B20" s="15" t="str">
        <v>CONSTRUCCION Y ADMINISTRACION DE REDES DE COMUNICACIONES</v>
      </c>
      <c r="C20" s="15" t="str">
        <v>E: sin sede</v>
      </c>
      <c r="D20" s="15" t="str">
        <v>E: sin jornada</v>
      </c>
      <c r="E20" s="15" t="str">
        <v>E: sin sector</v>
      </c>
      <c r="F20" s="15" t="str">
        <v>I162M2008N3</v>
      </c>
      <c r="G20" s="23" t="n">
        <v>2008</v>
      </c>
      <c r="H20" s="23" t="n">
        <v>2008</v>
      </c>
      <c r="I20" s="24" t="n">
        <v>0</v>
      </c>
      <c r="J20" s="24" t="n">
        <v>0</v>
      </c>
      <c r="K20" s="24" t="n">
        <v>0</v>
      </c>
      <c r="L20" s="24" t="n">
        <v>0</v>
      </c>
      <c r="M20" s="24" t="n">
        <v>0</v>
      </c>
      <c r="N20" s="24" t="n">
        <v>0</v>
      </c>
      <c r="O20" s="24" t="n">
        <v>0</v>
      </c>
      <c r="P20" s="24" t="n">
        <v>0</v>
      </c>
      <c r="Q20" s="24" t="n">
        <v>0</v>
      </c>
      <c r="R20" s="24" t="n">
        <v>0</v>
      </c>
      <c r="S20" s="24" t="n">
        <v>0</v>
      </c>
      <c r="T20" s="24" t="n">
        <v>0</v>
      </c>
      <c r="U20" s="24" t="n">
        <v>0</v>
      </c>
      <c r="V20" s="24" t="n">
        <v>0</v>
      </c>
      <c r="W20" s="24" t="n">
        <v>0</v>
      </c>
      <c r="X20" s="24" t="n">
        <v>0</v>
      </c>
      <c r="Y20" s="44" t="n">
        <f>W20-O20</f>
        <v>0</v>
      </c>
      <c r="Z20" s="30" t="str">
        <f>IF(O20=0,"E: base 0",Y20/O20)</f>
        <v>E: base 0</v>
      </c>
      <c r="AA20" s="44" t="n">
        <f>W20-S20</f>
        <v>0</v>
      </c>
      <c r="AB20" s="30" t="str">
        <f>IF(S20=0,"E: base 0",AA20/S20)</f>
        <v>E: base 0</v>
      </c>
      <c r="AC20" s="15" t="str">
        <v>CERRADA</v>
      </c>
      <c r="AD20" s="15" t="str">
        <v>B/C; PUBLICA</v>
      </c>
      <c r="AE20" s="15" t="n">
        <f>IF(AND(OR($B$4="Todas",C20=$B$4),OR($D$4="Todas",D20=$D$4),OR($F$4="Todas",E20=$F$4)),Y20,"")</f>
        <v>0</v>
      </c>
      <c r="AF20" s="15" t="str">
        <f>IF(AND(ISNUMBER(AE20),AE20&gt;0),COUNTIF($AE$19:$AE$95,"&gt;"&amp;AE20)+COUNTIF($AE$19:AE20,AE20),"")</f>
        <v/>
      </c>
      <c r="AG20" s="15" t="str">
        <f>IF(AND(ISNUMBER(AE20),AE20&lt;0),COUNTIF($AE$19:$AE$95,"&lt;"&amp;AE20)+COUNTIF($AE$19:AE20,AE20),"")</f>
        <v/>
      </c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</row>
    <row r="21" ht="27" customHeight="1">
      <c r="A21" s="14" t="str">
        <v>I162S2C10J1</v>
      </c>
      <c r="B21" s="14" t="str">
        <v>PREVENCION DE RIESGOS</v>
      </c>
      <c r="C21" s="14" t="str">
        <v>Santiago</v>
      </c>
      <c r="D21" s="14" t="str">
        <v>Diurna</v>
      </c>
      <c r="E21" s="14" t="str">
        <v>E: sin sector</v>
      </c>
      <c r="F21" s="14" t="str">
        <v>I162S2C10J1V1</v>
      </c>
      <c r="G21" s="21" t="n">
        <v>2013</v>
      </c>
      <c r="H21" s="21" t="n">
        <v>2013</v>
      </c>
      <c r="I21" s="22" t="n">
        <v>0</v>
      </c>
      <c r="J21" s="22" t="n">
        <v>0</v>
      </c>
      <c r="K21" s="22" t="n">
        <v>0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2" t="n">
        <v>0</v>
      </c>
      <c r="R21" s="22" t="n">
        <v>0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0</v>
      </c>
      <c r="X21" s="22" t="n">
        <v>0</v>
      </c>
      <c r="Y21" s="43" t="n">
        <f>W21-O21</f>
        <v>0</v>
      </c>
      <c r="Z21" s="29" t="str">
        <f>IF(O21=0,"E: base 0",Y21/O21)</f>
        <v>E: base 0</v>
      </c>
      <c r="AA21" s="43" t="n">
        <f>W21-S21</f>
        <v>0</v>
      </c>
      <c r="AB21" s="29" t="str">
        <f>IF(S21=0,"E: base 0",AA21/S21)</f>
        <v>E: base 0</v>
      </c>
      <c r="AC21" s="14" t="str">
        <v>CERRADA</v>
      </c>
      <c r="AD21" s="14" t="str">
        <v>B/C; PUBLICA</v>
      </c>
      <c r="AE21" s="14" t="n">
        <f>IF(AND(OR($B$4="Todas",C21=$B$4),OR($D$4="Todas",D21=$D$4),OR($F$4="Todas",E21=$F$4)),Y21,"")</f>
        <v>0</v>
      </c>
      <c r="AF21" s="14" t="str">
        <f>IF(AND(ISNUMBER(AE21),AE21&gt;0),COUNTIF($AE$19:$AE$95,"&gt;"&amp;AE21)+COUNTIF($AE$19:AE21,AE21),"")</f>
        <v/>
      </c>
      <c r="AG21" s="14" t="str">
        <f>IF(AND(ISNUMBER(AE21),AE21&lt;0),COUNTIF($AE$19:$AE$95,"&lt;"&amp;AE21)+COUNTIF($AE$19:AE21,AE21),"")</f>
        <v/>
      </c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</row>
    <row r="22" ht="27" customHeight="1">
      <c r="A22" s="15" t="str">
        <v>I162S2C10J2</v>
      </c>
      <c r="B22" s="15" t="str">
        <v>TECNICO EN PREVENCION DE RIESGOS</v>
      </c>
      <c r="C22" s="15" t="str">
        <v>Santiago</v>
      </c>
      <c r="D22" s="15" t="str">
        <v>Vespertina</v>
      </c>
      <c r="E22" s="15" t="str">
        <v>E: sin sector</v>
      </c>
      <c r="F22" s="15" t="str">
        <v>I162S2C10J2V1</v>
      </c>
      <c r="G22" s="23" t="n">
        <v>2013</v>
      </c>
      <c r="H22" s="23" t="n">
        <v>2019</v>
      </c>
      <c r="I22" s="24" t="n">
        <v>1</v>
      </c>
      <c r="J22" s="24" t="str">
        <v>E: sin dato</v>
      </c>
      <c r="K22" s="24" t="n">
        <v>0</v>
      </c>
      <c r="L22" s="24" t="n">
        <v>0</v>
      </c>
      <c r="M22" s="24" t="n">
        <v>0</v>
      </c>
      <c r="N22" s="24" t="n">
        <v>0</v>
      </c>
      <c r="O22" s="24" t="n">
        <v>0</v>
      </c>
      <c r="P22" s="24" t="n">
        <v>0</v>
      </c>
      <c r="Q22" s="24" t="n">
        <v>0</v>
      </c>
      <c r="R22" s="24" t="n">
        <v>0</v>
      </c>
      <c r="S22" s="24" t="n">
        <v>0</v>
      </c>
      <c r="T22" s="24" t="n">
        <v>0</v>
      </c>
      <c r="U22" s="24" t="n">
        <v>0</v>
      </c>
      <c r="V22" s="24" t="n">
        <v>0</v>
      </c>
      <c r="W22" s="24" t="n">
        <v>0</v>
      </c>
      <c r="X22" s="24" t="n">
        <v>0</v>
      </c>
      <c r="Y22" s="44" t="n">
        <f>W22-O22</f>
        <v>0</v>
      </c>
      <c r="Z22" s="30" t="str">
        <f>IF(O22=0,"E: base 0",Y22/O22)</f>
        <v>E: base 0</v>
      </c>
      <c r="AA22" s="44" t="n">
        <f>W22-S22</f>
        <v>0</v>
      </c>
      <c r="AB22" s="30" t="str">
        <f>IF(S22=0,"E: base 0",AA22/S22)</f>
        <v>E: base 0</v>
      </c>
      <c r="AC22" s="15" t="str">
        <v>CERRADA</v>
      </c>
      <c r="AD22" s="15" t="str">
        <v>B/C; PUBLICA</v>
      </c>
      <c r="AE22" s="15" t="n">
        <f>IF(AND(OR($B$4="Todas",C22=$B$4),OR($D$4="Todas",D22=$D$4),OR($F$4="Todas",E22=$F$4)),Y22,"")</f>
        <v>0</v>
      </c>
      <c r="AF22" s="15" t="str">
        <f>IF(AND(ISNUMBER(AE22),AE22&gt;0),COUNTIF($AE$19:$AE$95,"&gt;"&amp;AE22)+COUNTIF($AE$19:AE22,AE22),"")</f>
        <v/>
      </c>
      <c r="AG22" s="15" t="str">
        <f>IF(AND(ISNUMBER(AE22),AE22&lt;0),COUNTIF($AE$19:$AE$95,"&lt;"&amp;AE22)+COUNTIF($AE$19:AE22,AE22),"")</f>
        <v/>
      </c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</row>
    <row r="23" ht="27" customHeight="1">
      <c r="A23" s="14" t="str">
        <v>I162S2C10J4</v>
      </c>
      <c r="B23" s="14" t="str">
        <v>TECNICO EN PREVENCION DE RIESGOS</v>
      </c>
      <c r="C23" s="14" t="str">
        <v>Santiago</v>
      </c>
      <c r="D23" s="14" t="str">
        <v>A distancia</v>
      </c>
      <c r="E23" s="14" t="str">
        <v>E: sin sector</v>
      </c>
      <c r="F23" s="14" t="str">
        <v>I162S2C10J4V1</v>
      </c>
      <c r="G23" s="21" t="n">
        <v>2026</v>
      </c>
      <c r="H23" s="21" t="n">
        <v>2026</v>
      </c>
      <c r="I23" s="22" t="n">
        <v>0</v>
      </c>
      <c r="J23" s="22" t="n">
        <v>0</v>
      </c>
      <c r="K23" s="22" t="n">
        <v>0</v>
      </c>
      <c r="L23" s="22" t="n">
        <v>0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0</v>
      </c>
      <c r="R23" s="22" t="n">
        <v>0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17</v>
      </c>
      <c r="X23" s="22" t="n">
        <v>17</v>
      </c>
      <c r="Y23" s="43" t="n">
        <f>W23-O23</f>
        <v>17</v>
      </c>
      <c r="Z23" s="29" t="str">
        <f>IF(O23=0,"E: base 0",Y23/O23)</f>
        <v>E: base 0</v>
      </c>
      <c r="AA23" s="43" t="n">
        <f>W23-S23</f>
        <v>17</v>
      </c>
      <c r="AB23" s="29" t="str">
        <f>IF(S23=0,"E: base 0",AA23/S23)</f>
        <v>E: base 0</v>
      </c>
      <c r="AC23" s="14" t="str">
        <v>NUEVA</v>
      </c>
      <c r="AD23" s="14" t="str">
        <v>B/C; PUBLICA</v>
      </c>
      <c r="AE23" s="14" t="n">
        <f>IF(AND(OR($B$4="Todas",C23=$B$4),OR($D$4="Todas",D23=$D$4),OR($F$4="Todas",E23=$F$4)),Y23,"")</f>
        <v>17</v>
      </c>
      <c r="AF23" s="14" t="n">
        <f>IF(AND(ISNUMBER(AE23),AE23&gt;0),COUNTIF($AE$19:$AE$95,"&gt;"&amp;AE23)+COUNTIF($AE$19:AE23,AE23),"")</f>
        <v>39</v>
      </c>
      <c r="AG23" s="14" t="str">
        <f>IF(AND(ISNUMBER(AE23),AE23&lt;0),COUNTIF($AE$19:$AE$95,"&lt;"&amp;AE23)+COUNTIF($AE$19:AE23,AE23),"")</f>
        <v/>
      </c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</row>
    <row r="24" ht="27" customHeight="1">
      <c r="A24" s="15" t="str">
        <v>I162S2C111J4</v>
      </c>
      <c r="B24" s="15" t="str">
        <v>INGENIERIA EN FINANZAS</v>
      </c>
      <c r="C24" s="15" t="str">
        <v>Santiago</v>
      </c>
      <c r="D24" s="15" t="str">
        <v>A distancia</v>
      </c>
      <c r="E24" s="15" t="str">
        <v>E: sin sector</v>
      </c>
      <c r="F24" s="15" t="str">
        <v>I162S2C111J4V1</v>
      </c>
      <c r="G24" s="23" t="n">
        <v>2026</v>
      </c>
      <c r="H24" s="23" t="n">
        <v>2026</v>
      </c>
      <c r="I24" s="24" t="n">
        <v>0</v>
      </c>
      <c r="J24" s="24" t="n">
        <v>0</v>
      </c>
      <c r="K24" s="24" t="n">
        <v>0</v>
      </c>
      <c r="L24" s="24" t="n">
        <v>0</v>
      </c>
      <c r="M24" s="24" t="n">
        <v>0</v>
      </c>
      <c r="N24" s="24" t="n">
        <v>0</v>
      </c>
      <c r="O24" s="24" t="n">
        <v>0</v>
      </c>
      <c r="P24" s="24" t="n">
        <v>0</v>
      </c>
      <c r="Q24" s="24" t="n">
        <v>0</v>
      </c>
      <c r="R24" s="24" t="n">
        <v>0</v>
      </c>
      <c r="S24" s="24" t="n">
        <v>0</v>
      </c>
      <c r="T24" s="24" t="n">
        <v>0</v>
      </c>
      <c r="U24" s="24" t="n">
        <v>0</v>
      </c>
      <c r="V24" s="24" t="n">
        <v>0</v>
      </c>
      <c r="W24" s="24" t="n">
        <v>30</v>
      </c>
      <c r="X24" s="24" t="n">
        <v>30</v>
      </c>
      <c r="Y24" s="44" t="n">
        <f>W24-O24</f>
        <v>30</v>
      </c>
      <c r="Z24" s="30" t="str">
        <f>IF(O24=0,"E: base 0",Y24/O24)</f>
        <v>E: base 0</v>
      </c>
      <c r="AA24" s="44" t="n">
        <f>W24-S24</f>
        <v>30</v>
      </c>
      <c r="AB24" s="30" t="str">
        <f>IF(S24=0,"E: base 0",AA24/S24)</f>
        <v>E: base 0</v>
      </c>
      <c r="AC24" s="15" t="str">
        <v>NUEVA</v>
      </c>
      <c r="AD24" s="15" t="str">
        <v>B/C; PUBLICA</v>
      </c>
      <c r="AE24" s="15" t="n">
        <f>IF(AND(OR($B$4="Todas",C24=$B$4),OR($D$4="Todas",D24=$D$4),OR($F$4="Todas",E24=$F$4)),Y24,"")</f>
        <v>30</v>
      </c>
      <c r="AF24" s="15" t="n">
        <f>IF(AND(ISNUMBER(AE24),AE24&gt;0),COUNTIF($AE$19:$AE$95,"&gt;"&amp;AE24)+COUNTIF($AE$19:AE24,AE24),"")</f>
        <v>26</v>
      </c>
      <c r="AG24" s="15" t="str">
        <f>IF(AND(ISNUMBER(AE24),AE24&lt;0),COUNTIF($AE$19:$AE$95,"&lt;"&amp;AE24)+COUNTIF($AE$19:AE24,AE24),"")</f>
        <v/>
      </c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</row>
    <row r="25" ht="27" customHeight="1">
      <c r="A25" s="14" t="str">
        <v>I162S2C112J4</v>
      </c>
      <c r="B25" s="14" t="str">
        <v>INGENIERIA EN MARKETING DIGITAL</v>
      </c>
      <c r="C25" s="14" t="str">
        <v>Santiago</v>
      </c>
      <c r="D25" s="14" t="str">
        <v>A distancia</v>
      </c>
      <c r="E25" s="14" t="str">
        <v>E: sin sector</v>
      </c>
      <c r="F25" s="14" t="str">
        <v>I162S2C112J4V1</v>
      </c>
      <c r="G25" s="21" t="n">
        <v>2026</v>
      </c>
      <c r="H25" s="21" t="n">
        <v>2026</v>
      </c>
      <c r="I25" s="22" t="n">
        <v>0</v>
      </c>
      <c r="J25" s="22" t="n">
        <v>0</v>
      </c>
      <c r="K25" s="22" t="n">
        <v>0</v>
      </c>
      <c r="L25" s="22" t="n">
        <v>0</v>
      </c>
      <c r="M25" s="22" t="n">
        <v>0</v>
      </c>
      <c r="N25" s="22" t="n">
        <v>0</v>
      </c>
      <c r="O25" s="22" t="n">
        <v>0</v>
      </c>
      <c r="P25" s="22" t="n">
        <v>0</v>
      </c>
      <c r="Q25" s="22" t="n">
        <v>0</v>
      </c>
      <c r="R25" s="22" t="n">
        <v>0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66</v>
      </c>
      <c r="X25" s="22" t="n">
        <v>66</v>
      </c>
      <c r="Y25" s="43" t="n">
        <f>W25-O25</f>
        <v>66</v>
      </c>
      <c r="Z25" s="29" t="str">
        <f>IF(O25=0,"E: base 0",Y25/O25)</f>
        <v>E: base 0</v>
      </c>
      <c r="AA25" s="43" t="n">
        <f>W25-S25</f>
        <v>66</v>
      </c>
      <c r="AB25" s="29" t="str">
        <f>IF(S25=0,"E: base 0",AA25/S25)</f>
        <v>E: base 0</v>
      </c>
      <c r="AC25" s="14" t="str">
        <v>NUEVA</v>
      </c>
      <c r="AD25" s="14" t="str">
        <v>B/C; PUBLICA</v>
      </c>
      <c r="AE25" s="14" t="n">
        <f>IF(AND(OR($B$4="Todas",C25=$B$4),OR($D$4="Todas",D25=$D$4),OR($F$4="Todas",E25=$F$4)),Y25,"")</f>
        <v>66</v>
      </c>
      <c r="AF25" s="14" t="n">
        <f>IF(AND(ISNUMBER(AE25),AE25&gt;0),COUNTIF($AE$19:$AE$95,"&gt;"&amp;AE25)+COUNTIF($AE$19:AE25,AE25),"")</f>
        <v>14</v>
      </c>
      <c r="AG25" s="14" t="str">
        <f>IF(AND(ISNUMBER(AE25),AE25&lt;0),COUNTIF($AE$19:$AE$95,"&lt;"&amp;AE25)+COUNTIF($AE$19:AE25,AE25),"")</f>
        <v/>
      </c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</row>
    <row r="26" ht="27" customHeight="1">
      <c r="A26" s="15" t="str">
        <v>I162S2C113J4</v>
      </c>
      <c r="B26" s="15" t="str">
        <v>INGENIERIA EN RECURSOS HUMANOS</v>
      </c>
      <c r="C26" s="15" t="str">
        <v>Santiago</v>
      </c>
      <c r="D26" s="15" t="str">
        <v>A distancia</v>
      </c>
      <c r="E26" s="15" t="str">
        <v>E: sin sector</v>
      </c>
      <c r="F26" s="15" t="str">
        <v>I162S2C113J4V1</v>
      </c>
      <c r="G26" s="23" t="n">
        <v>2026</v>
      </c>
      <c r="H26" s="23" t="n">
        <v>2026</v>
      </c>
      <c r="I26" s="24" t="n">
        <v>0</v>
      </c>
      <c r="J26" s="24" t="n">
        <v>0</v>
      </c>
      <c r="K26" s="24" t="n">
        <v>0</v>
      </c>
      <c r="L26" s="24" t="n">
        <v>0</v>
      </c>
      <c r="M26" s="24" t="n">
        <v>0</v>
      </c>
      <c r="N26" s="24" t="n">
        <v>0</v>
      </c>
      <c r="O26" s="24" t="n">
        <v>0</v>
      </c>
      <c r="P26" s="24" t="n">
        <v>0</v>
      </c>
      <c r="Q26" s="24" t="n">
        <v>0</v>
      </c>
      <c r="R26" s="24" t="n">
        <v>0</v>
      </c>
      <c r="S26" s="24" t="n">
        <v>0</v>
      </c>
      <c r="T26" s="24" t="n">
        <v>0</v>
      </c>
      <c r="U26" s="24" t="n">
        <v>0</v>
      </c>
      <c r="V26" s="24" t="n">
        <v>0</v>
      </c>
      <c r="W26" s="24" t="n">
        <v>33</v>
      </c>
      <c r="X26" s="24" t="n">
        <v>33</v>
      </c>
      <c r="Y26" s="44" t="n">
        <f>W26-O26</f>
        <v>33</v>
      </c>
      <c r="Z26" s="30" t="str">
        <f>IF(O26=0,"E: base 0",Y26/O26)</f>
        <v>E: base 0</v>
      </c>
      <c r="AA26" s="44" t="n">
        <f>W26-S26</f>
        <v>33</v>
      </c>
      <c r="AB26" s="30" t="str">
        <f>IF(S26=0,"E: base 0",AA26/S26)</f>
        <v>E: base 0</v>
      </c>
      <c r="AC26" s="15" t="str">
        <v>NUEVA</v>
      </c>
      <c r="AD26" s="15" t="str">
        <v>B/C; PUBLICA</v>
      </c>
      <c r="AE26" s="15" t="n">
        <f>IF(AND(OR($B$4="Todas",C26=$B$4),OR($D$4="Todas",D26=$D$4),OR($F$4="Todas",E26=$F$4)),Y26,"")</f>
        <v>33</v>
      </c>
      <c r="AF26" s="15" t="n">
        <f>IF(AND(ISNUMBER(AE26),AE26&gt;0),COUNTIF($AE$19:$AE$95,"&gt;"&amp;AE26)+COUNTIF($AE$19:AE26,AE26),"")</f>
        <v>24</v>
      </c>
      <c r="AG26" s="15" t="str">
        <f>IF(AND(ISNUMBER(AE26),AE26&lt;0),COUNTIF($AE$19:$AE$95,"&lt;"&amp;AE26)+COUNTIF($AE$19:AE26,AE26),"")</f>
        <v/>
      </c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</row>
    <row r="27" ht="36" customHeight="1">
      <c r="A27" s="14" t="str">
        <v>I162S2C114J2</v>
      </c>
      <c r="B27" s="14" t="str">
        <v>TECNICO EN ENFERMERIA E INSTRUMENTACION QUIRURGICA</v>
      </c>
      <c r="C27" s="14" t="str">
        <v>Santiago</v>
      </c>
      <c r="D27" s="14" t="str">
        <v>Vespertina</v>
      </c>
      <c r="E27" s="14" t="str">
        <v>E: sin sector</v>
      </c>
      <c r="F27" s="14" t="str">
        <v>I162S2C114J2V1</v>
      </c>
      <c r="G27" s="21" t="n">
        <v>2026</v>
      </c>
      <c r="H27" s="21" t="n">
        <v>2026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2" t="n">
        <v>0</v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94</v>
      </c>
      <c r="X27" s="22" t="n">
        <v>94</v>
      </c>
      <c r="Y27" s="43" t="n">
        <f>W27-O27</f>
        <v>94</v>
      </c>
      <c r="Z27" s="29" t="str">
        <f>IF(O27=0,"E: base 0",Y27/O27)</f>
        <v>E: base 0</v>
      </c>
      <c r="AA27" s="43" t="n">
        <f>W27-S27</f>
        <v>94</v>
      </c>
      <c r="AB27" s="29" t="str">
        <f>IF(S27=0,"E: base 0",AA27/S27)</f>
        <v>E: base 0</v>
      </c>
      <c r="AC27" s="14" t="str">
        <v>NUEVA</v>
      </c>
      <c r="AD27" s="14" t="str">
        <v>B/C; PUBLICA</v>
      </c>
      <c r="AE27" s="14" t="n">
        <f>IF(AND(OR($B$4="Todas",C27=$B$4),OR($D$4="Todas",D27=$D$4),OR($F$4="Todas",E27=$F$4)),Y27,"")</f>
        <v>94</v>
      </c>
      <c r="AF27" s="14" t="n">
        <f>IF(AND(ISNUMBER(AE27),AE27&gt;0),COUNTIF($AE$19:$AE$95,"&gt;"&amp;AE27)+COUNTIF($AE$19:AE27,AE27),"")</f>
        <v>8</v>
      </c>
      <c r="AG27" s="14" t="str">
        <f>IF(AND(ISNUMBER(AE27),AE27&lt;0),COUNTIF($AE$19:$AE$95,"&lt;"&amp;AE27)+COUNTIF($AE$19:AE27,AE27),"")</f>
        <v/>
      </c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</row>
    <row r="28" ht="27" customHeight="1">
      <c r="A28" s="15" t="str">
        <v>I162S2C115J2</v>
      </c>
      <c r="B28" s="15" t="str">
        <v>TECNICO EN FARMACIA</v>
      </c>
      <c r="C28" s="15" t="str">
        <v>Santiago</v>
      </c>
      <c r="D28" s="15" t="str">
        <v>Vespertina</v>
      </c>
      <c r="E28" s="15" t="str">
        <v>E: sin sector</v>
      </c>
      <c r="F28" s="15" t="str">
        <v>I162S2C115J2V1</v>
      </c>
      <c r="G28" s="23" t="n">
        <v>2026</v>
      </c>
      <c r="H28" s="23" t="n">
        <v>2026</v>
      </c>
      <c r="I28" s="24" t="n">
        <v>0</v>
      </c>
      <c r="J28" s="24" t="n">
        <v>0</v>
      </c>
      <c r="K28" s="24" t="n">
        <v>0</v>
      </c>
      <c r="L28" s="24" t="n">
        <v>0</v>
      </c>
      <c r="M28" s="24" t="n">
        <v>0</v>
      </c>
      <c r="N28" s="24" t="n">
        <v>0</v>
      </c>
      <c r="O28" s="24" t="n">
        <v>0</v>
      </c>
      <c r="P28" s="24" t="n">
        <v>0</v>
      </c>
      <c r="Q28" s="24" t="n">
        <v>0</v>
      </c>
      <c r="R28" s="24" t="n">
        <v>0</v>
      </c>
      <c r="S28" s="24" t="n">
        <v>0</v>
      </c>
      <c r="T28" s="24" t="n">
        <v>0</v>
      </c>
      <c r="U28" s="24" t="n">
        <v>0</v>
      </c>
      <c r="V28" s="24" t="n">
        <v>0</v>
      </c>
      <c r="W28" s="24" t="n">
        <v>27</v>
      </c>
      <c r="X28" s="24" t="n">
        <v>27</v>
      </c>
      <c r="Y28" s="44" t="n">
        <f>W28-O28</f>
        <v>27</v>
      </c>
      <c r="Z28" s="30" t="str">
        <f>IF(O28=0,"E: base 0",Y28/O28)</f>
        <v>E: base 0</v>
      </c>
      <c r="AA28" s="44" t="n">
        <f>W28-S28</f>
        <v>27</v>
      </c>
      <c r="AB28" s="30" t="str">
        <f>IF(S28=0,"E: base 0",AA28/S28)</f>
        <v>E: base 0</v>
      </c>
      <c r="AC28" s="15" t="str">
        <v>NUEVA</v>
      </c>
      <c r="AD28" s="15" t="str">
        <v>B/C; PUBLICA</v>
      </c>
      <c r="AE28" s="15" t="n">
        <f>IF(AND(OR($B$4="Todas",C28=$B$4),OR($D$4="Todas",D28=$D$4),OR($F$4="Todas",E28=$F$4)),Y28,"")</f>
        <v>27</v>
      </c>
      <c r="AF28" s="15" t="n">
        <f>IF(AND(ISNUMBER(AE28),AE28&gt;0),COUNTIF($AE$19:$AE$95,"&gt;"&amp;AE28)+COUNTIF($AE$19:AE28,AE28),"")</f>
        <v>28</v>
      </c>
      <c r="AG28" s="15" t="str">
        <f>IF(AND(ISNUMBER(AE28),AE28&lt;0),COUNTIF($AE$19:$AE$95,"&lt;"&amp;AE28)+COUNTIF($AE$19:AE28,AE28),"")</f>
        <v/>
      </c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</row>
    <row r="29" ht="27" customHeight="1">
      <c r="A29" s="14" t="str">
        <v>I162S2C116J4</v>
      </c>
      <c r="B29" s="14" t="str">
        <v>TECNICO EN FINANZAS</v>
      </c>
      <c r="C29" s="14" t="str">
        <v>Santiago</v>
      </c>
      <c r="D29" s="14" t="str">
        <v>A distancia</v>
      </c>
      <c r="E29" s="14" t="str">
        <v>E: sin sector</v>
      </c>
      <c r="F29" s="14" t="str">
        <v>I162S2C116J4V1</v>
      </c>
      <c r="G29" s="21" t="n">
        <v>2026</v>
      </c>
      <c r="H29" s="21" t="n">
        <v>2026</v>
      </c>
      <c r="I29" s="22" t="n">
        <v>0</v>
      </c>
      <c r="J29" s="22" t="n">
        <v>0</v>
      </c>
      <c r="K29" s="22" t="n">
        <v>0</v>
      </c>
      <c r="L29" s="22" t="n">
        <v>0</v>
      </c>
      <c r="M29" s="22" t="n">
        <v>0</v>
      </c>
      <c r="N29" s="22" t="n">
        <v>0</v>
      </c>
      <c r="O29" s="22" t="n">
        <v>0</v>
      </c>
      <c r="P29" s="22" t="n">
        <v>0</v>
      </c>
      <c r="Q29" s="22" t="n">
        <v>0</v>
      </c>
      <c r="R29" s="22" t="n">
        <v>0</v>
      </c>
      <c r="S29" s="22" t="n">
        <v>0</v>
      </c>
      <c r="T29" s="22" t="n">
        <v>0</v>
      </c>
      <c r="U29" s="22" t="n">
        <v>0</v>
      </c>
      <c r="V29" s="22" t="n">
        <v>0</v>
      </c>
      <c r="W29" s="22" t="n">
        <v>24</v>
      </c>
      <c r="X29" s="22" t="n">
        <v>24</v>
      </c>
      <c r="Y29" s="43" t="n">
        <f>W29-O29</f>
        <v>24</v>
      </c>
      <c r="Z29" s="29" t="str">
        <f>IF(O29=0,"E: base 0",Y29/O29)</f>
        <v>E: base 0</v>
      </c>
      <c r="AA29" s="43" t="n">
        <f>W29-S29</f>
        <v>24</v>
      </c>
      <c r="AB29" s="29" t="str">
        <f>IF(S29=0,"E: base 0",AA29/S29)</f>
        <v>E: base 0</v>
      </c>
      <c r="AC29" s="14" t="str">
        <v>NUEVA</v>
      </c>
      <c r="AD29" s="14" t="str">
        <v>B/C; PUBLICA</v>
      </c>
      <c r="AE29" s="14" t="n">
        <f>IF(AND(OR($B$4="Todas",C29=$B$4),OR($D$4="Todas",D29=$D$4),OR($F$4="Todas",E29=$F$4)),Y29,"")</f>
        <v>24</v>
      </c>
      <c r="AF29" s="14" t="n">
        <f>IF(AND(ISNUMBER(AE29),AE29&gt;0),COUNTIF($AE$19:$AE$95,"&gt;"&amp;AE29)+COUNTIF($AE$19:AE29,AE29),"")</f>
        <v>32</v>
      </c>
      <c r="AG29" s="14" t="str">
        <f>IF(AND(ISNUMBER(AE29),AE29&lt;0),COUNTIF($AE$19:$AE$95,"&lt;"&amp;AE29)+COUNTIF($AE$19:AE29,AE29),"")</f>
        <v/>
      </c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</row>
    <row r="30" ht="27" customHeight="1">
      <c r="A30" s="15" t="str">
        <v>I162S2C117J4</v>
      </c>
      <c r="B30" s="15" t="str">
        <v>TECNICO EN INFRAESTRUCTURA CLOUD</v>
      </c>
      <c r="C30" s="15" t="str">
        <v>Santiago</v>
      </c>
      <c r="D30" s="15" t="str">
        <v>A distancia</v>
      </c>
      <c r="E30" s="15" t="str">
        <v>E: sin sector</v>
      </c>
      <c r="F30" s="15" t="str">
        <v>I162S2C117J4V1</v>
      </c>
      <c r="G30" s="23" t="n">
        <v>2026</v>
      </c>
      <c r="H30" s="23" t="n">
        <v>2026</v>
      </c>
      <c r="I30" s="24" t="n">
        <v>0</v>
      </c>
      <c r="J30" s="24" t="n">
        <v>0</v>
      </c>
      <c r="K30" s="24" t="n">
        <v>0</v>
      </c>
      <c r="L30" s="24" t="n">
        <v>0</v>
      </c>
      <c r="M30" s="24" t="n">
        <v>0</v>
      </c>
      <c r="N30" s="24" t="n">
        <v>0</v>
      </c>
      <c r="O30" s="24" t="n">
        <v>0</v>
      </c>
      <c r="P30" s="24" t="n">
        <v>0</v>
      </c>
      <c r="Q30" s="24" t="n">
        <v>0</v>
      </c>
      <c r="R30" s="24" t="n">
        <v>0</v>
      </c>
      <c r="S30" s="24" t="n">
        <v>0</v>
      </c>
      <c r="T30" s="24" t="n">
        <v>0</v>
      </c>
      <c r="U30" s="24" t="n">
        <v>0</v>
      </c>
      <c r="V30" s="24" t="n">
        <v>0</v>
      </c>
      <c r="W30" s="24" t="n">
        <v>12</v>
      </c>
      <c r="X30" s="24" t="n">
        <v>12</v>
      </c>
      <c r="Y30" s="44" t="n">
        <f>W30-O30</f>
        <v>12</v>
      </c>
      <c r="Z30" s="30" t="str">
        <f>IF(O30=0,"E: base 0",Y30/O30)</f>
        <v>E: base 0</v>
      </c>
      <c r="AA30" s="44" t="n">
        <f>W30-S30</f>
        <v>12</v>
      </c>
      <c r="AB30" s="30" t="str">
        <f>IF(S30=0,"E: base 0",AA30/S30)</f>
        <v>E: base 0</v>
      </c>
      <c r="AC30" s="15" t="str">
        <v>NUEVA</v>
      </c>
      <c r="AD30" s="15" t="str">
        <v>B/C; PUBLICA</v>
      </c>
      <c r="AE30" s="15" t="n">
        <f>IF(AND(OR($B$4="Todas",C30=$B$4),OR($D$4="Todas",D30=$D$4),OR($F$4="Todas",E30=$F$4)),Y30,"")</f>
        <v>12</v>
      </c>
      <c r="AF30" s="15" t="n">
        <f>IF(AND(ISNUMBER(AE30),AE30&gt;0),COUNTIF($AE$19:$AE$95,"&gt;"&amp;AE30)+COUNTIF($AE$19:AE30,AE30),"")</f>
        <v>45</v>
      </c>
      <c r="AG30" s="15" t="str">
        <f>IF(AND(ISNUMBER(AE30),AE30&lt;0),COUNTIF($AE$19:$AE$95,"&lt;"&amp;AE30)+COUNTIF($AE$19:AE30,AE30),"")</f>
        <v/>
      </c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</row>
    <row r="31" ht="27" customHeight="1">
      <c r="A31" s="14" t="str">
        <v>I162S2C118J4</v>
      </c>
      <c r="B31" s="14" t="str">
        <v>TECNICO EN MARKETING DIGITAL</v>
      </c>
      <c r="C31" s="14" t="str">
        <v>Santiago</v>
      </c>
      <c r="D31" s="14" t="str">
        <v>A distancia</v>
      </c>
      <c r="E31" s="14" t="str">
        <v>E: sin sector</v>
      </c>
      <c r="F31" s="14" t="str">
        <v>I162S2C118J4V1</v>
      </c>
      <c r="G31" s="21" t="n">
        <v>2026</v>
      </c>
      <c r="H31" s="21" t="n">
        <v>2026</v>
      </c>
      <c r="I31" s="22" t="n">
        <v>0</v>
      </c>
      <c r="J31" s="22" t="n">
        <v>0</v>
      </c>
      <c r="K31" s="22" t="n">
        <v>0</v>
      </c>
      <c r="L31" s="22" t="n">
        <v>0</v>
      </c>
      <c r="M31" s="22" t="n">
        <v>0</v>
      </c>
      <c r="N31" s="22" t="n">
        <v>0</v>
      </c>
      <c r="O31" s="22" t="n">
        <v>0</v>
      </c>
      <c r="P31" s="22" t="n">
        <v>0</v>
      </c>
      <c r="Q31" s="22" t="n">
        <v>0</v>
      </c>
      <c r="R31" s="22" t="n">
        <v>0</v>
      </c>
      <c r="S31" s="22" t="n">
        <v>0</v>
      </c>
      <c r="T31" s="22" t="n">
        <v>0</v>
      </c>
      <c r="U31" s="22" t="n">
        <v>0</v>
      </c>
      <c r="V31" s="22" t="n">
        <v>0</v>
      </c>
      <c r="W31" s="22" t="n">
        <v>64</v>
      </c>
      <c r="X31" s="22" t="n">
        <v>64</v>
      </c>
      <c r="Y31" s="43" t="n">
        <f>W31-O31</f>
        <v>64</v>
      </c>
      <c r="Z31" s="29" t="str">
        <f>IF(O31=0,"E: base 0",Y31/O31)</f>
        <v>E: base 0</v>
      </c>
      <c r="AA31" s="43" t="n">
        <f>W31-S31</f>
        <v>64</v>
      </c>
      <c r="AB31" s="29" t="str">
        <f>IF(S31=0,"E: base 0",AA31/S31)</f>
        <v>E: base 0</v>
      </c>
      <c r="AC31" s="14" t="str">
        <v>NUEVA</v>
      </c>
      <c r="AD31" s="14" t="str">
        <v>B/C; PUBLICA</v>
      </c>
      <c r="AE31" s="14" t="n">
        <f>IF(AND(OR($B$4="Todas",C31=$B$4),OR($D$4="Todas",D31=$D$4),OR($F$4="Todas",E31=$F$4)),Y31,"")</f>
        <v>64</v>
      </c>
      <c r="AF31" s="14" t="n">
        <f>IF(AND(ISNUMBER(AE31),AE31&gt;0),COUNTIF($AE$19:$AE$95,"&gt;"&amp;AE31)+COUNTIF($AE$19:AE31,AE31),"")</f>
        <v>15</v>
      </c>
      <c r="AG31" s="14" t="str">
        <f>IF(AND(ISNUMBER(AE31),AE31&lt;0),COUNTIF($AE$19:$AE$95,"&lt;"&amp;AE31)+COUNTIF($AE$19:AE31,AE31),"")</f>
        <v/>
      </c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</row>
    <row r="32" ht="27" customHeight="1">
      <c r="A32" s="15" t="str">
        <v>I162S2C119J4</v>
      </c>
      <c r="B32" s="15" t="str">
        <v>TECNICO EN RECURSOS HUMANOS</v>
      </c>
      <c r="C32" s="15" t="str">
        <v>Santiago</v>
      </c>
      <c r="D32" s="15" t="str">
        <v>A distancia</v>
      </c>
      <c r="E32" s="15" t="str">
        <v>E: sin sector</v>
      </c>
      <c r="F32" s="15" t="str">
        <v>I162S2C119J4V1</v>
      </c>
      <c r="G32" s="23" t="n">
        <v>2026</v>
      </c>
      <c r="H32" s="23" t="n">
        <v>2026</v>
      </c>
      <c r="I32" s="24" t="n">
        <v>0</v>
      </c>
      <c r="J32" s="24" t="n">
        <v>0</v>
      </c>
      <c r="K32" s="24" t="n">
        <v>0</v>
      </c>
      <c r="L32" s="24" t="n">
        <v>0</v>
      </c>
      <c r="M32" s="24" t="n">
        <v>0</v>
      </c>
      <c r="N32" s="24" t="n">
        <v>0</v>
      </c>
      <c r="O32" s="24" t="n">
        <v>0</v>
      </c>
      <c r="P32" s="24" t="n">
        <v>0</v>
      </c>
      <c r="Q32" s="24" t="n">
        <v>0</v>
      </c>
      <c r="R32" s="24" t="n">
        <v>0</v>
      </c>
      <c r="S32" s="24" t="n">
        <v>0</v>
      </c>
      <c r="T32" s="24" t="n">
        <v>0</v>
      </c>
      <c r="U32" s="24" t="n">
        <v>0</v>
      </c>
      <c r="V32" s="24" t="n">
        <v>0</v>
      </c>
      <c r="W32" s="24" t="n">
        <v>28</v>
      </c>
      <c r="X32" s="24" t="n">
        <v>28</v>
      </c>
      <c r="Y32" s="44" t="n">
        <f>W32-O32</f>
        <v>28</v>
      </c>
      <c r="Z32" s="30" t="str">
        <f>IF(O32=0,"E: base 0",Y32/O32)</f>
        <v>E: base 0</v>
      </c>
      <c r="AA32" s="44" t="n">
        <f>W32-S32</f>
        <v>28</v>
      </c>
      <c r="AB32" s="30" t="str">
        <f>IF(S32=0,"E: base 0",AA32/S32)</f>
        <v>E: base 0</v>
      </c>
      <c r="AC32" s="15" t="str">
        <v>NUEVA</v>
      </c>
      <c r="AD32" s="15" t="str">
        <v>B/C; PUBLICA</v>
      </c>
      <c r="AE32" s="15" t="n">
        <f>IF(AND(OR($B$4="Todas",C32=$B$4),OR($D$4="Todas",D32=$D$4),OR($F$4="Todas",E32=$F$4)),Y32,"")</f>
        <v>28</v>
      </c>
      <c r="AF32" s="15" t="n">
        <f>IF(AND(ISNUMBER(AE32),AE32&gt;0),COUNTIF($AE$19:$AE$95,"&gt;"&amp;AE32)+COUNTIF($AE$19:AE32,AE32),"")</f>
        <v>27</v>
      </c>
      <c r="AG32" s="15" t="str">
        <f>IF(AND(ISNUMBER(AE32),AE32&lt;0),COUNTIF($AE$19:$AE$95,"&lt;"&amp;AE32)+COUNTIF($AE$19:AE32,AE32),"")</f>
        <v/>
      </c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</row>
    <row r="33" ht="36" customHeight="1">
      <c r="A33" s="14" t="str">
        <v>I162S2C11J1</v>
      </c>
      <c r="B33" s="14" t="str">
        <v>TECNICO EN AUTOMATIZACION Y CONTROL INDUSTRIAL</v>
      </c>
      <c r="C33" s="14" t="str">
        <v>Santiago</v>
      </c>
      <c r="D33" s="14" t="str">
        <v>Diurna</v>
      </c>
      <c r="E33" s="14" t="str">
        <v>E: sin sector</v>
      </c>
      <c r="F33" s="14" t="str">
        <v>I162S2C11J1V1</v>
      </c>
      <c r="G33" s="21" t="n">
        <v>2013</v>
      </c>
      <c r="H33" s="21" t="n">
        <v>2019</v>
      </c>
      <c r="I33" s="22" t="n">
        <v>5</v>
      </c>
      <c r="J33" s="22" t="str">
        <v>E: sin dato</v>
      </c>
      <c r="K33" s="22" t="n">
        <v>0</v>
      </c>
      <c r="L33" s="22" t="n">
        <v>0</v>
      </c>
      <c r="M33" s="22" t="n">
        <v>0</v>
      </c>
      <c r="N33" s="22" t="n">
        <v>0</v>
      </c>
      <c r="O33" s="22" t="n">
        <v>0</v>
      </c>
      <c r="P33" s="22" t="n">
        <v>0</v>
      </c>
      <c r="Q33" s="22" t="n">
        <v>0</v>
      </c>
      <c r="R33" s="22" t="n">
        <v>0</v>
      </c>
      <c r="S33" s="22" t="n">
        <v>0</v>
      </c>
      <c r="T33" s="22" t="n">
        <v>0</v>
      </c>
      <c r="U33" s="22" t="n">
        <v>0</v>
      </c>
      <c r="V33" s="22" t="n">
        <v>0</v>
      </c>
      <c r="W33" s="22" t="n">
        <v>0</v>
      </c>
      <c r="X33" s="22" t="n">
        <v>0</v>
      </c>
      <c r="Y33" s="43" t="n">
        <f>W33-O33</f>
        <v>0</v>
      </c>
      <c r="Z33" s="29" t="str">
        <f>IF(O33=0,"E: base 0",Y33/O33)</f>
        <v>E: base 0</v>
      </c>
      <c r="AA33" s="43" t="n">
        <f>W33-S33</f>
        <v>0</v>
      </c>
      <c r="AB33" s="29" t="str">
        <f>IF(S33=0,"E: base 0",AA33/S33)</f>
        <v>E: base 0</v>
      </c>
      <c r="AC33" s="14" t="str">
        <v>CERRADA</v>
      </c>
      <c r="AD33" s="14" t="str">
        <v>B/C; PUBLICA</v>
      </c>
      <c r="AE33" s="14" t="n">
        <f>IF(AND(OR($B$4="Todas",C33=$B$4),OR($D$4="Todas",D33=$D$4),OR($F$4="Todas",E33=$F$4)),Y33,"")</f>
        <v>0</v>
      </c>
      <c r="AF33" s="14" t="str">
        <f>IF(AND(ISNUMBER(AE33),AE33&gt;0),COUNTIF($AE$19:$AE$95,"&gt;"&amp;AE33)+COUNTIF($AE$19:AE33,AE33),"")</f>
        <v/>
      </c>
      <c r="AG33" s="14" t="str">
        <f>IF(AND(ISNUMBER(AE33),AE33&lt;0),COUNTIF($AE$19:$AE$95,"&lt;"&amp;AE33)+COUNTIF($AE$19:AE33,AE33),"")</f>
        <v/>
      </c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</row>
    <row r="34" ht="36" customHeight="1">
      <c r="A34" s="15" t="str">
        <v>I162S2C11J2</v>
      </c>
      <c r="B34" s="15" t="str">
        <v>TECNICO EN AUTOMATIZACION Y CONTROL INDUSTRIAL</v>
      </c>
      <c r="C34" s="15" t="str">
        <v>Santiago</v>
      </c>
      <c r="D34" s="15" t="str">
        <v>Vespertina</v>
      </c>
      <c r="E34" s="15" t="str">
        <v>E: sin sector</v>
      </c>
      <c r="F34" s="15" t="str">
        <v>I162S2C11J2V1</v>
      </c>
      <c r="G34" s="23" t="n">
        <v>2013</v>
      </c>
      <c r="H34" s="23" t="n">
        <v>2025</v>
      </c>
      <c r="I34" s="24" t="n">
        <v>32</v>
      </c>
      <c r="J34" s="24" t="n">
        <v>11</v>
      </c>
      <c r="K34" s="24" t="n">
        <v>25</v>
      </c>
      <c r="L34" s="24" t="n">
        <v>8</v>
      </c>
      <c r="M34" s="24" t="n">
        <v>19</v>
      </c>
      <c r="N34" s="24" t="n">
        <v>8</v>
      </c>
      <c r="O34" s="24" t="n">
        <v>8</v>
      </c>
      <c r="P34" s="24" t="str">
        <v>E: sin dato</v>
      </c>
      <c r="Q34" s="24" t="n">
        <v>3</v>
      </c>
      <c r="R34" s="24" t="str">
        <v>E: sin dato</v>
      </c>
      <c r="S34" s="24" t="n">
        <v>0</v>
      </c>
      <c r="T34" s="24" t="n">
        <v>0</v>
      </c>
      <c r="U34" s="24" t="n">
        <v>1</v>
      </c>
      <c r="V34" s="24" t="str">
        <v>E: sin dato</v>
      </c>
      <c r="W34" s="24" t="n">
        <v>0</v>
      </c>
      <c r="X34" s="24" t="n">
        <v>0</v>
      </c>
      <c r="Y34" s="44" t="n">
        <f>W34-O34</f>
        <v>-8</v>
      </c>
      <c r="Z34" s="30" t="n">
        <f>IF(O34=0,"E: base 0",Y34/O34)</f>
        <v>-1</v>
      </c>
      <c r="AA34" s="44" t="n">
        <f>W34-S34</f>
        <v>0</v>
      </c>
      <c r="AB34" s="30" t="str">
        <f>IF(S34=0,"E: base 0",AA34/S34)</f>
        <v>E: base 0</v>
      </c>
      <c r="AC34" s="15" t="str">
        <v>CERRADA</v>
      </c>
      <c r="AD34" s="15" t="str">
        <v>B/C; PUBLICA</v>
      </c>
      <c r="AE34" s="15" t="n">
        <f>IF(AND(OR($B$4="Todas",C34=$B$4),OR($D$4="Todas",D34=$D$4),OR($F$4="Todas",E34=$F$4)),Y34,"")</f>
        <v>-8</v>
      </c>
      <c r="AF34" s="15" t="str">
        <f>IF(AND(ISNUMBER(AE34),AE34&gt;0),COUNTIF($AE$19:$AE$95,"&gt;"&amp;AE34)+COUNTIF($AE$19:AE34,AE34),"")</f>
        <v/>
      </c>
      <c r="AG34" s="15" t="n">
        <f>IF(AND(ISNUMBER(AE34),AE34&lt;0),COUNTIF($AE$19:$AE$95,"&lt;"&amp;AE34)+COUNTIF($AE$19:AE34,AE34),"")</f>
        <v>6</v>
      </c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</row>
    <row r="35" ht="27" customHeight="1">
      <c r="A35" s="14" t="str">
        <v>I162S2C124J4</v>
      </c>
      <c r="B35" s="14" t="str">
        <v>INGENIERIA EN PREVENCION DE RIESGOS</v>
      </c>
      <c r="C35" s="14" t="str">
        <v>Santiago</v>
      </c>
      <c r="D35" s="14" t="str">
        <v>A distancia</v>
      </c>
      <c r="E35" s="14" t="str">
        <v>E: sin sector</v>
      </c>
      <c r="F35" s="14" t="str">
        <v>I162S2C124J4V1</v>
      </c>
      <c r="G35" s="21" t="n">
        <v>2026</v>
      </c>
      <c r="H35" s="21" t="n">
        <v>2026</v>
      </c>
      <c r="I35" s="22" t="n">
        <v>0</v>
      </c>
      <c r="J35" s="22" t="n">
        <v>0</v>
      </c>
      <c r="K35" s="22" t="n">
        <v>0</v>
      </c>
      <c r="L35" s="22" t="n">
        <v>0</v>
      </c>
      <c r="M35" s="22" t="n">
        <v>0</v>
      </c>
      <c r="N35" s="22" t="n">
        <v>0</v>
      </c>
      <c r="O35" s="22" t="n">
        <v>0</v>
      </c>
      <c r="P35" s="22" t="n">
        <v>0</v>
      </c>
      <c r="Q35" s="22" t="n">
        <v>0</v>
      </c>
      <c r="R35" s="22" t="n">
        <v>0</v>
      </c>
      <c r="S35" s="22" t="n">
        <v>0</v>
      </c>
      <c r="T35" s="22" t="n">
        <v>0</v>
      </c>
      <c r="U35" s="22" t="n">
        <v>0</v>
      </c>
      <c r="V35" s="22" t="n">
        <v>0</v>
      </c>
      <c r="W35" s="22" t="n">
        <v>25</v>
      </c>
      <c r="X35" s="22" t="n">
        <v>25</v>
      </c>
      <c r="Y35" s="43" t="n">
        <f>W35-O35</f>
        <v>25</v>
      </c>
      <c r="Z35" s="29" t="str">
        <f>IF(O35=0,"E: base 0",Y35/O35)</f>
        <v>E: base 0</v>
      </c>
      <c r="AA35" s="43" t="n">
        <f>W35-S35</f>
        <v>25</v>
      </c>
      <c r="AB35" s="29" t="str">
        <f>IF(S35=0,"E: base 0",AA35/S35)</f>
        <v>E: base 0</v>
      </c>
      <c r="AC35" s="14" t="str">
        <v>NUEVA</v>
      </c>
      <c r="AD35" s="14" t="str">
        <v>B/C; PUBLICA</v>
      </c>
      <c r="AE35" s="14" t="n">
        <f>IF(AND(OR($B$4="Todas",C35=$B$4),OR($D$4="Todas",D35=$D$4),OR($F$4="Todas",E35=$F$4)),Y35,"")</f>
        <v>25</v>
      </c>
      <c r="AF35" s="14" t="n">
        <f>IF(AND(ISNUMBER(AE35),AE35&gt;0),COUNTIF($AE$19:$AE$95,"&gt;"&amp;AE35)+COUNTIF($AE$19:AE35,AE35),"")</f>
        <v>29</v>
      </c>
      <c r="AG35" s="14" t="str">
        <f>IF(AND(ISNUMBER(AE35),AE35&lt;0),COUNTIF($AE$19:$AE$95,"&lt;"&amp;AE35)+COUNTIF($AE$19:AE35,AE35),"")</f>
        <v/>
      </c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</row>
    <row r="36" ht="27" customHeight="1">
      <c r="A36" s="15" t="str">
        <v>I162S2C125J4</v>
      </c>
      <c r="B36" s="15" t="str">
        <v>INGENIERIA EN SEGURIDAD PRIVADA</v>
      </c>
      <c r="C36" s="15" t="str">
        <v>Santiago</v>
      </c>
      <c r="D36" s="15" t="str">
        <v>A distancia</v>
      </c>
      <c r="E36" s="15" t="str">
        <v>E: sin sector</v>
      </c>
      <c r="F36" s="15" t="str">
        <v>I162S2C125J4V1</v>
      </c>
      <c r="G36" s="23" t="n">
        <v>2026</v>
      </c>
      <c r="H36" s="23" t="n">
        <v>2026</v>
      </c>
      <c r="I36" s="24" t="n">
        <v>0</v>
      </c>
      <c r="J36" s="24" t="n">
        <v>0</v>
      </c>
      <c r="K36" s="24" t="n">
        <v>0</v>
      </c>
      <c r="L36" s="24" t="n">
        <v>0</v>
      </c>
      <c r="M36" s="24" t="n">
        <v>0</v>
      </c>
      <c r="N36" s="24" t="n">
        <v>0</v>
      </c>
      <c r="O36" s="24" t="n">
        <v>0</v>
      </c>
      <c r="P36" s="24" t="n">
        <v>0</v>
      </c>
      <c r="Q36" s="24" t="n">
        <v>0</v>
      </c>
      <c r="R36" s="24" t="n">
        <v>0</v>
      </c>
      <c r="S36" s="24" t="n">
        <v>0</v>
      </c>
      <c r="T36" s="24" t="n">
        <v>0</v>
      </c>
      <c r="U36" s="24" t="n">
        <v>0</v>
      </c>
      <c r="V36" s="24" t="n">
        <v>0</v>
      </c>
      <c r="W36" s="24" t="n">
        <v>13</v>
      </c>
      <c r="X36" s="24" t="n">
        <v>13</v>
      </c>
      <c r="Y36" s="44" t="n">
        <f>W36-O36</f>
        <v>13</v>
      </c>
      <c r="Z36" s="30" t="str">
        <f>IF(O36=0,"E: base 0",Y36/O36)</f>
        <v>E: base 0</v>
      </c>
      <c r="AA36" s="44" t="n">
        <f>W36-S36</f>
        <v>13</v>
      </c>
      <c r="AB36" s="30" t="str">
        <f>IF(S36=0,"E: base 0",AA36/S36)</f>
        <v>E: base 0</v>
      </c>
      <c r="AC36" s="15" t="str">
        <v>NUEVA</v>
      </c>
      <c r="AD36" s="15" t="str">
        <v>B/C; PUBLICA</v>
      </c>
      <c r="AE36" s="15" t="n">
        <f>IF(AND(OR($B$4="Todas",C36=$B$4),OR($D$4="Todas",D36=$D$4),OR($F$4="Todas",E36=$F$4)),Y36,"")</f>
        <v>13</v>
      </c>
      <c r="AF36" s="15" t="n">
        <f>IF(AND(ISNUMBER(AE36),AE36&gt;0),COUNTIF($AE$19:$AE$95,"&gt;"&amp;AE36)+COUNTIF($AE$19:AE36,AE36),"")</f>
        <v>44</v>
      </c>
      <c r="AG36" s="15" t="str">
        <f>IF(AND(ISNUMBER(AE36),AE36&lt;0),COUNTIF($AE$19:$AE$95,"&lt;"&amp;AE36)+COUNTIF($AE$19:AE36,AE36),"")</f>
        <v/>
      </c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</row>
    <row r="37" ht="36" customHeight="1">
      <c r="A37" s="14" t="str">
        <v>I162S2C1J1</v>
      </c>
      <c r="B37" s="14" t="str">
        <v>INGENIERIA EN INFORMATICA</v>
      </c>
      <c r="C37" s="14" t="str">
        <v>Santiago</v>
      </c>
      <c r="D37" s="14" t="str">
        <v>Diurna</v>
      </c>
      <c r="E37" s="14" t="str">
        <v>Tecnologías</v>
      </c>
      <c r="F37" s="14" t="str">
        <v>I162S2C1J1V1 / I162S2C1J1V2</v>
      </c>
      <c r="G37" s="21" t="n">
        <v>2008</v>
      </c>
      <c r="H37" s="21" t="n">
        <v>2026</v>
      </c>
      <c r="I37" s="22" t="n">
        <v>43</v>
      </c>
      <c r="J37" s="22" t="str">
        <v>E: sin dato</v>
      </c>
      <c r="K37" s="22" t="n">
        <v>30</v>
      </c>
      <c r="L37" s="22" t="str">
        <v>E: sin dato</v>
      </c>
      <c r="M37" s="22" t="n">
        <v>19</v>
      </c>
      <c r="N37" s="22" t="str">
        <v>E: sin dato</v>
      </c>
      <c r="O37" s="22" t="n">
        <v>19</v>
      </c>
      <c r="P37" s="22" t="n">
        <v>5</v>
      </c>
      <c r="Q37" s="22" t="n">
        <v>4</v>
      </c>
      <c r="R37" s="22" t="str">
        <v>E: sin dato</v>
      </c>
      <c r="S37" s="22" t="n">
        <v>16</v>
      </c>
      <c r="T37" s="22" t="n">
        <v>15</v>
      </c>
      <c r="U37" s="22" t="n">
        <v>30</v>
      </c>
      <c r="V37" s="22" t="n">
        <v>17</v>
      </c>
      <c r="W37" s="22" t="n">
        <v>36</v>
      </c>
      <c r="X37" s="22" t="n">
        <v>13</v>
      </c>
      <c r="Y37" s="43" t="n">
        <f>W37-O37</f>
        <v>17</v>
      </c>
      <c r="Z37" s="29" t="n">
        <f>IF(O37=0,"E: base 0",Y37/O37)</f>
        <v>0.894736842105263</v>
      </c>
      <c r="AA37" s="43" t="n">
        <f>W37-S37</f>
        <v>20</v>
      </c>
      <c r="AB37" s="29" t="n">
        <f>IF(S37=0,"E: base 0",AA37/S37)</f>
        <v>1.25</v>
      </c>
      <c r="AC37" s="14" t="str">
        <v>ALZA</v>
      </c>
      <c r="AD37" s="14" t="str">
        <v>B/C; PUBLICA</v>
      </c>
      <c r="AE37" s="14" t="n">
        <f>IF(AND(OR($B$4="Todas",C37=$B$4),OR($D$4="Todas",D37=$D$4),OR($F$4="Todas",E37=$F$4)),Y37,"")</f>
        <v>17</v>
      </c>
      <c r="AF37" s="14" t="n">
        <f>IF(AND(ISNUMBER(AE37),AE37&gt;0),COUNTIF($AE$19:$AE$95,"&gt;"&amp;AE37)+COUNTIF($AE$19:AE37,AE37),"")</f>
        <v>40</v>
      </c>
      <c r="AG37" s="14" t="str">
        <f>IF(AND(ISNUMBER(AE37),AE37&lt;0),COUNTIF($AE$19:$AE$95,"&lt;"&amp;AE37)+COUNTIF($AE$19:AE37,AE37),"")</f>
        <v/>
      </c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</row>
    <row r="38" ht="50" customHeight="1">
      <c r="A38" s="15" t="str">
        <v>I162S2C1J2</v>
      </c>
      <c r="B38" s="15" t="str">
        <v>INGENIERIA EN INFORMATICA</v>
      </c>
      <c r="C38" s="15" t="str">
        <v>Santiago</v>
      </c>
      <c r="D38" s="15" t="str">
        <v>Vespertina</v>
      </c>
      <c r="E38" s="15" t="str">
        <v>Tecnologías</v>
      </c>
      <c r="F38" s="15" t="str">
        <v>I162S2C1J2V1 / I162S2C1J2V2 / I162S2C1J2V3 / I162S2C1J2V4</v>
      </c>
      <c r="G38" s="23" t="n">
        <v>2007</v>
      </c>
      <c r="H38" s="23" t="n">
        <v>2026</v>
      </c>
      <c r="I38" s="24" t="n">
        <v>139</v>
      </c>
      <c r="J38" s="24" t="str">
        <v>E: sin dato</v>
      </c>
      <c r="K38" s="24" t="n">
        <v>95</v>
      </c>
      <c r="L38" s="24" t="str">
        <v>E: sin dato</v>
      </c>
      <c r="M38" s="24" t="n">
        <v>60</v>
      </c>
      <c r="N38" s="24" t="str">
        <v>E: sin dato</v>
      </c>
      <c r="O38" s="24" t="n">
        <v>29</v>
      </c>
      <c r="P38" s="24" t="n">
        <v>7</v>
      </c>
      <c r="Q38" s="24" t="n">
        <v>28</v>
      </c>
      <c r="R38" s="24" t="n">
        <v>12</v>
      </c>
      <c r="S38" s="24" t="n">
        <v>28</v>
      </c>
      <c r="T38" s="24" t="n">
        <v>12</v>
      </c>
      <c r="U38" s="24" t="n">
        <v>33</v>
      </c>
      <c r="V38" s="24" t="n">
        <v>18</v>
      </c>
      <c r="W38" s="24" t="n">
        <v>32</v>
      </c>
      <c r="X38" s="24" t="n">
        <v>15</v>
      </c>
      <c r="Y38" s="44" t="n">
        <f>W38-O38</f>
        <v>3</v>
      </c>
      <c r="Z38" s="30" t="n">
        <f>IF(O38=0,"E: base 0",Y38/O38)</f>
        <v>0.103448275862069</v>
      </c>
      <c r="AA38" s="44" t="n">
        <f>W38-S38</f>
        <v>4</v>
      </c>
      <c r="AB38" s="30" t="n">
        <f>IF(S38=0,"E: base 0",AA38/S38)</f>
        <v>0.142857142857143</v>
      </c>
      <c r="AC38" s="15" t="str">
        <v>ALZA</v>
      </c>
      <c r="AD38" s="15" t="str">
        <v>B/C; PUBLICA</v>
      </c>
      <c r="AE38" s="15" t="n">
        <f>IF(AND(OR($B$4="Todas",C38=$B$4),OR($D$4="Todas",D38=$D$4),OR($F$4="Todas",E38=$F$4)),Y38,"")</f>
        <v>3</v>
      </c>
      <c r="AF38" s="15" t="n">
        <f>IF(AND(ISNUMBER(AE38),AE38&gt;0),COUNTIF($AE$19:$AE$95,"&gt;"&amp;AE38)+COUNTIF($AE$19:AE38,AE38),"")</f>
        <v>49</v>
      </c>
      <c r="AG38" s="15" t="str">
        <f>IF(AND(ISNUMBER(AE38),AE38&lt;0),COUNTIF($AE$19:$AE$95,"&lt;"&amp;AE38)+COUNTIF($AE$19:AE38,AE38),"")</f>
        <v/>
      </c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</row>
    <row r="39" ht="36" customHeight="1">
      <c r="A39" s="14" t="str">
        <v>I162S2C1J4</v>
      </c>
      <c r="B39" s="14" t="str">
        <v>INGENIERIA EN INFORMATICA</v>
      </c>
      <c r="C39" s="14" t="str">
        <v>Santiago</v>
      </c>
      <c r="D39" s="14" t="str">
        <v>A distancia</v>
      </c>
      <c r="E39" s="14" t="str">
        <v>Tecnologías</v>
      </c>
      <c r="F39" s="14" t="str">
        <v>I162S2C1J4V1 / I162S2C1J4V2 / I162S2C1J4V3</v>
      </c>
      <c r="G39" s="21" t="n">
        <v>2018</v>
      </c>
      <c r="H39" s="21" t="n">
        <v>2026</v>
      </c>
      <c r="I39" s="22" t="n">
        <v>48</v>
      </c>
      <c r="J39" s="22" t="str">
        <v>E: sin dato</v>
      </c>
      <c r="K39" s="22" t="n">
        <v>76</v>
      </c>
      <c r="L39" s="22" t="str">
        <v>E: sin dato</v>
      </c>
      <c r="M39" s="22" t="n">
        <v>111</v>
      </c>
      <c r="N39" s="22" t="str">
        <v>E: sin dato</v>
      </c>
      <c r="O39" s="22" t="n">
        <v>131</v>
      </c>
      <c r="P39" s="22" t="str">
        <v>E: sin dato</v>
      </c>
      <c r="Q39" s="22" t="n">
        <v>164</v>
      </c>
      <c r="R39" s="22" t="str">
        <v>E: sin dato</v>
      </c>
      <c r="S39" s="22" t="n">
        <v>232</v>
      </c>
      <c r="T39" s="22" t="str">
        <v>E: sin dato</v>
      </c>
      <c r="U39" s="22" t="n">
        <v>288</v>
      </c>
      <c r="V39" s="22" t="str">
        <v>E: sin dato</v>
      </c>
      <c r="W39" s="22" t="n">
        <v>325</v>
      </c>
      <c r="X39" s="22" t="str">
        <v>E: sin dato</v>
      </c>
      <c r="Y39" s="43" t="n">
        <f>W39-O39</f>
        <v>194</v>
      </c>
      <c r="Z39" s="29" t="n">
        <f>IF(O39=0,"E: base 0",Y39/O39)</f>
        <v>1.48091603053435</v>
      </c>
      <c r="AA39" s="43" t="n">
        <f>W39-S39</f>
        <v>93</v>
      </c>
      <c r="AB39" s="29" t="n">
        <f>IF(S39=0,"E: base 0",AA39/S39)</f>
        <v>0.400862068965517</v>
      </c>
      <c r="AC39" s="14" t="str">
        <v>ALZA</v>
      </c>
      <c r="AD39" s="14" t="str">
        <v>B/C; PUBLICA</v>
      </c>
      <c r="AE39" s="14" t="n">
        <f>IF(AND(OR($B$4="Todas",C39=$B$4),OR($D$4="Todas",D39=$D$4),OR($F$4="Todas",E39=$F$4)),Y39,"")</f>
        <v>194</v>
      </c>
      <c r="AF39" s="14" t="n">
        <f>IF(AND(ISNUMBER(AE39),AE39&gt;0),COUNTIF($AE$19:$AE$95,"&gt;"&amp;AE39)+COUNTIF($AE$19:AE39,AE39),"")</f>
        <v>2</v>
      </c>
      <c r="AG39" s="14" t="str">
        <f>IF(AND(ISNUMBER(AE39),AE39&lt;0),COUNTIF($AE$19:$AE$95,"&lt;"&amp;AE39)+COUNTIF($AE$19:AE39,AE39),"")</f>
        <v/>
      </c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</row>
    <row r="40" ht="36" customHeight="1">
      <c r="A40" s="15" t="str">
        <v>I162S2C22J1</v>
      </c>
      <c r="B40" s="15" t="str">
        <v>INGENIERIA DE EJECUCION EN MINERIA Y OPERACIONES DE PLANTA</v>
      </c>
      <c r="C40" s="15" t="str">
        <v>Santiago</v>
      </c>
      <c r="D40" s="15" t="str">
        <v>Diurna</v>
      </c>
      <c r="E40" s="15" t="str">
        <v>E: sin sector</v>
      </c>
      <c r="F40" s="15" t="str">
        <v>I162S2C22J1V1</v>
      </c>
      <c r="G40" s="23" t="n">
        <v>2014</v>
      </c>
      <c r="H40" s="23" t="n">
        <v>2014</v>
      </c>
      <c r="I40" s="24" t="n">
        <v>0</v>
      </c>
      <c r="J40" s="24" t="n">
        <v>0</v>
      </c>
      <c r="K40" s="24" t="n">
        <v>0</v>
      </c>
      <c r="L40" s="24" t="n">
        <v>0</v>
      </c>
      <c r="M40" s="24" t="n">
        <v>0</v>
      </c>
      <c r="N40" s="24" t="n">
        <v>0</v>
      </c>
      <c r="O40" s="24" t="n">
        <v>0</v>
      </c>
      <c r="P40" s="24" t="n">
        <v>0</v>
      </c>
      <c r="Q40" s="24" t="n">
        <v>0</v>
      </c>
      <c r="R40" s="24" t="n">
        <v>0</v>
      </c>
      <c r="S40" s="24" t="n">
        <v>0</v>
      </c>
      <c r="T40" s="24" t="n">
        <v>0</v>
      </c>
      <c r="U40" s="24" t="n">
        <v>0</v>
      </c>
      <c r="V40" s="24" t="n">
        <v>0</v>
      </c>
      <c r="W40" s="24" t="n">
        <v>0</v>
      </c>
      <c r="X40" s="24" t="n">
        <v>0</v>
      </c>
      <c r="Y40" s="44" t="n">
        <f>W40-O40</f>
        <v>0</v>
      </c>
      <c r="Z40" s="30" t="str">
        <f>IF(O40=0,"E: base 0",Y40/O40)</f>
        <v>E: base 0</v>
      </c>
      <c r="AA40" s="44" t="n">
        <f>W40-S40</f>
        <v>0</v>
      </c>
      <c r="AB40" s="30" t="str">
        <f>IF(S40=0,"E: base 0",AA40/S40)</f>
        <v>E: base 0</v>
      </c>
      <c r="AC40" s="15" t="str">
        <v>CERRADA</v>
      </c>
      <c r="AD40" s="15" t="str">
        <v>B/C; PUBLICA</v>
      </c>
      <c r="AE40" s="15" t="n">
        <f>IF(AND(OR($B$4="Todas",C40=$B$4),OR($D$4="Todas",D40=$D$4),OR($F$4="Todas",E40=$F$4)),Y40,"")</f>
        <v>0</v>
      </c>
      <c r="AF40" s="15" t="str">
        <f>IF(AND(ISNUMBER(AE40),AE40&gt;0),COUNTIF($AE$19:$AE$95,"&gt;"&amp;AE40)+COUNTIF($AE$19:AE40,AE40),"")</f>
        <v/>
      </c>
      <c r="AG40" s="15" t="str">
        <f>IF(AND(ISNUMBER(AE40),AE40&lt;0),COUNTIF($AE$19:$AE$95,"&lt;"&amp;AE40)+COUNTIF($AE$19:AE40,AE40),"")</f>
        <v/>
      </c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</row>
    <row r="41" ht="36" customHeight="1">
      <c r="A41" s="14" t="str">
        <v>I162S2C22J2</v>
      </c>
      <c r="B41" s="14" t="str">
        <v>INGENIERIA EN AUTOMATIZACION Y CONTROL INDUSTRIAL</v>
      </c>
      <c r="C41" s="14" t="str">
        <v>Santiago</v>
      </c>
      <c r="D41" s="14" t="str">
        <v>Vespertina</v>
      </c>
      <c r="E41" s="14" t="str">
        <v>E: sin sector</v>
      </c>
      <c r="F41" s="14" t="str">
        <v>I162S2C22J2V1 / I162S2C22J2V2</v>
      </c>
      <c r="G41" s="21" t="n">
        <v>2014</v>
      </c>
      <c r="H41" s="21" t="n">
        <v>2022</v>
      </c>
      <c r="I41" s="22" t="n">
        <v>17</v>
      </c>
      <c r="J41" s="22" t="str">
        <v>E: sin dato</v>
      </c>
      <c r="K41" s="22" t="n">
        <v>16</v>
      </c>
      <c r="L41" s="22" t="str">
        <v>E: sin dato</v>
      </c>
      <c r="M41" s="22" t="n">
        <v>28</v>
      </c>
      <c r="N41" s="22" t="str">
        <v>E: sin dato</v>
      </c>
      <c r="O41" s="22" t="n">
        <v>16</v>
      </c>
      <c r="P41" s="22" t="str">
        <v>E: sin dato</v>
      </c>
      <c r="Q41" s="22" t="n">
        <v>0</v>
      </c>
      <c r="R41" s="22" t="n">
        <v>0</v>
      </c>
      <c r="S41" s="22" t="n">
        <v>0</v>
      </c>
      <c r="T41" s="22" t="n">
        <v>0</v>
      </c>
      <c r="U41" s="22" t="n">
        <v>0</v>
      </c>
      <c r="V41" s="22" t="n">
        <v>0</v>
      </c>
      <c r="W41" s="22" t="n">
        <v>0</v>
      </c>
      <c r="X41" s="22" t="n">
        <v>0</v>
      </c>
      <c r="Y41" s="43" t="n">
        <f>W41-O41</f>
        <v>-16</v>
      </c>
      <c r="Z41" s="29" t="n">
        <f>IF(O41=0,"E: base 0",Y41/O41)</f>
        <v>-1</v>
      </c>
      <c r="AA41" s="43" t="n">
        <f>W41-S41</f>
        <v>0</v>
      </c>
      <c r="AB41" s="29" t="str">
        <f>IF(S41=0,"E: base 0",AA41/S41)</f>
        <v>E: base 0</v>
      </c>
      <c r="AC41" s="14" t="str">
        <v>CERRADA</v>
      </c>
      <c r="AD41" s="14" t="str">
        <v>B/C; PUBLICA</v>
      </c>
      <c r="AE41" s="14" t="n">
        <f>IF(AND(OR($B$4="Todas",C41=$B$4),OR($D$4="Todas",D41=$D$4),OR($F$4="Todas",E41=$F$4)),Y41,"")</f>
        <v>-16</v>
      </c>
      <c r="AF41" s="14" t="str">
        <f>IF(AND(ISNUMBER(AE41),AE41&gt;0),COUNTIF($AE$19:$AE$95,"&gt;"&amp;AE41)+COUNTIF($AE$19:AE41,AE41),"")</f>
        <v/>
      </c>
      <c r="AG41" s="14" t="n">
        <f>IF(AND(ISNUMBER(AE41),AE41&lt;0),COUNTIF($AE$19:$AE$95,"&lt;"&amp;AE41)+COUNTIF($AE$19:AE41,AE41),"")</f>
        <v>4</v>
      </c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</row>
    <row r="42" ht="36" customHeight="1">
      <c r="A42" s="15" t="str">
        <v>I162S2C22J4</v>
      </c>
      <c r="B42" s="15" t="str">
        <v>INGENIERIA EN AUTOMATIZACION Y CONTROL INDUSTRIAL</v>
      </c>
      <c r="C42" s="15" t="str">
        <v>Santiago</v>
      </c>
      <c r="D42" s="15" t="str">
        <v>A distancia</v>
      </c>
      <c r="E42" s="15" t="str">
        <v>E: sin sector</v>
      </c>
      <c r="F42" s="15" t="str">
        <v>I162S2C22J4V2</v>
      </c>
      <c r="G42" s="23" t="n">
        <v>2026</v>
      </c>
      <c r="H42" s="23" t="n">
        <v>2026</v>
      </c>
      <c r="I42" s="24" t="n">
        <v>0</v>
      </c>
      <c r="J42" s="24" t="n">
        <v>0</v>
      </c>
      <c r="K42" s="24" t="n">
        <v>0</v>
      </c>
      <c r="L42" s="24" t="n">
        <v>0</v>
      </c>
      <c r="M42" s="24" t="n">
        <v>0</v>
      </c>
      <c r="N42" s="24" t="n">
        <v>0</v>
      </c>
      <c r="O42" s="24" t="n">
        <v>0</v>
      </c>
      <c r="P42" s="24" t="n">
        <v>0</v>
      </c>
      <c r="Q42" s="24" t="n">
        <v>0</v>
      </c>
      <c r="R42" s="24" t="n">
        <v>0</v>
      </c>
      <c r="S42" s="24" t="n">
        <v>0</v>
      </c>
      <c r="T42" s="24" t="n">
        <v>0</v>
      </c>
      <c r="U42" s="24" t="n">
        <v>0</v>
      </c>
      <c r="V42" s="24" t="n">
        <v>0</v>
      </c>
      <c r="W42" s="24" t="n">
        <v>36</v>
      </c>
      <c r="X42" s="24" t="str">
        <v>E: sin dato</v>
      </c>
      <c r="Y42" s="44" t="n">
        <f>W42-O42</f>
        <v>36</v>
      </c>
      <c r="Z42" s="30" t="str">
        <f>IF(O42=0,"E: base 0",Y42/O42)</f>
        <v>E: base 0</v>
      </c>
      <c r="AA42" s="44" t="n">
        <f>W42-S42</f>
        <v>36</v>
      </c>
      <c r="AB42" s="30" t="str">
        <f>IF(S42=0,"E: base 0",AA42/S42)</f>
        <v>E: base 0</v>
      </c>
      <c r="AC42" s="15" t="str">
        <v>NUEVA</v>
      </c>
      <c r="AD42" s="15" t="str">
        <v>B/C; PUBLICA</v>
      </c>
      <c r="AE42" s="15" t="n">
        <f>IF(AND(OR($B$4="Todas",C42=$B$4),OR($D$4="Todas",D42=$D$4),OR($F$4="Todas",E42=$F$4)),Y42,"")</f>
        <v>36</v>
      </c>
      <c r="AF42" s="15" t="n">
        <f>IF(AND(ISNUMBER(AE42),AE42&gt;0),COUNTIF($AE$19:$AE$95,"&gt;"&amp;AE42)+COUNTIF($AE$19:AE42,AE42),"")</f>
        <v>20</v>
      </c>
      <c r="AG42" s="15" t="str">
        <f>IF(AND(ISNUMBER(AE42),AE42&lt;0),COUNTIF($AE$19:$AE$95,"&lt;"&amp;AE42)+COUNTIF($AE$19:AE42,AE42),"")</f>
        <v/>
      </c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</row>
    <row r="43" ht="36" customHeight="1">
      <c r="A43" s="14" t="str">
        <v>I162S2C2J1</v>
      </c>
      <c r="B43" s="14" t="str">
        <v>TECNICO EN PROGRAMACION COMPUTACIONAL</v>
      </c>
      <c r="C43" s="14" t="str">
        <v>Santiago</v>
      </c>
      <c r="D43" s="14" t="str">
        <v>Diurna</v>
      </c>
      <c r="E43" s="14" t="str">
        <v>E: sin sector</v>
      </c>
      <c r="F43" s="14" t="str">
        <v>I162S2C2J1V1 / I162S2C2J1V2</v>
      </c>
      <c r="G43" s="21" t="n">
        <v>2008</v>
      </c>
      <c r="H43" s="21" t="n">
        <v>2022</v>
      </c>
      <c r="I43" s="22" t="n">
        <v>46</v>
      </c>
      <c r="J43" s="22" t="n">
        <v>17</v>
      </c>
      <c r="K43" s="22" t="n">
        <v>20</v>
      </c>
      <c r="L43" s="22" t="str">
        <v>E: sin dato</v>
      </c>
      <c r="M43" s="22" t="n">
        <v>11</v>
      </c>
      <c r="N43" s="22" t="str">
        <v>E: sin dato</v>
      </c>
      <c r="O43" s="22" t="n">
        <v>3</v>
      </c>
      <c r="P43" s="22" t="str">
        <v>E: sin dato</v>
      </c>
      <c r="Q43" s="22" t="n">
        <v>0</v>
      </c>
      <c r="R43" s="22" t="n">
        <v>0</v>
      </c>
      <c r="S43" s="22" t="n">
        <v>0</v>
      </c>
      <c r="T43" s="22" t="n">
        <v>0</v>
      </c>
      <c r="U43" s="22" t="n">
        <v>0</v>
      </c>
      <c r="V43" s="22" t="n">
        <v>0</v>
      </c>
      <c r="W43" s="22" t="n">
        <v>0</v>
      </c>
      <c r="X43" s="22" t="n">
        <v>0</v>
      </c>
      <c r="Y43" s="43" t="n">
        <f>W43-O43</f>
        <v>-3</v>
      </c>
      <c r="Z43" s="29" t="n">
        <f>IF(O43=0,"E: base 0",Y43/O43)</f>
        <v>-1</v>
      </c>
      <c r="AA43" s="43" t="n">
        <f>W43-S43</f>
        <v>0</v>
      </c>
      <c r="AB43" s="29" t="str">
        <f>IF(S43=0,"E: base 0",AA43/S43)</f>
        <v>E: base 0</v>
      </c>
      <c r="AC43" s="14" t="str">
        <v>CERRADA</v>
      </c>
      <c r="AD43" s="14" t="str">
        <v>B/C; PUBLICA</v>
      </c>
      <c r="AE43" s="14" t="n">
        <f>IF(AND(OR($B$4="Todas",C43=$B$4),OR($D$4="Todas",D43=$D$4),OR($F$4="Todas",E43=$F$4)),Y43,"")</f>
        <v>-3</v>
      </c>
      <c r="AF43" s="14" t="str">
        <f>IF(AND(ISNUMBER(AE43),AE43&gt;0),COUNTIF($AE$19:$AE$95,"&gt;"&amp;AE43)+COUNTIF($AE$19:AE43,AE43),"")</f>
        <v/>
      </c>
      <c r="AG43" s="14" t="n">
        <f>IF(AND(ISNUMBER(AE43),AE43&lt;0),COUNTIF($AE$19:$AE$95,"&lt;"&amp;AE43)+COUNTIF($AE$19:AE43,AE43),"")</f>
        <v>8</v>
      </c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</row>
    <row r="44" ht="36" customHeight="1">
      <c r="A44" s="15" t="str">
        <v>I162S2C2J2</v>
      </c>
      <c r="B44" s="15" t="str">
        <v>TECNICO EN PROGRAMACION COMPUTACIONAL</v>
      </c>
      <c r="C44" s="15" t="str">
        <v>Santiago</v>
      </c>
      <c r="D44" s="15" t="str">
        <v>Vespertina</v>
      </c>
      <c r="E44" s="15" t="str">
        <v>E: sin sector</v>
      </c>
      <c r="F44" s="15" t="str">
        <v>I162S2C2J2V1 / I162S2C2J2V2</v>
      </c>
      <c r="G44" s="23" t="n">
        <v>2007</v>
      </c>
      <c r="H44" s="23" t="n">
        <v>2021</v>
      </c>
      <c r="I44" s="24" t="n">
        <v>77</v>
      </c>
      <c r="J44" s="24" t="n">
        <v>32</v>
      </c>
      <c r="K44" s="24" t="n">
        <v>43</v>
      </c>
      <c r="L44" s="24" t="str">
        <v>E: sin dato</v>
      </c>
      <c r="M44" s="24" t="n">
        <v>10</v>
      </c>
      <c r="N44" s="24" t="str">
        <v>E: sin dato</v>
      </c>
      <c r="O44" s="24" t="n">
        <v>0</v>
      </c>
      <c r="P44" s="24" t="n">
        <v>0</v>
      </c>
      <c r="Q44" s="24" t="n">
        <v>0</v>
      </c>
      <c r="R44" s="24" t="n">
        <v>0</v>
      </c>
      <c r="S44" s="24" t="n">
        <v>0</v>
      </c>
      <c r="T44" s="24" t="n">
        <v>0</v>
      </c>
      <c r="U44" s="24" t="n">
        <v>0</v>
      </c>
      <c r="V44" s="24" t="n">
        <v>0</v>
      </c>
      <c r="W44" s="24" t="n">
        <v>0</v>
      </c>
      <c r="X44" s="24" t="n">
        <v>0</v>
      </c>
      <c r="Y44" s="44" t="n">
        <f>W44-O44</f>
        <v>0</v>
      </c>
      <c r="Z44" s="30" t="str">
        <f>IF(O44=0,"E: base 0",Y44/O44)</f>
        <v>E: base 0</v>
      </c>
      <c r="AA44" s="44" t="n">
        <f>W44-S44</f>
        <v>0</v>
      </c>
      <c r="AB44" s="30" t="str">
        <f>IF(S44=0,"E: base 0",AA44/S44)</f>
        <v>E: base 0</v>
      </c>
      <c r="AC44" s="15" t="str">
        <v>CERRADA</v>
      </c>
      <c r="AD44" s="15" t="str">
        <v>B/C; PUBLICA</v>
      </c>
      <c r="AE44" s="15" t="n">
        <f>IF(AND(OR($B$4="Todas",C44=$B$4),OR($D$4="Todas",D44=$D$4),OR($F$4="Todas",E44=$F$4)),Y44,"")</f>
        <v>0</v>
      </c>
      <c r="AF44" s="15" t="str">
        <f>IF(AND(ISNUMBER(AE44),AE44&gt;0),COUNTIF($AE$19:$AE$95,"&gt;"&amp;AE44)+COUNTIF($AE$19:AE44,AE44),"")</f>
        <v/>
      </c>
      <c r="AG44" s="15" t="str">
        <f>IF(AND(ISNUMBER(AE44),AE44&lt;0),COUNTIF($AE$19:$AE$95,"&lt;"&amp;AE44)+COUNTIF($AE$19:AE44,AE44),"")</f>
        <v/>
      </c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</row>
    <row r="45" ht="36" customHeight="1">
      <c r="A45" s="14" t="str">
        <v>I162S2C2J4</v>
      </c>
      <c r="B45" s="14" t="str">
        <v>TECNICO EN PROGRAMACION COMPUTACIONAL</v>
      </c>
      <c r="C45" s="14" t="str">
        <v>Santiago</v>
      </c>
      <c r="D45" s="14" t="str">
        <v>A distancia</v>
      </c>
      <c r="E45" s="14" t="str">
        <v>E: sin sector</v>
      </c>
      <c r="F45" s="14" t="str">
        <v>I162S2C2J4V1 / I162S2C2J4V2</v>
      </c>
      <c r="G45" s="21" t="n">
        <v>2017</v>
      </c>
      <c r="H45" s="21" t="n">
        <v>2022</v>
      </c>
      <c r="I45" s="22" t="n">
        <v>44</v>
      </c>
      <c r="J45" s="22" t="str">
        <v>E: sin dato</v>
      </c>
      <c r="K45" s="22" t="n">
        <v>36</v>
      </c>
      <c r="L45" s="22" t="str">
        <v>E: sin dato</v>
      </c>
      <c r="M45" s="22" t="n">
        <v>15</v>
      </c>
      <c r="N45" s="22" t="str">
        <v>E: sin dato</v>
      </c>
      <c r="O45" s="22" t="n">
        <v>1</v>
      </c>
      <c r="P45" s="22" t="str">
        <v>E: sin dato</v>
      </c>
      <c r="Q45" s="22" t="n">
        <v>0</v>
      </c>
      <c r="R45" s="22" t="n">
        <v>0</v>
      </c>
      <c r="S45" s="22" t="n">
        <v>0</v>
      </c>
      <c r="T45" s="22" t="n">
        <v>0</v>
      </c>
      <c r="U45" s="22" t="n">
        <v>0</v>
      </c>
      <c r="V45" s="22" t="n">
        <v>0</v>
      </c>
      <c r="W45" s="22" t="n">
        <v>0</v>
      </c>
      <c r="X45" s="22" t="n">
        <v>0</v>
      </c>
      <c r="Y45" s="43" t="n">
        <f>W45-O45</f>
        <v>-1</v>
      </c>
      <c r="Z45" s="29" t="n">
        <f>IF(O45=0,"E: base 0",Y45/O45)</f>
        <v>-1</v>
      </c>
      <c r="AA45" s="43" t="n">
        <f>W45-S45</f>
        <v>0</v>
      </c>
      <c r="AB45" s="29" t="str">
        <f>IF(S45=0,"E: base 0",AA45/S45)</f>
        <v>E: base 0</v>
      </c>
      <c r="AC45" s="14" t="str">
        <v>CERRADA</v>
      </c>
      <c r="AD45" s="14" t="str">
        <v>B/C; PUBLICA</v>
      </c>
      <c r="AE45" s="14" t="n">
        <f>IF(AND(OR($B$4="Todas",C45=$B$4),OR($D$4="Todas",D45=$D$4),OR($F$4="Todas",E45=$F$4)),Y45,"")</f>
        <v>-1</v>
      </c>
      <c r="AF45" s="14" t="str">
        <f>IF(AND(ISNUMBER(AE45),AE45&gt;0),COUNTIF($AE$19:$AE$95,"&gt;"&amp;AE45)+COUNTIF($AE$19:AE45,AE45),"")</f>
        <v/>
      </c>
      <c r="AG45" s="14" t="n">
        <f>IF(AND(ISNUMBER(AE45),AE45&lt;0),COUNTIF($AE$19:$AE$95,"&lt;"&amp;AE45)+COUNTIF($AE$19:AE45,AE45),"")</f>
        <v>11</v>
      </c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</row>
    <row r="46" ht="36" customHeight="1">
      <c r="A46" s="15" t="str">
        <v>I162S2C35J1</v>
      </c>
      <c r="B46" s="15" t="str">
        <v>TECNICO EN ANALISIS DE SISTEMAS</v>
      </c>
      <c r="C46" s="15" t="str">
        <v>Santiago</v>
      </c>
      <c r="D46" s="15" t="str">
        <v>Diurna</v>
      </c>
      <c r="E46" s="15" t="str">
        <v>E: sin sector</v>
      </c>
      <c r="F46" s="15" t="str">
        <v>I162S2C35J1V1 / I162S2C35J1V2</v>
      </c>
      <c r="G46" s="23" t="n">
        <v>2015</v>
      </c>
      <c r="H46" s="23" t="n">
        <v>2019</v>
      </c>
      <c r="I46" s="24" t="n">
        <v>6</v>
      </c>
      <c r="J46" s="24" t="str">
        <v>E: sin dato</v>
      </c>
      <c r="K46" s="24" t="n">
        <v>0</v>
      </c>
      <c r="L46" s="24" t="n">
        <v>0</v>
      </c>
      <c r="M46" s="24" t="n">
        <v>0</v>
      </c>
      <c r="N46" s="24" t="n">
        <v>0</v>
      </c>
      <c r="O46" s="24" t="n">
        <v>0</v>
      </c>
      <c r="P46" s="24" t="n">
        <v>0</v>
      </c>
      <c r="Q46" s="24" t="n">
        <v>0</v>
      </c>
      <c r="R46" s="24" t="n">
        <v>0</v>
      </c>
      <c r="S46" s="24" t="n">
        <v>0</v>
      </c>
      <c r="T46" s="24" t="n">
        <v>0</v>
      </c>
      <c r="U46" s="24" t="n">
        <v>0</v>
      </c>
      <c r="V46" s="24" t="n">
        <v>0</v>
      </c>
      <c r="W46" s="24" t="n">
        <v>0</v>
      </c>
      <c r="X46" s="24" t="n">
        <v>0</v>
      </c>
      <c r="Y46" s="44" t="n">
        <f>W46-O46</f>
        <v>0</v>
      </c>
      <c r="Z46" s="30" t="str">
        <f>IF(O46=0,"E: base 0",Y46/O46)</f>
        <v>E: base 0</v>
      </c>
      <c r="AA46" s="44" t="n">
        <f>W46-S46</f>
        <v>0</v>
      </c>
      <c r="AB46" s="30" t="str">
        <f>IF(S46=0,"E: base 0",AA46/S46)</f>
        <v>E: base 0</v>
      </c>
      <c r="AC46" s="15" t="str">
        <v>CERRADA</v>
      </c>
      <c r="AD46" s="15" t="str">
        <v>B/C; PUBLICA</v>
      </c>
      <c r="AE46" s="15" t="n">
        <f>IF(AND(OR($B$4="Todas",C46=$B$4),OR($D$4="Todas",D46=$D$4),OR($F$4="Todas",E46=$F$4)),Y46,"")</f>
        <v>0</v>
      </c>
      <c r="AF46" s="15" t="str">
        <f>IF(AND(ISNUMBER(AE46),AE46&gt;0),COUNTIF($AE$19:$AE$95,"&gt;"&amp;AE46)+COUNTIF($AE$19:AE46,AE46),"")</f>
        <v/>
      </c>
      <c r="AG46" s="15" t="str">
        <f>IF(AND(ISNUMBER(AE46),AE46&lt;0),COUNTIF($AE$19:$AE$95,"&lt;"&amp;AE46)+COUNTIF($AE$19:AE46,AE46),"")</f>
        <v/>
      </c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</row>
    <row r="47" ht="36" customHeight="1">
      <c r="A47" s="14" t="str">
        <v>I162S2C35J2</v>
      </c>
      <c r="B47" s="14" t="str">
        <v>TECNICO EN ANALISIS DE SISTEMAS</v>
      </c>
      <c r="C47" s="14" t="str">
        <v>Santiago</v>
      </c>
      <c r="D47" s="14" t="str">
        <v>Vespertina</v>
      </c>
      <c r="E47" s="14" t="str">
        <v>E: sin sector</v>
      </c>
      <c r="F47" s="14" t="str">
        <v>I162S2C35J2V1 / I162S2C35J2V2</v>
      </c>
      <c r="G47" s="21" t="n">
        <v>2015</v>
      </c>
      <c r="H47" s="21" t="n">
        <v>2021</v>
      </c>
      <c r="I47" s="22" t="n">
        <v>60</v>
      </c>
      <c r="J47" s="22" t="str">
        <v>E: sin dato</v>
      </c>
      <c r="K47" s="22" t="n">
        <v>24</v>
      </c>
      <c r="L47" s="22" t="str">
        <v>E: sin dato</v>
      </c>
      <c r="M47" s="22" t="n">
        <v>6</v>
      </c>
      <c r="N47" s="22" t="str">
        <v>E: sin dato</v>
      </c>
      <c r="O47" s="22" t="n">
        <v>0</v>
      </c>
      <c r="P47" s="22" t="n">
        <v>0</v>
      </c>
      <c r="Q47" s="22" t="n">
        <v>0</v>
      </c>
      <c r="R47" s="22" t="n">
        <v>0</v>
      </c>
      <c r="S47" s="22" t="n">
        <v>0</v>
      </c>
      <c r="T47" s="22" t="n">
        <v>0</v>
      </c>
      <c r="U47" s="22" t="n">
        <v>0</v>
      </c>
      <c r="V47" s="22" t="n">
        <v>0</v>
      </c>
      <c r="W47" s="22" t="n">
        <v>0</v>
      </c>
      <c r="X47" s="22" t="n">
        <v>0</v>
      </c>
      <c r="Y47" s="43" t="n">
        <f>W47-O47</f>
        <v>0</v>
      </c>
      <c r="Z47" s="29" t="str">
        <f>IF(O47=0,"E: base 0",Y47/O47)</f>
        <v>E: base 0</v>
      </c>
      <c r="AA47" s="43" t="n">
        <f>W47-S47</f>
        <v>0</v>
      </c>
      <c r="AB47" s="29" t="str">
        <f>IF(S47=0,"E: base 0",AA47/S47)</f>
        <v>E: base 0</v>
      </c>
      <c r="AC47" s="14" t="str">
        <v>CERRADA</v>
      </c>
      <c r="AD47" s="14" t="str">
        <v>B/C; PUBLICA</v>
      </c>
      <c r="AE47" s="14" t="n">
        <f>IF(AND(OR($B$4="Todas",C47=$B$4),OR($D$4="Todas",D47=$D$4),OR($F$4="Todas",E47=$F$4)),Y47,"")</f>
        <v>0</v>
      </c>
      <c r="AF47" s="14" t="str">
        <f>IF(AND(ISNUMBER(AE47),AE47&gt;0),COUNTIF($AE$19:$AE$95,"&gt;"&amp;AE47)+COUNTIF($AE$19:AE47,AE47),"")</f>
        <v/>
      </c>
      <c r="AG47" s="14" t="str">
        <f>IF(AND(ISNUMBER(AE47),AE47&lt;0),COUNTIF($AE$19:$AE$95,"&lt;"&amp;AE47)+COUNTIF($AE$19:AE47,AE47),"")</f>
        <v/>
      </c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</row>
    <row r="48" ht="36" customHeight="1">
      <c r="A48" s="15" t="str">
        <v>I162S2C35J4</v>
      </c>
      <c r="B48" s="15" t="str">
        <v>TECNICO EN ANALISIS DE SISTEMAS</v>
      </c>
      <c r="C48" s="15" t="str">
        <v>Santiago</v>
      </c>
      <c r="D48" s="15" t="str">
        <v>A distancia</v>
      </c>
      <c r="E48" s="15" t="str">
        <v>E: sin sector</v>
      </c>
      <c r="F48" s="15" t="str">
        <v>I162S2C35J4V1 / I162S2C35J4V2</v>
      </c>
      <c r="G48" s="23" t="n">
        <v>2017</v>
      </c>
      <c r="H48" s="23" t="n">
        <v>2022</v>
      </c>
      <c r="I48" s="24" t="n">
        <v>38</v>
      </c>
      <c r="J48" s="24" t="str">
        <v>E: sin dato</v>
      </c>
      <c r="K48" s="24" t="n">
        <v>36</v>
      </c>
      <c r="L48" s="24" t="str">
        <v>E: sin dato</v>
      </c>
      <c r="M48" s="24" t="n">
        <v>15</v>
      </c>
      <c r="N48" s="24" t="str">
        <v>E: sin dato</v>
      </c>
      <c r="O48" s="24" t="n">
        <v>3</v>
      </c>
      <c r="P48" s="24" t="str">
        <v>E: sin dato</v>
      </c>
      <c r="Q48" s="24" t="n">
        <v>0</v>
      </c>
      <c r="R48" s="24" t="n">
        <v>0</v>
      </c>
      <c r="S48" s="24" t="n">
        <v>0</v>
      </c>
      <c r="T48" s="24" t="n">
        <v>0</v>
      </c>
      <c r="U48" s="24" t="n">
        <v>0</v>
      </c>
      <c r="V48" s="24" t="n">
        <v>0</v>
      </c>
      <c r="W48" s="24" t="n">
        <v>0</v>
      </c>
      <c r="X48" s="24" t="n">
        <v>0</v>
      </c>
      <c r="Y48" s="44" t="n">
        <f>W48-O48</f>
        <v>-3</v>
      </c>
      <c r="Z48" s="30" t="n">
        <f>IF(O48=0,"E: base 0",Y48/O48)</f>
        <v>-1</v>
      </c>
      <c r="AA48" s="44" t="n">
        <f>W48-S48</f>
        <v>0</v>
      </c>
      <c r="AB48" s="30" t="str">
        <f>IF(S48=0,"E: base 0",AA48/S48)</f>
        <v>E: base 0</v>
      </c>
      <c r="AC48" s="15" t="str">
        <v>CERRADA</v>
      </c>
      <c r="AD48" s="15" t="str">
        <v>B/C; PUBLICA</v>
      </c>
      <c r="AE48" s="15" t="n">
        <f>IF(AND(OR($B$4="Todas",C48=$B$4),OR($D$4="Todas",D48=$D$4),OR($F$4="Todas",E48=$F$4)),Y48,"")</f>
        <v>-3</v>
      </c>
      <c r="AF48" s="15" t="str">
        <f>IF(AND(ISNUMBER(AE48),AE48&gt;0),COUNTIF($AE$19:$AE$95,"&gt;"&amp;AE48)+COUNTIF($AE$19:AE48,AE48),"")</f>
        <v/>
      </c>
      <c r="AG48" s="15" t="n">
        <f>IF(AND(ISNUMBER(AE48),AE48&lt;0),COUNTIF($AE$19:$AE$95,"&lt;"&amp;AE48)+COUNTIF($AE$19:AE48,AE48),"")</f>
        <v>9</v>
      </c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</row>
    <row r="49" ht="27" customHeight="1">
      <c r="A49" s="14" t="str">
        <v>I162S2C3J1</v>
      </c>
      <c r="B49" s="14" t="str">
        <v>INGENIERIA EN CONECTIVIDAD Y REDES</v>
      </c>
      <c r="C49" s="14" t="str">
        <v>Santiago</v>
      </c>
      <c r="D49" s="14" t="str">
        <v>Diurna</v>
      </c>
      <c r="E49" s="14" t="str">
        <v>Tecnologías</v>
      </c>
      <c r="F49" s="14" t="str">
        <v>I162S2C3J1V1</v>
      </c>
      <c r="G49" s="21" t="n">
        <v>2008</v>
      </c>
      <c r="H49" s="21" t="n">
        <v>2020</v>
      </c>
      <c r="I49" s="22" t="n">
        <v>8</v>
      </c>
      <c r="J49" s="22" t="str">
        <v>E: sin dato</v>
      </c>
      <c r="K49" s="22" t="n">
        <v>1</v>
      </c>
      <c r="L49" s="22" t="str">
        <v>E: sin dato</v>
      </c>
      <c r="M49" s="22" t="n">
        <v>0</v>
      </c>
      <c r="N49" s="22" t="n">
        <v>0</v>
      </c>
      <c r="O49" s="22" t="n">
        <v>0</v>
      </c>
      <c r="P49" s="22" t="n">
        <v>0</v>
      </c>
      <c r="Q49" s="22" t="n">
        <v>0</v>
      </c>
      <c r="R49" s="22" t="n">
        <v>0</v>
      </c>
      <c r="S49" s="22" t="n">
        <v>0</v>
      </c>
      <c r="T49" s="22" t="n">
        <v>0</v>
      </c>
      <c r="U49" s="22" t="n">
        <v>0</v>
      </c>
      <c r="V49" s="22" t="n">
        <v>0</v>
      </c>
      <c r="W49" s="22" t="n">
        <v>0</v>
      </c>
      <c r="X49" s="22" t="n">
        <v>0</v>
      </c>
      <c r="Y49" s="43" t="n">
        <f>W49-O49</f>
        <v>0</v>
      </c>
      <c r="Z49" s="29" t="str">
        <f>IF(O49=0,"E: base 0",Y49/O49)</f>
        <v>E: base 0</v>
      </c>
      <c r="AA49" s="43" t="n">
        <f>W49-S49</f>
        <v>0</v>
      </c>
      <c r="AB49" s="29" t="str">
        <f>IF(S49=0,"E: base 0",AA49/S49)</f>
        <v>E: base 0</v>
      </c>
      <c r="AC49" s="14" t="str">
        <v>CERRADA</v>
      </c>
      <c r="AD49" s="14" t="str">
        <v>B/C; PUBLICA</v>
      </c>
      <c r="AE49" s="14" t="n">
        <f>IF(AND(OR($B$4="Todas",C49=$B$4),OR($D$4="Todas",D49=$D$4),OR($F$4="Todas",E49=$F$4)),Y49,"")</f>
        <v>0</v>
      </c>
      <c r="AF49" s="14" t="str">
        <f>IF(AND(ISNUMBER(AE49),AE49&gt;0),COUNTIF($AE$19:$AE$95,"&gt;"&amp;AE49)+COUNTIF($AE$19:AE49,AE49),"")</f>
        <v/>
      </c>
      <c r="AG49" s="14" t="str">
        <f>IF(AND(ISNUMBER(AE49),AE49&lt;0),COUNTIF($AE$19:$AE$95,"&lt;"&amp;AE49)+COUNTIF($AE$19:AE49,AE49),"")</f>
        <v/>
      </c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</row>
    <row r="50" ht="50" customHeight="1">
      <c r="A50" s="15" t="str">
        <v>I162S2C3J2</v>
      </c>
      <c r="B50" s="15" t="str">
        <v>INGENIERIA EN CONECTIVIDAD Y REDES</v>
      </c>
      <c r="C50" s="15" t="str">
        <v>Santiago</v>
      </c>
      <c r="D50" s="15" t="str">
        <v>Vespertina</v>
      </c>
      <c r="E50" s="15" t="str">
        <v>Tecnologías</v>
      </c>
      <c r="F50" s="15" t="str">
        <v>I162S2C3J2V1 / I162S2C3J2V2 / I162S2C3J2V3 / I162S2C3J2V4</v>
      </c>
      <c r="G50" s="23" t="n">
        <v>2007</v>
      </c>
      <c r="H50" s="23" t="n">
        <v>2026</v>
      </c>
      <c r="I50" s="24" t="n">
        <v>230</v>
      </c>
      <c r="J50" s="24" t="str">
        <v>E: sin dato</v>
      </c>
      <c r="K50" s="24" t="n">
        <v>121</v>
      </c>
      <c r="L50" s="24" t="str">
        <v>E: sin dato</v>
      </c>
      <c r="M50" s="24" t="n">
        <v>79</v>
      </c>
      <c r="N50" s="24" t="str">
        <v>E: sin dato</v>
      </c>
      <c r="O50" s="24" t="n">
        <v>48</v>
      </c>
      <c r="P50" s="24" t="n">
        <v>4</v>
      </c>
      <c r="Q50" s="24" t="n">
        <v>31</v>
      </c>
      <c r="R50" s="24" t="str">
        <v>E: sin dato</v>
      </c>
      <c r="S50" s="24" t="n">
        <v>25</v>
      </c>
      <c r="T50" s="24" t="n">
        <v>6</v>
      </c>
      <c r="U50" s="24" t="n">
        <v>15</v>
      </c>
      <c r="V50" s="24" t="n">
        <v>10</v>
      </c>
      <c r="W50" s="24" t="n">
        <v>8</v>
      </c>
      <c r="X50" s="24" t="str">
        <v>E: sin dato</v>
      </c>
      <c r="Y50" s="44" t="n">
        <f>W50-O50</f>
        <v>-40</v>
      </c>
      <c r="Z50" s="30" t="n">
        <f>IF(O50=0,"E: base 0",Y50/O50)</f>
        <v>-0.833333333333333</v>
      </c>
      <c r="AA50" s="44" t="n">
        <f>W50-S50</f>
        <v>-17</v>
      </c>
      <c r="AB50" s="30" t="n">
        <f>IF(S50=0,"E: base 0",AA50/S50)</f>
        <v>-0.68</v>
      </c>
      <c r="AC50" s="15" t="str">
        <v>BAJA</v>
      </c>
      <c r="AD50" s="15" t="str">
        <v>B/C; PUBLICA</v>
      </c>
      <c r="AE50" s="15" t="n">
        <f>IF(AND(OR($B$4="Todas",C50=$B$4),OR($D$4="Todas",D50=$D$4),OR($F$4="Todas",E50=$F$4)),Y50,"")</f>
        <v>-40</v>
      </c>
      <c r="AF50" s="15" t="str">
        <f>IF(AND(ISNUMBER(AE50),AE50&gt;0),COUNTIF($AE$19:$AE$95,"&gt;"&amp;AE50)+COUNTIF($AE$19:AE50,AE50),"")</f>
        <v/>
      </c>
      <c r="AG50" s="15" t="n">
        <f>IF(AND(ISNUMBER(AE50),AE50&lt;0),COUNTIF($AE$19:$AE$95,"&lt;"&amp;AE50)+COUNTIF($AE$19:AE50,AE50),"")</f>
        <v>1</v>
      </c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</row>
    <row r="51" ht="36" customHeight="1">
      <c r="A51" s="14" t="str">
        <v>I162S2C3J4</v>
      </c>
      <c r="B51" s="14" t="str">
        <v>INGENIERIA EN CONECTIVIDAD Y REDES</v>
      </c>
      <c r="C51" s="14" t="str">
        <v>Santiago</v>
      </c>
      <c r="D51" s="14" t="str">
        <v>A distancia</v>
      </c>
      <c r="E51" s="14" t="str">
        <v>Tecnologías</v>
      </c>
      <c r="F51" s="14" t="str">
        <v>I162S2C3J4V1 / I162S2C3J4V2 / I162S2C3J4V3</v>
      </c>
      <c r="G51" s="21" t="n">
        <v>2018</v>
      </c>
      <c r="H51" s="21" t="n">
        <v>2026</v>
      </c>
      <c r="I51" s="22" t="n">
        <v>38</v>
      </c>
      <c r="J51" s="22" t="str">
        <v>E: sin dato</v>
      </c>
      <c r="K51" s="22" t="n">
        <v>88</v>
      </c>
      <c r="L51" s="22" t="str">
        <v>E: sin dato</v>
      </c>
      <c r="M51" s="22" t="n">
        <v>139</v>
      </c>
      <c r="N51" s="22" t="str">
        <v>E: sin dato</v>
      </c>
      <c r="O51" s="22" t="n">
        <v>158</v>
      </c>
      <c r="P51" s="22" t="str">
        <v>E: sin dato</v>
      </c>
      <c r="Q51" s="22" t="n">
        <v>202</v>
      </c>
      <c r="R51" s="22" t="n">
        <v>36</v>
      </c>
      <c r="S51" s="22" t="n">
        <v>267</v>
      </c>
      <c r="T51" s="22" t="n">
        <v>62</v>
      </c>
      <c r="U51" s="22" t="n">
        <v>287</v>
      </c>
      <c r="V51" s="22" t="str">
        <v>E: sin dato</v>
      </c>
      <c r="W51" s="22" t="n">
        <v>266</v>
      </c>
      <c r="X51" s="22" t="str">
        <v>E: sin dato</v>
      </c>
      <c r="Y51" s="43" t="n">
        <f>W51-O51</f>
        <v>108</v>
      </c>
      <c r="Z51" s="29" t="n">
        <f>IF(O51=0,"E: base 0",Y51/O51)</f>
        <v>0.683544303797468</v>
      </c>
      <c r="AA51" s="43" t="n">
        <f>W51-S51</f>
        <v>-1</v>
      </c>
      <c r="AB51" s="29" t="n">
        <f>IF(S51=0,"E: base 0",AA51/S51)</f>
        <v>-0.00374531835205993</v>
      </c>
      <c r="AC51" s="14" t="str">
        <v>ALZA</v>
      </c>
      <c r="AD51" s="14" t="str">
        <v>B/C; PUBLICA</v>
      </c>
      <c r="AE51" s="14" t="n">
        <f>IF(AND(OR($B$4="Todas",C51=$B$4),OR($D$4="Todas",D51=$D$4),OR($F$4="Todas",E51=$F$4)),Y51,"")</f>
        <v>108</v>
      </c>
      <c r="AF51" s="14" t="n">
        <f>IF(AND(ISNUMBER(AE51),AE51&gt;0),COUNTIF($AE$19:$AE$95,"&gt;"&amp;AE51)+COUNTIF($AE$19:AE51,AE51),"")</f>
        <v>6</v>
      </c>
      <c r="AG51" s="14" t="str">
        <f>IF(AND(ISNUMBER(AE51),AE51&lt;0),COUNTIF($AE$19:$AE$95,"&lt;"&amp;AE51)+COUNTIF($AE$19:AE51,AE51),"")</f>
        <v/>
      </c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</row>
    <row r="52" ht="36" customHeight="1">
      <c r="A52" s="15" t="str">
        <v>I162S2C46J1</v>
      </c>
      <c r="B52" s="15" t="str">
        <v>INGENIERIA EN CIBERSEGURIDAD</v>
      </c>
      <c r="C52" s="15" t="str">
        <v>Santiago</v>
      </c>
      <c r="D52" s="15" t="str">
        <v>Diurna</v>
      </c>
      <c r="E52" s="15" t="str">
        <v>Tecnologías</v>
      </c>
      <c r="F52" s="15" t="str">
        <v>I162S2C46J1V1</v>
      </c>
      <c r="G52" s="23" t="n">
        <v>2020</v>
      </c>
      <c r="H52" s="23" t="n">
        <v>2026</v>
      </c>
      <c r="I52" s="24" t="n">
        <v>0</v>
      </c>
      <c r="J52" s="24" t="n">
        <v>0</v>
      </c>
      <c r="K52" s="24" t="n">
        <v>10</v>
      </c>
      <c r="L52" s="24" t="n">
        <v>10</v>
      </c>
      <c r="M52" s="24" t="n">
        <v>15</v>
      </c>
      <c r="N52" s="24" t="n">
        <v>8</v>
      </c>
      <c r="O52" s="24" t="n">
        <v>15</v>
      </c>
      <c r="P52" s="24" t="n">
        <v>5</v>
      </c>
      <c r="Q52" s="24" t="n">
        <v>6</v>
      </c>
      <c r="R52" s="24" t="str">
        <v>E: sin dato</v>
      </c>
      <c r="S52" s="24" t="n">
        <v>21</v>
      </c>
      <c r="T52" s="24" t="n">
        <v>21</v>
      </c>
      <c r="U52" s="24" t="n">
        <v>33</v>
      </c>
      <c r="V52" s="24" t="n">
        <v>18</v>
      </c>
      <c r="W52" s="24" t="n">
        <v>35</v>
      </c>
      <c r="X52" s="24" t="n">
        <v>13</v>
      </c>
      <c r="Y52" s="44" t="n">
        <f>W52-O52</f>
        <v>20</v>
      </c>
      <c r="Z52" s="30" t="n">
        <f>IF(O52=0,"E: base 0",Y52/O52)</f>
        <v>1.33333333333333</v>
      </c>
      <c r="AA52" s="44" t="n">
        <f>W52-S52</f>
        <v>14</v>
      </c>
      <c r="AB52" s="30" t="n">
        <f>IF(S52=0,"E: base 0",AA52/S52)</f>
        <v>0.666666666666667</v>
      </c>
      <c r="AC52" s="15" t="str">
        <v>ALZA</v>
      </c>
      <c r="AD52" s="15" t="str">
        <v>B/C; PUBLICA</v>
      </c>
      <c r="AE52" s="15" t="n">
        <f>IF(AND(OR($B$4="Todas",C52=$B$4),OR($D$4="Todas",D52=$D$4),OR($F$4="Todas",E52=$F$4)),Y52,"")</f>
        <v>20</v>
      </c>
      <c r="AF52" s="15" t="n">
        <f>IF(AND(ISNUMBER(AE52),AE52&gt;0),COUNTIF($AE$19:$AE$95,"&gt;"&amp;AE52)+COUNTIF($AE$19:AE52,AE52),"")</f>
        <v>35</v>
      </c>
      <c r="AG52" s="15" t="str">
        <f>IF(AND(ISNUMBER(AE52),AE52&lt;0),COUNTIF($AE$19:$AE$95,"&lt;"&amp;AE52)+COUNTIF($AE$19:AE52,AE52),"")</f>
        <v/>
      </c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</row>
    <row r="53" ht="36" customHeight="1">
      <c r="A53" s="14" t="str">
        <v>I162S2C46J2</v>
      </c>
      <c r="B53" s="14" t="str">
        <v>INGENIERIA EN CIBERSEGURIDAD</v>
      </c>
      <c r="C53" s="14" t="str">
        <v>Santiago</v>
      </c>
      <c r="D53" s="14" t="str">
        <v>Vespertina</v>
      </c>
      <c r="E53" s="14" t="str">
        <v>Tecnologías</v>
      </c>
      <c r="F53" s="14" t="str">
        <v>I162S2C46J2V1 / I162S2C46J2V2 / I162S2C46J2V3</v>
      </c>
      <c r="G53" s="21" t="n">
        <v>2019</v>
      </c>
      <c r="H53" s="21" t="n">
        <v>2026</v>
      </c>
      <c r="I53" s="22" t="n">
        <v>45</v>
      </c>
      <c r="J53" s="22" t="str">
        <v>E: sin dato</v>
      </c>
      <c r="K53" s="22" t="n">
        <v>65</v>
      </c>
      <c r="L53" s="22" t="str">
        <v>E: sin dato</v>
      </c>
      <c r="M53" s="22" t="n">
        <v>76</v>
      </c>
      <c r="N53" s="22" t="str">
        <v>E: sin dato</v>
      </c>
      <c r="O53" s="22" t="n">
        <v>39</v>
      </c>
      <c r="P53" s="22" t="n">
        <v>7</v>
      </c>
      <c r="Q53" s="22" t="n">
        <v>41</v>
      </c>
      <c r="R53" s="22" t="n">
        <v>13</v>
      </c>
      <c r="S53" s="22" t="n">
        <v>42</v>
      </c>
      <c r="T53" s="22" t="n">
        <v>14</v>
      </c>
      <c r="U53" s="22" t="n">
        <v>36</v>
      </c>
      <c r="V53" s="22" t="n">
        <v>15</v>
      </c>
      <c r="W53" s="22" t="n">
        <v>45</v>
      </c>
      <c r="X53" s="22" t="str">
        <v>E: sin dato</v>
      </c>
      <c r="Y53" s="43" t="n">
        <f>W53-O53</f>
        <v>6</v>
      </c>
      <c r="Z53" s="29" t="n">
        <f>IF(O53=0,"E: base 0",Y53/O53)</f>
        <v>0.153846153846154</v>
      </c>
      <c r="AA53" s="43" t="n">
        <f>W53-S53</f>
        <v>3</v>
      </c>
      <c r="AB53" s="29" t="n">
        <f>IF(S53=0,"E: base 0",AA53/S53)</f>
        <v>0.0714285714285714</v>
      </c>
      <c r="AC53" s="14" t="str">
        <v>ALZA</v>
      </c>
      <c r="AD53" s="14" t="str">
        <v>B/C; PUBLICA</v>
      </c>
      <c r="AE53" s="14" t="n">
        <f>IF(AND(OR($B$4="Todas",C53=$B$4),OR($D$4="Todas",D53=$D$4),OR($F$4="Todas",E53=$F$4)),Y53,"")</f>
        <v>6</v>
      </c>
      <c r="AF53" s="14" t="n">
        <f>IF(AND(ISNUMBER(AE53),AE53&gt;0),COUNTIF($AE$19:$AE$95,"&gt;"&amp;AE53)+COUNTIF($AE$19:AE53,AE53),"")</f>
        <v>48</v>
      </c>
      <c r="AG53" s="14" t="str">
        <f>IF(AND(ISNUMBER(AE53),AE53&lt;0),COUNTIF($AE$19:$AE$95,"&lt;"&amp;AE53)+COUNTIF($AE$19:AE53,AE53),"")</f>
        <v/>
      </c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</row>
    <row r="54" ht="36" customHeight="1">
      <c r="A54" s="15" t="str">
        <v>I162S2C46J4</v>
      </c>
      <c r="B54" s="15" t="str">
        <v>INGENIERIA EN CIBERSEGURIDAD</v>
      </c>
      <c r="C54" s="15" t="str">
        <v>Santiago</v>
      </c>
      <c r="D54" s="15" t="str">
        <v>A distancia</v>
      </c>
      <c r="E54" s="15" t="str">
        <v>Tecnologías</v>
      </c>
      <c r="F54" s="15" t="str">
        <v>I162S2C46J4V1 / I162S2C46J4V2 / I162S2C46J4V3</v>
      </c>
      <c r="G54" s="23" t="n">
        <v>2020</v>
      </c>
      <c r="H54" s="23" t="n">
        <v>2026</v>
      </c>
      <c r="I54" s="24" t="n">
        <v>0</v>
      </c>
      <c r="J54" s="24" t="n">
        <v>0</v>
      </c>
      <c r="K54" s="24" t="n">
        <v>21</v>
      </c>
      <c r="L54" s="24" t="str">
        <v>E: sin dato</v>
      </c>
      <c r="M54" s="24" t="n">
        <v>80</v>
      </c>
      <c r="N54" s="24" t="str">
        <v>E: sin dato</v>
      </c>
      <c r="O54" s="24" t="n">
        <v>106</v>
      </c>
      <c r="P54" s="24" t="n">
        <v>19</v>
      </c>
      <c r="Q54" s="24" t="n">
        <v>173</v>
      </c>
      <c r="R54" s="24" t="n">
        <v>55</v>
      </c>
      <c r="S54" s="24" t="n">
        <v>234</v>
      </c>
      <c r="T54" s="24" t="str">
        <v>E: sin dato</v>
      </c>
      <c r="U54" s="24" t="n">
        <v>306</v>
      </c>
      <c r="V54" s="24" t="str">
        <v>E: sin dato</v>
      </c>
      <c r="W54" s="24" t="n">
        <v>334</v>
      </c>
      <c r="X54" s="24" t="str">
        <v>E: sin dato</v>
      </c>
      <c r="Y54" s="44" t="n">
        <f>W54-O54</f>
        <v>228</v>
      </c>
      <c r="Z54" s="30" t="n">
        <f>IF(O54=0,"E: base 0",Y54/O54)</f>
        <v>2.15094339622642</v>
      </c>
      <c r="AA54" s="44" t="n">
        <f>W54-S54</f>
        <v>100</v>
      </c>
      <c r="AB54" s="30" t="n">
        <f>IF(S54=0,"E: base 0",AA54/S54)</f>
        <v>0.427350427350427</v>
      </c>
      <c r="AC54" s="15" t="str">
        <v>ALZA</v>
      </c>
      <c r="AD54" s="15" t="str">
        <v>B/C; PUBLICA</v>
      </c>
      <c r="AE54" s="15" t="n">
        <f>IF(AND(OR($B$4="Todas",C54=$B$4),OR($D$4="Todas",D54=$D$4),OR($F$4="Todas",E54=$F$4)),Y54,"")</f>
        <v>228</v>
      </c>
      <c r="AF54" s="15" t="n">
        <f>IF(AND(ISNUMBER(AE54),AE54&gt;0),COUNTIF($AE$19:$AE$95,"&gt;"&amp;AE54)+COUNTIF($AE$19:AE54,AE54),"")</f>
        <v>1</v>
      </c>
      <c r="AG54" s="15" t="str">
        <f>IF(AND(ISNUMBER(AE54),AE54&lt;0),COUNTIF($AE$19:$AE$95,"&lt;"&amp;AE54)+COUNTIF($AE$19:AE54,AE54),"")</f>
        <v/>
      </c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</row>
    <row r="55" ht="27" customHeight="1">
      <c r="A55" s="14" t="str">
        <v>I162S2C47J1</v>
      </c>
      <c r="B55" s="14" t="str">
        <v>TECNICO EN CIBERSEGURIDAD</v>
      </c>
      <c r="C55" s="14" t="str">
        <v>Santiago</v>
      </c>
      <c r="D55" s="14" t="str">
        <v>Diurna</v>
      </c>
      <c r="E55" s="14" t="str">
        <v>Tecnologías</v>
      </c>
      <c r="F55" s="14" t="str">
        <v>I162S2C47J1V1</v>
      </c>
      <c r="G55" s="21" t="n">
        <v>2020</v>
      </c>
      <c r="H55" s="21" t="n">
        <v>2026</v>
      </c>
      <c r="I55" s="22" t="n">
        <v>0</v>
      </c>
      <c r="J55" s="22" t="n">
        <v>0</v>
      </c>
      <c r="K55" s="22" t="n">
        <v>12</v>
      </c>
      <c r="L55" s="22" t="n">
        <v>12</v>
      </c>
      <c r="M55" s="22" t="n">
        <v>19</v>
      </c>
      <c r="N55" s="22" t="n">
        <v>11</v>
      </c>
      <c r="O55" s="22" t="n">
        <v>20</v>
      </c>
      <c r="P55" s="22" t="n">
        <v>8</v>
      </c>
      <c r="Q55" s="22" t="n">
        <v>12</v>
      </c>
      <c r="R55" s="22" t="str">
        <v>E: sin dato</v>
      </c>
      <c r="S55" s="22" t="n">
        <v>8</v>
      </c>
      <c r="T55" s="22" t="n">
        <v>5</v>
      </c>
      <c r="U55" s="22" t="n">
        <v>11</v>
      </c>
      <c r="V55" s="22" t="n">
        <v>9</v>
      </c>
      <c r="W55" s="22" t="n">
        <v>19</v>
      </c>
      <c r="X55" s="22" t="n">
        <v>12</v>
      </c>
      <c r="Y55" s="43" t="n">
        <f>W55-O55</f>
        <v>-1</v>
      </c>
      <c r="Z55" s="29" t="n">
        <f>IF(O55=0,"E: base 0",Y55/O55)</f>
        <v>-0.05</v>
      </c>
      <c r="AA55" s="43" t="n">
        <f>W55-S55</f>
        <v>11</v>
      </c>
      <c r="AB55" s="29" t="n">
        <f>IF(S55=0,"E: base 0",AA55/S55)</f>
        <v>1.375</v>
      </c>
      <c r="AC55" s="14" t="str">
        <v>ESTABLE</v>
      </c>
      <c r="AD55" s="14" t="str">
        <v>B/C; PUBLICA</v>
      </c>
      <c r="AE55" s="14" t="n">
        <f>IF(AND(OR($B$4="Todas",C55=$B$4),OR($D$4="Todas",D55=$D$4),OR($F$4="Todas",E55=$F$4)),Y55,"")</f>
        <v>-1</v>
      </c>
      <c r="AF55" s="14" t="str">
        <f>IF(AND(ISNUMBER(AE55),AE55&gt;0),COUNTIF($AE$19:$AE$95,"&gt;"&amp;AE55)+COUNTIF($AE$19:AE55,AE55),"")</f>
        <v/>
      </c>
      <c r="AG55" s="14" t="n">
        <f>IF(AND(ISNUMBER(AE55),AE55&lt;0),COUNTIF($AE$19:$AE$95,"&lt;"&amp;AE55)+COUNTIF($AE$19:AE55,AE55),"")</f>
        <v>12</v>
      </c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</row>
    <row r="56" ht="36" customHeight="1">
      <c r="A56" s="15" t="str">
        <v>I162S2C47J2</v>
      </c>
      <c r="B56" s="15" t="str">
        <v>TECNICO EN CIBERSEGURIDAD</v>
      </c>
      <c r="C56" s="15" t="str">
        <v>Santiago</v>
      </c>
      <c r="D56" s="15" t="str">
        <v>Vespertina</v>
      </c>
      <c r="E56" s="15" t="str">
        <v>Tecnologías</v>
      </c>
      <c r="F56" s="15" t="str">
        <v>I162S2C47J2V1</v>
      </c>
      <c r="G56" s="23" t="n">
        <v>2019</v>
      </c>
      <c r="H56" s="23" t="n">
        <v>2026</v>
      </c>
      <c r="I56" s="24" t="n">
        <v>12</v>
      </c>
      <c r="J56" s="24" t="n">
        <v>12</v>
      </c>
      <c r="K56" s="24" t="n">
        <v>23</v>
      </c>
      <c r="L56" s="24" t="n">
        <v>14</v>
      </c>
      <c r="M56" s="24" t="n">
        <v>20</v>
      </c>
      <c r="N56" s="24" t="n">
        <v>4</v>
      </c>
      <c r="O56" s="24" t="n">
        <v>13</v>
      </c>
      <c r="P56" s="24" t="n">
        <v>8</v>
      </c>
      <c r="Q56" s="24" t="n">
        <v>5</v>
      </c>
      <c r="R56" s="24" t="str">
        <v>E: sin dato</v>
      </c>
      <c r="S56" s="24" t="n">
        <v>12</v>
      </c>
      <c r="T56" s="24" t="n">
        <v>11</v>
      </c>
      <c r="U56" s="24" t="n">
        <v>15</v>
      </c>
      <c r="V56" s="24" t="n">
        <v>9</v>
      </c>
      <c r="W56" s="24" t="n">
        <v>27</v>
      </c>
      <c r="X56" s="24" t="n">
        <v>17</v>
      </c>
      <c r="Y56" s="44" t="n">
        <f>W56-O56</f>
        <v>14</v>
      </c>
      <c r="Z56" s="30" t="n">
        <f>IF(O56=0,"E: base 0",Y56/O56)</f>
        <v>1.07692307692308</v>
      </c>
      <c r="AA56" s="44" t="n">
        <f>W56-S56</f>
        <v>15</v>
      </c>
      <c r="AB56" s="30" t="n">
        <f>IF(S56=0,"E: base 0",AA56/S56)</f>
        <v>1.25</v>
      </c>
      <c r="AC56" s="15" t="str">
        <v>ALZA</v>
      </c>
      <c r="AD56" s="15" t="str">
        <v>B/C; PUBLICA</v>
      </c>
      <c r="AE56" s="15" t="n">
        <f>IF(AND(OR($B$4="Todas",C56=$B$4),OR($D$4="Todas",D56=$D$4),OR($F$4="Todas",E56=$F$4)),Y56,"")</f>
        <v>14</v>
      </c>
      <c r="AF56" s="15" t="n">
        <f>IF(AND(ISNUMBER(AE56),AE56&gt;0),COUNTIF($AE$19:$AE$95,"&gt;"&amp;AE56)+COUNTIF($AE$19:AE56,AE56),"")</f>
        <v>43</v>
      </c>
      <c r="AG56" s="15" t="str">
        <f>IF(AND(ISNUMBER(AE56),AE56&lt;0),COUNTIF($AE$19:$AE$95,"&lt;"&amp;AE56)+COUNTIF($AE$19:AE56,AE56),"")</f>
        <v/>
      </c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</row>
    <row r="57" ht="36" customHeight="1">
      <c r="A57" s="14" t="str">
        <v>I162S2C47J4</v>
      </c>
      <c r="B57" s="14" t="str">
        <v>TECNICO EN CIBERSEGURIDAD</v>
      </c>
      <c r="C57" s="14" t="str">
        <v>Santiago</v>
      </c>
      <c r="D57" s="14" t="str">
        <v>A distancia</v>
      </c>
      <c r="E57" s="14" t="str">
        <v>Tecnologías</v>
      </c>
      <c r="F57" s="14" t="str">
        <v>I162S2C47J4V1</v>
      </c>
      <c r="G57" s="21" t="n">
        <v>2020</v>
      </c>
      <c r="H57" s="21" t="n">
        <v>2026</v>
      </c>
      <c r="I57" s="22" t="n">
        <v>0</v>
      </c>
      <c r="J57" s="22" t="n">
        <v>0</v>
      </c>
      <c r="K57" s="22" t="n">
        <v>26</v>
      </c>
      <c r="L57" s="22" t="n">
        <v>24</v>
      </c>
      <c r="M57" s="22" t="n">
        <v>70</v>
      </c>
      <c r="N57" s="22" t="n">
        <v>42</v>
      </c>
      <c r="O57" s="22" t="n">
        <v>80</v>
      </c>
      <c r="P57" s="22" t="n">
        <v>16</v>
      </c>
      <c r="Q57" s="22" t="n">
        <v>103</v>
      </c>
      <c r="R57" s="22" t="n">
        <v>56</v>
      </c>
      <c r="S57" s="22" t="n">
        <v>117</v>
      </c>
      <c r="T57" s="22" t="n">
        <v>55</v>
      </c>
      <c r="U57" s="22" t="n">
        <v>140</v>
      </c>
      <c r="V57" s="22" t="n">
        <v>67</v>
      </c>
      <c r="W57" s="22" t="n">
        <v>111</v>
      </c>
      <c r="X57" s="22" t="n">
        <v>54</v>
      </c>
      <c r="Y57" s="43" t="n">
        <f>W57-O57</f>
        <v>31</v>
      </c>
      <c r="Z57" s="29" t="n">
        <f>IF(O57=0,"E: base 0",Y57/O57)</f>
        <v>0.3875</v>
      </c>
      <c r="AA57" s="43" t="n">
        <f>W57-S57</f>
        <v>-6</v>
      </c>
      <c r="AB57" s="29" t="n">
        <f>IF(S57=0,"E: base 0",AA57/S57)</f>
        <v>-0.0512820512820513</v>
      </c>
      <c r="AC57" s="14" t="str">
        <v>ALZA</v>
      </c>
      <c r="AD57" s="14" t="str">
        <v>B/C; PUBLICA</v>
      </c>
      <c r="AE57" s="14" t="n">
        <f>IF(AND(OR($B$4="Todas",C57=$B$4),OR($D$4="Todas",D57=$D$4),OR($F$4="Todas",E57=$F$4)),Y57,"")</f>
        <v>31</v>
      </c>
      <c r="AF57" s="14" t="n">
        <f>IF(AND(ISNUMBER(AE57),AE57&gt;0),COUNTIF($AE$19:$AE$95,"&gt;"&amp;AE57)+COUNTIF($AE$19:AE57,AE57),"")</f>
        <v>25</v>
      </c>
      <c r="AG57" s="14" t="str">
        <f>IF(AND(ISNUMBER(AE57),AE57&lt;0),COUNTIF($AE$19:$AE$95,"&lt;"&amp;AE57)+COUNTIF($AE$19:AE57,AE57),"")</f>
        <v/>
      </c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</row>
    <row r="58" ht="36" customHeight="1">
      <c r="A58" s="15" t="str">
        <v>I162S2C53J3</v>
      </c>
      <c r="B58" s="15" t="str">
        <v>DIPLOMADO EN CIBERSEGURIDAD APLICADA</v>
      </c>
      <c r="C58" s="15" t="str">
        <v>Santiago</v>
      </c>
      <c r="D58" s="15" t="str">
        <v>Semipresencial</v>
      </c>
      <c r="E58" s="15" t="str">
        <v>E: sin sector</v>
      </c>
      <c r="F58" s="15" t="str">
        <v>I162S2C53J3V1</v>
      </c>
      <c r="G58" s="23" t="n">
        <v>2019</v>
      </c>
      <c r="H58" s="23" t="n">
        <v>2026</v>
      </c>
      <c r="I58" s="24" t="n">
        <v>16</v>
      </c>
      <c r="J58" s="24" t="n">
        <v>16</v>
      </c>
      <c r="K58" s="24" t="n">
        <v>5</v>
      </c>
      <c r="L58" s="24" t="n">
        <v>5</v>
      </c>
      <c r="M58" s="24" t="n">
        <v>0</v>
      </c>
      <c r="N58" s="24" t="n">
        <v>0</v>
      </c>
      <c r="O58" s="24" t="n">
        <v>0</v>
      </c>
      <c r="P58" s="24" t="n">
        <v>0</v>
      </c>
      <c r="Q58" s="24" t="n">
        <v>19</v>
      </c>
      <c r="R58" s="24" t="n">
        <v>19</v>
      </c>
      <c r="S58" s="24" t="n">
        <v>13</v>
      </c>
      <c r="T58" s="24" t="n">
        <v>13</v>
      </c>
      <c r="U58" s="24" t="n">
        <v>26</v>
      </c>
      <c r="V58" s="24" t="n">
        <v>13</v>
      </c>
      <c r="W58" s="24" t="n">
        <v>17</v>
      </c>
      <c r="X58" s="24" t="n">
        <v>17</v>
      </c>
      <c r="Y58" s="44" t="n">
        <f>W58-O58</f>
        <v>17</v>
      </c>
      <c r="Z58" s="30" t="str">
        <f>IF(O58=0,"E: base 0",Y58/O58)</f>
        <v>E: base 0</v>
      </c>
      <c r="AA58" s="44" t="n">
        <f>W58-S58</f>
        <v>4</v>
      </c>
      <c r="AB58" s="30" t="n">
        <f>IF(S58=0,"E: base 0",AA58/S58)</f>
        <v>0.307692307692308</v>
      </c>
      <c r="AC58" s="15" t="str">
        <v>NUEVA</v>
      </c>
      <c r="AD58" s="15" t="str">
        <v>B/C; PUBLICA</v>
      </c>
      <c r="AE58" s="15" t="n">
        <f>IF(AND(OR($B$4="Todas",C58=$B$4),OR($D$4="Todas",D58=$D$4),OR($F$4="Todas",E58=$F$4)),Y58,"")</f>
        <v>17</v>
      </c>
      <c r="AF58" s="15" t="n">
        <f>IF(AND(ISNUMBER(AE58),AE58&gt;0),COUNTIF($AE$19:$AE$95,"&gt;"&amp;AE58)+COUNTIF($AE$19:AE58,AE58),"")</f>
        <v>41</v>
      </c>
      <c r="AG58" s="15" t="str">
        <f>IF(AND(ISNUMBER(AE58),AE58&lt;0),COUNTIF($AE$19:$AE$95,"&lt;"&amp;AE58)+COUNTIF($AE$19:AE58,AE58),"")</f>
        <v/>
      </c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</row>
    <row r="59" ht="36" customHeight="1">
      <c r="A59" s="14" t="str">
        <v>I162S2C57J1</v>
      </c>
      <c r="B59" s="14" t="str">
        <v>TECNICO EN PROGRAMACION Y ANALISIS DE SISTEMAS</v>
      </c>
      <c r="C59" s="14" t="str">
        <v>Santiago</v>
      </c>
      <c r="D59" s="14" t="str">
        <v>Diurna</v>
      </c>
      <c r="E59" s="14" t="str">
        <v>Tecnologías</v>
      </c>
      <c r="F59" s="14" t="str">
        <v>I162S2C57J1V1</v>
      </c>
      <c r="G59" s="21" t="n">
        <v>2020</v>
      </c>
      <c r="H59" s="21" t="n">
        <v>2026</v>
      </c>
      <c r="I59" s="22" t="n">
        <v>0</v>
      </c>
      <c r="J59" s="22" t="n">
        <v>0</v>
      </c>
      <c r="K59" s="22" t="n">
        <v>21</v>
      </c>
      <c r="L59" s="22" t="n">
        <v>20</v>
      </c>
      <c r="M59" s="22" t="n">
        <v>21</v>
      </c>
      <c r="N59" s="22" t="n">
        <v>8</v>
      </c>
      <c r="O59" s="22" t="n">
        <v>30</v>
      </c>
      <c r="P59" s="22" t="n">
        <v>16</v>
      </c>
      <c r="Q59" s="22" t="n">
        <v>17</v>
      </c>
      <c r="R59" s="22" t="str">
        <v>E: sin dato</v>
      </c>
      <c r="S59" s="22" t="n">
        <v>22</v>
      </c>
      <c r="T59" s="22" t="n">
        <v>11</v>
      </c>
      <c r="U59" s="22" t="n">
        <v>25</v>
      </c>
      <c r="V59" s="22" t="n">
        <v>17</v>
      </c>
      <c r="W59" s="22" t="n">
        <v>28</v>
      </c>
      <c r="X59" s="22" t="n">
        <v>12</v>
      </c>
      <c r="Y59" s="43" t="n">
        <f>W59-O59</f>
        <v>-2</v>
      </c>
      <c r="Z59" s="29" t="n">
        <f>IF(O59=0,"E: base 0",Y59/O59)</f>
        <v>-0.0666666666666667</v>
      </c>
      <c r="AA59" s="43" t="n">
        <f>W59-S59</f>
        <v>6</v>
      </c>
      <c r="AB59" s="29" t="n">
        <f>IF(S59=0,"E: base 0",AA59/S59)</f>
        <v>0.272727272727273</v>
      </c>
      <c r="AC59" s="14" t="str">
        <v>ESTABLE</v>
      </c>
      <c r="AD59" s="14" t="str">
        <v>B/C; PUBLICA</v>
      </c>
      <c r="AE59" s="14" t="n">
        <f>IF(AND(OR($B$4="Todas",C59=$B$4),OR($D$4="Todas",D59=$D$4),OR($F$4="Todas",E59=$F$4)),Y59,"")</f>
        <v>-2</v>
      </c>
      <c r="AF59" s="14" t="str">
        <f>IF(AND(ISNUMBER(AE59),AE59&gt;0),COUNTIF($AE$19:$AE$95,"&gt;"&amp;AE59)+COUNTIF($AE$19:AE59,AE59),"")</f>
        <v/>
      </c>
      <c r="AG59" s="14" t="n">
        <f>IF(AND(ISNUMBER(AE59),AE59&lt;0),COUNTIF($AE$19:$AE$95,"&lt;"&amp;AE59)+COUNTIF($AE$19:AE59,AE59),"")</f>
        <v>10</v>
      </c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</row>
    <row r="60" ht="36" customHeight="1">
      <c r="A60" s="15" t="str">
        <v>I162S2C57J2</v>
      </c>
      <c r="B60" s="15" t="str">
        <v>TECNICO EN PROGRAMACION Y ANALISIS DE SISTEMAS</v>
      </c>
      <c r="C60" s="15" t="str">
        <v>Santiago</v>
      </c>
      <c r="D60" s="15" t="str">
        <v>Vespertina</v>
      </c>
      <c r="E60" s="15" t="str">
        <v>Tecnologías</v>
      </c>
      <c r="F60" s="15" t="str">
        <v>I162S2C57J2V1</v>
      </c>
      <c r="G60" s="23" t="n">
        <v>2020</v>
      </c>
      <c r="H60" s="23" t="n">
        <v>2026</v>
      </c>
      <c r="I60" s="24" t="n">
        <v>0</v>
      </c>
      <c r="J60" s="24" t="n">
        <v>0</v>
      </c>
      <c r="K60" s="24" t="n">
        <v>29</v>
      </c>
      <c r="L60" s="24" t="n">
        <v>28</v>
      </c>
      <c r="M60" s="24" t="n">
        <v>49</v>
      </c>
      <c r="N60" s="24" t="n">
        <v>22</v>
      </c>
      <c r="O60" s="24" t="n">
        <v>44</v>
      </c>
      <c r="P60" s="24" t="n">
        <v>9</v>
      </c>
      <c r="Q60" s="24" t="n">
        <v>17</v>
      </c>
      <c r="R60" s="24" t="str">
        <v>E: sin dato</v>
      </c>
      <c r="S60" s="24" t="n">
        <v>24</v>
      </c>
      <c r="T60" s="24" t="n">
        <v>17</v>
      </c>
      <c r="U60" s="24" t="n">
        <v>25</v>
      </c>
      <c r="V60" s="24" t="n">
        <v>13</v>
      </c>
      <c r="W60" s="24" t="n">
        <v>25</v>
      </c>
      <c r="X60" s="24" t="n">
        <v>13</v>
      </c>
      <c r="Y60" s="44" t="n">
        <f>W60-O60</f>
        <v>-19</v>
      </c>
      <c r="Z60" s="30" t="n">
        <f>IF(O60=0,"E: base 0",Y60/O60)</f>
        <v>-0.431818181818182</v>
      </c>
      <c r="AA60" s="44" t="n">
        <f>W60-S60</f>
        <v>1</v>
      </c>
      <c r="AB60" s="30" t="n">
        <f>IF(S60=0,"E: base 0",AA60/S60)</f>
        <v>0.0416666666666667</v>
      </c>
      <c r="AC60" s="15" t="str">
        <v>BAJA</v>
      </c>
      <c r="AD60" s="15" t="str">
        <v>B/C; PUBLICA</v>
      </c>
      <c r="AE60" s="15" t="n">
        <f>IF(AND(OR($B$4="Todas",C60=$B$4),OR($D$4="Todas",D60=$D$4),OR($F$4="Todas",E60=$F$4)),Y60,"")</f>
        <v>-19</v>
      </c>
      <c r="AF60" s="15" t="str">
        <f>IF(AND(ISNUMBER(AE60),AE60&gt;0),COUNTIF($AE$19:$AE$95,"&gt;"&amp;AE60)+COUNTIF($AE$19:AE60,AE60),"")</f>
        <v/>
      </c>
      <c r="AG60" s="15" t="n">
        <f>IF(AND(ISNUMBER(AE60),AE60&lt;0),COUNTIF($AE$19:$AE$95,"&lt;"&amp;AE60)+COUNTIF($AE$19:AE60,AE60),"")</f>
        <v>3</v>
      </c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</row>
    <row r="61" ht="36" customHeight="1">
      <c r="A61" s="14" t="str">
        <v>I162S2C57J4</v>
      </c>
      <c r="B61" s="14" t="str">
        <v>TECNICO EN PROGRAMACION Y ANALISIS DE SISTEMAS</v>
      </c>
      <c r="C61" s="14" t="str">
        <v>Santiago</v>
      </c>
      <c r="D61" s="14" t="str">
        <v>A distancia</v>
      </c>
      <c r="E61" s="14" t="str">
        <v>Tecnologías</v>
      </c>
      <c r="F61" s="14" t="str">
        <v>I162S2C57J4V1</v>
      </c>
      <c r="G61" s="21" t="n">
        <v>2020</v>
      </c>
      <c r="H61" s="21" t="n">
        <v>2026</v>
      </c>
      <c r="I61" s="22" t="n">
        <v>0</v>
      </c>
      <c r="J61" s="22" t="n">
        <v>0</v>
      </c>
      <c r="K61" s="22" t="n">
        <v>27</v>
      </c>
      <c r="L61" s="22" t="n">
        <v>26</v>
      </c>
      <c r="M61" s="22" t="n">
        <v>124</v>
      </c>
      <c r="N61" s="22" t="n">
        <v>82</v>
      </c>
      <c r="O61" s="22" t="n">
        <v>169</v>
      </c>
      <c r="P61" s="22" t="n">
        <v>58</v>
      </c>
      <c r="Q61" s="22" t="n">
        <v>252</v>
      </c>
      <c r="R61" s="22" t="n">
        <v>117</v>
      </c>
      <c r="S61" s="22" t="n">
        <v>275</v>
      </c>
      <c r="T61" s="22" t="n">
        <v>110</v>
      </c>
      <c r="U61" s="22" t="n">
        <v>306</v>
      </c>
      <c r="V61" s="22" t="n">
        <v>133</v>
      </c>
      <c r="W61" s="22" t="n">
        <v>257</v>
      </c>
      <c r="X61" s="22" t="n">
        <v>86</v>
      </c>
      <c r="Y61" s="43" t="n">
        <f>W61-O61</f>
        <v>88</v>
      </c>
      <c r="Z61" s="29" t="n">
        <f>IF(O61=0,"E: base 0",Y61/O61)</f>
        <v>0.520710059171598</v>
      </c>
      <c r="AA61" s="43" t="n">
        <f>W61-S61</f>
        <v>-18</v>
      </c>
      <c r="AB61" s="29" t="n">
        <f>IF(S61=0,"E: base 0",AA61/S61)</f>
        <v>-0.0654545454545455</v>
      </c>
      <c r="AC61" s="14" t="str">
        <v>ALZA</v>
      </c>
      <c r="AD61" s="14" t="str">
        <v>B/C; PUBLICA</v>
      </c>
      <c r="AE61" s="14" t="n">
        <f>IF(AND(OR($B$4="Todas",C61=$B$4),OR($D$4="Todas",D61=$D$4),OR($F$4="Todas",E61=$F$4)),Y61,"")</f>
        <v>88</v>
      </c>
      <c r="AF61" s="14" t="n">
        <f>IF(AND(ISNUMBER(AE61),AE61&gt;0),COUNTIF($AE$19:$AE$95,"&gt;"&amp;AE61)+COUNTIF($AE$19:AE61,AE61),"")</f>
        <v>9</v>
      </c>
      <c r="AG61" s="14" t="str">
        <f>IF(AND(ISNUMBER(AE61),AE61&lt;0),COUNTIF($AE$19:$AE$95,"&lt;"&amp;AE61)+COUNTIF($AE$19:AE61,AE61),"")</f>
        <v/>
      </c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</row>
    <row r="62" ht="27" customHeight="1">
      <c r="A62" s="15" t="str">
        <v>I162S2C63J4</v>
      </c>
      <c r="B62" s="15" t="str">
        <v>DIPLOMADO EN ARQUITECTURA CLOUD</v>
      </c>
      <c r="C62" s="15" t="str">
        <v>Santiago</v>
      </c>
      <c r="D62" s="15" t="str">
        <v>A distancia</v>
      </c>
      <c r="E62" s="15" t="str">
        <v>E: sin sector</v>
      </c>
      <c r="F62" s="15" t="str">
        <v>I162S2C63J4V1</v>
      </c>
      <c r="G62" s="23" t="n">
        <v>2025</v>
      </c>
      <c r="H62" s="23" t="n">
        <v>2025</v>
      </c>
      <c r="I62" s="24" t="n">
        <v>0</v>
      </c>
      <c r="J62" s="24" t="n">
        <v>0</v>
      </c>
      <c r="K62" s="24" t="n">
        <v>0</v>
      </c>
      <c r="L62" s="24" t="n">
        <v>0</v>
      </c>
      <c r="M62" s="24" t="n">
        <v>0</v>
      </c>
      <c r="N62" s="24" t="n">
        <v>0</v>
      </c>
      <c r="O62" s="24" t="n">
        <v>0</v>
      </c>
      <c r="P62" s="24" t="n">
        <v>0</v>
      </c>
      <c r="Q62" s="24" t="n">
        <v>0</v>
      </c>
      <c r="R62" s="24" t="n">
        <v>0</v>
      </c>
      <c r="S62" s="24" t="n">
        <v>0</v>
      </c>
      <c r="T62" s="24" t="n">
        <v>0</v>
      </c>
      <c r="U62" s="24" t="n">
        <v>31</v>
      </c>
      <c r="V62" s="24" t="n">
        <v>9</v>
      </c>
      <c r="W62" s="24" t="n">
        <v>0</v>
      </c>
      <c r="X62" s="24" t="n">
        <v>0</v>
      </c>
      <c r="Y62" s="44" t="n">
        <f>W62-O62</f>
        <v>0</v>
      </c>
      <c r="Z62" s="30" t="str">
        <f>IF(O62=0,"E: base 0",Y62/O62)</f>
        <v>E: base 0</v>
      </c>
      <c r="AA62" s="44" t="n">
        <f>W62-S62</f>
        <v>0</v>
      </c>
      <c r="AB62" s="30" t="str">
        <f>IF(S62=0,"E: base 0",AA62/S62)</f>
        <v>E: base 0</v>
      </c>
      <c r="AC62" s="15" t="str">
        <v>CERRADA</v>
      </c>
      <c r="AD62" s="15" t="str">
        <v>B/C; PUBLICA</v>
      </c>
      <c r="AE62" s="15" t="n">
        <f>IF(AND(OR($B$4="Todas",C62=$B$4),OR($D$4="Todas",D62=$D$4),OR($F$4="Todas",E62=$F$4)),Y62,"")</f>
        <v>0</v>
      </c>
      <c r="AF62" s="15" t="str">
        <f>IF(AND(ISNUMBER(AE62),AE62&gt;0),COUNTIF($AE$19:$AE$95,"&gt;"&amp;AE62)+COUNTIF($AE$19:AE62,AE62),"")</f>
        <v/>
      </c>
      <c r="AG62" s="15" t="str">
        <f>IF(AND(ISNUMBER(AE62),AE62&lt;0),COUNTIF($AE$19:$AE$95,"&lt;"&amp;AE62)+COUNTIF($AE$19:AE62,AE62),"")</f>
        <v/>
      </c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</row>
    <row r="63" ht="27" customHeight="1">
      <c r="A63" s="14" t="str">
        <v>I162S2C66J4</v>
      </c>
      <c r="B63" s="14" t="str">
        <v>DIPLOMADO EN FULLSTACK</v>
      </c>
      <c r="C63" s="14" t="str">
        <v>Santiago</v>
      </c>
      <c r="D63" s="14" t="str">
        <v>A distancia</v>
      </c>
      <c r="E63" s="14" t="str">
        <v>E: sin sector</v>
      </c>
      <c r="F63" s="14" t="str">
        <v>I162S2C66J4V1</v>
      </c>
      <c r="G63" s="21" t="n">
        <v>2025</v>
      </c>
      <c r="H63" s="21" t="n">
        <v>2026</v>
      </c>
      <c r="I63" s="22" t="n">
        <v>0</v>
      </c>
      <c r="J63" s="22" t="n">
        <v>0</v>
      </c>
      <c r="K63" s="22" t="n">
        <v>0</v>
      </c>
      <c r="L63" s="22" t="n">
        <v>0</v>
      </c>
      <c r="M63" s="22" t="n">
        <v>0</v>
      </c>
      <c r="N63" s="22" t="n">
        <v>0</v>
      </c>
      <c r="O63" s="22" t="n">
        <v>0</v>
      </c>
      <c r="P63" s="22" t="n">
        <v>0</v>
      </c>
      <c r="Q63" s="22" t="n">
        <v>0</v>
      </c>
      <c r="R63" s="22" t="n">
        <v>0</v>
      </c>
      <c r="S63" s="22" t="n">
        <v>0</v>
      </c>
      <c r="T63" s="22" t="n">
        <v>0</v>
      </c>
      <c r="U63" s="22" t="n">
        <v>41</v>
      </c>
      <c r="V63" s="22" t="n">
        <v>19</v>
      </c>
      <c r="W63" s="22" t="n">
        <v>15</v>
      </c>
      <c r="X63" s="22" t="n">
        <v>15</v>
      </c>
      <c r="Y63" s="43" t="n">
        <f>W63-O63</f>
        <v>15</v>
      </c>
      <c r="Z63" s="29" t="str">
        <f>IF(O63=0,"E: base 0",Y63/O63)</f>
        <v>E: base 0</v>
      </c>
      <c r="AA63" s="43" t="n">
        <f>W63-S63</f>
        <v>15</v>
      </c>
      <c r="AB63" s="29" t="str">
        <f>IF(S63=0,"E: base 0",AA63/S63)</f>
        <v>E: base 0</v>
      </c>
      <c r="AC63" s="14" t="str">
        <v>NUEVA</v>
      </c>
      <c r="AD63" s="14" t="str">
        <v>B/C; PUBLICA</v>
      </c>
      <c r="AE63" s="14" t="n">
        <f>IF(AND(OR($B$4="Todas",C63=$B$4),OR($D$4="Todas",D63=$D$4),OR($F$4="Todas",E63=$F$4)),Y63,"")</f>
        <v>15</v>
      </c>
      <c r="AF63" s="14" t="n">
        <f>IF(AND(ISNUMBER(AE63),AE63&gt;0),COUNTIF($AE$19:$AE$95,"&gt;"&amp;AE63)+COUNTIF($AE$19:AE63,AE63),"")</f>
        <v>42</v>
      </c>
      <c r="AG63" s="14" t="str">
        <f>IF(AND(ISNUMBER(AE63),AE63&lt;0),COUNTIF($AE$19:$AE$95,"&lt;"&amp;AE63)+COUNTIF($AE$19:AE63,AE63),"")</f>
        <v/>
      </c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</row>
    <row r="64" ht="27" customHeight="1">
      <c r="A64" s="15" t="str">
        <v>I162S2C67J4</v>
      </c>
      <c r="B64" s="15" t="str">
        <v>DIPLOMADO EN QUALITY ASSURANCE</v>
      </c>
      <c r="C64" s="15" t="str">
        <v>Santiago</v>
      </c>
      <c r="D64" s="15" t="str">
        <v>A distancia</v>
      </c>
      <c r="E64" s="15" t="str">
        <v>E: sin sector</v>
      </c>
      <c r="F64" s="15" t="str">
        <v>I162S2C67J4V1</v>
      </c>
      <c r="G64" s="23" t="n">
        <v>2025</v>
      </c>
      <c r="H64" s="23" t="n">
        <v>2025</v>
      </c>
      <c r="I64" s="24" t="n">
        <v>0</v>
      </c>
      <c r="J64" s="24" t="n">
        <v>0</v>
      </c>
      <c r="K64" s="24" t="n">
        <v>0</v>
      </c>
      <c r="L64" s="24" t="n">
        <v>0</v>
      </c>
      <c r="M64" s="24" t="n">
        <v>0</v>
      </c>
      <c r="N64" s="24" t="n">
        <v>0</v>
      </c>
      <c r="O64" s="24" t="n">
        <v>0</v>
      </c>
      <c r="P64" s="24" t="n">
        <v>0</v>
      </c>
      <c r="Q64" s="24" t="n">
        <v>0</v>
      </c>
      <c r="R64" s="24" t="n">
        <v>0</v>
      </c>
      <c r="S64" s="24" t="n">
        <v>0</v>
      </c>
      <c r="T64" s="24" t="n">
        <v>0</v>
      </c>
      <c r="U64" s="24" t="n">
        <v>8</v>
      </c>
      <c r="V64" s="24" t="str">
        <v>E: sin dato</v>
      </c>
      <c r="W64" s="24" t="n">
        <v>0</v>
      </c>
      <c r="X64" s="24" t="n">
        <v>0</v>
      </c>
      <c r="Y64" s="44" t="n">
        <f>W64-O64</f>
        <v>0</v>
      </c>
      <c r="Z64" s="30" t="str">
        <f>IF(O64=0,"E: base 0",Y64/O64)</f>
        <v>E: base 0</v>
      </c>
      <c r="AA64" s="44" t="n">
        <f>W64-S64</f>
        <v>0</v>
      </c>
      <c r="AB64" s="30" t="str">
        <f>IF(S64=0,"E: base 0",AA64/S64)</f>
        <v>E: base 0</v>
      </c>
      <c r="AC64" s="15" t="str">
        <v>CERRADA</v>
      </c>
      <c r="AD64" s="15" t="str">
        <v>B/C; PUBLICA</v>
      </c>
      <c r="AE64" s="15" t="n">
        <f>IF(AND(OR($B$4="Todas",C64=$B$4),OR($D$4="Todas",D64=$D$4),OR($F$4="Todas",E64=$F$4)),Y64,"")</f>
        <v>0</v>
      </c>
      <c r="AF64" s="15" t="str">
        <f>IF(AND(ISNUMBER(AE64),AE64&gt;0),COUNTIF($AE$19:$AE$95,"&gt;"&amp;AE64)+COUNTIF($AE$19:AE64,AE64),"")</f>
        <v/>
      </c>
      <c r="AG64" s="15" t="str">
        <f>IF(AND(ISNUMBER(AE64),AE64&lt;0),COUNTIF($AE$19:$AE$95,"&lt;"&amp;AE64)+COUNTIF($AE$19:AE64,AE64),"")</f>
        <v/>
      </c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</row>
    <row r="65" ht="27" customHeight="1">
      <c r="A65" s="14" t="str">
        <v>I162S2C68J4</v>
      </c>
      <c r="B65" s="14" t="str">
        <v>DIPLOMADO EN SEGURIDAD OFENSIVA</v>
      </c>
      <c r="C65" s="14" t="str">
        <v>Santiago</v>
      </c>
      <c r="D65" s="14" t="str">
        <v>A distancia</v>
      </c>
      <c r="E65" s="14" t="str">
        <v>E: sin sector</v>
      </c>
      <c r="F65" s="14" t="str">
        <v>I162S2C68J4V1</v>
      </c>
      <c r="G65" s="21" t="n">
        <v>2025</v>
      </c>
      <c r="H65" s="21" t="n">
        <v>2025</v>
      </c>
      <c r="I65" s="22" t="n">
        <v>0</v>
      </c>
      <c r="J65" s="22" t="n">
        <v>0</v>
      </c>
      <c r="K65" s="22" t="n">
        <v>0</v>
      </c>
      <c r="L65" s="22" t="n">
        <v>0</v>
      </c>
      <c r="M65" s="22" t="n">
        <v>0</v>
      </c>
      <c r="N65" s="22" t="n">
        <v>0</v>
      </c>
      <c r="O65" s="22" t="n">
        <v>0</v>
      </c>
      <c r="P65" s="22" t="n">
        <v>0</v>
      </c>
      <c r="Q65" s="22" t="n">
        <v>0</v>
      </c>
      <c r="R65" s="22" t="n">
        <v>0</v>
      </c>
      <c r="S65" s="22" t="n">
        <v>0</v>
      </c>
      <c r="T65" s="22" t="n">
        <v>0</v>
      </c>
      <c r="U65" s="22" t="n">
        <v>8</v>
      </c>
      <c r="V65" s="22" t="str">
        <v>E: sin dato</v>
      </c>
      <c r="W65" s="22" t="n">
        <v>0</v>
      </c>
      <c r="X65" s="22" t="n">
        <v>0</v>
      </c>
      <c r="Y65" s="43" t="n">
        <f>W65-O65</f>
        <v>0</v>
      </c>
      <c r="Z65" s="29" t="str">
        <f>IF(O65=0,"E: base 0",Y65/O65)</f>
        <v>E: base 0</v>
      </c>
      <c r="AA65" s="43" t="n">
        <f>W65-S65</f>
        <v>0</v>
      </c>
      <c r="AB65" s="29" t="str">
        <f>IF(S65=0,"E: base 0",AA65/S65)</f>
        <v>E: base 0</v>
      </c>
      <c r="AC65" s="14" t="str">
        <v>CERRADA</v>
      </c>
      <c r="AD65" s="14" t="str">
        <v>B/C; PUBLICA</v>
      </c>
      <c r="AE65" s="14" t="n">
        <f>IF(AND(OR($B$4="Todas",C65=$B$4),OR($D$4="Todas",D65=$D$4),OR($F$4="Todas",E65=$F$4)),Y65,"")</f>
        <v>0</v>
      </c>
      <c r="AF65" s="14" t="str">
        <f>IF(AND(ISNUMBER(AE65),AE65&gt;0),COUNTIF($AE$19:$AE$95,"&gt;"&amp;AE65)+COUNTIF($AE$19:AE65,AE65),"")</f>
        <v/>
      </c>
      <c r="AG65" s="14" t="str">
        <f>IF(AND(ISNUMBER(AE65),AE65&lt;0),COUNTIF($AE$19:$AE$95,"&lt;"&amp;AE65)+COUNTIF($AE$19:AE65,AE65),"")</f>
        <v/>
      </c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</row>
    <row r="66" ht="36" customHeight="1">
      <c r="A66" s="15" t="str">
        <v>I162S2C6J1</v>
      </c>
      <c r="B66" s="15" t="str">
        <v>TECNICO EN CONECTIVIDAD Y REDES</v>
      </c>
      <c r="C66" s="15" t="str">
        <v>Santiago</v>
      </c>
      <c r="D66" s="15" t="str">
        <v>Diurna</v>
      </c>
      <c r="E66" s="15" t="str">
        <v>Tecnologías</v>
      </c>
      <c r="F66" s="15" t="str">
        <v>I162S2C6J1V1 / I162S2C6J1V2</v>
      </c>
      <c r="G66" s="23" t="n">
        <v>2009</v>
      </c>
      <c r="H66" s="23" t="n">
        <v>2024</v>
      </c>
      <c r="I66" s="24" t="n">
        <v>50</v>
      </c>
      <c r="J66" s="24" t="str">
        <v>E: sin dato</v>
      </c>
      <c r="K66" s="24" t="n">
        <v>20</v>
      </c>
      <c r="L66" s="24" t="str">
        <v>E: sin dato</v>
      </c>
      <c r="M66" s="24" t="n">
        <v>14</v>
      </c>
      <c r="N66" s="24" t="str">
        <v>E: sin dato</v>
      </c>
      <c r="O66" s="24" t="n">
        <v>6</v>
      </c>
      <c r="P66" s="24" t="str">
        <v>E: sin dato</v>
      </c>
      <c r="Q66" s="24" t="n">
        <v>3</v>
      </c>
      <c r="R66" s="24" t="str">
        <v>E: sin dato</v>
      </c>
      <c r="S66" s="24" t="n">
        <v>1</v>
      </c>
      <c r="T66" s="24" t="str">
        <v>E: sin dato</v>
      </c>
      <c r="U66" s="24" t="n">
        <v>0</v>
      </c>
      <c r="V66" s="24" t="n">
        <v>0</v>
      </c>
      <c r="W66" s="24" t="n">
        <v>0</v>
      </c>
      <c r="X66" s="24" t="n">
        <v>0</v>
      </c>
      <c r="Y66" s="44" t="n">
        <f>W66-O66</f>
        <v>-6</v>
      </c>
      <c r="Z66" s="30" t="n">
        <f>IF(O66=0,"E: base 0",Y66/O66)</f>
        <v>-1</v>
      </c>
      <c r="AA66" s="44" t="n">
        <f>W66-S66</f>
        <v>-1</v>
      </c>
      <c r="AB66" s="30" t="n">
        <f>IF(S66=0,"E: base 0",AA66/S66)</f>
        <v>-1</v>
      </c>
      <c r="AC66" s="15" t="str">
        <v>CERRADA</v>
      </c>
      <c r="AD66" s="15" t="str">
        <v>B/C; PUBLICA</v>
      </c>
      <c r="AE66" s="15" t="n">
        <f>IF(AND(OR($B$4="Todas",C66=$B$4),OR($D$4="Todas",D66=$D$4),OR($F$4="Todas",E66=$F$4)),Y66,"")</f>
        <v>-6</v>
      </c>
      <c r="AF66" s="15" t="str">
        <f>IF(AND(ISNUMBER(AE66),AE66&gt;0),COUNTIF($AE$19:$AE$95,"&gt;"&amp;AE66)+COUNTIF($AE$19:AE66,AE66),"")</f>
        <v/>
      </c>
      <c r="AG66" s="15" t="n">
        <f>IF(AND(ISNUMBER(AE66),AE66&lt;0),COUNTIF($AE$19:$AE$95,"&lt;"&amp;AE66)+COUNTIF($AE$19:AE66,AE66),"")</f>
        <v>7</v>
      </c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</row>
    <row r="67" ht="36" customHeight="1">
      <c r="A67" s="14" t="str">
        <v>I162S2C6J2</v>
      </c>
      <c r="B67" s="14" t="str">
        <v>TECNICO EN CONECTIVIDAD Y REDES</v>
      </c>
      <c r="C67" s="14" t="str">
        <v>Santiago</v>
      </c>
      <c r="D67" s="14" t="str">
        <v>Vespertina</v>
      </c>
      <c r="E67" s="14" t="str">
        <v>Tecnologías</v>
      </c>
      <c r="F67" s="14" t="str">
        <v>I162S2C6J2V1 / I162S2C6J2V2</v>
      </c>
      <c r="G67" s="21" t="n">
        <v>2007</v>
      </c>
      <c r="H67" s="21" t="n">
        <v>2026</v>
      </c>
      <c r="I67" s="22" t="n">
        <v>104</v>
      </c>
      <c r="J67" s="22" t="str">
        <v>E: sin dato</v>
      </c>
      <c r="K67" s="22" t="n">
        <v>72</v>
      </c>
      <c r="L67" s="22" t="str">
        <v>E: sin dato</v>
      </c>
      <c r="M67" s="22" t="n">
        <v>49</v>
      </c>
      <c r="N67" s="22" t="str">
        <v>E: sin dato</v>
      </c>
      <c r="O67" s="22" t="n">
        <v>23</v>
      </c>
      <c r="P67" s="22" t="str">
        <v>E: sin dato</v>
      </c>
      <c r="Q67" s="22" t="n">
        <v>8</v>
      </c>
      <c r="R67" s="22" t="str">
        <v>E: sin dato</v>
      </c>
      <c r="S67" s="22" t="n">
        <v>6</v>
      </c>
      <c r="T67" s="22" t="n">
        <v>2</v>
      </c>
      <c r="U67" s="22" t="n">
        <v>8</v>
      </c>
      <c r="V67" s="22" t="n">
        <v>7</v>
      </c>
      <c r="W67" s="22" t="n">
        <v>7</v>
      </c>
      <c r="X67" s="22" t="n">
        <v>1</v>
      </c>
      <c r="Y67" s="43" t="n">
        <f>W67-O67</f>
        <v>-16</v>
      </c>
      <c r="Z67" s="29" t="n">
        <f>IF(O67=0,"E: base 0",Y67/O67)</f>
        <v>-0.695652173913044</v>
      </c>
      <c r="AA67" s="43" t="n">
        <f>W67-S67</f>
        <v>1</v>
      </c>
      <c r="AB67" s="29" t="n">
        <f>IF(S67=0,"E: base 0",AA67/S67)</f>
        <v>0.166666666666667</v>
      </c>
      <c r="AC67" s="14" t="str">
        <v>BAJA</v>
      </c>
      <c r="AD67" s="14" t="str">
        <v>B/C; PUBLICA</v>
      </c>
      <c r="AE67" s="14" t="n">
        <f>IF(AND(OR($B$4="Todas",C67=$B$4),OR($D$4="Todas",D67=$D$4),OR($F$4="Todas",E67=$F$4)),Y67,"")</f>
        <v>-16</v>
      </c>
      <c r="AF67" s="14" t="str">
        <f>IF(AND(ISNUMBER(AE67),AE67&gt;0),COUNTIF($AE$19:$AE$95,"&gt;"&amp;AE67)+COUNTIF($AE$19:AE67,AE67),"")</f>
        <v/>
      </c>
      <c r="AG67" s="14" t="n">
        <f>IF(AND(ISNUMBER(AE67),AE67&lt;0),COUNTIF($AE$19:$AE$95,"&lt;"&amp;AE67)+COUNTIF($AE$19:AE67,AE67),"")</f>
        <v>5</v>
      </c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</row>
    <row r="68" ht="36" customHeight="1">
      <c r="A68" s="15" t="str">
        <v>I162S2C6J4</v>
      </c>
      <c r="B68" s="15" t="str">
        <v>TECNICO EN CONECTIVIDAD Y REDES</v>
      </c>
      <c r="C68" s="15" t="str">
        <v>Santiago</v>
      </c>
      <c r="D68" s="15" t="str">
        <v>A distancia</v>
      </c>
      <c r="E68" s="15" t="str">
        <v>Tecnologías</v>
      </c>
      <c r="F68" s="15" t="str">
        <v>I162S2C6J4V1 / I162S2C6J4V2</v>
      </c>
      <c r="G68" s="23" t="n">
        <v>2017</v>
      </c>
      <c r="H68" s="23" t="n">
        <v>2026</v>
      </c>
      <c r="I68" s="24" t="n">
        <v>53</v>
      </c>
      <c r="J68" s="24" t="str">
        <v>E: sin dato</v>
      </c>
      <c r="K68" s="24" t="n">
        <v>43</v>
      </c>
      <c r="L68" s="24" t="str">
        <v>E: sin dato</v>
      </c>
      <c r="M68" s="24" t="n">
        <v>56</v>
      </c>
      <c r="N68" s="24" t="str">
        <v>E: sin dato</v>
      </c>
      <c r="O68" s="24" t="n">
        <v>72</v>
      </c>
      <c r="P68" s="24" t="n">
        <v>28</v>
      </c>
      <c r="Q68" s="24" t="n">
        <v>73</v>
      </c>
      <c r="R68" s="24" t="n">
        <v>24</v>
      </c>
      <c r="S68" s="24" t="n">
        <v>63</v>
      </c>
      <c r="T68" s="24" t="n">
        <v>23</v>
      </c>
      <c r="U68" s="24" t="n">
        <v>63</v>
      </c>
      <c r="V68" s="24" t="n">
        <v>38</v>
      </c>
      <c r="W68" s="24" t="n">
        <v>45</v>
      </c>
      <c r="X68" s="24" t="n">
        <v>12</v>
      </c>
      <c r="Y68" s="44" t="n">
        <f>W68-O68</f>
        <v>-27</v>
      </c>
      <c r="Z68" s="30" t="n">
        <f>IF(O68=0,"E: base 0",Y68/O68)</f>
        <v>-0.375</v>
      </c>
      <c r="AA68" s="44" t="n">
        <f>W68-S68</f>
        <v>-18</v>
      </c>
      <c r="AB68" s="30" t="n">
        <f>IF(S68=0,"E: base 0",AA68/S68)</f>
        <v>-0.285714285714286</v>
      </c>
      <c r="AC68" s="15" t="str">
        <v>BAJA</v>
      </c>
      <c r="AD68" s="15" t="str">
        <v>B/C; PUBLICA</v>
      </c>
      <c r="AE68" s="15" t="n">
        <f>IF(AND(OR($B$4="Todas",C68=$B$4),OR($D$4="Todas",D68=$D$4),OR($F$4="Todas",E68=$F$4)),Y68,"")</f>
        <v>-27</v>
      </c>
      <c r="AF68" s="15" t="str">
        <f>IF(AND(ISNUMBER(AE68),AE68&gt;0),COUNTIF($AE$19:$AE$95,"&gt;"&amp;AE68)+COUNTIF($AE$19:AE68,AE68),"")</f>
        <v/>
      </c>
      <c r="AG68" s="15" t="n">
        <f>IF(AND(ISNUMBER(AE68),AE68&lt;0),COUNTIF($AE$19:$AE$95,"&lt;"&amp;AE68)+COUNTIF($AE$19:AE68,AE68),"")</f>
        <v>2</v>
      </c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</row>
    <row r="69" ht="27" customHeight="1">
      <c r="A69" s="14" t="str">
        <v>I162S2C70J4</v>
      </c>
      <c r="B69" s="14" t="str">
        <v>DIPLOMADO REDES INDUSTRIALES</v>
      </c>
      <c r="C69" s="14" t="str">
        <v>Santiago</v>
      </c>
      <c r="D69" s="14" t="str">
        <v>A distancia</v>
      </c>
      <c r="E69" s="14" t="str">
        <v>E: sin sector</v>
      </c>
      <c r="F69" s="14" t="str">
        <v>I162S2C70J4V1</v>
      </c>
      <c r="G69" s="21" t="n">
        <v>2026</v>
      </c>
      <c r="H69" s="21" t="n">
        <v>2026</v>
      </c>
      <c r="I69" s="22" t="n">
        <v>0</v>
      </c>
      <c r="J69" s="22" t="n">
        <v>0</v>
      </c>
      <c r="K69" s="22" t="n">
        <v>0</v>
      </c>
      <c r="L69" s="22" t="n">
        <v>0</v>
      </c>
      <c r="M69" s="22" t="n">
        <v>0</v>
      </c>
      <c r="N69" s="22" t="n">
        <v>0</v>
      </c>
      <c r="O69" s="22" t="n">
        <v>0</v>
      </c>
      <c r="P69" s="22" t="n">
        <v>0</v>
      </c>
      <c r="Q69" s="22" t="n">
        <v>0</v>
      </c>
      <c r="R69" s="22" t="n">
        <v>0</v>
      </c>
      <c r="S69" s="22" t="n">
        <v>0</v>
      </c>
      <c r="T69" s="22" t="n">
        <v>0</v>
      </c>
      <c r="U69" s="22" t="n">
        <v>0</v>
      </c>
      <c r="V69" s="22" t="n">
        <v>0</v>
      </c>
      <c r="W69" s="22" t="n">
        <v>22</v>
      </c>
      <c r="X69" s="22" t="n">
        <v>22</v>
      </c>
      <c r="Y69" s="43" t="n">
        <f>W69-O69</f>
        <v>22</v>
      </c>
      <c r="Z69" s="29" t="str">
        <f>IF(O69=0,"E: base 0",Y69/O69)</f>
        <v>E: base 0</v>
      </c>
      <c r="AA69" s="43" t="n">
        <f>W69-S69</f>
        <v>22</v>
      </c>
      <c r="AB69" s="29" t="str">
        <f>IF(S69=0,"E: base 0",AA69/S69)</f>
        <v>E: base 0</v>
      </c>
      <c r="AC69" s="14" t="str">
        <v>NUEVA</v>
      </c>
      <c r="AD69" s="14" t="str">
        <v>B/C; PUBLICA</v>
      </c>
      <c r="AE69" s="14" t="n">
        <f>IF(AND(OR($B$4="Todas",C69=$B$4),OR($D$4="Todas",D69=$D$4),OR($F$4="Todas",E69=$F$4)),Y69,"")</f>
        <v>22</v>
      </c>
      <c r="AF69" s="14" t="n">
        <f>IF(AND(ISNUMBER(AE69),AE69&gt;0),COUNTIF($AE$19:$AE$95,"&gt;"&amp;AE69)+COUNTIF($AE$19:AE69,AE69),"")</f>
        <v>33</v>
      </c>
      <c r="AG69" s="14" t="str">
        <f>IF(AND(ISNUMBER(AE69),AE69&lt;0),COUNTIF($AE$19:$AE$95,"&lt;"&amp;AE69)+COUNTIF($AE$19:AE69,AE69),"")</f>
        <v/>
      </c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</row>
    <row r="70" ht="36" customHeight="1">
      <c r="A70" s="15" t="str">
        <v>I162S2C71J4</v>
      </c>
      <c r="B70" s="15" t="str">
        <v>DIPLOMADO SEGURIDAD EN ARQUITECTURA DE REDES</v>
      </c>
      <c r="C70" s="15" t="str">
        <v>Santiago</v>
      </c>
      <c r="D70" s="15" t="str">
        <v>A distancia</v>
      </c>
      <c r="E70" s="15" t="str">
        <v>E: sin sector</v>
      </c>
      <c r="F70" s="15" t="str">
        <v>I162S2C71J4V1</v>
      </c>
      <c r="G70" s="23" t="n">
        <v>2025</v>
      </c>
      <c r="H70" s="23" t="n">
        <v>2025</v>
      </c>
      <c r="I70" s="24" t="n">
        <v>0</v>
      </c>
      <c r="J70" s="24" t="n">
        <v>0</v>
      </c>
      <c r="K70" s="24" t="n">
        <v>0</v>
      </c>
      <c r="L70" s="24" t="n">
        <v>0</v>
      </c>
      <c r="M70" s="24" t="n">
        <v>0</v>
      </c>
      <c r="N70" s="24" t="n">
        <v>0</v>
      </c>
      <c r="O70" s="24" t="n">
        <v>0</v>
      </c>
      <c r="P70" s="24" t="n">
        <v>0</v>
      </c>
      <c r="Q70" s="24" t="n">
        <v>0</v>
      </c>
      <c r="R70" s="24" t="n">
        <v>0</v>
      </c>
      <c r="S70" s="24" t="n">
        <v>0</v>
      </c>
      <c r="T70" s="24" t="n">
        <v>0</v>
      </c>
      <c r="U70" s="24" t="n">
        <v>20</v>
      </c>
      <c r="V70" s="24" t="str">
        <v>E: sin dato</v>
      </c>
      <c r="W70" s="24" t="n">
        <v>0</v>
      </c>
      <c r="X70" s="24" t="n">
        <v>0</v>
      </c>
      <c r="Y70" s="44" t="n">
        <f>W70-O70</f>
        <v>0</v>
      </c>
      <c r="Z70" s="30" t="str">
        <f>IF(O70=0,"E: base 0",Y70/O70)</f>
        <v>E: base 0</v>
      </c>
      <c r="AA70" s="44" t="n">
        <f>W70-S70</f>
        <v>0</v>
      </c>
      <c r="AB70" s="30" t="str">
        <f>IF(S70=0,"E: base 0",AA70/S70)</f>
        <v>E: base 0</v>
      </c>
      <c r="AC70" s="15" t="str">
        <v>CERRADA</v>
      </c>
      <c r="AD70" s="15" t="str">
        <v>B/C; PUBLICA</v>
      </c>
      <c r="AE70" s="15" t="n">
        <f>IF(AND(OR($B$4="Todas",C70=$B$4),OR($D$4="Todas",D70=$D$4),OR($F$4="Todas",E70=$F$4)),Y70,"")</f>
        <v>0</v>
      </c>
      <c r="AF70" s="15" t="str">
        <f>IF(AND(ISNUMBER(AE70),AE70&gt;0),COUNTIF($AE$19:$AE$95,"&gt;"&amp;AE70)+COUNTIF($AE$19:AE70,AE70),"")</f>
        <v/>
      </c>
      <c r="AG70" s="15" t="str">
        <f>IF(AND(ISNUMBER(AE70),AE70&lt;0),COUNTIF($AE$19:$AE$95,"&lt;"&amp;AE70)+COUNTIF($AE$19:AE70,AE70),"")</f>
        <v/>
      </c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</row>
    <row r="71" ht="27" customHeight="1">
      <c r="A71" s="14" t="str">
        <v>I162S2C76J1</v>
      </c>
      <c r="B71" s="14" t="str">
        <v>INGENIERIA EN ADMINISTRACION DE EMPRESAS</v>
      </c>
      <c r="C71" s="14" t="str">
        <v>Santiago</v>
      </c>
      <c r="D71" s="14" t="str">
        <v>Diurna</v>
      </c>
      <c r="E71" s="14" t="str">
        <v>Administración y Comercio</v>
      </c>
      <c r="F71" s="14" t="str">
        <v>I162S2C76J1V1</v>
      </c>
      <c r="G71" s="21" t="n">
        <v>2026</v>
      </c>
      <c r="H71" s="21" t="n">
        <v>2026</v>
      </c>
      <c r="I71" s="22" t="n">
        <v>0</v>
      </c>
      <c r="J71" s="22" t="n">
        <v>0</v>
      </c>
      <c r="K71" s="22" t="n">
        <v>0</v>
      </c>
      <c r="L71" s="22" t="n">
        <v>0</v>
      </c>
      <c r="M71" s="22" t="n">
        <v>0</v>
      </c>
      <c r="N71" s="22" t="n">
        <v>0</v>
      </c>
      <c r="O71" s="22" t="n">
        <v>0</v>
      </c>
      <c r="P71" s="22" t="n">
        <v>0</v>
      </c>
      <c r="Q71" s="22" t="n">
        <v>0</v>
      </c>
      <c r="R71" s="22" t="n">
        <v>0</v>
      </c>
      <c r="S71" s="22" t="n">
        <v>0</v>
      </c>
      <c r="T71" s="22" t="n">
        <v>0</v>
      </c>
      <c r="U71" s="22" t="n">
        <v>0</v>
      </c>
      <c r="V71" s="22" t="n">
        <v>0</v>
      </c>
      <c r="W71" s="22" t="n">
        <v>7</v>
      </c>
      <c r="X71" s="22" t="n">
        <v>7</v>
      </c>
      <c r="Y71" s="43" t="n">
        <f>W71-O71</f>
        <v>7</v>
      </c>
      <c r="Z71" s="29" t="str">
        <f>IF(O71=0,"E: base 0",Y71/O71)</f>
        <v>E: base 0</v>
      </c>
      <c r="AA71" s="43" t="n">
        <f>W71-S71</f>
        <v>7</v>
      </c>
      <c r="AB71" s="29" t="str">
        <f>IF(S71=0,"E: base 0",AA71/S71)</f>
        <v>E: base 0</v>
      </c>
      <c r="AC71" s="14" t="str">
        <v>NUEVA</v>
      </c>
      <c r="AD71" s="14" t="str">
        <v>B/C; PUBLICA</v>
      </c>
      <c r="AE71" s="14" t="n">
        <f>IF(AND(OR($B$4="Todas",C71=$B$4),OR($D$4="Todas",D71=$D$4),OR($F$4="Todas",E71=$F$4)),Y71,"")</f>
        <v>7</v>
      </c>
      <c r="AF71" s="14" t="n">
        <f>IF(AND(ISNUMBER(AE71),AE71&gt;0),COUNTIF($AE$19:$AE$95,"&gt;"&amp;AE71)+COUNTIF($AE$19:AE71,AE71),"")</f>
        <v>47</v>
      </c>
      <c r="AG71" s="14" t="str">
        <f>IF(AND(ISNUMBER(AE71),AE71&lt;0),COUNTIF($AE$19:$AE$95,"&lt;"&amp;AE71)+COUNTIF($AE$19:AE71,AE71),"")</f>
        <v/>
      </c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</row>
    <row r="72" ht="27" customHeight="1">
      <c r="A72" s="15" t="str">
        <v>I162S2C76J2</v>
      </c>
      <c r="B72" s="15" t="str">
        <v>INGENIERIA EN ADMINISTRACION DE EMPRESAS</v>
      </c>
      <c r="C72" s="15" t="str">
        <v>Santiago</v>
      </c>
      <c r="D72" s="15" t="str">
        <v>Vespertina</v>
      </c>
      <c r="E72" s="15" t="str">
        <v>Administración y Comercio</v>
      </c>
      <c r="F72" s="15" t="str">
        <v>I162S2C76J2V1</v>
      </c>
      <c r="G72" s="23" t="n">
        <v>2024</v>
      </c>
      <c r="H72" s="23" t="n">
        <v>2026</v>
      </c>
      <c r="I72" s="24" t="n">
        <v>0</v>
      </c>
      <c r="J72" s="24" t="n">
        <v>0</v>
      </c>
      <c r="K72" s="24" t="n">
        <v>0</v>
      </c>
      <c r="L72" s="24" t="n">
        <v>0</v>
      </c>
      <c r="M72" s="24" t="n">
        <v>0</v>
      </c>
      <c r="N72" s="24" t="n">
        <v>0</v>
      </c>
      <c r="O72" s="24" t="n">
        <v>0</v>
      </c>
      <c r="P72" s="24" t="n">
        <v>0</v>
      </c>
      <c r="Q72" s="24" t="n">
        <v>0</v>
      </c>
      <c r="R72" s="24" t="n">
        <v>0</v>
      </c>
      <c r="S72" s="24" t="n">
        <v>1</v>
      </c>
      <c r="T72" s="24" t="n">
        <v>1</v>
      </c>
      <c r="U72" s="24" t="n">
        <v>22</v>
      </c>
      <c r="V72" s="24" t="n">
        <v>22</v>
      </c>
      <c r="W72" s="24" t="n">
        <v>25</v>
      </c>
      <c r="X72" s="24" t="n">
        <v>15</v>
      </c>
      <c r="Y72" s="44" t="n">
        <f>W72-O72</f>
        <v>25</v>
      </c>
      <c r="Z72" s="30" t="str">
        <f>IF(O72=0,"E: base 0",Y72/O72)</f>
        <v>E: base 0</v>
      </c>
      <c r="AA72" s="44" t="n">
        <f>W72-S72</f>
        <v>24</v>
      </c>
      <c r="AB72" s="30" t="n">
        <f>IF(S72=0,"E: base 0",AA72/S72)</f>
        <v>24</v>
      </c>
      <c r="AC72" s="15" t="str">
        <v>NUEVA</v>
      </c>
      <c r="AD72" s="15" t="str">
        <v>B/C; PUBLICA</v>
      </c>
      <c r="AE72" s="15" t="n">
        <f>IF(AND(OR($B$4="Todas",C72=$B$4),OR($D$4="Todas",D72=$D$4),OR($F$4="Todas",E72=$F$4)),Y72,"")</f>
        <v>25</v>
      </c>
      <c r="AF72" s="15" t="n">
        <f>IF(AND(ISNUMBER(AE72),AE72&gt;0),COUNTIF($AE$19:$AE$95,"&gt;"&amp;AE72)+COUNTIF($AE$19:AE72,AE72),"")</f>
        <v>30</v>
      </c>
      <c r="AG72" s="15" t="str">
        <f>IF(AND(ISNUMBER(AE72),AE72&lt;0),COUNTIF($AE$19:$AE$95,"&lt;"&amp;AE72)+COUNTIF($AE$19:AE72,AE72),"")</f>
        <v/>
      </c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</row>
    <row r="73" ht="36" customHeight="1">
      <c r="A73" s="14" t="str">
        <v>I162S2C76J4</v>
      </c>
      <c r="B73" s="14" t="str">
        <v>INGENIERIA EN ADMINISTRACION DE EMPRESAS</v>
      </c>
      <c r="C73" s="14" t="str">
        <v>Santiago</v>
      </c>
      <c r="D73" s="14" t="str">
        <v>A distancia</v>
      </c>
      <c r="E73" s="14" t="str">
        <v>Administración y Comercio</v>
      </c>
      <c r="F73" s="14" t="str">
        <v>I162S2C76J4V1 / I162S2C76J4V2</v>
      </c>
      <c r="G73" s="21" t="n">
        <v>2024</v>
      </c>
      <c r="H73" s="21" t="n">
        <v>2026</v>
      </c>
      <c r="I73" s="22" t="n">
        <v>0</v>
      </c>
      <c r="J73" s="22" t="n">
        <v>0</v>
      </c>
      <c r="K73" s="22" t="n">
        <v>0</v>
      </c>
      <c r="L73" s="22" t="n">
        <v>0</v>
      </c>
      <c r="M73" s="22" t="n">
        <v>0</v>
      </c>
      <c r="N73" s="22" t="n">
        <v>0</v>
      </c>
      <c r="O73" s="22" t="n">
        <v>0</v>
      </c>
      <c r="P73" s="22" t="n">
        <v>0</v>
      </c>
      <c r="Q73" s="22" t="n">
        <v>0</v>
      </c>
      <c r="R73" s="22" t="n">
        <v>0</v>
      </c>
      <c r="S73" s="22" t="n">
        <v>7</v>
      </c>
      <c r="T73" s="22" t="n">
        <v>7</v>
      </c>
      <c r="U73" s="22" t="n">
        <v>101</v>
      </c>
      <c r="V73" s="22" t="str">
        <v>E: sin dato</v>
      </c>
      <c r="W73" s="22" t="n">
        <v>153</v>
      </c>
      <c r="X73" s="22" t="str">
        <v>E: sin dato</v>
      </c>
      <c r="Y73" s="43" t="n">
        <f>W73-O73</f>
        <v>153</v>
      </c>
      <c r="Z73" s="29" t="str">
        <f>IF(O73=0,"E: base 0",Y73/O73)</f>
        <v>E: base 0</v>
      </c>
      <c r="AA73" s="43" t="n">
        <f>W73-S73</f>
        <v>146</v>
      </c>
      <c r="AB73" s="29" t="n">
        <f>IF(S73=0,"E: base 0",AA73/S73)</f>
        <v>20.8571428571429</v>
      </c>
      <c r="AC73" s="14" t="str">
        <v>NUEVA</v>
      </c>
      <c r="AD73" s="14" t="str">
        <v>B/C; PUBLICA</v>
      </c>
      <c r="AE73" s="14" t="n">
        <f>IF(AND(OR($B$4="Todas",C73=$B$4),OR($D$4="Todas",D73=$D$4),OR($F$4="Todas",E73=$F$4)),Y73,"")</f>
        <v>153</v>
      </c>
      <c r="AF73" s="14" t="n">
        <f>IF(AND(ISNUMBER(AE73),AE73&gt;0),COUNTIF($AE$19:$AE$95,"&gt;"&amp;AE73)+COUNTIF($AE$19:AE73,AE73),"")</f>
        <v>3</v>
      </c>
      <c r="AG73" s="14" t="str">
        <f>IF(AND(ISNUMBER(AE73),AE73&lt;0),COUNTIF($AE$19:$AE$95,"&lt;"&amp;AE73)+COUNTIF($AE$19:AE73,AE73),"")</f>
        <v/>
      </c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</row>
    <row r="74" ht="27" customHeight="1">
      <c r="A74" s="15" t="str">
        <v>I162S2C77J1</v>
      </c>
      <c r="B74" s="15" t="str">
        <v>INGENIERIA EN LOGISTICA</v>
      </c>
      <c r="C74" s="15" t="str">
        <v>Santiago</v>
      </c>
      <c r="D74" s="15" t="str">
        <v>Diurna</v>
      </c>
      <c r="E74" s="15" t="str">
        <v>Administración y Comercio</v>
      </c>
      <c r="F74" s="15" t="str">
        <v>I162S2C77J1V1</v>
      </c>
      <c r="G74" s="23" t="n">
        <v>2026</v>
      </c>
      <c r="H74" s="23" t="n">
        <v>2026</v>
      </c>
      <c r="I74" s="24" t="n">
        <v>0</v>
      </c>
      <c r="J74" s="24" t="n">
        <v>0</v>
      </c>
      <c r="K74" s="24" t="n">
        <v>0</v>
      </c>
      <c r="L74" s="24" t="n">
        <v>0</v>
      </c>
      <c r="M74" s="24" t="n">
        <v>0</v>
      </c>
      <c r="N74" s="24" t="n">
        <v>0</v>
      </c>
      <c r="O74" s="24" t="n">
        <v>0</v>
      </c>
      <c r="P74" s="24" t="n">
        <v>0</v>
      </c>
      <c r="Q74" s="24" t="n">
        <v>0</v>
      </c>
      <c r="R74" s="24" t="n">
        <v>0</v>
      </c>
      <c r="S74" s="24" t="n">
        <v>0</v>
      </c>
      <c r="T74" s="24" t="n">
        <v>0</v>
      </c>
      <c r="U74" s="24" t="n">
        <v>0</v>
      </c>
      <c r="V74" s="24" t="n">
        <v>0</v>
      </c>
      <c r="W74" s="24" t="n">
        <v>1</v>
      </c>
      <c r="X74" s="24" t="n">
        <v>1</v>
      </c>
      <c r="Y74" s="44" t="n">
        <f>W74-O74</f>
        <v>1</v>
      </c>
      <c r="Z74" s="30" t="str">
        <f>IF(O74=0,"E: base 0",Y74/O74)</f>
        <v>E: base 0</v>
      </c>
      <c r="AA74" s="44" t="n">
        <f>W74-S74</f>
        <v>1</v>
      </c>
      <c r="AB74" s="30" t="str">
        <f>IF(S74=0,"E: base 0",AA74/S74)</f>
        <v>E: base 0</v>
      </c>
      <c r="AC74" s="15" t="str">
        <v>NUEVA</v>
      </c>
      <c r="AD74" s="15" t="str">
        <v>B/C; PUBLICA</v>
      </c>
      <c r="AE74" s="15" t="n">
        <f>IF(AND(OR($B$4="Todas",C74=$B$4),OR($D$4="Todas",D74=$D$4),OR($F$4="Todas",E74=$F$4)),Y74,"")</f>
        <v>1</v>
      </c>
      <c r="AF74" s="15" t="n">
        <f>IF(AND(ISNUMBER(AE74),AE74&gt;0),COUNTIF($AE$19:$AE$95,"&gt;"&amp;AE74)+COUNTIF($AE$19:AE74,AE74),"")</f>
        <v>50</v>
      </c>
      <c r="AG74" s="15" t="str">
        <f>IF(AND(ISNUMBER(AE74),AE74&lt;0),COUNTIF($AE$19:$AE$95,"&lt;"&amp;AE74)+COUNTIF($AE$19:AE74,AE74),"")</f>
        <v/>
      </c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</row>
    <row r="75" ht="36" customHeight="1">
      <c r="A75" s="14" t="str">
        <v>I162S2C77J2</v>
      </c>
      <c r="B75" s="14" t="str">
        <v>INGENIERIA EN LOGISTICA</v>
      </c>
      <c r="C75" s="14" t="str">
        <v>Santiago</v>
      </c>
      <c r="D75" s="14" t="str">
        <v>Vespertina</v>
      </c>
      <c r="E75" s="14" t="str">
        <v>Administración y Comercio</v>
      </c>
      <c r="F75" s="14" t="str">
        <v>I162S2C77J2V1</v>
      </c>
      <c r="G75" s="21" t="n">
        <v>2024</v>
      </c>
      <c r="H75" s="21" t="n">
        <v>2026</v>
      </c>
      <c r="I75" s="22" t="n">
        <v>0</v>
      </c>
      <c r="J75" s="22" t="n">
        <v>0</v>
      </c>
      <c r="K75" s="22" t="n">
        <v>0</v>
      </c>
      <c r="L75" s="22" t="n">
        <v>0</v>
      </c>
      <c r="M75" s="22" t="n">
        <v>0</v>
      </c>
      <c r="N75" s="22" t="n">
        <v>0</v>
      </c>
      <c r="O75" s="22" t="n">
        <v>0</v>
      </c>
      <c r="P75" s="22" t="n">
        <v>0</v>
      </c>
      <c r="Q75" s="22" t="n">
        <v>0</v>
      </c>
      <c r="R75" s="22" t="n">
        <v>0</v>
      </c>
      <c r="S75" s="22" t="n">
        <v>7</v>
      </c>
      <c r="T75" s="22" t="n">
        <v>7</v>
      </c>
      <c r="U75" s="22" t="n">
        <v>15</v>
      </c>
      <c r="V75" s="22" t="n">
        <v>12</v>
      </c>
      <c r="W75" s="22" t="n">
        <v>20</v>
      </c>
      <c r="X75" s="22" t="n">
        <v>11</v>
      </c>
      <c r="Y75" s="43" t="n">
        <f>W75-O75</f>
        <v>20</v>
      </c>
      <c r="Z75" s="29" t="str">
        <f>IF(O75=0,"E: base 0",Y75/O75)</f>
        <v>E: base 0</v>
      </c>
      <c r="AA75" s="43" t="n">
        <f>W75-S75</f>
        <v>13</v>
      </c>
      <c r="AB75" s="29" t="n">
        <f>IF(S75=0,"E: base 0",AA75/S75)</f>
        <v>1.85714285714286</v>
      </c>
      <c r="AC75" s="14" t="str">
        <v>NUEVA</v>
      </c>
      <c r="AD75" s="14" t="str">
        <v>B/C; PUBLICA</v>
      </c>
      <c r="AE75" s="14" t="n">
        <f>IF(AND(OR($B$4="Todas",C75=$B$4),OR($D$4="Todas",D75=$D$4),OR($F$4="Todas",E75=$F$4)),Y75,"")</f>
        <v>20</v>
      </c>
      <c r="AF75" s="14" t="n">
        <f>IF(AND(ISNUMBER(AE75),AE75&gt;0),COUNTIF($AE$19:$AE$95,"&gt;"&amp;AE75)+COUNTIF($AE$19:AE75,AE75),"")</f>
        <v>36</v>
      </c>
      <c r="AG75" s="14" t="str">
        <f>IF(AND(ISNUMBER(AE75),AE75&lt;0),COUNTIF($AE$19:$AE$95,"&lt;"&amp;AE75)+COUNTIF($AE$19:AE75,AE75),"")</f>
        <v/>
      </c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</row>
    <row r="76" ht="36" customHeight="1">
      <c r="A76" s="15" t="str">
        <v>I162S2C77J4</v>
      </c>
      <c r="B76" s="15" t="str">
        <v>INGENIERIA EN LOGISTICA</v>
      </c>
      <c r="C76" s="15" t="str">
        <v>Santiago</v>
      </c>
      <c r="D76" s="15" t="str">
        <v>A distancia</v>
      </c>
      <c r="E76" s="15" t="str">
        <v>Administración y Comercio</v>
      </c>
      <c r="F76" s="15" t="str">
        <v>I162S2C77J4V1 / I162S2C77J4V2</v>
      </c>
      <c r="G76" s="23" t="n">
        <v>2024</v>
      </c>
      <c r="H76" s="23" t="n">
        <v>2026</v>
      </c>
      <c r="I76" s="24" t="n">
        <v>0</v>
      </c>
      <c r="J76" s="24" t="n">
        <v>0</v>
      </c>
      <c r="K76" s="24" t="n">
        <v>0</v>
      </c>
      <c r="L76" s="24" t="n">
        <v>0</v>
      </c>
      <c r="M76" s="24" t="n">
        <v>0</v>
      </c>
      <c r="N76" s="24" t="n">
        <v>0</v>
      </c>
      <c r="O76" s="24" t="n">
        <v>0</v>
      </c>
      <c r="P76" s="24" t="n">
        <v>0</v>
      </c>
      <c r="Q76" s="24" t="n">
        <v>0</v>
      </c>
      <c r="R76" s="24" t="n">
        <v>0</v>
      </c>
      <c r="S76" s="24" t="n">
        <v>9</v>
      </c>
      <c r="T76" s="24" t="n">
        <v>9</v>
      </c>
      <c r="U76" s="24" t="n">
        <v>76</v>
      </c>
      <c r="V76" s="24" t="str">
        <v>E: sin dato</v>
      </c>
      <c r="W76" s="24" t="n">
        <v>130</v>
      </c>
      <c r="X76" s="24" t="str">
        <v>E: sin dato</v>
      </c>
      <c r="Y76" s="44" t="n">
        <f>W76-O76</f>
        <v>130</v>
      </c>
      <c r="Z76" s="30" t="str">
        <f>IF(O76=0,"E: base 0",Y76/O76)</f>
        <v>E: base 0</v>
      </c>
      <c r="AA76" s="44" t="n">
        <f>W76-S76</f>
        <v>121</v>
      </c>
      <c r="AB76" s="30" t="n">
        <f>IF(S76=0,"E: base 0",AA76/S76)</f>
        <v>13.4444444444444</v>
      </c>
      <c r="AC76" s="15" t="str">
        <v>NUEVA</v>
      </c>
      <c r="AD76" s="15" t="str">
        <v>B/C; PUBLICA</v>
      </c>
      <c r="AE76" s="15" t="n">
        <f>IF(AND(OR($B$4="Todas",C76=$B$4),OR($D$4="Todas",D76=$D$4),OR($F$4="Todas",E76=$F$4)),Y76,"")</f>
        <v>130</v>
      </c>
      <c r="AF76" s="15" t="n">
        <f>IF(AND(ISNUMBER(AE76),AE76&gt;0),COUNTIF($AE$19:$AE$95,"&gt;"&amp;AE76)+COUNTIF($AE$19:AE76,AE76),"")</f>
        <v>4</v>
      </c>
      <c r="AG76" s="15" t="str">
        <f>IF(AND(ISNUMBER(AE76),AE76&lt;0),COUNTIF($AE$19:$AE$95,"&lt;"&amp;AE76)+COUNTIF($AE$19:AE76,AE76),"")</f>
        <v/>
      </c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</row>
    <row r="77" ht="27" customHeight="1">
      <c r="A77" s="14" t="str">
        <v>I162S2C78J1</v>
      </c>
      <c r="B77" s="14" t="str">
        <v>TECNICO EN ADMINISTRACION DE EMPRESAS</v>
      </c>
      <c r="C77" s="14" t="str">
        <v>Santiago</v>
      </c>
      <c r="D77" s="14" t="str">
        <v>Diurna</v>
      </c>
      <c r="E77" s="14" t="str">
        <v>Administración y Comercio</v>
      </c>
      <c r="F77" s="14" t="str">
        <v>I162S2C78J1V1</v>
      </c>
      <c r="G77" s="21" t="n">
        <v>2026</v>
      </c>
      <c r="H77" s="21" t="n">
        <v>2026</v>
      </c>
      <c r="I77" s="22" t="n">
        <v>0</v>
      </c>
      <c r="J77" s="22" t="n">
        <v>0</v>
      </c>
      <c r="K77" s="22" t="n">
        <v>0</v>
      </c>
      <c r="L77" s="22" t="n">
        <v>0</v>
      </c>
      <c r="M77" s="22" t="n">
        <v>0</v>
      </c>
      <c r="N77" s="22" t="n">
        <v>0</v>
      </c>
      <c r="O77" s="22" t="n">
        <v>0</v>
      </c>
      <c r="P77" s="22" t="n">
        <v>0</v>
      </c>
      <c r="Q77" s="22" t="n">
        <v>0</v>
      </c>
      <c r="R77" s="22" t="n">
        <v>0</v>
      </c>
      <c r="S77" s="22" t="n">
        <v>0</v>
      </c>
      <c r="T77" s="22" t="n">
        <v>0</v>
      </c>
      <c r="U77" s="22" t="n">
        <v>0</v>
      </c>
      <c r="V77" s="22" t="n">
        <v>0</v>
      </c>
      <c r="W77" s="22" t="n">
        <v>10</v>
      </c>
      <c r="X77" s="22" t="n">
        <v>10</v>
      </c>
      <c r="Y77" s="43" t="n">
        <f>W77-O77</f>
        <v>10</v>
      </c>
      <c r="Z77" s="29" t="str">
        <f>IF(O77=0,"E: base 0",Y77/O77)</f>
        <v>E: base 0</v>
      </c>
      <c r="AA77" s="43" t="n">
        <f>W77-S77</f>
        <v>10</v>
      </c>
      <c r="AB77" s="29" t="str">
        <f>IF(S77=0,"E: base 0",AA77/S77)</f>
        <v>E: base 0</v>
      </c>
      <c r="AC77" s="14" t="str">
        <v>NUEVA</v>
      </c>
      <c r="AD77" s="14" t="str">
        <v>B/C; PUBLICA</v>
      </c>
      <c r="AE77" s="14" t="n">
        <f>IF(AND(OR($B$4="Todas",C77=$B$4),OR($D$4="Todas",D77=$D$4),OR($F$4="Todas",E77=$F$4)),Y77,"")</f>
        <v>10</v>
      </c>
      <c r="AF77" s="14" t="n">
        <f>IF(AND(ISNUMBER(AE77),AE77&gt;0),COUNTIF($AE$19:$AE$95,"&gt;"&amp;AE77)+COUNTIF($AE$19:AE77,AE77),"")</f>
        <v>46</v>
      </c>
      <c r="AG77" s="14" t="str">
        <f>IF(AND(ISNUMBER(AE77),AE77&lt;0),COUNTIF($AE$19:$AE$95,"&lt;"&amp;AE77)+COUNTIF($AE$19:AE77,AE77),"")</f>
        <v/>
      </c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</row>
    <row r="78" ht="36" customHeight="1">
      <c r="A78" s="15" t="str">
        <v>I162S2C78J2</v>
      </c>
      <c r="B78" s="15" t="str">
        <v>TECNICO EN ADMINISTRACION DE EMPRESAS</v>
      </c>
      <c r="C78" s="15" t="str">
        <v>Santiago</v>
      </c>
      <c r="D78" s="15" t="str">
        <v>Vespertina</v>
      </c>
      <c r="E78" s="15" t="str">
        <v>Administración y Comercio</v>
      </c>
      <c r="F78" s="15" t="str">
        <v>I162S2C78J2V1</v>
      </c>
      <c r="G78" s="23" t="n">
        <v>2024</v>
      </c>
      <c r="H78" s="23" t="n">
        <v>2026</v>
      </c>
      <c r="I78" s="24" t="n">
        <v>0</v>
      </c>
      <c r="J78" s="24" t="n">
        <v>0</v>
      </c>
      <c r="K78" s="24" t="n">
        <v>0</v>
      </c>
      <c r="L78" s="24" t="n">
        <v>0</v>
      </c>
      <c r="M78" s="24" t="n">
        <v>0</v>
      </c>
      <c r="N78" s="24" t="n">
        <v>0</v>
      </c>
      <c r="O78" s="24" t="n">
        <v>0</v>
      </c>
      <c r="P78" s="24" t="n">
        <v>0</v>
      </c>
      <c r="Q78" s="24" t="n">
        <v>0</v>
      </c>
      <c r="R78" s="24" t="n">
        <v>0</v>
      </c>
      <c r="S78" s="24" t="n">
        <v>7</v>
      </c>
      <c r="T78" s="24" t="n">
        <v>7</v>
      </c>
      <c r="U78" s="24" t="n">
        <v>11</v>
      </c>
      <c r="V78" s="24" t="n">
        <v>11</v>
      </c>
      <c r="W78" s="24" t="n">
        <v>36</v>
      </c>
      <c r="X78" s="24" t="n">
        <v>32</v>
      </c>
      <c r="Y78" s="44" t="n">
        <f>W78-O78</f>
        <v>36</v>
      </c>
      <c r="Z78" s="30" t="str">
        <f>IF(O78=0,"E: base 0",Y78/O78)</f>
        <v>E: base 0</v>
      </c>
      <c r="AA78" s="44" t="n">
        <f>W78-S78</f>
        <v>29</v>
      </c>
      <c r="AB78" s="30" t="n">
        <f>IF(S78=0,"E: base 0",AA78/S78)</f>
        <v>4.14285714285714</v>
      </c>
      <c r="AC78" s="15" t="str">
        <v>NUEVA</v>
      </c>
      <c r="AD78" s="15" t="str">
        <v>B/C; PUBLICA</v>
      </c>
      <c r="AE78" s="15" t="n">
        <f>IF(AND(OR($B$4="Todas",C78=$B$4),OR($D$4="Todas",D78=$D$4),OR($F$4="Todas",E78=$F$4)),Y78,"")</f>
        <v>36</v>
      </c>
      <c r="AF78" s="15" t="n">
        <f>IF(AND(ISNUMBER(AE78),AE78&gt;0),COUNTIF($AE$19:$AE$95,"&gt;"&amp;AE78)+COUNTIF($AE$19:AE78,AE78),"")</f>
        <v>21</v>
      </c>
      <c r="AG78" s="15" t="str">
        <f>IF(AND(ISNUMBER(AE78),AE78&lt;0),COUNTIF($AE$19:$AE$95,"&lt;"&amp;AE78)+COUNTIF($AE$19:AE78,AE78),"")</f>
        <v/>
      </c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</row>
    <row r="79" ht="27" customHeight="1">
      <c r="A79" s="14" t="str">
        <v>I162S2C78J4</v>
      </c>
      <c r="B79" s="14" t="str">
        <v>TECNICO EN ADMINISTRACION DE EMPRESAS</v>
      </c>
      <c r="C79" s="14" t="str">
        <v>Santiago</v>
      </c>
      <c r="D79" s="14" t="str">
        <v>A distancia</v>
      </c>
      <c r="E79" s="14" t="str">
        <v>Administración y Comercio</v>
      </c>
      <c r="F79" s="14" t="str">
        <v>I162S2C78J4V1</v>
      </c>
      <c r="G79" s="21" t="n">
        <v>2024</v>
      </c>
      <c r="H79" s="21" t="n">
        <v>2026</v>
      </c>
      <c r="I79" s="22" t="n">
        <v>0</v>
      </c>
      <c r="J79" s="22" t="n">
        <v>0</v>
      </c>
      <c r="K79" s="22" t="n">
        <v>0</v>
      </c>
      <c r="L79" s="22" t="n">
        <v>0</v>
      </c>
      <c r="M79" s="22" t="n">
        <v>0</v>
      </c>
      <c r="N79" s="22" t="n">
        <v>0</v>
      </c>
      <c r="O79" s="22" t="n">
        <v>0</v>
      </c>
      <c r="P79" s="22" t="n">
        <v>0</v>
      </c>
      <c r="Q79" s="22" t="n">
        <v>0</v>
      </c>
      <c r="R79" s="22" t="n">
        <v>0</v>
      </c>
      <c r="S79" s="22" t="n">
        <v>8</v>
      </c>
      <c r="T79" s="22" t="n">
        <v>8</v>
      </c>
      <c r="U79" s="22" t="n">
        <v>74</v>
      </c>
      <c r="V79" s="22" t="n">
        <v>65</v>
      </c>
      <c r="W79" s="22" t="n">
        <v>88</v>
      </c>
      <c r="X79" s="22" t="n">
        <v>51</v>
      </c>
      <c r="Y79" s="43" t="n">
        <f>W79-O79</f>
        <v>88</v>
      </c>
      <c r="Z79" s="29" t="str">
        <f>IF(O79=0,"E: base 0",Y79/O79)</f>
        <v>E: base 0</v>
      </c>
      <c r="AA79" s="43" t="n">
        <f>W79-S79</f>
        <v>80</v>
      </c>
      <c r="AB79" s="29" t="n">
        <f>IF(S79=0,"E: base 0",AA79/S79)</f>
        <v>10</v>
      </c>
      <c r="AC79" s="14" t="str">
        <v>NUEVA</v>
      </c>
      <c r="AD79" s="14" t="str">
        <v>B/C; PUBLICA</v>
      </c>
      <c r="AE79" s="14" t="n">
        <f>IF(AND(OR($B$4="Todas",C79=$B$4),OR($D$4="Todas",D79=$D$4),OR($F$4="Todas",E79=$F$4)),Y79,"")</f>
        <v>88</v>
      </c>
      <c r="AF79" s="14" t="n">
        <f>IF(AND(ISNUMBER(AE79),AE79&gt;0),COUNTIF($AE$19:$AE$95,"&gt;"&amp;AE79)+COUNTIF($AE$19:AE79,AE79),"")</f>
        <v>10</v>
      </c>
      <c r="AG79" s="14" t="str">
        <f>IF(AND(ISNUMBER(AE79),AE79&lt;0),COUNTIF($AE$19:$AE$95,"&lt;"&amp;AE79)+COUNTIF($AE$19:AE79,AE79),"")</f>
        <v/>
      </c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</row>
    <row r="80" ht="27" customHeight="1">
      <c r="A80" s="15" t="str">
        <v>I162S2C79J2</v>
      </c>
      <c r="B80" s="15" t="str">
        <v>TECNICO EN LOGISTICA</v>
      </c>
      <c r="C80" s="15" t="str">
        <v>Santiago</v>
      </c>
      <c r="D80" s="15" t="str">
        <v>Vespertina</v>
      </c>
      <c r="E80" s="15" t="str">
        <v>Administración y Comercio</v>
      </c>
      <c r="F80" s="15" t="str">
        <v>I162S2C79J2V1</v>
      </c>
      <c r="G80" s="23" t="n">
        <v>2024</v>
      </c>
      <c r="H80" s="23" t="n">
        <v>2026</v>
      </c>
      <c r="I80" s="24" t="n">
        <v>0</v>
      </c>
      <c r="J80" s="24" t="n">
        <v>0</v>
      </c>
      <c r="K80" s="24" t="n">
        <v>0</v>
      </c>
      <c r="L80" s="24" t="n">
        <v>0</v>
      </c>
      <c r="M80" s="24" t="n">
        <v>0</v>
      </c>
      <c r="N80" s="24" t="n">
        <v>0</v>
      </c>
      <c r="O80" s="24" t="n">
        <v>0</v>
      </c>
      <c r="P80" s="24" t="n">
        <v>0</v>
      </c>
      <c r="Q80" s="24" t="n">
        <v>0</v>
      </c>
      <c r="R80" s="24" t="n">
        <v>0</v>
      </c>
      <c r="S80" s="24" t="n">
        <v>8</v>
      </c>
      <c r="T80" s="24" t="n">
        <v>8</v>
      </c>
      <c r="U80" s="24" t="n">
        <v>24</v>
      </c>
      <c r="V80" s="24" t="n">
        <v>20</v>
      </c>
      <c r="W80" s="24" t="n">
        <v>25</v>
      </c>
      <c r="X80" s="24" t="n">
        <v>15</v>
      </c>
      <c r="Y80" s="44" t="n">
        <f>W80-O80</f>
        <v>25</v>
      </c>
      <c r="Z80" s="30" t="str">
        <f>IF(O80=0,"E: base 0",Y80/O80)</f>
        <v>E: base 0</v>
      </c>
      <c r="AA80" s="44" t="n">
        <f>W80-S80</f>
        <v>17</v>
      </c>
      <c r="AB80" s="30" t="n">
        <f>IF(S80=0,"E: base 0",AA80/S80)</f>
        <v>2.125</v>
      </c>
      <c r="AC80" s="15" t="str">
        <v>NUEVA</v>
      </c>
      <c r="AD80" s="15" t="str">
        <v>B/C; PUBLICA</v>
      </c>
      <c r="AE80" s="15" t="n">
        <f>IF(AND(OR($B$4="Todas",C80=$B$4),OR($D$4="Todas",D80=$D$4),OR($F$4="Todas",E80=$F$4)),Y80,"")</f>
        <v>25</v>
      </c>
      <c r="AF80" s="15" t="n">
        <f>IF(AND(ISNUMBER(AE80),AE80&gt;0),COUNTIF($AE$19:$AE$95,"&gt;"&amp;AE80)+COUNTIF($AE$19:AE80,AE80),"")</f>
        <v>31</v>
      </c>
      <c r="AG80" s="15" t="str">
        <f>IF(AND(ISNUMBER(AE80),AE80&lt;0),COUNTIF($AE$19:$AE$95,"&lt;"&amp;AE80)+COUNTIF($AE$19:AE80,AE80),"")</f>
        <v/>
      </c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</row>
    <row r="81" ht="27" customHeight="1">
      <c r="A81" s="14" t="str">
        <v>I162S2C79J4</v>
      </c>
      <c r="B81" s="14" t="str">
        <v>TECNICO EN LOGISTICA</v>
      </c>
      <c r="C81" s="14" t="str">
        <v>Santiago</v>
      </c>
      <c r="D81" s="14" t="str">
        <v>A distancia</v>
      </c>
      <c r="E81" s="14" t="str">
        <v>Administración y Comercio</v>
      </c>
      <c r="F81" s="14" t="str">
        <v>I162S2C79J4V1</v>
      </c>
      <c r="G81" s="21" t="n">
        <v>2024</v>
      </c>
      <c r="H81" s="21" t="n">
        <v>2026</v>
      </c>
      <c r="I81" s="22" t="n">
        <v>0</v>
      </c>
      <c r="J81" s="22" t="n">
        <v>0</v>
      </c>
      <c r="K81" s="22" t="n">
        <v>0</v>
      </c>
      <c r="L81" s="22" t="n">
        <v>0</v>
      </c>
      <c r="M81" s="22" t="n">
        <v>0</v>
      </c>
      <c r="N81" s="22" t="n">
        <v>0</v>
      </c>
      <c r="O81" s="22" t="n">
        <v>0</v>
      </c>
      <c r="P81" s="22" t="n">
        <v>0</v>
      </c>
      <c r="Q81" s="22" t="n">
        <v>0</v>
      </c>
      <c r="R81" s="22" t="n">
        <v>0</v>
      </c>
      <c r="S81" s="22" t="n">
        <v>15</v>
      </c>
      <c r="T81" s="22" t="n">
        <v>15</v>
      </c>
      <c r="U81" s="22" t="n">
        <v>74</v>
      </c>
      <c r="V81" s="22" t="n">
        <v>66</v>
      </c>
      <c r="W81" s="22" t="n">
        <v>87</v>
      </c>
      <c r="X81" s="22" t="n">
        <v>39</v>
      </c>
      <c r="Y81" s="43" t="n">
        <f>W81-O81</f>
        <v>87</v>
      </c>
      <c r="Z81" s="29" t="str">
        <f>IF(O81=0,"E: base 0",Y81/O81)</f>
        <v>E: base 0</v>
      </c>
      <c r="AA81" s="43" t="n">
        <f>W81-S81</f>
        <v>72</v>
      </c>
      <c r="AB81" s="29" t="n">
        <f>IF(S81=0,"E: base 0",AA81/S81)</f>
        <v>4.8</v>
      </c>
      <c r="AC81" s="14" t="str">
        <v>NUEVA</v>
      </c>
      <c r="AD81" s="14" t="str">
        <v>B/C; PUBLICA</v>
      </c>
      <c r="AE81" s="14" t="n">
        <f>IF(AND(OR($B$4="Todas",C81=$B$4),OR($D$4="Todas",D81=$D$4),OR($F$4="Todas",E81=$F$4)),Y81,"")</f>
        <v>87</v>
      </c>
      <c r="AF81" s="14" t="n">
        <f>IF(AND(ISNUMBER(AE81),AE81&gt;0),COUNTIF($AE$19:$AE$95,"&gt;"&amp;AE81)+COUNTIF($AE$19:AE81,AE81),"")</f>
        <v>11</v>
      </c>
      <c r="AG81" s="14" t="str">
        <f>IF(AND(ISNUMBER(AE81),AE81&lt;0),COUNTIF($AE$19:$AE$95,"&lt;"&amp;AE81)+COUNTIF($AE$19:AE81,AE81),"")</f>
        <v/>
      </c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</row>
    <row r="82" ht="36" customHeight="1">
      <c r="A82" s="15" t="str">
        <v>I162S2C83J4</v>
      </c>
      <c r="B82" s="15" t="str">
        <v>ADMINISTRACION PUBLICA</v>
      </c>
      <c r="C82" s="15" t="str">
        <v>Santiago</v>
      </c>
      <c r="D82" s="15" t="str">
        <v>A distancia</v>
      </c>
      <c r="E82" s="15" t="str">
        <v>Administración y Comercio</v>
      </c>
      <c r="F82" s="15" t="str">
        <v>I162S2C83J4V1 / I162S2C83J4V2</v>
      </c>
      <c r="G82" s="23" t="n">
        <v>2025</v>
      </c>
      <c r="H82" s="23" t="n">
        <v>2026</v>
      </c>
      <c r="I82" s="24" t="n">
        <v>0</v>
      </c>
      <c r="J82" s="24" t="n">
        <v>0</v>
      </c>
      <c r="K82" s="24" t="n">
        <v>0</v>
      </c>
      <c r="L82" s="24" t="n">
        <v>0</v>
      </c>
      <c r="M82" s="24" t="n">
        <v>0</v>
      </c>
      <c r="N82" s="24" t="n">
        <v>0</v>
      </c>
      <c r="O82" s="24" t="n">
        <v>0</v>
      </c>
      <c r="P82" s="24" t="n">
        <v>0</v>
      </c>
      <c r="Q82" s="24" t="n">
        <v>0</v>
      </c>
      <c r="R82" s="24" t="n">
        <v>0</v>
      </c>
      <c r="S82" s="24" t="n">
        <v>0</v>
      </c>
      <c r="T82" s="24" t="n">
        <v>0</v>
      </c>
      <c r="U82" s="24" t="n">
        <v>70</v>
      </c>
      <c r="V82" s="24" t="n">
        <v>70</v>
      </c>
      <c r="W82" s="24" t="n">
        <v>103</v>
      </c>
      <c r="X82" s="24" t="str">
        <v>E: sin dato</v>
      </c>
      <c r="Y82" s="44" t="n">
        <f>W82-O82</f>
        <v>103</v>
      </c>
      <c r="Z82" s="30" t="str">
        <f>IF(O82=0,"E: base 0",Y82/O82)</f>
        <v>E: base 0</v>
      </c>
      <c r="AA82" s="44" t="n">
        <f>W82-S82</f>
        <v>103</v>
      </c>
      <c r="AB82" s="30" t="str">
        <f>IF(S82=0,"E: base 0",AA82/S82)</f>
        <v>E: base 0</v>
      </c>
      <c r="AC82" s="15" t="str">
        <v>NUEVA</v>
      </c>
      <c r="AD82" s="15" t="str">
        <v>B/C; PUBLICA</v>
      </c>
      <c r="AE82" s="15" t="n">
        <f>IF(AND(OR($B$4="Todas",C82=$B$4),OR($D$4="Todas",D82=$D$4),OR($F$4="Todas",E82=$F$4)),Y82,"")</f>
        <v>103</v>
      </c>
      <c r="AF82" s="15" t="n">
        <f>IF(AND(ISNUMBER(AE82),AE82&gt;0),COUNTIF($AE$19:$AE$95,"&gt;"&amp;AE82)+COUNTIF($AE$19:AE82,AE82),"")</f>
        <v>7</v>
      </c>
      <c r="AG82" s="15" t="str">
        <f>IF(AND(ISNUMBER(AE82),AE82&lt;0),COUNTIF($AE$19:$AE$95,"&lt;"&amp;AE82)+COUNTIF($AE$19:AE82,AE82),"")</f>
        <v/>
      </c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</row>
    <row r="83" ht="27" customHeight="1">
      <c r="A83" s="14" t="str">
        <v>I162S2C84J4</v>
      </c>
      <c r="B83" s="14" t="str">
        <v>TECNICO EN ADMINISTRACION PUBLICA</v>
      </c>
      <c r="C83" s="14" t="str">
        <v>Santiago</v>
      </c>
      <c r="D83" s="14" t="str">
        <v>A distancia</v>
      </c>
      <c r="E83" s="14" t="str">
        <v>Administración y Comercio</v>
      </c>
      <c r="F83" s="14" t="str">
        <v>I162S2C84J4V1</v>
      </c>
      <c r="G83" s="21" t="n">
        <v>2025</v>
      </c>
      <c r="H83" s="21" t="n">
        <v>2026</v>
      </c>
      <c r="I83" s="22" t="n">
        <v>0</v>
      </c>
      <c r="J83" s="22" t="n">
        <v>0</v>
      </c>
      <c r="K83" s="22" t="n">
        <v>0</v>
      </c>
      <c r="L83" s="22" t="n">
        <v>0</v>
      </c>
      <c r="M83" s="22" t="n">
        <v>0</v>
      </c>
      <c r="N83" s="22" t="n">
        <v>0</v>
      </c>
      <c r="O83" s="22" t="n">
        <v>0</v>
      </c>
      <c r="P83" s="22" t="n">
        <v>0</v>
      </c>
      <c r="Q83" s="22" t="n">
        <v>0</v>
      </c>
      <c r="R83" s="22" t="n">
        <v>0</v>
      </c>
      <c r="S83" s="22" t="n">
        <v>0</v>
      </c>
      <c r="T83" s="22" t="n">
        <v>0</v>
      </c>
      <c r="U83" s="22" t="n">
        <v>22</v>
      </c>
      <c r="V83" s="22" t="n">
        <v>22</v>
      </c>
      <c r="W83" s="22" t="n">
        <v>34</v>
      </c>
      <c r="X83" s="22" t="n">
        <v>23</v>
      </c>
      <c r="Y83" s="43" t="n">
        <f>W83-O83</f>
        <v>34</v>
      </c>
      <c r="Z83" s="29" t="str">
        <f>IF(O83=0,"E: base 0",Y83/O83)</f>
        <v>E: base 0</v>
      </c>
      <c r="AA83" s="43" t="n">
        <f>W83-S83</f>
        <v>34</v>
      </c>
      <c r="AB83" s="29" t="str">
        <f>IF(S83=0,"E: base 0",AA83/S83)</f>
        <v>E: base 0</v>
      </c>
      <c r="AC83" s="14" t="str">
        <v>NUEVA</v>
      </c>
      <c r="AD83" s="14" t="str">
        <v>B/C; PUBLICA</v>
      </c>
      <c r="AE83" s="14" t="n">
        <f>IF(AND(OR($B$4="Todas",C83=$B$4),OR($D$4="Todas",D83=$D$4),OR($F$4="Todas",E83=$F$4)),Y83,"")</f>
        <v>34</v>
      </c>
      <c r="AF83" s="14" t="n">
        <f>IF(AND(ISNUMBER(AE83),AE83&gt;0),COUNTIF($AE$19:$AE$95,"&gt;"&amp;AE83)+COUNTIF($AE$19:AE83,AE83),"")</f>
        <v>23</v>
      </c>
      <c r="AG83" s="14" t="str">
        <f>IF(AND(ISNUMBER(AE83),AE83&lt;0),COUNTIF($AE$19:$AE$95,"&lt;"&amp;AE83)+COUNTIF($AE$19:AE83,AE83),"")</f>
        <v/>
      </c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</row>
    <row r="84" ht="27" customHeight="1">
      <c r="A84" s="15" t="str">
        <v>I162S2C85J4</v>
      </c>
      <c r="B84" s="15" t="str">
        <v>CONTABILIDAD GENERAL</v>
      </c>
      <c r="C84" s="15" t="str">
        <v>Santiago</v>
      </c>
      <c r="D84" s="15" t="str">
        <v>A distancia</v>
      </c>
      <c r="E84" s="15" t="str">
        <v>Administración y Comercio</v>
      </c>
      <c r="F84" s="15" t="str">
        <v>I162S2C85J4V1</v>
      </c>
      <c r="G84" s="23" t="n">
        <v>2025</v>
      </c>
      <c r="H84" s="23" t="n">
        <v>2026</v>
      </c>
      <c r="I84" s="24" t="n">
        <v>0</v>
      </c>
      <c r="J84" s="24" t="n">
        <v>0</v>
      </c>
      <c r="K84" s="24" t="n">
        <v>0</v>
      </c>
      <c r="L84" s="24" t="n">
        <v>0</v>
      </c>
      <c r="M84" s="24" t="n">
        <v>0</v>
      </c>
      <c r="N84" s="24" t="n">
        <v>0</v>
      </c>
      <c r="O84" s="24" t="n">
        <v>0</v>
      </c>
      <c r="P84" s="24" t="n">
        <v>0</v>
      </c>
      <c r="Q84" s="24" t="n">
        <v>0</v>
      </c>
      <c r="R84" s="24" t="n">
        <v>0</v>
      </c>
      <c r="S84" s="24" t="n">
        <v>0</v>
      </c>
      <c r="T84" s="24" t="n">
        <v>0</v>
      </c>
      <c r="U84" s="24" t="n">
        <v>38</v>
      </c>
      <c r="V84" s="24" t="n">
        <v>38</v>
      </c>
      <c r="W84" s="24" t="n">
        <v>56</v>
      </c>
      <c r="X84" s="24" t="n">
        <v>37</v>
      </c>
      <c r="Y84" s="44" t="n">
        <f>W84-O84</f>
        <v>56</v>
      </c>
      <c r="Z84" s="30" t="str">
        <f>IF(O84=0,"E: base 0",Y84/O84)</f>
        <v>E: base 0</v>
      </c>
      <c r="AA84" s="44" t="n">
        <f>W84-S84</f>
        <v>56</v>
      </c>
      <c r="AB84" s="30" t="str">
        <f>IF(S84=0,"E: base 0",AA84/S84)</f>
        <v>E: base 0</v>
      </c>
      <c r="AC84" s="15" t="str">
        <v>NUEVA</v>
      </c>
      <c r="AD84" s="15" t="str">
        <v>B/C; PUBLICA</v>
      </c>
      <c r="AE84" s="15" t="n">
        <f>IF(AND(OR($B$4="Todas",C84=$B$4),OR($D$4="Todas",D84=$D$4),OR($F$4="Todas",E84=$F$4)),Y84,"")</f>
        <v>56</v>
      </c>
      <c r="AF84" s="15" t="n">
        <f>IF(AND(ISNUMBER(AE84),AE84&gt;0),COUNTIF($AE$19:$AE$95,"&gt;"&amp;AE84)+COUNTIF($AE$19:AE84,AE84),"")</f>
        <v>17</v>
      </c>
      <c r="AG84" s="15" t="str">
        <f>IF(AND(ISNUMBER(AE84),AE84&lt;0),COUNTIF($AE$19:$AE$95,"&lt;"&amp;AE84)+COUNTIF($AE$19:AE84,AE84),"")</f>
        <v/>
      </c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</row>
    <row r="85" ht="27" customHeight="1">
      <c r="A85" s="14" t="str">
        <v>I162S2C86J4</v>
      </c>
      <c r="B85" s="14" t="str">
        <v>AUDITORIA</v>
      </c>
      <c r="C85" s="14" t="str">
        <v>Santiago</v>
      </c>
      <c r="D85" s="14" t="str">
        <v>A distancia</v>
      </c>
      <c r="E85" s="14" t="str">
        <v>Administración y Comercio</v>
      </c>
      <c r="F85" s="14" t="str">
        <v>I162S2C86J4V1</v>
      </c>
      <c r="G85" s="21" t="n">
        <v>2025</v>
      </c>
      <c r="H85" s="21" t="n">
        <v>2026</v>
      </c>
      <c r="I85" s="22" t="n">
        <v>0</v>
      </c>
      <c r="J85" s="22" t="n">
        <v>0</v>
      </c>
      <c r="K85" s="22" t="n">
        <v>0</v>
      </c>
      <c r="L85" s="22" t="n">
        <v>0</v>
      </c>
      <c r="M85" s="22" t="n">
        <v>0</v>
      </c>
      <c r="N85" s="22" t="n">
        <v>0</v>
      </c>
      <c r="O85" s="22" t="n">
        <v>0</v>
      </c>
      <c r="P85" s="22" t="n">
        <v>0</v>
      </c>
      <c r="Q85" s="22" t="n">
        <v>0</v>
      </c>
      <c r="R85" s="22" t="n">
        <v>0</v>
      </c>
      <c r="S85" s="22" t="n">
        <v>0</v>
      </c>
      <c r="T85" s="22" t="n">
        <v>0</v>
      </c>
      <c r="U85" s="22" t="n">
        <v>41</v>
      </c>
      <c r="V85" s="22" t="n">
        <v>41</v>
      </c>
      <c r="W85" s="22" t="n">
        <v>62</v>
      </c>
      <c r="X85" s="22" t="n">
        <v>25</v>
      </c>
      <c r="Y85" s="43" t="n">
        <f>W85-O85</f>
        <v>62</v>
      </c>
      <c r="Z85" s="29" t="str">
        <f>IF(O85=0,"E: base 0",Y85/O85)</f>
        <v>E: base 0</v>
      </c>
      <c r="AA85" s="43" t="n">
        <f>W85-S85</f>
        <v>62</v>
      </c>
      <c r="AB85" s="29" t="str">
        <f>IF(S85=0,"E: base 0",AA85/S85)</f>
        <v>E: base 0</v>
      </c>
      <c r="AC85" s="14" t="str">
        <v>NUEVA</v>
      </c>
      <c r="AD85" s="14" t="str">
        <v>B/C; PUBLICA</v>
      </c>
      <c r="AE85" s="14" t="n">
        <f>IF(AND(OR($B$4="Todas",C85=$B$4),OR($D$4="Todas",D85=$D$4),OR($F$4="Todas",E85=$F$4)),Y85,"")</f>
        <v>62</v>
      </c>
      <c r="AF85" s="14" t="n">
        <f>IF(AND(ISNUMBER(AE85),AE85&gt;0),COUNTIF($AE$19:$AE$95,"&gt;"&amp;AE85)+COUNTIF($AE$19:AE85,AE85),"")</f>
        <v>16</v>
      </c>
      <c r="AG85" s="14" t="str">
        <f>IF(AND(ISNUMBER(AE85),AE85&lt;0),COUNTIF($AE$19:$AE$95,"&lt;"&amp;AE85)+COUNTIF($AE$19:AE85,AE85),"")</f>
        <v/>
      </c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</row>
    <row r="86" ht="36" customHeight="1">
      <c r="A86" s="15" t="str">
        <v>I162S2C87J4</v>
      </c>
      <c r="B86" s="15" t="str">
        <v>INGENIERIA INDUSTRIAL</v>
      </c>
      <c r="C86" s="15" t="str">
        <v>Santiago</v>
      </c>
      <c r="D86" s="15" t="str">
        <v>A distancia</v>
      </c>
      <c r="E86" s="15" t="str">
        <v>E: sin sector</v>
      </c>
      <c r="F86" s="15" t="str">
        <v>I162S2C87J4V1 / I162S2C87J4V2</v>
      </c>
      <c r="G86" s="23" t="n">
        <v>2025</v>
      </c>
      <c r="H86" s="23" t="n">
        <v>2026</v>
      </c>
      <c r="I86" s="24" t="n">
        <v>0</v>
      </c>
      <c r="J86" s="24" t="n">
        <v>0</v>
      </c>
      <c r="K86" s="24" t="n">
        <v>0</v>
      </c>
      <c r="L86" s="24" t="n">
        <v>0</v>
      </c>
      <c r="M86" s="24" t="n">
        <v>0</v>
      </c>
      <c r="N86" s="24" t="n">
        <v>0</v>
      </c>
      <c r="O86" s="24" t="n">
        <v>0</v>
      </c>
      <c r="P86" s="24" t="n">
        <v>0</v>
      </c>
      <c r="Q86" s="24" t="n">
        <v>0</v>
      </c>
      <c r="R86" s="24" t="n">
        <v>0</v>
      </c>
      <c r="S86" s="24" t="n">
        <v>0</v>
      </c>
      <c r="T86" s="24" t="n">
        <v>0</v>
      </c>
      <c r="U86" s="24" t="n">
        <v>37</v>
      </c>
      <c r="V86" s="24" t="str">
        <v>E: sin dato</v>
      </c>
      <c r="W86" s="24" t="n">
        <v>82</v>
      </c>
      <c r="X86" s="24" t="str">
        <v>E: sin dato</v>
      </c>
      <c r="Y86" s="44" t="n">
        <f>W86-O86</f>
        <v>82</v>
      </c>
      <c r="Z86" s="30" t="str">
        <f>IF(O86=0,"E: base 0",Y86/O86)</f>
        <v>E: base 0</v>
      </c>
      <c r="AA86" s="44" t="n">
        <f>W86-S86</f>
        <v>82</v>
      </c>
      <c r="AB86" s="30" t="str">
        <f>IF(S86=0,"E: base 0",AA86/S86)</f>
        <v>E: base 0</v>
      </c>
      <c r="AC86" s="15" t="str">
        <v>NUEVA</v>
      </c>
      <c r="AD86" s="15" t="str">
        <v>B/C; PUBLICA</v>
      </c>
      <c r="AE86" s="15" t="n">
        <f>IF(AND(OR($B$4="Todas",C86=$B$4),OR($D$4="Todas",D86=$D$4),OR($F$4="Todas",E86=$F$4)),Y86,"")</f>
        <v>82</v>
      </c>
      <c r="AF86" s="15" t="n">
        <f>IF(AND(ISNUMBER(AE86),AE86&gt;0),COUNTIF($AE$19:$AE$95,"&gt;"&amp;AE86)+COUNTIF($AE$19:AE86,AE86),"")</f>
        <v>13</v>
      </c>
      <c r="AG86" s="15" t="str">
        <f>IF(AND(ISNUMBER(AE86),AE86&lt;0),COUNTIF($AE$19:$AE$95,"&lt;"&amp;AE86)+COUNTIF($AE$19:AE86,AE86),"")</f>
        <v/>
      </c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</row>
    <row r="87" ht="27" customHeight="1">
      <c r="A87" s="14" t="str">
        <v>I162S2C88J4</v>
      </c>
      <c r="B87" s="14" t="str">
        <v>INGENIERIA EN CIENCIA DE DATOS</v>
      </c>
      <c r="C87" s="14" t="str">
        <v>Santiago</v>
      </c>
      <c r="D87" s="14" t="str">
        <v>A distancia</v>
      </c>
      <c r="E87" s="14" t="str">
        <v>Tecnologías</v>
      </c>
      <c r="F87" s="14" t="str">
        <v>I162S2C88J4V1</v>
      </c>
      <c r="G87" s="21" t="n">
        <v>2025</v>
      </c>
      <c r="H87" s="21" t="n">
        <v>2026</v>
      </c>
      <c r="I87" s="22" t="n">
        <v>0</v>
      </c>
      <c r="J87" s="22" t="n">
        <v>0</v>
      </c>
      <c r="K87" s="22" t="n">
        <v>0</v>
      </c>
      <c r="L87" s="22" t="n">
        <v>0</v>
      </c>
      <c r="M87" s="22" t="n">
        <v>0</v>
      </c>
      <c r="N87" s="22" t="n">
        <v>0</v>
      </c>
      <c r="O87" s="22" t="n">
        <v>0</v>
      </c>
      <c r="P87" s="22" t="n">
        <v>0</v>
      </c>
      <c r="Q87" s="22" t="n">
        <v>0</v>
      </c>
      <c r="R87" s="22" t="n">
        <v>0</v>
      </c>
      <c r="S87" s="22" t="n">
        <v>0</v>
      </c>
      <c r="T87" s="22" t="n">
        <v>0</v>
      </c>
      <c r="U87" s="22" t="n">
        <v>43</v>
      </c>
      <c r="V87" s="22" t="n">
        <v>42</v>
      </c>
      <c r="W87" s="22" t="n">
        <v>52</v>
      </c>
      <c r="X87" s="22" t="n">
        <v>31</v>
      </c>
      <c r="Y87" s="43" t="n">
        <f>W87-O87</f>
        <v>52</v>
      </c>
      <c r="Z87" s="29" t="str">
        <f>IF(O87=0,"E: base 0",Y87/O87)</f>
        <v>E: base 0</v>
      </c>
      <c r="AA87" s="43" t="n">
        <f>W87-S87</f>
        <v>52</v>
      </c>
      <c r="AB87" s="29" t="str">
        <f>IF(S87=0,"E: base 0",AA87/S87)</f>
        <v>E: base 0</v>
      </c>
      <c r="AC87" s="14" t="str">
        <v>NUEVA</v>
      </c>
      <c r="AD87" s="14" t="str">
        <v>B/C; PUBLICA</v>
      </c>
      <c r="AE87" s="14" t="n">
        <f>IF(AND(OR($B$4="Todas",C87=$B$4),OR($D$4="Todas",D87=$D$4),OR($F$4="Todas",E87=$F$4)),Y87,"")</f>
        <v>52</v>
      </c>
      <c r="AF87" s="14" t="n">
        <f>IF(AND(ISNUMBER(AE87),AE87&gt;0),COUNTIF($AE$19:$AE$95,"&gt;"&amp;AE87)+COUNTIF($AE$19:AE87,AE87),"")</f>
        <v>18</v>
      </c>
      <c r="AG87" s="14" t="str">
        <f>IF(AND(ISNUMBER(AE87),AE87&lt;0),COUNTIF($AE$19:$AE$95,"&lt;"&amp;AE87)+COUNTIF($AE$19:AE87,AE87),"")</f>
        <v/>
      </c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</row>
    <row r="88" ht="27" customHeight="1">
      <c r="A88" s="15" t="str">
        <v>I162S2C89J4</v>
      </c>
      <c r="B88" s="15" t="str">
        <v>TECNICO EN CIENCIA DE DATOS</v>
      </c>
      <c r="C88" s="15" t="str">
        <v>Santiago</v>
      </c>
      <c r="D88" s="15" t="str">
        <v>A distancia</v>
      </c>
      <c r="E88" s="15" t="str">
        <v>Tecnologías</v>
      </c>
      <c r="F88" s="15" t="str">
        <v>I162S2C89J4V1</v>
      </c>
      <c r="G88" s="23" t="n">
        <v>2025</v>
      </c>
      <c r="H88" s="23" t="n">
        <v>2026</v>
      </c>
      <c r="I88" s="24" t="n">
        <v>0</v>
      </c>
      <c r="J88" s="24" t="n">
        <v>0</v>
      </c>
      <c r="K88" s="24" t="n">
        <v>0</v>
      </c>
      <c r="L88" s="24" t="n">
        <v>0</v>
      </c>
      <c r="M88" s="24" t="n">
        <v>0</v>
      </c>
      <c r="N88" s="24" t="n">
        <v>0</v>
      </c>
      <c r="O88" s="24" t="n">
        <v>0</v>
      </c>
      <c r="P88" s="24" t="n">
        <v>0</v>
      </c>
      <c r="Q88" s="24" t="n">
        <v>0</v>
      </c>
      <c r="R88" s="24" t="n">
        <v>0</v>
      </c>
      <c r="S88" s="24" t="n">
        <v>0</v>
      </c>
      <c r="T88" s="24" t="n">
        <v>0</v>
      </c>
      <c r="U88" s="24" t="n">
        <v>23</v>
      </c>
      <c r="V88" s="24" t="n">
        <v>23</v>
      </c>
      <c r="W88" s="24" t="n">
        <v>37</v>
      </c>
      <c r="X88" s="24" t="n">
        <v>25</v>
      </c>
      <c r="Y88" s="44" t="n">
        <f>W88-O88</f>
        <v>37</v>
      </c>
      <c r="Z88" s="30" t="str">
        <f>IF(O88=0,"E: base 0",Y88/O88)</f>
        <v>E: base 0</v>
      </c>
      <c r="AA88" s="44" t="n">
        <f>W88-S88</f>
        <v>37</v>
      </c>
      <c r="AB88" s="30" t="str">
        <f>IF(S88=0,"E: base 0",AA88/S88)</f>
        <v>E: base 0</v>
      </c>
      <c r="AC88" s="15" t="str">
        <v>NUEVA</v>
      </c>
      <c r="AD88" s="15" t="str">
        <v>B/C; PUBLICA</v>
      </c>
      <c r="AE88" s="15" t="n">
        <f>IF(AND(OR($B$4="Todas",C88=$B$4),OR($D$4="Todas",D88=$D$4),OR($F$4="Todas",E88=$F$4)),Y88,"")</f>
        <v>37</v>
      </c>
      <c r="AF88" s="15" t="n">
        <f>IF(AND(ISNUMBER(AE88),AE88&gt;0),COUNTIF($AE$19:$AE$95,"&gt;"&amp;AE88)+COUNTIF($AE$19:AE88,AE88),"")</f>
        <v>19</v>
      </c>
      <c r="AG88" s="15" t="str">
        <f>IF(AND(ISNUMBER(AE88),AE88&lt;0),COUNTIF($AE$19:$AE$95,"&lt;"&amp;AE88)+COUNTIF($AE$19:AE88,AE88),"")</f>
        <v/>
      </c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</row>
    <row r="89" ht="27" customHeight="1">
      <c r="A89" s="14" t="str">
        <v>I162S2C90J2</v>
      </c>
      <c r="B89" s="14" t="str">
        <v>NATUROPATIA</v>
      </c>
      <c r="C89" s="14" t="str">
        <v>Santiago</v>
      </c>
      <c r="D89" s="14" t="str">
        <v>Vespertina</v>
      </c>
      <c r="E89" s="14" t="str">
        <v>E: sin sector</v>
      </c>
      <c r="F89" s="14" t="str">
        <v>I162S2C90J2V2</v>
      </c>
      <c r="G89" s="21" t="n">
        <v>2026</v>
      </c>
      <c r="H89" s="21" t="n">
        <v>2026</v>
      </c>
      <c r="I89" s="22" t="n">
        <v>0</v>
      </c>
      <c r="J89" s="22" t="n">
        <v>0</v>
      </c>
      <c r="K89" s="22" t="n">
        <v>0</v>
      </c>
      <c r="L89" s="22" t="n">
        <v>0</v>
      </c>
      <c r="M89" s="22" t="n">
        <v>0</v>
      </c>
      <c r="N89" s="22" t="n">
        <v>0</v>
      </c>
      <c r="O89" s="22" t="n">
        <v>0</v>
      </c>
      <c r="P89" s="22" t="n">
        <v>0</v>
      </c>
      <c r="Q89" s="22" t="n">
        <v>0</v>
      </c>
      <c r="R89" s="22" t="n">
        <v>0</v>
      </c>
      <c r="S89" s="22" t="n">
        <v>0</v>
      </c>
      <c r="T89" s="22" t="n">
        <v>0</v>
      </c>
      <c r="U89" s="22" t="n">
        <v>0</v>
      </c>
      <c r="V89" s="22" t="n">
        <v>0</v>
      </c>
      <c r="W89" s="22" t="n">
        <v>22</v>
      </c>
      <c r="X89" s="22" t="n">
        <v>22</v>
      </c>
      <c r="Y89" s="43" t="n">
        <f>W89-O89</f>
        <v>22</v>
      </c>
      <c r="Z89" s="29" t="str">
        <f>IF(O89=0,"E: base 0",Y89/O89)</f>
        <v>E: base 0</v>
      </c>
      <c r="AA89" s="43" t="n">
        <f>W89-S89</f>
        <v>22</v>
      </c>
      <c r="AB89" s="29" t="str">
        <f>IF(S89=0,"E: base 0",AA89/S89)</f>
        <v>E: base 0</v>
      </c>
      <c r="AC89" s="14" t="str">
        <v>NUEVA</v>
      </c>
      <c r="AD89" s="14" t="str">
        <v>B/C; PUBLICA</v>
      </c>
      <c r="AE89" s="14" t="n">
        <f>IF(AND(OR($B$4="Todas",C89=$B$4),OR($D$4="Todas",D89=$D$4),OR($F$4="Todas",E89=$F$4)),Y89,"")</f>
        <v>22</v>
      </c>
      <c r="AF89" s="14" t="n">
        <f>IF(AND(ISNUMBER(AE89),AE89&gt;0),COUNTIF($AE$19:$AE$95,"&gt;"&amp;AE89)+COUNTIF($AE$19:AE89,AE89),"")</f>
        <v>34</v>
      </c>
      <c r="AG89" s="14" t="str">
        <f>IF(AND(ISNUMBER(AE89),AE89&lt;0),COUNTIF($AE$19:$AE$95,"&lt;"&amp;AE89)+COUNTIF($AE$19:AE89,AE89),"")</f>
        <v/>
      </c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</row>
    <row r="90" ht="27" customHeight="1">
      <c r="A90" s="15" t="str">
        <v>I162S2C91J1</v>
      </c>
      <c r="B90" s="15" t="str">
        <v>TECNICO EN ENFERMERIA</v>
      </c>
      <c r="C90" s="15" t="str">
        <v>Santiago</v>
      </c>
      <c r="D90" s="15" t="str">
        <v>Diurna</v>
      </c>
      <c r="E90" s="15" t="str">
        <v>Salud</v>
      </c>
      <c r="F90" s="15" t="str">
        <v>I162S2C91J1V1</v>
      </c>
      <c r="G90" s="23" t="n">
        <v>2025</v>
      </c>
      <c r="H90" s="23" t="n">
        <v>2026</v>
      </c>
      <c r="I90" s="24" t="n">
        <v>0</v>
      </c>
      <c r="J90" s="24" t="n">
        <v>0</v>
      </c>
      <c r="K90" s="24" t="n">
        <v>0</v>
      </c>
      <c r="L90" s="24" t="n">
        <v>0</v>
      </c>
      <c r="M90" s="24" t="n">
        <v>0</v>
      </c>
      <c r="N90" s="24" t="n">
        <v>0</v>
      </c>
      <c r="O90" s="24" t="n">
        <v>0</v>
      </c>
      <c r="P90" s="24" t="n">
        <v>0</v>
      </c>
      <c r="Q90" s="24" t="n">
        <v>0</v>
      </c>
      <c r="R90" s="24" t="n">
        <v>0</v>
      </c>
      <c r="S90" s="24" t="n">
        <v>0</v>
      </c>
      <c r="T90" s="24" t="n">
        <v>0</v>
      </c>
      <c r="U90" s="24" t="n">
        <v>35</v>
      </c>
      <c r="V90" s="24" t="n">
        <v>35</v>
      </c>
      <c r="W90" s="24" t="n">
        <v>87</v>
      </c>
      <c r="X90" s="24" t="n">
        <v>67</v>
      </c>
      <c r="Y90" s="44" t="n">
        <f>W90-O90</f>
        <v>87</v>
      </c>
      <c r="Z90" s="30" t="str">
        <f>IF(O90=0,"E: base 0",Y90/O90)</f>
        <v>E: base 0</v>
      </c>
      <c r="AA90" s="44" t="n">
        <f>W90-S90</f>
        <v>87</v>
      </c>
      <c r="AB90" s="30" t="str">
        <f>IF(S90=0,"E: base 0",AA90/S90)</f>
        <v>E: base 0</v>
      </c>
      <c r="AC90" s="15" t="str">
        <v>NUEVA</v>
      </c>
      <c r="AD90" s="15" t="str">
        <v>B/C; PUBLICA</v>
      </c>
      <c r="AE90" s="15" t="n">
        <f>IF(AND(OR($B$4="Todas",C90=$B$4),OR($D$4="Todas",D90=$D$4),OR($F$4="Todas",E90=$F$4)),Y90,"")</f>
        <v>87</v>
      </c>
      <c r="AF90" s="15" t="n">
        <f>IF(AND(ISNUMBER(AE90),AE90&gt;0),COUNTIF($AE$19:$AE$95,"&gt;"&amp;AE90)+COUNTIF($AE$19:AE90,AE90),"")</f>
        <v>12</v>
      </c>
      <c r="AG90" s="15" t="str">
        <f>IF(AND(ISNUMBER(AE90),AE90&lt;0),COUNTIF($AE$19:$AE$95,"&lt;"&amp;AE90)+COUNTIF($AE$19:AE90,AE90),"")</f>
        <v/>
      </c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</row>
    <row r="91" ht="27" customHeight="1">
      <c r="A91" s="14" t="str">
        <v>I162S2C91J2</v>
      </c>
      <c r="B91" s="14" t="str">
        <v>TECNICO EN ENFERMERIA</v>
      </c>
      <c r="C91" s="14" t="str">
        <v>Santiago</v>
      </c>
      <c r="D91" s="14" t="str">
        <v>Vespertina</v>
      </c>
      <c r="E91" s="14" t="str">
        <v>Salud</v>
      </c>
      <c r="F91" s="14" t="str">
        <v>I162S2C91J2V1</v>
      </c>
      <c r="G91" s="21" t="n">
        <v>2025</v>
      </c>
      <c r="H91" s="21" t="n">
        <v>2026</v>
      </c>
      <c r="I91" s="22" t="n">
        <v>0</v>
      </c>
      <c r="J91" s="22" t="n">
        <v>0</v>
      </c>
      <c r="K91" s="22" t="n">
        <v>0</v>
      </c>
      <c r="L91" s="22" t="n">
        <v>0</v>
      </c>
      <c r="M91" s="22" t="n">
        <v>0</v>
      </c>
      <c r="N91" s="22" t="n">
        <v>0</v>
      </c>
      <c r="O91" s="22" t="n">
        <v>0</v>
      </c>
      <c r="P91" s="22" t="n">
        <v>0</v>
      </c>
      <c r="Q91" s="22" t="n">
        <v>0</v>
      </c>
      <c r="R91" s="22" t="n">
        <v>0</v>
      </c>
      <c r="S91" s="22" t="n">
        <v>0</v>
      </c>
      <c r="T91" s="22" t="n">
        <v>0</v>
      </c>
      <c r="U91" s="22" t="n">
        <v>43</v>
      </c>
      <c r="V91" s="22" t="n">
        <v>43</v>
      </c>
      <c r="W91" s="22" t="n">
        <v>112</v>
      </c>
      <c r="X91" s="22" t="n">
        <v>85</v>
      </c>
      <c r="Y91" s="43" t="n">
        <f>W91-O91</f>
        <v>112</v>
      </c>
      <c r="Z91" s="29" t="str">
        <f>IF(O91=0,"E: base 0",Y91/O91)</f>
        <v>E: base 0</v>
      </c>
      <c r="AA91" s="43" t="n">
        <f>W91-S91</f>
        <v>112</v>
      </c>
      <c r="AB91" s="29" t="str">
        <f>IF(S91=0,"E: base 0",AA91/S91)</f>
        <v>E: base 0</v>
      </c>
      <c r="AC91" s="14" t="str">
        <v>NUEVA</v>
      </c>
      <c r="AD91" s="14" t="str">
        <v>B/C; PUBLICA</v>
      </c>
      <c r="AE91" s="14" t="n">
        <f>IF(AND(OR($B$4="Todas",C91=$B$4),OR($D$4="Todas",D91=$D$4),OR($F$4="Todas",E91=$F$4)),Y91,"")</f>
        <v>112</v>
      </c>
      <c r="AF91" s="14" t="n">
        <f>IF(AND(ISNUMBER(AE91),AE91&gt;0),COUNTIF($AE$19:$AE$95,"&gt;"&amp;AE91)+COUNTIF($AE$19:AE91,AE91),"")</f>
        <v>5</v>
      </c>
      <c r="AG91" s="14" t="str">
        <f>IF(AND(ISNUMBER(AE91),AE91&lt;0),COUNTIF($AE$19:$AE$95,"&lt;"&amp;AE91)+COUNTIF($AE$19:AE91,AE91),"")</f>
        <v/>
      </c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</row>
    <row r="92" ht="27" customHeight="1">
      <c r="A92" s="15" t="str">
        <v>I162S2C95J4</v>
      </c>
      <c r="B92" s="15" t="str">
        <v>DIPLOMADO EN INTELIGENCIA ARTIFICIAL</v>
      </c>
      <c r="C92" s="15" t="str">
        <v>Santiago</v>
      </c>
      <c r="D92" s="15" t="str">
        <v>A distancia</v>
      </c>
      <c r="E92" s="15" t="str">
        <v>E: sin sector</v>
      </c>
      <c r="F92" s="15" t="str">
        <v>I162S2C95J4V1</v>
      </c>
      <c r="G92" s="23" t="n">
        <v>2025</v>
      </c>
      <c r="H92" s="23" t="n">
        <v>2025</v>
      </c>
      <c r="I92" s="24" t="n">
        <v>0</v>
      </c>
      <c r="J92" s="24" t="n">
        <v>0</v>
      </c>
      <c r="K92" s="24" t="n">
        <v>0</v>
      </c>
      <c r="L92" s="24" t="n">
        <v>0</v>
      </c>
      <c r="M92" s="24" t="n">
        <v>0</v>
      </c>
      <c r="N92" s="24" t="n">
        <v>0</v>
      </c>
      <c r="O92" s="24" t="n">
        <v>0</v>
      </c>
      <c r="P92" s="24" t="n">
        <v>0</v>
      </c>
      <c r="Q92" s="24" t="n">
        <v>0</v>
      </c>
      <c r="R92" s="24" t="n">
        <v>0</v>
      </c>
      <c r="S92" s="24" t="n">
        <v>0</v>
      </c>
      <c r="T92" s="24" t="n">
        <v>0</v>
      </c>
      <c r="U92" s="24" t="n">
        <v>17</v>
      </c>
      <c r="V92" s="24" t="n">
        <v>5</v>
      </c>
      <c r="W92" s="24" t="n">
        <v>0</v>
      </c>
      <c r="X92" s="24" t="n">
        <v>0</v>
      </c>
      <c r="Y92" s="44" t="n">
        <f>W92-O92</f>
        <v>0</v>
      </c>
      <c r="Z92" s="30" t="str">
        <f>IF(O92=0,"E: base 0",Y92/O92)</f>
        <v>E: base 0</v>
      </c>
      <c r="AA92" s="44" t="n">
        <f>W92-S92</f>
        <v>0</v>
      </c>
      <c r="AB92" s="30" t="str">
        <f>IF(S92=0,"E: base 0",AA92/S92)</f>
        <v>E: base 0</v>
      </c>
      <c r="AC92" s="15" t="str">
        <v>CERRADA</v>
      </c>
      <c r="AD92" s="15" t="str">
        <v>B/C; PUBLICA</v>
      </c>
      <c r="AE92" s="15" t="n">
        <f>IF(AND(OR($B$4="Todas",C92=$B$4),OR($D$4="Todas",D92=$D$4),OR($F$4="Todas",E92=$F$4)),Y92,"")</f>
        <v>0</v>
      </c>
      <c r="AF92" s="15" t="str">
        <f>IF(AND(ISNUMBER(AE92),AE92&gt;0),COUNTIF($AE$19:$AE$95,"&gt;"&amp;AE92)+COUNTIF($AE$19:AE92,AE92),"")</f>
        <v/>
      </c>
      <c r="AG92" s="15" t="str">
        <f>IF(AND(ISNUMBER(AE92),AE92&lt;0),COUNTIF($AE$19:$AE$95,"&lt;"&amp;AE92)+COUNTIF($AE$19:AE92,AE92),"")</f>
        <v/>
      </c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</row>
    <row r="93" ht="36" customHeight="1">
      <c r="A93" s="14" t="str">
        <v>I162S3C114J2</v>
      </c>
      <c r="B93" s="14" t="str">
        <v>TECNICO EN ENFERMERIA E INSTRUMENTACION QUIRURGICA</v>
      </c>
      <c r="C93" s="14" t="str">
        <v>Concepción</v>
      </c>
      <c r="D93" s="14" t="str">
        <v>Vespertina</v>
      </c>
      <c r="E93" s="14" t="str">
        <v>E: sin sector</v>
      </c>
      <c r="F93" s="14" t="str">
        <v>I162S3C114J2V1</v>
      </c>
      <c r="G93" s="21" t="n">
        <v>2026</v>
      </c>
      <c r="H93" s="21" t="n">
        <v>2026</v>
      </c>
      <c r="I93" s="22" t="n">
        <v>0</v>
      </c>
      <c r="J93" s="22" t="n">
        <v>0</v>
      </c>
      <c r="K93" s="22" t="n">
        <v>0</v>
      </c>
      <c r="L93" s="22" t="n">
        <v>0</v>
      </c>
      <c r="M93" s="22" t="n">
        <v>0</v>
      </c>
      <c r="N93" s="22" t="n">
        <v>0</v>
      </c>
      <c r="O93" s="22" t="n">
        <v>0</v>
      </c>
      <c r="P93" s="22" t="n">
        <v>0</v>
      </c>
      <c r="Q93" s="22" t="n">
        <v>0</v>
      </c>
      <c r="R93" s="22" t="n">
        <v>0</v>
      </c>
      <c r="S93" s="22" t="n">
        <v>0</v>
      </c>
      <c r="T93" s="22" t="n">
        <v>0</v>
      </c>
      <c r="U93" s="22" t="n">
        <v>0</v>
      </c>
      <c r="V93" s="22" t="n">
        <v>0</v>
      </c>
      <c r="W93" s="22" t="n">
        <v>36</v>
      </c>
      <c r="X93" s="22" t="n">
        <v>36</v>
      </c>
      <c r="Y93" s="43" t="n">
        <f>W93-O93</f>
        <v>36</v>
      </c>
      <c r="Z93" s="29" t="str">
        <f>IF(O93=0,"E: base 0",Y93/O93)</f>
        <v>E: base 0</v>
      </c>
      <c r="AA93" s="43" t="n">
        <f>W93-S93</f>
        <v>36</v>
      </c>
      <c r="AB93" s="29" t="str">
        <f>IF(S93=0,"E: base 0",AA93/S93)</f>
        <v>E: base 0</v>
      </c>
      <c r="AC93" s="14" t="str">
        <v>NUEVA</v>
      </c>
      <c r="AD93" s="14" t="str">
        <v>B/C; PUBLICA</v>
      </c>
      <c r="AE93" s="14" t="n">
        <f>IF(AND(OR($B$4="Todas",C93=$B$4),OR($D$4="Todas",D93=$D$4),OR($F$4="Todas",E93=$F$4)),Y93,"")</f>
        <v>36</v>
      </c>
      <c r="AF93" s="14" t="n">
        <f>IF(AND(ISNUMBER(AE93),AE93&gt;0),COUNTIF($AE$19:$AE$95,"&gt;"&amp;AE93)+COUNTIF($AE$19:AE93,AE93),"")</f>
        <v>22</v>
      </c>
      <c r="AG93" s="14" t="str">
        <f>IF(AND(ISNUMBER(AE93),AE93&lt;0),COUNTIF($AE$19:$AE$95,"&lt;"&amp;AE93)+COUNTIF($AE$19:AE93,AE93),"")</f>
        <v/>
      </c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</row>
    <row r="94" ht="27" customHeight="1">
      <c r="A94" s="15" t="str">
        <v>I162S3C115J2</v>
      </c>
      <c r="B94" s="15" t="str">
        <v>TECNICO EN FARMACIA</v>
      </c>
      <c r="C94" s="15" t="str">
        <v>Concepción</v>
      </c>
      <c r="D94" s="15" t="str">
        <v>Vespertina</v>
      </c>
      <c r="E94" s="15" t="str">
        <v>E: sin sector</v>
      </c>
      <c r="F94" s="15" t="str">
        <v>I162S3C115J2V1</v>
      </c>
      <c r="G94" s="23" t="n">
        <v>2026</v>
      </c>
      <c r="H94" s="23" t="n">
        <v>2026</v>
      </c>
      <c r="I94" s="24" t="n">
        <v>0</v>
      </c>
      <c r="J94" s="24" t="n">
        <v>0</v>
      </c>
      <c r="K94" s="24" t="n">
        <v>0</v>
      </c>
      <c r="L94" s="24" t="n">
        <v>0</v>
      </c>
      <c r="M94" s="24" t="n">
        <v>0</v>
      </c>
      <c r="N94" s="24" t="n">
        <v>0</v>
      </c>
      <c r="O94" s="24" t="n">
        <v>0</v>
      </c>
      <c r="P94" s="24" t="n">
        <v>0</v>
      </c>
      <c r="Q94" s="24" t="n">
        <v>0</v>
      </c>
      <c r="R94" s="24" t="n">
        <v>0</v>
      </c>
      <c r="S94" s="24" t="n">
        <v>0</v>
      </c>
      <c r="T94" s="24" t="n">
        <v>0</v>
      </c>
      <c r="U94" s="24" t="n">
        <v>0</v>
      </c>
      <c r="V94" s="24" t="n">
        <v>0</v>
      </c>
      <c r="W94" s="24" t="n">
        <v>19</v>
      </c>
      <c r="X94" s="24" t="n">
        <v>19</v>
      </c>
      <c r="Y94" s="44" t="n">
        <f>W94-O94</f>
        <v>19</v>
      </c>
      <c r="Z94" s="30" t="str">
        <f>IF(O94=0,"E: base 0",Y94/O94)</f>
        <v>E: base 0</v>
      </c>
      <c r="AA94" s="44" t="n">
        <f>W94-S94</f>
        <v>19</v>
      </c>
      <c r="AB94" s="30" t="str">
        <f>IF(S94=0,"E: base 0",AA94/S94)</f>
        <v>E: base 0</v>
      </c>
      <c r="AC94" s="15" t="str">
        <v>NUEVA</v>
      </c>
      <c r="AD94" s="15" t="str">
        <v>B/C; PUBLICA</v>
      </c>
      <c r="AE94" s="15" t="n">
        <f>IF(AND(OR($B$4="Todas",C94=$B$4),OR($D$4="Todas",D94=$D$4),OR($F$4="Todas",E94=$F$4)),Y94,"")</f>
        <v>19</v>
      </c>
      <c r="AF94" s="15" t="n">
        <f>IF(AND(ISNUMBER(AE94),AE94&gt;0),COUNTIF($AE$19:$AE$95,"&gt;"&amp;AE94)+COUNTIF($AE$19:AE94,AE94),"")</f>
        <v>37</v>
      </c>
      <c r="AG94" s="15" t="str">
        <f>IF(AND(ISNUMBER(AE94),AE94&lt;0),COUNTIF($AE$19:$AE$95,"&lt;"&amp;AE94)+COUNTIF($AE$19:AE94,AE94),"")</f>
        <v/>
      </c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</row>
    <row r="95" ht="27" customHeight="1">
      <c r="A95" s="14" t="str">
        <v>I162S3C91J2</v>
      </c>
      <c r="B95" s="14" t="str">
        <v>TECNICO EN ENFERMERIA</v>
      </c>
      <c r="C95" s="14" t="str">
        <v>Concepción</v>
      </c>
      <c r="D95" s="14" t="str">
        <v>Vespertina</v>
      </c>
      <c r="E95" s="14" t="str">
        <v>Salud</v>
      </c>
      <c r="F95" s="14" t="str">
        <v>I162S3C91J2V1</v>
      </c>
      <c r="G95" s="21" t="n">
        <v>2026</v>
      </c>
      <c r="H95" s="21" t="n">
        <v>2026</v>
      </c>
      <c r="I95" s="22" t="n">
        <v>0</v>
      </c>
      <c r="J95" s="22" t="n">
        <v>0</v>
      </c>
      <c r="K95" s="22" t="n">
        <v>0</v>
      </c>
      <c r="L95" s="22" t="n">
        <v>0</v>
      </c>
      <c r="M95" s="22" t="n">
        <v>0</v>
      </c>
      <c r="N95" s="22" t="n">
        <v>0</v>
      </c>
      <c r="O95" s="22" t="n">
        <v>0</v>
      </c>
      <c r="P95" s="22" t="n">
        <v>0</v>
      </c>
      <c r="Q95" s="22" t="n">
        <v>0</v>
      </c>
      <c r="R95" s="22" t="n">
        <v>0</v>
      </c>
      <c r="S95" s="22" t="n">
        <v>0</v>
      </c>
      <c r="T95" s="22" t="n">
        <v>0</v>
      </c>
      <c r="U95" s="22" t="n">
        <v>0</v>
      </c>
      <c r="V95" s="22" t="n">
        <v>0</v>
      </c>
      <c r="W95" s="22" t="n">
        <v>18</v>
      </c>
      <c r="X95" s="22" t="n">
        <v>18</v>
      </c>
      <c r="Y95" s="43" t="n">
        <f>W95-O95</f>
        <v>18</v>
      </c>
      <c r="Z95" s="29" t="str">
        <f>IF(O95=0,"E: base 0",Y95/O95)</f>
        <v>E: base 0</v>
      </c>
      <c r="AA95" s="43" t="n">
        <f>W95-S95</f>
        <v>18</v>
      </c>
      <c r="AB95" s="29" t="str">
        <f>IF(S95=0,"E: base 0",AA95/S95)</f>
        <v>E: base 0</v>
      </c>
      <c r="AC95" s="14" t="str">
        <v>NUEVA</v>
      </c>
      <c r="AD95" s="14" t="str">
        <v>B/C; PUBLICA</v>
      </c>
      <c r="AE95" s="14" t="n">
        <f>IF(AND(OR($B$4="Todas",C95=$B$4),OR($D$4="Todas",D95=$D$4),OR($F$4="Todas",E95=$F$4)),Y95,"")</f>
        <v>18</v>
      </c>
      <c r="AF95" s="14" t="n">
        <f>IF(AND(ISNUMBER(AE95),AE95&gt;0),COUNTIF($AE$19:$AE$95,"&gt;"&amp;AE95)+COUNTIF($AE$19:AE95,AE95),"")</f>
        <v>38</v>
      </c>
      <c r="AG95" s="14" t="str">
        <f>IF(AND(ISNUMBER(AE95),AE95&lt;0),COUNTIF($AE$19:$AE$95,"&lt;"&amp;AE95)+COUNTIF($AE$19:AE95,AE95),"")</f>
        <v/>
      </c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</row>
  </sheetData>
  <mergeCells>
    <mergeCell ref="A2:F2"/>
    <mergeCell ref="A3:F3"/>
    <mergeCell ref="A15:F15"/>
    <mergeCell ref="A16:F16"/>
  </mergeCells>
  <dataValidations count="3">
    <dataValidation type="list" sqref="B4">
      <formula1>"Todas,Concepción,E: sin sede,Santiago"</formula1>
    </dataValidation>
    <dataValidation type="list" sqref="D4">
      <formula1>"Todas,A distancia,Diurna,E: sin jornada,Semipresencial,Vespertina"</formula1>
    </dataValidation>
    <dataValidation type="list" sqref="F4">
      <formula1>"Todas,Administración y Comercio,E: sin sector,Salud,Tecnologías"</formula1>
    </dataValidation>
  </dataValidations>
  <printOptions headings="0" gridLines="0"/>
  <pageMargins left="0.25" right="0.25" top="0.25" bottom="0.25" header="0" footer="0"/>
  <pageSetup paperSize="8" orientation="landscape" fitToWidth="1" fitToHeight="1"/>
  <drawing ns1:id="R2baf23dce5004ca2"/>
  <tableParts count="4">
    <tablePart ns1:id="R1674f190ee2a41eb"/>
    <tablePart ns1:id="Rde9c0078ed88415e"/>
    <tablePart ns1:id="R041e0ae09f2a4686"/>
    <tablePart ns1:id="R89df019837154bed"/>
  </tableParts>
</worksheet>
</file>