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089c193c91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5455a7e76214e5a"/>
    <x:sheet xmlns:r="http://schemas.openxmlformats.org/officeDocument/2006/relationships" name="Por_carrera" sheetId="2" r:id="R0bf6de925311447f"/>
    <x:sheet xmlns:r="http://schemas.openxmlformats.org/officeDocument/2006/relationships" name="Fuentes_y_alcance" sheetId="3" r:id="R9e42eb6d9bbf449a"/>
    <x:sheet xmlns:r="http://schemas.openxmlformats.org/officeDocument/2006/relationships" name="Bases_por_confirmar" sheetId="4" r:id="Ra06c084ea20940d7"/>
    <x:sheet xmlns:r="http://schemas.openxmlformats.org/officeDocument/2006/relationships" name="Escenario_80" sheetId="5" r:id="rId1"/>
  </x:sheets>
  <x:definedNames>
    <x:definedName name="CarrerasRevisionIntermedia">'Fuentes_y_alcance'!$H$7:$H$25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0%"/>
    <x:numFmt numFmtId="202" formatCode="0"/>
    <x:numFmt numFmtId="203" formatCode="#,##0"/>
    <x:numFmt numFmtId="204" formatCode="0.00%"/>
    <x:numFmt numFmtId="205" formatCode="0"/>
    <x:numFmt numFmtId="206" formatCode="+0.00;-0.00;0.00"/>
  </x:numFmts>
  <x:fonts count="10">
    <x:font>
      <x:sz val="11"/>
      <x:name val="Carlito"/>
    </x:font>
    <x:font>
      <x:sz val="11"/>
      <x:color rgb="FF3A3A3A"/>
      <x:name val="Arial"/>
    </x:font>
    <x:font>
      <x:b/>
      <x:sz val="16"/>
      <x:color rgb="FF102B42"/>
      <x:name val="Arial"/>
    </x:font>
    <x:font>
      <x:b/>
      <x:sz val="11"/>
      <x:color rgb="FFFFFFFF"/>
      <x:name val="Arial"/>
    </x:font>
    <x:font>
      <x:b/>
      <x:sz val="11"/>
      <x:color rgb="FF3A3A3A"/>
      <x:name val="Arial"/>
    </x:font>
    <x:font>
      <x:sz val="11"/>
      <x:name val="Carlito"/>
    </x:font>
    <x:font>
      <x:sz val="11"/>
      <x:color rgb="FF3A3A3A"/>
      <x:name val="Arial"/>
    </x:font>
    <x:font>
      <x:b/>
      <x:sz val="16"/>
      <x:color rgb="FF102B42"/>
      <x:name val="Arial"/>
    </x:font>
    <x:font>
      <x:b/>
      <x:sz val="11"/>
      <x:color rgb="FFFFFFFF"/>
      <x:name val="Arial"/>
    </x:font>
    <x:font>
      <x:b/>
      <x:sz val="11"/>
      <x:color rgb="FF3A3A3A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02B42"/>
      </x:patternFill>
    </x:fill>
    <x:fill>
      <x:patternFill patternType="solid">
        <x:fgColor rgb="FF102B42"/>
      </x:patternFill>
    </x:fill>
    <x:fill>
      <x:patternFill patternType="solid">
        <x:fgColor rgb="FFFFF2CC"/>
      </x:patternFill>
    </x:fill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02B42"/>
      </x:patternFill>
    </x:fill>
    <x:fill>
      <x:patternFill patternType="solid">
        <x:fgColor rgb="FF102B42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02B42"/>
      </x:patternFill>
    </x:fill>
    <x:fill>
      <x:patternFill patternType="solid">
        <x:fgColor rgb="FF0E4273"/>
      </x:patternFill>
    </x:fill>
    <x:fill>
      <x:patternFill patternType="solid">
        <x:fgColor rgb="FFF2F2F2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CFB47C"/>
      </x:bottom>
      <x:diagonal/>
    </x:border>
    <x:border>
      <x:left/>
      <x:right/>
      <x:top/>
      <x:bottom/>
      <x:diagonal/>
    </x:border>
    <x:border>
      <x:left/>
      <x:right/>
      <x:top/>
      <x:bottom style="thin">
        <x:color rgb="FFCFB47C"/>
      </x:bottom>
      <x:diagonal/>
    </x:border>
  </x:borders>
  <x:cellStyleXfs count="2">
    <x:xf numFmtId="0" fontId="0" fillId="0" borderId="0"/>
    <x:xf numFmtId="0" fontId="5" fillId="6" borderId="2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6" borderId="2" xfId="1"/>
    <x:xf numFmtId="0" fontId="6" fillId="6" borderId="2" xfId="1" applyNumberFormat="1" applyFont="1" applyFill="1" applyBorder="1"/>
    <x:xf numFmtId="0" fontId="6" fillId="6" borderId="2" xfId="1" applyNumberFormat="1" applyFont="1" applyFill="1" applyBorder="1" applyAlignment="1">
      <x:alignment vertical="center"/>
    </x:xf>
    <x:xf numFmtId="0" fontId="7" fillId="6" borderId="2" xfId="1" applyNumberFormat="1" applyFont="1" applyFill="1" applyBorder="1" applyAlignment="1">
      <x:alignment vertical="center"/>
    </x:xf>
    <x:xf numFmtId="0" fontId="6" fillId="6" borderId="3" xfId="1" applyNumberFormat="1" applyFont="1" applyFill="1" applyBorder="1" applyAlignment="1">
      <x:alignment vertical="center"/>
    </x:xf>
    <x:xf numFmtId="0" fontId="6" fillId="8" borderId="2" xfId="1" applyNumberFormat="1" applyFont="1" applyFill="1" applyBorder="1" applyAlignment="1">
      <x:alignment vertical="center"/>
    </x:xf>
    <x:xf numFmtId="0" fontId="6" fillId="9" borderId="2" xfId="1" applyNumberFormat="1" applyFont="1" applyFill="1" applyBorder="1" applyAlignment="1">
      <x:alignment vertical="center"/>
    </x:xf>
    <x:xf numFmtId="0" fontId="8" fillId="9" borderId="2" xfId="1" applyNumberFormat="1" applyFont="1" applyFill="1" applyBorder="1" applyAlignment="1">
      <x:alignment vertical="center"/>
    </x:xf>
    <x:xf numFmtId="0" fontId="8" fillId="9" borderId="2" xfId="1" applyNumberFormat="1" applyFont="1" applyFill="1" applyBorder="1" applyAlignment="1">
      <x:alignment vertical="center" wrapText="1"/>
    </x:xf>
    <x:xf numFmtId="0" fontId="8" fillId="9" borderId="2" xfId="1" applyNumberFormat="1" applyFont="1" applyFill="1" applyBorder="1" applyAlignment="1">
      <x:alignment horizontal="center" vertical="center" wrapText="1"/>
    </x:xf>
    <x:xf numFmtId="0" fontId="6" fillId="6" borderId="2" xfId="1" applyNumberFormat="1" applyFont="1" applyFill="1" applyBorder="1" applyAlignment="1">
      <x:alignment horizontal="center" vertical="center"/>
    </x:xf>
    <x:xf numFmtId="203" fontId="6" fillId="6" borderId="2" xfId="1" applyNumberFormat="1" applyFont="1" applyFill="1" applyBorder="1" applyAlignment="1">
      <x:alignment vertical="center"/>
    </x:xf>
    <x:xf numFmtId="0" fontId="6" fillId="6" borderId="2" xfId="1" applyNumberFormat="1" applyFont="1" applyFill="1" applyBorder="1" applyAlignment="1">
      <x:alignment vertical="center" wrapText="1"/>
    </x:xf>
    <x:xf numFmtId="0" fontId="6" fillId="8" borderId="2" xfId="1" applyNumberFormat="1" applyFont="1" applyFill="1" applyBorder="1" applyAlignment="1">
      <x:alignment vertical="center" wrapText="1"/>
    </x:xf>
    <x:xf numFmtId="0" fontId="6" fillId="8" borderId="2" xfId="1" applyNumberFormat="1" applyFont="1" applyFill="1" applyBorder="1" applyAlignment="1">
      <x:alignment horizontal="center" vertical="center"/>
    </x:xf>
    <x:xf numFmtId="203" fontId="6" fillId="6" borderId="2" xfId="1" applyNumberFormat="1" applyFont="1" applyFill="1" applyBorder="1" applyAlignment="1">
      <x:alignment horizontal="center" vertical="center"/>
    </x:xf>
    <x:xf numFmtId="0" fontId="9" fillId="6" borderId="2" xfId="1" applyNumberFormat="1" applyFont="1" applyFill="1" applyBorder="1" applyAlignment="1">
      <x:alignment vertical="center"/>
    </x:xf>
    <x:xf numFmtId="204" fontId="6" fillId="6" borderId="2" xfId="1" applyNumberFormat="1" applyFont="1" applyFill="1" applyBorder="1" applyAlignment="1">
      <x:alignment vertical="center"/>
    </x:xf>
    <x:xf numFmtId="205" fontId="6" fillId="6" borderId="2" xfId="1" applyNumberFormat="1" applyFont="1" applyFill="1" applyBorder="1" applyAlignment="1">
      <x:alignment horizontal="center" vertical="center"/>
    </x:xf>
    <x:xf numFmtId="0" fontId="6" fillId="6" borderId="2" xfId="1" applyNumberFormat="1" applyFont="1" applyFill="1" applyBorder="1" applyAlignment="1">
      <x:alignment wrapText="1"/>
    </x:xf>
    <x:xf numFmtId="0" fontId="6" fillId="10" borderId="2" xfId="1" applyNumberFormat="1" applyFont="1" applyFill="1" applyBorder="1" applyAlignment="1">
      <x:alignment vertical="center"/>
    </x:xf>
    <x:xf numFmtId="0" fontId="8" fillId="10" borderId="2" xfId="1" applyNumberFormat="1" applyFont="1" applyFill="1" applyBorder="1" applyAlignment="1">
      <x:alignment vertical="center"/>
    </x:xf>
    <x:xf numFmtId="0" fontId="8" fillId="10" borderId="2" xfId="1" applyNumberFormat="1" applyFont="1" applyFill="1" applyBorder="1" applyAlignment="1">
      <x:alignment vertical="center" wrapText="1"/>
    </x:xf>
    <x:xf numFmtId="0" fontId="8" fillId="10" borderId="2" xfId="1" applyNumberFormat="1" applyFont="1" applyFill="1" applyBorder="1" applyAlignment="1">
      <x:alignment horizontal="center" vertical="center" wrapText="1"/>
    </x:xf>
    <x:xf numFmtId="0" fontId="6" fillId="11" borderId="2" xfId="1" applyNumberFormat="1" applyFont="1" applyFill="1" applyBorder="1" applyAlignment="1">
      <x:alignment vertical="center" wrapText="1"/>
    </x:xf>
    <x:xf numFmtId="0" fontId="6" fillId="6" borderId="2" xfId="1" applyNumberFormat="1" applyFont="1" applyFill="1" applyBorder="1" applyAlignment="1">
      <x:alignment horizontal="center" vertical="center" wrapText="1"/>
    </x:xf>
    <x:xf numFmtId="0" fontId="7" fillId="6" borderId="2" xfId="1" applyNumberFormat="1" applyFont="1" applyFill="1" applyBorder="1" applyAlignment="1">
      <x:alignment vertical="center" wrapText="1"/>
    </x:xf>
    <x:xf numFmtId="0" fontId="6" fillId="12" borderId="2" xfId="1" applyNumberFormat="1" applyFont="1" applyFill="1" applyBorder="1" applyAlignment="1">
      <x:alignment vertical="center" wrapText="1"/>
    </x:xf>
    <x:xf numFmtId="0" fontId="6" fillId="13" borderId="2" xfId="1" applyNumberFormat="1" applyFont="1" applyFill="1" applyBorder="1" applyAlignment="1">
      <x:alignment vertical="center" wrapText="1"/>
    </x:xf>
    <x:xf numFmtId="0" fontId="8" fillId="13" borderId="2" xfId="1" applyNumberFormat="1" applyFont="1" applyFill="1" applyBorder="1" applyAlignment="1">
      <x:alignment vertical="center" wrapText="1"/>
    </x:xf>
    <x:xf numFmtId="0" fontId="6" fillId="14" borderId="2" xfId="1" applyNumberFormat="1" applyFont="1" applyFill="1" applyBorder="1" applyAlignment="1">
      <x:alignment vertical="center"/>
    </x:xf>
    <x:xf numFmtId="0" fontId="8" fillId="14" borderId="2" xfId="1" applyNumberFormat="1" applyFont="1" applyFill="1" applyBorder="1" applyAlignment="1">
      <x:alignment vertical="center"/>
    </x:xf>
    <x:xf numFmtId="0" fontId="8" fillId="14" borderId="2" xfId="1" applyNumberFormat="1" applyFont="1" applyFill="1" applyBorder="1" applyAlignment="1">
      <x:alignment vertical="center" wrapText="1"/>
    </x:xf>
    <x:xf numFmtId="0" fontId="8" fillId="14" borderId="2" xfId="1" applyNumberFormat="1" applyFont="1" applyFill="1" applyBorder="1" applyAlignment="1">
      <x:alignment horizontal="center" vertical="center" wrapText="1"/>
    </x:xf>
    <x:xf numFmtId="0" fontId="6" fillId="15" borderId="2" xfId="1" applyNumberFormat="1" applyFont="1" applyFill="1" applyBorder="1" applyAlignment="1">
      <x:alignment vertical="center"/>
    </x:xf>
    <x:xf numFmtId="0" fontId="6" fillId="12" borderId="2" xfId="1" applyNumberFormat="1" applyFont="1" applyFill="1" applyBorder="1" applyAlignment="1">
      <x:alignment vertical="center"/>
    </x:xf>
    <x:xf numFmtId="0" fontId="6" fillId="15" borderId="2" xfId="1" applyNumberFormat="1" applyFont="1" applyFill="1" applyBorder="1" applyAlignment="1">
      <x:alignment vertical="center" wrapText="1"/>
    </x:xf>
    <x:xf numFmtId="0" fontId="9" fillId="15" borderId="2" xfId="1" applyNumberFormat="1" applyFont="1" applyFill="1" applyBorder="1" applyAlignment="1">
      <x:alignment vertical="center"/>
    </x:xf>
    <x:xf numFmtId="203" fontId="6" fillId="15" borderId="2" xfId="1" applyNumberFormat="1" applyFont="1" applyFill="1" applyBorder="1" applyAlignment="1">
      <x:alignment vertical="center"/>
    </x:xf>
    <x:xf numFmtId="203" fontId="6" fillId="12" borderId="2" xfId="1" applyNumberFormat="1" applyFont="1" applyFill="1" applyBorder="1" applyAlignment="1">
      <x:alignment vertical="center"/>
    </x:xf>
    <x:xf numFmtId="203" fontId="9" fillId="15" borderId="2" xfId="1" applyNumberFormat="1" applyFont="1" applyFill="1" applyBorder="1" applyAlignment="1">
      <x:alignment vertical="center"/>
    </x:xf>
    <x:xf numFmtId="204" fontId="6" fillId="15" borderId="2" xfId="1" applyNumberFormat="1" applyFont="1" applyFill="1" applyBorder="1" applyAlignment="1">
      <x:alignment vertical="center"/>
    </x:xf>
    <x:xf numFmtId="204" fontId="6" fillId="12" borderId="2" xfId="1" applyNumberFormat="1" applyFont="1" applyFill="1" applyBorder="1" applyAlignment="1">
      <x:alignment vertical="center"/>
    </x:xf>
    <x:xf numFmtId="206" fontId="6" fillId="12" borderId="2" xfId="1" applyNumberFormat="1" applyFont="1" applyFill="1" applyBorder="1" applyAlignment="1">
      <x:alignment vertical="center"/>
    </x:xf>
    <x:xf numFmtId="206" fontId="6" fillId="6" borderId="2" xfId="1" applyNumberFormat="1" applyFont="1" applyFill="1" applyBorder="1" applyAlignment="1">
      <x:alignment vertical="center"/>
    </x:xf>
    <x:xf numFmtId="205" fontId="6" fillId="15" borderId="2" xfId="1" applyNumberFormat="1" applyFont="1" applyFill="1" applyBorder="1" applyAlignment="1">
      <x:alignment vertical="center"/>
    </x:xf>
    <x:xf numFmtId="205" fontId="6" fillId="6" borderId="2" xfId="1" applyNumberFormat="1" applyFont="1" applyFill="1" applyBorder="1" applyAlignment="1">
      <x:alignment vertical="center"/>
    </x:xf>
    <x:xf numFmtId="205" fontId="6" fillId="6" borderId="2" xfId="1" applyNumberFormat="1" applyFont="1" applyFill="1" applyBorder="1" applyAlignment="1">
      <x:alignment vertical="center" wrapText="1"/>
    </x:xf>
    <x:xf numFmtId="205" fontId="8" fillId="13" borderId="2" xfId="1" applyNumberFormat="1" applyFont="1" applyFill="1" applyBorder="1" applyAlignment="1">
      <x:alignment vertical="center" wrapText="1"/>
    </x:xf>
    <x:xf numFmtId="205" fontId="8" fillId="14" borderId="2" xfId="1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ec8122e40d394bbb"/><Relationship Type="http://schemas.openxmlformats.org/officeDocument/2006/relationships/theme" Target="/xl/theme/theme1.xml" Id="R9d197f969a6341f1"/><Relationship Type="http://schemas.openxmlformats.org/officeDocument/2006/relationships/sharedStrings" Target="/xl/sharedStrings.xml" Id="Rb834097b70cb4345"/><Relationship Type="http://schemas.openxmlformats.org/officeDocument/2006/relationships/worksheet" Target="/xl/worksheets/sheet1.xml" Id="R95455a7e76214e5a"/><Relationship Type="http://schemas.openxmlformats.org/officeDocument/2006/relationships/worksheet" Target="/xl/worksheets/sheet2.xml" Id="R0bf6de925311447f"/><Relationship Type="http://schemas.openxmlformats.org/officeDocument/2006/relationships/worksheet" Target="/xl/worksheets/sheet3.xml" Id="R9e42eb6d9bbf449a"/><Relationship Type="http://schemas.openxmlformats.org/officeDocument/2006/relationships/worksheet" Target="/xl/worksheets/sheet4.xml" Id="Ra06c084ea20940d7"/><Relationship Id="rId1" Type="http://schemas.openxmlformats.org/officeDocument/2006/relationships/worksheet" Target="worksheets/sheet5.xml"/></Relationships>
</file>

<file path=xl/tables/table1.xml><?xml version="1.0" encoding="utf-8"?>
<x:table xmlns:x="http://schemas.openxmlformats.org/spreadsheetml/2006/main" id="1" name="RevisionIntermedia" displayName="RevisionIntermedia" ref="A7:I11" headerRowCount="1" totalsRowCount="0" totalsRowShown="0">
  <x:tableColumns count="9">
    <x:tableColumn id="1" name="Cohorte"/>
    <x:tableColumn id="2" name="Cierre observado"/>
    <x:tableColumn id="3" name="Estudiantes de referencia anual"/>
    <x:tableColumn id="4" name="Localizados en el listado"/>
    <x:tableColumn id="5" name="Con estado VIGENTE"/>
    <x:tableColumn id="6" name="Sin llave comparable"/>
    <x:tableColumn id="7" name="Sin localizar con llave"/>
    <x:tableColumn id="8" name="Tasa intermedia"/>
    <x:tableColumn id="9" name="Qué falta (E)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ntinuidadYaCalculada" displayName="ContinuidadYaCalculada" ref="A20:I22" headerRowCount="1" totalsRowCount="0" totalsRowShown="0">
  <x:tableColumns count="9">
    <x:tableColumn id="1" name="Ingreso"/>
    <x:tableColumn id="2" name="Estudiantes (D)"/>
    <x:tableColumn id="3" name="Localizados (C)"/>
    <x:tableColumn id="4" name="Con VIG 1 (C)"/>
    <x:tableColumn id="5" name="Solo VIG 0 (C)"/>
    <x:tableColumn id="6" name="Ausentes (C)"/>
    <x:tableColumn id="7" name="Continuidad (C)"/>
    <x:tableColumn id="8" name="Clase"/>
    <x:tableColumn id="9" name="Observació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DetalleCarreras" displayName="DetalleCarreras" ref="A6:K34" headerRowCount="1" totalsRowCount="0" totalsRowShown="0">
  <x:tableColumns count="11">
    <x:tableColumn id="1" name="Cohorte"/>
    <x:tableColumn id="2" name="Carrera de origen"/>
    <x:tableColumn id="3" name="Candidatos MU"/>
    <x:tableColumn id="4" name="Referencia anual"/>
    <x:tableColumn id="5" name="Sin llave comparable"/>
    <x:tableColumn id="6" name="Localizados T2"/>
    <x:tableColumn id="7" name="VIGENTE T2"/>
    <x:tableColumn id="8" name="Localizados T3"/>
    <x:tableColumn id="9" name="VIGENTE T3"/>
    <x:tableColumn id="10" name="Tasa T2 (E)"/>
    <x:tableColumn id="11" name="Tasa T3 (E)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FuentesConsulta" displayName="FuentesConsulta" ref="A6:F15" headerRowCount="1" totalsRowCount="0" totalsRowShown="0">
  <x:tableColumns count="6">
    <x:tableColumn id="1" name="Clase"/>
    <x:tableColumn id="2" name="Fuente / hoja"/>
    <x:tableColumn id="3" name="Uso"/>
    <x:tableColumn id="4" name="SHA-256"/>
    <x:tableColumn id="5" name="Ruta"/>
    <x:tableColumn id="6" name="Estado de fuente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InsumosContinuidad" displayName="InsumosContinuidad" ref="A29:F31" headerRowCount="1" totalsRowCount="0" totalsRowShown="0">
  <x:tableColumns count="6">
    <x:tableColumn id="1" name="Ingreso (D)"/>
    <x:tableColumn id="2" name="Estudiantes (D)"/>
    <x:tableColumn id="3" name="Localizados (C)"/>
    <x:tableColumn id="4" name="VIG 1 (C)"/>
    <x:tableColumn id="5" name="Solo VIG 0 (C)"/>
    <x:tableColumn id="6" name="Ausentes (C)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BasesCierrePorConfirmar" displayName="BasesCierrePorConfirmar" ref="A6:F10" headerRowCount="1" totalsRowCount="0" totalsRowShown="0">
  <x:tableColumns count="6">
    <x:tableColumn id="1" name="Cierre"/>
    <x:tableColumn id="2" name="Cohorte"/>
    <x:tableColumn id="3" name="Base disponible (B)"/>
    <x:tableColumn id="4" name="Fecha acreditada (B)"/>
    <x:tableColumn id="5" name="Qué confirmar (E)"/>
    <x:tableColumn id="6" name="Qué falta resolv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81931121e542df" /><Relationship Type="http://schemas.openxmlformats.org/officeDocument/2006/relationships/table" Target="/xl/tables/table2.xml" Id="Rf90c62f7040546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38ea8b326a8a41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35753caaa32e4a2e" /><Relationship Type="http://schemas.openxmlformats.org/officeDocument/2006/relationships/table" Target="/xl/tables/table5.xml" Id="R5e27c2542f8a4e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a0709ab14ae748b3" /></Relationships>
</file>

<file path=xl/worksheets/sheet1.xml><?xml version="1.0" encoding="utf-8"?>
<x:worksheet xmlns:x="http://schemas.openxmlformats.org/spreadsheetml/2006/main">
  <x:sheetPr>
    <x:tabColor rgb="FF102B42"/>
  </x:sheetPr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9" hidden="0" customWidth="1"/>
    <x:col min="4" max="4" width="18" hidden="0" customWidth="1"/>
    <x:col min="5" max="5" width="20" hidden="0" customWidth="1"/>
    <x:col min="6" max="6" width="18" hidden="0" customWidth="1"/>
    <x:col min="7" max="7" width="21" hidden="0" customWidth="1"/>
    <x:col min="8" max="8" width="19" hidden="0" customWidth="1"/>
    <x:col min="9" max="9" width="56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6" customHeight="1">
      <x:c r="A2" s="3" t="str">
        <x:v>Retención intermedia: revisión de cohortes 2024 y 2025</x:v>
      </x:c>
      <x:c r="B2" s="2"/>
      <x:c r="C2" s="2"/>
      <x:c r="D2" s="2"/>
      <x:c r="E2" s="2"/>
      <x:c r="F2" s="2"/>
      <x:c r="G2" s="2"/>
      <x:c r="H2" s="2"/>
      <x:c r="I2" s="2"/>
    </x:row>
    <x:row r="3" ht="26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6" customHeight="1">
      <x:c r="A4" s="2" t="str">
        <x:v>C: seleccione una carrera en H4 para revisar los cuatro cierres.</x:v>
      </x:c>
      <x:c r="B4" s="2"/>
      <x:c r="C4" s="2"/>
      <x:c r="D4" s="2"/>
      <x:c r="E4" s="2"/>
      <x:c r="F4" s="2"/>
      <x:c r="G4" s="2"/>
      <x:c r="H4" s="5" t="str">
        <x:v>Todas</x:v>
      </x:c>
      <x:c r="I4" s="2"/>
    </x:row>
    <x:row r="5" ht="26" customHeight="1">
      <x:c r="A5" s="2" t="str">
        <x:v>E: cobertura al cierre no acreditada. Se muestran presencias comprobadas; las tasas intermedias siguen pendientes.</x:v>
      </x:c>
      <x:c r="B5" s="2"/>
      <x:c r="C5" s="2"/>
      <x:c r="D5" s="2"/>
      <x:c r="E5" s="2"/>
      <x:c r="F5" s="2"/>
      <x:c r="G5" s="2"/>
      <x:c r="H5" s="2"/>
      <x:c r="I5" s="2"/>
    </x:row>
    <x:row r="6" ht="26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52" customHeight="1">
      <x:c r="A7" s="9" t="str">
        <x:v>Cohorte</x:v>
      </x:c>
      <x:c r="B7" s="9" t="str">
        <x:v>Cierre observado</x:v>
      </x:c>
      <x:c r="C7" s="9" t="str">
        <x:v>Estudiantes de referencia anual</x:v>
      </x:c>
      <x:c r="D7" s="9" t="str">
        <x:v>Localizados en el listado</x:v>
      </x:c>
      <x:c r="E7" s="9" t="str">
        <x:v>Con estado VIGENTE</x:v>
      </x:c>
      <x:c r="F7" s="9" t="str">
        <x:v>Sin llave comparable</x:v>
      </x:c>
      <x:c r="G7" s="9" t="str">
        <x:v>Sin localizar con llave</x:v>
      </x:c>
      <x:c r="H7" s="9" t="str">
        <x:v>Tasa intermedia</x:v>
      </x:c>
      <x:c r="I7" s="9" t="str">
        <x:v>Qué falta (E)</x:v>
      </x:c>
    </x:row>
    <x:row r="8" ht="94" customHeight="1">
      <x:c r="A8" s="10" t="n">
        <x:v>2024</x:v>
      </x:c>
      <x:c r="B8" s="10" t="str">
        <x:v>2025-T2</x:v>
      </x:c>
      <x:c r="C8" s="11" t="n">
        <x:f>IF($H$4="Todas",SUMIFS('Por_carrera'!$D$7:$D$34,'Por_carrera'!$A$7:$A$34,A8),SUMIFS('Por_carrera'!$D$7:$D$34,'Por_carrera'!$A$7:$A$34,A8,'Por_carrera'!$B$7:$B$34,$H$4))</x:f>
        <x:v>558</x:v>
      </x:c>
      <x:c r="D8" s="11" t="n">
        <x:f>IF($H$4="Todas",SUMIFS('Por_carrera'!$F$7:$F$34,'Por_carrera'!$A$7:$A$34,A8),SUMIFS('Por_carrera'!$F$7:$F$34,'Por_carrera'!$A$7:$A$34,A8,'Por_carrera'!$B$7:$B$34,$H$4))</x:f>
        <x:v>1</x:v>
      </x:c>
      <x:c r="E8" s="11" t="n">
        <x:f>IF($H$4="Todas",SUMIFS('Por_carrera'!$G$7:$G$34,'Por_carrera'!$A$7:$A$34,A8),SUMIFS('Por_carrera'!$G$7:$G$34,'Por_carrera'!$A$7:$A$34,A8,'Por_carrera'!$B$7:$B$34,$H$4))</x:f>
        <x:v>1</x:v>
      </x:c>
      <x:c r="F8" s="11" t="n">
        <x:f>IF($H$4="Todas",SUMIFS('Por_carrera'!$E$7:$E$34,'Por_carrera'!$A$7:$A$34,A8),SUMIFS('Por_carrera'!$E$7:$E$34,'Por_carrera'!$A$7:$A$34,A8,'Por_carrera'!$B$7:$B$34,$H$4))</x:f>
        <x:v>0</x:v>
      </x:c>
      <x:c r="G8" s="11" t="n">
        <x:f>C8-D8-F8</x:f>
        <x:v>557</x:v>
      </x:c>
      <x:c r="H8" s="14" t="str">
        <x:v>Pendiente</x:v>
      </x:c>
      <x:c r="I8" s="13" t="str">
        <x:v>E: falta una base completa de 2025-T2 que incluya la cohorte 2024. La entrega solo contiene ingresos 2025-T2.</x:v>
      </x:c>
    </x:row>
    <x:row r="9" ht="94" customHeight="1">
      <x:c r="A9" s="10" t="n">
        <x:v>2024</x:v>
      </x:c>
      <x:c r="B9" s="10" t="str">
        <x:v>2025-T3</x:v>
      </x:c>
      <x:c r="C9" s="11" t="n">
        <x:f>IF($H$4="Todas",SUMIFS('Por_carrera'!$D$7:$D$34,'Por_carrera'!$A$7:$A$34,A9),SUMIFS('Por_carrera'!$D$7:$D$34,'Por_carrera'!$A$7:$A$34,A9,'Por_carrera'!$B$7:$B$34,$H$4))</x:f>
        <x:v>558</x:v>
      </x:c>
      <x:c r="D9" s="11" t="n">
        <x:f>IF($H$4="Todas",SUMIFS('Por_carrera'!$H$7:$H$34,'Por_carrera'!$A$7:$A$34,A9),SUMIFS('Por_carrera'!$H$7:$H$34,'Por_carrera'!$A$7:$A$34,A9,'Por_carrera'!$B$7:$B$34,$H$4))</x:f>
        <x:v>325</x:v>
      </x:c>
      <x:c r="E9" s="11" t="n">
        <x:f>IF($H$4="Todas",SUMIFS('Por_carrera'!$I$7:$I$34,'Por_carrera'!$A$7:$A$34,A9),SUMIFS('Por_carrera'!$I$7:$I$34,'Por_carrera'!$A$7:$A$34,A9,'Por_carrera'!$B$7:$B$34,$H$4))</x:f>
        <x:v>317</x:v>
      </x:c>
      <x:c r="F9" s="11" t="n">
        <x:f>IF($H$4="Todas",SUMIFS('Por_carrera'!$E$7:$E$34,'Por_carrera'!$A$7:$A$34,A9),SUMIFS('Por_carrera'!$E$7:$E$34,'Por_carrera'!$A$7:$A$34,A9,'Por_carrera'!$B$7:$B$34,$H$4))</x:f>
        <x:v>0</x:v>
      </x:c>
      <x:c r="G9" s="11" t="n">
        <x:f>C9-D9-F9</x:f>
        <x:v>233</x:v>
      </x:c>
      <x:c r="H9" s="14" t="str">
        <x:v>Pendiente</x:v>
      </x:c>
      <x:c r="I9" s="13" t="str">
        <x:v>E: T3_2025 incluye varias cohortes. Falta acreditar completitud y fecha efectiva del estado. No se exige otro archivo si este se confirma.</x:v>
      </x:c>
    </x:row>
    <x:row r="10" ht="94" customHeight="1">
      <x:c r="A10" s="10" t="n">
        <x:v>2025</x:v>
      </x:c>
      <x:c r="B10" s="10" t="str">
        <x:v>2026-T2</x:v>
      </x:c>
      <x:c r="C10" s="11" t="n">
        <x:f>IF($H$4="Todas",SUMIFS('Por_carrera'!$D$7:$D$34,'Por_carrera'!$A$7:$A$34,A10),SUMIFS('Por_carrera'!$D$7:$D$34,'Por_carrera'!$A$7:$A$34,A10,'Por_carrera'!$B$7:$B$34,$H$4))</x:f>
        <x:v>1150</x:v>
      </x:c>
      <x:c r="D10" s="11" t="n">
        <x:f>IF($H$4="Todas",SUMIFS('Por_carrera'!$F$7:$F$34,'Por_carrera'!$A$7:$A$34,A10),SUMIFS('Por_carrera'!$F$7:$F$34,'Por_carrera'!$A$7:$A$34,A10,'Por_carrera'!$B$7:$B$34,$H$4))</x:f>
        <x:v>2</x:v>
      </x:c>
      <x:c r="E10" s="15" t="str">
        <x:f>"Sin estado"</x:f>
        <x:v>Sin estado</x:v>
      </x:c>
      <x:c r="F10" s="11" t="n">
        <x:f>IF($H$4="Todas",SUMIFS('Por_carrera'!$E$7:$E$34,'Por_carrera'!$A$7:$A$34,A10),SUMIFS('Por_carrera'!$E$7:$E$34,'Por_carrera'!$A$7:$A$34,A10,'Por_carrera'!$B$7:$B$34,$H$4))</x:f>
        <x:v>20</x:v>
      </x:c>
      <x:c r="G10" s="11" t="n">
        <x:f>C10-D10-F10</x:f>
        <x:v>1128</x:v>
      </x:c>
      <x:c r="H10" s="14" t="str">
        <x:v>Pendiente</x:v>
      </x:c>
      <x:c r="I10" s="13" t="str">
        <x:v>E: DatosAlumnos_10246 está congelado para Caracterización P2. Falta acreditar que representa todo el cierre 2026-T2 y sus estados.</x:v>
      </x:c>
    </x:row>
    <x:row r="11" ht="94" customHeight="1">
      <x:c r="A11" s="10" t="n">
        <x:v>2025</x:v>
      </x:c>
      <x:c r="B11" s="10" t="str">
        <x:v>2026-T3</x:v>
      </x:c>
      <x:c r="C11" s="11" t="n">
        <x:f>IF($H$4="Todas",SUMIFS('Por_carrera'!$D$7:$D$34,'Por_carrera'!$A$7:$A$34,A11),SUMIFS('Por_carrera'!$D$7:$D$34,'Por_carrera'!$A$7:$A$34,A11,'Por_carrera'!$B$7:$B$34,$H$4))</x:f>
        <x:v>1150</x:v>
      </x:c>
      <x:c r="D11" s="11" t="n">
        <x:f>IF($H$4="Todas",SUMIFS('Por_carrera'!$H$7:$H$34,'Por_carrera'!$A$7:$A$34,A11),SUMIFS('Por_carrera'!$H$7:$H$34,'Por_carrera'!$A$7:$A$34,A11,'Por_carrera'!$B$7:$B$34,$H$4))</x:f>
        <x:v>0</x:v>
      </x:c>
      <x:c r="E11" s="11" t="n">
        <x:f>IF($H$4="Todas",SUMIFS('Por_carrera'!$I$7:$I$34,'Por_carrera'!$A$7:$A$34,A11),SUMIFS('Por_carrera'!$I$7:$I$34,'Por_carrera'!$A$7:$A$34,A11,'Por_carrera'!$B$7:$B$34,$H$4))</x:f>
        <x:v>0</x:v>
      </x:c>
      <x:c r="F11" s="11" t="n">
        <x:f>IF($H$4="Todas",SUMIFS('Por_carrera'!$E$7:$E$34,'Por_carrera'!$A$7:$A$34,A11),SUMIFS('Por_carrera'!$E$7:$E$34,'Por_carrera'!$A$7:$A$34,A11,'Por_carrera'!$B$7:$B$34,$H$4))</x:f>
        <x:v>20</x:v>
      </x:c>
      <x:c r="G11" s="11" t="n">
        <x:f>C11-D11-F11</x:f>
        <x:v>1130</x:v>
      </x:c>
      <x:c r="H11" s="14" t="str">
        <x:v>Pendiente</x:v>
      </x:c>
      <x:c r="I11" s="13" t="str">
        <x:v>E: DatosAlumnos_11998 es una fuente común de P1/P2/P3. Falta acreditar fecha y cobertura del cierre 2026-T3.</x:v>
      </x:c>
    </x:row>
    <x:row r="12" ht="26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6" customHeight="1">
      <x:c r="A13" s="2" t="str">
        <x:v>D/C: se conservan 558 y 1.150 estudiantes de referencia. No se cambian elegibilidad ni denominadores.</x:v>
      </x:c>
      <x:c r="B13" s="2"/>
      <x:c r="C13" s="2"/>
      <x:c r="D13" s="2"/>
      <x:c r="E13" s="2"/>
      <x:c r="F13" s="2"/>
      <x:c r="G13" s="2"/>
      <x:c r="H13" s="2"/>
      <x:c r="I13" s="2"/>
    </x:row>
    <x:row r="14" ht="26" customHeight="1">
      <x:c r="A14" s="2" t="str">
        <x:v>B/E: presencia y estado describen el archivo recibido; no certifican vigencia al cierre sin evidencia temporal.</x:v>
      </x:c>
      <x:c r="B14" s="2"/>
      <x:c r="C14" s="2"/>
      <x:c r="D14" s="2"/>
      <x:c r="E14" s="2"/>
      <x:c r="F14" s="2"/>
      <x:c r="G14" s="2"/>
      <x:c r="H14" s="2"/>
      <x:c r="I14" s="2"/>
    </x:row>
    <x:row r="15" ht="26" customHeight="1">
      <x:c r="A15" s="2" t="str">
        <x:v>E: sin localizar no equivale a desertor. T2-2026 carece de estado académico; no se rellena como 0 ni como 1.</x:v>
      </x:c>
      <x:c r="B15" s="2"/>
      <x:c r="C15" s="2"/>
      <x:c r="D15" s="2"/>
      <x:c r="E15" s="2"/>
      <x:c r="F15" s="2"/>
      <x:c r="G15" s="2"/>
      <x:c r="H15" s="2"/>
      <x:c r="I15" s="2"/>
    </x:row>
    <x:row r="16" ht="26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6" customHeight="1">
      <x:c r="A17" s="16" t="str">
        <x:v>Seguimiento distinto ya solicitado: ingresos 2025 T2/T3 buscados en MU2026</x:v>
      </x:c>
      <x:c r="B17" s="2"/>
      <x:c r="C17" s="2"/>
      <x:c r="D17" s="2"/>
      <x:c r="E17" s="2"/>
      <x:c r="F17" s="2"/>
      <x:c r="G17" s="2"/>
      <x:c r="H17" s="2"/>
      <x:c r="I17" s="2"/>
    </x:row>
    <x:row r="18" ht="26" customHeight="1">
      <x:c r="A18" s="2" t="str">
        <x:v>D/C: conserva 222 y 124 estudiantes, incluidos ELIMINADO. Esta sección no cambia con el selector de carrera.</x:v>
      </x:c>
      <x:c r="B18" s="2"/>
      <x:c r="C18" s="2"/>
      <x:c r="D18" s="2"/>
      <x:c r="E18" s="2"/>
      <x:c r="F18" s="2"/>
      <x:c r="G18" s="2"/>
      <x:c r="H18" s="2"/>
      <x:c r="I18" s="2"/>
    </x:row>
    <x:row r="19" ht="26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52" customHeight="1">
      <x:c r="A20" s="9" t="str">
        <x:v>Ingreso</x:v>
      </x:c>
      <x:c r="B20" s="9" t="str">
        <x:v>Estudiantes (D)</x:v>
      </x:c>
      <x:c r="C20" s="9" t="str">
        <x:v>Localizados (C)</x:v>
      </x:c>
      <x:c r="D20" s="9" t="str">
        <x:v>Con VIG 1 (C)</x:v>
      </x:c>
      <x:c r="E20" s="9" t="str">
        <x:v>Solo VIG 0 (C)</x:v>
      </x:c>
      <x:c r="F20" s="9" t="str">
        <x:v>Ausentes (C)</x:v>
      </x:c>
      <x:c r="G20" s="9" t="str">
        <x:v>Continuidad (C)</x:v>
      </x:c>
      <x:c r="H20" s="9" t="str">
        <x:v>Clase</x:v>
      </x:c>
      <x:c r="I20" s="9" t="str">
        <x:v>Observación</x:v>
      </x:c>
    </x:row>
    <x:row r="21" ht="52" customHeight="1">
      <x:c r="A21" s="2" t="str">
        <x:v>2025-T2</x:v>
      </x:c>
      <x:c r="B21" s="2" t="n">
        <x:f>'Fuentes_y_alcance'!B30</x:f>
        <x:v>222</x:v>
      </x:c>
      <x:c r="C21" s="2" t="n">
        <x:f>'Fuentes_y_alcance'!C30</x:f>
        <x:v>80</x:v>
      </x:c>
      <x:c r="D21" s="2" t="n">
        <x:f>'Fuentes_y_alcance'!D30</x:f>
        <x:v>74</x:v>
      </x:c>
      <x:c r="E21" s="2" t="n">
        <x:f>'Fuentes_y_alcance'!E30</x:f>
        <x:v>6</x:v>
      </x:c>
      <x:c r="F21" s="2" t="n">
        <x:f>'Fuentes_y_alcance'!F30</x:f>
        <x:v>142</x:v>
      </x:c>
      <x:c r="G21" s="17" t="n">
        <x:f>IF(B21=0,"Sin denominador",D21/B21)</x:f>
        <x:v>0.3333333333333333</x:v>
      </x:c>
      <x:c r="H21" s="10" t="str">
        <x:v>C / D / E</x:v>
      </x:c>
      <x:c r="I21" s="12" t="str">
        <x:v>Continuidad institucional, no tasa SIES oficial. No explica las ausencias.</x:v>
      </x:c>
    </x:row>
    <x:row r="22" ht="52" customHeight="1">
      <x:c r="A22" s="2" t="str">
        <x:v>2025-T3</x:v>
      </x:c>
      <x:c r="B22" s="2" t="n">
        <x:f>'Fuentes_y_alcance'!B31</x:f>
        <x:v>124</x:v>
      </x:c>
      <x:c r="C22" s="2" t="n">
        <x:f>'Fuentes_y_alcance'!C31</x:f>
        <x:v>50</x:v>
      </x:c>
      <x:c r="D22" s="2" t="n">
        <x:f>'Fuentes_y_alcance'!D31</x:f>
        <x:v>48</x:v>
      </x:c>
      <x:c r="E22" s="2" t="n">
        <x:f>'Fuentes_y_alcance'!E31</x:f>
        <x:v>2</x:v>
      </x:c>
      <x:c r="F22" s="2" t="n">
        <x:f>'Fuentes_y_alcance'!F31</x:f>
        <x:v>74</x:v>
      </x:c>
      <x:c r="G22" s="17" t="n">
        <x:f>IF(B22=0,"Sin denominador",D22/B22)</x:f>
        <x:v>0.3870967741935484</x:v>
      </x:c>
      <x:c r="H22" s="10" t="str">
        <x:v>C / D / E</x:v>
      </x:c>
      <x:c r="I22" s="12" t="str">
        <x:v>Continuidad institucional, no tasa SIES oficial. No explica las ausencias.</x:v>
      </x:c>
    </x:row>
    <x:row r="23" ht="26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6" customHeight="1">
      <x:c r="A24" s="2" t="str">
        <x:v>D: las decisiones VIG para MU2027 no se aplican retroactivamente a estas bases ni a estos denominadores.</x:v>
      </x:c>
      <x:c r="B24" s="2"/>
      <x:c r="C24" s="2"/>
      <x:c r="D24" s="2"/>
      <x:c r="E24" s="2"/>
      <x:c r="F24" s="2"/>
      <x:c r="G24" s="2"/>
      <x:c r="H24" s="2"/>
      <x:c r="I24" s="2"/>
    </x:row>
    <x:row r="25" ht="26" customHeight="1">
      <x:c r="A25" s="2" t="str">
        <x:v>B/E: el estudio 2026 documentó cambios por nómina; su fundamento académico individual sigue pendiente.</x:v>
      </x:c>
      <x:c r="B25" s="2"/>
      <x:c r="C25" s="2"/>
      <x:c r="D25" s="2"/>
      <x:c r="E25" s="2"/>
      <x:c r="F25" s="2"/>
      <x:c r="G25" s="2"/>
      <x:c r="H25" s="2"/>
      <x:c r="I25" s="2"/>
    </x:row>
    <x:row r="26" ht="26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6" customHeight="1">
      <x:c r="A27" s="2" t="str">
        <x:v>Próximo paso: revisar Bases_por_confirmar. Usar fuentes existentes si se acredita fecha, cobertura y estados del cierre.</x:v>
      </x:c>
      <x:c r="B27" s="2"/>
      <x:c r="C27" s="2"/>
      <x:c r="D27" s="2"/>
      <x:c r="E27" s="2"/>
      <x:c r="F27" s="2"/>
      <x:c r="G27" s="2"/>
      <x:c r="H27" s="2"/>
      <x:c r="I27" s="2"/>
    </x:row>
    <x:row r="28" ht="26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6" customHeight="1">
      <x:c r="A29" s="2" t="str">
        <x:v>C: MU2024 identifica la cohorte 2024; MU2025 permite observar su continuidad y definir la cohorte 2025.</x:v>
      </x:c>
      <x:c r="B29" s="2"/>
      <x:c r="C29" s="2"/>
      <x:c r="D29" s="2"/>
      <x:c r="E29" s="2"/>
      <x:c r="F29" s="2"/>
      <x:c r="G29" s="2"/>
      <x:c r="H29" s="2"/>
      <x:c r="I29" s="2"/>
    </x:row>
    <x:row r="30" ht="26" customHeight="1">
      <x:c r="A30" s="2" t="str">
        <x:v>C: MU2026 permite observar continuidad de la cohorte 2025. Ninguna MU anual sustituye por sí sola un cierre T2/T3.</x:v>
      </x:c>
      <x:c r="B30" s="2"/>
      <x:c r="C30" s="2"/>
      <x:c r="D30" s="2"/>
      <x:c r="E30" s="2"/>
      <x:c r="F30" s="2"/>
      <x:c r="G30" s="2"/>
      <x:c r="H30" s="2"/>
      <x:c r="I30" s="2"/>
    </x:row>
    <x:row r="31" ht="26" customHeight="1">
      <x:c r="A31" s="2" t="str">
        <x:v>E: que la MU siguiente incluya todos los ingresos T1/T2/T3 previos es una hipótesis a comprobar, no una cobertura demostrada.</x:v>
      </x:c>
      <x:c r="B31" s="2"/>
      <x:c r="C31" s="2"/>
      <x:c r="D31" s="2"/>
      <x:c r="E31" s="2"/>
      <x:c r="F31" s="2"/>
      <x:c r="G31" s="2"/>
      <x:c r="H31" s="2"/>
      <x:c r="I31" s="2"/>
    </x:row>
    <x:row r="32" ht="26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6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6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6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6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6" customHeight="1">
      <x:c r="A37" s="2"/>
      <x:c r="B37" s="2"/>
      <x:c r="C37" s="2"/>
      <x:c r="D37" s="2"/>
      <x:c r="E37" s="2"/>
      <x:c r="F37" s="2"/>
      <x:c r="G37" s="2"/>
      <x:c r="H37" s="2"/>
      <x:c r="I37" s="2"/>
    </x:row>
  </x:sheetData>
  <x:dataValidations count="1">
    <x:dataValidation type="list" sqref="H4">
      <x:formula1>CarrerasRevisionIntermedia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ed81931121e542df"/>
    <x:tablePart xmlns:r="http://schemas.openxmlformats.org/officeDocument/2006/relationships" r:id="Rf90c62f70405464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6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6" customHeight="1">
      <x:c r="A2" s="3" t="str">
        <x:v>Detalle por carrera de origen y cohorte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6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2" t="str">
        <x:v>B/C: se conservan los conteos del cruce verificado. E: tasas pendientes hasta acreditar fecha y cobertura de los cierres.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6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52" customHeight="1">
      <x:c r="A6" s="9" t="str">
        <x:v>Cohorte</x:v>
      </x:c>
      <x:c r="B6" s="9" t="str">
        <x:v>Carrera de origen</x:v>
      </x:c>
      <x:c r="C6" s="9" t="str">
        <x:v>Candidatos MU</x:v>
      </x:c>
      <x:c r="D6" s="9" t="str">
        <x:v>Referencia anual</x:v>
      </x:c>
      <x:c r="E6" s="9" t="str">
        <x:v>Sin llave comparable</x:v>
      </x:c>
      <x:c r="F6" s="9" t="str">
        <x:v>Localizados T2</x:v>
      </x:c>
      <x:c r="G6" s="9" t="str">
        <x:v>VIGENTE T2</x:v>
      </x:c>
      <x:c r="H6" s="9" t="str">
        <x:v>Localizados T3</x:v>
      </x:c>
      <x:c r="I6" s="9" t="str">
        <x:v>VIGENTE T3</x:v>
      </x:c>
      <x:c r="J6" s="9" t="str">
        <x:v>Tasa T2 (E)</x:v>
      </x:c>
      <x:c r="K6" s="9" t="str">
        <x:v>Tasa T3 (E)</x:v>
      </x:c>
    </x:row>
    <x:row r="7" ht="28" customHeight="1">
      <x:c r="A7" s="18" t="n">
        <x:v>2024</x:v>
      </x:c>
      <x:c r="B7" s="2" t="str">
        <x:v>INGENIERIA EN ADMINISTRACION DE EMPRESAS</x:v>
      </x:c>
      <x:c r="C7" s="11" t="n">
        <x:v>16</x:v>
      </x:c>
      <x:c r="D7" s="11" t="n">
        <x:v>8</x:v>
      </x:c>
      <x:c r="E7" s="11" t="n">
        <x:v>0</x:v>
      </x:c>
      <x:c r="F7" s="11" t="n">
        <x:v>0</x:v>
      </x:c>
      <x:c r="G7" s="11" t="n">
        <x:v>0</x:v>
      </x:c>
      <x:c r="H7" s="11" t="n">
        <x:v>3</x:v>
      </x:c>
      <x:c r="I7" s="11" t="n">
        <x:v>3</x:v>
      </x:c>
      <x:c r="J7" s="10" t="str">
        <x:v>Pendiente</x:v>
      </x:c>
      <x:c r="K7" s="10" t="str">
        <x:v>Pendiente</x:v>
      </x:c>
    </x:row>
    <x:row r="8" ht="28" customHeight="1">
      <x:c r="A8" s="18" t="n">
        <x:v>2024</x:v>
      </x:c>
      <x:c r="B8" s="2" t="str">
        <x:v>INGENIERIA EN CIBERSEGURIDAD</x:v>
      </x:c>
      <x:c r="C8" s="11" t="n">
        <x:v>99</x:v>
      </x:c>
      <x:c r="D8" s="11" t="n">
        <x:v>89</x:v>
      </x:c>
      <x:c r="E8" s="11" t="n">
        <x:v>0</x:v>
      </x:c>
      <x:c r="F8" s="11" t="n">
        <x:v>0</x:v>
      </x:c>
      <x:c r="G8" s="11" t="n">
        <x:v>0</x:v>
      </x:c>
      <x:c r="H8" s="11" t="n">
        <x:v>49</x:v>
      </x:c>
      <x:c r="I8" s="11" t="n">
        <x:v>48</x:v>
      </x:c>
      <x:c r="J8" s="10" t="str">
        <x:v>Pendiente</x:v>
      </x:c>
      <x:c r="K8" s="10" t="str">
        <x:v>Pendiente</x:v>
      </x:c>
    </x:row>
    <x:row r="9" ht="28" customHeight="1">
      <x:c r="A9" s="18" t="n">
        <x:v>2024</x:v>
      </x:c>
      <x:c r="B9" s="2" t="str">
        <x:v>INGENIERIA EN CONECTIVIDAD Y REDES</x:v>
      </x:c>
      <x:c r="C9" s="11" t="n">
        <x:v>76</x:v>
      </x:c>
      <x:c r="D9" s="11" t="n">
        <x:v>68</x:v>
      </x:c>
      <x:c r="E9" s="11" t="n">
        <x:v>0</x:v>
      </x:c>
      <x:c r="F9" s="11" t="n">
        <x:v>0</x:v>
      </x:c>
      <x:c r="G9" s="11" t="n">
        <x:v>0</x:v>
      </x:c>
      <x:c r="H9" s="11" t="n">
        <x:v>46</x:v>
      </x:c>
      <x:c r="I9" s="11" t="n">
        <x:v>45</x:v>
      </x:c>
      <x:c r="J9" s="10" t="str">
        <x:v>Pendiente</x:v>
      </x:c>
      <x:c r="K9" s="10" t="str">
        <x:v>Pendiente</x:v>
      </x:c>
    </x:row>
    <x:row r="10" ht="28" customHeight="1">
      <x:c r="A10" s="18" t="n">
        <x:v>2024</x:v>
      </x:c>
      <x:c r="B10" s="2" t="str">
        <x:v>INGENIERIA EN INFORMATICA</x:v>
      </x:c>
      <x:c r="C10" s="11" t="n">
        <x:v>114</x:v>
      </x:c>
      <x:c r="D10" s="11" t="n">
        <x:v>107</x:v>
      </x:c>
      <x:c r="E10" s="11" t="n">
        <x:v>0</x:v>
      </x:c>
      <x:c r="F10" s="11" t="n">
        <x:v>0</x:v>
      </x:c>
      <x:c r="G10" s="11" t="n">
        <x:v>0</x:v>
      </x:c>
      <x:c r="H10" s="11" t="n">
        <x:v>72</x:v>
      </x:c>
      <x:c r="I10" s="11" t="n">
        <x:v>68</x:v>
      </x:c>
      <x:c r="J10" s="10" t="str">
        <x:v>Pendiente</x:v>
      </x:c>
      <x:c r="K10" s="10" t="str">
        <x:v>Pendiente</x:v>
      </x:c>
    </x:row>
    <x:row r="11" ht="28" customHeight="1">
      <x:c r="A11" s="18" t="n">
        <x:v>2024</x:v>
      </x:c>
      <x:c r="B11" s="2" t="str">
        <x:v>INGENIERIA EN LOGISTICA</x:v>
      </x:c>
      <x:c r="C11" s="11" t="n">
        <x:v>18</x:v>
      </x:c>
      <x:c r="D11" s="11" t="n">
        <x:v>15</x:v>
      </x:c>
      <x:c r="E11" s="11" t="n">
        <x:v>0</x:v>
      </x:c>
      <x:c r="F11" s="11" t="n">
        <x:v>0</x:v>
      </x:c>
      <x:c r="G11" s="11" t="n">
        <x:v>0</x:v>
      </x:c>
      <x:c r="H11" s="11" t="n">
        <x:v>7</x:v>
      </x:c>
      <x:c r="I11" s="11" t="n">
        <x:v>6</x:v>
      </x:c>
      <x:c r="J11" s="10" t="str">
        <x:v>Pendiente</x:v>
      </x:c>
      <x:c r="K11" s="10" t="str">
        <x:v>Pendiente</x:v>
      </x:c>
    </x:row>
    <x:row r="12" ht="28" customHeight="1">
      <x:c r="A12" s="18" t="n">
        <x:v>2024</x:v>
      </x:c>
      <x:c r="B12" s="2" t="str">
        <x:v>TECNICO EN ADMINISTRACION DE EMPRESAS</x:v>
      </x:c>
      <x:c r="C12" s="11" t="n">
        <x:v>24</x:v>
      </x:c>
      <x:c r="D12" s="11" t="n">
        <x:v>15</x:v>
      </x:c>
      <x:c r="E12" s="11" t="n">
        <x:v>0</x:v>
      </x:c>
      <x:c r="F12" s="11" t="n">
        <x:v>0</x:v>
      </x:c>
      <x:c r="G12" s="11" t="n">
        <x:v>0</x:v>
      </x:c>
      <x:c r="H12" s="11" t="n">
        <x:v>7</x:v>
      </x:c>
      <x:c r="I12" s="11" t="n">
        <x:v>7</x:v>
      </x:c>
      <x:c r="J12" s="10" t="str">
        <x:v>Pendiente</x:v>
      </x:c>
      <x:c r="K12" s="10" t="str">
        <x:v>Pendiente</x:v>
      </x:c>
    </x:row>
    <x:row r="13" ht="28" customHeight="1">
      <x:c r="A13" s="18" t="n">
        <x:v>2024</x:v>
      </x:c>
      <x:c r="B13" s="2" t="str">
        <x:v>TECNICO EN AUTOMATIZACION Y CONTROL INDUSTRIAL</x:v>
      </x:c>
      <x:c r="C13" s="11" t="n">
        <x:v>1</x:v>
      </x:c>
      <x:c r="D13" s="11" t="n">
        <x:v>0</x:v>
      </x:c>
      <x:c r="E13" s="11" t="n">
        <x:v>0</x:v>
      </x:c>
      <x:c r="F13" s="11" t="n">
        <x:v>0</x:v>
      </x:c>
      <x:c r="G13" s="11" t="n">
        <x:v>0</x:v>
      </x:c>
      <x:c r="H13" s="11" t="n">
        <x:v>0</x:v>
      </x:c>
      <x:c r="I13" s="11" t="n">
        <x:v>0</x:v>
      </x:c>
      <x:c r="J13" s="10" t="str">
        <x:v>Pendiente</x:v>
      </x:c>
      <x:c r="K13" s="10" t="str">
        <x:v>Pendiente</x:v>
      </x:c>
    </x:row>
    <x:row r="14" ht="28" customHeight="1">
      <x:c r="A14" s="18" t="n">
        <x:v>2024</x:v>
      </x:c>
      <x:c r="B14" s="2" t="str">
        <x:v>TECNICO EN CIBERSEGURIDAD</x:v>
      </x:c>
      <x:c r="C14" s="11" t="n">
        <x:v>79</x:v>
      </x:c>
      <x:c r="D14" s="11" t="n">
        <x:v>71</x:v>
      </x:c>
      <x:c r="E14" s="11" t="n">
        <x:v>0</x:v>
      </x:c>
      <x:c r="F14" s="11" t="n">
        <x:v>0</x:v>
      </x:c>
      <x:c r="G14" s="11" t="n">
        <x:v>0</x:v>
      </x:c>
      <x:c r="H14" s="11" t="n">
        <x:v>37</x:v>
      </x:c>
      <x:c r="I14" s="11" t="n">
        <x:v>36</x:v>
      </x:c>
      <x:c r="J14" s="10" t="str">
        <x:v>Pendiente</x:v>
      </x:c>
      <x:c r="K14" s="10" t="str">
        <x:v>Pendiente</x:v>
      </x:c>
    </x:row>
    <x:row r="15" ht="28" customHeight="1">
      <x:c r="A15" s="18" t="n">
        <x:v>2024</x:v>
      </x:c>
      <x:c r="B15" s="2" t="str">
        <x:v>TECNICO EN CONECTIVIDAD Y REDES</x:v>
      </x:c>
      <x:c r="C15" s="11" t="n">
        <x:v>30</x:v>
      </x:c>
      <x:c r="D15" s="11" t="n">
        <x:v>25</x:v>
      </x:c>
      <x:c r="E15" s="11" t="n">
        <x:v>0</x:v>
      </x:c>
      <x:c r="F15" s="11" t="n">
        <x:v>0</x:v>
      </x:c>
      <x:c r="G15" s="11" t="n">
        <x:v>0</x:v>
      </x:c>
      <x:c r="H15" s="11" t="n">
        <x:v>6</x:v>
      </x:c>
      <x:c r="I15" s="11" t="n">
        <x:v>6</x:v>
      </x:c>
      <x:c r="J15" s="10" t="str">
        <x:v>Pendiente</x:v>
      </x:c>
      <x:c r="K15" s="10" t="str">
        <x:v>Pendiente</x:v>
      </x:c>
    </x:row>
    <x:row r="16" ht="28" customHeight="1">
      <x:c r="A16" s="18" t="n">
        <x:v>2024</x:v>
      </x:c>
      <x:c r="B16" s="2" t="str">
        <x:v>TECNICO EN LOGISTICA</x:v>
      </x:c>
      <x:c r="C16" s="11" t="n">
        <x:v>32</x:v>
      </x:c>
      <x:c r="D16" s="11" t="n">
        <x:v>23</x:v>
      </x:c>
      <x:c r="E16" s="11" t="n">
        <x:v>0</x:v>
      </x:c>
      <x:c r="F16" s="11" t="n">
        <x:v>0</x:v>
      </x:c>
      <x:c r="G16" s="11" t="n">
        <x:v>0</x:v>
      </x:c>
      <x:c r="H16" s="11" t="n">
        <x:v>10</x:v>
      </x:c>
      <x:c r="I16" s="11" t="n">
        <x:v>10</x:v>
      </x:c>
      <x:c r="J16" s="10" t="str">
        <x:v>Pendiente</x:v>
      </x:c>
      <x:c r="K16" s="10" t="str">
        <x:v>Pendiente</x:v>
      </x:c>
    </x:row>
    <x:row r="17" ht="28" customHeight="1">
      <x:c r="A17" s="18" t="n">
        <x:v>2024</x:v>
      </x:c>
      <x:c r="B17" s="2" t="str">
        <x:v>TECNICO EN PROGRAMACION Y ANALISIS DE SISTEMAS</x:v>
      </x:c>
      <x:c r="C17" s="11" t="n">
        <x:v>147</x:v>
      </x:c>
      <x:c r="D17" s="11" t="n">
        <x:v>137</x:v>
      </x:c>
      <x:c r="E17" s="11" t="n">
        <x:v>0</x:v>
      </x:c>
      <x:c r="F17" s="11" t="n">
        <x:v>1</x:v>
      </x:c>
      <x:c r="G17" s="11" t="n">
        <x:v>1</x:v>
      </x:c>
      <x:c r="H17" s="11" t="n">
        <x:v>88</x:v>
      </x:c>
      <x:c r="I17" s="11" t="n">
        <x:v>88</x:v>
      </x:c>
      <x:c r="J17" s="10" t="str">
        <x:v>Pendiente</x:v>
      </x:c>
      <x:c r="K17" s="10" t="str">
        <x:v>Pendiente</x:v>
      </x:c>
    </x:row>
    <x:row r="18" ht="28" customHeight="1">
      <x:c r="A18" s="18" t="n">
        <x:v>2025</x:v>
      </x:c>
      <x:c r="B18" s="2" t="str">
        <x:v>ADMINISTRACION PUBLICA</x:v>
      </x:c>
      <x:c r="C18" s="11" t="n">
        <x:v>70</x:v>
      </x:c>
      <x:c r="D18" s="11" t="n">
        <x:v>70</x:v>
      </x:c>
      <x:c r="E18" s="11" t="n">
        <x:v>0</x:v>
      </x:c>
      <x:c r="F18" s="11" t="n">
        <x:v>0</x:v>
      </x:c>
      <x:c r="G18" s="11" t="str">
        <x:v>n.d.</x:v>
      </x:c>
      <x:c r="H18" s="11" t="n">
        <x:v>0</x:v>
      </x:c>
      <x:c r="I18" s="11" t="n">
        <x:v>0</x:v>
      </x:c>
      <x:c r="J18" s="10" t="str">
        <x:v>Pendiente</x:v>
      </x:c>
      <x:c r="K18" s="10" t="str">
        <x:v>Pendiente</x:v>
      </x:c>
    </x:row>
    <x:row r="19" ht="28" customHeight="1">
      <x:c r="A19" s="18" t="n">
        <x:v>2025</x:v>
      </x:c>
      <x:c r="B19" s="2" t="str">
        <x:v>AUDITORIA</x:v>
      </x:c>
      <x:c r="C19" s="11" t="n">
        <x:v>41</x:v>
      </x:c>
      <x:c r="D19" s="11" t="n">
        <x:v>40</x:v>
      </x:c>
      <x:c r="E19" s="11" t="n">
        <x:v>0</x:v>
      </x:c>
      <x:c r="F19" s="11" t="n">
        <x:v>0</x:v>
      </x:c>
      <x:c r="G19" s="11" t="str">
        <x:v>n.d.</x:v>
      </x:c>
      <x:c r="H19" s="11" t="n">
        <x:v>0</x:v>
      </x:c>
      <x:c r="I19" s="11" t="n">
        <x:v>0</x:v>
      </x:c>
      <x:c r="J19" s="10" t="str">
        <x:v>Pendiente</x:v>
      </x:c>
      <x:c r="K19" s="10" t="str">
        <x:v>Pendiente</x:v>
      </x:c>
    </x:row>
    <x:row r="20" ht="28" customHeight="1">
      <x:c r="A20" s="18" t="n">
        <x:v>2025</x:v>
      </x:c>
      <x:c r="B20" s="2" t="str">
        <x:v>CONTABILIDAD GENERAL</x:v>
      </x:c>
      <x:c r="C20" s="11" t="n">
        <x:v>38</x:v>
      </x:c>
      <x:c r="D20" s="11" t="n">
        <x:v>38</x:v>
      </x:c>
      <x:c r="E20" s="11" t="n">
        <x:v>0</x:v>
      </x:c>
      <x:c r="F20" s="11" t="n">
        <x:v>1</x:v>
      </x:c>
      <x:c r="G20" s="11" t="str">
        <x:v>n.d.</x:v>
      </x:c>
      <x:c r="H20" s="11" t="n">
        <x:v>0</x:v>
      </x:c>
      <x:c r="I20" s="11" t="n">
        <x:v>0</x:v>
      </x:c>
      <x:c r="J20" s="10" t="str">
        <x:v>Pendiente</x:v>
      </x:c>
      <x:c r="K20" s="10" t="str">
        <x:v>Pendiente</x:v>
      </x:c>
    </x:row>
    <x:row r="21" ht="28" customHeight="1">
      <x:c r="A21" s="18" t="n">
        <x:v>2025</x:v>
      </x:c>
      <x:c r="B21" s="2" t="str">
        <x:v>INGENIERIA EN ADMINISTRACION DE EMPRESAS</x:v>
      </x:c>
      <x:c r="C21" s="11" t="n">
        <x:v>100</x:v>
      </x:c>
      <x:c r="D21" s="11" t="n">
        <x:v>91</x:v>
      </x:c>
      <x:c r="E21" s="11" t="n">
        <x:v>1</x:v>
      </x:c>
      <x:c r="F21" s="11" t="n">
        <x:v>0</x:v>
      </x:c>
      <x:c r="G21" s="11" t="str">
        <x:v>n.d.</x:v>
      </x:c>
      <x:c r="H21" s="11" t="n">
        <x:v>0</x:v>
      </x:c>
      <x:c r="I21" s="11" t="n">
        <x:v>0</x:v>
      </x:c>
      <x:c r="J21" s="10" t="str">
        <x:v>Pendiente</x:v>
      </x:c>
      <x:c r="K21" s="10" t="str">
        <x:v>Pendiente</x:v>
      </x:c>
    </x:row>
    <x:row r="22" ht="28" customHeight="1">
      <x:c r="A22" s="18" t="n">
        <x:v>2025</x:v>
      </x:c>
      <x:c r="B22" s="2" t="str">
        <x:v>INGENIERIA EN CIBERSEGURIDAD</x:v>
      </x:c>
      <x:c r="C22" s="11" t="n">
        <x:v>122</x:v>
      </x:c>
      <x:c r="D22" s="11" t="n">
        <x:v>102</x:v>
      </x:c>
      <x:c r="E22" s="11" t="n">
        <x:v>0</x:v>
      </x:c>
      <x:c r="F22" s="11" t="n">
        <x:v>0</x:v>
      </x:c>
      <x:c r="G22" s="11" t="str">
        <x:v>n.d.</x:v>
      </x:c>
      <x:c r="H22" s="11" t="n">
        <x:v>0</x:v>
      </x:c>
      <x:c r="I22" s="11" t="n">
        <x:v>0</x:v>
      </x:c>
      <x:c r="J22" s="10" t="str">
        <x:v>Pendiente</x:v>
      </x:c>
      <x:c r="K22" s="10" t="str">
        <x:v>Pendiente</x:v>
      </x:c>
    </x:row>
    <x:row r="23" ht="28" customHeight="1">
      <x:c r="A23" s="18" t="n">
        <x:v>2025</x:v>
      </x:c>
      <x:c r="B23" s="2" t="str">
        <x:v>INGENIERIA EN CIENCIA DE DATOS</x:v>
      </x:c>
      <x:c r="C23" s="11" t="n">
        <x:v>42</x:v>
      </x:c>
      <x:c r="D23" s="11" t="n">
        <x:v>40</x:v>
      </x:c>
      <x:c r="E23" s="11" t="n">
        <x:v>0</x:v>
      </x:c>
      <x:c r="F23" s="11" t="n">
        <x:v>0</x:v>
      </x:c>
      <x:c r="G23" s="11" t="str">
        <x:v>n.d.</x:v>
      </x:c>
      <x:c r="H23" s="11" t="n">
        <x:v>0</x:v>
      </x:c>
      <x:c r="I23" s="11" t="n">
        <x:v>0</x:v>
      </x:c>
      <x:c r="J23" s="10" t="str">
        <x:v>Pendiente</x:v>
      </x:c>
      <x:c r="K23" s="10" t="str">
        <x:v>Pendiente</x:v>
      </x:c>
    </x:row>
    <x:row r="24" ht="28" customHeight="1">
      <x:c r="A24" s="18" t="n">
        <x:v>2025</x:v>
      </x:c>
      <x:c r="B24" s="2" t="str">
        <x:v>INGENIERIA EN CONECTIVIDAD Y REDES</x:v>
      </x:c>
      <x:c r="C24" s="11" t="n">
        <x:v>67</x:v>
      </x:c>
      <x:c r="D24" s="11" t="n">
        <x:v>63</x:v>
      </x:c>
      <x:c r="E24" s="11" t="n">
        <x:v>0</x:v>
      </x:c>
      <x:c r="F24" s="11" t="n">
        <x:v>0</x:v>
      </x:c>
      <x:c r="G24" s="11" t="str">
        <x:v>n.d.</x:v>
      </x:c>
      <x:c r="H24" s="11" t="n">
        <x:v>0</x:v>
      </x:c>
      <x:c r="I24" s="11" t="n">
        <x:v>0</x:v>
      </x:c>
      <x:c r="J24" s="10" t="str">
        <x:v>Pendiente</x:v>
      </x:c>
      <x:c r="K24" s="10" t="str">
        <x:v>Pendiente</x:v>
      </x:c>
    </x:row>
    <x:row r="25" ht="28" customHeight="1">
      <x:c r="A25" s="18" t="n">
        <x:v>2025</x:v>
      </x:c>
      <x:c r="B25" s="2" t="str">
        <x:v>INGENIERIA EN INFORMATICA</x:v>
      </x:c>
      <x:c r="C25" s="11" t="n">
        <x:v>131</x:v>
      </x:c>
      <x:c r="D25" s="11" t="n">
        <x:v>118</x:v>
      </x:c>
      <x:c r="E25" s="11" t="n">
        <x:v>4</x:v>
      </x:c>
      <x:c r="F25" s="11" t="n">
        <x:v>0</x:v>
      </x:c>
      <x:c r="G25" s="11" t="str">
        <x:v>n.d.</x:v>
      </x:c>
      <x:c r="H25" s="11" t="n">
        <x:v>0</x:v>
      </x:c>
      <x:c r="I25" s="11" t="n">
        <x:v>0</x:v>
      </x:c>
      <x:c r="J25" s="10" t="str">
        <x:v>Pendiente</x:v>
      </x:c>
      <x:c r="K25" s="10" t="str">
        <x:v>Pendiente</x:v>
      </x:c>
    </x:row>
    <x:row r="26" ht="28" customHeight="1">
      <x:c r="A26" s="18" t="n">
        <x:v>2025</x:v>
      </x:c>
      <x:c r="B26" s="2" t="str">
        <x:v>INGENIERIA EN LOGISTICA</x:v>
      </x:c>
      <x:c r="C26" s="11" t="n">
        <x:v>66</x:v>
      </x:c>
      <x:c r="D26" s="11" t="n">
        <x:v>61</x:v>
      </x:c>
      <x:c r="E26" s="11" t="n">
        <x:v>0</x:v>
      </x:c>
      <x:c r="F26" s="11" t="n">
        <x:v>0</x:v>
      </x:c>
      <x:c r="G26" s="11" t="str">
        <x:v>n.d.</x:v>
      </x:c>
      <x:c r="H26" s="11" t="n">
        <x:v>0</x:v>
      </x:c>
      <x:c r="I26" s="11" t="n">
        <x:v>0</x:v>
      </x:c>
      <x:c r="J26" s="10" t="str">
        <x:v>Pendiente</x:v>
      </x:c>
      <x:c r="K26" s="10" t="str">
        <x:v>Pendiente</x:v>
      </x:c>
    </x:row>
    <x:row r="27" ht="28" customHeight="1">
      <x:c r="A27" s="18" t="n">
        <x:v>2025</x:v>
      </x:c>
      <x:c r="B27" s="2" t="str">
        <x:v>TECNICO EN ADMINISTRACION DE EMPRESAS</x:v>
      </x:c>
      <x:c r="C27" s="11" t="n">
        <x:v>76</x:v>
      </x:c>
      <x:c r="D27" s="11" t="n">
        <x:v>73</x:v>
      </x:c>
      <x:c r="E27" s="11" t="n">
        <x:v>2</x:v>
      </x:c>
      <x:c r="F27" s="11" t="n">
        <x:v>0</x:v>
      </x:c>
      <x:c r="G27" s="11" t="str">
        <x:v>n.d.</x:v>
      </x:c>
      <x:c r="H27" s="11" t="n">
        <x:v>0</x:v>
      </x:c>
      <x:c r="I27" s="11" t="n">
        <x:v>0</x:v>
      </x:c>
      <x:c r="J27" s="10" t="str">
        <x:v>Pendiente</x:v>
      </x:c>
      <x:c r="K27" s="10" t="str">
        <x:v>Pendiente</x:v>
      </x:c>
    </x:row>
    <x:row r="28" ht="28" customHeight="1">
      <x:c r="A28" s="18" t="n">
        <x:v>2025</x:v>
      </x:c>
      <x:c r="B28" s="2" t="str">
        <x:v>TECNICO EN ADMINISTRACION PUBLICA</x:v>
      </x:c>
      <x:c r="C28" s="11" t="n">
        <x:v>22</x:v>
      </x:c>
      <x:c r="D28" s="11" t="n">
        <x:v>22</x:v>
      </x:c>
      <x:c r="E28" s="11" t="n">
        <x:v>0</x:v>
      </x:c>
      <x:c r="F28" s="11" t="n">
        <x:v>0</x:v>
      </x:c>
      <x:c r="G28" s="11" t="str">
        <x:v>n.d.</x:v>
      </x:c>
      <x:c r="H28" s="11" t="n">
        <x:v>0</x:v>
      </x:c>
      <x:c r="I28" s="11" t="n">
        <x:v>0</x:v>
      </x:c>
      <x:c r="J28" s="10" t="str">
        <x:v>Pendiente</x:v>
      </x:c>
      <x:c r="K28" s="10" t="str">
        <x:v>Pendiente</x:v>
      </x:c>
    </x:row>
    <x:row r="29" ht="28" customHeight="1">
      <x:c r="A29" s="18" t="n">
        <x:v>2025</x:v>
      </x:c>
      <x:c r="B29" s="2" t="str">
        <x:v>TECNICO EN CIBERSEGURIDAD</x:v>
      </x:c>
      <x:c r="C29" s="11" t="n">
        <x:v>85</x:v>
      </x:c>
      <x:c r="D29" s="11" t="n">
        <x:v>80</x:v>
      </x:c>
      <x:c r="E29" s="11" t="n">
        <x:v>0</x:v>
      </x:c>
      <x:c r="F29" s="11" t="n">
        <x:v>0</x:v>
      </x:c>
      <x:c r="G29" s="11" t="str">
        <x:v>n.d.</x:v>
      </x:c>
      <x:c r="H29" s="11" t="n">
        <x:v>0</x:v>
      </x:c>
      <x:c r="I29" s="11" t="n">
        <x:v>0</x:v>
      </x:c>
      <x:c r="J29" s="10" t="str">
        <x:v>Pendiente</x:v>
      </x:c>
      <x:c r="K29" s="10" t="str">
        <x:v>Pendiente</x:v>
      </x:c>
    </x:row>
    <x:row r="30" ht="28" customHeight="1">
      <x:c r="A30" s="18" t="n">
        <x:v>2025</x:v>
      </x:c>
      <x:c r="B30" s="2" t="str">
        <x:v>TECNICO EN CIENCIA DE DATOS</x:v>
      </x:c>
      <x:c r="C30" s="11" t="n">
        <x:v>23</x:v>
      </x:c>
      <x:c r="D30" s="11" t="n">
        <x:v>23</x:v>
      </x:c>
      <x:c r="E30" s="11" t="n">
        <x:v>0</x:v>
      </x:c>
      <x:c r="F30" s="11" t="n">
        <x:v>0</x:v>
      </x:c>
      <x:c r="G30" s="11" t="str">
        <x:v>n.d.</x:v>
      </x:c>
      <x:c r="H30" s="11" t="n">
        <x:v>0</x:v>
      </x:c>
      <x:c r="I30" s="11" t="n">
        <x:v>0</x:v>
      </x:c>
      <x:c r="J30" s="10" t="str">
        <x:v>Pendiente</x:v>
      </x:c>
      <x:c r="K30" s="10" t="str">
        <x:v>Pendiente</x:v>
      </x:c>
    </x:row>
    <x:row r="31" ht="28" customHeight="1">
      <x:c r="A31" s="18" t="n">
        <x:v>2025</x:v>
      </x:c>
      <x:c r="B31" s="2" t="str">
        <x:v>TECNICO EN CONECTIVIDAD Y REDES</x:v>
      </x:c>
      <x:c r="C31" s="11" t="n">
        <x:v>45</x:v>
      </x:c>
      <x:c r="D31" s="11" t="n">
        <x:v>42</x:v>
      </x:c>
      <x:c r="E31" s="11" t="n">
        <x:v>0</x:v>
      </x:c>
      <x:c r="F31" s="11" t="n">
        <x:v>0</x:v>
      </x:c>
      <x:c r="G31" s="11" t="str">
        <x:v>n.d.</x:v>
      </x:c>
      <x:c r="H31" s="11" t="n">
        <x:v>0</x:v>
      </x:c>
      <x:c r="I31" s="11" t="n">
        <x:v>0</x:v>
      </x:c>
      <x:c r="J31" s="10" t="str">
        <x:v>Pendiente</x:v>
      </x:c>
      <x:c r="K31" s="10" t="str">
        <x:v>Pendiente</x:v>
      </x:c>
    </x:row>
    <x:row r="32" ht="28" customHeight="1">
      <x:c r="A32" s="18" t="n">
        <x:v>2025</x:v>
      </x:c>
      <x:c r="B32" s="2" t="str">
        <x:v>TECNICO EN ENFERMERIA</x:v>
      </x:c>
      <x:c r="C32" s="11" t="n">
        <x:v>78</x:v>
      </x:c>
      <x:c r="D32" s="11" t="n">
        <x:v>75</x:v>
      </x:c>
      <x:c r="E32" s="11" t="n">
        <x:v>9</x:v>
      </x:c>
      <x:c r="F32" s="11" t="n">
        <x:v>0</x:v>
      </x:c>
      <x:c r="G32" s="11" t="str">
        <x:v>n.d.</x:v>
      </x:c>
      <x:c r="H32" s="11" t="n">
        <x:v>0</x:v>
      </x:c>
      <x:c r="I32" s="11" t="n">
        <x:v>0</x:v>
      </x:c>
      <x:c r="J32" s="10" t="str">
        <x:v>Pendiente</x:v>
      </x:c>
      <x:c r="K32" s="10" t="str">
        <x:v>Pendiente</x:v>
      </x:c>
    </x:row>
    <x:row r="33" ht="28" customHeight="1">
      <x:c r="A33" s="18" t="n">
        <x:v>2025</x:v>
      </x:c>
      <x:c r="B33" s="2" t="str">
        <x:v>TECNICO EN LOGISTICA</x:v>
      </x:c>
      <x:c r="C33" s="11" t="n">
        <x:v>86</x:v>
      </x:c>
      <x:c r="D33" s="11" t="n">
        <x:v>82</x:v>
      </x:c>
      <x:c r="E33" s="11" t="n">
        <x:v>1</x:v>
      </x:c>
      <x:c r="F33" s="11" t="n">
        <x:v>0</x:v>
      </x:c>
      <x:c r="G33" s="11" t="str">
        <x:v>n.d.</x:v>
      </x:c>
      <x:c r="H33" s="11" t="n">
        <x:v>0</x:v>
      </x:c>
      <x:c r="I33" s="11" t="n">
        <x:v>0</x:v>
      </x:c>
      <x:c r="J33" s="10" t="str">
        <x:v>Pendiente</x:v>
      </x:c>
      <x:c r="K33" s="10" t="str">
        <x:v>Pendiente</x:v>
      </x:c>
    </x:row>
    <x:row r="34" ht="28" customHeight="1">
      <x:c r="A34" s="18" t="n">
        <x:v>2025</x:v>
      </x:c>
      <x:c r="B34" s="2" t="str">
        <x:v>TECNICO EN PROGRAMACION Y ANALISIS DE SISTEMAS</x:v>
      </x:c>
      <x:c r="C34" s="11" t="n">
        <x:v>163</x:v>
      </x:c>
      <x:c r="D34" s="11" t="n">
        <x:v>130</x:v>
      </x:c>
      <x:c r="E34" s="11" t="n">
        <x:v>3</x:v>
      </x:c>
      <x:c r="F34" s="11" t="n">
        <x:v>1</x:v>
      </x:c>
      <x:c r="G34" s="11" t="str">
        <x:v>n.d.</x:v>
      </x:c>
      <x:c r="H34" s="11" t="n">
        <x:v>0</x:v>
      </x:c>
      <x:c r="I34" s="11" t="n">
        <x:v>0</x:v>
      </x:c>
      <x:c r="J34" s="10" t="str">
        <x:v>Pendiente</x:v>
      </x:c>
      <x:c r="K34" s="10" t="str">
        <x:v>Pendiente</x:v>
      </x:c>
    </x:row>
    <x:row r="35" ht="26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6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6" customHeight="1">
      <x:c r="A37" s="2" t="str">
        <x:v>C: procedencia única: libro de revisión 20-10-2026, Por_carrera!A7:I34. Ruta y SHA-256 en Fuentes_y_alcance.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6" customHeight="1">
      <x:c r="A38" s="2" t="str">
        <x:v>E: los 20 documentos sin llave comparable de la cohorte 2025 no se cuentan como ausencia.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6" customHeight="1">
      <x:c r="A39" s="2" t="str">
        <x:v>E: cobertura no acreditada no significa pérdida de datos demostrada. Los ceros indican ausencia en el archivo consultado.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6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6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6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26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6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26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</x:sheetData>
  <x:pageMargins left="0.7" right="0.7" top="0.75" bottom="0.75" header="0.3" footer="0.3"/>
  <x:tableParts count="1">
    <x:tablePart xmlns:r="http://schemas.openxmlformats.org/officeDocument/2006/relationships" r:id="R38ea8b326a8a415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47" hidden="0" customWidth="1"/>
    <x:col min="3" max="3" width="36" hidden="0" customWidth="1"/>
    <x:col min="4" max="4" width="73" hidden="0" customWidth="1"/>
    <x:col min="5" max="5" width="70" hidden="0" customWidth="1"/>
    <x:col min="6" max="6" width="30" hidden="0" customWidth="1"/>
    <x:col min="8" max="8" width="58" hidden="0" customWidth="1"/>
  </x:cols>
  <x:sheetData>
    <x:row r="1" ht="26" customHeight="1">
      <x:c r="A1" s="2"/>
      <x:c r="B1" s="2"/>
      <x:c r="C1" s="2"/>
      <x:c r="D1" s="2"/>
      <x:c r="E1" s="2"/>
      <x:c r="F1" s="2"/>
    </x:row>
    <x:row r="2" ht="26" customHeight="1">
      <x:c r="A2" s="3" t="str">
        <x:v>Fuentes y alcance de los resultados</x:v>
      </x:c>
      <x:c r="B2" s="2"/>
      <x:c r="C2" s="2"/>
      <x:c r="D2" s="2"/>
      <x:c r="E2" s="2"/>
      <x:c r="F2" s="2"/>
    </x:row>
    <x:row r="3" ht="26" customHeight="1">
      <x:c r="A3" s="4"/>
      <x:c r="B3" s="4"/>
      <x:c r="C3" s="4"/>
      <x:c r="D3" s="4"/>
      <x:c r="E3" s="4"/>
      <x:c r="F3" s="4"/>
    </x:row>
    <x:row r="4" ht="26" customHeight="1">
      <x:c r="A4" s="2"/>
      <x:c r="B4" s="2"/>
      <x:c r="C4" s="2"/>
      <x:c r="D4" s="2"/>
      <x:c r="E4" s="2"/>
      <x:c r="F4" s="2"/>
    </x:row>
    <x:row r="5" ht="26" customHeight="1">
      <x:c r="A5" s="2"/>
      <x:c r="B5" s="2"/>
      <x:c r="C5" s="2"/>
      <x:c r="D5" s="2"/>
      <x:c r="E5" s="2"/>
      <x:c r="F5" s="2"/>
    </x:row>
    <x:row r="6" ht="52" customHeight="1">
      <x:c r="A6" s="9" t="str">
        <x:v>Clase</x:v>
      </x:c>
      <x:c r="B6" s="9" t="str">
        <x:v>Fuente / hoja</x:v>
      </x:c>
      <x:c r="C6" s="9" t="str">
        <x:v>Uso</x:v>
      </x:c>
      <x:c r="D6" s="9" t="str">
        <x:v>SHA-256</x:v>
      </x:c>
      <x:c r="E6" s="9" t="str">
        <x:v>Ruta</x:v>
      </x:c>
      <x:c r="F6" s="9" t="str">
        <x:v>Estado de fuente</x:v>
      </x:c>
      <x:c r="H6" t="str">
        <x:v>Carreras disponibles</x:v>
      </x:c>
    </x:row>
    <x:row r="7" ht="82" customHeight="1">
      <x:c r="A7" s="12" t="str">
        <x:v>B</x:v>
      </x:c>
      <x:c r="B7" s="12" t="str">
        <x:v>Matrícula T2_2025 2.xlsx / T2_2025</x:v>
      </x:c>
      <x:c r="C7" s="12" t="str">
        <x:v>Cierre parcial recibido</x:v>
      </x:c>
      <x:c r="D7" s="12" t="str">
        <x:v>ed5de007202df0780bb3396ad88307f4096d7c8b729005486a20d1123096d5b3</x:v>
      </x:c>
      <x:c r="E7" s="12" t="str">
        <x:v>/Users/alexi/Downloads/cierre/Matrícula T2_2025 2.xlsx</x:v>
      </x:c>
      <x:c r="F7" s="12" t="str">
        <x:v>Íntegra por SHA-256</x:v>
      </x:c>
      <x:c r="H7" t="str">
        <x:v>Todas</x:v>
      </x:c>
    </x:row>
    <x:row r="8" ht="82" customHeight="1">
      <x:c r="A8" s="12" t="str">
        <x:v>B</x:v>
      </x:c>
      <x:c r="B8" s="12" t="str">
        <x:v>Matrícula T3_2025 2.xlsx / T3_2025</x:v>
      </x:c>
      <x:c r="C8" s="12" t="str">
        <x:v>Cierre parcial recibido</x:v>
      </x:c>
      <x:c r="D8" s="12" t="str">
        <x:v>68a1cd54ee48c1e6a679c1dbb3999e12d491543e9425e81f3d0508fefdc8d6cc</x:v>
      </x:c>
      <x:c r="E8" s="12" t="str">
        <x:v>/Users/alexi/Downloads/cierre/Matrícula T3_2025 2.xlsx</x:v>
      </x:c>
      <x:c r="F8" s="12" t="str">
        <x:v>Íntegra por SHA-256</x:v>
      </x:c>
      <x:c r="H8" t="str">
        <x:v>INGENIERIA EN ADMINISTRACION DE EMPRESAS</x:v>
      </x:c>
    </x:row>
    <x:row r="9" ht="82" customHeight="1">
      <x:c r="A9" s="12" t="str">
        <x:v>B</x:v>
      </x:c>
      <x:c r="B9" s="12" t="str">
        <x:v>Matrícula T_2_13_07_2026.xlsx / Hoja1</x:v>
      </x:c>
      <x:c r="C9" s="12" t="str">
        <x:v>Cierre parcial recibido</x:v>
      </x:c>
      <x:c r="D9" s="12" t="str">
        <x:v>7926a9cabcc67ed19abb50459132fd74ebb323bff9f5cb53e9116378c21a6769</x:v>
      </x:c>
      <x:c r="E9" s="12" t="str">
        <x:v>/Users/alexi/Downloads/cierre/Matrícula T_2_13_07_2026.xlsx</x:v>
      </x:c>
      <x:c r="F9" s="12" t="str">
        <x:v>Íntegra por SHA-256</x:v>
      </x:c>
      <x:c r="H9" t="str">
        <x:v>INGENIERIA EN CIBERSEGURIDAD</x:v>
      </x:c>
    </x:row>
    <x:row r="10" ht="82" customHeight="1">
      <x:c r="A10" s="12" t="str">
        <x:v>B</x:v>
      </x:c>
      <x:c r="B10" s="12" t="str">
        <x:v>Matrícula_T3_02_10_2026.xlsx / Base</x:v>
      </x:c>
      <x:c r="C10" s="12" t="str">
        <x:v>Cierre parcial recibido</x:v>
      </x:c>
      <x:c r="D10" s="12" t="str">
        <x:v>de4e73ee7d27779cdc531c6816f745d412e1021cbd61e4fceb8ab0459cbda4ae</x:v>
      </x:c>
      <x:c r="E10" s="12" t="str">
        <x:v>/Users/alexi/Downloads/cierre/Matrícula_T3_02_10_2026.xlsx</x:v>
      </x:c>
      <x:c r="F10" s="12" t="str">
        <x:v>Íntegra por SHA-256</x:v>
      </x:c>
      <x:c r="H10" t="str">
        <x:v>INGENIERIA EN CONECTIVIDAD Y REDES</x:v>
      </x:c>
    </x:row>
    <x:row r="11" ht="82" customHeight="1">
      <x:c r="A11" s="12" t="str">
        <x:v>B</x:v>
      </x:c>
      <x:c r="B11" s="12" t="str">
        <x:v>BASE_RETENCION_MATRICULA_UNIFICADA_INFORMADA_SIES_2022_2026_20260901_142342.xlsx / BASE_RETENCION_MU</x:v>
      </x:c>
      <x:c r="C11" s="12" t="str">
        <x:v>MU informada; origen</x:v>
      </x:c>
      <x:c r="D11" s="12" t="str">
        <x:v>19cf33ae4925a7c13ec4745394141a297f4f64be4052a240cb0d2c42ffeb53bd</x:v>
      </x:c>
      <x:c r="E11" s="12" t="str">
        <x:v>/Users/alexi/Documents/GitHub/avance_curricular/outputs/base_retencion_matricula_unificada_2022_2026/20260901_142342/BASE_RETENCION_MATRICULA_UNIFICADA_INFORMADA_SIES_2022_2026_20260901_142342.xlsx</x:v>
      </x:c>
      <x:c r="F11" s="12" t="str">
        <x:v>Íntegra por SHA-256</x:v>
      </x:c>
      <x:c r="H11" t="str">
        <x:v>INGENIERIA EN INFORMATICA</x:v>
      </x:c>
    </x:row>
    <x:row r="12" ht="82" customHeight="1">
      <x:c r="A12" s="12" t="str">
        <x:v>C</x:v>
      </x:c>
      <x:c r="B12" s="12" t="str">
        <x:v>RETENCION_PRIMER_ANIO_IPSS_162_DIAGNOSTICO_BRECHAS_20260930.xlsx / 02_COHORTE_ELEGIBILIDAD</x:v>
      </x:c>
      <x:c r="C12" s="12" t="str">
        <x:v>Motor anual de referencia</x:v>
      </x:c>
      <x:c r="D12" s="12" t="str">
        <x:v>5f0f7c7f0f238556de374d287bf2931ccc8a93a5489f4c2f2b543befd38c77b3</x:v>
      </x:c>
      <x:c r="E12" s="12" t="str">
        <x:v>/Users/alexi/Documents/GitHub/avance_curricular/outputs/retencion_primer_anio_ipss_162/20260930_000000/RETENCION_PRIMER_ANIO_IPSS_162_DIAGNOSTICO_BRECHAS_20260930.xlsx</x:v>
      </x:c>
      <x:c r="F12" s="12" t="str">
        <x:v>Íntegra por SHA-256</x:v>
      </x:c>
      <x:c r="H12" t="str">
        <x:v>INGENIERIA EN LOGISTICA</x:v>
      </x:c>
    </x:row>
    <x:row r="13" ht="82" customHeight="1">
      <x:c r="A13" s="12" t="str">
        <x:v>A</x:v>
      </x:c>
      <x:c r="B13" s="12" t="str">
        <x:v>REGLA_RETENCION_1ER_ANIO_CORREO_20260909.txt / Texto</x:v>
      </x:c>
      <x:c r="C13" s="12" t="str">
        <x:v>Regla anual; no define T2/T3</x:v>
      </x:c>
      <x:c r="D13" s="12" t="str">
        <x:v>92716565c2ace72a1b3ea1a73fb257cab70b247e0c3eb49d7845ef72b14945a8</x:v>
      </x:c>
      <x:c r="E13" s="12" t="str">
        <x:v>/Users/alexi/Documents/GitHub/CARACTERIZACIÓN/gobernanza/sies/RETENCION/REGLA_RETENCION_1ER_ANIO_CORREO_20260909.txt</x:v>
      </x:c>
      <x:c r="F13" s="12" t="str">
        <x:v>Íntegra por SHA-256</x:v>
      </x:c>
      <x:c r="H13" t="str">
        <x:v>TECNICO EN ADMINISTRACION DE EMPRESAS</x:v>
      </x:c>
    </x:row>
    <x:row r="14" ht="82" customHeight="1">
      <x:c r="A14" s="12" t="str">
        <x:v>C</x:v>
      </x:c>
      <x:c r="B14" s="12" t="str">
        <x:v>Revisión previa / Por_carrera!A7:I34</x:v>
      </x:c>
      <x:c r="C14" s="12" t="str">
        <x:v>Conteos usados en este resumen</x:v>
      </x:c>
      <x:c r="D14" s="12" t="str">
        <x:v>699ca7b18aa3b5892ef7ef5b0dfbeb766d2632f0e4319a7c83995aa818092f12</x:v>
      </x:c>
      <x:c r="E14" s="12" t="str">
        <x:v>/Users/alexi/Documents/GitHub/avance_curricular/outputs/retencion_intermedia_t2_t3/20261020_215248/REVISION_RETENCION_INTERMEDIA_IPSS_2024_2025_T2_T3_20261020.xlsx</x:v>
      </x:c>
      <x:c r="F14" s="12" t="str">
        <x:v>Cachés y controles verificados</x:v>
      </x:c>
      <x:c r="H14" t="str">
        <x:v>TECNICO EN AUTOMATIZACION Y CONTROL INDUSTRIAL</x:v>
      </x:c>
    </x:row>
    <x:row r="15" ht="82" customHeight="1">
      <x:c r="A15" s="12" t="str">
        <x:v>C</x:v>
      </x:c>
      <x:c r="B15" s="12" t="str">
        <x:v>Continuidad previa / manifiesto resultados_C</x:v>
      </x:c>
      <x:c r="C15" s="12" t="str">
        <x:v>Insumos del seguimiento separado</x:v>
      </x:c>
      <x:c r="D15" s="12" t="str">
        <x:v>202072b117e61c53d4895d72f1dee7f92c2557a013ea3262d055de4bc28379a5</x:v>
      </x:c>
      <x:c r="E15" s="12" t="str">
        <x:v>/Users/alexi/Documents/GitHub/avance_curricular/outputs/retencion_intermedia_t2_t3/20261020_221157/CONTINUIDAD_IPSS_INGRESOS_2025_T2_T3_EN_MU2026_20261020_221157.xlsx</x:v>
      </x:c>
      <x:c r="F15" s="12" t="str">
        <x:v>222 / 124 conservados</x:v>
      </x:c>
      <x:c r="H15" t="str">
        <x:v>TECNICO EN CIBERSEGURIDAD</x:v>
      </x:c>
    </x:row>
    <x:row r="16" ht="26" customHeight="1">
      <x:c r="A16" s="2"/>
      <x:c r="B16" s="2"/>
      <x:c r="C16" s="2"/>
      <x:c r="D16" s="2"/>
      <x:c r="E16" s="2"/>
      <x:c r="F16" s="2"/>
      <x:c r="H16" t="str">
        <x:v>TECNICO EN CONECTIVIDAD Y REDES</x:v>
      </x:c>
    </x:row>
    <x:row r="17" ht="26" customHeight="1">
      <x:c r="A17" s="2"/>
      <x:c r="B17" s="2"/>
      <x:c r="C17" s="2"/>
      <x:c r="D17" s="2"/>
      <x:c r="E17" s="2"/>
      <x:c r="F17" s="2"/>
      <x:c r="H17" t="str">
        <x:v>TECNICO EN LOGISTICA</x:v>
      </x:c>
    </x:row>
    <x:row r="18" ht="26" customHeight="1">
      <x:c r="A18" s="2" t="str">
        <x:v>A: regla SIES anual. B: dato observado. C: cálculo o implementación. D: decisión interna. E: pendiente.</x:v>
      </x:c>
      <x:c r="B18" s="2"/>
      <x:c r="C18" s="2"/>
      <x:c r="D18" s="2"/>
      <x:c r="E18" s="2"/>
      <x:c r="F18" s="2"/>
      <x:c r="H18" t="str">
        <x:v>TECNICO EN PROGRAMACION Y ANALISIS DE SISTEMAS</x:v>
      </x:c>
    </x:row>
    <x:row r="19" ht="26" customHeight="1">
      <x:c r="A19" s="2"/>
      <x:c r="B19" s="2"/>
      <x:c r="C19" s="2"/>
      <x:c r="D19" s="2"/>
      <x:c r="E19" s="2"/>
      <x:c r="F19" s="2"/>
      <x:c r="H19" t="str">
        <x:v>ADMINISTRACION PUBLICA</x:v>
      </x:c>
    </x:row>
    <x:row r="20" ht="26" customHeight="1">
      <x:c r="A20" s="2" t="str">
        <x:v>D/B: el usuario describió las entregas como parciales. Se revisaron respaldos existentes antes de solicitar más bases.</x:v>
      </x:c>
      <x:c r="B20" s="2"/>
      <x:c r="C20" s="2"/>
      <x:c r="D20" s="2"/>
      <x:c r="E20" s="2"/>
      <x:c r="F20" s="2"/>
      <x:c r="H20" t="str">
        <x:v>AUDITORIA</x:v>
      </x:c>
    </x:row>
    <x:row r="21" ht="26" customHeight="1">
      <x:c r="A21" s="2" t="str">
        <x:v>C: la carrera corresponde al origen de la cohorte, aunque la presencia posterior ocurra en otro programa.</x:v>
      </x:c>
      <x:c r="B21" s="2"/>
      <x:c r="C21" s="2"/>
      <x:c r="D21" s="2"/>
      <x:c r="E21" s="2"/>
      <x:c r="F21" s="2"/>
      <x:c r="H21" t="str">
        <x:v>CONTABILIDAD GENERAL</x:v>
      </x:c>
    </x:row>
    <x:row r="22" ht="26" customHeight="1">
      <x:c r="A22" s="2" t="str">
        <x:v>E: verificar período de ingreso UMAS frente a semestre de origen SIES. No asumir equivalencia T1/T2/T3 = semestre 1/2.</x:v>
      </x:c>
      <x:c r="B22" s="2"/>
      <x:c r="C22" s="2"/>
      <x:c r="D22" s="2"/>
      <x:c r="E22" s="2"/>
      <x:c r="F22" s="2"/>
      <x:c r="H22" t="str">
        <x:v>INGENIERIA EN CIENCIA DE DATOS</x:v>
      </x:c>
    </x:row>
    <x:row r="23" ht="26" customHeight="1">
      <x:c r="A23" s="2" t="str">
        <x:v>D: revisión MU2027 por versión 20261021_v1. No cambia esta revisión ni constituye norma SIES.</x:v>
      </x:c>
      <x:c r="B23" s="2"/>
      <x:c r="C23" s="2"/>
      <x:c r="D23" s="2"/>
      <x:c r="E23" s="2"/>
      <x:c r="F23" s="2"/>
      <x:c r="H23" t="str">
        <x:v>TECNICO EN ADMINISTRACION PUBLICA</x:v>
      </x:c>
    </x:row>
    <x:row r="24" ht="26" customHeight="1">
      <x:c r="A24" s="2" t="str">
        <x:v>C: este resumen contiene solo agregados. El cruce detallado anterior se conserva localmente y no se replica aquí.</x:v>
      </x:c>
      <x:c r="B24" s="2"/>
      <x:c r="C24" s="2"/>
      <x:c r="D24" s="2"/>
      <x:c r="E24" s="2"/>
      <x:c r="F24" s="2"/>
      <x:c r="H24" t="str">
        <x:v>TECNICO EN CIENCIA DE DATOS</x:v>
      </x:c>
    </x:row>
    <x:row r="25" ht="26" customHeight="1">
      <x:c r="A25" s="2" t="str">
        <x:v>C: actualización de alcance y fuentes. Conteos originales y fórmulas de seguimiento conservados.</x:v>
      </x:c>
      <x:c r="B25" s="2"/>
      <x:c r="C25" s="2"/>
      <x:c r="D25" s="2"/>
      <x:c r="E25" s="2"/>
      <x:c r="F25" s="2"/>
      <x:c r="H25" t="str">
        <x:v>TECNICO EN ENFERMERIA</x:v>
      </x:c>
    </x:row>
    <x:row r="26" ht="26" customHeight="1">
      <x:c r="A26" s="2"/>
      <x:c r="B26" s="2"/>
      <x:c r="C26" s="2"/>
      <x:c r="D26" s="2"/>
      <x:c r="E26" s="2"/>
      <x:c r="F26" s="2"/>
    </x:row>
    <x:row r="27" ht="26" customHeight="1">
      <x:c r="A27" s="2" t="str">
        <x:v>Insumos de la continuidad ya calculada (fuente: MANIFEST_CONTINUIDAD.json, resultados_C)</x:v>
      </x:c>
      <x:c r="B27" s="2"/>
      <x:c r="C27" s="2"/>
      <x:c r="D27" s="2"/>
      <x:c r="E27" s="2"/>
      <x:c r="F27" s="2"/>
    </x:row>
    <x:row r="28" ht="26" customHeight="1">
      <x:c r="A28" s="2"/>
      <x:c r="B28" s="2"/>
      <x:c r="C28" s="2"/>
      <x:c r="D28" s="2"/>
      <x:c r="E28" s="2"/>
      <x:c r="F28" s="2"/>
    </x:row>
    <x:row r="29" ht="52" customHeight="1">
      <x:c r="A29" s="9" t="str">
        <x:v>Ingreso (D)</x:v>
      </x:c>
      <x:c r="B29" s="9" t="str">
        <x:v>Estudiantes (D)</x:v>
      </x:c>
      <x:c r="C29" s="9" t="str">
        <x:v>Localizados (C)</x:v>
      </x:c>
      <x:c r="D29" s="9" t="str">
        <x:v>VIG 1 (C)</x:v>
      </x:c>
      <x:c r="E29" s="9" t="str">
        <x:v>Solo VIG 0 (C)</x:v>
      </x:c>
      <x:c r="F29" s="9" t="str">
        <x:v>Ausentes (C)</x:v>
      </x:c>
    </x:row>
    <x:row r="30" ht="26" customHeight="1">
      <x:c r="A30" s="2" t="str">
        <x:v>2025-T2</x:v>
      </x:c>
      <x:c r="B30" s="2" t="n">
        <x:v>222</x:v>
      </x:c>
      <x:c r="C30" s="2" t="n">
        <x:v>80</x:v>
      </x:c>
      <x:c r="D30" s="2" t="n">
        <x:v>74</x:v>
      </x:c>
      <x:c r="E30" s="2" t="n">
        <x:v>6</x:v>
      </x:c>
      <x:c r="F30" s="2" t="n">
        <x:v>142</x:v>
      </x:c>
    </x:row>
    <x:row r="31" ht="26" customHeight="1">
      <x:c r="A31" s="2" t="str">
        <x:v>2025-T3</x:v>
      </x:c>
      <x:c r="B31" s="2" t="n">
        <x:v>124</x:v>
      </x:c>
      <x:c r="C31" s="2" t="n">
        <x:v>50</x:v>
      </x:c>
      <x:c r="D31" s="2" t="n">
        <x:v>48</x:v>
      </x:c>
      <x:c r="E31" s="2" t="n">
        <x:v>2</x:v>
      </x:c>
      <x:c r="F31" s="2" t="n">
        <x:v>74</x:v>
      </x:c>
    </x:row>
    <x:row r="32" ht="26" customHeight="1">
      <x:c r="A32" s="2"/>
      <x:c r="B32" s="2"/>
      <x:c r="C32" s="2"/>
      <x:c r="D32" s="2"/>
      <x:c r="E32" s="2"/>
      <x:c r="F32" s="2"/>
    </x:row>
    <x:row r="33" ht="26" customHeight="1">
      <x:c r="A33" s="2"/>
      <x:c r="B33" s="2"/>
      <x:c r="C33" s="2"/>
      <x:c r="D33" s="2"/>
      <x:c r="E33" s="2"/>
      <x:c r="F33" s="2"/>
    </x:row>
    <x:row r="34" ht="26" customHeight="1">
      <x:c r="A34" s="9" t="str">
        <x:v>Clase</x:v>
      </x:c>
      <x:c r="B34" s="9" t="str">
        <x:v>Fuente / hoja</x:v>
      </x:c>
      <x:c r="C34" s="9" t="str">
        <x:v>Uso</x:v>
      </x:c>
      <x:c r="D34" s="9" t="str">
        <x:v>SHA-256</x:v>
      </x:c>
      <x:c r="E34" s="9" t="str">
        <x:v>Ruta</x:v>
      </x:c>
      <x:c r="F34" s="9" t="str">
        <x:v>Estado de fuente</x:v>
      </x:c>
    </x:row>
    <x:row r="35" ht="90" customHeight="1">
      <x:c r="A35" s="12" t="str">
        <x:v>B</x:v>
      </x:c>
      <x:c r="B35" s="12" t="str">
        <x:v>DatosAlumnos_10246 / Hoja1</x:v>
      </x:c>
      <x:c r="C35" s="12" t="str">
        <x:v>14.204 registros; respaldo P2</x:v>
      </x:c>
      <x:c r="D35" s="12" t="str">
        <x:v>b175d63bd9e3280c5757fb0d7292e45fb594d8f076e277f2e06bad2b15e9d869</x:v>
      </x:c>
      <x:c r="E35" s="12" t="str">
        <x:v>/Users/alexi/Documents/GitHub/CARACTERIZACIÓN/.local/fuentes_congeladas/2026/P2/2026_P2_20260721_161905/DATOSDEALUMNOS_10246.xlsx</x:v>
      </x:c>
      <x:c r="F35" s="12" t="str">
        <x:v>Congelado 22-07-2026; no acredita cierre</x:v>
      </x:c>
    </x:row>
    <x:row r="36" ht="90" customHeight="1">
      <x:c r="A36" s="12" t="str">
        <x:v>B</x:v>
      </x:c>
      <x:c r="B36" s="12" t="str">
        <x:v>Fuentes congeladas 2026-P2</x:v>
      </x:c>
      <x:c r="C36" s="12" t="str">
        <x:v>Corrida 21-07; congelamiento 22-07</x:v>
      </x:c>
      <x:c r="D36" s="12" t="str">
        <x:v>bda8a15c0f0689bf013f94882a20cdb6fac25107888641af69c9210bc663f588</x:v>
      </x:c>
      <x:c r="E36" s="12" t="str">
        <x:v>/Users/alexi/Documents/GitHub/CARACTERIZACIÓN/docs/gobernanza/FUENTES_CONGELADAS_2026_P2.json</x:v>
      </x:c>
      <x:c r="F36" s="12" t="str">
        <x:v>Metadatos de gobernanza</x:v>
      </x:c>
    </x:row>
    <x:row r="37" ht="90" customHeight="1">
      <x:c r="A37" s="12" t="str">
        <x:v>B</x:v>
      </x:c>
      <x:c r="B37" s="12" t="str">
        <x:v>DatosAlumnos_11998 / Hoja1</x:v>
      </x:c>
      <x:c r="C37" s="12" t="str">
        <x:v>15.045 registros; mismo archivo P1/P2/P3</x:v>
      </x:c>
      <x:c r="D37" s="12" t="str">
        <x:v>5d2df5e7998a4ec903e12d51b25114e8f1ff36da57cecaf623e90398b0828f35</x:v>
      </x:c>
      <x:c r="E37" s="12" t="str">
        <x:v>/Users/alexi/Documents/GitHub/CARACTERIZACIÓN/.local/analisis_anual/2026/20261016_002933_892820/entrega/03_RESPALDOS/P3/01_ENTRADAS/DATOSDEALUMNOS_11998.xlsx</x:v>
      </x:c>
      <x:c r="F37" s="12" t="str">
        <x:v>Usado 15-10-2026; extracción no acreditada</x:v>
      </x:c>
    </x:row>
    <x:row r="38" ht="90" customHeight="1">
      <x:c r="A38" s="12" t="str">
        <x:v>B</x:v>
      </x:c>
      <x:c r="B38" s="12" t="str">
        <x:v>Inventario histórico SIES/UMAS</x:v>
      </x:c>
      <x:c r="C38" s="12" t="str">
        <x:v>Documenta ausencia de fecha de extracción</x:v>
      </x:c>
      <x:c r="D38" s="12" t="str">
        <x:v>8c0b9f02c013f94b98dc72be1eae9912dadd991ba0e5a3fa7a64da3ef3904ae2</x:v>
      </x:c>
      <x:c r="E38" s="12" t="str">
        <x:v>/Users/alexi/Documents/GitHub/avance_curricular/data/versiones_historicas_sies_umas/fase_1_20261015/inventario.json</x:v>
      </x:c>
      <x:c r="F38" s="12" t="str">
        <x:v>No convertir años observados en cierres</x:v>
      </x:c>
    </x:row>
    <x:row r="39" ht="90" customHeight="1">
      <x:c r="A39" s="12" t="str">
        <x:v>B</x:v>
      </x:c>
      <x:c r="B39" s="12" t="str">
        <x:v>Manifest ejecución P3</x:v>
      </x:c>
      <x:c r="C39" s="12" t="str">
        <x:v>Fecha de ejecución y fuente utilizada</x:v>
      </x:c>
      <x:c r="D39" s="12" t="str">
        <x:v>c0f23e85071dd0c319d1bd1bff05f22a49d898a7ba6d67bc4882595113690c8a</x:v>
      </x:c>
      <x:c r="E39" s="12" t="str">
        <x:v>/Users/alexi/Documents/GitHub/CARACTERIZACIÓN/.local/analisis_anual/2026/20261016_002933_892820/entrega/03_RESPALDOS/P3/04_AUDITORIA/manifest_ejecucion.json</x:v>
      </x:c>
      <x:c r="F39" s="12" t="str">
        <x:v>15-10-2026; no certifica estado histórico</x:v>
      </x:c>
    </x:row>
    <x:row r="40" ht="90" customHeight="1">
      <x:c r="A40" s="12" t="str">
        <x:v>B</x:v>
      </x:c>
      <x:c r="B40" s="12" t="str">
        <x:v>Manifest BASE_RETENCION_MU</x:v>
      </x:c>
      <x:c r="C40" s="12" t="str">
        <x:v>Fuentes anuales 2024, 2025 y 2026 disponibles</x:v>
      </x:c>
      <x:c r="D40" s="12" t="str">
        <x:v>746539ed62a3a3a051da14fd7f32b90fc6fd30a426304386d54e19c203d74145</x:v>
      </x:c>
      <x:c r="E40" s="12" t="str">
        <x:v>/Users/alexi/Documents/GitHub/avance_curricular/outputs/base_retencion_matricula_unificada_2022_2026/20260901_142342/MANIFEST_BASE_RETENCION_MU_2022_2026.json</x:v>
      </x:c>
      <x:c r="F40" s="12" t="str">
        <x:v>No falta la base anual 2024</x:v>
      </x:c>
    </x:row>
    <x:row r="41" ht="90" customHeight="1">
      <x:c r="A41" s="12" t="str">
        <x:v>C</x:v>
      </x:c>
      <x:c r="B41" s="12" t="str">
        <x:v>Libro de revisión previo</x:v>
      </x:c>
      <x:c r="C41" s="12" t="str">
        <x:v>Presencias conservadas y procedencia</x:v>
      </x:c>
      <x:c r="D41" s="12" t="str">
        <x:v>1fed8a17c0b6977c579b14a86c012b7160170648b46e638f9009f33b0c0c85a0</x:v>
      </x:c>
      <x:c r="E41" s="12" t="str">
        <x:v>/Users/alexi/Documents/GitHub/avance_curricular/outputs/retencion_intermedia_t2_t3/20261021_013430/REVISION_RETENCION_INTERMEDIA_IPSS_2024_2025_20261021.xlsx</x:v>
      </x:c>
      <x:c r="F41" s="12" t="str">
        <x:v>No se recalcula el cruce individual</x:v>
      </x:c>
    </x:row>
  </x:sheetData>
  <x:pageMargins left="0.7" right="0.7" top="0.75" bottom="0.75" header="0.3" footer="0.3"/>
  <x:tableParts count="2">
    <x:tablePart xmlns:r="http://schemas.openxmlformats.org/officeDocument/2006/relationships" r:id="R35753caaa32e4a2e"/>
    <x:tablePart xmlns:r="http://schemas.openxmlformats.org/officeDocument/2006/relationships" r:id="R5e27c2542f8a4e10"/>
  </x:tableParts>
</x:worksheet>
</file>

<file path=xl/worksheets/sheet4.xml><?xml version="1.0" encoding="utf-8"?>
<x:worksheet xmlns:x="http://schemas.openxmlformats.org/spreadsheetml/2006/main">
  <x:sheetPr>
    <x:tabColor rgb="FFCFB47C"/>
  </x:sheetPr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47" hidden="0" customWidth="1"/>
    <x:col min="4" max="4" width="45" hidden="0" customWidth="1"/>
    <x:col min="5" max="5" width="45" hidden="0" customWidth="1"/>
    <x:col min="6" max="6" width="37" hidden="0" customWidth="1"/>
  </x:cols>
  <x:sheetData>
    <x:row r="1" ht="28" customHeight="1">
      <x:c r="A1" s="2"/>
      <x:c r="B1" s="2"/>
      <x:c r="C1" s="2"/>
      <x:c r="D1" s="2"/>
      <x:c r="E1" s="2"/>
      <x:c r="F1" s="2"/>
    </x:row>
    <x:row r="2" ht="28" customHeight="1">
      <x:c r="A2" s="3" t="str">
        <x:v>Bases de cierre: disponible y pendiente</x:v>
      </x:c>
      <x:c r="B2" s="2"/>
      <x:c r="C2" s="2"/>
      <x:c r="D2" s="2"/>
      <x:c r="E2" s="2"/>
      <x:c r="F2" s="2"/>
    </x:row>
    <x:row r="3" ht="28" customHeight="1">
      <x:c r="A3" s="2"/>
      <x:c r="B3" s="2"/>
      <x:c r="C3" s="2"/>
      <x:c r="D3" s="2"/>
      <x:c r="E3" s="2"/>
      <x:c r="F3" s="2"/>
    </x:row>
    <x:row r="4" ht="28" customHeight="1">
      <x:c r="A4" s="2" t="str">
        <x:v>B: fuentes revisadas. E: falta acreditar cobertura o fecha; esto no demuestra que falten estudiantes.</x:v>
      </x:c>
      <x:c r="B4" s="2"/>
      <x:c r="C4" s="2"/>
      <x:c r="D4" s="2"/>
      <x:c r="E4" s="2"/>
      <x:c r="F4" s="2"/>
    </x:row>
    <x:row r="5" ht="28" customHeight="1">
      <x:c r="A5" s="2"/>
      <x:c r="B5" s="2"/>
      <x:c r="C5" s="2"/>
      <x:c r="D5" s="2"/>
      <x:c r="E5" s="2"/>
      <x:c r="F5" s="2"/>
    </x:row>
    <x:row r="6" ht="42" customHeight="1">
      <x:c r="A6" s="23" t="str">
        <x:v>Cierre</x:v>
      </x:c>
      <x:c r="B6" s="23" t="str">
        <x:v>Cohorte</x:v>
      </x:c>
      <x:c r="C6" s="23" t="str">
        <x:v>Base disponible (B)</x:v>
      </x:c>
      <x:c r="D6" s="23" t="str">
        <x:v>Fecha acreditada (B)</x:v>
      </x:c>
      <x:c r="E6" s="23" t="str">
        <x:v>Qué confirmar (E)</x:v>
      </x:c>
      <x:c r="F6" s="23" t="str">
        <x:v>Qué falta resolver</x:v>
      </x:c>
    </x:row>
    <x:row r="7" ht="110" customHeight="1">
      <x:c r="A7" s="12" t="str">
        <x:v>2025-T2</x:v>
      </x:c>
      <x:c r="B7" s="25" t="n">
        <x:v>2024</x:v>
      </x:c>
      <x:c r="C7" s="12" t="str">
        <x:v>Archivo recibido: 225 registros, todos ingresos 2025-T2.</x:v>
      </x:c>
      <x:c r="D7" s="12" t="str">
        <x:v>No acredita fecha efectiva del cierre.</x:v>
      </x:c>
      <x:c r="E7" s="24" t="str">
        <x:v>Matrícula de todas las cohortes y estados al cierre, incluida cohorte 2024.</x:v>
      </x:c>
      <x:c r="F7" s="24" t="str">
        <x:v>Falta base completa acreditada.</x:v>
      </x:c>
    </x:row>
    <x:row r="8" ht="110" customHeight="1">
      <x:c r="A8" s="12" t="str">
        <x:v>2025-T3</x:v>
      </x:c>
      <x:c r="B8" s="25" t="n">
        <x:v>2024</x:v>
      </x:c>
      <x:c r="C8" s="12" t="str">
        <x:v>T3_2025: 3.081 registros de varias cohortes; 500 con ingreso 2024.</x:v>
      </x:c>
      <x:c r="D8" s="12" t="str">
        <x:v>Propiedades: creado 13-10-2025; modificado 20-10-2026. No son prueba del corte.</x:v>
      </x:c>
      <x:c r="E8" s="24" t="str">
        <x:v>Completitud de la hoja y fecha efectiva de sus estados académicos.</x:v>
      </x:c>
      <x:c r="F8" s="24" t="str">
        <x:v>Puede bastar confirmar el archivo existente.</x:v>
      </x:c>
    </x:row>
    <x:row r="9" ht="110" customHeight="1">
      <x:c r="A9" s="12" t="str">
        <x:v>2026-T2</x:v>
      </x:c>
      <x:c r="B9" s="25" t="n">
        <x:v>2025</x:v>
      </x:c>
      <x:c r="C9" s="12" t="str">
        <x:v>DatosAlumnos_10246: 14.204 registros. Fuente congelada de Caracterización P2.</x:v>
      </x:c>
      <x:c r="D9" s="12" t="str">
        <x:v>Corrida 21-07-2026; congelado 22-07-2026. Sin fecha de extracción acreditada.</x:v>
      </x:c>
      <x:c r="E9" s="24" t="str">
        <x:v>Si incluye toda la matrícula del cierre y si el estado corresponde a ese cierre.</x:v>
      </x:c>
      <x:c r="F9" s="24" t="str">
        <x:v>Candidato localizado; cobertura temporal pendiente.</x:v>
      </x:c>
    </x:row>
    <x:row r="10" ht="110" customHeight="1">
      <x:c r="A10" s="12" t="str">
        <x:v>2026-T3</x:v>
      </x:c>
      <x:c r="B10" s="25" t="n">
        <x:v>2025</x:v>
      </x:c>
      <x:c r="C10" s="12" t="str">
        <x:v>DatosAlumnos_11998: 15.045 registros. Mismo archivo usado en P1, P2 y P3.</x:v>
      </x:c>
      <x:c r="D10" s="12" t="str">
        <x:v>Ejecución 15-10-2026; fecha de extracción no acreditada.</x:v>
      </x:c>
      <x:c r="E10" s="24" t="str">
        <x:v>Cobertura completa al cierre T3, incluidos ingresos de períodos 1 y 2.</x:v>
      </x:c>
      <x:c r="F10" s="24" t="str">
        <x:v>Candidato localizado; no son tres cierres históricos.</x:v>
      </x:c>
    </x:row>
    <x:row r="11" ht="28" customHeight="1">
      <x:c r="A11" s="2"/>
      <x:c r="B11" s="2"/>
      <x:c r="C11" s="2"/>
      <x:c r="D11" s="2"/>
      <x:c r="E11" s="2"/>
      <x:c r="F11" s="2"/>
    </x:row>
    <x:row r="12" ht="28" customHeight="1">
      <x:c r="A12" s="2" t="str">
        <x:v>C: no reemplazar la cohorte 2024 por quienes aparecen en MU2025; eso cambiaría el denominador.</x:v>
      </x:c>
      <x:c r="B12" s="2"/>
      <x:c r="C12" s="2"/>
      <x:c r="D12" s="2"/>
      <x:c r="E12" s="2"/>
      <x:c r="F12" s="2"/>
    </x:row>
    <x:row r="13" ht="28" customHeight="1">
      <x:c r="A13" s="2" t="str">
        <x:v>B: la base consolidada ya contiene matrícula informada de 2024, 2025 y 2026.</x:v>
      </x:c>
      <x:c r="B13" s="2"/>
      <x:c r="C13" s="2"/>
      <x:c r="D13" s="2"/>
      <x:c r="E13" s="2"/>
      <x:c r="F13" s="2"/>
    </x:row>
    <x:row r="14" ht="28" customHeight="1">
      <x:c r="A14" s="2" t="str">
        <x:v>E: MU2027 es una comprobación futura. No dar por confirmada su cobertura de ingresos 2026.</x:v>
      </x:c>
      <x:c r="B14" s="2"/>
      <x:c r="C14" s="2"/>
      <x:c r="D14" s="2"/>
      <x:c r="E14" s="2"/>
      <x:c r="F14" s="2"/>
    </x:row>
    <x:row r="15" ht="28" customHeight="1">
      <x:c r="A15" s="2" t="str">
        <x:v>C: las bases candidatas no se han usado para sumar presencias nuevas ni para sustituir cierres.</x:v>
      </x:c>
      <x:c r="B15" s="2"/>
      <x:c r="C15" s="2"/>
      <x:c r="D15" s="2"/>
      <x:c r="E15" s="2"/>
      <x:c r="F15" s="2"/>
    </x:row>
    <x:row r="16" ht="28" customHeight="1">
      <x:c r="A16" s="2" t="str">
        <x:v>D: denominadores conservados: 558 / 1.150 y, en el ejercicio separado, 222 / 124.</x:v>
      </x:c>
      <x:c r="B16" s="2"/>
      <x:c r="C16" s="2"/>
      <x:c r="D16" s="2"/>
      <x:c r="E16" s="2"/>
      <x:c r="F16" s="2"/>
    </x:row>
    <x:row r="17" ht="28" customHeight="1">
      <x:c r="A17" s="2"/>
      <x:c r="B17" s="2"/>
      <x:c r="C17" s="2"/>
      <x:c r="D17" s="2"/>
      <x:c r="E17" s="2"/>
      <x:c r="F17" s="2"/>
    </x:row>
    <x:row r="18" ht="28" customHeight="1">
      <x:c r="A18" s="2" t="str">
        <x:v>Referencias, rutas y hashes: Fuentes_y_alcance, filas 35 a 41.</x:v>
      </x:c>
      <x:c r="B18" s="2"/>
      <x:c r="C18" s="2"/>
      <x:c r="D18" s="2"/>
      <x:c r="E18" s="2"/>
      <x:c r="F18" s="2"/>
    </x:row>
  </x:sheetData>
  <x:pageMargins left="0.7" right="0.7" top="0.75" bottom="0.75" header="0.3" footer="0.3"/>
  <x:tableParts count="1">
    <x:tablePart xmlns:r="http://schemas.openxmlformats.org/officeDocument/2006/relationships" r:id="Ra0709ab14ae748b3"/>
  </x:tableParts>
</x:worksheet>
</file>

<file path=xl/worksheets/sheet5.xml><?xml version="1.0" encoding="utf-8"?>
<x:worksheet xmlns:x="http://schemas.openxmlformats.org/spreadsheetml/2006/main">
  <x:sheetPr>
    <x:tabColor rgb="FFCFB47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5" customHeight="1">
      <x:c r="A1" s="28"/>
      <x:c r="B1" s="28"/>
      <x:c r="C1" s="28"/>
      <x:c r="D1" s="28"/>
      <x:c r="E1" s="28"/>
      <x:c r="F1" s="28"/>
      <x:c r="G1" s="28"/>
      <x:c r="H1" s="28"/>
    </x:row>
    <x:row r="2" ht="34" customHeight="1">
      <x:c r="A2" s="52" t="str">
        <x:v>Escenario de los 80 ingresos reclasificados</x:v>
      </x:c>
      <x:c r="B2" s="38"/>
      <x:c r="C2" s="38"/>
      <x:c r="D2" s="38"/>
      <x:c r="E2" s="38"/>
      <x:c r="F2" s="38"/>
      <x:c r="G2" s="38"/>
      <x:c r="H2" s="38"/>
    </x:row>
    <x:row r="3" ht="28" customHeight="1">
      <x:c r="A3" s="38" t="str">
        <x:v>Institucional completo, cohortes 2024 y 2025. C/D: no responde al selector de carrera de Resumen. Resultados actuales conservados. Fecha: 21-10-2026.</x:v>
      </x:c>
      <x:c r="B3" s="38"/>
      <x:c r="C3" s="38"/>
      <x:c r="D3" s="38"/>
      <x:c r="E3" s="38"/>
      <x:c r="F3" s="38"/>
      <x:c r="G3" s="38"/>
      <x:c r="H3" s="38"/>
    </x:row>
    <x:row r="4" ht="52" customHeight="1">
      <x:c r="A4" s="53" t="str">
        <x:v>E: hipótesis aislada: cambiar solo ANIO_ING_ACT y ANIO_ING_ORI de 2025 a 2024 en las 80 filas MU2025. Se conservan los semestres informados, VIG, programas, MU2024 y MU2026. No es una corrección aprobada.</x:v>
      </x:c>
      <x:c r="B4" s="53"/>
      <x:c r="C4" s="53"/>
      <x:c r="D4" s="53"/>
      <x:c r="E4" s="53"/>
      <x:c r="F4" s="53"/>
      <x:c r="G4" s="53"/>
      <x:c r="H4" s="53"/>
    </x:row>
    <x:row r="5" ht="25" customHeight="1">
      <x:c r="A5" s="28"/>
      <x:c r="B5" s="28"/>
      <x:c r="C5" s="28"/>
      <x:c r="D5" s="28"/>
      <x:c r="E5" s="28"/>
      <x:c r="F5" s="28"/>
      <x:c r="G5" s="28"/>
      <x:c r="H5" s="28"/>
    </x:row>
    <x:row r="6" ht="28" customHeight="1">
      <x:c r="A6" s="55" t="str">
        <x:v>Comparación anual: cálculo actual (C) y simulación separada (C/E)</x:v>
      </x:c>
      <x:c r="B6" s="55"/>
      <x:c r="C6" s="55"/>
      <x:c r="D6" s="55"/>
      <x:c r="E6" s="55"/>
      <x:c r="F6" s="55"/>
      <x:c r="G6" s="55"/>
      <x:c r="H6" s="55"/>
    </x:row>
    <x:row r="7" ht="44" customHeight="1">
      <x:c r="A7" s="59" t="str">
        <x:v>Cohorte</x:v>
      </x:c>
      <x:c r="B7" s="59" t="str">
        <x:v>Estudiantes actuales (C)</x:v>
      </x:c>
      <x:c r="C7" s="59" t="str">
        <x:v>Retenidos actuales (C)</x:v>
      </x:c>
      <x:c r="D7" s="59" t="str">
        <x:v>Tasa actual (C)</x:v>
      </x:c>
      <x:c r="E7" s="59" t="str">
        <x:v>Estudiantes simulados (C/E)</x:v>
      </x:c>
      <x:c r="F7" s="59" t="str">
        <x:v>Retenidos simulados (C/E)</x:v>
      </x:c>
      <x:c r="G7" s="59" t="str">
        <x:v>Tasa simulada (C/E)</x:v>
      </x:c>
      <x:c r="H7" s="59" t="str">
        <x:v>Cambio (pp, C/E)</x:v>
      </x:c>
    </x:row>
    <x:row r="8" ht="25" customHeight="1">
      <x:c r="A8" s="71" t="n">
        <x:v>2024</x:v>
      </x:c>
      <x:c r="B8" s="64" t="n">
        <x:f>SUMIFS('Por_carrera'!$D$7:$D$34,'Por_carrera'!$A$7:$A$34,A8)</x:f>
        <x:v>558</x:v>
      </x:c>
      <x:c r="C8" s="64" t="n">
        <x:f>E40</x:f>
        <x:v>326</x:v>
      </x:c>
      <x:c r="D8" s="67" t="n">
        <x:f>IF(B8=0,"Pendiente",C8/B8)</x:f>
        <x:v>0.5842293906810035</x:v>
      </x:c>
      <x:c r="E8" s="65" t="n">
        <x:f>B8+E38</x:f>
        <x:v>560</x:v>
      </x:c>
      <x:c r="F8" s="65" t="n">
        <x:f>C8+E39</x:f>
        <x:v>328</x:v>
      </x:c>
      <x:c r="G8" s="68" t="n">
        <x:f>IF(E8=0,"Pendiente",F8/E8)</x:f>
        <x:v>0.5857142857142857</x:v>
      </x:c>
      <x:c r="H8" s="69" t="n">
        <x:f>(G8-D8)*100</x:f>
        <x:v>0.14848950332821964</x:v>
      </x:c>
    </x:row>
    <x:row r="9" ht="25" customHeight="1">
      <x:c r="A9" s="72" t="n">
        <x:v>2025</x:v>
      </x:c>
      <x:c r="B9" s="37" t="n">
        <x:f>SUMIFS('Por_carrera'!$D$7:$D$34,'Por_carrera'!$A$7:$A$34,A9)</x:f>
        <x:v>1150</x:v>
      </x:c>
      <x:c r="C9" s="37" t="n">
        <x:f>E41</x:f>
        <x:v>668</x:v>
      </x:c>
      <x:c r="D9" s="43" t="n">
        <x:f>IF(B9=0,"Pendiente",C9/B9)</x:f>
        <x:v>0.5808695652173913</x:v>
      </x:c>
      <x:c r="E9" s="65" t="n">
        <x:f>B9-E33</x:f>
        <x:v>1123</x:v>
      </x:c>
      <x:c r="F9" s="65" t="n">
        <x:f>C9-E34</x:f>
        <x:v>668</x:v>
      </x:c>
      <x:c r="G9" s="68" t="n">
        <x:f>IF(E9=0,"Pendiente",F9/E9)</x:f>
        <x:v>0.5948352626892253</x:v>
      </x:c>
      <x:c r="H9" s="69" t="n">
        <x:f>(G9-D9)*100</x:f>
        <x:v>1.396569747183396</x:v>
      </x:c>
    </x:row>
    <x:row r="10" ht="25" customHeight="1">
      <x:c r="A10" s="72"/>
      <x:c r="B10" s="28"/>
      <x:c r="C10" s="28"/>
      <x:c r="D10" s="28"/>
      <x:c r="E10" s="28"/>
      <x:c r="F10" s="28"/>
      <x:c r="G10" s="28"/>
      <x:c r="H10" s="28"/>
    </x:row>
    <x:row r="11" ht="40" customHeight="1">
      <x:c r="A11" s="73" t="str">
        <x:v>D/E: 560 y 1.123 son universos hipotéticos de esta hoja. No sustituyen los denominadores actuales 558 y 1.150, ni los denominadores separados de ingresos T2=222 y T3=124.</x:v>
      </x:c>
      <x:c r="B11" s="38"/>
      <x:c r="C11" s="38"/>
      <x:c r="D11" s="38"/>
      <x:c r="E11" s="38"/>
      <x:c r="F11" s="38"/>
      <x:c r="G11" s="38"/>
      <x:c r="H11" s="38"/>
    </x:row>
    <x:row r="12" ht="28" customHeight="1">
      <x:c r="A12" s="74" t="str">
        <x:v>Comparación con SIES: brecha = tasa propia menos tasa publicada</x:v>
      </x:c>
      <x:c r="B12" s="55"/>
      <x:c r="C12" s="55"/>
      <x:c r="D12" s="55"/>
      <x:c r="E12" s="55"/>
      <x:c r="F12" s="55"/>
      <x:c r="G12" s="55"/>
      <x:c r="H12" s="55"/>
    </x:row>
    <x:row r="13" ht="44" customHeight="1">
      <x:c r="A13" s="75" t="str">
        <x:v>Cohorte</x:v>
      </x:c>
      <x:c r="B13" s="59" t="str">
        <x:v>Tasa SIES observada (B)</x:v>
      </x:c>
      <x:c r="C13" s="59" t="str">
        <x:v>Brecha actual (pp, C)</x:v>
      </x:c>
      <x:c r="D13" s="59" t="str">
        <x:v>Brecha simulada (pp, C/E)</x:v>
      </x:c>
      <x:c r="E13" s="59" t="str">
        <x:v>Lectura</x:v>
      </x:c>
      <x:c r="F13" s="59" t="str"/>
      <x:c r="G13" s="59" t="str"/>
      <x:c r="H13" s="59" t="str"/>
    </x:row>
    <x:row r="14" ht="42" customHeight="1">
      <x:c r="A14" s="72" t="n">
        <x:v>2024</x:v>
      </x:c>
      <x:c r="B14" s="43" t="n">
        <x:v>0.675</x:v>
      </x:c>
      <x:c r="C14" s="70" t="n">
        <x:f>(D8-B14)*100</x:f>
        <x:v>-9.07706093189965</x:v>
      </x:c>
      <x:c r="D14" s="70" t="n">
        <x:f>(G8-B14)*100</x:f>
        <x:v>-8.92857142857143</x:v>
      </x:c>
      <x:c r="E14" s="38" t="str">
        <x:v>C/E: mejora solo una parte pequeña de la brecha. La causa restante sigue pendiente.</x:v>
      </x:c>
      <x:c r="F14" s="38"/>
      <x:c r="G14" s="38"/>
      <x:c r="H14" s="38"/>
    </x:row>
    <x:row r="15" ht="42" customHeight="1">
      <x:c r="A15" s="72" t="n">
        <x:v>2025</x:v>
      </x:c>
      <x:c r="B15" s="43" t="n">
        <x:v>0.5821152192605331</x:v>
      </x:c>
      <x:c r="C15" s="70" t="n">
        <x:f>(D9-B15)*100</x:f>
        <x:v>-0.12456540431418084</x:v>
      </x:c>
      <x:c r="D15" s="70" t="n">
        <x:f>(G9-B15)*100</x:f>
        <x:v>1.2720043428692152</x:v>
      </x:c>
      <x:c r="E15" s="38" t="str">
        <x:v>C/E: la simulación queda por encima de SIES. Acercarse al dato no valida la hipótesis.</x:v>
      </x:c>
      <x:c r="F15" s="38"/>
      <x:c r="G15" s="38"/>
      <x:c r="H15" s="38"/>
    </x:row>
    <x:row r="16" ht="25" customHeight="1">
      <x:c r="A16" s="72"/>
      <x:c r="B16" s="28"/>
      <x:c r="C16" s="28"/>
      <x:c r="D16" s="28"/>
      <x:c r="E16" s="28"/>
      <x:c r="F16" s="28"/>
      <x:c r="G16" s="28"/>
      <x:c r="H16" s="28"/>
    </x:row>
    <x:row r="17" ht="28" customHeight="1">
      <x:c r="A17" s="74" t="str">
        <x:v>Control: seguimiento de la misma población actual, sin cambiar denominadores</x:v>
      </x:c>
      <x:c r="B17" s="55"/>
      <x:c r="C17" s="55"/>
      <x:c r="D17" s="55"/>
      <x:c r="E17" s="55"/>
      <x:c r="F17" s="55"/>
      <x:c r="G17" s="55"/>
      <x:c r="H17" s="55"/>
    </x:row>
    <x:row r="18" ht="44" customHeight="1">
      <x:c r="A18" s="75" t="str">
        <x:v>Cohorte</x:v>
      </x:c>
      <x:c r="B18" s="59" t="str">
        <x:v>Estudiantes actuales (C)</x:v>
      </x:c>
      <x:c r="C18" s="59" t="str">
        <x:v>Retenidos actuales (C)</x:v>
      </x:c>
      <x:c r="D18" s="59" t="str">
        <x:v>Tasa actual (C)</x:v>
      </x:c>
      <x:c r="E18" s="59" t="str">
        <x:v>Tasa misma población (C/E)</x:v>
      </x:c>
      <x:c r="F18" s="59" t="str">
        <x:v>Cambio (pp, C/E)</x:v>
      </x:c>
      <x:c r="G18" s="59" t="str">
        <x:v>Estado (D)</x:v>
      </x:c>
      <x:c r="H18" s="59" t="str"/>
    </x:row>
    <x:row r="19" ht="30" customHeight="1">
      <x:c r="A19" s="72" t="n">
        <x:v>2024</x:v>
      </x:c>
      <x:c r="B19" s="37" t="n">
        <x:f>B8</x:f>
        <x:v>558</x:v>
      </x:c>
      <x:c r="C19" s="37" t="n">
        <x:f>C8</x:f>
        <x:v>326</x:v>
      </x:c>
      <x:c r="D19" s="43" t="n">
        <x:f>D8</x:f>
        <x:v>0.5842293906810035</x:v>
      </x:c>
      <x:c r="E19" s="43" t="n">
        <x:f>C19/B19</x:f>
        <x:v>0.5842293906810035</x:v>
      </x:c>
      <x:c r="F19" s="70" t="n">
        <x:f>(E19-D19)*100</x:f>
        <x:v>0</x:v>
      </x:c>
      <x:c r="G19" s="38" t="str">
        <x:v>Sin cambio de población</x:v>
      </x:c>
      <x:c r="H19" s="38"/>
    </x:row>
    <x:row r="20" ht="30" customHeight="1">
      <x:c r="A20" s="72" t="n">
        <x:v>2025</x:v>
      </x:c>
      <x:c r="B20" s="37" t="n">
        <x:f>B9</x:f>
        <x:v>1150</x:v>
      </x:c>
      <x:c r="C20" s="37" t="n">
        <x:f>C9</x:f>
        <x:v>668</x:v>
      </x:c>
      <x:c r="D20" s="43" t="n">
        <x:f>D9</x:f>
        <x:v>0.5808695652173913</x:v>
      </x:c>
      <x:c r="E20" s="43" t="n">
        <x:f>C20/B20</x:f>
        <x:v>0.5808695652173913</x:v>
      </x:c>
      <x:c r="F20" s="70" t="n">
        <x:f>(E20-D20)*100</x:f>
        <x:v>0</x:v>
      </x:c>
      <x:c r="G20" s="38" t="str">
        <x:v>Sin cambio de población</x:v>
      </x:c>
      <x:c r="H20" s="38"/>
    </x:row>
    <x:row r="21" ht="25" customHeight="1">
      <x:c r="A21" s="28"/>
      <x:c r="B21" s="28"/>
      <x:c r="C21" s="28"/>
      <x:c r="D21" s="28"/>
      <x:c r="E21" s="28"/>
      <x:c r="F21" s="28"/>
      <x:c r="G21" s="28"/>
      <x:c r="H21" s="28"/>
    </x:row>
    <x:row r="22" ht="52" customHeight="1">
      <x:c r="A22" s="53" t="str">
        <x:v>C/E: el escenario evalúa retención anual MU2024→MU2025 y MU2025→MU2026. Las tasas de los cierres T2/T3 siguen pendientes de acreditar fecha, cobertura y estados. Los 53 VIG=1 no se añaden automáticamente al numerador.</x:v>
      </x:c>
      <x:c r="B22" s="53"/>
      <x:c r="C22" s="53"/>
      <x:c r="D22" s="53"/>
      <x:c r="E22" s="53"/>
      <x:c r="F22" s="53"/>
      <x:c r="G22" s="53"/>
      <x:c r="H22" s="53"/>
    </x:row>
    <x:row r="23" ht="25" customHeight="1">
      <x:c r="A23" s="28"/>
      <x:c r="B23" s="28"/>
      <x:c r="C23" s="28"/>
      <x:c r="D23" s="28"/>
      <x:c r="E23" s="28"/>
      <x:c r="F23" s="28"/>
      <x:c r="G23" s="28"/>
      <x:c r="H23" s="28"/>
    </x:row>
    <x:row r="24" ht="28" customHeight="1">
      <x:c r="A24" s="55" t="str">
        <x:v>Cómo se construye: entradas agregadas del cruce ya verificado</x:v>
      </x:c>
      <x:c r="B24" s="55"/>
      <x:c r="C24" s="55"/>
      <x:c r="D24" s="55"/>
      <x:c r="E24" s="55"/>
      <x:c r="F24" s="55"/>
      <x:c r="G24" s="55"/>
      <x:c r="H24" s="55"/>
    </x:row>
    <x:row r="25" ht="25" customHeight="1">
      <x:c r="A25" s="28"/>
      <x:c r="B25" s="28"/>
      <x:c r="C25" s="28"/>
      <x:c r="D25" s="28"/>
      <x:c r="E25" s="28"/>
      <x:c r="F25" s="28"/>
      <x:c r="G25" s="28"/>
      <x:c r="H25" s="28"/>
    </x:row>
    <x:row r="26" ht="28" customHeight="1">
      <x:c r="A26" s="62" t="str">
        <x:v>Marca 2+3 INGRESO</x:v>
      </x:c>
      <x:c r="B26" s="62"/>
      <x:c r="C26" s="62"/>
      <x:c r="D26" s="62"/>
      <x:c r="E26" s="37" t="n">
        <x:v>50</x:v>
      </x:c>
      <x:c r="F26" s="38" t="str">
        <x:v>B · respaldo de preparación MU2025</x:v>
      </x:c>
      <x:c r="G26" s="38"/>
      <x:c r="H26" s="38"/>
    </x:row>
    <x:row r="27" ht="28" customHeight="1">
      <x:c r="A27" s="38" t="str">
        <x:v>Marca CORRECCIÓN</x:v>
      </x:c>
      <x:c r="B27" s="38"/>
      <x:c r="C27" s="38"/>
      <x:c r="D27" s="38"/>
      <x:c r="E27" s="37" t="n">
        <x:v>30</x:v>
      </x:c>
      <x:c r="F27" s="38" t="str">
        <x:v>B · respaldo de preparación MU2025</x:v>
      </x:c>
      <x:c r="G27" s="38"/>
      <x:c r="H27" s="38"/>
    </x:row>
    <x:row r="28" ht="28" customHeight="1">
      <x:c r="A28" s="62" t="str">
        <x:v>Población del escenario</x:v>
      </x:c>
      <x:c r="B28" s="62"/>
      <x:c r="C28" s="62"/>
      <x:c r="D28" s="62"/>
      <x:c r="E28" s="37" t="n">
        <x:f>SUM(E26:E27)</x:f>
        <x:v>80</x:v>
      </x:c>
      <x:c r="F28" s="38" t="str">
        <x:v>C · suma de las dos marcas</x:v>
      </x:c>
      <x:c r="G28" s="38"/>
      <x:c r="H28" s="38"/>
    </x:row>
    <x:row r="29" ht="28" customHeight="1">
      <x:c r="A29" s="38" t="str">
        <x:v>Con al menos una fila VIG=1 en MU2026</x:v>
      </x:c>
      <x:c r="B29" s="38"/>
      <x:c r="C29" s="38"/>
      <x:c r="D29" s="38"/>
      <x:c r="E29" s="37" t="n">
        <x:v>53</x:v>
      </x:c>
      <x:c r="F29" s="38" t="str">
        <x:v>B · cruce exacto de persona</x:v>
      </x:c>
      <x:c r="G29" s="38"/>
      <x:c r="H29" s="38"/>
    </x:row>
    <x:row r="30" ht="28" customHeight="1">
      <x:c r="A30" s="62" t="str">
        <x:v>En MU2026 solo con VIG=0</x:v>
      </x:c>
      <x:c r="B30" s="62"/>
      <x:c r="C30" s="62"/>
      <x:c r="D30" s="62"/>
      <x:c r="E30" s="37" t="n">
        <x:v>11</x:v>
      </x:c>
      <x:c r="F30" s="38" t="str">
        <x:v>B · sin fila VIG=1</x:v>
      </x:c>
      <x:c r="G30" s="38"/>
      <x:c r="H30" s="38"/>
    </x:row>
    <x:row r="31" ht="28" customHeight="1">
      <x:c r="A31" s="38" t="str">
        <x:v>Sin fila en MU2026</x:v>
      </x:c>
      <x:c r="B31" s="38"/>
      <x:c r="C31" s="38"/>
      <x:c r="D31" s="38"/>
      <x:c r="E31" s="37" t="n">
        <x:v>16</x:v>
      </x:c>
      <x:c r="F31" s="38" t="str">
        <x:v>B · ausencia en esta extracción</x:v>
      </x:c>
      <x:c r="G31" s="38"/>
      <x:c r="H31" s="38"/>
    </x:row>
    <x:row r="32" ht="28" customHeight="1">
      <x:c r="A32" s="62" t="str">
        <x:v>Total clasificado en MU2026</x:v>
      </x:c>
      <x:c r="B32" s="62"/>
      <x:c r="C32" s="62"/>
      <x:c r="D32" s="62"/>
      <x:c r="E32" s="37" t="n">
        <x:f>SUM(E29:E31)</x:f>
        <x:v>80</x:v>
      </x:c>
      <x:c r="F32" s="38" t="str">
        <x:v>C · suma de las tres situaciones</x:v>
      </x:c>
      <x:c r="G32" s="38"/>
      <x:c r="H32" s="38"/>
    </x:row>
    <x:row r="33" ht="28" customHeight="1">
      <x:c r="A33" s="38" t="str">
        <x:v>De los 80, incluidos actualmente en cohorte 2025</x:v>
      </x:c>
      <x:c r="B33" s="38"/>
      <x:c r="C33" s="38"/>
      <x:c r="D33" s="38"/>
      <x:c r="E33" s="37" t="n">
        <x:v>27</x:v>
      </x:c>
      <x:c r="F33" s="38" t="str">
        <x:v>C · no se descuentan los 80</x:v>
      </x:c>
      <x:c r="G33" s="38"/>
      <x:c r="H33" s="38"/>
    </x:row>
    <x:row r="34" ht="28" customHeight="1">
      <x:c r="A34" s="62" t="str">
        <x:v>Retenidos actuales aportados por esos incluidos</x:v>
      </x:c>
      <x:c r="B34" s="62"/>
      <x:c r="C34" s="62"/>
      <x:c r="D34" s="62"/>
      <x:c r="E34" s="37" t="n">
        <x:v>0</x:v>
      </x:c>
      <x:c r="F34" s="38" t="str">
        <x:v>C · cálculo actual</x:v>
      </x:c>
      <x:c r="G34" s="38"/>
      <x:c r="H34" s="38"/>
    </x:row>
    <x:row r="35" ht="28" customHeight="1">
      <x:c r="A35" s="38" t="str">
        <x:v>Ya excluidos por COHORTE_INCONSISTENTE en 2025</x:v>
      </x:c>
      <x:c r="B35" s="38"/>
      <x:c r="C35" s="38"/>
      <x:c r="D35" s="38"/>
      <x:c r="E35" s="37" t="n">
        <x:v>53</x:v>
      </x:c>
      <x:c r="F35" s="38" t="str">
        <x:v>C · proxy de exclusión D/E</x:v>
      </x:c>
      <x:c r="G35" s="38"/>
      <x:c r="H35" s="38"/>
    </x:row>
    <x:row r="36" ht="28" customHeight="1">
      <x:c r="A36" s="62" t="str">
        <x:v>Con fila MU2024; pasarían a incluidos y retenidos</x:v>
      </x:c>
      <x:c r="B36" s="62"/>
      <x:c r="C36" s="62"/>
      <x:c r="D36" s="62"/>
      <x:c r="E36" s="37" t="n">
        <x:v>2</x:v>
      </x:c>
      <x:c r="F36" s="38" t="str">
        <x:v>B: 2 filas · C/E: efecto simulado</x:v>
      </x:c>
      <x:c r="G36" s="38"/>
      <x:c r="H36" s="38"/>
    </x:row>
    <x:row r="37" ht="28" customHeight="1">
      <x:c r="A37" s="38" t="str">
        <x:v>Sin fila en MU2024</x:v>
      </x:c>
      <x:c r="B37" s="38"/>
      <x:c r="C37" s="38"/>
      <x:c r="D37" s="38"/>
      <x:c r="E37" s="37" t="n">
        <x:v>78</x:v>
      </x:c>
      <x:c r="F37" s="38" t="str">
        <x:v>B · no se crean filas faltantes</x:v>
      </x:c>
      <x:c r="G37" s="38"/>
      <x:c r="H37" s="38"/>
    </x:row>
    <x:row r="38" ht="28" customHeight="1">
      <x:c r="A38" s="62" t="str">
        <x:v>Estudiantes que se sumarían a cohorte 2024</x:v>
      </x:c>
      <x:c r="B38" s="62"/>
      <x:c r="C38" s="62"/>
      <x:c r="D38" s="62"/>
      <x:c r="E38" s="37" t="n">
        <x:f>E36</x:f>
        <x:v>2</x:v>
      </x:c>
      <x:c r="F38" s="38" t="str">
        <x:v>C/E · solo las dos filas existentes</x:v>
      </x:c>
      <x:c r="G38" s="38"/>
      <x:c r="H38" s="38"/>
    </x:row>
    <x:row r="39" ht="28" customHeight="1">
      <x:c r="A39" s="38" t="str">
        <x:v>Retenidos que se sumarían a cohorte 2024</x:v>
      </x:c>
      <x:c r="B39" s="38"/>
      <x:c r="C39" s="38"/>
      <x:c r="D39" s="38"/>
      <x:c r="E39" s="37" t="n">
        <x:f>E36</x:f>
        <x:v>2</x:v>
      </x:c>
      <x:c r="F39" s="38" t="str">
        <x:v>C/E · transición simulada ya evaluada</x:v>
      </x:c>
      <x:c r="G39" s="38"/>
      <x:c r="H39" s="38"/>
    </x:row>
    <x:row r="40" ht="28" customHeight="1">
      <x:c r="A40" s="62" t="str">
        <x:v>Retenidos actuales de la cohorte 2024</x:v>
      </x:c>
      <x:c r="B40" s="62"/>
      <x:c r="C40" s="62"/>
      <x:c r="D40" s="62"/>
      <x:c r="E40" s="37" t="n">
        <x:v>326</x:v>
      </x:c>
      <x:c r="F40" s="38" t="str">
        <x:v>C · motor anual conservado</x:v>
      </x:c>
      <x:c r="G40" s="38"/>
      <x:c r="H40" s="38"/>
    </x:row>
    <x:row r="41" ht="28" customHeight="1">
      <x:c r="A41" s="38" t="str">
        <x:v>Retenidos actuales de la cohorte 2025</x:v>
      </x:c>
      <x:c r="B41" s="38"/>
      <x:c r="C41" s="38"/>
      <x:c r="D41" s="38"/>
      <x:c r="E41" s="37" t="n">
        <x:v>668</x:v>
      </x:c>
      <x:c r="F41" s="38" t="str">
        <x:v>C · motor anual conservado</x:v>
      </x:c>
      <x:c r="G41" s="38"/>
      <x:c r="H41" s="38"/>
    </x:row>
    <x:row r="42" ht="25" customHeight="1">
      <x:c r="A42" s="28"/>
      <x:c r="B42" s="28"/>
      <x:c r="C42" s="28"/>
      <x:c r="D42" s="28"/>
      <x:c r="E42" s="28"/>
      <x:c r="F42" s="28"/>
      <x:c r="G42" s="28"/>
      <x:c r="H42" s="28"/>
    </x:row>
    <x:row r="43" ht="28" customHeight="1">
      <x:c r="A43" s="55" t="str">
        <x:v>Los 80 estudiantes por programa de MU2025 (B: observaciones agregadas)</x:v>
      </x:c>
      <x:c r="B43" s="55"/>
      <x:c r="C43" s="55"/>
      <x:c r="D43" s="55"/>
      <x:c r="E43" s="55"/>
      <x:c r="F43" s="55"/>
      <x:c r="G43" s="55"/>
      <x:c r="H43" s="55"/>
    </x:row>
    <x:row r="44" ht="44" customHeight="1">
      <x:c r="A44" s="59" t="str">
        <x:v>Código único</x:v>
      </x:c>
      <x:c r="B44" s="59" t="str">
        <x:v>Carrera</x:v>
      </x:c>
      <x:c r="C44" s="59" t="str"/>
      <x:c r="D44" s="59" t="str"/>
      <x:c r="E44" s="59" t="str">
        <x:v>Estudiantes (B)</x:v>
      </x:c>
      <x:c r="F44" s="59" t="str">
        <x:v>VIG 1 MU2026 (B)</x:v>
      </x:c>
      <x:c r="G44" s="59" t="str">
        <x:v>Solo VIG 0 (B)</x:v>
      </x:c>
      <x:c r="H44" s="59" t="str">
        <x:v>Ausentes MU2026 (B)</x:v>
      </x:c>
    </x:row>
    <x:row r="45" ht="38" customHeight="1">
      <x:c r="A45" s="60" t="str">
        <x:v>I162S2C1J4V2</x:v>
      </x:c>
      <x:c r="B45" s="62" t="str">
        <x:v>INGENIERIA EN INFORMATICA</x:v>
      </x:c>
      <x:c r="C45" s="62"/>
      <x:c r="D45" s="62"/>
      <x:c r="E45" s="64" t="n">
        <x:v>9</x:v>
      </x:c>
      <x:c r="F45" s="64" t="n">
        <x:v>4</x:v>
      </x:c>
      <x:c r="G45" s="64" t="n">
        <x:v>2</x:v>
      </x:c>
      <x:c r="H45" s="64" t="n">
        <x:v>3</x:v>
      </x:c>
    </x:row>
    <x:row r="46" ht="38" customHeight="1">
      <x:c r="A46" s="28" t="str">
        <x:v>I162S2C3J4V2</x:v>
      </x:c>
      <x:c r="B46" s="38" t="str">
        <x:v>INGENIERIA EN CONECTIVIDAD Y REDES</x:v>
      </x:c>
      <x:c r="C46" s="38"/>
      <x:c r="D46" s="38"/>
      <x:c r="E46" s="37" t="n">
        <x:v>5</x:v>
      </x:c>
      <x:c r="F46" s="37" t="n">
        <x:v>2</x:v>
      </x:c>
      <x:c r="G46" s="37" t="n">
        <x:v>2</x:v>
      </x:c>
      <x:c r="H46" s="37" t="n">
        <x:v>1</x:v>
      </x:c>
    </x:row>
    <x:row r="47" ht="38" customHeight="1">
      <x:c r="A47" s="60" t="str">
        <x:v>I162S2C46J4V3</x:v>
      </x:c>
      <x:c r="B47" s="62" t="str">
        <x:v>INGENIERIA EN CIBERSEGURIDAD</x:v>
      </x:c>
      <x:c r="C47" s="62"/>
      <x:c r="D47" s="62"/>
      <x:c r="E47" s="64" t="n">
        <x:v>22</x:v>
      </x:c>
      <x:c r="F47" s="64" t="n">
        <x:v>13</x:v>
      </x:c>
      <x:c r="G47" s="64" t="n">
        <x:v>3</x:v>
      </x:c>
      <x:c r="H47" s="64" t="n">
        <x:v>6</x:v>
      </x:c>
    </x:row>
    <x:row r="48" ht="38" customHeight="1">
      <x:c r="A48" s="28" t="str">
        <x:v>I162S2C47J4V1</x:v>
      </x:c>
      <x:c r="B48" s="38" t="str">
        <x:v>TECNICO EN CIBERSEGURIDAD</x:v>
      </x:c>
      <x:c r="C48" s="38"/>
      <x:c r="D48" s="38"/>
      <x:c r="E48" s="37" t="n">
        <x:v>5</x:v>
      </x:c>
      <x:c r="F48" s="37" t="n">
        <x:v>2</x:v>
      </x:c>
      <x:c r="G48" s="37" t="n">
        <x:v>1</x:v>
      </x:c>
      <x:c r="H48" s="37" t="n">
        <x:v>2</x:v>
      </x:c>
    </x:row>
    <x:row r="49" ht="38" customHeight="1">
      <x:c r="A49" s="60" t="str">
        <x:v>I162S2C57J4V1</x:v>
      </x:c>
      <x:c r="B49" s="62" t="str">
        <x:v>TECNICO EN PROGRAMACION Y ANALISIS DE SISTEMAS</x:v>
      </x:c>
      <x:c r="C49" s="62"/>
      <x:c r="D49" s="62"/>
      <x:c r="E49" s="64" t="n">
        <x:v>29</x:v>
      </x:c>
      <x:c r="F49" s="64" t="n">
        <x:v>25</x:v>
      </x:c>
      <x:c r="G49" s="64" t="n">
        <x:v>1</x:v>
      </x:c>
      <x:c r="H49" s="64" t="n">
        <x:v>3</x:v>
      </x:c>
    </x:row>
    <x:row r="50" ht="38" customHeight="1">
      <x:c r="A50" s="28" t="str">
        <x:v>I162S2C6J4V2</x:v>
      </x:c>
      <x:c r="B50" s="38" t="str">
        <x:v>TECNICO EN CONECTIVIDAD Y REDES</x:v>
      </x:c>
      <x:c r="C50" s="38"/>
      <x:c r="D50" s="38"/>
      <x:c r="E50" s="37" t="n">
        <x:v>2</x:v>
      </x:c>
      <x:c r="F50" s="37" t="n">
        <x:v>2</x:v>
      </x:c>
      <x:c r="G50" s="37" t="n">
        <x:v>0</x:v>
      </x:c>
      <x:c r="H50" s="37" t="n">
        <x:v>0</x:v>
      </x:c>
    </x:row>
    <x:row r="51" ht="38" customHeight="1">
      <x:c r="A51" s="60" t="str">
        <x:v>I162S2C76J4V1</x:v>
      </x:c>
      <x:c r="B51" s="62" t="str">
        <x:v>INGENIERIA EN ADMINISTRACION DE EMPRESAS</x:v>
      </x:c>
      <x:c r="C51" s="62"/>
      <x:c r="D51" s="62"/>
      <x:c r="E51" s="64" t="n">
        <x:v>8</x:v>
      </x:c>
      <x:c r="F51" s="64" t="n">
        <x:v>5</x:v>
      </x:c>
      <x:c r="G51" s="64" t="n">
        <x:v>2</x:v>
      </x:c>
      <x:c r="H51" s="64" t="n">
        <x:v>1</x:v>
      </x:c>
    </x:row>
    <x:row r="52" ht="25" customHeight="1">
      <x:c r="A52" s="63" t="str">
        <x:v>Total (C)</x:v>
      </x:c>
      <x:c r="B52" s="63"/>
      <x:c r="C52" s="63"/>
      <x:c r="D52" s="63"/>
      <x:c r="E52" s="66" t="n">
        <x:f>SUM(E45:E51)</x:f>
        <x:v>80</x:v>
      </x:c>
      <x:c r="F52" s="66" t="n">
        <x:f>SUM(F45:F51)</x:f>
        <x:v>53</x:v>
      </x:c>
      <x:c r="G52" s="66" t="n">
        <x:f>SUM(G45:G51)</x:f>
        <x:v>11</x:v>
      </x:c>
      <x:c r="H52" s="66" t="n">
        <x:f>SUM(H45:H51)</x:f>
        <x:v>16</x:v>
      </x:c>
    </x:row>
    <x:row r="53" ht="25" customHeight="1">
      <x:c r="A53" s="28"/>
      <x:c r="B53" s="28"/>
      <x:c r="C53" s="28"/>
      <x:c r="D53" s="28"/>
      <x:c r="E53" s="28"/>
      <x:c r="F53" s="28"/>
      <x:c r="G53" s="28"/>
      <x:c r="H53" s="28"/>
    </x:row>
    <x:row r="54" ht="28" customHeight="1">
      <x:c r="A54" s="55" t="str">
        <x:v>Controles de conciliación (C): todos deben resultar 0</x:v>
      </x:c>
      <x:c r="B54" s="55"/>
      <x:c r="C54" s="55"/>
      <x:c r="D54" s="55"/>
      <x:c r="E54" s="55"/>
      <x:c r="F54" s="55"/>
      <x:c r="G54" s="55"/>
      <x:c r="H54" s="55"/>
    </x:row>
    <x:row r="55" ht="30" customHeight="1">
      <x:c r="A55" s="38" t="str">
        <x:v>Total programas menos población del escenario</x:v>
      </x:c>
      <x:c r="B55" s="38"/>
      <x:c r="C55" s="38"/>
      <x:c r="D55" s="38"/>
      <x:c r="E55" s="37" t="n">
        <x:f>E52-E28</x:f>
        <x:v>0</x:v>
      </x:c>
      <x:c r="F55" s="28"/>
      <x:c r="G55" s="28"/>
      <x:c r="H55" s="28"/>
    </x:row>
    <x:row r="56" ht="30" customHeight="1">
      <x:c r="A56" s="38" t="str">
        <x:v>Suma estados MU2026 menos total programas</x:v>
      </x:c>
      <x:c r="B56" s="38"/>
      <x:c r="C56" s="38"/>
      <x:c r="D56" s="38"/>
      <x:c r="E56" s="37" t="n">
        <x:f>SUM(F52:H52)-E52</x:f>
        <x:v>0</x:v>
      </x:c>
      <x:c r="F56" s="28"/>
      <x:c r="G56" s="28"/>
      <x:c r="H56" s="28"/>
    </x:row>
    <x:row r="57" ht="30" customHeight="1">
      <x:c r="A57" s="38" t="str">
        <x:v>Incluidos 2025 menos VIG0 y ausentes</x:v>
      </x:c>
      <x:c r="B57" s="38"/>
      <x:c r="C57" s="38"/>
      <x:c r="D57" s="38"/>
      <x:c r="E57" s="37" t="n">
        <x:f>E33-SUM(E30:E31)</x:f>
        <x:v>0</x:v>
      </x:c>
      <x:c r="F57" s="28"/>
      <x:c r="G57" s="28"/>
      <x:c r="H57" s="28"/>
    </x:row>
    <x:row r="58" ht="30" customHeight="1">
      <x:c r="A58" s="38" t="str">
        <x:v>Excluidos 2025 más incluidos menos población</x:v>
      </x:c>
      <x:c r="B58" s="38"/>
      <x:c r="C58" s="38"/>
      <x:c r="D58" s="38"/>
      <x:c r="E58" s="37" t="n">
        <x:f>SUM(E33,E35)-E28</x:f>
        <x:v>0</x:v>
      </x:c>
      <x:c r="F58" s="28"/>
      <x:c r="G58" s="28"/>
      <x:c r="H58" s="28"/>
    </x:row>
    <x:row r="59" ht="30" customHeight="1">
      <x:c r="A59" s="38" t="str">
        <x:v>Con y sin fila MU2024 menos población</x:v>
      </x:c>
      <x:c r="B59" s="38"/>
      <x:c r="C59" s="38"/>
      <x:c r="D59" s="38"/>
      <x:c r="E59" s="37" t="n">
        <x:f>SUM(E36:E37)-E28</x:f>
        <x:v>0</x:v>
      </x:c>
      <x:c r="F59" s="28"/>
      <x:c r="G59" s="28"/>
      <x:c r="H59" s="28"/>
    </x:row>
    <x:row r="60" ht="25" customHeight="1">
      <x:c r="A60" s="28"/>
      <x:c r="B60" s="28"/>
      <x:c r="C60" s="28"/>
      <x:c r="D60" s="28"/>
      <x:c r="E60" s="28"/>
      <x:c r="F60" s="28"/>
      <x:c r="G60" s="28"/>
      <x:c r="H60" s="28"/>
    </x:row>
    <x:row r="61" ht="28" customHeight="1">
      <x:c r="A61" s="55" t="str">
        <x:v>Pendientes que siguen abiertos (E)</x:v>
      </x:c>
      <x:c r="B61" s="55"/>
      <x:c r="C61" s="55"/>
      <x:c r="D61" s="55"/>
      <x:c r="E61" s="55"/>
      <x:c r="F61" s="55"/>
      <x:c r="G61" s="55"/>
      <x:c r="H61" s="55"/>
    </x:row>
    <x:row r="62" ht="44" customHeight="1">
      <x:c r="A62" s="53" t="str">
        <x:v>E: falta la regla o consulta original y su autorización para explicar por qué se asignó origen 2025 a estos ingresos 2024. El respaldo muestra el cambio, pero no acredita su causa.</x:v>
      </x:c>
      <x:c r="B62" s="53"/>
      <x:c r="C62" s="53"/>
      <x:c r="D62" s="53"/>
      <x:c r="E62" s="53"/>
      <x:c r="F62" s="53"/>
      <x:c r="G62" s="53"/>
      <x:c r="H62" s="53"/>
    </x:row>
    <x:row r="63" ht="44" customHeight="1">
      <x:c r="A63" s="53" t="str">
        <x:v>E: el semestre de origen correcto sigue sin resolverse. La simulación conserva el semestre informado en MU2025; no supone equivalencia entre T2/T3 y semestre SIES.</x:v>
      </x:c>
      <x:c r="B63" s="53"/>
      <x:c r="C63" s="53"/>
      <x:c r="D63" s="53"/>
      <x:c r="E63" s="53"/>
      <x:c r="F63" s="53"/>
      <x:c r="G63" s="53"/>
      <x:c r="H63" s="53"/>
    </x:row>
    <x:row r="64" ht="44" customHeight="1">
      <x:c r="A64" s="53" t="str">
        <x:v>B/E: 78 de los 80 no tienen fila en MU2024. No se pueden incorporar retrospectivamente a esa base sin una fuente individual verificable y una decisión separada.</x:v>
      </x:c>
      <x:c r="B64" s="53"/>
      <x:c r="C64" s="53"/>
      <x:c r="D64" s="53"/>
      <x:c r="E64" s="53"/>
      <x:c r="F64" s="53"/>
      <x:c r="G64" s="53"/>
      <x:c r="H64" s="53"/>
    </x:row>
    <x:row r="65" ht="44" customHeight="1">
      <x:c r="A65" s="53" t="str">
        <x:v>D/E: COHORTE_INCONSISTENTE es un proxy del motor interno. No reproduce necesariamente la selección de casos específicos que hace SIES.</x:v>
      </x:c>
      <x:c r="B65" s="53"/>
      <x:c r="C65" s="53"/>
      <x:c r="D65" s="53"/>
      <x:c r="E65" s="53"/>
      <x:c r="F65" s="53"/>
      <x:c r="G65" s="53"/>
      <x:c r="H65" s="53"/>
    </x:row>
    <x:row r="66" ht="44" customHeight="1">
      <x:c r="A66" s="53" t="str">
        <x:v>E: los cierres intermedios T2/T3 mantienen los pendientes de Bases_por_confirmar. Este escenario no acredita cobertura ni transforma ausencias en deserción.</x:v>
      </x:c>
      <x:c r="B66" s="53"/>
      <x:c r="C66" s="53"/>
      <x:c r="D66" s="53"/>
      <x:c r="E66" s="53"/>
      <x:c r="F66" s="53"/>
      <x:c r="G66" s="53"/>
      <x:c r="H66" s="53"/>
    </x:row>
    <x:row r="67" ht="25" customHeight="1">
      <x:c r="A67" s="28"/>
      <x:c r="B67" s="28"/>
      <x:c r="C67" s="28"/>
      <x:c r="D67" s="28"/>
      <x:c r="E67" s="28"/>
      <x:c r="F67" s="28"/>
      <x:c r="G67" s="28"/>
      <x:c r="H67" s="28"/>
    </x:row>
    <x:row r="68" ht="28" customHeight="1">
      <x:c r="A68" s="38" t="str">
        <x:v>Clases: A definición oficial · B dato observado · C cálculo/implementación · D decisión interna · E hipótesis o pendiente.</x:v>
      </x:c>
      <x:c r="B68" s="38"/>
      <x:c r="C68" s="38"/>
      <x:c r="D68" s="38"/>
      <x:c r="E68" s="38"/>
      <x:c r="F68" s="38"/>
      <x:c r="G68" s="38"/>
      <x:c r="H68" s="38"/>
    </x:row>
    <x:row r="69" ht="25" customHeight="1">
      <x:c r="A69" s="28"/>
      <x:c r="B69" s="28"/>
      <x:c r="C69" s="28"/>
      <x:c r="D69" s="28"/>
      <x:c r="E69" s="28"/>
      <x:c r="F69" s="28"/>
      <x:c r="G69" s="28"/>
      <x:c r="H69" s="28"/>
    </x:row>
    <x:row r="70" ht="28" customHeight="1">
      <x:c r="A70" s="55" t="str">
        <x:v>Fuentes y trazabilidad de esta hoja</x:v>
      </x:c>
      <x:c r="B70" s="55"/>
      <x:c r="C70" s="55"/>
      <x:c r="D70" s="55"/>
      <x:c r="E70" s="55"/>
      <x:c r="F70" s="55"/>
      <x:c r="G70" s="55"/>
      <x:c r="H70" s="55"/>
    </x:row>
    <x:row r="71" ht="25" customHeight="1">
      <x:c r="A71" s="62" t="str">
        <x:v>C: insumos y transiciones del escenario</x:v>
      </x:c>
      <x:c r="B71" s="62"/>
      <x:c r="C71" s="62"/>
      <x:c r="D71" s="62"/>
      <x:c r="E71" s="62"/>
      <x:c r="F71" s="62"/>
      <x:c r="G71" s="62"/>
      <x:c r="H71" s="62"/>
    </x:row>
    <x:row r="72" ht="36" customHeight="1">
      <x:c r="A72" s="38" t="str">
        <x:v>/Users/alexi/Documents/GitHub/avance_curricular/outputs/retencion_intermedia_t2_t3/20261021_095123_escenario_80/RESULTADOS_ESCENARIO_AGREGADOS.json</x:v>
      </x:c>
      <x:c r="B72" s="38"/>
      <x:c r="C72" s="38"/>
      <x:c r="D72" s="38"/>
      <x:c r="E72" s="38"/>
      <x:c r="F72" s="38"/>
      <x:c r="G72" s="38"/>
      <x:c r="H72" s="38"/>
    </x:row>
    <x:row r="73" ht="25" customHeight="1">
      <x:c r="A73" s="38" t="str">
        <x:v>SHA-256: 4a4f0f7183d4a1bcff507085399920cbaa3e37c5829bf2d11ced58ef38d0681c</x:v>
      </x:c>
      <x:c r="B73" s="38"/>
      <x:c r="C73" s="38"/>
      <x:c r="D73" s="38"/>
      <x:c r="E73" s="38"/>
      <x:c r="F73" s="38"/>
      <x:c r="G73" s="38"/>
      <x:c r="H73" s="38"/>
    </x:row>
    <x:row r="74" ht="25" customHeight="1">
      <x:c r="A74" s="62" t="str">
        <x:v>C: informe del escenario ya calculado</x:v>
      </x:c>
      <x:c r="B74" s="62"/>
      <x:c r="C74" s="62"/>
      <x:c r="D74" s="62"/>
      <x:c r="E74" s="62"/>
      <x:c r="F74" s="62"/>
      <x:c r="G74" s="62"/>
      <x:c r="H74" s="62"/>
    </x:row>
    <x:row r="75" ht="36" customHeight="1">
      <x:c r="A75" s="38" t="str">
        <x:v>/Users/alexi/Documents/GitHub/avance_curricular/outputs/retencion_intermedia_t2_t3/20261021_095123_escenario_80/ESCENARIO_80_RECLASIFICACION_RETENCION.md</x:v>
      </x:c>
      <x:c r="B75" s="38"/>
      <x:c r="C75" s="38"/>
      <x:c r="D75" s="38"/>
      <x:c r="E75" s="38"/>
      <x:c r="F75" s="38"/>
      <x:c r="G75" s="38"/>
      <x:c r="H75" s="38"/>
    </x:row>
    <x:row r="76" ht="25" customHeight="1">
      <x:c r="A76" s="38" t="str">
        <x:v>SHA-256: bf608c36bca663223a65ac29e5cbda11dd3a6111c202d5526f6ae184bc8c1f48</x:v>
      </x:c>
      <x:c r="B76" s="38"/>
      <x:c r="C76" s="38"/>
      <x:c r="D76" s="38"/>
      <x:c r="E76" s="38"/>
      <x:c r="F76" s="38"/>
      <x:c r="G76" s="38"/>
      <x:c r="H76" s="38"/>
    </x:row>
    <x:row r="77" ht="25" customHeight="1">
      <x:c r="A77" s="62" t="str">
        <x:v>C: motor anual; hojas BASE_RETENCION_MU y 02_COHORTE_ELEGIBILIDAD</x:v>
      </x:c>
      <x:c r="B77" s="62"/>
      <x:c r="C77" s="62"/>
      <x:c r="D77" s="62"/>
      <x:c r="E77" s="62"/>
      <x:c r="F77" s="62"/>
      <x:c r="G77" s="62"/>
      <x:c r="H77" s="62"/>
    </x:row>
    <x:row r="78" ht="36" customHeight="1">
      <x:c r="A78" s="38" t="str">
        <x:v>/Users/alexi/Documents/GitHub/avance_curricular/outputs/retencion_primer_anio_ipss_162/20260930_000000/RETENCION_PRIMER_ANIO_IPSS_162_DIAGNOSTICO_BRECHAS_20260930.xlsx</x:v>
      </x:c>
      <x:c r="B78" s="38"/>
      <x:c r="C78" s="38"/>
      <x:c r="D78" s="38"/>
      <x:c r="E78" s="38"/>
      <x:c r="F78" s="38"/>
      <x:c r="G78" s="38"/>
      <x:c r="H78" s="38"/>
    </x:row>
    <x:row r="79" ht="25" customHeight="1">
      <x:c r="A79" s="38" t="str">
        <x:v>SHA-256: 5f0f7c7f0f238556de374d287bf2931ccc8a93a5489f4c2f2b543befd38c77b3</x:v>
      </x:c>
      <x:c r="B79" s="38"/>
      <x:c r="C79" s="38"/>
      <x:c r="D79" s="38"/>
      <x:c r="E79" s="38"/>
      <x:c r="F79" s="38"/>
      <x:c r="G79" s="38"/>
      <x:c r="H79" s="38"/>
    </x:row>
    <x:row r="80" ht="25" customHeight="1">
      <x:c r="A80" s="62" t="str">
        <x:v>B: referencia SIES; Retención 1er año x IES!T59:U59; IPSS=162</x:v>
      </x:c>
      <x:c r="B80" s="62"/>
      <x:c r="C80" s="62"/>
      <x:c r="D80" s="62"/>
      <x:c r="E80" s="62"/>
      <x:c r="F80" s="62"/>
      <x:c r="G80" s="62"/>
      <x:c r="H80" s="62"/>
    </x:row>
    <x:row r="81" ht="36" customHeight="1">
      <x:c r="A81" s="38" t="str">
        <x:v>/Users/alexi/Documents/GitHub/CARACTERIZACIÓN/gobernanza/sies/RETENCION/Informe_Retencion_SIES_2026_270702026.xlsx</x:v>
      </x:c>
      <x:c r="B81" s="38"/>
      <x:c r="C81" s="38"/>
      <x:c r="D81" s="38"/>
      <x:c r="E81" s="38"/>
      <x:c r="F81" s="38"/>
      <x:c r="G81" s="38"/>
      <x:c r="H81" s="38"/>
    </x:row>
    <x:row r="82" ht="25" customHeight="1">
      <x:c r="A82" s="38" t="str">
        <x:v>SHA-256: 168ac8baea6aee65fa8a40dfca5a269993951142c89cb536805f550b1ac3297b</x:v>
      </x:c>
      <x:c r="B82" s="38"/>
      <x:c r="C82" s="38"/>
      <x:c r="D82" s="38"/>
      <x:c r="E82" s="38"/>
      <x:c r="F82" s="38"/>
      <x:c r="G82" s="38"/>
      <x:c r="H82" s="38"/>
    </x:row>
    <x:row r="83" ht="25" customHeight="1">
      <x:c r="A83" s="62" t="str">
        <x:v>D/C: libro intermedio anterior; se conservan sus cuatro hojas</x:v>
      </x:c>
      <x:c r="B83" s="62"/>
      <x:c r="C83" s="62"/>
      <x:c r="D83" s="62"/>
      <x:c r="E83" s="62"/>
      <x:c r="F83" s="62"/>
      <x:c r="G83" s="62"/>
      <x:c r="H83" s="62"/>
    </x:row>
    <x:row r="84" ht="36" customHeight="1">
      <x:c r="A84" s="38" t="str">
        <x:v>/Users/alexi/Documents/GitHub/avance_curricular/outputs/retencion_intermedia_t2_t3/20261021_085902/RETENCION_INTERMEDIA_IPSS_PRESENCIAS_Y_PENDIENTES_20261021_085902.xlsx</x:v>
      </x:c>
      <x:c r="B84" s="38"/>
      <x:c r="C84" s="38"/>
      <x:c r="D84" s="38"/>
      <x:c r="E84" s="38"/>
      <x:c r="F84" s="38"/>
      <x:c r="G84" s="38"/>
      <x:c r="H84" s="38"/>
    </x:row>
    <x:row r="85" ht="25" customHeight="1">
      <x:c r="A85" s="38" t="str">
        <x:v>SHA-256: 340f9a2126973e0ab3a11172eaa525935ab5991c8ad10dcdb321cc721d0b8e69</x:v>
      </x:c>
      <x:c r="B85" s="38"/>
      <x:c r="C85" s="38"/>
      <x:c r="D85" s="38"/>
      <x:c r="E85" s="38"/>
      <x:c r="F85" s="38"/>
      <x:c r="G85" s="38"/>
      <x:c r="H85" s="38"/>
    </x:row>
    <x:row r="86" ht="25" customHeight="1">
      <x:c r="A86" s="28"/>
      <x:c r="B86" s="28"/>
      <x:c r="C86" s="28"/>
      <x:c r="D86" s="28"/>
      <x:c r="E86" s="28"/>
      <x:c r="F86" s="28"/>
      <x:c r="G86" s="28"/>
      <x:c r="H86" s="28"/>
    </x:row>
    <x:row r="87" ht="25" customHeight="1">
      <x:c r="A87" s="28"/>
      <x:c r="B87" s="28"/>
      <x:c r="C87" s="28"/>
      <x:c r="D87" s="28"/>
      <x:c r="E87" s="28"/>
      <x:c r="F87" s="28"/>
      <x:c r="G87" s="28"/>
      <x:c r="H87" s="28"/>
    </x:row>
    <x:row r="88" ht="25" customHeight="1">
      <x:c r="A88" s="28"/>
      <x:c r="B88" s="28"/>
      <x:c r="C88" s="28"/>
      <x:c r="D88" s="28"/>
      <x:c r="E88" s="28"/>
      <x:c r="F88" s="28"/>
      <x:c r="G88" s="28"/>
      <x:c r="H88" s="28"/>
    </x:row>
  </x:sheetData>
  <x:mergeCells>
    <x:mergeCell ref="A2:H2"/>
    <x:mergeCell ref="A3:H3"/>
    <x:mergeCell ref="A4:H4"/>
    <x:mergeCell ref="A6:H6"/>
    <x:mergeCell ref="A11:H11"/>
    <x:mergeCell ref="A12:H12"/>
    <x:mergeCell ref="E14:H14"/>
    <x:mergeCell ref="E15:H15"/>
    <x:mergeCell ref="A17:H17"/>
    <x:mergeCell ref="G19:H19"/>
    <x:mergeCell ref="G20:H20"/>
    <x:mergeCell ref="A22:H22"/>
    <x:mergeCell ref="A24:H24"/>
    <x:mergeCell ref="A26:D26"/>
    <x:mergeCell ref="F26:H26"/>
    <x:mergeCell ref="A27:D27"/>
    <x:mergeCell ref="F27:H27"/>
    <x:mergeCell ref="A28:D28"/>
    <x:mergeCell ref="F28:H28"/>
    <x:mergeCell ref="A29:D29"/>
    <x:mergeCell ref="F29:H29"/>
    <x:mergeCell ref="A30:D30"/>
    <x:mergeCell ref="F30:H30"/>
    <x:mergeCell ref="A31:D31"/>
    <x:mergeCell ref="F31:H31"/>
    <x:mergeCell ref="A32:D32"/>
    <x:mergeCell ref="F32:H32"/>
    <x:mergeCell ref="A33:D33"/>
    <x:mergeCell ref="F33:H33"/>
    <x:mergeCell ref="A34:D34"/>
    <x:mergeCell ref="F34:H34"/>
    <x:mergeCell ref="A35:D35"/>
    <x:mergeCell ref="F35:H35"/>
    <x:mergeCell ref="A36:D36"/>
    <x:mergeCell ref="F36:H36"/>
    <x:mergeCell ref="A37:D37"/>
    <x:mergeCell ref="F37:H37"/>
    <x:mergeCell ref="A38:D38"/>
    <x:mergeCell ref="F38:H38"/>
    <x:mergeCell ref="A39:D39"/>
    <x:mergeCell ref="F39:H39"/>
    <x:mergeCell ref="A40:D40"/>
    <x:mergeCell ref="F40:H40"/>
    <x:mergeCell ref="A41:D41"/>
    <x:mergeCell ref="F41:H41"/>
    <x:mergeCell ref="A43:H43"/>
    <x:mergeCell ref="B45:D45"/>
    <x:mergeCell ref="B46:D46"/>
    <x:mergeCell ref="B47:D47"/>
    <x:mergeCell ref="B48:D48"/>
    <x:mergeCell ref="B49:D49"/>
    <x:mergeCell ref="B50:D50"/>
    <x:mergeCell ref="B51:D51"/>
    <x:mergeCell ref="A54:H54"/>
    <x:mergeCell ref="A55:D55"/>
    <x:mergeCell ref="A56:D56"/>
    <x:mergeCell ref="A57:D57"/>
    <x:mergeCell ref="A58:D58"/>
    <x:mergeCell ref="A59:D59"/>
    <x:mergeCell ref="A61:H61"/>
    <x:mergeCell ref="A62:H62"/>
    <x:mergeCell ref="A63:H63"/>
    <x:mergeCell ref="A64:H64"/>
    <x:mergeCell ref="A65:H65"/>
    <x:mergeCell ref="A66:H66"/>
    <x:mergeCell ref="A68:H68"/>
    <x:mergeCell ref="A70:H70"/>
    <x:mergeCell ref="A71:H71"/>
    <x:mergeCell ref="A72:H72"/>
    <x:mergeCell ref="A73:H73"/>
    <x:mergeCell ref="A74:H74"/>
    <x:mergeCell ref="A75:H75"/>
    <x:mergeCell ref="A76:H76"/>
    <x:mergeCell ref="A77:H77"/>
    <x:mergeCell ref="A78:H78"/>
    <x:mergeCell ref="A79:H79"/>
    <x:mergeCell ref="A80:H80"/>
    <x:mergeCell ref="A81:H81"/>
    <x:mergeCell ref="A82:H82"/>
    <x:mergeCell ref="A83:H83"/>
    <x:mergeCell ref="A84:H84"/>
    <x:mergeCell ref="A85:H85"/>
  </x:mergeCells>
  <x:conditionalFormatting sqref="E55:E59">
    <x:cfRule type="cellIs" dxfId="0" priority="1" operator="notEqual">
      <x:formula>0</x:formula>
    </x:cfRule>
  </x:conditionalFormatting>
  <x:pageMargins left="0.7" right="0.7" top="0.75" bottom="0.75" header="0.3" footer="0.3"/>
</x:worksheet>
</file>